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Index history" sheetId="4" state="visible" r:id="rId4"/>
    <sheet name="Fund history" sheetId="5" state="visible" r:id="rId5"/>
    <sheet name="Example" sheetId="6" state="visible" r:id="rId6"/>
    <sheet name="About" sheetId="7" state="visible" r:id="rId7"/>
    <sheet name="Calc" sheetId="8" state="hidden" r:id="rId8"/>
  </sheets>
  <definedNames/>
  <calcPr calcId="124519" fullCalcOnLoad="1"/>
</workbook>
</file>

<file path=xl/styles.xml><?xml version="1.0" encoding="utf-8"?>
<styleSheet xmlns="http://schemas.openxmlformats.org/spreadsheetml/2006/main">
  <numFmts count="10">
    <numFmt numFmtId="164" formatCode="0.0%"/>
    <numFmt numFmtId="165" formatCode="dd-mmm-yyyy"/>
    <numFmt numFmtId="166" formatCode="&quot;₹ &quot;#,##0"/>
    <numFmt numFmtId="167" formatCode="0.0 &quot;years&quot;"/>
    <numFmt numFmtId="168" formatCode="0.0"/>
    <numFmt numFmtId="169" formatCode="+0.0%;−0.0%;0.0%"/>
    <numFmt numFmtId="170" formatCode="#,##0.000"/>
    <numFmt numFmtId="171" formatCode="#,##0.0000"/>
    <numFmt numFmtId="172" formatCode="+0.00%;−0.00%;0.00%"/>
    <numFmt numFmtId="173" formatCode="yyyy-mm-dd"/>
  </numFmts>
  <fonts count="9">
    <font>
      <name val="Calibri"/>
      <family val="2"/>
      <color theme="1"/>
      <sz val="11"/>
      <scheme val="minor"/>
    </font>
    <font>
      <name val="Calibri"/>
      <b val="1"/>
      <color rgb="FF1F4E5F"/>
      <sz val="16"/>
    </font>
    <font>
      <name val="Calibri"/>
      <color rgb="FF5B6B7A"/>
      <sz val="11"/>
    </font>
    <font>
      <name val="Calibri"/>
      <sz val="12"/>
    </font>
    <font>
      <name val="Calibri"/>
      <b val="1"/>
      <color rgb="FF1F4E5F"/>
      <sz val="28"/>
    </font>
    <font>
      <name val="Calibri"/>
      <color rgb="FFB00020"/>
      <sz val="12"/>
    </font>
    <font>
      <name val="Calibri"/>
      <b val="1"/>
      <color rgb="FFFFFFFF"/>
      <sz val="12"/>
    </font>
    <font>
      <name val="Calibri"/>
      <b val="1"/>
      <sz val="12"/>
    </font>
    <font>
      <name val="Calibri"/>
      <b val="1"/>
      <color rgb="FF1F4E5F"/>
      <sz val="20"/>
    </font>
  </fonts>
  <fills count="6">
    <fill>
      <patternFill/>
    </fill>
    <fill>
      <patternFill patternType="gray125"/>
    </fill>
    <fill>
      <patternFill patternType="solid">
        <fgColor rgb="FFFEF9C3"/>
      </patternFill>
    </fill>
    <fill>
      <patternFill patternType="solid">
        <fgColor rgb="FFEAF3F6"/>
      </patternFill>
    </fill>
    <fill>
      <patternFill patternType="solid">
        <fgColor rgb="FF1F4E5F"/>
      </patternFill>
    </fill>
    <fill>
      <patternFill patternType="solid">
        <fgColor rgb="FFF2F4F7"/>
      </patternFill>
    </fill>
  </fills>
  <borders count="1">
    <border>
      <left/>
      <right/>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3" fillId="2" borderId="0" applyProtection="1" pivotButton="0" quotePrefix="0" xfId="0">
      <protection locked="0" hidden="0"/>
    </xf>
    <xf numFmtId="0" fontId="0" fillId="0" borderId="0" applyProtection="1" pivotButton="0" quotePrefix="0" xfId="0">
      <protection locked="0" hidden="0"/>
    </xf>
    <xf numFmtId="0" fontId="6" fillId="4" borderId="0" pivotButton="0" quotePrefix="0" xfId="0"/>
    <xf numFmtId="166" fontId="7" fillId="0" borderId="0" pivotButton="0" quotePrefix="0" xfId="0"/>
    <xf numFmtId="164" fontId="4" fillId="3" borderId="0" pivotButton="0" quotePrefix="0" xfId="0"/>
    <xf numFmtId="0" fontId="5" fillId="0" borderId="0" pivotButton="0" quotePrefix="0" xfId="0"/>
    <xf numFmtId="164" fontId="7" fillId="0" borderId="0" pivotButton="0" quotePrefix="0" xfId="0"/>
    <xf numFmtId="165" fontId="3" fillId="2" borderId="0" applyProtection="1" pivotButton="0" quotePrefix="0" xfId="0">
      <protection locked="0" hidden="0"/>
    </xf>
    <xf numFmtId="166" fontId="3" fillId="2" borderId="0" applyProtection="1" pivotButton="0" quotePrefix="0" xfId="0">
      <protection locked="0" hidden="0"/>
    </xf>
    <xf numFmtId="166" fontId="2" fillId="0" borderId="0" pivotButton="0" quotePrefix="0" xfId="0"/>
    <xf numFmtId="167" fontId="7" fillId="0" borderId="0" pivotButton="0" quotePrefix="0" xfId="0"/>
    <xf numFmtId="168" fontId="3" fillId="2" borderId="0" applyProtection="1" pivotButton="0" quotePrefix="0" xfId="0">
      <protection locked="0" hidden="0"/>
    </xf>
    <xf numFmtId="166" fontId="3" fillId="0" borderId="0" pivotButton="0" quotePrefix="0" xfId="0"/>
    <xf numFmtId="164" fontId="3" fillId="0" borderId="0" pivotButton="0" quotePrefix="0" xfId="0"/>
    <xf numFmtId="1" fontId="3" fillId="2" borderId="0" applyProtection="1" pivotButton="0" quotePrefix="0" xfId="0">
      <protection locked="0" hidden="0"/>
    </xf>
    <xf numFmtId="0" fontId="2" fillId="0" borderId="0" pivotButton="0" quotePrefix="0" xfId="0"/>
    <xf numFmtId="166" fontId="8" fillId="3" borderId="0" pivotButton="0" quotePrefix="0" xfId="0"/>
    <xf numFmtId="4" fontId="3" fillId="2" borderId="0" applyProtection="1" pivotButton="0" quotePrefix="0" xfId="0">
      <protection locked="0" hidden="0"/>
    </xf>
    <xf numFmtId="169" fontId="7" fillId="0" borderId="0" pivotButton="0" quotePrefix="0" xfId="0"/>
    <xf numFmtId="3" fontId="3" fillId="0" borderId="0" pivotButton="0" quotePrefix="0" xfId="0"/>
    <xf numFmtId="170" fontId="3" fillId="0" borderId="0" pivotButton="0" quotePrefix="0" xfId="0"/>
    <xf numFmtId="165" fontId="3" fillId="0" borderId="0" pivotButton="0" quotePrefix="0" xfId="0"/>
    <xf numFmtId="4" fontId="3" fillId="0" borderId="0" pivotButton="0" quotePrefix="0" xfId="0"/>
    <xf numFmtId="170" fontId="3" fillId="2" borderId="0" applyProtection="1" pivotButton="0" quotePrefix="0" xfId="0">
      <protection locked="0" hidden="0"/>
    </xf>
    <xf numFmtId="0" fontId="7" fillId="5" borderId="0" pivotButton="0" quotePrefix="0" xfId="0"/>
    <xf numFmtId="171" fontId="3" fillId="2" borderId="0" applyProtection="1" pivotButton="0" quotePrefix="0" xfId="0">
      <protection locked="0" hidden="0"/>
    </xf>
    <xf numFmtId="165" fontId="2" fillId="0" borderId="0" pivotButton="0" quotePrefix="0" xfId="0"/>
    <xf numFmtId="171" fontId="2" fillId="0" borderId="0" pivotButton="0" quotePrefix="0" xfId="0"/>
    <xf numFmtId="164" fontId="2" fillId="0" borderId="0" pivotButton="0" quotePrefix="0" xfId="0"/>
    <xf numFmtId="3" fontId="7" fillId="0" borderId="0" pivotButton="0" quotePrefix="0" xfId="0"/>
    <xf numFmtId="165" fontId="7" fillId="0" borderId="0" pivotButton="0" quotePrefix="0" xfId="0"/>
    <xf numFmtId="172" fontId="7" fillId="0" borderId="0" pivotButton="0" quotePrefix="0" xfId="0"/>
    <xf numFmtId="171" fontId="7" fillId="0" borderId="0" pivotButton="0" quotePrefix="0" xfId="0"/>
    <xf numFmtId="169" fontId="3" fillId="0" borderId="0" pivotButton="0" quotePrefix="0" xfId="0"/>
    <xf numFmtId="0" fontId="3" fillId="2" borderId="0" pivotButton="0" quotePrefix="0" xfId="0"/>
    <xf numFmtId="165" fontId="3" fillId="2" borderId="0" pivotButton="0" quotePrefix="0" xfId="0"/>
    <xf numFmtId="166"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10" customWidth="1" min="2" max="2"/>
  </cols>
  <sheetData>
    <row r="2">
      <c r="B2" s="1" t="inlineStr">
        <is>
          <t>Where You Stand: the spreadsheet</t>
        </is>
      </c>
    </row>
    <row r="4" ht="48" customHeight="1">
      <c r="B4" s="2" t="inlineStr">
        <is>
          <t>1. This workbook does four things. My investments works out what your own money has actually earned, counting the date every rupee moved. Plan my goal shows where a plan lands and what the goal needs. Index history puts the same rupees on the same dates into an index. Fund history measures a fund's own record from its NAV list.</t>
        </is>
      </c>
    </row>
    <row r="6" ht="32" customHeight="1">
      <c r="B6" s="2" t="inlineStr">
        <is>
          <t>2. Save your own copy before you type anything, so you always have a clean one.</t>
        </is>
      </c>
    </row>
    <row r="8" ht="48" customHeight="1">
      <c r="B8" s="2" t="inlineStr">
        <is>
          <t>3. On My investments, enter one row for every payment: the date, then Money in or Money out from the list, then the amount as a plain positive number. Name the holding in the last column if you hold more than one.</t>
        </is>
      </c>
    </row>
    <row r="10" ht="48" customHeight="1">
      <c r="B10" s="2" t="inlineStr">
        <is>
          <t>4. In the last row, enter today's date, choose Worth today, and type what the holding is worth now. Without that row there is no return to measure. With several holdings, give each its own Worth today row.</t>
        </is>
      </c>
    </row>
    <row r="12" ht="48" customHeight="1">
      <c r="B12" s="2" t="inlineStr">
        <is>
          <t>Dates show as dd-mmm-yyyy. If a date you typed reads back as a different day, your computer is set to month-first dates; retype it the other way round, or as yyyy-mm-dd.</t>
        </is>
      </c>
    </row>
    <row r="14" ht="48" customHeight="1">
      <c r="B14" s="2" t="inlineStr">
        <is>
          <t>5. Cream cells are yours to type in. Everything else is worked out for you, and the tabs are protected without a password so nothing is overwritten by accident. To change anything else, choose Review, then Unprotect Sheet.</t>
        </is>
      </c>
    </row>
    <row r="16" ht="32" customHeight="1">
      <c r="B16" s="2" t="inlineStr">
        <is>
          <t>6. Index history: paste an index's dates and values, oldest first, and the tab puts your own rupees, on your own dates, into that index beside your result.</t>
        </is>
      </c>
    </row>
    <row r="18" ht="48" customHeight="1">
      <c r="B18" s="2" t="inlineStr">
        <is>
          <t>7. Fund history: paste a fund's dates and NAVs, oldest first, for its rolling returns over every holding period of the length you choose, its worst fall, its year-by-year record, its growth over exactly your dates, and what your units are worth at the latest NAV.</t>
        </is>
      </c>
    </row>
    <row r="20" ht="48" customHeight="1">
      <c r="B20" s="2" t="inlineStr">
        <is>
          <t>8. The Example tab is My investments already filled in, if you get stuck. How the site works each figure out is set out on its About page, under How this tool calculates.</t>
        </is>
      </c>
    </row>
    <row r="22" ht="48" customHeight="1">
      <c r="B22" s="2" t="inlineStr">
        <is>
          <t>Everything here is before tax and before exit load. It measures money that has already moved and illustrates assumptions you choose yourself; it is an educational tool, not investment advice, and it recommends nothing.</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B2:K507"/>
  <sheetViews>
    <sheetView showGridLines="0" workbookViewId="0">
      <pane ySplit="7" topLeftCell="A8" activePane="bottomLeft" state="frozen"/>
      <selection pane="bottomLeft" activeCell="A1" sqref="A1"/>
    </sheetView>
  </sheetViews>
  <sheetFormatPr baseColWidth="8" defaultRowHeight="15"/>
  <cols>
    <col width="3" customWidth="1" min="1" max="1"/>
    <col width="14" customWidth="1" min="2" max="2"/>
    <col width="16" customWidth="1" min="3" max="3"/>
    <col width="16" customWidth="1" min="4" max="4"/>
    <col width="16" customWidth="1" min="5" max="5"/>
    <col width="22" customWidth="1" min="6" max="6"/>
    <col width="3" customWidth="1" min="7" max="7"/>
    <col width="34" customWidth="1" min="8" max="8"/>
    <col width="18" customWidth="1" min="9" max="9"/>
    <col width="18" customWidth="1" min="10" max="10"/>
    <col width="16" customWidth="1" min="11" max="11"/>
  </cols>
  <sheetData>
    <row r="2">
      <c r="B2" s="3" t="inlineStr">
        <is>
          <t>Fund or portfolio name</t>
        </is>
      </c>
      <c r="C2" s="4" t="n"/>
      <c r="D2" s="5" t="n"/>
      <c r="E2" s="5" t="n"/>
      <c r="F2" s="5" t="n"/>
      <c r="H2" s="6" t="inlineStr">
        <is>
          <t>Your portfolio</t>
        </is>
      </c>
      <c r="I2" s="6" t="inlineStr"/>
    </row>
    <row r="3">
      <c r="B3" s="3" t="inlineStr">
        <is>
          <t>Your XIRR</t>
        </is>
      </c>
      <c r="H3" s="3" t="inlineStr">
        <is>
          <t>You put in</t>
        </is>
      </c>
      <c r="I3" s="7">
        <f>Calc!$D$3</f>
        <v>0</v>
      </c>
    </row>
    <row r="4" ht="40" customHeight="1">
      <c r="B4" s="8" t="str">
        <f>IFERROR(XIRR(Calc!$X$7:$X$508,Calc!$Y$7:$Y$508),IFERROR(XIRR(Calc!$X$7:$X$508,Calc!$Y$7:$Y$508,-0.5),"Check the status line below"))</f>
        <v>Check the status line below</v>
      </c>
      <c r="H4" s="3" t="inlineStr">
        <is>
          <t>You took out</t>
        </is>
      </c>
      <c r="I4" s="7">
        <f>Calc!$D$4</f>
        <v>0</v>
      </c>
    </row>
    <row r="5">
      <c r="B5" s="9" t="str">
        <f>IF(COUNT($B$8:$B$507)=0,"Add your first investment below.",IF(Calc!$D$1=0,"Add a last row: today's date, Worth today, and what the holding is worth now.",IF(Calc!$D$6&gt;0,Calc!$D$6&amp;" row(s) have an amount but no date: fill the date in or clear the amount.",IF(Calc!$D$7&gt;0,Calc!$D$7&amp;" row(s) have a date but no amount.",IF(ISNUMBER($B$4),"","The entries do not settle to one rate: check the dates and the Money in / Money out choices.")))))</f>
        <v>Add your first investment below.</v>
      </c>
      <c r="H5" s="3" t="inlineStr">
        <is>
          <t>Worth now</t>
        </is>
      </c>
      <c r="I5" s="7">
        <f>Calc!$D$5</f>
        <v>0</v>
      </c>
    </row>
    <row r="6" ht="32" customHeight="1">
      <c r="B6" s="2" t="inlineStr">
        <is>
          <t>Type in the cream cells only. One row for every payment, in any order; leave no amount without its date. Money in and Money out are plain positive numbers; the sheet sets the sign.</t>
        </is>
      </c>
      <c r="H6" s="3" t="inlineStr">
        <is>
          <t>Gain or loss</t>
        </is>
      </c>
      <c r="I6" s="7">
        <f>Calc!$D$5+Calc!$D$4-Calc!$D$3</f>
        <v>0</v>
      </c>
    </row>
    <row r="7">
      <c r="B7" s="6" t="inlineStr">
        <is>
          <t>Date</t>
        </is>
      </c>
      <c r="C7" s="6" t="inlineStr">
        <is>
          <t>What happened</t>
        </is>
      </c>
      <c r="D7" s="6" t="inlineStr">
        <is>
          <t>Amount</t>
        </is>
      </c>
      <c r="E7" s="6" t="inlineStr">
        <is>
          <t>Used by the sheet</t>
        </is>
      </c>
      <c r="F7" s="6" t="inlineStr">
        <is>
          <t>Which holding</t>
        </is>
      </c>
      <c r="H7" s="3" t="inlineStr">
        <is>
          <t>Total return, no clock in it</t>
        </is>
      </c>
      <c r="I7" s="10" t="str">
        <f>IF(Calc!$D$3=0,"",(Calc!$D$5+Calc!$D$4-Calc!$D$3)/Calc!$D$3)</f>
        <v/>
      </c>
    </row>
    <row r="8">
      <c r="B8" s="11" t="n"/>
      <c r="C8" s="4" t="n"/>
      <c r="D8" s="12" t="n"/>
      <c r="E8" s="13" t="str">
        <f>IF($B8="","",IF($C8="Money in",-$D8,$D8))</f>
        <v/>
      </c>
      <c r="F8" s="4" t="n"/>
      <c r="H8" s="3" t="inlineStr">
        <is>
          <t>How long you have held it</t>
        </is>
      </c>
      <c r="I8" s="14" t="str">
        <f>IF(COUNT($B$8:$B$507)&lt;2,"",(MAX($B$8:$B$507)-MIN($B$8:$B$507))/365)</f>
        <v/>
      </c>
    </row>
    <row r="9">
      <c r="B9" s="11" t="n"/>
      <c r="C9" s="4" t="n"/>
      <c r="D9" s="12" t="n"/>
      <c r="E9" s="13" t="str">
        <f>IF($B9="","",IF($C9="Money in",-$D9,$D9))</f>
        <v/>
      </c>
      <c r="F9" s="4" t="n"/>
      <c r="H9" s="3" t="inlineStr">
        <is>
          <t>Doubling time at your XIRR</t>
        </is>
      </c>
      <c r="I9" s="14" t="str">
        <f>IF(ISNUMBER($B$4),IF($B$4&gt;0,LN(2)/LN(1+$B$4),""),"")</f>
        <v/>
      </c>
    </row>
    <row r="10">
      <c r="B10" s="11" t="n"/>
      <c r="C10" s="4" t="n"/>
      <c r="D10" s="12" t="n"/>
      <c r="E10" s="13" t="str">
        <f>IF($B10="","",IF($C10="Money in",-$D10,$D10))</f>
        <v/>
      </c>
      <c r="F10" s="4" t="n"/>
      <c r="H10" s="3" t="inlineStr">
        <is>
          <t>Inflation to measure against (% a year)</t>
        </is>
      </c>
      <c r="I10" s="15" t="n"/>
    </row>
    <row r="11">
      <c r="B11" s="11" t="n"/>
      <c r="C11" s="4" t="n"/>
      <c r="D11" s="12" t="n"/>
      <c r="E11" s="13" t="str">
        <f>IF($B11="","",IF($C11="Money in",-$D11,$D11))</f>
        <v/>
      </c>
      <c r="F11" s="4" t="n"/>
      <c r="H11" s="3" t="inlineStr">
        <is>
          <t>Return after inflation</t>
        </is>
      </c>
      <c r="I11" s="10" t="str">
        <f>IF(OR($I$10="",NOT(ISNUMBER($B$4))),"",(1+$B$4)/(1+$I$10/100)-1)</f>
        <v/>
      </c>
    </row>
    <row r="12" ht="32" customHeight="1">
      <c r="B12" s="11" t="n"/>
      <c r="C12" s="4" t="n"/>
      <c r="D12" s="12" t="n"/>
      <c r="E12" s="13" t="str">
        <f>IF($B12="","",IF($C12="Money in",-$D12,$D12))</f>
        <v/>
      </c>
      <c r="F12" s="4" t="n"/>
      <c r="H12" s="2" t="inlineStr">
        <is>
          <t>Type your own inflation figure; the sheet does not choose one. (1 + return) ÷ (1 + inflation) − 1, not a subtraction.</t>
        </is>
      </c>
    </row>
    <row r="13">
      <c r="B13" s="11" t="n"/>
      <c r="C13" s="4" t="n"/>
      <c r="D13" s="12" t="n"/>
      <c r="E13" s="13" t="str">
        <f>IF($B13="","",IF($C13="Money in",-$D13,$D13))</f>
        <v/>
      </c>
      <c r="F13" s="4" t="n"/>
    </row>
    <row r="14">
      <c r="B14" s="11" t="n"/>
      <c r="C14" s="4" t="n"/>
      <c r="D14" s="12" t="n"/>
      <c r="E14" s="13" t="str">
        <f>IF($B14="","",IF($C14="Money in",-$D14,$D14))</f>
        <v/>
      </c>
      <c r="F14" s="4" t="n"/>
      <c r="H14" s="6" t="inlineStr">
        <is>
          <t>Type a holding name</t>
        </is>
      </c>
      <c r="I14" s="6" t="inlineStr">
        <is>
          <t>You put in</t>
        </is>
      </c>
      <c r="J14" s="6" t="inlineStr">
        <is>
          <t>Worth now</t>
        </is>
      </c>
      <c r="K14" s="6" t="inlineStr">
        <is>
          <t>Its own XIRR</t>
        </is>
      </c>
    </row>
    <row r="15">
      <c r="B15" s="11" t="n"/>
      <c r="C15" s="4" t="n"/>
      <c r="D15" s="12" t="n"/>
      <c r="E15" s="13" t="str">
        <f>IF($B15="","",IF($C15="Money in",-$D15,$D15))</f>
        <v/>
      </c>
      <c r="F15" s="4" t="n"/>
      <c r="H15" s="4" t="n"/>
      <c r="I15" s="16" t="str">
        <f>IF($H15="","",SUMIFS($D$8:$D$507,$F$8:$F$507,$H15,$C$8:$C$507,"Money in",$B$8:$B$507,"&lt;&gt;"))</f>
        <v/>
      </c>
      <c r="J15" s="16" t="str">
        <f>IF($H15="","",SUMIFS($D$8:$D$507,$F$8:$F$507,$H15,$C$8:$C$507,"Worth today",$B$8:$B$507,"&lt;&gt;"))</f>
        <v/>
      </c>
      <c r="K15" s="17" t="str">
        <f>IF($H15="","",IFERROR(XIRR(Calc!$AA$7:$AA$508,Calc!$Y$7:$Y$508),IFERROR(XIRR(Calc!$AA$7:$AA$508,Calc!$Y$7:$Y$508,-0.5),"needs its own Worth today row")))</f>
        <v/>
      </c>
    </row>
    <row r="16">
      <c r="B16" s="11" t="n"/>
      <c r="C16" s="4" t="n"/>
      <c r="D16" s="12" t="n"/>
      <c r="E16" s="13" t="str">
        <f>IF($B16="","",IF($C16="Money in",-$D16,$D16))</f>
        <v/>
      </c>
      <c r="F16" s="4" t="n"/>
      <c r="H16" s="4" t="n"/>
      <c r="I16" s="16" t="str">
        <f>IF($H16="","",SUMIFS($D$8:$D$507,$F$8:$F$507,$H16,$C$8:$C$507,"Money in",$B$8:$B$507,"&lt;&gt;"))</f>
        <v/>
      </c>
      <c r="J16" s="16" t="str">
        <f>IF($H16="","",SUMIFS($D$8:$D$507,$F$8:$F$507,$H16,$C$8:$C$507,"Worth today",$B$8:$B$507,"&lt;&gt;"))</f>
        <v/>
      </c>
      <c r="K16" s="17" t="str">
        <f>IF($H16="","",IFERROR(XIRR(Calc!$AB$7:$AB$508,Calc!$Y$7:$Y$508),IFERROR(XIRR(Calc!$AB$7:$AB$508,Calc!$Y$7:$Y$508,-0.5),"needs its own Worth today row")))</f>
        <v/>
      </c>
    </row>
    <row r="17">
      <c r="B17" s="11" t="n"/>
      <c r="C17" s="4" t="n"/>
      <c r="D17" s="12" t="n"/>
      <c r="E17" s="13" t="str">
        <f>IF($B17="","",IF($C17="Money in",-$D17,$D17))</f>
        <v/>
      </c>
      <c r="F17" s="4" t="n"/>
      <c r="H17" s="4" t="n"/>
      <c r="I17" s="16" t="str">
        <f>IF($H17="","",SUMIFS($D$8:$D$507,$F$8:$F$507,$H17,$C$8:$C$507,"Money in",$B$8:$B$507,"&lt;&gt;"))</f>
        <v/>
      </c>
      <c r="J17" s="16" t="str">
        <f>IF($H17="","",SUMIFS($D$8:$D$507,$F$8:$F$507,$H17,$C$8:$C$507,"Worth today",$B$8:$B$507,"&lt;&gt;"))</f>
        <v/>
      </c>
      <c r="K17" s="17" t="str">
        <f>IF($H17="","",IFERROR(XIRR(Calc!$AC$7:$AC$508,Calc!$Y$7:$Y$508),IFERROR(XIRR(Calc!$AC$7:$AC$508,Calc!$Y$7:$Y$508,-0.5),"needs its own Worth today row")))</f>
        <v/>
      </c>
    </row>
    <row r="18">
      <c r="B18" s="11" t="n"/>
      <c r="C18" s="4" t="n"/>
      <c r="D18" s="12" t="n"/>
      <c r="E18" s="13" t="str">
        <f>IF($B18="","",IF($C18="Money in",-$D18,$D18))</f>
        <v/>
      </c>
      <c r="F18" s="4" t="n"/>
      <c r="H18" s="4" t="n"/>
      <c r="I18" s="16" t="str">
        <f>IF($H18="","",SUMIFS($D$8:$D$507,$F$8:$F$507,$H18,$C$8:$C$507,"Money in",$B$8:$B$507,"&lt;&gt;"))</f>
        <v/>
      </c>
      <c r="J18" s="16" t="str">
        <f>IF($H18="","",SUMIFS($D$8:$D$507,$F$8:$F$507,$H18,$C$8:$C$507,"Worth today",$B$8:$B$507,"&lt;&gt;"))</f>
        <v/>
      </c>
      <c r="K18" s="17" t="str">
        <f>IF($H18="","",IFERROR(XIRR(Calc!$AD$7:$AD$508,Calc!$Y$7:$Y$508),IFERROR(XIRR(Calc!$AD$7:$AD$508,Calc!$Y$7:$Y$508,-0.5),"needs its own Worth today row")))</f>
        <v/>
      </c>
    </row>
    <row r="19">
      <c r="B19" s="11" t="n"/>
      <c r="C19" s="4" t="n"/>
      <c r="D19" s="12" t="n"/>
      <c r="E19" s="13" t="str">
        <f>IF($B19="","",IF($C19="Money in",-$D19,$D19))</f>
        <v/>
      </c>
      <c r="F19" s="4" t="n"/>
      <c r="H19" s="4" t="n"/>
      <c r="I19" s="16" t="str">
        <f>IF($H19="","",SUMIFS($D$8:$D$507,$F$8:$F$507,$H19,$C$8:$C$507,"Money in",$B$8:$B$507,"&lt;&gt;"))</f>
        <v/>
      </c>
      <c r="J19" s="16" t="str">
        <f>IF($H19="","",SUMIFS($D$8:$D$507,$F$8:$F$507,$H19,$C$8:$C$507,"Worth today",$B$8:$B$507,"&lt;&gt;"))</f>
        <v/>
      </c>
      <c r="K19" s="17" t="str">
        <f>IF($H19="","",IFERROR(XIRR(Calc!$AE$7:$AE$508,Calc!$Y$7:$Y$508),IFERROR(XIRR(Calc!$AE$7:$AE$508,Calc!$Y$7:$Y$508,-0.5),"needs its own Worth today row")))</f>
        <v/>
      </c>
    </row>
    <row r="20">
      <c r="B20" s="11" t="n"/>
      <c r="C20" s="4" t="n"/>
      <c r="D20" s="12" t="n"/>
      <c r="E20" s="13" t="str">
        <f>IF($B20="","",IF($C20="Money in",-$D20,$D20))</f>
        <v/>
      </c>
      <c r="F20" s="4" t="n"/>
      <c r="H20" s="4" t="n"/>
      <c r="I20" s="16" t="str">
        <f>IF($H20="","",SUMIFS($D$8:$D$507,$F$8:$F$507,$H20,$C$8:$C$507,"Money in",$B$8:$B$507,"&lt;&gt;"))</f>
        <v/>
      </c>
      <c r="J20" s="16" t="str">
        <f>IF($H20="","",SUMIFS($D$8:$D$507,$F$8:$F$507,$H20,$C$8:$C$507,"Worth today",$B$8:$B$507,"&lt;&gt;"))</f>
        <v/>
      </c>
      <c r="K20" s="17" t="str">
        <f>IF($H20="","",IFERROR(XIRR(Calc!$AF$7:$AF$508,Calc!$Y$7:$Y$508),IFERROR(XIRR(Calc!$AF$7:$AF$508,Calc!$Y$7:$Y$508,-0.5),"needs its own Worth today row")))</f>
        <v/>
      </c>
    </row>
    <row r="21">
      <c r="B21" s="11" t="n"/>
      <c r="C21" s="4" t="n"/>
      <c r="D21" s="12" t="n"/>
      <c r="E21" s="13" t="str">
        <f>IF($B21="","",IF($C21="Money in",-$D21,$D21))</f>
        <v/>
      </c>
      <c r="F21" s="4" t="n"/>
      <c r="H21" s="4" t="n"/>
      <c r="I21" s="16" t="str">
        <f>IF($H21="","",SUMIFS($D$8:$D$507,$F$8:$F$507,$H21,$C$8:$C$507,"Money in",$B$8:$B$507,"&lt;&gt;"))</f>
        <v/>
      </c>
      <c r="J21" s="16" t="str">
        <f>IF($H21="","",SUMIFS($D$8:$D$507,$F$8:$F$507,$H21,$C$8:$C$507,"Worth today",$B$8:$B$507,"&lt;&gt;"))</f>
        <v/>
      </c>
      <c r="K21" s="17" t="str">
        <f>IF($H21="","",IFERROR(XIRR(Calc!$AG$7:$AG$508,Calc!$Y$7:$Y$508),IFERROR(XIRR(Calc!$AG$7:$AG$508,Calc!$Y$7:$Y$508,-0.5),"needs its own Worth today row")))</f>
        <v/>
      </c>
    </row>
    <row r="22">
      <c r="B22" s="11" t="n"/>
      <c r="C22" s="4" t="n"/>
      <c r="D22" s="12" t="n"/>
      <c r="E22" s="13" t="str">
        <f>IF($B22="","",IF($C22="Money in",-$D22,$D22))</f>
        <v/>
      </c>
      <c r="F22" s="4" t="n"/>
      <c r="H22" s="4" t="n"/>
      <c r="I22" s="16" t="str">
        <f>IF($H22="","",SUMIFS($D$8:$D$507,$F$8:$F$507,$H22,$C$8:$C$507,"Money in",$B$8:$B$507,"&lt;&gt;"))</f>
        <v/>
      </c>
      <c r="J22" s="16" t="str">
        <f>IF($H22="","",SUMIFS($D$8:$D$507,$F$8:$F$507,$H22,$C$8:$C$507,"Worth today",$B$8:$B$507,"&lt;&gt;"))</f>
        <v/>
      </c>
      <c r="K22" s="17" t="str">
        <f>IF($H22="","",IFERROR(XIRR(Calc!$AH$7:$AH$508,Calc!$Y$7:$Y$508),IFERROR(XIRR(Calc!$AH$7:$AH$508,Calc!$Y$7:$Y$508,-0.5),"needs its own Worth today row")))</f>
        <v/>
      </c>
    </row>
    <row r="23">
      <c r="B23" s="11" t="n"/>
      <c r="C23" s="4" t="n"/>
      <c r="D23" s="12" t="n"/>
      <c r="E23" s="13" t="str">
        <f>IF($B23="","",IF($C23="Money in",-$D23,$D23))</f>
        <v/>
      </c>
      <c r="F23" s="4" t="n"/>
      <c r="H23" s="4" t="n"/>
      <c r="I23" s="16" t="str">
        <f>IF($H23="","",SUMIFS($D$8:$D$507,$F$8:$F$507,$H23,$C$8:$C$507,"Money in",$B$8:$B$507,"&lt;&gt;"))</f>
        <v/>
      </c>
      <c r="J23" s="16" t="str">
        <f>IF($H23="","",SUMIFS($D$8:$D$507,$F$8:$F$507,$H23,$C$8:$C$507,"Worth today",$B$8:$B$507,"&lt;&gt;"))</f>
        <v/>
      </c>
      <c r="K23" s="17" t="str">
        <f>IF($H23="","",IFERROR(XIRR(Calc!$AI$7:$AI$508,Calc!$Y$7:$Y$508),IFERROR(XIRR(Calc!$AI$7:$AI$508,Calc!$Y$7:$Y$508,-0.5),"needs its own Worth today row")))</f>
        <v/>
      </c>
    </row>
    <row r="24">
      <c r="B24" s="11" t="n"/>
      <c r="C24" s="4" t="n"/>
      <c r="D24" s="12" t="n"/>
      <c r="E24" s="13" t="str">
        <f>IF($B24="","",IF($C24="Money in",-$D24,$D24))</f>
        <v/>
      </c>
      <c r="F24" s="4" t="n"/>
      <c r="H24" s="4" t="n"/>
      <c r="I24" s="16" t="str">
        <f>IF($H24="","",SUMIFS($D$8:$D$507,$F$8:$F$507,$H24,$C$8:$C$507,"Money in",$B$8:$B$507,"&lt;&gt;"))</f>
        <v/>
      </c>
      <c r="J24" s="16" t="str">
        <f>IF($H24="","",SUMIFS($D$8:$D$507,$F$8:$F$507,$H24,$C$8:$C$507,"Worth today",$B$8:$B$507,"&lt;&gt;"))</f>
        <v/>
      </c>
      <c r="K24" s="17" t="str">
        <f>IF($H24="","",IFERROR(XIRR(Calc!$AJ$7:$AJ$508,Calc!$Y$7:$Y$508),IFERROR(XIRR(Calc!$AJ$7:$AJ$508,Calc!$Y$7:$Y$508,-0.5),"needs its own Worth today row")))</f>
        <v/>
      </c>
    </row>
    <row r="25">
      <c r="B25" s="11" t="n"/>
      <c r="C25" s="4" t="n"/>
      <c r="D25" s="12" t="n"/>
      <c r="E25" s="13" t="str">
        <f>IF($B25="","",IF($C25="Money in",-$D25,$D25))</f>
        <v/>
      </c>
      <c r="F25" s="4" t="n"/>
    </row>
    <row r="26" ht="34" customHeight="1">
      <c r="B26" s="11" t="n"/>
      <c r="C26" s="4" t="n"/>
      <c r="D26" s="12" t="n"/>
      <c r="E26" s="13" t="str">
        <f>IF($B26="","",IF($C26="Money in",-$D26,$D26))</f>
        <v/>
      </c>
      <c r="F26" s="4" t="n"/>
      <c r="H26" s="2" t="inlineStr">
        <is>
          <t>Leave the names blank if you hold only one thing. Each named holding needs its own Worth today row, tagged with its name.</t>
        </is>
      </c>
    </row>
    <row r="27" ht="34" customHeight="1">
      <c r="B27" s="11" t="n"/>
      <c r="C27" s="4" t="n"/>
      <c r="D27" s="12" t="n"/>
      <c r="E27" s="13" t="str">
        <f>IF($B27="","",IF($C27="Money in",-$D27,$D27))</f>
        <v/>
      </c>
      <c r="F27" s="4" t="n"/>
      <c r="H27" s="2" t="inlineStr">
        <is>
          <t>Your portfolio XIRR is not the average of these: it weighs each holding by how much money you actually had in it, and for how long.</t>
        </is>
      </c>
    </row>
    <row r="28" ht="34" customHeight="1">
      <c r="B28" s="11" t="n"/>
      <c r="C28" s="4" t="n"/>
      <c r="D28" s="12" t="n"/>
      <c r="E28" s="13" t="str">
        <f>IF($B28="","",IF($C28="Money in",-$D28,$D28))</f>
        <v/>
      </c>
      <c r="F28" s="4" t="n"/>
      <c r="H28" s="2" t="inlineStr">
        <is>
          <t>Every figure is before tax and exit load. XIRR is the one yearly rate at which every entry, discounted from its own date on a 365-day year, adds up to zero; a spreadsheet's XIRR and this site use the same convention.</t>
        </is>
      </c>
    </row>
    <row r="29">
      <c r="B29" s="11" t="n"/>
      <c r="C29" s="4" t="n"/>
      <c r="D29" s="12" t="n"/>
      <c r="E29" s="13" t="str">
        <f>IF($B29="","",IF($C29="Money in",-$D29,$D29))</f>
        <v/>
      </c>
      <c r="F29" s="4" t="n"/>
    </row>
    <row r="30">
      <c r="B30" s="11" t="n"/>
      <c r="C30" s="4" t="n"/>
      <c r="D30" s="12" t="n"/>
      <c r="E30" s="13" t="str">
        <f>IF($B30="","",IF($C30="Money in",-$D30,$D30))</f>
        <v/>
      </c>
      <c r="F30" s="4" t="n"/>
    </row>
    <row r="31">
      <c r="B31" s="11" t="n"/>
      <c r="C31" s="4" t="n"/>
      <c r="D31" s="12" t="n"/>
      <c r="E31" s="13" t="str">
        <f>IF($B31="","",IF($C31="Money in",-$D31,$D31))</f>
        <v/>
      </c>
      <c r="F31" s="4" t="n"/>
    </row>
    <row r="32">
      <c r="B32" s="11" t="n"/>
      <c r="C32" s="4" t="n"/>
      <c r="D32" s="12" t="n"/>
      <c r="E32" s="13" t="str">
        <f>IF($B32="","",IF($C32="Money in",-$D32,$D32))</f>
        <v/>
      </c>
      <c r="F32" s="4" t="n"/>
    </row>
    <row r="33">
      <c r="B33" s="11" t="n"/>
      <c r="C33" s="4" t="n"/>
      <c r="D33" s="12" t="n"/>
      <c r="E33" s="13" t="str">
        <f>IF($B33="","",IF($C33="Money in",-$D33,$D33))</f>
        <v/>
      </c>
      <c r="F33" s="4" t="n"/>
    </row>
    <row r="34">
      <c r="B34" s="11" t="n"/>
      <c r="C34" s="4" t="n"/>
      <c r="D34" s="12" t="n"/>
      <c r="E34" s="13" t="str">
        <f>IF($B34="","",IF($C34="Money in",-$D34,$D34))</f>
        <v/>
      </c>
      <c r="F34" s="4" t="n"/>
    </row>
    <row r="35">
      <c r="B35" s="11" t="n"/>
      <c r="C35" s="4" t="n"/>
      <c r="D35" s="12" t="n"/>
      <c r="E35" s="13" t="str">
        <f>IF($B35="","",IF($C35="Money in",-$D35,$D35))</f>
        <v/>
      </c>
      <c r="F35" s="4" t="n"/>
    </row>
    <row r="36">
      <c r="B36" s="11" t="n"/>
      <c r="C36" s="4" t="n"/>
      <c r="D36" s="12" t="n"/>
      <c r="E36" s="13" t="str">
        <f>IF($B36="","",IF($C36="Money in",-$D36,$D36))</f>
        <v/>
      </c>
      <c r="F36" s="4" t="n"/>
    </row>
    <row r="37">
      <c r="B37" s="11" t="n"/>
      <c r="C37" s="4" t="n"/>
      <c r="D37" s="12" t="n"/>
      <c r="E37" s="13" t="str">
        <f>IF($B37="","",IF($C37="Money in",-$D37,$D37))</f>
        <v/>
      </c>
      <c r="F37" s="4" t="n"/>
    </row>
    <row r="38">
      <c r="B38" s="11" t="n"/>
      <c r="C38" s="4" t="n"/>
      <c r="D38" s="12" t="n"/>
      <c r="E38" s="13" t="str">
        <f>IF($B38="","",IF($C38="Money in",-$D38,$D38))</f>
        <v/>
      </c>
      <c r="F38" s="4" t="n"/>
    </row>
    <row r="39">
      <c r="B39" s="11" t="n"/>
      <c r="C39" s="4" t="n"/>
      <c r="D39" s="12" t="n"/>
      <c r="E39" s="13" t="str">
        <f>IF($B39="","",IF($C39="Money in",-$D39,$D39))</f>
        <v/>
      </c>
      <c r="F39" s="4" t="n"/>
    </row>
    <row r="40">
      <c r="B40" s="11" t="n"/>
      <c r="C40" s="4" t="n"/>
      <c r="D40" s="12" t="n"/>
      <c r="E40" s="13" t="str">
        <f>IF($B40="","",IF($C40="Money in",-$D40,$D40))</f>
        <v/>
      </c>
      <c r="F40" s="4" t="n"/>
    </row>
    <row r="41">
      <c r="B41" s="11" t="n"/>
      <c r="C41" s="4" t="n"/>
      <c r="D41" s="12" t="n"/>
      <c r="E41" s="13" t="str">
        <f>IF($B41="","",IF($C41="Money in",-$D41,$D41))</f>
        <v/>
      </c>
      <c r="F41" s="4" t="n"/>
    </row>
    <row r="42">
      <c r="B42" s="11" t="n"/>
      <c r="C42" s="4" t="n"/>
      <c r="D42" s="12" t="n"/>
      <c r="E42" s="13" t="str">
        <f>IF($B42="","",IF($C42="Money in",-$D42,$D42))</f>
        <v/>
      </c>
      <c r="F42" s="4" t="n"/>
    </row>
    <row r="43">
      <c r="B43" s="11" t="n"/>
      <c r="C43" s="4" t="n"/>
      <c r="D43" s="12" t="n"/>
      <c r="E43" s="13" t="str">
        <f>IF($B43="","",IF($C43="Money in",-$D43,$D43))</f>
        <v/>
      </c>
      <c r="F43" s="4" t="n"/>
    </row>
    <row r="44">
      <c r="B44" s="11" t="n"/>
      <c r="C44" s="4" t="n"/>
      <c r="D44" s="12" t="n"/>
      <c r="E44" s="13" t="str">
        <f>IF($B44="","",IF($C44="Money in",-$D44,$D44))</f>
        <v/>
      </c>
      <c r="F44" s="4" t="n"/>
    </row>
    <row r="45">
      <c r="B45" s="11" t="n"/>
      <c r="C45" s="4" t="n"/>
      <c r="D45" s="12" t="n"/>
      <c r="E45" s="13" t="str">
        <f>IF($B45="","",IF($C45="Money in",-$D45,$D45))</f>
        <v/>
      </c>
      <c r="F45" s="4" t="n"/>
    </row>
    <row r="46">
      <c r="B46" s="11" t="n"/>
      <c r="C46" s="4" t="n"/>
      <c r="D46" s="12" t="n"/>
      <c r="E46" s="13" t="str">
        <f>IF($B46="","",IF($C46="Money in",-$D46,$D46))</f>
        <v/>
      </c>
      <c r="F46" s="4" t="n"/>
    </row>
    <row r="47">
      <c r="B47" s="11" t="n"/>
      <c r="C47" s="4" t="n"/>
      <c r="D47" s="12" t="n"/>
      <c r="E47" s="13" t="str">
        <f>IF($B47="","",IF($C47="Money in",-$D47,$D47))</f>
        <v/>
      </c>
      <c r="F47" s="4" t="n"/>
    </row>
    <row r="48">
      <c r="B48" s="11" t="n"/>
      <c r="C48" s="4" t="n"/>
      <c r="D48" s="12" t="n"/>
      <c r="E48" s="13" t="str">
        <f>IF($B48="","",IF($C48="Money in",-$D48,$D48))</f>
        <v/>
      </c>
      <c r="F48" s="4" t="n"/>
    </row>
    <row r="49">
      <c r="B49" s="11" t="n"/>
      <c r="C49" s="4" t="n"/>
      <c r="D49" s="12" t="n"/>
      <c r="E49" s="13" t="str">
        <f>IF($B49="","",IF($C49="Money in",-$D49,$D49))</f>
        <v/>
      </c>
      <c r="F49" s="4" t="n"/>
    </row>
    <row r="50">
      <c r="B50" s="11" t="n"/>
      <c r="C50" s="4" t="n"/>
      <c r="D50" s="12" t="n"/>
      <c r="E50" s="13" t="str">
        <f>IF($B50="","",IF($C50="Money in",-$D50,$D50))</f>
        <v/>
      </c>
      <c r="F50" s="4" t="n"/>
    </row>
    <row r="51">
      <c r="B51" s="11" t="n"/>
      <c r="C51" s="4" t="n"/>
      <c r="D51" s="12" t="n"/>
      <c r="E51" s="13" t="str">
        <f>IF($B51="","",IF($C51="Money in",-$D51,$D51))</f>
        <v/>
      </c>
      <c r="F51" s="4" t="n"/>
    </row>
    <row r="52">
      <c r="B52" s="11" t="n"/>
      <c r="C52" s="4" t="n"/>
      <c r="D52" s="12" t="n"/>
      <c r="E52" s="13" t="str">
        <f>IF($B52="","",IF($C52="Money in",-$D52,$D52))</f>
        <v/>
      </c>
      <c r="F52" s="4" t="n"/>
    </row>
    <row r="53">
      <c r="B53" s="11" t="n"/>
      <c r="C53" s="4" t="n"/>
      <c r="D53" s="12" t="n"/>
      <c r="E53" s="13" t="str">
        <f>IF($B53="","",IF($C53="Money in",-$D53,$D53))</f>
        <v/>
      </c>
      <c r="F53" s="4" t="n"/>
    </row>
    <row r="54">
      <c r="B54" s="11" t="n"/>
      <c r="C54" s="4" t="n"/>
      <c r="D54" s="12" t="n"/>
      <c r="E54" s="13" t="str">
        <f>IF($B54="","",IF($C54="Money in",-$D54,$D54))</f>
        <v/>
      </c>
      <c r="F54" s="4" t="n"/>
    </row>
    <row r="55">
      <c r="B55" s="11" t="n"/>
      <c r="C55" s="4" t="n"/>
      <c r="D55" s="12" t="n"/>
      <c r="E55" s="13" t="str">
        <f>IF($B55="","",IF($C55="Money in",-$D55,$D55))</f>
        <v/>
      </c>
      <c r="F55" s="4" t="n"/>
    </row>
    <row r="56">
      <c r="B56" s="11" t="n"/>
      <c r="C56" s="4" t="n"/>
      <c r="D56" s="12" t="n"/>
      <c r="E56" s="13" t="str">
        <f>IF($B56="","",IF($C56="Money in",-$D56,$D56))</f>
        <v/>
      </c>
      <c r="F56" s="4" t="n"/>
    </row>
    <row r="57">
      <c r="B57" s="11" t="n"/>
      <c r="C57" s="4" t="n"/>
      <c r="D57" s="12" t="n"/>
      <c r="E57" s="13" t="str">
        <f>IF($B57="","",IF($C57="Money in",-$D57,$D57))</f>
        <v/>
      </c>
      <c r="F57" s="4" t="n"/>
    </row>
    <row r="58">
      <c r="B58" s="11" t="n"/>
      <c r="C58" s="4" t="n"/>
      <c r="D58" s="12" t="n"/>
      <c r="E58" s="13" t="str">
        <f>IF($B58="","",IF($C58="Money in",-$D58,$D58))</f>
        <v/>
      </c>
      <c r="F58" s="4" t="n"/>
    </row>
    <row r="59">
      <c r="B59" s="11" t="n"/>
      <c r="C59" s="4" t="n"/>
      <c r="D59" s="12" t="n"/>
      <c r="E59" s="13" t="str">
        <f>IF($B59="","",IF($C59="Money in",-$D59,$D59))</f>
        <v/>
      </c>
      <c r="F59" s="4" t="n"/>
    </row>
    <row r="60">
      <c r="B60" s="11" t="n"/>
      <c r="C60" s="4" t="n"/>
      <c r="D60" s="12" t="n"/>
      <c r="E60" s="13" t="str">
        <f>IF($B60="","",IF($C60="Money in",-$D60,$D60))</f>
        <v/>
      </c>
      <c r="F60" s="4" t="n"/>
    </row>
    <row r="61">
      <c r="B61" s="11" t="n"/>
      <c r="C61" s="4" t="n"/>
      <c r="D61" s="12" t="n"/>
      <c r="E61" s="13" t="str">
        <f>IF($B61="","",IF($C61="Money in",-$D61,$D61))</f>
        <v/>
      </c>
      <c r="F61" s="4" t="n"/>
    </row>
    <row r="62">
      <c r="B62" s="11" t="n"/>
      <c r="C62" s="4" t="n"/>
      <c r="D62" s="12" t="n"/>
      <c r="E62" s="13" t="str">
        <f>IF($B62="","",IF($C62="Money in",-$D62,$D62))</f>
        <v/>
      </c>
      <c r="F62" s="4" t="n"/>
    </row>
    <row r="63">
      <c r="B63" s="11" t="n"/>
      <c r="C63" s="4" t="n"/>
      <c r="D63" s="12" t="n"/>
      <c r="E63" s="13" t="str">
        <f>IF($B63="","",IF($C63="Money in",-$D63,$D63))</f>
        <v/>
      </c>
      <c r="F63" s="4" t="n"/>
    </row>
    <row r="64">
      <c r="B64" s="11" t="n"/>
      <c r="C64" s="4" t="n"/>
      <c r="D64" s="12" t="n"/>
      <c r="E64" s="13" t="str">
        <f>IF($B64="","",IF($C64="Money in",-$D64,$D64))</f>
        <v/>
      </c>
      <c r="F64" s="4" t="n"/>
    </row>
    <row r="65">
      <c r="B65" s="11" t="n"/>
      <c r="C65" s="4" t="n"/>
      <c r="D65" s="12" t="n"/>
      <c r="E65" s="13" t="str">
        <f>IF($B65="","",IF($C65="Money in",-$D65,$D65))</f>
        <v/>
      </c>
      <c r="F65" s="4" t="n"/>
    </row>
    <row r="66">
      <c r="B66" s="11" t="n"/>
      <c r="C66" s="4" t="n"/>
      <c r="D66" s="12" t="n"/>
      <c r="E66" s="13" t="str">
        <f>IF($B66="","",IF($C66="Money in",-$D66,$D66))</f>
        <v/>
      </c>
      <c r="F66" s="4" t="n"/>
    </row>
    <row r="67">
      <c r="B67" s="11" t="n"/>
      <c r="C67" s="4" t="n"/>
      <c r="D67" s="12" t="n"/>
      <c r="E67" s="13" t="str">
        <f>IF($B67="","",IF($C67="Money in",-$D67,$D67))</f>
        <v/>
      </c>
      <c r="F67" s="4" t="n"/>
    </row>
    <row r="68">
      <c r="B68" s="11" t="n"/>
      <c r="C68" s="4" t="n"/>
      <c r="D68" s="12" t="n"/>
      <c r="E68" s="13" t="str">
        <f>IF($B68="","",IF($C68="Money in",-$D68,$D68))</f>
        <v/>
      </c>
      <c r="F68" s="4" t="n"/>
    </row>
    <row r="69">
      <c r="B69" s="11" t="n"/>
      <c r="C69" s="4" t="n"/>
      <c r="D69" s="12" t="n"/>
      <c r="E69" s="13" t="str">
        <f>IF($B69="","",IF($C69="Money in",-$D69,$D69))</f>
        <v/>
      </c>
      <c r="F69" s="4" t="n"/>
    </row>
    <row r="70">
      <c r="B70" s="11" t="n"/>
      <c r="C70" s="4" t="n"/>
      <c r="D70" s="12" t="n"/>
      <c r="E70" s="13" t="str">
        <f>IF($B70="","",IF($C70="Money in",-$D70,$D70))</f>
        <v/>
      </c>
      <c r="F70" s="4" t="n"/>
    </row>
    <row r="71">
      <c r="B71" s="11" t="n"/>
      <c r="C71" s="4" t="n"/>
      <c r="D71" s="12" t="n"/>
      <c r="E71" s="13" t="str">
        <f>IF($B71="","",IF($C71="Money in",-$D71,$D71))</f>
        <v/>
      </c>
      <c r="F71" s="4" t="n"/>
    </row>
    <row r="72">
      <c r="B72" s="11" t="n"/>
      <c r="C72" s="4" t="n"/>
      <c r="D72" s="12" t="n"/>
      <c r="E72" s="13" t="str">
        <f>IF($B72="","",IF($C72="Money in",-$D72,$D72))</f>
        <v/>
      </c>
      <c r="F72" s="4" t="n"/>
    </row>
    <row r="73">
      <c r="B73" s="11" t="n"/>
      <c r="C73" s="4" t="n"/>
      <c r="D73" s="12" t="n"/>
      <c r="E73" s="13" t="str">
        <f>IF($B73="","",IF($C73="Money in",-$D73,$D73))</f>
        <v/>
      </c>
      <c r="F73" s="4" t="n"/>
    </row>
    <row r="74">
      <c r="B74" s="11" t="n"/>
      <c r="C74" s="4" t="n"/>
      <c r="D74" s="12" t="n"/>
      <c r="E74" s="13" t="str">
        <f>IF($B74="","",IF($C74="Money in",-$D74,$D74))</f>
        <v/>
      </c>
      <c r="F74" s="4" t="n"/>
    </row>
    <row r="75">
      <c r="B75" s="11" t="n"/>
      <c r="C75" s="4" t="n"/>
      <c r="D75" s="12" t="n"/>
      <c r="E75" s="13" t="str">
        <f>IF($B75="","",IF($C75="Money in",-$D75,$D75))</f>
        <v/>
      </c>
      <c r="F75" s="4" t="n"/>
    </row>
    <row r="76">
      <c r="B76" s="11" t="n"/>
      <c r="C76" s="4" t="n"/>
      <c r="D76" s="12" t="n"/>
      <c r="E76" s="13" t="str">
        <f>IF($B76="","",IF($C76="Money in",-$D76,$D76))</f>
        <v/>
      </c>
      <c r="F76" s="4" t="n"/>
    </row>
    <row r="77">
      <c r="B77" s="11" t="n"/>
      <c r="C77" s="4" t="n"/>
      <c r="D77" s="12" t="n"/>
      <c r="E77" s="13" t="str">
        <f>IF($B77="","",IF($C77="Money in",-$D77,$D77))</f>
        <v/>
      </c>
      <c r="F77" s="4" t="n"/>
    </row>
    <row r="78">
      <c r="B78" s="11" t="n"/>
      <c r="C78" s="4" t="n"/>
      <c r="D78" s="12" t="n"/>
      <c r="E78" s="13" t="str">
        <f>IF($B78="","",IF($C78="Money in",-$D78,$D78))</f>
        <v/>
      </c>
      <c r="F78" s="4" t="n"/>
    </row>
    <row r="79">
      <c r="B79" s="11" t="n"/>
      <c r="C79" s="4" t="n"/>
      <c r="D79" s="12" t="n"/>
      <c r="E79" s="13" t="str">
        <f>IF($B79="","",IF($C79="Money in",-$D79,$D79))</f>
        <v/>
      </c>
      <c r="F79" s="4" t="n"/>
    </row>
    <row r="80">
      <c r="B80" s="11" t="n"/>
      <c r="C80" s="4" t="n"/>
      <c r="D80" s="12" t="n"/>
      <c r="E80" s="13" t="str">
        <f>IF($B80="","",IF($C80="Money in",-$D80,$D80))</f>
        <v/>
      </c>
      <c r="F80" s="4" t="n"/>
    </row>
    <row r="81">
      <c r="B81" s="11" t="n"/>
      <c r="C81" s="4" t="n"/>
      <c r="D81" s="12" t="n"/>
      <c r="E81" s="13" t="str">
        <f>IF($B81="","",IF($C81="Money in",-$D81,$D81))</f>
        <v/>
      </c>
      <c r="F81" s="4" t="n"/>
    </row>
    <row r="82">
      <c r="B82" s="11" t="n"/>
      <c r="C82" s="4" t="n"/>
      <c r="D82" s="12" t="n"/>
      <c r="E82" s="13" t="str">
        <f>IF($B82="","",IF($C82="Money in",-$D82,$D82))</f>
        <v/>
      </c>
      <c r="F82" s="4" t="n"/>
    </row>
    <row r="83">
      <c r="B83" s="11" t="n"/>
      <c r="C83" s="4" t="n"/>
      <c r="D83" s="12" t="n"/>
      <c r="E83" s="13" t="str">
        <f>IF($B83="","",IF($C83="Money in",-$D83,$D83))</f>
        <v/>
      </c>
      <c r="F83" s="4" t="n"/>
    </row>
    <row r="84">
      <c r="B84" s="11" t="n"/>
      <c r="C84" s="4" t="n"/>
      <c r="D84" s="12" t="n"/>
      <c r="E84" s="13" t="str">
        <f>IF($B84="","",IF($C84="Money in",-$D84,$D84))</f>
        <v/>
      </c>
      <c r="F84" s="4" t="n"/>
    </row>
    <row r="85">
      <c r="B85" s="11" t="n"/>
      <c r="C85" s="4" t="n"/>
      <c r="D85" s="12" t="n"/>
      <c r="E85" s="13" t="str">
        <f>IF($B85="","",IF($C85="Money in",-$D85,$D85))</f>
        <v/>
      </c>
      <c r="F85" s="4" t="n"/>
    </row>
    <row r="86">
      <c r="B86" s="11" t="n"/>
      <c r="C86" s="4" t="n"/>
      <c r="D86" s="12" t="n"/>
      <c r="E86" s="13" t="str">
        <f>IF($B86="","",IF($C86="Money in",-$D86,$D86))</f>
        <v/>
      </c>
      <c r="F86" s="4" t="n"/>
    </row>
    <row r="87">
      <c r="B87" s="11" t="n"/>
      <c r="C87" s="4" t="n"/>
      <c r="D87" s="12" t="n"/>
      <c r="E87" s="13" t="str">
        <f>IF($B87="","",IF($C87="Money in",-$D87,$D87))</f>
        <v/>
      </c>
      <c r="F87" s="4" t="n"/>
    </row>
    <row r="88">
      <c r="B88" s="11" t="n"/>
      <c r="C88" s="4" t="n"/>
      <c r="D88" s="12" t="n"/>
      <c r="E88" s="13" t="str">
        <f>IF($B88="","",IF($C88="Money in",-$D88,$D88))</f>
        <v/>
      </c>
      <c r="F88" s="4" t="n"/>
    </row>
    <row r="89">
      <c r="B89" s="11" t="n"/>
      <c r="C89" s="4" t="n"/>
      <c r="D89" s="12" t="n"/>
      <c r="E89" s="13" t="str">
        <f>IF($B89="","",IF($C89="Money in",-$D89,$D89))</f>
        <v/>
      </c>
      <c r="F89" s="4" t="n"/>
    </row>
    <row r="90">
      <c r="B90" s="11" t="n"/>
      <c r="C90" s="4" t="n"/>
      <c r="D90" s="12" t="n"/>
      <c r="E90" s="13" t="str">
        <f>IF($B90="","",IF($C90="Money in",-$D90,$D90))</f>
        <v/>
      </c>
      <c r="F90" s="4" t="n"/>
    </row>
    <row r="91">
      <c r="B91" s="11" t="n"/>
      <c r="C91" s="4" t="n"/>
      <c r="D91" s="12" t="n"/>
      <c r="E91" s="13" t="str">
        <f>IF($B91="","",IF($C91="Money in",-$D91,$D91))</f>
        <v/>
      </c>
      <c r="F91" s="4" t="n"/>
    </row>
    <row r="92">
      <c r="B92" s="11" t="n"/>
      <c r="C92" s="4" t="n"/>
      <c r="D92" s="12" t="n"/>
      <c r="E92" s="13" t="str">
        <f>IF($B92="","",IF($C92="Money in",-$D92,$D92))</f>
        <v/>
      </c>
      <c r="F92" s="4" t="n"/>
    </row>
    <row r="93">
      <c r="B93" s="11" t="n"/>
      <c r="C93" s="4" t="n"/>
      <c r="D93" s="12" t="n"/>
      <c r="E93" s="13" t="str">
        <f>IF($B93="","",IF($C93="Money in",-$D93,$D93))</f>
        <v/>
      </c>
      <c r="F93" s="4" t="n"/>
    </row>
    <row r="94">
      <c r="B94" s="11" t="n"/>
      <c r="C94" s="4" t="n"/>
      <c r="D94" s="12" t="n"/>
      <c r="E94" s="13" t="str">
        <f>IF($B94="","",IF($C94="Money in",-$D94,$D94))</f>
        <v/>
      </c>
      <c r="F94" s="4" t="n"/>
    </row>
    <row r="95">
      <c r="B95" s="11" t="n"/>
      <c r="C95" s="4" t="n"/>
      <c r="D95" s="12" t="n"/>
      <c r="E95" s="13" t="str">
        <f>IF($B95="","",IF($C95="Money in",-$D95,$D95))</f>
        <v/>
      </c>
      <c r="F95" s="4" t="n"/>
    </row>
    <row r="96">
      <c r="B96" s="11" t="n"/>
      <c r="C96" s="4" t="n"/>
      <c r="D96" s="12" t="n"/>
      <c r="E96" s="13" t="str">
        <f>IF($B96="","",IF($C96="Money in",-$D96,$D96))</f>
        <v/>
      </c>
      <c r="F96" s="4" t="n"/>
    </row>
    <row r="97">
      <c r="B97" s="11" t="n"/>
      <c r="C97" s="4" t="n"/>
      <c r="D97" s="12" t="n"/>
      <c r="E97" s="13" t="str">
        <f>IF($B97="","",IF($C97="Money in",-$D97,$D97))</f>
        <v/>
      </c>
      <c r="F97" s="4" t="n"/>
    </row>
    <row r="98">
      <c r="B98" s="11" t="n"/>
      <c r="C98" s="4" t="n"/>
      <c r="D98" s="12" t="n"/>
      <c r="E98" s="13" t="str">
        <f>IF($B98="","",IF($C98="Money in",-$D98,$D98))</f>
        <v/>
      </c>
      <c r="F98" s="4" t="n"/>
    </row>
    <row r="99">
      <c r="B99" s="11" t="n"/>
      <c r="C99" s="4" t="n"/>
      <c r="D99" s="12" t="n"/>
      <c r="E99" s="13" t="str">
        <f>IF($B99="","",IF($C99="Money in",-$D99,$D99))</f>
        <v/>
      </c>
      <c r="F99" s="4" t="n"/>
    </row>
    <row r="100">
      <c r="B100" s="11" t="n"/>
      <c r="C100" s="4" t="n"/>
      <c r="D100" s="12" t="n"/>
      <c r="E100" s="13" t="str">
        <f>IF($B100="","",IF($C100="Money in",-$D100,$D100))</f>
        <v/>
      </c>
      <c r="F100" s="4" t="n"/>
    </row>
    <row r="101">
      <c r="B101" s="11" t="n"/>
      <c r="C101" s="4" t="n"/>
      <c r="D101" s="12" t="n"/>
      <c r="E101" s="13" t="str">
        <f>IF($B101="","",IF($C101="Money in",-$D101,$D101))</f>
        <v/>
      </c>
      <c r="F101" s="4" t="n"/>
    </row>
    <row r="102">
      <c r="B102" s="11" t="n"/>
      <c r="C102" s="4" t="n"/>
      <c r="D102" s="12" t="n"/>
      <c r="E102" s="13" t="str">
        <f>IF($B102="","",IF($C102="Money in",-$D102,$D102))</f>
        <v/>
      </c>
      <c r="F102" s="4" t="n"/>
    </row>
    <row r="103">
      <c r="B103" s="11" t="n"/>
      <c r="C103" s="4" t="n"/>
      <c r="D103" s="12" t="n"/>
      <c r="E103" s="13" t="str">
        <f>IF($B103="","",IF($C103="Money in",-$D103,$D103))</f>
        <v/>
      </c>
      <c r="F103" s="4" t="n"/>
    </row>
    <row r="104">
      <c r="B104" s="11" t="n"/>
      <c r="C104" s="4" t="n"/>
      <c r="D104" s="12" t="n"/>
      <c r="E104" s="13" t="str">
        <f>IF($B104="","",IF($C104="Money in",-$D104,$D104))</f>
        <v/>
      </c>
      <c r="F104" s="4" t="n"/>
    </row>
    <row r="105">
      <c r="B105" s="11" t="n"/>
      <c r="C105" s="4" t="n"/>
      <c r="D105" s="12" t="n"/>
      <c r="E105" s="13" t="str">
        <f>IF($B105="","",IF($C105="Money in",-$D105,$D105))</f>
        <v/>
      </c>
      <c r="F105" s="4" t="n"/>
    </row>
    <row r="106">
      <c r="B106" s="11" t="n"/>
      <c r="C106" s="4" t="n"/>
      <c r="D106" s="12" t="n"/>
      <c r="E106" s="13" t="str">
        <f>IF($B106="","",IF($C106="Money in",-$D106,$D106))</f>
        <v/>
      </c>
      <c r="F106" s="4" t="n"/>
    </row>
    <row r="107">
      <c r="B107" s="11" t="n"/>
      <c r="C107" s="4" t="n"/>
      <c r="D107" s="12" t="n"/>
      <c r="E107" s="13" t="str">
        <f>IF($B107="","",IF($C107="Money in",-$D107,$D107))</f>
        <v/>
      </c>
      <c r="F107" s="4" t="n"/>
    </row>
    <row r="108">
      <c r="B108" s="11" t="n"/>
      <c r="C108" s="4" t="n"/>
      <c r="D108" s="12" t="n"/>
      <c r="E108" s="13" t="str">
        <f>IF($B108="","",IF($C108="Money in",-$D108,$D108))</f>
        <v/>
      </c>
      <c r="F108" s="4" t="n"/>
    </row>
    <row r="109">
      <c r="B109" s="11" t="n"/>
      <c r="C109" s="4" t="n"/>
      <c r="D109" s="12" t="n"/>
      <c r="E109" s="13" t="str">
        <f>IF($B109="","",IF($C109="Money in",-$D109,$D109))</f>
        <v/>
      </c>
      <c r="F109" s="4" t="n"/>
    </row>
    <row r="110">
      <c r="B110" s="11" t="n"/>
      <c r="C110" s="4" t="n"/>
      <c r="D110" s="12" t="n"/>
      <c r="E110" s="13" t="str">
        <f>IF($B110="","",IF($C110="Money in",-$D110,$D110))</f>
        <v/>
      </c>
      <c r="F110" s="4" t="n"/>
    </row>
    <row r="111">
      <c r="B111" s="11" t="n"/>
      <c r="C111" s="4" t="n"/>
      <c r="D111" s="12" t="n"/>
      <c r="E111" s="13" t="str">
        <f>IF($B111="","",IF($C111="Money in",-$D111,$D111))</f>
        <v/>
      </c>
      <c r="F111" s="4" t="n"/>
    </row>
    <row r="112">
      <c r="B112" s="11" t="n"/>
      <c r="C112" s="4" t="n"/>
      <c r="D112" s="12" t="n"/>
      <c r="E112" s="13" t="str">
        <f>IF($B112="","",IF($C112="Money in",-$D112,$D112))</f>
        <v/>
      </c>
      <c r="F112" s="4" t="n"/>
    </row>
    <row r="113">
      <c r="B113" s="11" t="n"/>
      <c r="C113" s="4" t="n"/>
      <c r="D113" s="12" t="n"/>
      <c r="E113" s="13" t="str">
        <f>IF($B113="","",IF($C113="Money in",-$D113,$D113))</f>
        <v/>
      </c>
      <c r="F113" s="4" t="n"/>
    </row>
    <row r="114">
      <c r="B114" s="11" t="n"/>
      <c r="C114" s="4" t="n"/>
      <c r="D114" s="12" t="n"/>
      <c r="E114" s="13" t="str">
        <f>IF($B114="","",IF($C114="Money in",-$D114,$D114))</f>
        <v/>
      </c>
      <c r="F114" s="4" t="n"/>
    </row>
    <row r="115">
      <c r="B115" s="11" t="n"/>
      <c r="C115" s="4" t="n"/>
      <c r="D115" s="12" t="n"/>
      <c r="E115" s="13" t="str">
        <f>IF($B115="","",IF($C115="Money in",-$D115,$D115))</f>
        <v/>
      </c>
      <c r="F115" s="4" t="n"/>
    </row>
    <row r="116">
      <c r="B116" s="11" t="n"/>
      <c r="C116" s="4" t="n"/>
      <c r="D116" s="12" t="n"/>
      <c r="E116" s="13" t="str">
        <f>IF($B116="","",IF($C116="Money in",-$D116,$D116))</f>
        <v/>
      </c>
      <c r="F116" s="4" t="n"/>
    </row>
    <row r="117">
      <c r="B117" s="11" t="n"/>
      <c r="C117" s="4" t="n"/>
      <c r="D117" s="12" t="n"/>
      <c r="E117" s="13" t="str">
        <f>IF($B117="","",IF($C117="Money in",-$D117,$D117))</f>
        <v/>
      </c>
      <c r="F117" s="4" t="n"/>
    </row>
    <row r="118">
      <c r="B118" s="11" t="n"/>
      <c r="C118" s="4" t="n"/>
      <c r="D118" s="12" t="n"/>
      <c r="E118" s="13" t="str">
        <f>IF($B118="","",IF($C118="Money in",-$D118,$D118))</f>
        <v/>
      </c>
      <c r="F118" s="4" t="n"/>
    </row>
    <row r="119">
      <c r="B119" s="11" t="n"/>
      <c r="C119" s="4" t="n"/>
      <c r="D119" s="12" t="n"/>
      <c r="E119" s="13" t="str">
        <f>IF($B119="","",IF($C119="Money in",-$D119,$D119))</f>
        <v/>
      </c>
      <c r="F119" s="4" t="n"/>
    </row>
    <row r="120">
      <c r="B120" s="11" t="n"/>
      <c r="C120" s="4" t="n"/>
      <c r="D120" s="12" t="n"/>
      <c r="E120" s="13" t="str">
        <f>IF($B120="","",IF($C120="Money in",-$D120,$D120))</f>
        <v/>
      </c>
      <c r="F120" s="4" t="n"/>
    </row>
    <row r="121">
      <c r="B121" s="11" t="n"/>
      <c r="C121" s="4" t="n"/>
      <c r="D121" s="12" t="n"/>
      <c r="E121" s="13" t="str">
        <f>IF($B121="","",IF($C121="Money in",-$D121,$D121))</f>
        <v/>
      </c>
      <c r="F121" s="4" t="n"/>
    </row>
    <row r="122">
      <c r="B122" s="11" t="n"/>
      <c r="C122" s="4" t="n"/>
      <c r="D122" s="12" t="n"/>
      <c r="E122" s="13" t="str">
        <f>IF($B122="","",IF($C122="Money in",-$D122,$D122))</f>
        <v/>
      </c>
      <c r="F122" s="4" t="n"/>
    </row>
    <row r="123">
      <c r="B123" s="11" t="n"/>
      <c r="C123" s="4" t="n"/>
      <c r="D123" s="12" t="n"/>
      <c r="E123" s="13" t="str">
        <f>IF($B123="","",IF($C123="Money in",-$D123,$D123))</f>
        <v/>
      </c>
      <c r="F123" s="4" t="n"/>
    </row>
    <row r="124">
      <c r="B124" s="11" t="n"/>
      <c r="C124" s="4" t="n"/>
      <c r="D124" s="12" t="n"/>
      <c r="E124" s="13" t="str">
        <f>IF($B124="","",IF($C124="Money in",-$D124,$D124))</f>
        <v/>
      </c>
      <c r="F124" s="4" t="n"/>
    </row>
    <row r="125">
      <c r="B125" s="11" t="n"/>
      <c r="C125" s="4" t="n"/>
      <c r="D125" s="12" t="n"/>
      <c r="E125" s="13" t="str">
        <f>IF($B125="","",IF($C125="Money in",-$D125,$D125))</f>
        <v/>
      </c>
      <c r="F125" s="4" t="n"/>
    </row>
    <row r="126">
      <c r="B126" s="11" t="n"/>
      <c r="C126" s="4" t="n"/>
      <c r="D126" s="12" t="n"/>
      <c r="E126" s="13" t="str">
        <f>IF($B126="","",IF($C126="Money in",-$D126,$D126))</f>
        <v/>
      </c>
      <c r="F126" s="4" t="n"/>
    </row>
    <row r="127">
      <c r="B127" s="11" t="n"/>
      <c r="C127" s="4" t="n"/>
      <c r="D127" s="12" t="n"/>
      <c r="E127" s="13" t="str">
        <f>IF($B127="","",IF($C127="Money in",-$D127,$D127))</f>
        <v/>
      </c>
      <c r="F127" s="4" t="n"/>
    </row>
    <row r="128">
      <c r="B128" s="11" t="n"/>
      <c r="C128" s="4" t="n"/>
      <c r="D128" s="12" t="n"/>
      <c r="E128" s="13" t="str">
        <f>IF($B128="","",IF($C128="Money in",-$D128,$D128))</f>
        <v/>
      </c>
      <c r="F128" s="4" t="n"/>
    </row>
    <row r="129">
      <c r="B129" s="11" t="n"/>
      <c r="C129" s="4" t="n"/>
      <c r="D129" s="12" t="n"/>
      <c r="E129" s="13" t="str">
        <f>IF($B129="","",IF($C129="Money in",-$D129,$D129))</f>
        <v/>
      </c>
      <c r="F129" s="4" t="n"/>
    </row>
    <row r="130">
      <c r="B130" s="11" t="n"/>
      <c r="C130" s="4" t="n"/>
      <c r="D130" s="12" t="n"/>
      <c r="E130" s="13" t="str">
        <f>IF($B130="","",IF($C130="Money in",-$D130,$D130))</f>
        <v/>
      </c>
      <c r="F130" s="4" t="n"/>
    </row>
    <row r="131">
      <c r="B131" s="11" t="n"/>
      <c r="C131" s="4" t="n"/>
      <c r="D131" s="12" t="n"/>
      <c r="E131" s="13" t="str">
        <f>IF($B131="","",IF($C131="Money in",-$D131,$D131))</f>
        <v/>
      </c>
      <c r="F131" s="4" t="n"/>
    </row>
    <row r="132">
      <c r="B132" s="11" t="n"/>
      <c r="C132" s="4" t="n"/>
      <c r="D132" s="12" t="n"/>
      <c r="E132" s="13" t="str">
        <f>IF($B132="","",IF($C132="Money in",-$D132,$D132))</f>
        <v/>
      </c>
      <c r="F132" s="4" t="n"/>
    </row>
    <row r="133">
      <c r="B133" s="11" t="n"/>
      <c r="C133" s="4" t="n"/>
      <c r="D133" s="12" t="n"/>
      <c r="E133" s="13" t="str">
        <f>IF($B133="","",IF($C133="Money in",-$D133,$D133))</f>
        <v/>
      </c>
      <c r="F133" s="4" t="n"/>
    </row>
    <row r="134">
      <c r="B134" s="11" t="n"/>
      <c r="C134" s="4" t="n"/>
      <c r="D134" s="12" t="n"/>
      <c r="E134" s="13" t="str">
        <f>IF($B134="","",IF($C134="Money in",-$D134,$D134))</f>
        <v/>
      </c>
      <c r="F134" s="4" t="n"/>
    </row>
    <row r="135">
      <c r="B135" s="11" t="n"/>
      <c r="C135" s="4" t="n"/>
      <c r="D135" s="12" t="n"/>
      <c r="E135" s="13" t="str">
        <f>IF($B135="","",IF($C135="Money in",-$D135,$D135))</f>
        <v/>
      </c>
      <c r="F135" s="4" t="n"/>
    </row>
    <row r="136">
      <c r="B136" s="11" t="n"/>
      <c r="C136" s="4" t="n"/>
      <c r="D136" s="12" t="n"/>
      <c r="E136" s="13" t="str">
        <f>IF($B136="","",IF($C136="Money in",-$D136,$D136))</f>
        <v/>
      </c>
      <c r="F136" s="4" t="n"/>
    </row>
    <row r="137">
      <c r="B137" s="11" t="n"/>
      <c r="C137" s="4" t="n"/>
      <c r="D137" s="12" t="n"/>
      <c r="E137" s="13" t="str">
        <f>IF($B137="","",IF($C137="Money in",-$D137,$D137))</f>
        <v/>
      </c>
      <c r="F137" s="4" t="n"/>
    </row>
    <row r="138">
      <c r="B138" s="11" t="n"/>
      <c r="C138" s="4" t="n"/>
      <c r="D138" s="12" t="n"/>
      <c r="E138" s="13" t="str">
        <f>IF($B138="","",IF($C138="Money in",-$D138,$D138))</f>
        <v/>
      </c>
      <c r="F138" s="4" t="n"/>
    </row>
    <row r="139">
      <c r="B139" s="11" t="n"/>
      <c r="C139" s="4" t="n"/>
      <c r="D139" s="12" t="n"/>
      <c r="E139" s="13" t="str">
        <f>IF($B139="","",IF($C139="Money in",-$D139,$D139))</f>
        <v/>
      </c>
      <c r="F139" s="4" t="n"/>
    </row>
    <row r="140">
      <c r="B140" s="11" t="n"/>
      <c r="C140" s="4" t="n"/>
      <c r="D140" s="12" t="n"/>
      <c r="E140" s="13" t="str">
        <f>IF($B140="","",IF($C140="Money in",-$D140,$D140))</f>
        <v/>
      </c>
      <c r="F140" s="4" t="n"/>
    </row>
    <row r="141">
      <c r="B141" s="11" t="n"/>
      <c r="C141" s="4" t="n"/>
      <c r="D141" s="12" t="n"/>
      <c r="E141" s="13" t="str">
        <f>IF($B141="","",IF($C141="Money in",-$D141,$D141))</f>
        <v/>
      </c>
      <c r="F141" s="4" t="n"/>
    </row>
    <row r="142">
      <c r="B142" s="11" t="n"/>
      <c r="C142" s="4" t="n"/>
      <c r="D142" s="12" t="n"/>
      <c r="E142" s="13" t="str">
        <f>IF($B142="","",IF($C142="Money in",-$D142,$D142))</f>
        <v/>
      </c>
      <c r="F142" s="4" t="n"/>
    </row>
    <row r="143">
      <c r="B143" s="11" t="n"/>
      <c r="C143" s="4" t="n"/>
      <c r="D143" s="12" t="n"/>
      <c r="E143" s="13" t="str">
        <f>IF($B143="","",IF($C143="Money in",-$D143,$D143))</f>
        <v/>
      </c>
      <c r="F143" s="4" t="n"/>
    </row>
    <row r="144">
      <c r="B144" s="11" t="n"/>
      <c r="C144" s="4" t="n"/>
      <c r="D144" s="12" t="n"/>
      <c r="E144" s="13" t="str">
        <f>IF($B144="","",IF($C144="Money in",-$D144,$D144))</f>
        <v/>
      </c>
      <c r="F144" s="4" t="n"/>
    </row>
    <row r="145">
      <c r="B145" s="11" t="n"/>
      <c r="C145" s="4" t="n"/>
      <c r="D145" s="12" t="n"/>
      <c r="E145" s="13" t="str">
        <f>IF($B145="","",IF($C145="Money in",-$D145,$D145))</f>
        <v/>
      </c>
      <c r="F145" s="4" t="n"/>
    </row>
    <row r="146">
      <c r="B146" s="11" t="n"/>
      <c r="C146" s="4" t="n"/>
      <c r="D146" s="12" t="n"/>
      <c r="E146" s="13" t="str">
        <f>IF($B146="","",IF($C146="Money in",-$D146,$D146))</f>
        <v/>
      </c>
      <c r="F146" s="4" t="n"/>
    </row>
    <row r="147">
      <c r="B147" s="11" t="n"/>
      <c r="C147" s="4" t="n"/>
      <c r="D147" s="12" t="n"/>
      <c r="E147" s="13" t="str">
        <f>IF($B147="","",IF($C147="Money in",-$D147,$D147))</f>
        <v/>
      </c>
      <c r="F147" s="4" t="n"/>
    </row>
    <row r="148">
      <c r="B148" s="11" t="n"/>
      <c r="C148" s="4" t="n"/>
      <c r="D148" s="12" t="n"/>
      <c r="E148" s="13" t="str">
        <f>IF($B148="","",IF($C148="Money in",-$D148,$D148))</f>
        <v/>
      </c>
      <c r="F148" s="4" t="n"/>
    </row>
    <row r="149">
      <c r="B149" s="11" t="n"/>
      <c r="C149" s="4" t="n"/>
      <c r="D149" s="12" t="n"/>
      <c r="E149" s="13" t="str">
        <f>IF($B149="","",IF($C149="Money in",-$D149,$D149))</f>
        <v/>
      </c>
      <c r="F149" s="4" t="n"/>
    </row>
    <row r="150">
      <c r="B150" s="11" t="n"/>
      <c r="C150" s="4" t="n"/>
      <c r="D150" s="12" t="n"/>
      <c r="E150" s="13" t="str">
        <f>IF($B150="","",IF($C150="Money in",-$D150,$D150))</f>
        <v/>
      </c>
      <c r="F150" s="4" t="n"/>
    </row>
    <row r="151">
      <c r="B151" s="11" t="n"/>
      <c r="C151" s="4" t="n"/>
      <c r="D151" s="12" t="n"/>
      <c r="E151" s="13" t="str">
        <f>IF($B151="","",IF($C151="Money in",-$D151,$D151))</f>
        <v/>
      </c>
      <c r="F151" s="4" t="n"/>
    </row>
    <row r="152">
      <c r="B152" s="11" t="n"/>
      <c r="C152" s="4" t="n"/>
      <c r="D152" s="12" t="n"/>
      <c r="E152" s="13" t="str">
        <f>IF($B152="","",IF($C152="Money in",-$D152,$D152))</f>
        <v/>
      </c>
      <c r="F152" s="4" t="n"/>
    </row>
    <row r="153">
      <c r="B153" s="11" t="n"/>
      <c r="C153" s="4" t="n"/>
      <c r="D153" s="12" t="n"/>
      <c r="E153" s="13" t="str">
        <f>IF($B153="","",IF($C153="Money in",-$D153,$D153))</f>
        <v/>
      </c>
      <c r="F153" s="4" t="n"/>
    </row>
    <row r="154">
      <c r="B154" s="11" t="n"/>
      <c r="C154" s="4" t="n"/>
      <c r="D154" s="12" t="n"/>
      <c r="E154" s="13" t="str">
        <f>IF($B154="","",IF($C154="Money in",-$D154,$D154))</f>
        <v/>
      </c>
      <c r="F154" s="4" t="n"/>
    </row>
    <row r="155">
      <c r="B155" s="11" t="n"/>
      <c r="C155" s="4" t="n"/>
      <c r="D155" s="12" t="n"/>
      <c r="E155" s="13" t="str">
        <f>IF($B155="","",IF($C155="Money in",-$D155,$D155))</f>
        <v/>
      </c>
      <c r="F155" s="4" t="n"/>
    </row>
    <row r="156">
      <c r="B156" s="11" t="n"/>
      <c r="C156" s="4" t="n"/>
      <c r="D156" s="12" t="n"/>
      <c r="E156" s="13" t="str">
        <f>IF($B156="","",IF($C156="Money in",-$D156,$D156))</f>
        <v/>
      </c>
      <c r="F156" s="4" t="n"/>
    </row>
    <row r="157">
      <c r="B157" s="11" t="n"/>
      <c r="C157" s="4" t="n"/>
      <c r="D157" s="12" t="n"/>
      <c r="E157" s="13" t="str">
        <f>IF($B157="","",IF($C157="Money in",-$D157,$D157))</f>
        <v/>
      </c>
      <c r="F157" s="4" t="n"/>
    </row>
    <row r="158">
      <c r="B158" s="11" t="n"/>
      <c r="C158" s="4" t="n"/>
      <c r="D158" s="12" t="n"/>
      <c r="E158" s="13" t="str">
        <f>IF($B158="","",IF($C158="Money in",-$D158,$D158))</f>
        <v/>
      </c>
      <c r="F158" s="4" t="n"/>
    </row>
    <row r="159">
      <c r="B159" s="11" t="n"/>
      <c r="C159" s="4" t="n"/>
      <c r="D159" s="12" t="n"/>
      <c r="E159" s="13" t="str">
        <f>IF($B159="","",IF($C159="Money in",-$D159,$D159))</f>
        <v/>
      </c>
      <c r="F159" s="4" t="n"/>
    </row>
    <row r="160">
      <c r="B160" s="11" t="n"/>
      <c r="C160" s="4" t="n"/>
      <c r="D160" s="12" t="n"/>
      <c r="E160" s="13" t="str">
        <f>IF($B160="","",IF($C160="Money in",-$D160,$D160))</f>
        <v/>
      </c>
      <c r="F160" s="4" t="n"/>
    </row>
    <row r="161">
      <c r="B161" s="11" t="n"/>
      <c r="C161" s="4" t="n"/>
      <c r="D161" s="12" t="n"/>
      <c r="E161" s="13" t="str">
        <f>IF($B161="","",IF($C161="Money in",-$D161,$D161))</f>
        <v/>
      </c>
      <c r="F161" s="4" t="n"/>
    </row>
    <row r="162">
      <c r="B162" s="11" t="n"/>
      <c r="C162" s="4" t="n"/>
      <c r="D162" s="12" t="n"/>
      <c r="E162" s="13" t="str">
        <f>IF($B162="","",IF($C162="Money in",-$D162,$D162))</f>
        <v/>
      </c>
      <c r="F162" s="4" t="n"/>
    </row>
    <row r="163">
      <c r="B163" s="11" t="n"/>
      <c r="C163" s="4" t="n"/>
      <c r="D163" s="12" t="n"/>
      <c r="E163" s="13" t="str">
        <f>IF($B163="","",IF($C163="Money in",-$D163,$D163))</f>
        <v/>
      </c>
      <c r="F163" s="4" t="n"/>
    </row>
    <row r="164">
      <c r="B164" s="11" t="n"/>
      <c r="C164" s="4" t="n"/>
      <c r="D164" s="12" t="n"/>
      <c r="E164" s="13" t="str">
        <f>IF($B164="","",IF($C164="Money in",-$D164,$D164))</f>
        <v/>
      </c>
      <c r="F164" s="4" t="n"/>
    </row>
    <row r="165">
      <c r="B165" s="11" t="n"/>
      <c r="C165" s="4" t="n"/>
      <c r="D165" s="12" t="n"/>
      <c r="E165" s="13" t="str">
        <f>IF($B165="","",IF($C165="Money in",-$D165,$D165))</f>
        <v/>
      </c>
      <c r="F165" s="4" t="n"/>
    </row>
    <row r="166">
      <c r="B166" s="11" t="n"/>
      <c r="C166" s="4" t="n"/>
      <c r="D166" s="12" t="n"/>
      <c r="E166" s="13" t="str">
        <f>IF($B166="","",IF($C166="Money in",-$D166,$D166))</f>
        <v/>
      </c>
      <c r="F166" s="4" t="n"/>
    </row>
    <row r="167">
      <c r="B167" s="11" t="n"/>
      <c r="C167" s="4" t="n"/>
      <c r="D167" s="12" t="n"/>
      <c r="E167" s="13" t="str">
        <f>IF($B167="","",IF($C167="Money in",-$D167,$D167))</f>
        <v/>
      </c>
      <c r="F167" s="4" t="n"/>
    </row>
    <row r="168">
      <c r="B168" s="11" t="n"/>
      <c r="C168" s="4" t="n"/>
      <c r="D168" s="12" t="n"/>
      <c r="E168" s="13" t="str">
        <f>IF($B168="","",IF($C168="Money in",-$D168,$D168))</f>
        <v/>
      </c>
      <c r="F168" s="4" t="n"/>
    </row>
    <row r="169">
      <c r="B169" s="11" t="n"/>
      <c r="C169" s="4" t="n"/>
      <c r="D169" s="12" t="n"/>
      <c r="E169" s="13" t="str">
        <f>IF($B169="","",IF($C169="Money in",-$D169,$D169))</f>
        <v/>
      </c>
      <c r="F169" s="4" t="n"/>
    </row>
    <row r="170">
      <c r="B170" s="11" t="n"/>
      <c r="C170" s="4" t="n"/>
      <c r="D170" s="12" t="n"/>
      <c r="E170" s="13" t="str">
        <f>IF($B170="","",IF($C170="Money in",-$D170,$D170))</f>
        <v/>
      </c>
      <c r="F170" s="4" t="n"/>
    </row>
    <row r="171">
      <c r="B171" s="11" t="n"/>
      <c r="C171" s="4" t="n"/>
      <c r="D171" s="12" t="n"/>
      <c r="E171" s="13" t="str">
        <f>IF($B171="","",IF($C171="Money in",-$D171,$D171))</f>
        <v/>
      </c>
      <c r="F171" s="4" t="n"/>
    </row>
    <row r="172">
      <c r="B172" s="11" t="n"/>
      <c r="C172" s="4" t="n"/>
      <c r="D172" s="12" t="n"/>
      <c r="E172" s="13" t="str">
        <f>IF($B172="","",IF($C172="Money in",-$D172,$D172))</f>
        <v/>
      </c>
      <c r="F172" s="4" t="n"/>
    </row>
    <row r="173">
      <c r="B173" s="11" t="n"/>
      <c r="C173" s="4" t="n"/>
      <c r="D173" s="12" t="n"/>
      <c r="E173" s="13" t="str">
        <f>IF($B173="","",IF($C173="Money in",-$D173,$D173))</f>
        <v/>
      </c>
      <c r="F173" s="4" t="n"/>
    </row>
    <row r="174">
      <c r="B174" s="11" t="n"/>
      <c r="C174" s="4" t="n"/>
      <c r="D174" s="12" t="n"/>
      <c r="E174" s="13" t="str">
        <f>IF($B174="","",IF($C174="Money in",-$D174,$D174))</f>
        <v/>
      </c>
      <c r="F174" s="4" t="n"/>
    </row>
    <row r="175">
      <c r="B175" s="11" t="n"/>
      <c r="C175" s="4" t="n"/>
      <c r="D175" s="12" t="n"/>
      <c r="E175" s="13" t="str">
        <f>IF($B175="","",IF($C175="Money in",-$D175,$D175))</f>
        <v/>
      </c>
      <c r="F175" s="4" t="n"/>
    </row>
    <row r="176">
      <c r="B176" s="11" t="n"/>
      <c r="C176" s="4" t="n"/>
      <c r="D176" s="12" t="n"/>
      <c r="E176" s="13" t="str">
        <f>IF($B176="","",IF($C176="Money in",-$D176,$D176))</f>
        <v/>
      </c>
      <c r="F176" s="4" t="n"/>
    </row>
    <row r="177">
      <c r="B177" s="11" t="n"/>
      <c r="C177" s="4" t="n"/>
      <c r="D177" s="12" t="n"/>
      <c r="E177" s="13" t="str">
        <f>IF($B177="","",IF($C177="Money in",-$D177,$D177))</f>
        <v/>
      </c>
      <c r="F177" s="4" t="n"/>
    </row>
    <row r="178">
      <c r="B178" s="11" t="n"/>
      <c r="C178" s="4" t="n"/>
      <c r="D178" s="12" t="n"/>
      <c r="E178" s="13" t="str">
        <f>IF($B178="","",IF($C178="Money in",-$D178,$D178))</f>
        <v/>
      </c>
      <c r="F178" s="4" t="n"/>
    </row>
    <row r="179">
      <c r="B179" s="11" t="n"/>
      <c r="C179" s="4" t="n"/>
      <c r="D179" s="12" t="n"/>
      <c r="E179" s="13" t="str">
        <f>IF($B179="","",IF($C179="Money in",-$D179,$D179))</f>
        <v/>
      </c>
      <c r="F179" s="4" t="n"/>
    </row>
    <row r="180">
      <c r="B180" s="11" t="n"/>
      <c r="C180" s="4" t="n"/>
      <c r="D180" s="12" t="n"/>
      <c r="E180" s="13" t="str">
        <f>IF($B180="","",IF($C180="Money in",-$D180,$D180))</f>
        <v/>
      </c>
      <c r="F180" s="4" t="n"/>
    </row>
    <row r="181">
      <c r="B181" s="11" t="n"/>
      <c r="C181" s="4" t="n"/>
      <c r="D181" s="12" t="n"/>
      <c r="E181" s="13" t="str">
        <f>IF($B181="","",IF($C181="Money in",-$D181,$D181))</f>
        <v/>
      </c>
      <c r="F181" s="4" t="n"/>
    </row>
    <row r="182">
      <c r="B182" s="11" t="n"/>
      <c r="C182" s="4" t="n"/>
      <c r="D182" s="12" t="n"/>
      <c r="E182" s="13" t="str">
        <f>IF($B182="","",IF($C182="Money in",-$D182,$D182))</f>
        <v/>
      </c>
      <c r="F182" s="4" t="n"/>
    </row>
    <row r="183">
      <c r="B183" s="11" t="n"/>
      <c r="C183" s="4" t="n"/>
      <c r="D183" s="12" t="n"/>
      <c r="E183" s="13" t="str">
        <f>IF($B183="","",IF($C183="Money in",-$D183,$D183))</f>
        <v/>
      </c>
      <c r="F183" s="4" t="n"/>
    </row>
    <row r="184">
      <c r="B184" s="11" t="n"/>
      <c r="C184" s="4" t="n"/>
      <c r="D184" s="12" t="n"/>
      <c r="E184" s="13" t="str">
        <f>IF($B184="","",IF($C184="Money in",-$D184,$D184))</f>
        <v/>
      </c>
      <c r="F184" s="4" t="n"/>
    </row>
    <row r="185">
      <c r="B185" s="11" t="n"/>
      <c r="C185" s="4" t="n"/>
      <c r="D185" s="12" t="n"/>
      <c r="E185" s="13" t="str">
        <f>IF($B185="","",IF($C185="Money in",-$D185,$D185))</f>
        <v/>
      </c>
      <c r="F185" s="4" t="n"/>
    </row>
    <row r="186">
      <c r="B186" s="11" t="n"/>
      <c r="C186" s="4" t="n"/>
      <c r="D186" s="12" t="n"/>
      <c r="E186" s="13" t="str">
        <f>IF($B186="","",IF($C186="Money in",-$D186,$D186))</f>
        <v/>
      </c>
      <c r="F186" s="4" t="n"/>
    </row>
    <row r="187">
      <c r="B187" s="11" t="n"/>
      <c r="C187" s="4" t="n"/>
      <c r="D187" s="12" t="n"/>
      <c r="E187" s="13" t="str">
        <f>IF($B187="","",IF($C187="Money in",-$D187,$D187))</f>
        <v/>
      </c>
      <c r="F187" s="4" t="n"/>
    </row>
    <row r="188">
      <c r="B188" s="11" t="n"/>
      <c r="C188" s="4" t="n"/>
      <c r="D188" s="12" t="n"/>
      <c r="E188" s="13" t="str">
        <f>IF($B188="","",IF($C188="Money in",-$D188,$D188))</f>
        <v/>
      </c>
      <c r="F188" s="4" t="n"/>
    </row>
    <row r="189">
      <c r="B189" s="11" t="n"/>
      <c r="C189" s="4" t="n"/>
      <c r="D189" s="12" t="n"/>
      <c r="E189" s="13" t="str">
        <f>IF($B189="","",IF($C189="Money in",-$D189,$D189))</f>
        <v/>
      </c>
      <c r="F189" s="4" t="n"/>
    </row>
    <row r="190">
      <c r="B190" s="11" t="n"/>
      <c r="C190" s="4" t="n"/>
      <c r="D190" s="12" t="n"/>
      <c r="E190" s="13" t="str">
        <f>IF($B190="","",IF($C190="Money in",-$D190,$D190))</f>
        <v/>
      </c>
      <c r="F190" s="4" t="n"/>
    </row>
    <row r="191">
      <c r="B191" s="11" t="n"/>
      <c r="C191" s="4" t="n"/>
      <c r="D191" s="12" t="n"/>
      <c r="E191" s="13" t="str">
        <f>IF($B191="","",IF($C191="Money in",-$D191,$D191))</f>
        <v/>
      </c>
      <c r="F191" s="4" t="n"/>
    </row>
    <row r="192">
      <c r="B192" s="11" t="n"/>
      <c r="C192" s="4" t="n"/>
      <c r="D192" s="12" t="n"/>
      <c r="E192" s="13" t="str">
        <f>IF($B192="","",IF($C192="Money in",-$D192,$D192))</f>
        <v/>
      </c>
      <c r="F192" s="4" t="n"/>
    </row>
    <row r="193">
      <c r="B193" s="11" t="n"/>
      <c r="C193" s="4" t="n"/>
      <c r="D193" s="12" t="n"/>
      <c r="E193" s="13" t="str">
        <f>IF($B193="","",IF($C193="Money in",-$D193,$D193))</f>
        <v/>
      </c>
      <c r="F193" s="4" t="n"/>
    </row>
    <row r="194">
      <c r="B194" s="11" t="n"/>
      <c r="C194" s="4" t="n"/>
      <c r="D194" s="12" t="n"/>
      <c r="E194" s="13" t="str">
        <f>IF($B194="","",IF($C194="Money in",-$D194,$D194))</f>
        <v/>
      </c>
      <c r="F194" s="4" t="n"/>
    </row>
    <row r="195">
      <c r="B195" s="11" t="n"/>
      <c r="C195" s="4" t="n"/>
      <c r="D195" s="12" t="n"/>
      <c r="E195" s="13" t="str">
        <f>IF($B195="","",IF($C195="Money in",-$D195,$D195))</f>
        <v/>
      </c>
      <c r="F195" s="4" t="n"/>
    </row>
    <row r="196">
      <c r="B196" s="11" t="n"/>
      <c r="C196" s="4" t="n"/>
      <c r="D196" s="12" t="n"/>
      <c r="E196" s="13" t="str">
        <f>IF($B196="","",IF($C196="Money in",-$D196,$D196))</f>
        <v/>
      </c>
      <c r="F196" s="4" t="n"/>
    </row>
    <row r="197">
      <c r="B197" s="11" t="n"/>
      <c r="C197" s="4" t="n"/>
      <c r="D197" s="12" t="n"/>
      <c r="E197" s="13" t="str">
        <f>IF($B197="","",IF($C197="Money in",-$D197,$D197))</f>
        <v/>
      </c>
      <c r="F197" s="4" t="n"/>
    </row>
    <row r="198">
      <c r="B198" s="11" t="n"/>
      <c r="C198" s="4" t="n"/>
      <c r="D198" s="12" t="n"/>
      <c r="E198" s="13" t="str">
        <f>IF($B198="","",IF($C198="Money in",-$D198,$D198))</f>
        <v/>
      </c>
      <c r="F198" s="4" t="n"/>
    </row>
    <row r="199">
      <c r="B199" s="11" t="n"/>
      <c r="C199" s="4" t="n"/>
      <c r="D199" s="12" t="n"/>
      <c r="E199" s="13" t="str">
        <f>IF($B199="","",IF($C199="Money in",-$D199,$D199))</f>
        <v/>
      </c>
      <c r="F199" s="4" t="n"/>
    </row>
    <row r="200">
      <c r="B200" s="11" t="n"/>
      <c r="C200" s="4" t="n"/>
      <c r="D200" s="12" t="n"/>
      <c r="E200" s="13" t="str">
        <f>IF($B200="","",IF($C200="Money in",-$D200,$D200))</f>
        <v/>
      </c>
      <c r="F200" s="4" t="n"/>
    </row>
    <row r="201">
      <c r="B201" s="11" t="n"/>
      <c r="C201" s="4" t="n"/>
      <c r="D201" s="12" t="n"/>
      <c r="E201" s="13" t="str">
        <f>IF($B201="","",IF($C201="Money in",-$D201,$D201))</f>
        <v/>
      </c>
      <c r="F201" s="4" t="n"/>
    </row>
    <row r="202">
      <c r="B202" s="11" t="n"/>
      <c r="C202" s="4" t="n"/>
      <c r="D202" s="12" t="n"/>
      <c r="E202" s="13" t="str">
        <f>IF($B202="","",IF($C202="Money in",-$D202,$D202))</f>
        <v/>
      </c>
      <c r="F202" s="4" t="n"/>
    </row>
    <row r="203">
      <c r="B203" s="11" t="n"/>
      <c r="C203" s="4" t="n"/>
      <c r="D203" s="12" t="n"/>
      <c r="E203" s="13" t="str">
        <f>IF($B203="","",IF($C203="Money in",-$D203,$D203))</f>
        <v/>
      </c>
      <c r="F203" s="4" t="n"/>
    </row>
    <row r="204">
      <c r="B204" s="11" t="n"/>
      <c r="C204" s="4" t="n"/>
      <c r="D204" s="12" t="n"/>
      <c r="E204" s="13" t="str">
        <f>IF($B204="","",IF($C204="Money in",-$D204,$D204))</f>
        <v/>
      </c>
      <c r="F204" s="4" t="n"/>
    </row>
    <row r="205">
      <c r="B205" s="11" t="n"/>
      <c r="C205" s="4" t="n"/>
      <c r="D205" s="12" t="n"/>
      <c r="E205" s="13" t="str">
        <f>IF($B205="","",IF($C205="Money in",-$D205,$D205))</f>
        <v/>
      </c>
      <c r="F205" s="4" t="n"/>
    </row>
    <row r="206">
      <c r="B206" s="11" t="n"/>
      <c r="C206" s="4" t="n"/>
      <c r="D206" s="12" t="n"/>
      <c r="E206" s="13" t="str">
        <f>IF($B206="","",IF($C206="Money in",-$D206,$D206))</f>
        <v/>
      </c>
      <c r="F206" s="4" t="n"/>
    </row>
    <row r="207">
      <c r="B207" s="11" t="n"/>
      <c r="C207" s="4" t="n"/>
      <c r="D207" s="12" t="n"/>
      <c r="E207" s="13" t="str">
        <f>IF($B207="","",IF($C207="Money in",-$D207,$D207))</f>
        <v/>
      </c>
      <c r="F207" s="4" t="n"/>
    </row>
    <row r="208">
      <c r="B208" s="11" t="n"/>
      <c r="C208" s="4" t="n"/>
      <c r="D208" s="12" t="n"/>
      <c r="E208" s="13" t="str">
        <f>IF($B208="","",IF($C208="Money in",-$D208,$D208))</f>
        <v/>
      </c>
      <c r="F208" s="4" t="n"/>
    </row>
    <row r="209">
      <c r="B209" s="11" t="n"/>
      <c r="C209" s="4" t="n"/>
      <c r="D209" s="12" t="n"/>
      <c r="E209" s="13" t="str">
        <f>IF($B209="","",IF($C209="Money in",-$D209,$D209))</f>
        <v/>
      </c>
      <c r="F209" s="4" t="n"/>
    </row>
    <row r="210">
      <c r="B210" s="11" t="n"/>
      <c r="C210" s="4" t="n"/>
      <c r="D210" s="12" t="n"/>
      <c r="E210" s="13" t="str">
        <f>IF($B210="","",IF($C210="Money in",-$D210,$D210))</f>
        <v/>
      </c>
      <c r="F210" s="4" t="n"/>
    </row>
    <row r="211">
      <c r="B211" s="11" t="n"/>
      <c r="C211" s="4" t="n"/>
      <c r="D211" s="12" t="n"/>
      <c r="E211" s="13" t="str">
        <f>IF($B211="","",IF($C211="Money in",-$D211,$D211))</f>
        <v/>
      </c>
      <c r="F211" s="4" t="n"/>
    </row>
    <row r="212">
      <c r="B212" s="11" t="n"/>
      <c r="C212" s="4" t="n"/>
      <c r="D212" s="12" t="n"/>
      <c r="E212" s="13" t="str">
        <f>IF($B212="","",IF($C212="Money in",-$D212,$D212))</f>
        <v/>
      </c>
      <c r="F212" s="4" t="n"/>
    </row>
    <row r="213">
      <c r="B213" s="11" t="n"/>
      <c r="C213" s="4" t="n"/>
      <c r="D213" s="12" t="n"/>
      <c r="E213" s="13" t="str">
        <f>IF($B213="","",IF($C213="Money in",-$D213,$D213))</f>
        <v/>
      </c>
      <c r="F213" s="4" t="n"/>
    </row>
    <row r="214">
      <c r="B214" s="11" t="n"/>
      <c r="C214" s="4" t="n"/>
      <c r="D214" s="12" t="n"/>
      <c r="E214" s="13" t="str">
        <f>IF($B214="","",IF($C214="Money in",-$D214,$D214))</f>
        <v/>
      </c>
      <c r="F214" s="4" t="n"/>
    </row>
    <row r="215">
      <c r="B215" s="11" t="n"/>
      <c r="C215" s="4" t="n"/>
      <c r="D215" s="12" t="n"/>
      <c r="E215" s="13" t="str">
        <f>IF($B215="","",IF($C215="Money in",-$D215,$D215))</f>
        <v/>
      </c>
      <c r="F215" s="4" t="n"/>
    </row>
    <row r="216">
      <c r="B216" s="11" t="n"/>
      <c r="C216" s="4" t="n"/>
      <c r="D216" s="12" t="n"/>
      <c r="E216" s="13" t="str">
        <f>IF($B216="","",IF($C216="Money in",-$D216,$D216))</f>
        <v/>
      </c>
      <c r="F216" s="4" t="n"/>
    </row>
    <row r="217">
      <c r="B217" s="11" t="n"/>
      <c r="C217" s="4" t="n"/>
      <c r="D217" s="12" t="n"/>
      <c r="E217" s="13" t="str">
        <f>IF($B217="","",IF($C217="Money in",-$D217,$D217))</f>
        <v/>
      </c>
      <c r="F217" s="4" t="n"/>
    </row>
    <row r="218">
      <c r="B218" s="11" t="n"/>
      <c r="C218" s="4" t="n"/>
      <c r="D218" s="12" t="n"/>
      <c r="E218" s="13" t="str">
        <f>IF($B218="","",IF($C218="Money in",-$D218,$D218))</f>
        <v/>
      </c>
      <c r="F218" s="4" t="n"/>
    </row>
    <row r="219">
      <c r="B219" s="11" t="n"/>
      <c r="C219" s="4" t="n"/>
      <c r="D219" s="12" t="n"/>
      <c r="E219" s="13" t="str">
        <f>IF($B219="","",IF($C219="Money in",-$D219,$D219))</f>
        <v/>
      </c>
      <c r="F219" s="4" t="n"/>
    </row>
    <row r="220">
      <c r="B220" s="11" t="n"/>
      <c r="C220" s="4" t="n"/>
      <c r="D220" s="12" t="n"/>
      <c r="E220" s="13" t="str">
        <f>IF($B220="","",IF($C220="Money in",-$D220,$D220))</f>
        <v/>
      </c>
      <c r="F220" s="4" t="n"/>
    </row>
    <row r="221">
      <c r="B221" s="11" t="n"/>
      <c r="C221" s="4" t="n"/>
      <c r="D221" s="12" t="n"/>
      <c r="E221" s="13" t="str">
        <f>IF($B221="","",IF($C221="Money in",-$D221,$D221))</f>
        <v/>
      </c>
      <c r="F221" s="4" t="n"/>
    </row>
    <row r="222">
      <c r="B222" s="11" t="n"/>
      <c r="C222" s="4" t="n"/>
      <c r="D222" s="12" t="n"/>
      <c r="E222" s="13" t="str">
        <f>IF($B222="","",IF($C222="Money in",-$D222,$D222))</f>
        <v/>
      </c>
      <c r="F222" s="4" t="n"/>
    </row>
    <row r="223">
      <c r="B223" s="11" t="n"/>
      <c r="C223" s="4" t="n"/>
      <c r="D223" s="12" t="n"/>
      <c r="E223" s="13" t="str">
        <f>IF($B223="","",IF($C223="Money in",-$D223,$D223))</f>
        <v/>
      </c>
      <c r="F223" s="4" t="n"/>
    </row>
    <row r="224">
      <c r="B224" s="11" t="n"/>
      <c r="C224" s="4" t="n"/>
      <c r="D224" s="12" t="n"/>
      <c r="E224" s="13" t="str">
        <f>IF($B224="","",IF($C224="Money in",-$D224,$D224))</f>
        <v/>
      </c>
      <c r="F224" s="4" t="n"/>
    </row>
    <row r="225">
      <c r="B225" s="11" t="n"/>
      <c r="C225" s="4" t="n"/>
      <c r="D225" s="12" t="n"/>
      <c r="E225" s="13" t="str">
        <f>IF($B225="","",IF($C225="Money in",-$D225,$D225))</f>
        <v/>
      </c>
      <c r="F225" s="4" t="n"/>
    </row>
    <row r="226">
      <c r="B226" s="11" t="n"/>
      <c r="C226" s="4" t="n"/>
      <c r="D226" s="12" t="n"/>
      <c r="E226" s="13" t="str">
        <f>IF($B226="","",IF($C226="Money in",-$D226,$D226))</f>
        <v/>
      </c>
      <c r="F226" s="4" t="n"/>
    </row>
    <row r="227">
      <c r="B227" s="11" t="n"/>
      <c r="C227" s="4" t="n"/>
      <c r="D227" s="12" t="n"/>
      <c r="E227" s="13" t="str">
        <f>IF($B227="","",IF($C227="Money in",-$D227,$D227))</f>
        <v/>
      </c>
      <c r="F227" s="4" t="n"/>
    </row>
    <row r="228">
      <c r="B228" s="11" t="n"/>
      <c r="C228" s="4" t="n"/>
      <c r="D228" s="12" t="n"/>
      <c r="E228" s="13" t="str">
        <f>IF($B228="","",IF($C228="Money in",-$D228,$D228))</f>
        <v/>
      </c>
      <c r="F228" s="4" t="n"/>
    </row>
    <row r="229">
      <c r="B229" s="11" t="n"/>
      <c r="C229" s="4" t="n"/>
      <c r="D229" s="12" t="n"/>
      <c r="E229" s="13" t="str">
        <f>IF($B229="","",IF($C229="Money in",-$D229,$D229))</f>
        <v/>
      </c>
      <c r="F229" s="4" t="n"/>
    </row>
    <row r="230">
      <c r="B230" s="11" t="n"/>
      <c r="C230" s="4" t="n"/>
      <c r="D230" s="12" t="n"/>
      <c r="E230" s="13" t="str">
        <f>IF($B230="","",IF($C230="Money in",-$D230,$D230))</f>
        <v/>
      </c>
      <c r="F230" s="4" t="n"/>
    </row>
    <row r="231">
      <c r="B231" s="11" t="n"/>
      <c r="C231" s="4" t="n"/>
      <c r="D231" s="12" t="n"/>
      <c r="E231" s="13" t="str">
        <f>IF($B231="","",IF($C231="Money in",-$D231,$D231))</f>
        <v/>
      </c>
      <c r="F231" s="4" t="n"/>
    </row>
    <row r="232">
      <c r="B232" s="11" t="n"/>
      <c r="C232" s="4" t="n"/>
      <c r="D232" s="12" t="n"/>
      <c r="E232" s="13" t="str">
        <f>IF($B232="","",IF($C232="Money in",-$D232,$D232))</f>
        <v/>
      </c>
      <c r="F232" s="4" t="n"/>
    </row>
    <row r="233">
      <c r="B233" s="11" t="n"/>
      <c r="C233" s="4" t="n"/>
      <c r="D233" s="12" t="n"/>
      <c r="E233" s="13" t="str">
        <f>IF($B233="","",IF($C233="Money in",-$D233,$D233))</f>
        <v/>
      </c>
      <c r="F233" s="4" t="n"/>
    </row>
    <row r="234">
      <c r="B234" s="11" t="n"/>
      <c r="C234" s="4" t="n"/>
      <c r="D234" s="12" t="n"/>
      <c r="E234" s="13" t="str">
        <f>IF($B234="","",IF($C234="Money in",-$D234,$D234))</f>
        <v/>
      </c>
      <c r="F234" s="4" t="n"/>
    </row>
    <row r="235">
      <c r="B235" s="11" t="n"/>
      <c r="C235" s="4" t="n"/>
      <c r="D235" s="12" t="n"/>
      <c r="E235" s="13" t="str">
        <f>IF($B235="","",IF($C235="Money in",-$D235,$D235))</f>
        <v/>
      </c>
      <c r="F235" s="4" t="n"/>
    </row>
    <row r="236">
      <c r="B236" s="11" t="n"/>
      <c r="C236" s="4" t="n"/>
      <c r="D236" s="12" t="n"/>
      <c r="E236" s="13" t="str">
        <f>IF($B236="","",IF($C236="Money in",-$D236,$D236))</f>
        <v/>
      </c>
      <c r="F236" s="4" t="n"/>
    </row>
    <row r="237">
      <c r="B237" s="11" t="n"/>
      <c r="C237" s="4" t="n"/>
      <c r="D237" s="12" t="n"/>
      <c r="E237" s="13" t="str">
        <f>IF($B237="","",IF($C237="Money in",-$D237,$D237))</f>
        <v/>
      </c>
      <c r="F237" s="4" t="n"/>
    </row>
    <row r="238">
      <c r="B238" s="11" t="n"/>
      <c r="C238" s="4" t="n"/>
      <c r="D238" s="12" t="n"/>
      <c r="E238" s="13" t="str">
        <f>IF($B238="","",IF($C238="Money in",-$D238,$D238))</f>
        <v/>
      </c>
      <c r="F238" s="4" t="n"/>
    </row>
    <row r="239">
      <c r="B239" s="11" t="n"/>
      <c r="C239" s="4" t="n"/>
      <c r="D239" s="12" t="n"/>
      <c r="E239" s="13" t="str">
        <f>IF($B239="","",IF($C239="Money in",-$D239,$D239))</f>
        <v/>
      </c>
      <c r="F239" s="4" t="n"/>
    </row>
    <row r="240">
      <c r="B240" s="11" t="n"/>
      <c r="C240" s="4" t="n"/>
      <c r="D240" s="12" t="n"/>
      <c r="E240" s="13" t="str">
        <f>IF($B240="","",IF($C240="Money in",-$D240,$D240))</f>
        <v/>
      </c>
      <c r="F240" s="4" t="n"/>
    </row>
    <row r="241">
      <c r="B241" s="11" t="n"/>
      <c r="C241" s="4" t="n"/>
      <c r="D241" s="12" t="n"/>
      <c r="E241" s="13" t="str">
        <f>IF($B241="","",IF($C241="Money in",-$D241,$D241))</f>
        <v/>
      </c>
      <c r="F241" s="4" t="n"/>
    </row>
    <row r="242">
      <c r="B242" s="11" t="n"/>
      <c r="C242" s="4" t="n"/>
      <c r="D242" s="12" t="n"/>
      <c r="E242" s="13" t="str">
        <f>IF($B242="","",IF($C242="Money in",-$D242,$D242))</f>
        <v/>
      </c>
      <c r="F242" s="4" t="n"/>
    </row>
    <row r="243">
      <c r="B243" s="11" t="n"/>
      <c r="C243" s="4" t="n"/>
      <c r="D243" s="12" t="n"/>
      <c r="E243" s="13" t="str">
        <f>IF($B243="","",IF($C243="Money in",-$D243,$D243))</f>
        <v/>
      </c>
      <c r="F243" s="4" t="n"/>
    </row>
    <row r="244">
      <c r="B244" s="11" t="n"/>
      <c r="C244" s="4" t="n"/>
      <c r="D244" s="12" t="n"/>
      <c r="E244" s="13" t="str">
        <f>IF($B244="","",IF($C244="Money in",-$D244,$D244))</f>
        <v/>
      </c>
      <c r="F244" s="4" t="n"/>
    </row>
    <row r="245">
      <c r="B245" s="11" t="n"/>
      <c r="C245" s="4" t="n"/>
      <c r="D245" s="12" t="n"/>
      <c r="E245" s="13" t="str">
        <f>IF($B245="","",IF($C245="Money in",-$D245,$D245))</f>
        <v/>
      </c>
      <c r="F245" s="4" t="n"/>
    </row>
    <row r="246">
      <c r="B246" s="11" t="n"/>
      <c r="C246" s="4" t="n"/>
      <c r="D246" s="12" t="n"/>
      <c r="E246" s="13" t="str">
        <f>IF($B246="","",IF($C246="Money in",-$D246,$D246))</f>
        <v/>
      </c>
      <c r="F246" s="4" t="n"/>
    </row>
    <row r="247">
      <c r="B247" s="11" t="n"/>
      <c r="C247" s="4" t="n"/>
      <c r="D247" s="12" t="n"/>
      <c r="E247" s="13" t="str">
        <f>IF($B247="","",IF($C247="Money in",-$D247,$D247))</f>
        <v/>
      </c>
      <c r="F247" s="4" t="n"/>
    </row>
    <row r="248">
      <c r="B248" s="11" t="n"/>
      <c r="C248" s="4" t="n"/>
      <c r="D248" s="12" t="n"/>
      <c r="E248" s="13" t="str">
        <f>IF($B248="","",IF($C248="Money in",-$D248,$D248))</f>
        <v/>
      </c>
      <c r="F248" s="4" t="n"/>
    </row>
    <row r="249">
      <c r="B249" s="11" t="n"/>
      <c r="C249" s="4" t="n"/>
      <c r="D249" s="12" t="n"/>
      <c r="E249" s="13" t="str">
        <f>IF($B249="","",IF($C249="Money in",-$D249,$D249))</f>
        <v/>
      </c>
      <c r="F249" s="4" t="n"/>
    </row>
    <row r="250">
      <c r="B250" s="11" t="n"/>
      <c r="C250" s="4" t="n"/>
      <c r="D250" s="12" t="n"/>
      <c r="E250" s="13" t="str">
        <f>IF($B250="","",IF($C250="Money in",-$D250,$D250))</f>
        <v/>
      </c>
      <c r="F250" s="4" t="n"/>
    </row>
    <row r="251">
      <c r="B251" s="11" t="n"/>
      <c r="C251" s="4" t="n"/>
      <c r="D251" s="12" t="n"/>
      <c r="E251" s="13" t="str">
        <f>IF($B251="","",IF($C251="Money in",-$D251,$D251))</f>
        <v/>
      </c>
      <c r="F251" s="4" t="n"/>
    </row>
    <row r="252">
      <c r="B252" s="11" t="n"/>
      <c r="C252" s="4" t="n"/>
      <c r="D252" s="12" t="n"/>
      <c r="E252" s="13" t="str">
        <f>IF($B252="","",IF($C252="Money in",-$D252,$D252))</f>
        <v/>
      </c>
      <c r="F252" s="4" t="n"/>
    </row>
    <row r="253">
      <c r="B253" s="11" t="n"/>
      <c r="C253" s="4" t="n"/>
      <c r="D253" s="12" t="n"/>
      <c r="E253" s="13" t="str">
        <f>IF($B253="","",IF($C253="Money in",-$D253,$D253))</f>
        <v/>
      </c>
      <c r="F253" s="4" t="n"/>
    </row>
    <row r="254">
      <c r="B254" s="11" t="n"/>
      <c r="C254" s="4" t="n"/>
      <c r="D254" s="12" t="n"/>
      <c r="E254" s="13" t="str">
        <f>IF($B254="","",IF($C254="Money in",-$D254,$D254))</f>
        <v/>
      </c>
      <c r="F254" s="4" t="n"/>
    </row>
    <row r="255">
      <c r="B255" s="11" t="n"/>
      <c r="C255" s="4" t="n"/>
      <c r="D255" s="12" t="n"/>
      <c r="E255" s="13" t="str">
        <f>IF($B255="","",IF($C255="Money in",-$D255,$D255))</f>
        <v/>
      </c>
      <c r="F255" s="4" t="n"/>
    </row>
    <row r="256">
      <c r="B256" s="11" t="n"/>
      <c r="C256" s="4" t="n"/>
      <c r="D256" s="12" t="n"/>
      <c r="E256" s="13" t="str">
        <f>IF($B256="","",IF($C256="Money in",-$D256,$D256))</f>
        <v/>
      </c>
      <c r="F256" s="4" t="n"/>
    </row>
    <row r="257">
      <c r="B257" s="11" t="n"/>
      <c r="C257" s="4" t="n"/>
      <c r="D257" s="12" t="n"/>
      <c r="E257" s="13" t="str">
        <f>IF($B257="","",IF($C257="Money in",-$D257,$D257))</f>
        <v/>
      </c>
      <c r="F257" s="4" t="n"/>
    </row>
    <row r="258">
      <c r="B258" s="11" t="n"/>
      <c r="C258" s="4" t="n"/>
      <c r="D258" s="12" t="n"/>
      <c r="E258" s="13" t="str">
        <f>IF($B258="","",IF($C258="Money in",-$D258,$D258))</f>
        <v/>
      </c>
      <c r="F258" s="4" t="n"/>
    </row>
    <row r="259">
      <c r="B259" s="11" t="n"/>
      <c r="C259" s="4" t="n"/>
      <c r="D259" s="12" t="n"/>
      <c r="E259" s="13" t="str">
        <f>IF($B259="","",IF($C259="Money in",-$D259,$D259))</f>
        <v/>
      </c>
      <c r="F259" s="4" t="n"/>
    </row>
    <row r="260">
      <c r="B260" s="11" t="n"/>
      <c r="C260" s="4" t="n"/>
      <c r="D260" s="12" t="n"/>
      <c r="E260" s="13" t="str">
        <f>IF($B260="","",IF($C260="Money in",-$D260,$D260))</f>
        <v/>
      </c>
      <c r="F260" s="4" t="n"/>
    </row>
    <row r="261">
      <c r="B261" s="11" t="n"/>
      <c r="C261" s="4" t="n"/>
      <c r="D261" s="12" t="n"/>
      <c r="E261" s="13" t="str">
        <f>IF($B261="","",IF($C261="Money in",-$D261,$D261))</f>
        <v/>
      </c>
      <c r="F261" s="4" t="n"/>
    </row>
    <row r="262">
      <c r="B262" s="11" t="n"/>
      <c r="C262" s="4" t="n"/>
      <c r="D262" s="12" t="n"/>
      <c r="E262" s="13" t="str">
        <f>IF($B262="","",IF($C262="Money in",-$D262,$D262))</f>
        <v/>
      </c>
      <c r="F262" s="4" t="n"/>
    </row>
    <row r="263">
      <c r="B263" s="11" t="n"/>
      <c r="C263" s="4" t="n"/>
      <c r="D263" s="12" t="n"/>
      <c r="E263" s="13" t="str">
        <f>IF($B263="","",IF($C263="Money in",-$D263,$D263))</f>
        <v/>
      </c>
      <c r="F263" s="4" t="n"/>
    </row>
    <row r="264">
      <c r="B264" s="11" t="n"/>
      <c r="C264" s="4" t="n"/>
      <c r="D264" s="12" t="n"/>
      <c r="E264" s="13" t="str">
        <f>IF($B264="","",IF($C264="Money in",-$D264,$D264))</f>
        <v/>
      </c>
      <c r="F264" s="4" t="n"/>
    </row>
    <row r="265">
      <c r="B265" s="11" t="n"/>
      <c r="C265" s="4" t="n"/>
      <c r="D265" s="12" t="n"/>
      <c r="E265" s="13" t="str">
        <f>IF($B265="","",IF($C265="Money in",-$D265,$D265))</f>
        <v/>
      </c>
      <c r="F265" s="4" t="n"/>
    </row>
    <row r="266">
      <c r="B266" s="11" t="n"/>
      <c r="C266" s="4" t="n"/>
      <c r="D266" s="12" t="n"/>
      <c r="E266" s="13" t="str">
        <f>IF($B266="","",IF($C266="Money in",-$D266,$D266))</f>
        <v/>
      </c>
      <c r="F266" s="4" t="n"/>
    </row>
    <row r="267">
      <c r="B267" s="11" t="n"/>
      <c r="C267" s="4" t="n"/>
      <c r="D267" s="12" t="n"/>
      <c r="E267" s="13" t="str">
        <f>IF($B267="","",IF($C267="Money in",-$D267,$D267))</f>
        <v/>
      </c>
      <c r="F267" s="4" t="n"/>
    </row>
    <row r="268">
      <c r="B268" s="11" t="n"/>
      <c r="C268" s="4" t="n"/>
      <c r="D268" s="12" t="n"/>
      <c r="E268" s="13" t="str">
        <f>IF($B268="","",IF($C268="Money in",-$D268,$D268))</f>
        <v/>
      </c>
      <c r="F268" s="4" t="n"/>
    </row>
    <row r="269">
      <c r="B269" s="11" t="n"/>
      <c r="C269" s="4" t="n"/>
      <c r="D269" s="12" t="n"/>
      <c r="E269" s="13" t="str">
        <f>IF($B269="","",IF($C269="Money in",-$D269,$D269))</f>
        <v/>
      </c>
      <c r="F269" s="4" t="n"/>
    </row>
    <row r="270">
      <c r="B270" s="11" t="n"/>
      <c r="C270" s="4" t="n"/>
      <c r="D270" s="12" t="n"/>
      <c r="E270" s="13" t="str">
        <f>IF($B270="","",IF($C270="Money in",-$D270,$D270))</f>
        <v/>
      </c>
      <c r="F270" s="4" t="n"/>
    </row>
    <row r="271">
      <c r="B271" s="11" t="n"/>
      <c r="C271" s="4" t="n"/>
      <c r="D271" s="12" t="n"/>
      <c r="E271" s="13" t="str">
        <f>IF($B271="","",IF($C271="Money in",-$D271,$D271))</f>
        <v/>
      </c>
      <c r="F271" s="4" t="n"/>
    </row>
    <row r="272">
      <c r="B272" s="11" t="n"/>
      <c r="C272" s="4" t="n"/>
      <c r="D272" s="12" t="n"/>
      <c r="E272" s="13" t="str">
        <f>IF($B272="","",IF($C272="Money in",-$D272,$D272))</f>
        <v/>
      </c>
      <c r="F272" s="4" t="n"/>
    </row>
    <row r="273">
      <c r="B273" s="11" t="n"/>
      <c r="C273" s="4" t="n"/>
      <c r="D273" s="12" t="n"/>
      <c r="E273" s="13" t="str">
        <f>IF($B273="","",IF($C273="Money in",-$D273,$D273))</f>
        <v/>
      </c>
      <c r="F273" s="4" t="n"/>
    </row>
    <row r="274">
      <c r="B274" s="11" t="n"/>
      <c r="C274" s="4" t="n"/>
      <c r="D274" s="12" t="n"/>
      <c r="E274" s="13" t="str">
        <f>IF($B274="","",IF($C274="Money in",-$D274,$D274))</f>
        <v/>
      </c>
      <c r="F274" s="4" t="n"/>
    </row>
    <row r="275">
      <c r="B275" s="11" t="n"/>
      <c r="C275" s="4" t="n"/>
      <c r="D275" s="12" t="n"/>
      <c r="E275" s="13" t="str">
        <f>IF($B275="","",IF($C275="Money in",-$D275,$D275))</f>
        <v/>
      </c>
      <c r="F275" s="4" t="n"/>
    </row>
    <row r="276">
      <c r="B276" s="11" t="n"/>
      <c r="C276" s="4" t="n"/>
      <c r="D276" s="12" t="n"/>
      <c r="E276" s="13" t="str">
        <f>IF($B276="","",IF($C276="Money in",-$D276,$D276))</f>
        <v/>
      </c>
      <c r="F276" s="4" t="n"/>
    </row>
    <row r="277">
      <c r="B277" s="11" t="n"/>
      <c r="C277" s="4" t="n"/>
      <c r="D277" s="12" t="n"/>
      <c r="E277" s="13" t="str">
        <f>IF($B277="","",IF($C277="Money in",-$D277,$D277))</f>
        <v/>
      </c>
      <c r="F277" s="4" t="n"/>
    </row>
    <row r="278">
      <c r="B278" s="11" t="n"/>
      <c r="C278" s="4" t="n"/>
      <c r="D278" s="12" t="n"/>
      <c r="E278" s="13" t="str">
        <f>IF($B278="","",IF($C278="Money in",-$D278,$D278))</f>
        <v/>
      </c>
      <c r="F278" s="4" t="n"/>
    </row>
    <row r="279">
      <c r="B279" s="11" t="n"/>
      <c r="C279" s="4" t="n"/>
      <c r="D279" s="12" t="n"/>
      <c r="E279" s="13" t="str">
        <f>IF($B279="","",IF($C279="Money in",-$D279,$D279))</f>
        <v/>
      </c>
      <c r="F279" s="4" t="n"/>
    </row>
    <row r="280">
      <c r="B280" s="11" t="n"/>
      <c r="C280" s="4" t="n"/>
      <c r="D280" s="12" t="n"/>
      <c r="E280" s="13" t="str">
        <f>IF($B280="","",IF($C280="Money in",-$D280,$D280))</f>
        <v/>
      </c>
      <c r="F280" s="4" t="n"/>
    </row>
    <row r="281">
      <c r="B281" s="11" t="n"/>
      <c r="C281" s="4" t="n"/>
      <c r="D281" s="12" t="n"/>
      <c r="E281" s="13" t="str">
        <f>IF($B281="","",IF($C281="Money in",-$D281,$D281))</f>
        <v/>
      </c>
      <c r="F281" s="4" t="n"/>
    </row>
    <row r="282">
      <c r="B282" s="11" t="n"/>
      <c r="C282" s="4" t="n"/>
      <c r="D282" s="12" t="n"/>
      <c r="E282" s="13" t="str">
        <f>IF($B282="","",IF($C282="Money in",-$D282,$D282))</f>
        <v/>
      </c>
      <c r="F282" s="4" t="n"/>
    </row>
    <row r="283">
      <c r="B283" s="11" t="n"/>
      <c r="C283" s="4" t="n"/>
      <c r="D283" s="12" t="n"/>
      <c r="E283" s="13" t="str">
        <f>IF($B283="","",IF($C283="Money in",-$D283,$D283))</f>
        <v/>
      </c>
      <c r="F283" s="4" t="n"/>
    </row>
    <row r="284">
      <c r="B284" s="11" t="n"/>
      <c r="C284" s="4" t="n"/>
      <c r="D284" s="12" t="n"/>
      <c r="E284" s="13" t="str">
        <f>IF($B284="","",IF($C284="Money in",-$D284,$D284))</f>
        <v/>
      </c>
      <c r="F284" s="4" t="n"/>
    </row>
    <row r="285">
      <c r="B285" s="11" t="n"/>
      <c r="C285" s="4" t="n"/>
      <c r="D285" s="12" t="n"/>
      <c r="E285" s="13" t="str">
        <f>IF($B285="","",IF($C285="Money in",-$D285,$D285))</f>
        <v/>
      </c>
      <c r="F285" s="4" t="n"/>
    </row>
    <row r="286">
      <c r="B286" s="11" t="n"/>
      <c r="C286" s="4" t="n"/>
      <c r="D286" s="12" t="n"/>
      <c r="E286" s="13" t="str">
        <f>IF($B286="","",IF($C286="Money in",-$D286,$D286))</f>
        <v/>
      </c>
      <c r="F286" s="4" t="n"/>
    </row>
    <row r="287">
      <c r="B287" s="11" t="n"/>
      <c r="C287" s="4" t="n"/>
      <c r="D287" s="12" t="n"/>
      <c r="E287" s="13" t="str">
        <f>IF($B287="","",IF($C287="Money in",-$D287,$D287))</f>
        <v/>
      </c>
      <c r="F287" s="4" t="n"/>
    </row>
    <row r="288">
      <c r="B288" s="11" t="n"/>
      <c r="C288" s="4" t="n"/>
      <c r="D288" s="12" t="n"/>
      <c r="E288" s="13" t="str">
        <f>IF($B288="","",IF($C288="Money in",-$D288,$D288))</f>
        <v/>
      </c>
      <c r="F288" s="4" t="n"/>
    </row>
    <row r="289">
      <c r="B289" s="11" t="n"/>
      <c r="C289" s="4" t="n"/>
      <c r="D289" s="12" t="n"/>
      <c r="E289" s="13" t="str">
        <f>IF($B289="","",IF($C289="Money in",-$D289,$D289))</f>
        <v/>
      </c>
      <c r="F289" s="4" t="n"/>
    </row>
    <row r="290">
      <c r="B290" s="11" t="n"/>
      <c r="C290" s="4" t="n"/>
      <c r="D290" s="12" t="n"/>
      <c r="E290" s="13" t="str">
        <f>IF($B290="","",IF($C290="Money in",-$D290,$D290))</f>
        <v/>
      </c>
      <c r="F290" s="4" t="n"/>
    </row>
    <row r="291">
      <c r="B291" s="11" t="n"/>
      <c r="C291" s="4" t="n"/>
      <c r="D291" s="12" t="n"/>
      <c r="E291" s="13" t="str">
        <f>IF($B291="","",IF($C291="Money in",-$D291,$D291))</f>
        <v/>
      </c>
      <c r="F291" s="4" t="n"/>
    </row>
    <row r="292">
      <c r="B292" s="11" t="n"/>
      <c r="C292" s="4" t="n"/>
      <c r="D292" s="12" t="n"/>
      <c r="E292" s="13" t="str">
        <f>IF($B292="","",IF($C292="Money in",-$D292,$D292))</f>
        <v/>
      </c>
      <c r="F292" s="4" t="n"/>
    </row>
    <row r="293">
      <c r="B293" s="11" t="n"/>
      <c r="C293" s="4" t="n"/>
      <c r="D293" s="12" t="n"/>
      <c r="E293" s="13" t="str">
        <f>IF($B293="","",IF($C293="Money in",-$D293,$D293))</f>
        <v/>
      </c>
      <c r="F293" s="4" t="n"/>
    </row>
    <row r="294">
      <c r="B294" s="11" t="n"/>
      <c r="C294" s="4" t="n"/>
      <c r="D294" s="12" t="n"/>
      <c r="E294" s="13" t="str">
        <f>IF($B294="","",IF($C294="Money in",-$D294,$D294))</f>
        <v/>
      </c>
      <c r="F294" s="4" t="n"/>
    </row>
    <row r="295">
      <c r="B295" s="11" t="n"/>
      <c r="C295" s="4" t="n"/>
      <c r="D295" s="12" t="n"/>
      <c r="E295" s="13" t="str">
        <f>IF($B295="","",IF($C295="Money in",-$D295,$D295))</f>
        <v/>
      </c>
      <c r="F295" s="4" t="n"/>
    </row>
    <row r="296">
      <c r="B296" s="11" t="n"/>
      <c r="C296" s="4" t="n"/>
      <c r="D296" s="12" t="n"/>
      <c r="E296" s="13" t="str">
        <f>IF($B296="","",IF($C296="Money in",-$D296,$D296))</f>
        <v/>
      </c>
      <c r="F296" s="4" t="n"/>
    </row>
    <row r="297">
      <c r="B297" s="11" t="n"/>
      <c r="C297" s="4" t="n"/>
      <c r="D297" s="12" t="n"/>
      <c r="E297" s="13" t="str">
        <f>IF($B297="","",IF($C297="Money in",-$D297,$D297))</f>
        <v/>
      </c>
      <c r="F297" s="4" t="n"/>
    </row>
    <row r="298">
      <c r="B298" s="11" t="n"/>
      <c r="C298" s="4" t="n"/>
      <c r="D298" s="12" t="n"/>
      <c r="E298" s="13" t="str">
        <f>IF($B298="","",IF($C298="Money in",-$D298,$D298))</f>
        <v/>
      </c>
      <c r="F298" s="4" t="n"/>
    </row>
    <row r="299">
      <c r="B299" s="11" t="n"/>
      <c r="C299" s="4" t="n"/>
      <c r="D299" s="12" t="n"/>
      <c r="E299" s="13" t="str">
        <f>IF($B299="","",IF($C299="Money in",-$D299,$D299))</f>
        <v/>
      </c>
      <c r="F299" s="4" t="n"/>
    </row>
    <row r="300">
      <c r="B300" s="11" t="n"/>
      <c r="C300" s="4" t="n"/>
      <c r="D300" s="12" t="n"/>
      <c r="E300" s="13" t="str">
        <f>IF($B300="","",IF($C300="Money in",-$D300,$D300))</f>
        <v/>
      </c>
      <c r="F300" s="4" t="n"/>
    </row>
    <row r="301">
      <c r="B301" s="11" t="n"/>
      <c r="C301" s="4" t="n"/>
      <c r="D301" s="12" t="n"/>
      <c r="E301" s="13" t="str">
        <f>IF($B301="","",IF($C301="Money in",-$D301,$D301))</f>
        <v/>
      </c>
      <c r="F301" s="4" t="n"/>
    </row>
    <row r="302">
      <c r="B302" s="11" t="n"/>
      <c r="C302" s="4" t="n"/>
      <c r="D302" s="12" t="n"/>
      <c r="E302" s="13" t="str">
        <f>IF($B302="","",IF($C302="Money in",-$D302,$D302))</f>
        <v/>
      </c>
      <c r="F302" s="4" t="n"/>
    </row>
    <row r="303">
      <c r="B303" s="11" t="n"/>
      <c r="C303" s="4" t="n"/>
      <c r="D303" s="12" t="n"/>
      <c r="E303" s="13" t="str">
        <f>IF($B303="","",IF($C303="Money in",-$D303,$D303))</f>
        <v/>
      </c>
      <c r="F303" s="4" t="n"/>
    </row>
    <row r="304">
      <c r="B304" s="11" t="n"/>
      <c r="C304" s="4" t="n"/>
      <c r="D304" s="12" t="n"/>
      <c r="E304" s="13" t="str">
        <f>IF($B304="","",IF($C304="Money in",-$D304,$D304))</f>
        <v/>
      </c>
      <c r="F304" s="4" t="n"/>
    </row>
    <row r="305">
      <c r="B305" s="11" t="n"/>
      <c r="C305" s="4" t="n"/>
      <c r="D305" s="12" t="n"/>
      <c r="E305" s="13" t="str">
        <f>IF($B305="","",IF($C305="Money in",-$D305,$D305))</f>
        <v/>
      </c>
      <c r="F305" s="4" t="n"/>
    </row>
    <row r="306">
      <c r="B306" s="11" t="n"/>
      <c r="C306" s="4" t="n"/>
      <c r="D306" s="12" t="n"/>
      <c r="E306" s="13" t="str">
        <f>IF($B306="","",IF($C306="Money in",-$D306,$D306))</f>
        <v/>
      </c>
      <c r="F306" s="4" t="n"/>
    </row>
    <row r="307">
      <c r="B307" s="11" t="n"/>
      <c r="C307" s="4" t="n"/>
      <c r="D307" s="12" t="n"/>
      <c r="E307" s="13" t="str">
        <f>IF($B307="","",IF($C307="Money in",-$D307,$D307))</f>
        <v/>
      </c>
      <c r="F307" s="4" t="n"/>
    </row>
    <row r="308">
      <c r="B308" s="11" t="n"/>
      <c r="C308" s="4" t="n"/>
      <c r="D308" s="12" t="n"/>
      <c r="E308" s="13" t="str">
        <f>IF($B308="","",IF($C308="Money in",-$D308,$D308))</f>
        <v/>
      </c>
      <c r="F308" s="4" t="n"/>
    </row>
    <row r="309">
      <c r="B309" s="11" t="n"/>
      <c r="C309" s="4" t="n"/>
      <c r="D309" s="12" t="n"/>
      <c r="E309" s="13" t="str">
        <f>IF($B309="","",IF($C309="Money in",-$D309,$D309))</f>
        <v/>
      </c>
      <c r="F309" s="4" t="n"/>
    </row>
    <row r="310">
      <c r="B310" s="11" t="n"/>
      <c r="C310" s="4" t="n"/>
      <c r="D310" s="12" t="n"/>
      <c r="E310" s="13" t="str">
        <f>IF($B310="","",IF($C310="Money in",-$D310,$D310))</f>
        <v/>
      </c>
      <c r="F310" s="4" t="n"/>
    </row>
    <row r="311">
      <c r="B311" s="11" t="n"/>
      <c r="C311" s="4" t="n"/>
      <c r="D311" s="12" t="n"/>
      <c r="E311" s="13" t="str">
        <f>IF($B311="","",IF($C311="Money in",-$D311,$D311))</f>
        <v/>
      </c>
      <c r="F311" s="4" t="n"/>
    </row>
    <row r="312">
      <c r="B312" s="11" t="n"/>
      <c r="C312" s="4" t="n"/>
      <c r="D312" s="12" t="n"/>
      <c r="E312" s="13" t="str">
        <f>IF($B312="","",IF($C312="Money in",-$D312,$D312))</f>
        <v/>
      </c>
      <c r="F312" s="4" t="n"/>
    </row>
    <row r="313">
      <c r="B313" s="11" t="n"/>
      <c r="C313" s="4" t="n"/>
      <c r="D313" s="12" t="n"/>
      <c r="E313" s="13" t="str">
        <f>IF($B313="","",IF($C313="Money in",-$D313,$D313))</f>
        <v/>
      </c>
      <c r="F313" s="4" t="n"/>
    </row>
    <row r="314">
      <c r="B314" s="11" t="n"/>
      <c r="C314" s="4" t="n"/>
      <c r="D314" s="12" t="n"/>
      <c r="E314" s="13" t="str">
        <f>IF($B314="","",IF($C314="Money in",-$D314,$D314))</f>
        <v/>
      </c>
      <c r="F314" s="4" t="n"/>
    </row>
    <row r="315">
      <c r="B315" s="11" t="n"/>
      <c r="C315" s="4" t="n"/>
      <c r="D315" s="12" t="n"/>
      <c r="E315" s="13" t="str">
        <f>IF($B315="","",IF($C315="Money in",-$D315,$D315))</f>
        <v/>
      </c>
      <c r="F315" s="4" t="n"/>
    </row>
    <row r="316">
      <c r="B316" s="11" t="n"/>
      <c r="C316" s="4" t="n"/>
      <c r="D316" s="12" t="n"/>
      <c r="E316" s="13" t="str">
        <f>IF($B316="","",IF($C316="Money in",-$D316,$D316))</f>
        <v/>
      </c>
      <c r="F316" s="4" t="n"/>
    </row>
    <row r="317">
      <c r="B317" s="11" t="n"/>
      <c r="C317" s="4" t="n"/>
      <c r="D317" s="12" t="n"/>
      <c r="E317" s="13" t="str">
        <f>IF($B317="","",IF($C317="Money in",-$D317,$D317))</f>
        <v/>
      </c>
      <c r="F317" s="4" t="n"/>
    </row>
    <row r="318">
      <c r="B318" s="11" t="n"/>
      <c r="C318" s="4" t="n"/>
      <c r="D318" s="12" t="n"/>
      <c r="E318" s="13" t="str">
        <f>IF($B318="","",IF($C318="Money in",-$D318,$D318))</f>
        <v/>
      </c>
      <c r="F318" s="4" t="n"/>
    </row>
    <row r="319">
      <c r="B319" s="11" t="n"/>
      <c r="C319" s="4" t="n"/>
      <c r="D319" s="12" t="n"/>
      <c r="E319" s="13" t="str">
        <f>IF($B319="","",IF($C319="Money in",-$D319,$D319))</f>
        <v/>
      </c>
      <c r="F319" s="4" t="n"/>
    </row>
    <row r="320">
      <c r="B320" s="11" t="n"/>
      <c r="C320" s="4" t="n"/>
      <c r="D320" s="12" t="n"/>
      <c r="E320" s="13" t="str">
        <f>IF($B320="","",IF($C320="Money in",-$D320,$D320))</f>
        <v/>
      </c>
      <c r="F320" s="4" t="n"/>
    </row>
    <row r="321">
      <c r="B321" s="11" t="n"/>
      <c r="C321" s="4" t="n"/>
      <c r="D321" s="12" t="n"/>
      <c r="E321" s="13" t="str">
        <f>IF($B321="","",IF($C321="Money in",-$D321,$D321))</f>
        <v/>
      </c>
      <c r="F321" s="4" t="n"/>
    </row>
    <row r="322">
      <c r="B322" s="11" t="n"/>
      <c r="C322" s="4" t="n"/>
      <c r="D322" s="12" t="n"/>
      <c r="E322" s="13" t="str">
        <f>IF($B322="","",IF($C322="Money in",-$D322,$D322))</f>
        <v/>
      </c>
      <c r="F322" s="4" t="n"/>
    </row>
    <row r="323">
      <c r="B323" s="11" t="n"/>
      <c r="C323" s="4" t="n"/>
      <c r="D323" s="12" t="n"/>
      <c r="E323" s="13" t="str">
        <f>IF($B323="","",IF($C323="Money in",-$D323,$D323))</f>
        <v/>
      </c>
      <c r="F323" s="4" t="n"/>
    </row>
    <row r="324">
      <c r="B324" s="11" t="n"/>
      <c r="C324" s="4" t="n"/>
      <c r="D324" s="12" t="n"/>
      <c r="E324" s="13" t="str">
        <f>IF($B324="","",IF($C324="Money in",-$D324,$D324))</f>
        <v/>
      </c>
      <c r="F324" s="4" t="n"/>
    </row>
    <row r="325">
      <c r="B325" s="11" t="n"/>
      <c r="C325" s="4" t="n"/>
      <c r="D325" s="12" t="n"/>
      <c r="E325" s="13" t="str">
        <f>IF($B325="","",IF($C325="Money in",-$D325,$D325))</f>
        <v/>
      </c>
      <c r="F325" s="4" t="n"/>
    </row>
    <row r="326">
      <c r="B326" s="11" t="n"/>
      <c r="C326" s="4" t="n"/>
      <c r="D326" s="12" t="n"/>
      <c r="E326" s="13" t="str">
        <f>IF($B326="","",IF($C326="Money in",-$D326,$D326))</f>
        <v/>
      </c>
      <c r="F326" s="4" t="n"/>
    </row>
    <row r="327">
      <c r="B327" s="11" t="n"/>
      <c r="C327" s="4" t="n"/>
      <c r="D327" s="12" t="n"/>
      <c r="E327" s="13" t="str">
        <f>IF($B327="","",IF($C327="Money in",-$D327,$D327))</f>
        <v/>
      </c>
      <c r="F327" s="4" t="n"/>
    </row>
    <row r="328">
      <c r="B328" s="11" t="n"/>
      <c r="C328" s="4" t="n"/>
      <c r="D328" s="12" t="n"/>
      <c r="E328" s="13" t="str">
        <f>IF($B328="","",IF($C328="Money in",-$D328,$D328))</f>
        <v/>
      </c>
      <c r="F328" s="4" t="n"/>
    </row>
    <row r="329">
      <c r="B329" s="11" t="n"/>
      <c r="C329" s="4" t="n"/>
      <c r="D329" s="12" t="n"/>
      <c r="E329" s="13" t="str">
        <f>IF($B329="","",IF($C329="Money in",-$D329,$D329))</f>
        <v/>
      </c>
      <c r="F329" s="4" t="n"/>
    </row>
    <row r="330">
      <c r="B330" s="11" t="n"/>
      <c r="C330" s="4" t="n"/>
      <c r="D330" s="12" t="n"/>
      <c r="E330" s="13" t="str">
        <f>IF($B330="","",IF($C330="Money in",-$D330,$D330))</f>
        <v/>
      </c>
      <c r="F330" s="4" t="n"/>
    </row>
    <row r="331">
      <c r="B331" s="11" t="n"/>
      <c r="C331" s="4" t="n"/>
      <c r="D331" s="12" t="n"/>
      <c r="E331" s="13" t="str">
        <f>IF($B331="","",IF($C331="Money in",-$D331,$D331))</f>
        <v/>
      </c>
      <c r="F331" s="4" t="n"/>
    </row>
    <row r="332">
      <c r="B332" s="11" t="n"/>
      <c r="C332" s="4" t="n"/>
      <c r="D332" s="12" t="n"/>
      <c r="E332" s="13" t="str">
        <f>IF($B332="","",IF($C332="Money in",-$D332,$D332))</f>
        <v/>
      </c>
      <c r="F332" s="4" t="n"/>
    </row>
    <row r="333">
      <c r="B333" s="11" t="n"/>
      <c r="C333" s="4" t="n"/>
      <c r="D333" s="12" t="n"/>
      <c r="E333" s="13" t="str">
        <f>IF($B333="","",IF($C333="Money in",-$D333,$D333))</f>
        <v/>
      </c>
      <c r="F333" s="4" t="n"/>
    </row>
    <row r="334">
      <c r="B334" s="11" t="n"/>
      <c r="C334" s="4" t="n"/>
      <c r="D334" s="12" t="n"/>
      <c r="E334" s="13" t="str">
        <f>IF($B334="","",IF($C334="Money in",-$D334,$D334))</f>
        <v/>
      </c>
      <c r="F334" s="4" t="n"/>
    </row>
    <row r="335">
      <c r="B335" s="11" t="n"/>
      <c r="C335" s="4" t="n"/>
      <c r="D335" s="12" t="n"/>
      <c r="E335" s="13" t="str">
        <f>IF($B335="","",IF($C335="Money in",-$D335,$D335))</f>
        <v/>
      </c>
      <c r="F335" s="4" t="n"/>
    </row>
    <row r="336">
      <c r="B336" s="11" t="n"/>
      <c r="C336" s="4" t="n"/>
      <c r="D336" s="12" t="n"/>
      <c r="E336" s="13" t="str">
        <f>IF($B336="","",IF($C336="Money in",-$D336,$D336))</f>
        <v/>
      </c>
      <c r="F336" s="4" t="n"/>
    </row>
    <row r="337">
      <c r="B337" s="11" t="n"/>
      <c r="C337" s="4" t="n"/>
      <c r="D337" s="12" t="n"/>
      <c r="E337" s="13" t="str">
        <f>IF($B337="","",IF($C337="Money in",-$D337,$D337))</f>
        <v/>
      </c>
      <c r="F337" s="4" t="n"/>
    </row>
    <row r="338">
      <c r="B338" s="11" t="n"/>
      <c r="C338" s="4" t="n"/>
      <c r="D338" s="12" t="n"/>
      <c r="E338" s="13" t="str">
        <f>IF($B338="","",IF($C338="Money in",-$D338,$D338))</f>
        <v/>
      </c>
      <c r="F338" s="4" t="n"/>
    </row>
    <row r="339">
      <c r="B339" s="11" t="n"/>
      <c r="C339" s="4" t="n"/>
      <c r="D339" s="12" t="n"/>
      <c r="E339" s="13" t="str">
        <f>IF($B339="","",IF($C339="Money in",-$D339,$D339))</f>
        <v/>
      </c>
      <c r="F339" s="4" t="n"/>
    </row>
    <row r="340">
      <c r="B340" s="11" t="n"/>
      <c r="C340" s="4" t="n"/>
      <c r="D340" s="12" t="n"/>
      <c r="E340" s="13" t="str">
        <f>IF($B340="","",IF($C340="Money in",-$D340,$D340))</f>
        <v/>
      </c>
      <c r="F340" s="4" t="n"/>
    </row>
    <row r="341">
      <c r="B341" s="11" t="n"/>
      <c r="C341" s="4" t="n"/>
      <c r="D341" s="12" t="n"/>
      <c r="E341" s="13" t="str">
        <f>IF($B341="","",IF($C341="Money in",-$D341,$D341))</f>
        <v/>
      </c>
      <c r="F341" s="4" t="n"/>
    </row>
    <row r="342">
      <c r="B342" s="11" t="n"/>
      <c r="C342" s="4" t="n"/>
      <c r="D342" s="12" t="n"/>
      <c r="E342" s="13" t="str">
        <f>IF($B342="","",IF($C342="Money in",-$D342,$D342))</f>
        <v/>
      </c>
      <c r="F342" s="4" t="n"/>
    </row>
    <row r="343">
      <c r="B343" s="11" t="n"/>
      <c r="C343" s="4" t="n"/>
      <c r="D343" s="12" t="n"/>
      <c r="E343" s="13" t="str">
        <f>IF($B343="","",IF($C343="Money in",-$D343,$D343))</f>
        <v/>
      </c>
      <c r="F343" s="4" t="n"/>
    </row>
    <row r="344">
      <c r="B344" s="11" t="n"/>
      <c r="C344" s="4" t="n"/>
      <c r="D344" s="12" t="n"/>
      <c r="E344" s="13" t="str">
        <f>IF($B344="","",IF($C344="Money in",-$D344,$D344))</f>
        <v/>
      </c>
      <c r="F344" s="4" t="n"/>
    </row>
    <row r="345">
      <c r="B345" s="11" t="n"/>
      <c r="C345" s="4" t="n"/>
      <c r="D345" s="12" t="n"/>
      <c r="E345" s="13" t="str">
        <f>IF($B345="","",IF($C345="Money in",-$D345,$D345))</f>
        <v/>
      </c>
      <c r="F345" s="4" t="n"/>
    </row>
    <row r="346">
      <c r="B346" s="11" t="n"/>
      <c r="C346" s="4" t="n"/>
      <c r="D346" s="12" t="n"/>
      <c r="E346" s="13" t="str">
        <f>IF($B346="","",IF($C346="Money in",-$D346,$D346))</f>
        <v/>
      </c>
      <c r="F346" s="4" t="n"/>
    </row>
    <row r="347">
      <c r="B347" s="11" t="n"/>
      <c r="C347" s="4" t="n"/>
      <c r="D347" s="12" t="n"/>
      <c r="E347" s="13" t="str">
        <f>IF($B347="","",IF($C347="Money in",-$D347,$D347))</f>
        <v/>
      </c>
      <c r="F347" s="4" t="n"/>
    </row>
    <row r="348">
      <c r="B348" s="11" t="n"/>
      <c r="C348" s="4" t="n"/>
      <c r="D348" s="12" t="n"/>
      <c r="E348" s="13" t="str">
        <f>IF($B348="","",IF($C348="Money in",-$D348,$D348))</f>
        <v/>
      </c>
      <c r="F348" s="4" t="n"/>
    </row>
    <row r="349">
      <c r="B349" s="11" t="n"/>
      <c r="C349" s="4" t="n"/>
      <c r="D349" s="12" t="n"/>
      <c r="E349" s="13" t="str">
        <f>IF($B349="","",IF($C349="Money in",-$D349,$D349))</f>
        <v/>
      </c>
      <c r="F349" s="4" t="n"/>
    </row>
    <row r="350">
      <c r="B350" s="11" t="n"/>
      <c r="C350" s="4" t="n"/>
      <c r="D350" s="12" t="n"/>
      <c r="E350" s="13" t="str">
        <f>IF($B350="","",IF($C350="Money in",-$D350,$D350))</f>
        <v/>
      </c>
      <c r="F350" s="4" t="n"/>
    </row>
    <row r="351">
      <c r="B351" s="11" t="n"/>
      <c r="C351" s="4" t="n"/>
      <c r="D351" s="12" t="n"/>
      <c r="E351" s="13" t="str">
        <f>IF($B351="","",IF($C351="Money in",-$D351,$D351))</f>
        <v/>
      </c>
      <c r="F351" s="4" t="n"/>
    </row>
    <row r="352">
      <c r="B352" s="11" t="n"/>
      <c r="C352" s="4" t="n"/>
      <c r="D352" s="12" t="n"/>
      <c r="E352" s="13" t="str">
        <f>IF($B352="","",IF($C352="Money in",-$D352,$D352))</f>
        <v/>
      </c>
      <c r="F352" s="4" t="n"/>
    </row>
    <row r="353">
      <c r="B353" s="11" t="n"/>
      <c r="C353" s="4" t="n"/>
      <c r="D353" s="12" t="n"/>
      <c r="E353" s="13" t="str">
        <f>IF($B353="","",IF($C353="Money in",-$D353,$D353))</f>
        <v/>
      </c>
      <c r="F353" s="4" t="n"/>
    </row>
    <row r="354">
      <c r="B354" s="11" t="n"/>
      <c r="C354" s="4" t="n"/>
      <c r="D354" s="12" t="n"/>
      <c r="E354" s="13" t="str">
        <f>IF($B354="","",IF($C354="Money in",-$D354,$D354))</f>
        <v/>
      </c>
      <c r="F354" s="4" t="n"/>
    </row>
    <row r="355">
      <c r="B355" s="11" t="n"/>
      <c r="C355" s="4" t="n"/>
      <c r="D355" s="12" t="n"/>
      <c r="E355" s="13" t="str">
        <f>IF($B355="","",IF($C355="Money in",-$D355,$D355))</f>
        <v/>
      </c>
      <c r="F355" s="4" t="n"/>
    </row>
    <row r="356">
      <c r="B356" s="11" t="n"/>
      <c r="C356" s="4" t="n"/>
      <c r="D356" s="12" t="n"/>
      <c r="E356" s="13" t="str">
        <f>IF($B356="","",IF($C356="Money in",-$D356,$D356))</f>
        <v/>
      </c>
      <c r="F356" s="4" t="n"/>
    </row>
    <row r="357">
      <c r="B357" s="11" t="n"/>
      <c r="C357" s="4" t="n"/>
      <c r="D357" s="12" t="n"/>
      <c r="E357" s="13" t="str">
        <f>IF($B357="","",IF($C357="Money in",-$D357,$D357))</f>
        <v/>
      </c>
      <c r="F357" s="4" t="n"/>
    </row>
    <row r="358">
      <c r="B358" s="11" t="n"/>
      <c r="C358" s="4" t="n"/>
      <c r="D358" s="12" t="n"/>
      <c r="E358" s="13" t="str">
        <f>IF($B358="","",IF($C358="Money in",-$D358,$D358))</f>
        <v/>
      </c>
      <c r="F358" s="4" t="n"/>
    </row>
    <row r="359">
      <c r="B359" s="11" t="n"/>
      <c r="C359" s="4" t="n"/>
      <c r="D359" s="12" t="n"/>
      <c r="E359" s="13" t="str">
        <f>IF($B359="","",IF($C359="Money in",-$D359,$D359))</f>
        <v/>
      </c>
      <c r="F359" s="4" t="n"/>
    </row>
    <row r="360">
      <c r="B360" s="11" t="n"/>
      <c r="C360" s="4" t="n"/>
      <c r="D360" s="12" t="n"/>
      <c r="E360" s="13" t="str">
        <f>IF($B360="","",IF($C360="Money in",-$D360,$D360))</f>
        <v/>
      </c>
      <c r="F360" s="4" t="n"/>
    </row>
    <row r="361">
      <c r="B361" s="11" t="n"/>
      <c r="C361" s="4" t="n"/>
      <c r="D361" s="12" t="n"/>
      <c r="E361" s="13" t="str">
        <f>IF($B361="","",IF($C361="Money in",-$D361,$D361))</f>
        <v/>
      </c>
      <c r="F361" s="4" t="n"/>
    </row>
    <row r="362">
      <c r="B362" s="11" t="n"/>
      <c r="C362" s="4" t="n"/>
      <c r="D362" s="12" t="n"/>
      <c r="E362" s="13" t="str">
        <f>IF($B362="","",IF($C362="Money in",-$D362,$D362))</f>
        <v/>
      </c>
      <c r="F362" s="4" t="n"/>
    </row>
    <row r="363">
      <c r="B363" s="11" t="n"/>
      <c r="C363" s="4" t="n"/>
      <c r="D363" s="12" t="n"/>
      <c r="E363" s="13" t="str">
        <f>IF($B363="","",IF($C363="Money in",-$D363,$D363))</f>
        <v/>
      </c>
      <c r="F363" s="4" t="n"/>
    </row>
    <row r="364">
      <c r="B364" s="11" t="n"/>
      <c r="C364" s="4" t="n"/>
      <c r="D364" s="12" t="n"/>
      <c r="E364" s="13" t="str">
        <f>IF($B364="","",IF($C364="Money in",-$D364,$D364))</f>
        <v/>
      </c>
      <c r="F364" s="4" t="n"/>
    </row>
    <row r="365">
      <c r="B365" s="11" t="n"/>
      <c r="C365" s="4" t="n"/>
      <c r="D365" s="12" t="n"/>
      <c r="E365" s="13" t="str">
        <f>IF($B365="","",IF($C365="Money in",-$D365,$D365))</f>
        <v/>
      </c>
      <c r="F365" s="4" t="n"/>
    </row>
    <row r="366">
      <c r="B366" s="11" t="n"/>
      <c r="C366" s="4" t="n"/>
      <c r="D366" s="12" t="n"/>
      <c r="E366" s="13" t="str">
        <f>IF($B366="","",IF($C366="Money in",-$D366,$D366))</f>
        <v/>
      </c>
      <c r="F366" s="4" t="n"/>
    </row>
    <row r="367">
      <c r="B367" s="11" t="n"/>
      <c r="C367" s="4" t="n"/>
      <c r="D367" s="12" t="n"/>
      <c r="E367" s="13" t="str">
        <f>IF($B367="","",IF($C367="Money in",-$D367,$D367))</f>
        <v/>
      </c>
      <c r="F367" s="4" t="n"/>
    </row>
    <row r="368">
      <c r="B368" s="11" t="n"/>
      <c r="C368" s="4" t="n"/>
      <c r="D368" s="12" t="n"/>
      <c r="E368" s="13" t="str">
        <f>IF($B368="","",IF($C368="Money in",-$D368,$D368))</f>
        <v/>
      </c>
      <c r="F368" s="4" t="n"/>
    </row>
    <row r="369">
      <c r="B369" s="11" t="n"/>
      <c r="C369" s="4" t="n"/>
      <c r="D369" s="12" t="n"/>
      <c r="E369" s="13" t="str">
        <f>IF($B369="","",IF($C369="Money in",-$D369,$D369))</f>
        <v/>
      </c>
      <c r="F369" s="4" t="n"/>
    </row>
    <row r="370">
      <c r="B370" s="11" t="n"/>
      <c r="C370" s="4" t="n"/>
      <c r="D370" s="12" t="n"/>
      <c r="E370" s="13" t="str">
        <f>IF($B370="","",IF($C370="Money in",-$D370,$D370))</f>
        <v/>
      </c>
      <c r="F370" s="4" t="n"/>
    </row>
    <row r="371">
      <c r="B371" s="11" t="n"/>
      <c r="C371" s="4" t="n"/>
      <c r="D371" s="12" t="n"/>
      <c r="E371" s="13" t="str">
        <f>IF($B371="","",IF($C371="Money in",-$D371,$D371))</f>
        <v/>
      </c>
      <c r="F371" s="4" t="n"/>
    </row>
    <row r="372">
      <c r="B372" s="11" t="n"/>
      <c r="C372" s="4" t="n"/>
      <c r="D372" s="12" t="n"/>
      <c r="E372" s="13" t="str">
        <f>IF($B372="","",IF($C372="Money in",-$D372,$D372))</f>
        <v/>
      </c>
      <c r="F372" s="4" t="n"/>
    </row>
    <row r="373">
      <c r="B373" s="11" t="n"/>
      <c r="C373" s="4" t="n"/>
      <c r="D373" s="12" t="n"/>
      <c r="E373" s="13" t="str">
        <f>IF($B373="","",IF($C373="Money in",-$D373,$D373))</f>
        <v/>
      </c>
      <c r="F373" s="4" t="n"/>
    </row>
    <row r="374">
      <c r="B374" s="11" t="n"/>
      <c r="C374" s="4" t="n"/>
      <c r="D374" s="12" t="n"/>
      <c r="E374" s="13" t="str">
        <f>IF($B374="","",IF($C374="Money in",-$D374,$D374))</f>
        <v/>
      </c>
      <c r="F374" s="4" t="n"/>
    </row>
    <row r="375">
      <c r="B375" s="11" t="n"/>
      <c r="C375" s="4" t="n"/>
      <c r="D375" s="12" t="n"/>
      <c r="E375" s="13" t="str">
        <f>IF($B375="","",IF($C375="Money in",-$D375,$D375))</f>
        <v/>
      </c>
      <c r="F375" s="4" t="n"/>
    </row>
    <row r="376">
      <c r="B376" s="11" t="n"/>
      <c r="C376" s="4" t="n"/>
      <c r="D376" s="12" t="n"/>
      <c r="E376" s="13" t="str">
        <f>IF($B376="","",IF($C376="Money in",-$D376,$D376))</f>
        <v/>
      </c>
      <c r="F376" s="4" t="n"/>
    </row>
    <row r="377">
      <c r="B377" s="11" t="n"/>
      <c r="C377" s="4" t="n"/>
      <c r="D377" s="12" t="n"/>
      <c r="E377" s="13" t="str">
        <f>IF($B377="","",IF($C377="Money in",-$D377,$D377))</f>
        <v/>
      </c>
      <c r="F377" s="4" t="n"/>
    </row>
    <row r="378">
      <c r="B378" s="11" t="n"/>
      <c r="C378" s="4" t="n"/>
      <c r="D378" s="12" t="n"/>
      <c r="E378" s="13" t="str">
        <f>IF($B378="","",IF($C378="Money in",-$D378,$D378))</f>
        <v/>
      </c>
      <c r="F378" s="4" t="n"/>
    </row>
    <row r="379">
      <c r="B379" s="11" t="n"/>
      <c r="C379" s="4" t="n"/>
      <c r="D379" s="12" t="n"/>
      <c r="E379" s="13" t="str">
        <f>IF($B379="","",IF($C379="Money in",-$D379,$D379))</f>
        <v/>
      </c>
      <c r="F379" s="4" t="n"/>
    </row>
    <row r="380">
      <c r="B380" s="11" t="n"/>
      <c r="C380" s="4" t="n"/>
      <c r="D380" s="12" t="n"/>
      <c r="E380" s="13" t="str">
        <f>IF($B380="","",IF($C380="Money in",-$D380,$D380))</f>
        <v/>
      </c>
      <c r="F380" s="4" t="n"/>
    </row>
    <row r="381">
      <c r="B381" s="11" t="n"/>
      <c r="C381" s="4" t="n"/>
      <c r="D381" s="12" t="n"/>
      <c r="E381" s="13" t="str">
        <f>IF($B381="","",IF($C381="Money in",-$D381,$D381))</f>
        <v/>
      </c>
      <c r="F381" s="4" t="n"/>
    </row>
    <row r="382">
      <c r="B382" s="11" t="n"/>
      <c r="C382" s="4" t="n"/>
      <c r="D382" s="12" t="n"/>
      <c r="E382" s="13" t="str">
        <f>IF($B382="","",IF($C382="Money in",-$D382,$D382))</f>
        <v/>
      </c>
      <c r="F382" s="4" t="n"/>
    </row>
    <row r="383">
      <c r="B383" s="11" t="n"/>
      <c r="C383" s="4" t="n"/>
      <c r="D383" s="12" t="n"/>
      <c r="E383" s="13" t="str">
        <f>IF($B383="","",IF($C383="Money in",-$D383,$D383))</f>
        <v/>
      </c>
      <c r="F383" s="4" t="n"/>
    </row>
    <row r="384">
      <c r="B384" s="11" t="n"/>
      <c r="C384" s="4" t="n"/>
      <c r="D384" s="12" t="n"/>
      <c r="E384" s="13" t="str">
        <f>IF($B384="","",IF($C384="Money in",-$D384,$D384))</f>
        <v/>
      </c>
      <c r="F384" s="4" t="n"/>
    </row>
    <row r="385">
      <c r="B385" s="11" t="n"/>
      <c r="C385" s="4" t="n"/>
      <c r="D385" s="12" t="n"/>
      <c r="E385" s="13" t="str">
        <f>IF($B385="","",IF($C385="Money in",-$D385,$D385))</f>
        <v/>
      </c>
      <c r="F385" s="4" t="n"/>
    </row>
    <row r="386">
      <c r="B386" s="11" t="n"/>
      <c r="C386" s="4" t="n"/>
      <c r="D386" s="12" t="n"/>
      <c r="E386" s="13" t="str">
        <f>IF($B386="","",IF($C386="Money in",-$D386,$D386))</f>
        <v/>
      </c>
      <c r="F386" s="4" t="n"/>
    </row>
    <row r="387">
      <c r="B387" s="11" t="n"/>
      <c r="C387" s="4" t="n"/>
      <c r="D387" s="12" t="n"/>
      <c r="E387" s="13" t="str">
        <f>IF($B387="","",IF($C387="Money in",-$D387,$D387))</f>
        <v/>
      </c>
      <c r="F387" s="4" t="n"/>
    </row>
    <row r="388">
      <c r="B388" s="11" t="n"/>
      <c r="C388" s="4" t="n"/>
      <c r="D388" s="12" t="n"/>
      <c r="E388" s="13" t="str">
        <f>IF($B388="","",IF($C388="Money in",-$D388,$D388))</f>
        <v/>
      </c>
      <c r="F388" s="4" t="n"/>
    </row>
    <row r="389">
      <c r="B389" s="11" t="n"/>
      <c r="C389" s="4" t="n"/>
      <c r="D389" s="12" t="n"/>
      <c r="E389" s="13" t="str">
        <f>IF($B389="","",IF($C389="Money in",-$D389,$D389))</f>
        <v/>
      </c>
      <c r="F389" s="4" t="n"/>
    </row>
    <row r="390">
      <c r="B390" s="11" t="n"/>
      <c r="C390" s="4" t="n"/>
      <c r="D390" s="12" t="n"/>
      <c r="E390" s="13" t="str">
        <f>IF($B390="","",IF($C390="Money in",-$D390,$D390))</f>
        <v/>
      </c>
      <c r="F390" s="4" t="n"/>
    </row>
    <row r="391">
      <c r="B391" s="11" t="n"/>
      <c r="C391" s="4" t="n"/>
      <c r="D391" s="12" t="n"/>
      <c r="E391" s="13" t="str">
        <f>IF($B391="","",IF($C391="Money in",-$D391,$D391))</f>
        <v/>
      </c>
      <c r="F391" s="4" t="n"/>
    </row>
    <row r="392">
      <c r="B392" s="11" t="n"/>
      <c r="C392" s="4" t="n"/>
      <c r="D392" s="12" t="n"/>
      <c r="E392" s="13" t="str">
        <f>IF($B392="","",IF($C392="Money in",-$D392,$D392))</f>
        <v/>
      </c>
      <c r="F392" s="4" t="n"/>
    </row>
    <row r="393">
      <c r="B393" s="11" t="n"/>
      <c r="C393" s="4" t="n"/>
      <c r="D393" s="12" t="n"/>
      <c r="E393" s="13" t="str">
        <f>IF($B393="","",IF($C393="Money in",-$D393,$D393))</f>
        <v/>
      </c>
      <c r="F393" s="4" t="n"/>
    </row>
    <row r="394">
      <c r="B394" s="11" t="n"/>
      <c r="C394" s="4" t="n"/>
      <c r="D394" s="12" t="n"/>
      <c r="E394" s="13" t="str">
        <f>IF($B394="","",IF($C394="Money in",-$D394,$D394))</f>
        <v/>
      </c>
      <c r="F394" s="4" t="n"/>
    </row>
    <row r="395">
      <c r="B395" s="11" t="n"/>
      <c r="C395" s="4" t="n"/>
      <c r="D395" s="12" t="n"/>
      <c r="E395" s="13" t="str">
        <f>IF($B395="","",IF($C395="Money in",-$D395,$D395))</f>
        <v/>
      </c>
      <c r="F395" s="4" t="n"/>
    </row>
    <row r="396">
      <c r="B396" s="11" t="n"/>
      <c r="C396" s="4" t="n"/>
      <c r="D396" s="12" t="n"/>
      <c r="E396" s="13" t="str">
        <f>IF($B396="","",IF($C396="Money in",-$D396,$D396))</f>
        <v/>
      </c>
      <c r="F396" s="4" t="n"/>
    </row>
    <row r="397">
      <c r="B397" s="11" t="n"/>
      <c r="C397" s="4" t="n"/>
      <c r="D397" s="12" t="n"/>
      <c r="E397" s="13" t="str">
        <f>IF($B397="","",IF($C397="Money in",-$D397,$D397))</f>
        <v/>
      </c>
      <c r="F397" s="4" t="n"/>
    </row>
    <row r="398">
      <c r="B398" s="11" t="n"/>
      <c r="C398" s="4" t="n"/>
      <c r="D398" s="12" t="n"/>
      <c r="E398" s="13" t="str">
        <f>IF($B398="","",IF($C398="Money in",-$D398,$D398))</f>
        <v/>
      </c>
      <c r="F398" s="4" t="n"/>
    </row>
    <row r="399">
      <c r="B399" s="11" t="n"/>
      <c r="C399" s="4" t="n"/>
      <c r="D399" s="12" t="n"/>
      <c r="E399" s="13" t="str">
        <f>IF($B399="","",IF($C399="Money in",-$D399,$D399))</f>
        <v/>
      </c>
      <c r="F399" s="4" t="n"/>
    </row>
    <row r="400">
      <c r="B400" s="11" t="n"/>
      <c r="C400" s="4" t="n"/>
      <c r="D400" s="12" t="n"/>
      <c r="E400" s="13" t="str">
        <f>IF($B400="","",IF($C400="Money in",-$D400,$D400))</f>
        <v/>
      </c>
      <c r="F400" s="4" t="n"/>
    </row>
    <row r="401">
      <c r="B401" s="11" t="n"/>
      <c r="C401" s="4" t="n"/>
      <c r="D401" s="12" t="n"/>
      <c r="E401" s="13" t="str">
        <f>IF($B401="","",IF($C401="Money in",-$D401,$D401))</f>
        <v/>
      </c>
      <c r="F401" s="4" t="n"/>
    </row>
    <row r="402">
      <c r="B402" s="11" t="n"/>
      <c r="C402" s="4" t="n"/>
      <c r="D402" s="12" t="n"/>
      <c r="E402" s="13" t="str">
        <f>IF($B402="","",IF($C402="Money in",-$D402,$D402))</f>
        <v/>
      </c>
      <c r="F402" s="4" t="n"/>
    </row>
    <row r="403">
      <c r="B403" s="11" t="n"/>
      <c r="C403" s="4" t="n"/>
      <c r="D403" s="12" t="n"/>
      <c r="E403" s="13" t="str">
        <f>IF($B403="","",IF($C403="Money in",-$D403,$D403))</f>
        <v/>
      </c>
      <c r="F403" s="4" t="n"/>
    </row>
    <row r="404">
      <c r="B404" s="11" t="n"/>
      <c r="C404" s="4" t="n"/>
      <c r="D404" s="12" t="n"/>
      <c r="E404" s="13" t="str">
        <f>IF($B404="","",IF($C404="Money in",-$D404,$D404))</f>
        <v/>
      </c>
      <c r="F404" s="4" t="n"/>
    </row>
    <row r="405">
      <c r="B405" s="11" t="n"/>
      <c r="C405" s="4" t="n"/>
      <c r="D405" s="12" t="n"/>
      <c r="E405" s="13" t="str">
        <f>IF($B405="","",IF($C405="Money in",-$D405,$D405))</f>
        <v/>
      </c>
      <c r="F405" s="4" t="n"/>
    </row>
    <row r="406">
      <c r="B406" s="11" t="n"/>
      <c r="C406" s="4" t="n"/>
      <c r="D406" s="12" t="n"/>
      <c r="E406" s="13" t="str">
        <f>IF($B406="","",IF($C406="Money in",-$D406,$D406))</f>
        <v/>
      </c>
      <c r="F406" s="4" t="n"/>
    </row>
    <row r="407">
      <c r="B407" s="11" t="n"/>
      <c r="C407" s="4" t="n"/>
      <c r="D407" s="12" t="n"/>
      <c r="E407" s="13" t="str">
        <f>IF($B407="","",IF($C407="Money in",-$D407,$D407))</f>
        <v/>
      </c>
      <c r="F407" s="4" t="n"/>
    </row>
    <row r="408">
      <c r="B408" s="11" t="n"/>
      <c r="C408" s="4" t="n"/>
      <c r="D408" s="12" t="n"/>
      <c r="E408" s="13" t="str">
        <f>IF($B408="","",IF($C408="Money in",-$D408,$D408))</f>
        <v/>
      </c>
      <c r="F408" s="4" t="n"/>
    </row>
    <row r="409">
      <c r="B409" s="11" t="n"/>
      <c r="C409" s="4" t="n"/>
      <c r="D409" s="12" t="n"/>
      <c r="E409" s="13" t="str">
        <f>IF($B409="","",IF($C409="Money in",-$D409,$D409))</f>
        <v/>
      </c>
      <c r="F409" s="4" t="n"/>
    </row>
    <row r="410">
      <c r="B410" s="11" t="n"/>
      <c r="C410" s="4" t="n"/>
      <c r="D410" s="12" t="n"/>
      <c r="E410" s="13" t="str">
        <f>IF($B410="","",IF($C410="Money in",-$D410,$D410))</f>
        <v/>
      </c>
      <c r="F410" s="4" t="n"/>
    </row>
    <row r="411">
      <c r="B411" s="11" t="n"/>
      <c r="C411" s="4" t="n"/>
      <c r="D411" s="12" t="n"/>
      <c r="E411" s="13" t="str">
        <f>IF($B411="","",IF($C411="Money in",-$D411,$D411))</f>
        <v/>
      </c>
      <c r="F411" s="4" t="n"/>
    </row>
    <row r="412">
      <c r="B412" s="11" t="n"/>
      <c r="C412" s="4" t="n"/>
      <c r="D412" s="12" t="n"/>
      <c r="E412" s="13" t="str">
        <f>IF($B412="","",IF($C412="Money in",-$D412,$D412))</f>
        <v/>
      </c>
      <c r="F412" s="4" t="n"/>
    </row>
    <row r="413">
      <c r="B413" s="11" t="n"/>
      <c r="C413" s="4" t="n"/>
      <c r="D413" s="12" t="n"/>
      <c r="E413" s="13" t="str">
        <f>IF($B413="","",IF($C413="Money in",-$D413,$D413))</f>
        <v/>
      </c>
      <c r="F413" s="4" t="n"/>
    </row>
    <row r="414">
      <c r="B414" s="11" t="n"/>
      <c r="C414" s="4" t="n"/>
      <c r="D414" s="12" t="n"/>
      <c r="E414" s="13" t="str">
        <f>IF($B414="","",IF($C414="Money in",-$D414,$D414))</f>
        <v/>
      </c>
      <c r="F414" s="4" t="n"/>
    </row>
    <row r="415">
      <c r="B415" s="11" t="n"/>
      <c r="C415" s="4" t="n"/>
      <c r="D415" s="12" t="n"/>
      <c r="E415" s="13" t="str">
        <f>IF($B415="","",IF($C415="Money in",-$D415,$D415))</f>
        <v/>
      </c>
      <c r="F415" s="4" t="n"/>
    </row>
    <row r="416">
      <c r="B416" s="11" t="n"/>
      <c r="C416" s="4" t="n"/>
      <c r="D416" s="12" t="n"/>
      <c r="E416" s="13" t="str">
        <f>IF($B416="","",IF($C416="Money in",-$D416,$D416))</f>
        <v/>
      </c>
      <c r="F416" s="4" t="n"/>
    </row>
    <row r="417">
      <c r="B417" s="11" t="n"/>
      <c r="C417" s="4" t="n"/>
      <c r="D417" s="12" t="n"/>
      <c r="E417" s="13" t="str">
        <f>IF($B417="","",IF($C417="Money in",-$D417,$D417))</f>
        <v/>
      </c>
      <c r="F417" s="4" t="n"/>
    </row>
    <row r="418">
      <c r="B418" s="11" t="n"/>
      <c r="C418" s="4" t="n"/>
      <c r="D418" s="12" t="n"/>
      <c r="E418" s="13" t="str">
        <f>IF($B418="","",IF($C418="Money in",-$D418,$D418))</f>
        <v/>
      </c>
      <c r="F418" s="4" t="n"/>
    </row>
    <row r="419">
      <c r="B419" s="11" t="n"/>
      <c r="C419" s="4" t="n"/>
      <c r="D419" s="12" t="n"/>
      <c r="E419" s="13" t="str">
        <f>IF($B419="","",IF($C419="Money in",-$D419,$D419))</f>
        <v/>
      </c>
      <c r="F419" s="4" t="n"/>
    </row>
    <row r="420">
      <c r="B420" s="11" t="n"/>
      <c r="C420" s="4" t="n"/>
      <c r="D420" s="12" t="n"/>
      <c r="E420" s="13" t="str">
        <f>IF($B420="","",IF($C420="Money in",-$D420,$D420))</f>
        <v/>
      </c>
      <c r="F420" s="4" t="n"/>
    </row>
    <row r="421">
      <c r="B421" s="11" t="n"/>
      <c r="C421" s="4" t="n"/>
      <c r="D421" s="12" t="n"/>
      <c r="E421" s="13" t="str">
        <f>IF($B421="","",IF($C421="Money in",-$D421,$D421))</f>
        <v/>
      </c>
      <c r="F421" s="4" t="n"/>
    </row>
    <row r="422">
      <c r="B422" s="11" t="n"/>
      <c r="C422" s="4" t="n"/>
      <c r="D422" s="12" t="n"/>
      <c r="E422" s="13" t="str">
        <f>IF($B422="","",IF($C422="Money in",-$D422,$D422))</f>
        <v/>
      </c>
      <c r="F422" s="4" t="n"/>
    </row>
    <row r="423">
      <c r="B423" s="11" t="n"/>
      <c r="C423" s="4" t="n"/>
      <c r="D423" s="12" t="n"/>
      <c r="E423" s="13" t="str">
        <f>IF($B423="","",IF($C423="Money in",-$D423,$D423))</f>
        <v/>
      </c>
      <c r="F423" s="4" t="n"/>
    </row>
    <row r="424">
      <c r="B424" s="11" t="n"/>
      <c r="C424" s="4" t="n"/>
      <c r="D424" s="12" t="n"/>
      <c r="E424" s="13" t="str">
        <f>IF($B424="","",IF($C424="Money in",-$D424,$D424))</f>
        <v/>
      </c>
      <c r="F424" s="4" t="n"/>
    </row>
    <row r="425">
      <c r="B425" s="11" t="n"/>
      <c r="C425" s="4" t="n"/>
      <c r="D425" s="12" t="n"/>
      <c r="E425" s="13" t="str">
        <f>IF($B425="","",IF($C425="Money in",-$D425,$D425))</f>
        <v/>
      </c>
      <c r="F425" s="4" t="n"/>
    </row>
    <row r="426">
      <c r="B426" s="11" t="n"/>
      <c r="C426" s="4" t="n"/>
      <c r="D426" s="12" t="n"/>
      <c r="E426" s="13" t="str">
        <f>IF($B426="","",IF($C426="Money in",-$D426,$D426))</f>
        <v/>
      </c>
      <c r="F426" s="4" t="n"/>
    </row>
    <row r="427">
      <c r="B427" s="11" t="n"/>
      <c r="C427" s="4" t="n"/>
      <c r="D427" s="12" t="n"/>
      <c r="E427" s="13" t="str">
        <f>IF($B427="","",IF($C427="Money in",-$D427,$D427))</f>
        <v/>
      </c>
      <c r="F427" s="4" t="n"/>
    </row>
    <row r="428">
      <c r="B428" s="11" t="n"/>
      <c r="C428" s="4" t="n"/>
      <c r="D428" s="12" t="n"/>
      <c r="E428" s="13" t="str">
        <f>IF($B428="","",IF($C428="Money in",-$D428,$D428))</f>
        <v/>
      </c>
      <c r="F428" s="4" t="n"/>
    </row>
    <row r="429">
      <c r="B429" s="11" t="n"/>
      <c r="C429" s="4" t="n"/>
      <c r="D429" s="12" t="n"/>
      <c r="E429" s="13" t="str">
        <f>IF($B429="","",IF($C429="Money in",-$D429,$D429))</f>
        <v/>
      </c>
      <c r="F429" s="4" t="n"/>
    </row>
    <row r="430">
      <c r="B430" s="11" t="n"/>
      <c r="C430" s="4" t="n"/>
      <c r="D430" s="12" t="n"/>
      <c r="E430" s="13" t="str">
        <f>IF($B430="","",IF($C430="Money in",-$D430,$D430))</f>
        <v/>
      </c>
      <c r="F430" s="4" t="n"/>
    </row>
    <row r="431">
      <c r="B431" s="11" t="n"/>
      <c r="C431" s="4" t="n"/>
      <c r="D431" s="12" t="n"/>
      <c r="E431" s="13" t="str">
        <f>IF($B431="","",IF($C431="Money in",-$D431,$D431))</f>
        <v/>
      </c>
      <c r="F431" s="4" t="n"/>
    </row>
    <row r="432">
      <c r="B432" s="11" t="n"/>
      <c r="C432" s="4" t="n"/>
      <c r="D432" s="12" t="n"/>
      <c r="E432" s="13" t="str">
        <f>IF($B432="","",IF($C432="Money in",-$D432,$D432))</f>
        <v/>
      </c>
      <c r="F432" s="4" t="n"/>
    </row>
    <row r="433">
      <c r="B433" s="11" t="n"/>
      <c r="C433" s="4" t="n"/>
      <c r="D433" s="12" t="n"/>
      <c r="E433" s="13" t="str">
        <f>IF($B433="","",IF($C433="Money in",-$D433,$D433))</f>
        <v/>
      </c>
      <c r="F433" s="4" t="n"/>
    </row>
    <row r="434">
      <c r="B434" s="11" t="n"/>
      <c r="C434" s="4" t="n"/>
      <c r="D434" s="12" t="n"/>
      <c r="E434" s="13" t="str">
        <f>IF($B434="","",IF($C434="Money in",-$D434,$D434))</f>
        <v/>
      </c>
      <c r="F434" s="4" t="n"/>
    </row>
    <row r="435">
      <c r="B435" s="11" t="n"/>
      <c r="C435" s="4" t="n"/>
      <c r="D435" s="12" t="n"/>
      <c r="E435" s="13" t="str">
        <f>IF($B435="","",IF($C435="Money in",-$D435,$D435))</f>
        <v/>
      </c>
      <c r="F435" s="4" t="n"/>
    </row>
    <row r="436">
      <c r="B436" s="11" t="n"/>
      <c r="C436" s="4" t="n"/>
      <c r="D436" s="12" t="n"/>
      <c r="E436" s="13" t="str">
        <f>IF($B436="","",IF($C436="Money in",-$D436,$D436))</f>
        <v/>
      </c>
      <c r="F436" s="4" t="n"/>
    </row>
    <row r="437">
      <c r="B437" s="11" t="n"/>
      <c r="C437" s="4" t="n"/>
      <c r="D437" s="12" t="n"/>
      <c r="E437" s="13" t="str">
        <f>IF($B437="","",IF($C437="Money in",-$D437,$D437))</f>
        <v/>
      </c>
      <c r="F437" s="4" t="n"/>
    </row>
    <row r="438">
      <c r="B438" s="11" t="n"/>
      <c r="C438" s="4" t="n"/>
      <c r="D438" s="12" t="n"/>
      <c r="E438" s="13" t="str">
        <f>IF($B438="","",IF($C438="Money in",-$D438,$D438))</f>
        <v/>
      </c>
      <c r="F438" s="4" t="n"/>
    </row>
    <row r="439">
      <c r="B439" s="11" t="n"/>
      <c r="C439" s="4" t="n"/>
      <c r="D439" s="12" t="n"/>
      <c r="E439" s="13" t="str">
        <f>IF($B439="","",IF($C439="Money in",-$D439,$D439))</f>
        <v/>
      </c>
      <c r="F439" s="4" t="n"/>
    </row>
    <row r="440">
      <c r="B440" s="11" t="n"/>
      <c r="C440" s="4" t="n"/>
      <c r="D440" s="12" t="n"/>
      <c r="E440" s="13" t="str">
        <f>IF($B440="","",IF($C440="Money in",-$D440,$D440))</f>
        <v/>
      </c>
      <c r="F440" s="4" t="n"/>
    </row>
    <row r="441">
      <c r="B441" s="11" t="n"/>
      <c r="C441" s="4" t="n"/>
      <c r="D441" s="12" t="n"/>
      <c r="E441" s="13" t="str">
        <f>IF($B441="","",IF($C441="Money in",-$D441,$D441))</f>
        <v/>
      </c>
      <c r="F441" s="4" t="n"/>
    </row>
    <row r="442">
      <c r="B442" s="11" t="n"/>
      <c r="C442" s="4" t="n"/>
      <c r="D442" s="12" t="n"/>
      <c r="E442" s="13" t="str">
        <f>IF($B442="","",IF($C442="Money in",-$D442,$D442))</f>
        <v/>
      </c>
      <c r="F442" s="4" t="n"/>
    </row>
    <row r="443">
      <c r="B443" s="11" t="n"/>
      <c r="C443" s="4" t="n"/>
      <c r="D443" s="12" t="n"/>
      <c r="E443" s="13" t="str">
        <f>IF($B443="","",IF($C443="Money in",-$D443,$D443))</f>
        <v/>
      </c>
      <c r="F443" s="4" t="n"/>
    </row>
    <row r="444">
      <c r="B444" s="11" t="n"/>
      <c r="C444" s="4" t="n"/>
      <c r="D444" s="12" t="n"/>
      <c r="E444" s="13" t="str">
        <f>IF($B444="","",IF($C444="Money in",-$D444,$D444))</f>
        <v/>
      </c>
      <c r="F444" s="4" t="n"/>
    </row>
    <row r="445">
      <c r="B445" s="11" t="n"/>
      <c r="C445" s="4" t="n"/>
      <c r="D445" s="12" t="n"/>
      <c r="E445" s="13" t="str">
        <f>IF($B445="","",IF($C445="Money in",-$D445,$D445))</f>
        <v/>
      </c>
      <c r="F445" s="4" t="n"/>
    </row>
    <row r="446">
      <c r="B446" s="11" t="n"/>
      <c r="C446" s="4" t="n"/>
      <c r="D446" s="12" t="n"/>
      <c r="E446" s="13" t="str">
        <f>IF($B446="","",IF($C446="Money in",-$D446,$D446))</f>
        <v/>
      </c>
      <c r="F446" s="4" t="n"/>
    </row>
    <row r="447">
      <c r="B447" s="11" t="n"/>
      <c r="C447" s="4" t="n"/>
      <c r="D447" s="12" t="n"/>
      <c r="E447" s="13" t="str">
        <f>IF($B447="","",IF($C447="Money in",-$D447,$D447))</f>
        <v/>
      </c>
      <c r="F447" s="4" t="n"/>
    </row>
    <row r="448">
      <c r="B448" s="11" t="n"/>
      <c r="C448" s="4" t="n"/>
      <c r="D448" s="12" t="n"/>
      <c r="E448" s="13" t="str">
        <f>IF($B448="","",IF($C448="Money in",-$D448,$D448))</f>
        <v/>
      </c>
      <c r="F448" s="4" t="n"/>
    </row>
    <row r="449">
      <c r="B449" s="11" t="n"/>
      <c r="C449" s="4" t="n"/>
      <c r="D449" s="12" t="n"/>
      <c r="E449" s="13" t="str">
        <f>IF($B449="","",IF($C449="Money in",-$D449,$D449))</f>
        <v/>
      </c>
      <c r="F449" s="4" t="n"/>
    </row>
    <row r="450">
      <c r="B450" s="11" t="n"/>
      <c r="C450" s="4" t="n"/>
      <c r="D450" s="12" t="n"/>
      <c r="E450" s="13" t="str">
        <f>IF($B450="","",IF($C450="Money in",-$D450,$D450))</f>
        <v/>
      </c>
      <c r="F450" s="4" t="n"/>
    </row>
    <row r="451">
      <c r="B451" s="11" t="n"/>
      <c r="C451" s="4" t="n"/>
      <c r="D451" s="12" t="n"/>
      <c r="E451" s="13" t="str">
        <f>IF($B451="","",IF($C451="Money in",-$D451,$D451))</f>
        <v/>
      </c>
      <c r="F451" s="4" t="n"/>
    </row>
    <row r="452">
      <c r="B452" s="11" t="n"/>
      <c r="C452" s="4" t="n"/>
      <c r="D452" s="12" t="n"/>
      <c r="E452" s="13" t="str">
        <f>IF($B452="","",IF($C452="Money in",-$D452,$D452))</f>
        <v/>
      </c>
      <c r="F452" s="4" t="n"/>
    </row>
    <row r="453">
      <c r="B453" s="11" t="n"/>
      <c r="C453" s="4" t="n"/>
      <c r="D453" s="12" t="n"/>
      <c r="E453" s="13" t="str">
        <f>IF($B453="","",IF($C453="Money in",-$D453,$D453))</f>
        <v/>
      </c>
      <c r="F453" s="4" t="n"/>
    </row>
    <row r="454">
      <c r="B454" s="11" t="n"/>
      <c r="C454" s="4" t="n"/>
      <c r="D454" s="12" t="n"/>
      <c r="E454" s="13" t="str">
        <f>IF($B454="","",IF($C454="Money in",-$D454,$D454))</f>
        <v/>
      </c>
      <c r="F454" s="4" t="n"/>
    </row>
    <row r="455">
      <c r="B455" s="11" t="n"/>
      <c r="C455" s="4" t="n"/>
      <c r="D455" s="12" t="n"/>
      <c r="E455" s="13" t="str">
        <f>IF($B455="","",IF($C455="Money in",-$D455,$D455))</f>
        <v/>
      </c>
      <c r="F455" s="4" t="n"/>
    </row>
    <row r="456">
      <c r="B456" s="11" t="n"/>
      <c r="C456" s="4" t="n"/>
      <c r="D456" s="12" t="n"/>
      <c r="E456" s="13" t="str">
        <f>IF($B456="","",IF($C456="Money in",-$D456,$D456))</f>
        <v/>
      </c>
      <c r="F456" s="4" t="n"/>
    </row>
    <row r="457">
      <c r="B457" s="11" t="n"/>
      <c r="C457" s="4" t="n"/>
      <c r="D457" s="12" t="n"/>
      <c r="E457" s="13" t="str">
        <f>IF($B457="","",IF($C457="Money in",-$D457,$D457))</f>
        <v/>
      </c>
      <c r="F457" s="4" t="n"/>
    </row>
    <row r="458">
      <c r="B458" s="11" t="n"/>
      <c r="C458" s="4" t="n"/>
      <c r="D458" s="12" t="n"/>
      <c r="E458" s="13" t="str">
        <f>IF($B458="","",IF($C458="Money in",-$D458,$D458))</f>
        <v/>
      </c>
      <c r="F458" s="4" t="n"/>
    </row>
    <row r="459">
      <c r="B459" s="11" t="n"/>
      <c r="C459" s="4" t="n"/>
      <c r="D459" s="12" t="n"/>
      <c r="E459" s="13" t="str">
        <f>IF($B459="","",IF($C459="Money in",-$D459,$D459))</f>
        <v/>
      </c>
      <c r="F459" s="4" t="n"/>
    </row>
    <row r="460">
      <c r="B460" s="11" t="n"/>
      <c r="C460" s="4" t="n"/>
      <c r="D460" s="12" t="n"/>
      <c r="E460" s="13" t="str">
        <f>IF($B460="","",IF($C460="Money in",-$D460,$D460))</f>
        <v/>
      </c>
      <c r="F460" s="4" t="n"/>
    </row>
    <row r="461">
      <c r="B461" s="11" t="n"/>
      <c r="C461" s="4" t="n"/>
      <c r="D461" s="12" t="n"/>
      <c r="E461" s="13" t="str">
        <f>IF($B461="","",IF($C461="Money in",-$D461,$D461))</f>
        <v/>
      </c>
      <c r="F461" s="4" t="n"/>
    </row>
    <row r="462">
      <c r="B462" s="11" t="n"/>
      <c r="C462" s="4" t="n"/>
      <c r="D462" s="12" t="n"/>
      <c r="E462" s="13" t="str">
        <f>IF($B462="","",IF($C462="Money in",-$D462,$D462))</f>
        <v/>
      </c>
      <c r="F462" s="4" t="n"/>
    </row>
    <row r="463">
      <c r="B463" s="11" t="n"/>
      <c r="C463" s="4" t="n"/>
      <c r="D463" s="12" t="n"/>
      <c r="E463" s="13" t="str">
        <f>IF($B463="","",IF($C463="Money in",-$D463,$D463))</f>
        <v/>
      </c>
      <c r="F463" s="4" t="n"/>
    </row>
    <row r="464">
      <c r="B464" s="11" t="n"/>
      <c r="C464" s="4" t="n"/>
      <c r="D464" s="12" t="n"/>
      <c r="E464" s="13" t="str">
        <f>IF($B464="","",IF($C464="Money in",-$D464,$D464))</f>
        <v/>
      </c>
      <c r="F464" s="4" t="n"/>
    </row>
    <row r="465">
      <c r="B465" s="11" t="n"/>
      <c r="C465" s="4" t="n"/>
      <c r="D465" s="12" t="n"/>
      <c r="E465" s="13" t="str">
        <f>IF($B465="","",IF($C465="Money in",-$D465,$D465))</f>
        <v/>
      </c>
      <c r="F465" s="4" t="n"/>
    </row>
    <row r="466">
      <c r="B466" s="11" t="n"/>
      <c r="C466" s="4" t="n"/>
      <c r="D466" s="12" t="n"/>
      <c r="E466" s="13" t="str">
        <f>IF($B466="","",IF($C466="Money in",-$D466,$D466))</f>
        <v/>
      </c>
      <c r="F466" s="4" t="n"/>
    </row>
    <row r="467">
      <c r="B467" s="11" t="n"/>
      <c r="C467" s="4" t="n"/>
      <c r="D467" s="12" t="n"/>
      <c r="E467" s="13" t="str">
        <f>IF($B467="","",IF($C467="Money in",-$D467,$D467))</f>
        <v/>
      </c>
      <c r="F467" s="4" t="n"/>
    </row>
    <row r="468">
      <c r="B468" s="11" t="n"/>
      <c r="C468" s="4" t="n"/>
      <c r="D468" s="12" t="n"/>
      <c r="E468" s="13" t="str">
        <f>IF($B468="","",IF($C468="Money in",-$D468,$D468))</f>
        <v/>
      </c>
      <c r="F468" s="4" t="n"/>
    </row>
    <row r="469">
      <c r="B469" s="11" t="n"/>
      <c r="C469" s="4" t="n"/>
      <c r="D469" s="12" t="n"/>
      <c r="E469" s="13" t="str">
        <f>IF($B469="","",IF($C469="Money in",-$D469,$D469))</f>
        <v/>
      </c>
      <c r="F469" s="4" t="n"/>
    </row>
    <row r="470">
      <c r="B470" s="11" t="n"/>
      <c r="C470" s="4" t="n"/>
      <c r="D470" s="12" t="n"/>
      <c r="E470" s="13" t="str">
        <f>IF($B470="","",IF($C470="Money in",-$D470,$D470))</f>
        <v/>
      </c>
      <c r="F470" s="4" t="n"/>
    </row>
    <row r="471">
      <c r="B471" s="11" t="n"/>
      <c r="C471" s="4" t="n"/>
      <c r="D471" s="12" t="n"/>
      <c r="E471" s="13" t="str">
        <f>IF($B471="","",IF($C471="Money in",-$D471,$D471))</f>
        <v/>
      </c>
      <c r="F471" s="4" t="n"/>
    </row>
    <row r="472">
      <c r="B472" s="11" t="n"/>
      <c r="C472" s="4" t="n"/>
      <c r="D472" s="12" t="n"/>
      <c r="E472" s="13" t="str">
        <f>IF($B472="","",IF($C472="Money in",-$D472,$D472))</f>
        <v/>
      </c>
      <c r="F472" s="4" t="n"/>
    </row>
    <row r="473">
      <c r="B473" s="11" t="n"/>
      <c r="C473" s="4" t="n"/>
      <c r="D473" s="12" t="n"/>
      <c r="E473" s="13" t="str">
        <f>IF($B473="","",IF($C473="Money in",-$D473,$D473))</f>
        <v/>
      </c>
      <c r="F473" s="4" t="n"/>
    </row>
    <row r="474">
      <c r="B474" s="11" t="n"/>
      <c r="C474" s="4" t="n"/>
      <c r="D474" s="12" t="n"/>
      <c r="E474" s="13" t="str">
        <f>IF($B474="","",IF($C474="Money in",-$D474,$D474))</f>
        <v/>
      </c>
      <c r="F474" s="4" t="n"/>
    </row>
    <row r="475">
      <c r="B475" s="11" t="n"/>
      <c r="C475" s="4" t="n"/>
      <c r="D475" s="12" t="n"/>
      <c r="E475" s="13" t="str">
        <f>IF($B475="","",IF($C475="Money in",-$D475,$D475))</f>
        <v/>
      </c>
      <c r="F475" s="4" t="n"/>
    </row>
    <row r="476">
      <c r="B476" s="11" t="n"/>
      <c r="C476" s="4" t="n"/>
      <c r="D476" s="12" t="n"/>
      <c r="E476" s="13" t="str">
        <f>IF($B476="","",IF($C476="Money in",-$D476,$D476))</f>
        <v/>
      </c>
      <c r="F476" s="4" t="n"/>
    </row>
    <row r="477">
      <c r="B477" s="11" t="n"/>
      <c r="C477" s="4" t="n"/>
      <c r="D477" s="12" t="n"/>
      <c r="E477" s="13" t="str">
        <f>IF($B477="","",IF($C477="Money in",-$D477,$D477))</f>
        <v/>
      </c>
      <c r="F477" s="4" t="n"/>
    </row>
    <row r="478">
      <c r="B478" s="11" t="n"/>
      <c r="C478" s="4" t="n"/>
      <c r="D478" s="12" t="n"/>
      <c r="E478" s="13" t="str">
        <f>IF($B478="","",IF($C478="Money in",-$D478,$D478))</f>
        <v/>
      </c>
      <c r="F478" s="4" t="n"/>
    </row>
    <row r="479">
      <c r="B479" s="11" t="n"/>
      <c r="C479" s="4" t="n"/>
      <c r="D479" s="12" t="n"/>
      <c r="E479" s="13" t="str">
        <f>IF($B479="","",IF($C479="Money in",-$D479,$D479))</f>
        <v/>
      </c>
      <c r="F479" s="4" t="n"/>
    </row>
    <row r="480">
      <c r="B480" s="11" t="n"/>
      <c r="C480" s="4" t="n"/>
      <c r="D480" s="12" t="n"/>
      <c r="E480" s="13" t="str">
        <f>IF($B480="","",IF($C480="Money in",-$D480,$D480))</f>
        <v/>
      </c>
      <c r="F480" s="4" t="n"/>
    </row>
    <row r="481">
      <c r="B481" s="11" t="n"/>
      <c r="C481" s="4" t="n"/>
      <c r="D481" s="12" t="n"/>
      <c r="E481" s="13" t="str">
        <f>IF($B481="","",IF($C481="Money in",-$D481,$D481))</f>
        <v/>
      </c>
      <c r="F481" s="4" t="n"/>
    </row>
    <row r="482">
      <c r="B482" s="11" t="n"/>
      <c r="C482" s="4" t="n"/>
      <c r="D482" s="12" t="n"/>
      <c r="E482" s="13" t="str">
        <f>IF($B482="","",IF($C482="Money in",-$D482,$D482))</f>
        <v/>
      </c>
      <c r="F482" s="4" t="n"/>
    </row>
    <row r="483">
      <c r="B483" s="11" t="n"/>
      <c r="C483" s="4" t="n"/>
      <c r="D483" s="12" t="n"/>
      <c r="E483" s="13" t="str">
        <f>IF($B483="","",IF($C483="Money in",-$D483,$D483))</f>
        <v/>
      </c>
      <c r="F483" s="4" t="n"/>
    </row>
    <row r="484">
      <c r="B484" s="11" t="n"/>
      <c r="C484" s="4" t="n"/>
      <c r="D484" s="12" t="n"/>
      <c r="E484" s="13" t="str">
        <f>IF($B484="","",IF($C484="Money in",-$D484,$D484))</f>
        <v/>
      </c>
      <c r="F484" s="4" t="n"/>
    </row>
    <row r="485">
      <c r="B485" s="11" t="n"/>
      <c r="C485" s="4" t="n"/>
      <c r="D485" s="12" t="n"/>
      <c r="E485" s="13" t="str">
        <f>IF($B485="","",IF($C485="Money in",-$D485,$D485))</f>
        <v/>
      </c>
      <c r="F485" s="4" t="n"/>
    </row>
    <row r="486">
      <c r="B486" s="11" t="n"/>
      <c r="C486" s="4" t="n"/>
      <c r="D486" s="12" t="n"/>
      <c r="E486" s="13" t="str">
        <f>IF($B486="","",IF($C486="Money in",-$D486,$D486))</f>
        <v/>
      </c>
      <c r="F486" s="4" t="n"/>
    </row>
    <row r="487">
      <c r="B487" s="11" t="n"/>
      <c r="C487" s="4" t="n"/>
      <c r="D487" s="12" t="n"/>
      <c r="E487" s="13" t="str">
        <f>IF($B487="","",IF($C487="Money in",-$D487,$D487))</f>
        <v/>
      </c>
      <c r="F487" s="4" t="n"/>
    </row>
    <row r="488">
      <c r="B488" s="11" t="n"/>
      <c r="C488" s="4" t="n"/>
      <c r="D488" s="12" t="n"/>
      <c r="E488" s="13" t="str">
        <f>IF($B488="","",IF($C488="Money in",-$D488,$D488))</f>
        <v/>
      </c>
      <c r="F488" s="4" t="n"/>
    </row>
    <row r="489">
      <c r="B489" s="11" t="n"/>
      <c r="C489" s="4" t="n"/>
      <c r="D489" s="12" t="n"/>
      <c r="E489" s="13" t="str">
        <f>IF($B489="","",IF($C489="Money in",-$D489,$D489))</f>
        <v/>
      </c>
      <c r="F489" s="4" t="n"/>
    </row>
    <row r="490">
      <c r="B490" s="11" t="n"/>
      <c r="C490" s="4" t="n"/>
      <c r="D490" s="12" t="n"/>
      <c r="E490" s="13" t="str">
        <f>IF($B490="","",IF($C490="Money in",-$D490,$D490))</f>
        <v/>
      </c>
      <c r="F490" s="4" t="n"/>
    </row>
    <row r="491">
      <c r="B491" s="11" t="n"/>
      <c r="C491" s="4" t="n"/>
      <c r="D491" s="12" t="n"/>
      <c r="E491" s="13" t="str">
        <f>IF($B491="","",IF($C491="Money in",-$D491,$D491))</f>
        <v/>
      </c>
      <c r="F491" s="4" t="n"/>
    </row>
    <row r="492">
      <c r="B492" s="11" t="n"/>
      <c r="C492" s="4" t="n"/>
      <c r="D492" s="12" t="n"/>
      <c r="E492" s="13" t="str">
        <f>IF($B492="","",IF($C492="Money in",-$D492,$D492))</f>
        <v/>
      </c>
      <c r="F492" s="4" t="n"/>
    </row>
    <row r="493">
      <c r="B493" s="11" t="n"/>
      <c r="C493" s="4" t="n"/>
      <c r="D493" s="12" t="n"/>
      <c r="E493" s="13" t="str">
        <f>IF($B493="","",IF($C493="Money in",-$D493,$D493))</f>
        <v/>
      </c>
      <c r="F493" s="4" t="n"/>
    </row>
    <row r="494">
      <c r="B494" s="11" t="n"/>
      <c r="C494" s="4" t="n"/>
      <c r="D494" s="12" t="n"/>
      <c r="E494" s="13" t="str">
        <f>IF($B494="","",IF($C494="Money in",-$D494,$D494))</f>
        <v/>
      </c>
      <c r="F494" s="4" t="n"/>
    </row>
    <row r="495">
      <c r="B495" s="11" t="n"/>
      <c r="C495" s="4" t="n"/>
      <c r="D495" s="12" t="n"/>
      <c r="E495" s="13" t="str">
        <f>IF($B495="","",IF($C495="Money in",-$D495,$D495))</f>
        <v/>
      </c>
      <c r="F495" s="4" t="n"/>
    </row>
    <row r="496">
      <c r="B496" s="11" t="n"/>
      <c r="C496" s="4" t="n"/>
      <c r="D496" s="12" t="n"/>
      <c r="E496" s="13" t="str">
        <f>IF($B496="","",IF($C496="Money in",-$D496,$D496))</f>
        <v/>
      </c>
      <c r="F496" s="4" t="n"/>
    </row>
    <row r="497">
      <c r="B497" s="11" t="n"/>
      <c r="C497" s="4" t="n"/>
      <c r="D497" s="12" t="n"/>
      <c r="E497" s="13" t="str">
        <f>IF($B497="","",IF($C497="Money in",-$D497,$D497))</f>
        <v/>
      </c>
      <c r="F497" s="4" t="n"/>
    </row>
    <row r="498">
      <c r="B498" s="11" t="n"/>
      <c r="C498" s="4" t="n"/>
      <c r="D498" s="12" t="n"/>
      <c r="E498" s="13" t="str">
        <f>IF($B498="","",IF($C498="Money in",-$D498,$D498))</f>
        <v/>
      </c>
      <c r="F498" s="4" t="n"/>
    </row>
    <row r="499">
      <c r="B499" s="11" t="n"/>
      <c r="C499" s="4" t="n"/>
      <c r="D499" s="12" t="n"/>
      <c r="E499" s="13" t="str">
        <f>IF($B499="","",IF($C499="Money in",-$D499,$D499))</f>
        <v/>
      </c>
      <c r="F499" s="4" t="n"/>
    </row>
    <row r="500">
      <c r="B500" s="11" t="n"/>
      <c r="C500" s="4" t="n"/>
      <c r="D500" s="12" t="n"/>
      <c r="E500" s="13" t="str">
        <f>IF($B500="","",IF($C500="Money in",-$D500,$D500))</f>
        <v/>
      </c>
      <c r="F500" s="4" t="n"/>
    </row>
    <row r="501">
      <c r="B501" s="11" t="n"/>
      <c r="C501" s="4" t="n"/>
      <c r="D501" s="12" t="n"/>
      <c r="E501" s="13" t="str">
        <f>IF($B501="","",IF($C501="Money in",-$D501,$D501))</f>
        <v/>
      </c>
      <c r="F501" s="4" t="n"/>
    </row>
    <row r="502">
      <c r="B502" s="11" t="n"/>
      <c r="C502" s="4" t="n"/>
      <c r="D502" s="12" t="n"/>
      <c r="E502" s="13" t="str">
        <f>IF($B502="","",IF($C502="Money in",-$D502,$D502))</f>
        <v/>
      </c>
      <c r="F502" s="4" t="n"/>
    </row>
    <row r="503">
      <c r="B503" s="11" t="n"/>
      <c r="C503" s="4" t="n"/>
      <c r="D503" s="12" t="n"/>
      <c r="E503" s="13" t="str">
        <f>IF($B503="","",IF($C503="Money in",-$D503,$D503))</f>
        <v/>
      </c>
      <c r="F503" s="4" t="n"/>
    </row>
    <row r="504">
      <c r="B504" s="11" t="n"/>
      <c r="C504" s="4" t="n"/>
      <c r="D504" s="12" t="n"/>
      <c r="E504" s="13" t="str">
        <f>IF($B504="","",IF($C504="Money in",-$D504,$D504))</f>
        <v/>
      </c>
      <c r="F504" s="4" t="n"/>
    </row>
    <row r="505">
      <c r="B505" s="11" t="n"/>
      <c r="C505" s="4" t="n"/>
      <c r="D505" s="12" t="n"/>
      <c r="E505" s="13" t="str">
        <f>IF($B505="","",IF($C505="Money in",-$D505,$D505))</f>
        <v/>
      </c>
      <c r="F505" s="4" t="n"/>
    </row>
    <row r="506">
      <c r="B506" s="11" t="n"/>
      <c r="C506" s="4" t="n"/>
      <c r="D506" s="12" t="n"/>
      <c r="E506" s="13" t="str">
        <f>IF($B506="","",IF($C506="Money in",-$D506,$D506))</f>
        <v/>
      </c>
      <c r="F506" s="4" t="n"/>
    </row>
    <row r="507">
      <c r="B507" s="11" t="n"/>
      <c r="C507" s="4" t="n"/>
      <c r="D507" s="12" t="n"/>
      <c r="E507" s="13" t="str">
        <f>IF($B507="","",IF($C507="Money in",-$D507,$D507))</f>
        <v/>
      </c>
      <c r="F507" s="4" t="n"/>
    </row>
  </sheetData>
  <sheetProtection selectLockedCells="0" selectUnlockedCells="0" sheet="1" objects="0" insertRows="1" insertHyperlinks="1" autoFilter="0" scenarios="0" formatColumns="0" deleteColumns="1" insertColumns="1" pivotTables="1" deleteRows="1" formatCells="0" formatRows="0" sort="0"/>
  <mergeCells count="8">
    <mergeCell ref="H28:K28"/>
    <mergeCell ref="B6:F6"/>
    <mergeCell ref="H27:K27"/>
    <mergeCell ref="H26:K26"/>
    <mergeCell ref="H12:K12"/>
    <mergeCell ref="B4:D4"/>
    <mergeCell ref="B5:F5"/>
    <mergeCell ref="C2:F2"/>
  </mergeCells>
  <dataValidations count="5">
    <dataValidation sqref="C8:C507" showDropDown="0" showInputMessage="0" showErrorMessage="0" allowBlank="1" type="list">
      <formula1>"Money in,Money out,Worth today"</formula1>
    </dataValidation>
    <dataValidation sqref="B8:B507" showDropDown="0" showInputMessage="0" showErrorMessage="1" allowBlank="1" error="Enter a date on or after 1 January 1990." type="date" operator="greaterThanOrEqual">
      <formula1>32874</formula1>
    </dataValidation>
    <dataValidation sqref="D8:D507" showDropDown="0" showInputMessage="0" showErrorMessage="1" allowBlank="1" error="Enter the amount as a plain positive number; Money out sets its own sign." type="decimal" operator="greaterThanOrEqual">
      <formula1>0</formula1>
    </dataValidation>
    <dataValidation sqref="F8:F507" showDropDown="0" showInputMessage="0" showErrorMessage="0" allowBlank="1" type="list">
      <formula1>$H$15:$H$24</formula1>
    </dataValidation>
    <dataValidation sqref="I10" showDropDown="0" showInputMessage="0" showErrorMessage="0" allowBlank="1" type="decimal" operator="between">
      <formula1>0</formula1>
      <formula2>25</formula2>
    </dataValidation>
  </dataValidations>
  <pageMargins left="0.75" right="0.75" top="1" bottom="1" header="0.5" footer="0.5"/>
</worksheet>
</file>

<file path=xl/worksheets/sheet3.xml><?xml version="1.0" encoding="utf-8"?>
<worksheet xmlns="http://schemas.openxmlformats.org/spreadsheetml/2006/main">
  <sheetPr>
    <tabColor rgb="001F4E5F"/>
    <outlinePr summaryBelow="1" summaryRight="1"/>
    <pageSetUpPr/>
  </sheetPr>
  <dimension ref="A1:C47"/>
  <sheetViews>
    <sheetView showGridLines="0" workbookViewId="0">
      <selection activeCell="A1" sqref="A1"/>
    </sheetView>
  </sheetViews>
  <sheetFormatPr baseColWidth="8" defaultRowHeight="15"/>
  <cols>
    <col width="44" customWidth="1" min="1" max="1"/>
    <col width="24" customWidth="1" min="2" max="2"/>
    <col width="40" customWidth="1" min="3" max="3"/>
  </cols>
  <sheetData>
    <row r="1">
      <c r="A1" s="1" t="inlineStr">
        <is>
          <t>Plan my goal</t>
        </is>
      </c>
    </row>
    <row r="2">
      <c r="A2" s="2" t="inlineStr">
        <is>
          <t>Type the cream cells. Whole years only, 1 to 50. The return is an assumption you choose; nobody can promise it.</t>
        </is>
      </c>
    </row>
    <row r="4">
      <c r="A4" s="3" t="inlineStr">
        <is>
          <t>Amount you are aiming for (₹)</t>
        </is>
      </c>
      <c r="B4" s="12" t="n">
        <v>10000000</v>
      </c>
    </row>
    <row r="5">
      <c r="A5" s="3" t="inlineStr">
        <is>
          <t>What you have already (₹)</t>
        </is>
      </c>
      <c r="B5" s="12" t="n">
        <v>400000</v>
      </c>
    </row>
    <row r="6">
      <c r="A6" s="3" t="inlineStr">
        <is>
          <t>Years left (whole years)</t>
        </is>
      </c>
      <c r="B6" s="18" t="n">
        <v>15</v>
      </c>
    </row>
    <row r="7">
      <c r="A7" s="3" t="inlineStr">
        <is>
          <t>Investing each month now (₹)</t>
        </is>
      </c>
      <c r="B7" s="12" t="n">
        <v>10000</v>
      </c>
    </row>
    <row r="8">
      <c r="A8" s="3" t="inlineStr">
        <is>
          <t>Assumed return each year (%)</t>
        </is>
      </c>
      <c r="B8" s="15" t="n">
        <v>10</v>
      </c>
      <c r="C8" s="19" t="inlineStr">
        <is>
          <t>An assumption you choose. Nobody can promise it.</t>
        </is>
      </c>
    </row>
    <row r="9">
      <c r="A9" s="3" t="inlineStr">
        <is>
          <t>Raise the monthly amount each year by (%)</t>
        </is>
      </c>
      <c r="B9" s="15" t="n">
        <v>0</v>
      </c>
    </row>
    <row r="10">
      <c r="A10" s="3" t="inlineStr">
        <is>
          <t>Inflation, if you want the goal in today's rupees (%)</t>
        </is>
      </c>
      <c r="B10" s="15" t="n"/>
      <c r="C10" s="19" t="inlineStr">
        <is>
          <t>Optional. Leave blank to skip.</t>
        </is>
      </c>
    </row>
    <row r="12" ht="30" customHeight="1">
      <c r="A12" s="3" t="inlineStr">
        <is>
          <t>If nothing changes, you reach</t>
        </is>
      </c>
      <c r="B12" s="20">
        <f>IF(Calc!$G$10=0,"Check the line below",Calc!$G$11+Calc!$G$12)</f>
        <v>5687111.44894092</v>
      </c>
    </row>
    <row r="13">
      <c r="A13" s="9" t="str">
        <f>IF($B$6="","Enter how many years are left.",IF(OR($B$6&lt;1,$B$6&gt;50,$B$6&lt;&gt;INT($B$6)),"Years left must be a whole number from 1 to 50.",IF($B$4="","Enter the amount you are aiming for.",IF($B$4&lt;=0,"The amount you are aiming for must be more than zero.",IF($B$8="","Enter the return you assume.",IF(OR($B$8&lt;0,$B$8&gt;50),"Assume a return between 0% and 50% a year.",""))))))</f>
        <v/>
      </c>
    </row>
    <row r="15">
      <c r="A15" s="3" t="inlineStr">
        <is>
          <t>Against your goal</t>
        </is>
      </c>
      <c r="B15" s="7">
        <f>IF(Calc!$G$10=0,"",ABS(Calc!$G$13))</f>
        <v>4312888.55105908</v>
      </c>
      <c r="C15" s="3" t="str">
        <f>IF(Calc!$G$10=0,"",IF(Calc!$G$13&gt;0.5,"short","to spare"))</f>
        <v>short</v>
      </c>
    </row>
    <row r="16">
      <c r="A16" s="3" t="inlineStr">
        <is>
          <t>Extra each month to close it</t>
        </is>
      </c>
      <c r="B16" s="7">
        <f>IF(Calc!$G$10=0,"",Calc!$G$14)</f>
        <v>10738.6969525043</v>
      </c>
      <c r="C16" s="19" t="inlineStr">
        <is>
          <t>On top of what you already invest each month.</t>
        </is>
      </c>
    </row>
    <row r="18">
      <c r="A18" s="6" t="inlineStr">
        <is>
          <t>Where that comes from</t>
        </is>
      </c>
      <c r="B18" s="6" t="inlineStr"/>
    </row>
    <row r="19">
      <c r="A19" s="3" t="inlineStr">
        <is>
          <t>What you already have, grown</t>
        </is>
      </c>
      <c r="B19" s="7">
        <f>IF(Calc!$G$10=0,"",Calc!$G$11)</f>
        <v>1670899.26776626</v>
      </c>
    </row>
    <row r="20">
      <c r="A20" s="3" t="inlineStr">
        <is>
          <t>What your monthly investing adds</t>
        </is>
      </c>
      <c r="B20" s="7">
        <f>IF(Calc!$G$10=0,"",Calc!$G$12)</f>
        <v>4016212.18117466</v>
      </c>
    </row>
    <row r="21">
      <c r="A21" s="3" t="inlineStr">
        <is>
          <t>Your own money paid in over the years</t>
        </is>
      </c>
      <c r="B21" s="7">
        <f>IF(Calc!$G$10=0,"",Calc!$G$15)</f>
        <v>1800000</v>
      </c>
    </row>
    <row r="22">
      <c r="A22" s="3" t="inlineStr">
        <is>
          <t>Growth on both</t>
        </is>
      </c>
      <c r="B22" s="7">
        <f>IF(Calc!$G$10=0,"",Calc!$G$11+Calc!$G$12-Calc!$G$15-IF($B$5="",0,$B$5))</f>
        <v>3487111.44894092</v>
      </c>
    </row>
    <row r="24">
      <c r="A24" s="6" t="inlineStr">
        <is>
          <t>What it would take</t>
        </is>
      </c>
      <c r="B24" s="6" t="inlineStr"/>
    </row>
    <row r="25">
      <c r="A25" s="3" t="inlineStr">
        <is>
          <t>The return this goal needs, a year</t>
        </is>
      </c>
      <c r="B25" s="10">
        <f>IF(Calc!$G$10=0,"",IF(Calc!$H$41="none","reached even at no return",IF(Calc!$H$41="high","more than 50% a year",Calc!$H$82)))</f>
        <v>0.155873722529118</v>
      </c>
      <c r="C25" s="19" t="str">
        <f>IF(Calc!$G$10=0,"","You assumed "&amp;TEXT($B$8/100,"0.0%")&amp;". The gap is the return you are hoping the market supplies.")</f>
        <v>You assumed 10.0%. The gap is the return you are hoping the market supplies.</v>
      </c>
    </row>
    <row r="26">
      <c r="A26" s="3" t="inlineStr">
        <is>
          <t>Doubling time at the return you assumed</t>
        </is>
      </c>
      <c r="B26" s="14">
        <f>IF(Calc!$G$10=0,"",IF(Calc!$G$1&lt;=0,"never",LN(2)/LN(1+Calc!$G$1)))</f>
        <v>7.27254089734171</v>
      </c>
    </row>
    <row r="28">
      <c r="A28" s="6" t="inlineStr">
        <is>
          <t>It depends what the market does</t>
        </is>
      </c>
      <c r="B28" s="6" t="inlineStr">
        <is>
          <t>You reach</t>
        </is>
      </c>
      <c r="C28" s="6" t="inlineStr">
        <is>
          <t>Extra needed each month</t>
        </is>
      </c>
    </row>
    <row r="29">
      <c r="A29" s="3" t="inlineStr">
        <is>
          <t>If returns average 6% a year</t>
        </is>
      </c>
      <c r="B29" s="16">
        <f>IF(Calc!$G$10=0,"",Calc!$M$20)</f>
        <v>3841707.8839288</v>
      </c>
      <c r="C29" s="16">
        <f>IF(Calc!$G$10=0,"",IF(Calc!$N$20&lt;=0,"nothing more",Calc!$N$20))</f>
        <v>21360.0811498338</v>
      </c>
    </row>
    <row r="30">
      <c r="A30" s="3" t="inlineStr">
        <is>
          <t>If returns average 8% a year</t>
        </is>
      </c>
      <c r="B30" s="16">
        <f>IF(Calc!$G$10=0,"",Calc!$M$21)</f>
        <v>4666652.35962412</v>
      </c>
      <c r="C30" s="16">
        <f>IF(Calc!$G$10=0,"",IF(Calc!$N$21&lt;=0,"nothing more",Calc!$N$21))</f>
        <v>15696.5437465398</v>
      </c>
    </row>
    <row r="31">
      <c r="A31" s="3" t="inlineStr">
        <is>
          <t>If returns average 10% a year</t>
        </is>
      </c>
      <c r="B31" s="16">
        <f>IF(Calc!$G$10=0,"",Calc!$M$22)</f>
        <v>5687111.44894092</v>
      </c>
      <c r="C31" s="16">
        <f>IF(Calc!$G$10=0,"",IF(Calc!$N$22&lt;=0,"nothing more",Calc!$N$22))</f>
        <v>10738.6969525043</v>
      </c>
    </row>
    <row r="32">
      <c r="A32" s="3" t="inlineStr">
        <is>
          <t>If returns average 12% a year</t>
        </is>
      </c>
      <c r="B32" s="16">
        <f>IF(Calc!$G$10=0,"",Calc!$M$23)</f>
        <v>6948740.29607244</v>
      </c>
      <c r="C32" s="16">
        <f>IF(Calc!$G$10=0,"",IF(Calc!$N$23&lt;=0,"nothing more",Calc!$N$23))</f>
        <v>6411.13342977474</v>
      </c>
    </row>
    <row r="33">
      <c r="A33" s="2" t="inlineStr">
        <is>
          <t>Nobody can tell you which of these rows the future will resemble.</t>
        </is>
      </c>
    </row>
    <row r="35">
      <c r="A35" s="6" t="inlineStr">
        <is>
          <t>If you did a little more</t>
        </is>
      </c>
      <c r="B35" s="6" t="inlineStr">
        <is>
          <t>You reach</t>
        </is>
      </c>
      <c r="C35" s="6" t="inlineStr">
        <is>
          <t>Against your goal</t>
        </is>
      </c>
    </row>
    <row r="36">
      <c r="A36" s="3" t="inlineStr">
        <is>
          <t>Carry on exactly as you are</t>
        </is>
      </c>
      <c r="B36" s="16">
        <f>IF(Calc!$G$10=0,"",Calc!$G$16)</f>
        <v>5687111.44894092</v>
      </c>
      <c r="C36" s="3" t="str">
        <f>IF(Calc!$G$10=0,"",IF(Calc!$G$16&gt;=$B$4,"covered, "&amp;TEXT(Calc!$G$16-$B$4,"#,##0")&amp;" to spare","short by "&amp;TEXT($B$4-Calc!$G$16,"#,##0")))</f>
        <v>short by 4,312,889</v>
      </c>
    </row>
    <row r="37">
      <c r="A37" s="3" t="inlineStr">
        <is>
          <t>Add ₹2,000 a month</t>
        </is>
      </c>
      <c r="B37" s="16">
        <f>IF(Calc!$G$10=0,"",Calc!$G$17)</f>
        <v>6490353.88517585</v>
      </c>
      <c r="C37" s="3" t="str">
        <f>IF(Calc!$G$10=0,"",IF(Calc!$G$17&gt;=$B$4,"covered, "&amp;TEXT(Calc!$G$17-$B$4,"#,##0")&amp;" to spare","short by "&amp;TEXT($B$4-Calc!$G$17,"#,##0")))</f>
        <v>short by 3,509,646</v>
      </c>
    </row>
    <row r="38">
      <c r="A38" s="3" t="inlineStr">
        <is>
          <t>Add ₹5,000 a month</t>
        </is>
      </c>
      <c r="B38" s="16">
        <f>IF(Calc!$G$10=0,"",Calc!$G$18)</f>
        <v>7695217.53952825</v>
      </c>
      <c r="C38" s="3" t="str">
        <f>IF(Calc!$G$10=0,"",IF(Calc!$G$18&gt;=$B$4,"covered, "&amp;TEXT(Calc!$G$18-$B$4,"#,##0")&amp;" to spare","short by "&amp;TEXT($B$4-Calc!$G$18,"#,##0")))</f>
        <v>short by 2,304,782</v>
      </c>
    </row>
    <row r="39">
      <c r="A39" s="3" t="inlineStr">
        <is>
          <t>Same amount, raised 10% every year</t>
        </is>
      </c>
      <c r="B39" s="16">
        <f>IF(Calc!$G$10=0,"",Calc!$G$19)</f>
        <v>8871261.78013131</v>
      </c>
      <c r="C39" s="3" t="str">
        <f>IF(Calc!$G$10=0,"",IF(Calc!$G$19&gt;=$B$4,"covered, "&amp;TEXT(Calc!$G$19-$B$4,"#,##0")&amp;" to spare","short by "&amp;TEXT($B$4-Calc!$G$19,"#,##0")))</f>
        <v>short by 1,128,738</v>
      </c>
    </row>
    <row r="41">
      <c r="A41" s="6" t="inlineStr">
        <is>
          <t>The goal in today's rupees</t>
        </is>
      </c>
      <c r="B41" s="6" t="inlineStr"/>
    </row>
    <row r="42">
      <c r="A42" s="3" t="inlineStr">
        <is>
          <t>What your target buys, in today's money</t>
        </is>
      </c>
      <c r="B42" s="7" t="str">
        <f>IF(Calc!$G$10=0,"",IF($B$10="","type an inflation figure in B10",$B$4/(1+$B$10/100)^$B$6))</f>
        <v>type an inflation figure in B10</v>
      </c>
    </row>
    <row r="43">
      <c r="A43" s="3" t="inlineStr">
        <is>
          <t>To keep today's buying power, aim for</t>
        </is>
      </c>
      <c r="B43" s="7" t="str">
        <f>IF(Calc!$G$10=0,"",IF($B$10="","",$B$4*(1+$B$10/100)^$B$6))</f>
        <v/>
      </c>
      <c r="C43" s="19" t="inlineStr">
        <is>
          <t>Then type that figure in B4 to see what it takes.</t>
        </is>
      </c>
    </row>
    <row r="45" ht="30" customHeight="1">
      <c r="A45" s="2" t="inlineStr">
        <is>
          <t>Every line above uses the return you typed in. It is an assumption, not a forecast, and it leaves out tax and exit loads.</t>
        </is>
      </c>
    </row>
    <row r="46" ht="30" customHeight="1">
      <c r="A46" s="2" t="inlineStr">
        <is>
          <t>Real markets do not deliver the same return every year, and a run of poor years early on hurts more than the same years late.</t>
        </is>
      </c>
    </row>
    <row r="47" ht="30" customHeight="1">
      <c r="A47" s="2" t="inlineStr">
        <is>
          <t>Each month's instalment is added at the start of the month and earns from then; the step-up applies once a year. The site's Plan my goal screen uses the same arithmetic.</t>
        </is>
      </c>
    </row>
  </sheetData>
  <sheetProtection selectLockedCells="0" selectUnlockedCells="0" sheet="1" objects="0" insertRows="1" insertHyperlinks="1" autoFilter="0" scenarios="0" formatColumns="0" deleteColumns="1" insertColumns="1" pivotTables="1" deleteRows="1" formatCells="0" formatRows="0" sort="0"/>
  <mergeCells count="5">
    <mergeCell ref="A13:C13"/>
    <mergeCell ref="A47:C47"/>
    <mergeCell ref="A45:C45"/>
    <mergeCell ref="A46:C46"/>
    <mergeCell ref="A2:C2"/>
  </mergeCells>
  <dataValidations count="7">
    <dataValidation sqref="B4" showDropDown="0" showInputMessage="0" showErrorMessage="0" allowBlank="1" type="decimal" operator="greaterThanOrEqual">
      <formula1>0</formula1>
    </dataValidation>
    <dataValidation sqref="B5" showDropDown="0" showInputMessage="0" showErrorMessage="0" allowBlank="1" type="decimal" operator="greaterThanOrEqual">
      <formula1>0</formula1>
    </dataValidation>
    <dataValidation sqref="B7" showDropDown="0" showInputMessage="0" showErrorMessage="0" allowBlank="1" type="decimal" operator="greaterThanOrEqual">
      <formula1>0</formula1>
    </dataValidation>
    <dataValidation sqref="B6" showDropDown="0" showInputMessage="0" showErrorMessage="1" allowBlank="1" error="Whole years between 1 and 50." type="whole" operator="between">
      <formula1>1</formula1>
      <formula2>50</formula2>
    </dataValidation>
    <dataValidation sqref="B8" showDropDown="0" showInputMessage="0" showErrorMessage="1" allowBlank="1" error="Out of the range this sheet illustrates." type="decimal" operator="between">
      <formula1>0</formula1>
      <formula2>50</formula2>
    </dataValidation>
    <dataValidation sqref="B9" showDropDown="0" showInputMessage="0" showErrorMessage="1" allowBlank="1" error="Out of the range this sheet illustrates." type="decimal" operator="between">
      <formula1>0</formula1>
      <formula2>25</formula2>
    </dataValidation>
    <dataValidation sqref="B10" showDropDown="0" showInputMessage="0" showErrorMessage="1" allowBlank="1" error="Out of the range this sheet illustrates." type="decimal" operator="between">
      <formula1>0</formula1>
      <formula2>25</formula2>
    </dataValidation>
  </dataValidations>
  <pageMargins left="0.75" right="0.75" top="1" bottom="1" header="0.5" footer="0.5"/>
</worksheet>
</file>

<file path=xl/worksheets/sheet4.xml><?xml version="1.0" encoding="utf-8"?>
<worksheet xmlns="http://schemas.openxmlformats.org/spreadsheetml/2006/main">
  <sheetPr>
    <tabColor rgb="001F4E5F"/>
    <outlinePr summaryBelow="1" summaryRight="1"/>
    <pageSetUpPr/>
  </sheetPr>
  <dimension ref="A1:E5007"/>
  <sheetViews>
    <sheetView showGridLines="0" workbookViewId="0">
      <pane ySplit="7" topLeftCell="A8" activePane="bottomLeft" state="frozen"/>
      <selection pane="bottomLeft" activeCell="A1" sqref="A1"/>
    </sheetView>
  </sheetViews>
  <sheetFormatPr baseColWidth="8" defaultRowHeight="15"/>
  <cols>
    <col width="14" customWidth="1" min="1" max="1"/>
    <col width="16" customWidth="1" min="2" max="2"/>
    <col width="3" customWidth="1" min="3" max="3"/>
    <col width="44" customWidth="1" min="4" max="4"/>
    <col width="22" customWidth="1" min="5" max="5"/>
  </cols>
  <sheetData>
    <row r="1">
      <c r="A1" s="1" t="inlineStr">
        <is>
          <t>Index history: the same rupees, on the same dates, in an index</t>
        </is>
      </c>
    </row>
    <row r="2" ht="34" customHeight="1">
      <c r="A2" s="2" t="inlineStr">
        <is>
          <t>Paste the index's dates in column A and its values in column B, oldest first, one row per day. Use the total return index (TRI) where one is published; a price index leaves dividends out. Up to 5,000 rows.</t>
        </is>
      </c>
    </row>
    <row r="3" ht="34" customHeight="1">
      <c r="A3" s="2" t="inlineStr">
        <is>
          <t>Every payment on My investments then buys units of this index at its value on that date, every withdrawal sells them, and the units left are valued on your Worth today date. The XIRR of those flows is what the same rupees would have earned in the index.</t>
        </is>
      </c>
    </row>
    <row r="7">
      <c r="A7" s="6" t="inlineStr">
        <is>
          <t>Date</t>
        </is>
      </c>
      <c r="B7" s="6" t="inlineStr">
        <is>
          <t>Index value</t>
        </is>
      </c>
      <c r="D7" s="6" t="inlineStr">
        <is>
          <t>The same rupees, on the same dates, in this index</t>
        </is>
      </c>
      <c r="E7" s="6" t="inlineStr"/>
    </row>
    <row r="8">
      <c r="A8" s="11" t="n"/>
      <c r="B8" s="21" t="n"/>
      <c r="D8" s="3" t="inlineStr">
        <is>
          <t>Your XIRR</t>
        </is>
      </c>
      <c r="E8" s="10" t="str">
        <f>'My investments'!$B$4</f>
        <v>Check the status line below</v>
      </c>
    </row>
    <row r="9">
      <c r="A9" s="11" t="n"/>
      <c r="B9" s="21" t="n"/>
      <c r="D9" s="3" t="inlineStr">
        <is>
          <t>In the index</t>
        </is>
      </c>
      <c r="E9" s="10" t="str">
        <f>IF(Calc!$D$10=0,"paste the index",IF(NOT(ISNUMBER('My investments'!$B$4)),"finish My investments first",IF(Calc!$D$12&gt;0,Calc!$D$12&amp;" of your payment dates fall outside the index",IF(Calc!$D$16=1,"the index ends more than a week before your Worth today date",IFERROR(XIRR(Calc!$Z$7:$Z$508,Calc!$Y$7:$Y$508),IFERROR(XIRR(Calc!$Z$7:$Z$508,Calc!$Y$7:$Y$508,-0.5),"no rate"))))))</f>
        <v>paste the index</v>
      </c>
    </row>
    <row r="10">
      <c r="A10" s="11" t="n"/>
      <c r="B10" s="21" t="n"/>
      <c r="D10" s="3" t="inlineStr">
        <is>
          <t>Your gain</t>
        </is>
      </c>
      <c r="E10" s="7" t="str">
        <f>IF(ISNUMBER($E$9),'My investments'!$I$6,"")</f>
        <v/>
      </c>
    </row>
    <row r="11">
      <c r="A11" s="11" t="n"/>
      <c r="B11" s="21" t="n"/>
      <c r="D11" s="3" t="inlineStr">
        <is>
          <t>Index gain</t>
        </is>
      </c>
      <c r="E11" s="7" t="str">
        <f>IF(ISNUMBER($E$9),Calc!$Z$508+Calc!$D$4-Calc!$D$3,"")</f>
        <v/>
      </c>
    </row>
    <row r="12">
      <c r="A12" s="11" t="n"/>
      <c r="B12" s="21" t="n"/>
      <c r="D12" s="3" t="inlineStr">
        <is>
          <t>Your money ran, a year</t>
        </is>
      </c>
      <c r="E12" s="22" t="str">
        <f>IF(ISNUMBER($E$9),'My investments'!$B$4-$E$9,"")</f>
        <v/>
      </c>
    </row>
    <row r="13" ht="48" customHeight="1">
      <c r="A13" s="11" t="n"/>
      <c r="B13" s="21" t="n"/>
      <c r="D13" s="2" t="inlineStr">
        <is>
          <t>Positive: ahead of the index. Both figures share your dates, so the difference is what your fund did with your money, not when you gave it. The index carries no costs and cannot be bought as it stands.</t>
        </is>
      </c>
    </row>
    <row r="14">
      <c r="A14" s="11" t="n"/>
      <c r="B14" s="21" t="n"/>
    </row>
    <row r="15">
      <c r="A15" s="11" t="n"/>
      <c r="B15" s="21" t="n"/>
      <c r="D15" s="3" t="inlineStr">
        <is>
          <t>Rows pasted</t>
        </is>
      </c>
      <c r="E15" s="23">
        <f>Calc!$D$10</f>
        <v>0</v>
      </c>
    </row>
    <row r="16">
      <c r="A16" s="11" t="n"/>
      <c r="B16" s="21" t="n"/>
      <c r="D16" s="3" t="inlineStr">
        <is>
          <t>Dates in order, oldest first?</t>
        </is>
      </c>
      <c r="E16" s="3" t="str">
        <f>IF(Calc!$D$10=0,"",IF(SUMPRODUCT(($A$9:$A$5007&lt;&gt;"")*($A$9:$A$5007&lt;$A$8:$A$5006))&gt;0,"No: sort them oldest to newest","Yes"))</f>
        <v/>
      </c>
    </row>
    <row r="17">
      <c r="A17" s="11" t="n"/>
      <c r="B17" s="21" t="n"/>
      <c r="D17" s="3" t="inlineStr">
        <is>
          <t>Dates read as text, not dates</t>
        </is>
      </c>
      <c r="E17" s="23">
        <f>SUMPRODUCT(--ISTEXT($A$8:$A$5007))</f>
        <v>0</v>
      </c>
    </row>
    <row r="18" ht="48" customHeight="1">
      <c r="A18" s="11" t="n"/>
      <c r="B18" s="21" t="n"/>
      <c r="D18" s="2" t="inlineStr">
        <is>
          <t>If that count is not zero, the pasted dates were not recognised: in Excel use Data, Text to Columns, and choose the date order; in Google Sheets, Format, Number, Date.</t>
        </is>
      </c>
    </row>
    <row r="19">
      <c r="A19" s="11" t="n"/>
      <c r="B19" s="21" t="n"/>
    </row>
    <row r="20">
      <c r="A20" s="11" t="n"/>
      <c r="B20" s="21" t="n"/>
      <c r="D20" s="3" t="inlineStr">
        <is>
          <t>Units of the index your rupees bought, net</t>
        </is>
      </c>
      <c r="E20" s="24" t="str">
        <f>IF(ISNUMBER($E$9),Calc!$D$13,"")</f>
        <v/>
      </c>
    </row>
    <row r="21">
      <c r="A21" s="11" t="n"/>
      <c r="B21" s="21" t="n"/>
      <c r="D21" s="3" t="inlineStr">
        <is>
          <t>Valued on the index date</t>
        </is>
      </c>
      <c r="E21" s="25" t="str">
        <f>IF(ISNUMBER($E$9),Calc!$D$17,"")</f>
        <v/>
      </c>
    </row>
    <row r="22">
      <c r="A22" s="11" t="n"/>
      <c r="B22" s="21" t="n"/>
      <c r="D22" s="3" t="inlineStr">
        <is>
          <t>At an index value of</t>
        </is>
      </c>
      <c r="E22" s="26" t="str">
        <f>IF(ISNUMBER($E$9),Calc!$D$14,"")</f>
        <v/>
      </c>
    </row>
    <row r="23">
      <c r="A23" s="11" t="n"/>
      <c r="B23" s="21" t="n"/>
    </row>
    <row r="24">
      <c r="A24" s="11" t="n"/>
      <c r="B24" s="21" t="n"/>
    </row>
    <row r="25">
      <c r="A25" s="11" t="n"/>
      <c r="B25" s="21" t="n"/>
    </row>
    <row r="26">
      <c r="A26" s="11" t="n"/>
      <c r="B26" s="21" t="n"/>
    </row>
    <row r="27">
      <c r="A27" s="11" t="n"/>
      <c r="B27" s="21" t="n"/>
    </row>
    <row r="28">
      <c r="A28" s="11" t="n"/>
      <c r="B28" s="21" t="n"/>
    </row>
    <row r="29">
      <c r="A29" s="11" t="n"/>
      <c r="B29" s="21" t="n"/>
    </row>
    <row r="30">
      <c r="A30" s="11" t="n"/>
      <c r="B30" s="21" t="n"/>
    </row>
    <row r="31">
      <c r="A31" s="11" t="n"/>
      <c r="B31" s="21" t="n"/>
    </row>
    <row r="32">
      <c r="A32" s="11" t="n"/>
      <c r="B32" s="21" t="n"/>
    </row>
    <row r="33">
      <c r="A33" s="11" t="n"/>
      <c r="B33" s="21" t="n"/>
    </row>
    <row r="34">
      <c r="A34" s="11" t="n"/>
      <c r="B34" s="21" t="n"/>
    </row>
    <row r="35">
      <c r="A35" s="11" t="n"/>
      <c r="B35" s="21" t="n"/>
    </row>
    <row r="36">
      <c r="A36" s="11" t="n"/>
      <c r="B36" s="21" t="n"/>
    </row>
    <row r="37">
      <c r="A37" s="11" t="n"/>
      <c r="B37" s="21" t="n"/>
    </row>
    <row r="38">
      <c r="A38" s="11" t="n"/>
      <c r="B38" s="21" t="n"/>
    </row>
    <row r="39">
      <c r="A39" s="11" t="n"/>
      <c r="B39" s="21" t="n"/>
    </row>
    <row r="40">
      <c r="A40" s="11" t="n"/>
      <c r="B40" s="21" t="n"/>
    </row>
    <row r="41">
      <c r="A41" s="11" t="n"/>
      <c r="B41" s="21" t="n"/>
    </row>
    <row r="42">
      <c r="A42" s="11" t="n"/>
      <c r="B42" s="21" t="n"/>
    </row>
    <row r="43">
      <c r="A43" s="11" t="n"/>
      <c r="B43" s="21" t="n"/>
    </row>
    <row r="44">
      <c r="A44" s="11" t="n"/>
      <c r="B44" s="21" t="n"/>
    </row>
    <row r="45">
      <c r="A45" s="11" t="n"/>
      <c r="B45" s="21" t="n"/>
    </row>
    <row r="46">
      <c r="A46" s="11" t="n"/>
      <c r="B46" s="21" t="n"/>
    </row>
    <row r="47">
      <c r="A47" s="11" t="n"/>
      <c r="B47" s="21" t="n"/>
    </row>
    <row r="48">
      <c r="A48" s="11" t="n"/>
      <c r="B48" s="21" t="n"/>
    </row>
    <row r="49">
      <c r="A49" s="11" t="n"/>
      <c r="B49" s="21" t="n"/>
    </row>
    <row r="50">
      <c r="A50" s="11" t="n"/>
      <c r="B50" s="21" t="n"/>
    </row>
    <row r="51">
      <c r="A51" s="11" t="n"/>
      <c r="B51" s="21" t="n"/>
    </row>
    <row r="52">
      <c r="A52" s="11" t="n"/>
      <c r="B52" s="21" t="n"/>
    </row>
    <row r="53">
      <c r="A53" s="11" t="n"/>
      <c r="B53" s="21" t="n"/>
    </row>
    <row r="54">
      <c r="A54" s="11" t="n"/>
      <c r="B54" s="21" t="n"/>
    </row>
    <row r="55">
      <c r="A55" s="11" t="n"/>
      <c r="B55" s="21" t="n"/>
    </row>
    <row r="56">
      <c r="A56" s="11" t="n"/>
      <c r="B56" s="21" t="n"/>
    </row>
    <row r="57">
      <c r="A57" s="11" t="n"/>
      <c r="B57" s="21" t="n"/>
    </row>
    <row r="58">
      <c r="A58" s="11" t="n"/>
      <c r="B58" s="21" t="n"/>
    </row>
    <row r="59">
      <c r="A59" s="11" t="n"/>
      <c r="B59" s="21" t="n"/>
    </row>
    <row r="60">
      <c r="A60" s="11" t="n"/>
      <c r="B60" s="21" t="n"/>
    </row>
    <row r="61">
      <c r="A61" s="11" t="n"/>
      <c r="B61" s="21" t="n"/>
    </row>
    <row r="62">
      <c r="A62" s="11" t="n"/>
      <c r="B62" s="21" t="n"/>
    </row>
    <row r="63">
      <c r="A63" s="11" t="n"/>
      <c r="B63" s="21" t="n"/>
    </row>
    <row r="64">
      <c r="A64" s="11" t="n"/>
      <c r="B64" s="21" t="n"/>
    </row>
    <row r="65">
      <c r="A65" s="11" t="n"/>
      <c r="B65" s="21" t="n"/>
    </row>
    <row r="66">
      <c r="A66" s="11" t="n"/>
      <c r="B66" s="21" t="n"/>
    </row>
    <row r="67">
      <c r="A67" s="11" t="n"/>
      <c r="B67" s="21" t="n"/>
    </row>
    <row r="68">
      <c r="A68" s="11" t="n"/>
      <c r="B68" s="21" t="n"/>
    </row>
    <row r="69">
      <c r="A69" s="11" t="n"/>
      <c r="B69" s="21" t="n"/>
    </row>
    <row r="70">
      <c r="A70" s="11" t="n"/>
      <c r="B70" s="21" t="n"/>
    </row>
    <row r="71">
      <c r="A71" s="11" t="n"/>
      <c r="B71" s="21" t="n"/>
    </row>
    <row r="72">
      <c r="A72" s="11" t="n"/>
      <c r="B72" s="21" t="n"/>
    </row>
    <row r="73">
      <c r="A73" s="11" t="n"/>
      <c r="B73" s="21" t="n"/>
    </row>
    <row r="74">
      <c r="A74" s="11" t="n"/>
      <c r="B74" s="21" t="n"/>
    </row>
    <row r="75">
      <c r="A75" s="11" t="n"/>
      <c r="B75" s="21" t="n"/>
    </row>
    <row r="76">
      <c r="A76" s="11" t="n"/>
      <c r="B76" s="21" t="n"/>
    </row>
    <row r="77">
      <c r="A77" s="11" t="n"/>
      <c r="B77" s="21" t="n"/>
    </row>
    <row r="78">
      <c r="A78" s="11" t="n"/>
      <c r="B78" s="21" t="n"/>
    </row>
    <row r="79">
      <c r="A79" s="11" t="n"/>
      <c r="B79" s="21" t="n"/>
    </row>
    <row r="80">
      <c r="A80" s="11" t="n"/>
      <c r="B80" s="21" t="n"/>
    </row>
    <row r="81">
      <c r="A81" s="11" t="n"/>
      <c r="B81" s="21" t="n"/>
    </row>
    <row r="82">
      <c r="A82" s="11" t="n"/>
      <c r="B82" s="21" t="n"/>
    </row>
    <row r="83">
      <c r="A83" s="11" t="n"/>
      <c r="B83" s="21" t="n"/>
    </row>
    <row r="84">
      <c r="A84" s="11" t="n"/>
      <c r="B84" s="21" t="n"/>
    </row>
    <row r="85">
      <c r="A85" s="11" t="n"/>
      <c r="B85" s="21" t="n"/>
    </row>
    <row r="86">
      <c r="A86" s="11" t="n"/>
      <c r="B86" s="21" t="n"/>
    </row>
    <row r="87">
      <c r="A87" s="11" t="n"/>
      <c r="B87" s="21" t="n"/>
    </row>
    <row r="88">
      <c r="A88" s="11" t="n"/>
      <c r="B88" s="21" t="n"/>
    </row>
    <row r="89">
      <c r="A89" s="11" t="n"/>
      <c r="B89" s="21" t="n"/>
    </row>
    <row r="90">
      <c r="A90" s="11" t="n"/>
      <c r="B90" s="21" t="n"/>
    </row>
    <row r="91">
      <c r="A91" s="11" t="n"/>
      <c r="B91" s="21" t="n"/>
    </row>
    <row r="92">
      <c r="A92" s="11" t="n"/>
      <c r="B92" s="21" t="n"/>
    </row>
    <row r="93">
      <c r="A93" s="11" t="n"/>
      <c r="B93" s="21" t="n"/>
    </row>
    <row r="94">
      <c r="A94" s="11" t="n"/>
      <c r="B94" s="21" t="n"/>
    </row>
    <row r="95">
      <c r="A95" s="11" t="n"/>
      <c r="B95" s="21" t="n"/>
    </row>
    <row r="96">
      <c r="A96" s="11" t="n"/>
      <c r="B96" s="21" t="n"/>
    </row>
    <row r="97">
      <c r="A97" s="11" t="n"/>
      <c r="B97" s="21" t="n"/>
    </row>
    <row r="98">
      <c r="A98" s="11" t="n"/>
      <c r="B98" s="21" t="n"/>
    </row>
    <row r="99">
      <c r="A99" s="11" t="n"/>
      <c r="B99" s="21" t="n"/>
    </row>
    <row r="100">
      <c r="A100" s="11" t="n"/>
      <c r="B100" s="21" t="n"/>
    </row>
    <row r="101">
      <c r="A101" s="11" t="n"/>
      <c r="B101" s="21" t="n"/>
    </row>
    <row r="102">
      <c r="A102" s="11" t="n"/>
      <c r="B102" s="21" t="n"/>
    </row>
    <row r="103">
      <c r="A103" s="11" t="n"/>
      <c r="B103" s="21" t="n"/>
    </row>
    <row r="104">
      <c r="A104" s="11" t="n"/>
      <c r="B104" s="21" t="n"/>
    </row>
    <row r="105">
      <c r="A105" s="11" t="n"/>
      <c r="B105" s="21" t="n"/>
    </row>
    <row r="106">
      <c r="A106" s="11" t="n"/>
      <c r="B106" s="21" t="n"/>
    </row>
    <row r="107">
      <c r="A107" s="11" t="n"/>
      <c r="B107" s="21" t="n"/>
    </row>
    <row r="108">
      <c r="A108" s="11" t="n"/>
      <c r="B108" s="21" t="n"/>
    </row>
    <row r="109">
      <c r="A109" s="11" t="n"/>
      <c r="B109" s="21" t="n"/>
    </row>
    <row r="110">
      <c r="A110" s="11" t="n"/>
      <c r="B110" s="21" t="n"/>
    </row>
    <row r="111">
      <c r="A111" s="11" t="n"/>
      <c r="B111" s="21" t="n"/>
    </row>
    <row r="112">
      <c r="A112" s="11" t="n"/>
      <c r="B112" s="21" t="n"/>
    </row>
    <row r="113">
      <c r="A113" s="11" t="n"/>
      <c r="B113" s="21" t="n"/>
    </row>
    <row r="114">
      <c r="A114" s="11" t="n"/>
      <c r="B114" s="21" t="n"/>
    </row>
    <row r="115">
      <c r="A115" s="11" t="n"/>
      <c r="B115" s="21" t="n"/>
    </row>
    <row r="116">
      <c r="A116" s="11" t="n"/>
      <c r="B116" s="21" t="n"/>
    </row>
    <row r="117">
      <c r="A117" s="11" t="n"/>
      <c r="B117" s="21" t="n"/>
    </row>
    <row r="118">
      <c r="A118" s="11" t="n"/>
      <c r="B118" s="21" t="n"/>
    </row>
    <row r="119">
      <c r="A119" s="11" t="n"/>
      <c r="B119" s="21" t="n"/>
    </row>
    <row r="120">
      <c r="A120" s="11" t="n"/>
      <c r="B120" s="21" t="n"/>
    </row>
    <row r="121">
      <c r="A121" s="11" t="n"/>
      <c r="B121" s="21" t="n"/>
    </row>
    <row r="122">
      <c r="A122" s="11" t="n"/>
      <c r="B122" s="21" t="n"/>
    </row>
    <row r="123">
      <c r="A123" s="11" t="n"/>
      <c r="B123" s="21" t="n"/>
    </row>
    <row r="124">
      <c r="A124" s="11" t="n"/>
      <c r="B124" s="21" t="n"/>
    </row>
    <row r="125">
      <c r="A125" s="11" t="n"/>
      <c r="B125" s="21" t="n"/>
    </row>
    <row r="126">
      <c r="A126" s="11" t="n"/>
      <c r="B126" s="21" t="n"/>
    </row>
    <row r="127">
      <c r="A127" s="11" t="n"/>
      <c r="B127" s="21" t="n"/>
    </row>
    <row r="128">
      <c r="A128" s="11" t="n"/>
      <c r="B128" s="21" t="n"/>
    </row>
    <row r="129">
      <c r="A129" s="11" t="n"/>
      <c r="B129" s="21" t="n"/>
    </row>
    <row r="130">
      <c r="A130" s="11" t="n"/>
      <c r="B130" s="21" t="n"/>
    </row>
    <row r="131">
      <c r="A131" s="11" t="n"/>
      <c r="B131" s="21" t="n"/>
    </row>
    <row r="132">
      <c r="A132" s="11" t="n"/>
      <c r="B132" s="21" t="n"/>
    </row>
    <row r="133">
      <c r="A133" s="11" t="n"/>
      <c r="B133" s="21" t="n"/>
    </row>
    <row r="134">
      <c r="A134" s="11" t="n"/>
      <c r="B134" s="21" t="n"/>
    </row>
    <row r="135">
      <c r="A135" s="11" t="n"/>
      <c r="B135" s="21" t="n"/>
    </row>
    <row r="136">
      <c r="A136" s="11" t="n"/>
      <c r="B136" s="21" t="n"/>
    </row>
    <row r="137">
      <c r="A137" s="11" t="n"/>
      <c r="B137" s="21" t="n"/>
    </row>
    <row r="138">
      <c r="A138" s="11" t="n"/>
      <c r="B138" s="21" t="n"/>
    </row>
    <row r="139">
      <c r="A139" s="11" t="n"/>
      <c r="B139" s="21" t="n"/>
    </row>
    <row r="140">
      <c r="A140" s="11" t="n"/>
      <c r="B140" s="21" t="n"/>
    </row>
    <row r="141">
      <c r="A141" s="11" t="n"/>
      <c r="B141" s="21" t="n"/>
    </row>
    <row r="142">
      <c r="A142" s="11" t="n"/>
      <c r="B142" s="21" t="n"/>
    </row>
    <row r="143">
      <c r="A143" s="11" t="n"/>
      <c r="B143" s="21" t="n"/>
    </row>
    <row r="144">
      <c r="A144" s="11" t="n"/>
      <c r="B144" s="21" t="n"/>
    </row>
    <row r="145">
      <c r="A145" s="11" t="n"/>
      <c r="B145" s="21" t="n"/>
    </row>
    <row r="146">
      <c r="A146" s="11" t="n"/>
      <c r="B146" s="21" t="n"/>
    </row>
    <row r="147">
      <c r="A147" s="11" t="n"/>
      <c r="B147" s="21" t="n"/>
    </row>
    <row r="148">
      <c r="A148" s="11" t="n"/>
      <c r="B148" s="21" t="n"/>
    </row>
    <row r="149">
      <c r="A149" s="11" t="n"/>
      <c r="B149" s="21" t="n"/>
    </row>
    <row r="150">
      <c r="A150" s="11" t="n"/>
      <c r="B150" s="21" t="n"/>
    </row>
    <row r="151">
      <c r="A151" s="11" t="n"/>
      <c r="B151" s="21" t="n"/>
    </row>
    <row r="152">
      <c r="A152" s="11" t="n"/>
      <c r="B152" s="21" t="n"/>
    </row>
    <row r="153">
      <c r="A153" s="11" t="n"/>
      <c r="B153" s="21" t="n"/>
    </row>
    <row r="154">
      <c r="A154" s="11" t="n"/>
      <c r="B154" s="21" t="n"/>
    </row>
    <row r="155">
      <c r="A155" s="11" t="n"/>
      <c r="B155" s="21" t="n"/>
    </row>
    <row r="156">
      <c r="A156" s="11" t="n"/>
      <c r="B156" s="21" t="n"/>
    </row>
    <row r="157">
      <c r="A157" s="11" t="n"/>
      <c r="B157" s="21" t="n"/>
    </row>
    <row r="158">
      <c r="A158" s="11" t="n"/>
      <c r="B158" s="21" t="n"/>
    </row>
    <row r="159">
      <c r="A159" s="11" t="n"/>
      <c r="B159" s="21" t="n"/>
    </row>
    <row r="160">
      <c r="A160" s="11" t="n"/>
      <c r="B160" s="21" t="n"/>
    </row>
    <row r="161">
      <c r="A161" s="11" t="n"/>
      <c r="B161" s="21" t="n"/>
    </row>
    <row r="162">
      <c r="A162" s="11" t="n"/>
      <c r="B162" s="21" t="n"/>
    </row>
    <row r="163">
      <c r="A163" s="11" t="n"/>
      <c r="B163" s="21" t="n"/>
    </row>
    <row r="164">
      <c r="A164" s="11" t="n"/>
      <c r="B164" s="21" t="n"/>
    </row>
    <row r="165">
      <c r="A165" s="11" t="n"/>
      <c r="B165" s="21" t="n"/>
    </row>
    <row r="166">
      <c r="A166" s="11" t="n"/>
      <c r="B166" s="21" t="n"/>
    </row>
    <row r="167">
      <c r="A167" s="11" t="n"/>
      <c r="B167" s="21" t="n"/>
    </row>
    <row r="168">
      <c r="A168" s="11" t="n"/>
      <c r="B168" s="21" t="n"/>
    </row>
    <row r="169">
      <c r="A169" s="11" t="n"/>
      <c r="B169" s="21" t="n"/>
    </row>
    <row r="170">
      <c r="A170" s="11" t="n"/>
      <c r="B170" s="21" t="n"/>
    </row>
    <row r="171">
      <c r="A171" s="11" t="n"/>
      <c r="B171" s="21" t="n"/>
    </row>
    <row r="172">
      <c r="A172" s="11" t="n"/>
      <c r="B172" s="21" t="n"/>
    </row>
    <row r="173">
      <c r="A173" s="11" t="n"/>
      <c r="B173" s="21" t="n"/>
    </row>
    <row r="174">
      <c r="A174" s="11" t="n"/>
      <c r="B174" s="21" t="n"/>
    </row>
    <row r="175">
      <c r="A175" s="11" t="n"/>
      <c r="B175" s="21" t="n"/>
    </row>
    <row r="176">
      <c r="A176" s="11" t="n"/>
      <c r="B176" s="21" t="n"/>
    </row>
    <row r="177">
      <c r="A177" s="11" t="n"/>
      <c r="B177" s="21" t="n"/>
    </row>
    <row r="178">
      <c r="A178" s="11" t="n"/>
      <c r="B178" s="21" t="n"/>
    </row>
    <row r="179">
      <c r="A179" s="11" t="n"/>
      <c r="B179" s="21" t="n"/>
    </row>
    <row r="180">
      <c r="A180" s="11" t="n"/>
      <c r="B180" s="21" t="n"/>
    </row>
    <row r="181">
      <c r="A181" s="11" t="n"/>
      <c r="B181" s="21" t="n"/>
    </row>
    <row r="182">
      <c r="A182" s="11" t="n"/>
      <c r="B182" s="21" t="n"/>
    </row>
    <row r="183">
      <c r="A183" s="11" t="n"/>
      <c r="B183" s="21" t="n"/>
    </row>
    <row r="184">
      <c r="A184" s="11" t="n"/>
      <c r="B184" s="21" t="n"/>
    </row>
    <row r="185">
      <c r="A185" s="11" t="n"/>
      <c r="B185" s="21" t="n"/>
    </row>
    <row r="186">
      <c r="A186" s="11" t="n"/>
      <c r="B186" s="21" t="n"/>
    </row>
    <row r="187">
      <c r="A187" s="11" t="n"/>
      <c r="B187" s="21" t="n"/>
    </row>
    <row r="188">
      <c r="A188" s="11" t="n"/>
      <c r="B188" s="21" t="n"/>
    </row>
    <row r="189">
      <c r="A189" s="11" t="n"/>
      <c r="B189" s="21" t="n"/>
    </row>
    <row r="190">
      <c r="A190" s="11" t="n"/>
      <c r="B190" s="21" t="n"/>
    </row>
    <row r="191">
      <c r="A191" s="11" t="n"/>
      <c r="B191" s="21" t="n"/>
    </row>
    <row r="192">
      <c r="A192" s="11" t="n"/>
      <c r="B192" s="21" t="n"/>
    </row>
    <row r="193">
      <c r="A193" s="11" t="n"/>
      <c r="B193" s="21" t="n"/>
    </row>
    <row r="194">
      <c r="A194" s="11" t="n"/>
      <c r="B194" s="21" t="n"/>
    </row>
    <row r="195">
      <c r="A195" s="11" t="n"/>
      <c r="B195" s="21" t="n"/>
    </row>
    <row r="196">
      <c r="A196" s="11" t="n"/>
      <c r="B196" s="21" t="n"/>
    </row>
    <row r="197">
      <c r="A197" s="11" t="n"/>
      <c r="B197" s="21" t="n"/>
    </row>
    <row r="198">
      <c r="A198" s="11" t="n"/>
      <c r="B198" s="21" t="n"/>
    </row>
    <row r="199">
      <c r="A199" s="11" t="n"/>
      <c r="B199" s="21" t="n"/>
    </row>
    <row r="200">
      <c r="A200" s="11" t="n"/>
      <c r="B200" s="21" t="n"/>
    </row>
    <row r="201">
      <c r="A201" s="11" t="n"/>
      <c r="B201" s="21" t="n"/>
    </row>
    <row r="202">
      <c r="A202" s="11" t="n"/>
      <c r="B202" s="21" t="n"/>
    </row>
    <row r="203">
      <c r="A203" s="11" t="n"/>
      <c r="B203" s="21" t="n"/>
    </row>
    <row r="204">
      <c r="A204" s="11" t="n"/>
      <c r="B204" s="21" t="n"/>
    </row>
    <row r="205">
      <c r="A205" s="11" t="n"/>
      <c r="B205" s="21" t="n"/>
    </row>
    <row r="206">
      <c r="A206" s="11" t="n"/>
      <c r="B206" s="21" t="n"/>
    </row>
    <row r="207">
      <c r="A207" s="11" t="n"/>
      <c r="B207" s="21" t="n"/>
    </row>
    <row r="208">
      <c r="A208" s="11" t="n"/>
      <c r="B208" s="21" t="n"/>
    </row>
    <row r="209">
      <c r="A209" s="11" t="n"/>
      <c r="B209" s="21" t="n"/>
    </row>
    <row r="210">
      <c r="A210" s="11" t="n"/>
      <c r="B210" s="21" t="n"/>
    </row>
    <row r="211">
      <c r="A211" s="11" t="n"/>
      <c r="B211" s="21" t="n"/>
    </row>
    <row r="212">
      <c r="A212" s="11" t="n"/>
      <c r="B212" s="21" t="n"/>
    </row>
    <row r="213">
      <c r="A213" s="11" t="n"/>
      <c r="B213" s="21" t="n"/>
    </row>
    <row r="214">
      <c r="A214" s="11" t="n"/>
      <c r="B214" s="21" t="n"/>
    </row>
    <row r="215">
      <c r="A215" s="11" t="n"/>
      <c r="B215" s="21" t="n"/>
    </row>
    <row r="216">
      <c r="A216" s="11" t="n"/>
      <c r="B216" s="21" t="n"/>
    </row>
    <row r="217">
      <c r="A217" s="11" t="n"/>
      <c r="B217" s="21" t="n"/>
    </row>
    <row r="218">
      <c r="A218" s="11" t="n"/>
      <c r="B218" s="21" t="n"/>
    </row>
    <row r="219">
      <c r="A219" s="11" t="n"/>
      <c r="B219" s="21" t="n"/>
    </row>
    <row r="220">
      <c r="A220" s="11" t="n"/>
      <c r="B220" s="21" t="n"/>
    </row>
    <row r="221">
      <c r="A221" s="11" t="n"/>
      <c r="B221" s="21" t="n"/>
    </row>
    <row r="222">
      <c r="A222" s="11" t="n"/>
      <c r="B222" s="21" t="n"/>
    </row>
    <row r="223">
      <c r="A223" s="11" t="n"/>
      <c r="B223" s="21" t="n"/>
    </row>
    <row r="224">
      <c r="A224" s="11" t="n"/>
      <c r="B224" s="21" t="n"/>
    </row>
    <row r="225">
      <c r="A225" s="11" t="n"/>
      <c r="B225" s="21" t="n"/>
    </row>
    <row r="226">
      <c r="A226" s="11" t="n"/>
      <c r="B226" s="21" t="n"/>
    </row>
    <row r="227">
      <c r="A227" s="11" t="n"/>
      <c r="B227" s="21" t="n"/>
    </row>
    <row r="228">
      <c r="A228" s="11" t="n"/>
      <c r="B228" s="21" t="n"/>
    </row>
    <row r="229">
      <c r="A229" s="11" t="n"/>
      <c r="B229" s="21" t="n"/>
    </row>
    <row r="230">
      <c r="A230" s="11" t="n"/>
      <c r="B230" s="21" t="n"/>
    </row>
    <row r="231">
      <c r="A231" s="11" t="n"/>
      <c r="B231" s="21" t="n"/>
    </row>
    <row r="232">
      <c r="A232" s="11" t="n"/>
      <c r="B232" s="21" t="n"/>
    </row>
    <row r="233">
      <c r="A233" s="11" t="n"/>
      <c r="B233" s="21" t="n"/>
    </row>
    <row r="234">
      <c r="A234" s="11" t="n"/>
      <c r="B234" s="21" t="n"/>
    </row>
    <row r="235">
      <c r="A235" s="11" t="n"/>
      <c r="B235" s="21" t="n"/>
    </row>
    <row r="236">
      <c r="A236" s="11" t="n"/>
      <c r="B236" s="21" t="n"/>
    </row>
    <row r="237">
      <c r="A237" s="11" t="n"/>
      <c r="B237" s="21" t="n"/>
    </row>
    <row r="238">
      <c r="A238" s="11" t="n"/>
      <c r="B238" s="21" t="n"/>
    </row>
    <row r="239">
      <c r="A239" s="11" t="n"/>
      <c r="B239" s="21" t="n"/>
    </row>
    <row r="240">
      <c r="A240" s="11" t="n"/>
      <c r="B240" s="21" t="n"/>
    </row>
    <row r="241">
      <c r="A241" s="11" t="n"/>
      <c r="B241" s="21" t="n"/>
    </row>
    <row r="242">
      <c r="A242" s="11" t="n"/>
      <c r="B242" s="21" t="n"/>
    </row>
    <row r="243">
      <c r="A243" s="11" t="n"/>
      <c r="B243" s="21" t="n"/>
    </row>
    <row r="244">
      <c r="A244" s="11" t="n"/>
      <c r="B244" s="21" t="n"/>
    </row>
    <row r="245">
      <c r="A245" s="11" t="n"/>
      <c r="B245" s="21" t="n"/>
    </row>
    <row r="246">
      <c r="A246" s="11" t="n"/>
      <c r="B246" s="21" t="n"/>
    </row>
    <row r="247">
      <c r="A247" s="11" t="n"/>
      <c r="B247" s="21" t="n"/>
    </row>
    <row r="248">
      <c r="A248" s="11" t="n"/>
      <c r="B248" s="21" t="n"/>
    </row>
    <row r="249">
      <c r="A249" s="11" t="n"/>
      <c r="B249" s="21" t="n"/>
    </row>
    <row r="250">
      <c r="A250" s="11" t="n"/>
      <c r="B250" s="21" t="n"/>
    </row>
    <row r="251">
      <c r="A251" s="11" t="n"/>
      <c r="B251" s="21" t="n"/>
    </row>
    <row r="252">
      <c r="A252" s="11" t="n"/>
      <c r="B252" s="21" t="n"/>
    </row>
    <row r="253">
      <c r="A253" s="11" t="n"/>
      <c r="B253" s="21" t="n"/>
    </row>
    <row r="254">
      <c r="A254" s="11" t="n"/>
      <c r="B254" s="21" t="n"/>
    </row>
    <row r="255">
      <c r="A255" s="11" t="n"/>
      <c r="B255" s="21" t="n"/>
    </row>
    <row r="256">
      <c r="A256" s="11" t="n"/>
      <c r="B256" s="21" t="n"/>
    </row>
    <row r="257">
      <c r="A257" s="11" t="n"/>
      <c r="B257" s="21" t="n"/>
    </row>
    <row r="258">
      <c r="A258" s="11" t="n"/>
      <c r="B258" s="21" t="n"/>
    </row>
    <row r="259">
      <c r="A259" s="11" t="n"/>
      <c r="B259" s="21" t="n"/>
    </row>
    <row r="260">
      <c r="A260" s="11" t="n"/>
      <c r="B260" s="21" t="n"/>
    </row>
    <row r="261">
      <c r="A261" s="11" t="n"/>
      <c r="B261" s="21" t="n"/>
    </row>
    <row r="262">
      <c r="A262" s="11" t="n"/>
      <c r="B262" s="21" t="n"/>
    </row>
    <row r="263">
      <c r="A263" s="11" t="n"/>
      <c r="B263" s="21" t="n"/>
    </row>
    <row r="264">
      <c r="A264" s="11" t="n"/>
      <c r="B264" s="21" t="n"/>
    </row>
    <row r="265">
      <c r="A265" s="11" t="n"/>
      <c r="B265" s="21" t="n"/>
    </row>
    <row r="266">
      <c r="A266" s="11" t="n"/>
      <c r="B266" s="21" t="n"/>
    </row>
    <row r="267">
      <c r="A267" s="11" t="n"/>
      <c r="B267" s="21" t="n"/>
    </row>
    <row r="268">
      <c r="A268" s="11" t="n"/>
      <c r="B268" s="21" t="n"/>
    </row>
    <row r="269">
      <c r="A269" s="11" t="n"/>
      <c r="B269" s="21" t="n"/>
    </row>
    <row r="270">
      <c r="A270" s="11" t="n"/>
      <c r="B270" s="21" t="n"/>
    </row>
    <row r="271">
      <c r="A271" s="11" t="n"/>
      <c r="B271" s="21" t="n"/>
    </row>
    <row r="272">
      <c r="A272" s="11" t="n"/>
      <c r="B272" s="21" t="n"/>
    </row>
    <row r="273">
      <c r="A273" s="11" t="n"/>
      <c r="B273" s="21" t="n"/>
    </row>
    <row r="274">
      <c r="A274" s="11" t="n"/>
      <c r="B274" s="21" t="n"/>
    </row>
    <row r="275">
      <c r="A275" s="11" t="n"/>
      <c r="B275" s="21" t="n"/>
    </row>
    <row r="276">
      <c r="A276" s="11" t="n"/>
      <c r="B276" s="21" t="n"/>
    </row>
    <row r="277">
      <c r="A277" s="11" t="n"/>
      <c r="B277" s="21" t="n"/>
    </row>
    <row r="278">
      <c r="A278" s="11" t="n"/>
      <c r="B278" s="21" t="n"/>
    </row>
    <row r="279">
      <c r="A279" s="11" t="n"/>
      <c r="B279" s="21" t="n"/>
    </row>
    <row r="280">
      <c r="A280" s="11" t="n"/>
      <c r="B280" s="21" t="n"/>
    </row>
    <row r="281">
      <c r="A281" s="11" t="n"/>
      <c r="B281" s="21" t="n"/>
    </row>
    <row r="282">
      <c r="A282" s="11" t="n"/>
      <c r="B282" s="21" t="n"/>
    </row>
    <row r="283">
      <c r="A283" s="11" t="n"/>
      <c r="B283" s="21" t="n"/>
    </row>
    <row r="284">
      <c r="A284" s="11" t="n"/>
      <c r="B284" s="21" t="n"/>
    </row>
    <row r="285">
      <c r="A285" s="11" t="n"/>
      <c r="B285" s="21" t="n"/>
    </row>
    <row r="286">
      <c r="A286" s="11" t="n"/>
      <c r="B286" s="21" t="n"/>
    </row>
    <row r="287">
      <c r="A287" s="11" t="n"/>
      <c r="B287" s="21" t="n"/>
    </row>
    <row r="288">
      <c r="A288" s="11" t="n"/>
      <c r="B288" s="21" t="n"/>
    </row>
    <row r="289">
      <c r="A289" s="11" t="n"/>
      <c r="B289" s="21" t="n"/>
    </row>
    <row r="290">
      <c r="A290" s="11" t="n"/>
      <c r="B290" s="21" t="n"/>
    </row>
    <row r="291">
      <c r="A291" s="11" t="n"/>
      <c r="B291" s="21" t="n"/>
    </row>
    <row r="292">
      <c r="A292" s="11" t="n"/>
      <c r="B292" s="21" t="n"/>
    </row>
    <row r="293">
      <c r="A293" s="11" t="n"/>
      <c r="B293" s="21" t="n"/>
    </row>
    <row r="294">
      <c r="A294" s="11" t="n"/>
      <c r="B294" s="21" t="n"/>
    </row>
    <row r="295">
      <c r="A295" s="11" t="n"/>
      <c r="B295" s="21" t="n"/>
    </row>
    <row r="296">
      <c r="A296" s="11" t="n"/>
      <c r="B296" s="21" t="n"/>
    </row>
    <row r="297">
      <c r="A297" s="11" t="n"/>
      <c r="B297" s="21" t="n"/>
    </row>
    <row r="298">
      <c r="A298" s="11" t="n"/>
      <c r="B298" s="21" t="n"/>
    </row>
    <row r="299">
      <c r="A299" s="11" t="n"/>
      <c r="B299" s="21" t="n"/>
    </row>
    <row r="300">
      <c r="A300" s="11" t="n"/>
      <c r="B300" s="21" t="n"/>
    </row>
    <row r="301">
      <c r="A301" s="11" t="n"/>
      <c r="B301" s="21" t="n"/>
    </row>
    <row r="302">
      <c r="A302" s="11" t="n"/>
      <c r="B302" s="21" t="n"/>
    </row>
    <row r="303">
      <c r="A303" s="11" t="n"/>
      <c r="B303" s="21" t="n"/>
    </row>
    <row r="304">
      <c r="A304" s="11" t="n"/>
      <c r="B304" s="21" t="n"/>
    </row>
    <row r="305">
      <c r="A305" s="11" t="n"/>
      <c r="B305" s="21" t="n"/>
    </row>
    <row r="306">
      <c r="A306" s="11" t="n"/>
      <c r="B306" s="21" t="n"/>
    </row>
    <row r="307">
      <c r="A307" s="11" t="n"/>
      <c r="B307" s="21" t="n"/>
    </row>
    <row r="308">
      <c r="A308" s="11" t="n"/>
      <c r="B308" s="21" t="n"/>
    </row>
    <row r="309">
      <c r="A309" s="11" t="n"/>
      <c r="B309" s="21" t="n"/>
    </row>
    <row r="310">
      <c r="A310" s="11" t="n"/>
      <c r="B310" s="21" t="n"/>
    </row>
    <row r="311">
      <c r="A311" s="11" t="n"/>
      <c r="B311" s="21" t="n"/>
    </row>
    <row r="312">
      <c r="A312" s="11" t="n"/>
      <c r="B312" s="21" t="n"/>
    </row>
    <row r="313">
      <c r="A313" s="11" t="n"/>
      <c r="B313" s="21" t="n"/>
    </row>
    <row r="314">
      <c r="A314" s="11" t="n"/>
      <c r="B314" s="21" t="n"/>
    </row>
    <row r="315">
      <c r="A315" s="11" t="n"/>
      <c r="B315" s="21" t="n"/>
    </row>
    <row r="316">
      <c r="A316" s="11" t="n"/>
      <c r="B316" s="21" t="n"/>
    </row>
    <row r="317">
      <c r="A317" s="11" t="n"/>
      <c r="B317" s="21" t="n"/>
    </row>
    <row r="318">
      <c r="A318" s="11" t="n"/>
      <c r="B318" s="21" t="n"/>
    </row>
    <row r="319">
      <c r="A319" s="11" t="n"/>
      <c r="B319" s="21" t="n"/>
    </row>
    <row r="320">
      <c r="A320" s="11" t="n"/>
      <c r="B320" s="21" t="n"/>
    </row>
    <row r="321">
      <c r="A321" s="11" t="n"/>
      <c r="B321" s="21" t="n"/>
    </row>
    <row r="322">
      <c r="A322" s="11" t="n"/>
      <c r="B322" s="21" t="n"/>
    </row>
    <row r="323">
      <c r="A323" s="11" t="n"/>
      <c r="B323" s="21" t="n"/>
    </row>
    <row r="324">
      <c r="A324" s="11" t="n"/>
      <c r="B324" s="21" t="n"/>
    </row>
    <row r="325">
      <c r="A325" s="11" t="n"/>
      <c r="B325" s="21" t="n"/>
    </row>
    <row r="326">
      <c r="A326" s="11" t="n"/>
      <c r="B326" s="21" t="n"/>
    </row>
    <row r="327">
      <c r="A327" s="11" t="n"/>
      <c r="B327" s="21" t="n"/>
    </row>
    <row r="328">
      <c r="A328" s="11" t="n"/>
      <c r="B328" s="21" t="n"/>
    </row>
    <row r="329">
      <c r="A329" s="11" t="n"/>
      <c r="B329" s="21" t="n"/>
    </row>
    <row r="330">
      <c r="A330" s="11" t="n"/>
      <c r="B330" s="21" t="n"/>
    </row>
    <row r="331">
      <c r="A331" s="11" t="n"/>
      <c r="B331" s="21" t="n"/>
    </row>
    <row r="332">
      <c r="A332" s="11" t="n"/>
      <c r="B332" s="21" t="n"/>
    </row>
    <row r="333">
      <c r="A333" s="11" t="n"/>
      <c r="B333" s="21" t="n"/>
    </row>
    <row r="334">
      <c r="A334" s="11" t="n"/>
      <c r="B334" s="21" t="n"/>
    </row>
    <row r="335">
      <c r="A335" s="11" t="n"/>
      <c r="B335" s="21" t="n"/>
    </row>
    <row r="336">
      <c r="A336" s="11" t="n"/>
      <c r="B336" s="21" t="n"/>
    </row>
    <row r="337">
      <c r="A337" s="11" t="n"/>
      <c r="B337" s="21" t="n"/>
    </row>
    <row r="338">
      <c r="A338" s="11" t="n"/>
      <c r="B338" s="21" t="n"/>
    </row>
    <row r="339">
      <c r="A339" s="11" t="n"/>
      <c r="B339" s="21" t="n"/>
    </row>
    <row r="340">
      <c r="A340" s="11" t="n"/>
      <c r="B340" s="21" t="n"/>
    </row>
    <row r="341">
      <c r="A341" s="11" t="n"/>
      <c r="B341" s="21" t="n"/>
    </row>
    <row r="342">
      <c r="A342" s="11" t="n"/>
      <c r="B342" s="21" t="n"/>
    </row>
    <row r="343">
      <c r="A343" s="11" t="n"/>
      <c r="B343" s="21" t="n"/>
    </row>
    <row r="344">
      <c r="A344" s="11" t="n"/>
      <c r="B344" s="21" t="n"/>
    </row>
    <row r="345">
      <c r="A345" s="11" t="n"/>
      <c r="B345" s="21" t="n"/>
    </row>
    <row r="346">
      <c r="A346" s="11" t="n"/>
      <c r="B346" s="21" t="n"/>
    </row>
    <row r="347">
      <c r="A347" s="11" t="n"/>
      <c r="B347" s="21" t="n"/>
    </row>
    <row r="348">
      <c r="A348" s="11" t="n"/>
      <c r="B348" s="21" t="n"/>
    </row>
    <row r="349">
      <c r="A349" s="11" t="n"/>
      <c r="B349" s="21" t="n"/>
    </row>
    <row r="350">
      <c r="A350" s="11" t="n"/>
      <c r="B350" s="21" t="n"/>
    </row>
    <row r="351">
      <c r="A351" s="11" t="n"/>
      <c r="B351" s="21" t="n"/>
    </row>
    <row r="352">
      <c r="A352" s="11" t="n"/>
      <c r="B352" s="21" t="n"/>
    </row>
    <row r="353">
      <c r="A353" s="11" t="n"/>
      <c r="B353" s="21" t="n"/>
    </row>
    <row r="354">
      <c r="A354" s="11" t="n"/>
      <c r="B354" s="21" t="n"/>
    </row>
    <row r="355">
      <c r="A355" s="11" t="n"/>
      <c r="B355" s="21" t="n"/>
    </row>
    <row r="356">
      <c r="A356" s="11" t="n"/>
      <c r="B356" s="21" t="n"/>
    </row>
    <row r="357">
      <c r="A357" s="11" t="n"/>
      <c r="B357" s="21" t="n"/>
    </row>
    <row r="358">
      <c r="A358" s="11" t="n"/>
      <c r="B358" s="21" t="n"/>
    </row>
    <row r="359">
      <c r="A359" s="11" t="n"/>
      <c r="B359" s="21" t="n"/>
    </row>
    <row r="360">
      <c r="A360" s="11" t="n"/>
      <c r="B360" s="21" t="n"/>
    </row>
    <row r="361">
      <c r="A361" s="11" t="n"/>
      <c r="B361" s="21" t="n"/>
    </row>
    <row r="362">
      <c r="A362" s="11" t="n"/>
      <c r="B362" s="21" t="n"/>
    </row>
    <row r="363">
      <c r="A363" s="11" t="n"/>
      <c r="B363" s="21" t="n"/>
    </row>
    <row r="364">
      <c r="A364" s="11" t="n"/>
      <c r="B364" s="21" t="n"/>
    </row>
    <row r="365">
      <c r="A365" s="11" t="n"/>
      <c r="B365" s="21" t="n"/>
    </row>
    <row r="366">
      <c r="A366" s="11" t="n"/>
      <c r="B366" s="21" t="n"/>
    </row>
    <row r="367">
      <c r="A367" s="11" t="n"/>
      <c r="B367" s="21" t="n"/>
    </row>
    <row r="368">
      <c r="A368" s="11" t="n"/>
      <c r="B368" s="21" t="n"/>
    </row>
    <row r="369">
      <c r="A369" s="11" t="n"/>
      <c r="B369" s="21" t="n"/>
    </row>
    <row r="370">
      <c r="A370" s="11" t="n"/>
      <c r="B370" s="21" t="n"/>
    </row>
    <row r="371">
      <c r="A371" s="11" t="n"/>
      <c r="B371" s="21" t="n"/>
    </row>
    <row r="372">
      <c r="A372" s="11" t="n"/>
      <c r="B372" s="21" t="n"/>
    </row>
    <row r="373">
      <c r="A373" s="11" t="n"/>
      <c r="B373" s="21" t="n"/>
    </row>
    <row r="374">
      <c r="A374" s="11" t="n"/>
      <c r="B374" s="21" t="n"/>
    </row>
    <row r="375">
      <c r="A375" s="11" t="n"/>
      <c r="B375" s="21" t="n"/>
    </row>
    <row r="376">
      <c r="A376" s="11" t="n"/>
      <c r="B376" s="21" t="n"/>
    </row>
    <row r="377">
      <c r="A377" s="11" t="n"/>
      <c r="B377" s="21" t="n"/>
    </row>
    <row r="378">
      <c r="A378" s="11" t="n"/>
      <c r="B378" s="21" t="n"/>
    </row>
    <row r="379">
      <c r="A379" s="11" t="n"/>
      <c r="B379" s="21" t="n"/>
    </row>
    <row r="380">
      <c r="A380" s="11" t="n"/>
      <c r="B380" s="21" t="n"/>
    </row>
    <row r="381">
      <c r="A381" s="11" t="n"/>
      <c r="B381" s="21" t="n"/>
    </row>
    <row r="382">
      <c r="A382" s="11" t="n"/>
      <c r="B382" s="21" t="n"/>
    </row>
    <row r="383">
      <c r="A383" s="11" t="n"/>
      <c r="B383" s="21" t="n"/>
    </row>
    <row r="384">
      <c r="A384" s="11" t="n"/>
      <c r="B384" s="21" t="n"/>
    </row>
    <row r="385">
      <c r="A385" s="11" t="n"/>
      <c r="B385" s="21" t="n"/>
    </row>
    <row r="386">
      <c r="A386" s="11" t="n"/>
      <c r="B386" s="21" t="n"/>
    </row>
    <row r="387">
      <c r="A387" s="11" t="n"/>
      <c r="B387" s="21" t="n"/>
    </row>
    <row r="388">
      <c r="A388" s="11" t="n"/>
      <c r="B388" s="21" t="n"/>
    </row>
    <row r="389">
      <c r="A389" s="11" t="n"/>
      <c r="B389" s="21" t="n"/>
    </row>
    <row r="390">
      <c r="A390" s="11" t="n"/>
      <c r="B390" s="21" t="n"/>
    </row>
    <row r="391">
      <c r="A391" s="11" t="n"/>
      <c r="B391" s="21" t="n"/>
    </row>
    <row r="392">
      <c r="A392" s="11" t="n"/>
      <c r="B392" s="21" t="n"/>
    </row>
    <row r="393">
      <c r="A393" s="11" t="n"/>
      <c r="B393" s="21" t="n"/>
    </row>
    <row r="394">
      <c r="A394" s="11" t="n"/>
      <c r="B394" s="21" t="n"/>
    </row>
    <row r="395">
      <c r="A395" s="11" t="n"/>
      <c r="B395" s="21" t="n"/>
    </row>
    <row r="396">
      <c r="A396" s="11" t="n"/>
      <c r="B396" s="21" t="n"/>
    </row>
    <row r="397">
      <c r="A397" s="11" t="n"/>
      <c r="B397" s="21" t="n"/>
    </row>
    <row r="398">
      <c r="A398" s="11" t="n"/>
      <c r="B398" s="21" t="n"/>
    </row>
    <row r="399">
      <c r="A399" s="11" t="n"/>
      <c r="B399" s="21" t="n"/>
    </row>
    <row r="400">
      <c r="A400" s="11" t="n"/>
      <c r="B400" s="21" t="n"/>
    </row>
    <row r="401">
      <c r="A401" s="11" t="n"/>
      <c r="B401" s="21" t="n"/>
    </row>
    <row r="402">
      <c r="A402" s="11" t="n"/>
      <c r="B402" s="21" t="n"/>
    </row>
    <row r="403">
      <c r="A403" s="11" t="n"/>
      <c r="B403" s="21" t="n"/>
    </row>
    <row r="404">
      <c r="A404" s="11" t="n"/>
      <c r="B404" s="21" t="n"/>
    </row>
    <row r="405">
      <c r="A405" s="11" t="n"/>
      <c r="B405" s="21" t="n"/>
    </row>
    <row r="406">
      <c r="A406" s="11" t="n"/>
      <c r="B406" s="21" t="n"/>
    </row>
    <row r="407">
      <c r="A407" s="11" t="n"/>
      <c r="B407" s="21" t="n"/>
    </row>
    <row r="408">
      <c r="A408" s="11" t="n"/>
      <c r="B408" s="21" t="n"/>
    </row>
    <row r="409">
      <c r="A409" s="11" t="n"/>
      <c r="B409" s="21" t="n"/>
    </row>
    <row r="410">
      <c r="A410" s="11" t="n"/>
      <c r="B410" s="21" t="n"/>
    </row>
    <row r="411">
      <c r="A411" s="11" t="n"/>
      <c r="B411" s="21" t="n"/>
    </row>
    <row r="412">
      <c r="A412" s="11" t="n"/>
      <c r="B412" s="21" t="n"/>
    </row>
    <row r="413">
      <c r="A413" s="11" t="n"/>
      <c r="B413" s="21" t="n"/>
    </row>
    <row r="414">
      <c r="A414" s="11" t="n"/>
      <c r="B414" s="21" t="n"/>
    </row>
    <row r="415">
      <c r="A415" s="11" t="n"/>
      <c r="B415" s="21" t="n"/>
    </row>
    <row r="416">
      <c r="A416" s="11" t="n"/>
      <c r="B416" s="21" t="n"/>
    </row>
    <row r="417">
      <c r="A417" s="11" t="n"/>
      <c r="B417" s="21" t="n"/>
    </row>
    <row r="418">
      <c r="A418" s="11" t="n"/>
      <c r="B418" s="21" t="n"/>
    </row>
    <row r="419">
      <c r="A419" s="11" t="n"/>
      <c r="B419" s="21" t="n"/>
    </row>
    <row r="420">
      <c r="A420" s="11" t="n"/>
      <c r="B420" s="21" t="n"/>
    </row>
    <row r="421">
      <c r="A421" s="11" t="n"/>
      <c r="B421" s="21" t="n"/>
    </row>
    <row r="422">
      <c r="A422" s="11" t="n"/>
      <c r="B422" s="21" t="n"/>
    </row>
    <row r="423">
      <c r="A423" s="11" t="n"/>
      <c r="B423" s="21" t="n"/>
    </row>
    <row r="424">
      <c r="A424" s="11" t="n"/>
      <c r="B424" s="21" t="n"/>
    </row>
    <row r="425">
      <c r="A425" s="11" t="n"/>
      <c r="B425" s="21" t="n"/>
    </row>
    <row r="426">
      <c r="A426" s="11" t="n"/>
      <c r="B426" s="21" t="n"/>
    </row>
    <row r="427">
      <c r="A427" s="11" t="n"/>
      <c r="B427" s="21" t="n"/>
    </row>
    <row r="428">
      <c r="A428" s="11" t="n"/>
      <c r="B428" s="21" t="n"/>
    </row>
    <row r="429">
      <c r="A429" s="11" t="n"/>
      <c r="B429" s="21" t="n"/>
    </row>
    <row r="430">
      <c r="A430" s="11" t="n"/>
      <c r="B430" s="21" t="n"/>
    </row>
    <row r="431">
      <c r="A431" s="11" t="n"/>
      <c r="B431" s="21" t="n"/>
    </row>
    <row r="432">
      <c r="A432" s="11" t="n"/>
      <c r="B432" s="21" t="n"/>
    </row>
    <row r="433">
      <c r="A433" s="11" t="n"/>
      <c r="B433" s="21" t="n"/>
    </row>
    <row r="434">
      <c r="A434" s="11" t="n"/>
      <c r="B434" s="21" t="n"/>
    </row>
    <row r="435">
      <c r="A435" s="11" t="n"/>
      <c r="B435" s="21" t="n"/>
    </row>
    <row r="436">
      <c r="A436" s="11" t="n"/>
      <c r="B436" s="21" t="n"/>
    </row>
    <row r="437">
      <c r="A437" s="11" t="n"/>
      <c r="B437" s="21" t="n"/>
    </row>
    <row r="438">
      <c r="A438" s="11" t="n"/>
      <c r="B438" s="21" t="n"/>
    </row>
    <row r="439">
      <c r="A439" s="11" t="n"/>
      <c r="B439" s="21" t="n"/>
    </row>
    <row r="440">
      <c r="A440" s="11" t="n"/>
      <c r="B440" s="21" t="n"/>
    </row>
    <row r="441">
      <c r="A441" s="11" t="n"/>
      <c r="B441" s="21" t="n"/>
    </row>
    <row r="442">
      <c r="A442" s="11" t="n"/>
      <c r="B442" s="21" t="n"/>
    </row>
    <row r="443">
      <c r="A443" s="11" t="n"/>
      <c r="B443" s="21" t="n"/>
    </row>
    <row r="444">
      <c r="A444" s="11" t="n"/>
      <c r="B444" s="21" t="n"/>
    </row>
    <row r="445">
      <c r="A445" s="11" t="n"/>
      <c r="B445" s="21" t="n"/>
    </row>
    <row r="446">
      <c r="A446" s="11" t="n"/>
      <c r="B446" s="21" t="n"/>
    </row>
    <row r="447">
      <c r="A447" s="11" t="n"/>
      <c r="B447" s="21" t="n"/>
    </row>
    <row r="448">
      <c r="A448" s="11" t="n"/>
      <c r="B448" s="21" t="n"/>
    </row>
    <row r="449">
      <c r="A449" s="11" t="n"/>
      <c r="B449" s="21" t="n"/>
    </row>
    <row r="450">
      <c r="A450" s="11" t="n"/>
      <c r="B450" s="21" t="n"/>
    </row>
    <row r="451">
      <c r="A451" s="11" t="n"/>
      <c r="B451" s="21" t="n"/>
    </row>
    <row r="452">
      <c r="A452" s="11" t="n"/>
      <c r="B452" s="21" t="n"/>
    </row>
    <row r="453">
      <c r="A453" s="11" t="n"/>
      <c r="B453" s="21" t="n"/>
    </row>
    <row r="454">
      <c r="A454" s="11" t="n"/>
      <c r="B454" s="21" t="n"/>
    </row>
    <row r="455">
      <c r="A455" s="11" t="n"/>
      <c r="B455" s="21" t="n"/>
    </row>
    <row r="456">
      <c r="A456" s="11" t="n"/>
      <c r="B456" s="21" t="n"/>
    </row>
    <row r="457">
      <c r="A457" s="11" t="n"/>
      <c r="B457" s="21" t="n"/>
    </row>
    <row r="458">
      <c r="A458" s="11" t="n"/>
      <c r="B458" s="21" t="n"/>
    </row>
    <row r="459">
      <c r="A459" s="11" t="n"/>
      <c r="B459" s="21" t="n"/>
    </row>
    <row r="460">
      <c r="A460" s="11" t="n"/>
      <c r="B460" s="21" t="n"/>
    </row>
    <row r="461">
      <c r="A461" s="11" t="n"/>
      <c r="B461" s="21" t="n"/>
    </row>
    <row r="462">
      <c r="A462" s="11" t="n"/>
      <c r="B462" s="21" t="n"/>
    </row>
    <row r="463">
      <c r="A463" s="11" t="n"/>
      <c r="B463" s="21" t="n"/>
    </row>
    <row r="464">
      <c r="A464" s="11" t="n"/>
      <c r="B464" s="21" t="n"/>
    </row>
    <row r="465">
      <c r="A465" s="11" t="n"/>
      <c r="B465" s="21" t="n"/>
    </row>
    <row r="466">
      <c r="A466" s="11" t="n"/>
      <c r="B466" s="21" t="n"/>
    </row>
    <row r="467">
      <c r="A467" s="11" t="n"/>
      <c r="B467" s="21" t="n"/>
    </row>
    <row r="468">
      <c r="A468" s="11" t="n"/>
      <c r="B468" s="21" t="n"/>
    </row>
    <row r="469">
      <c r="A469" s="11" t="n"/>
      <c r="B469" s="21" t="n"/>
    </row>
    <row r="470">
      <c r="A470" s="11" t="n"/>
      <c r="B470" s="21" t="n"/>
    </row>
    <row r="471">
      <c r="A471" s="11" t="n"/>
      <c r="B471" s="21" t="n"/>
    </row>
    <row r="472">
      <c r="A472" s="11" t="n"/>
      <c r="B472" s="21" t="n"/>
    </row>
    <row r="473">
      <c r="A473" s="11" t="n"/>
      <c r="B473" s="21" t="n"/>
    </row>
    <row r="474">
      <c r="A474" s="11" t="n"/>
      <c r="B474" s="21" t="n"/>
    </row>
    <row r="475">
      <c r="A475" s="11" t="n"/>
      <c r="B475" s="21" t="n"/>
    </row>
    <row r="476">
      <c r="A476" s="11" t="n"/>
      <c r="B476" s="21" t="n"/>
    </row>
    <row r="477">
      <c r="A477" s="11" t="n"/>
      <c r="B477" s="21" t="n"/>
    </row>
    <row r="478">
      <c r="A478" s="11" t="n"/>
      <c r="B478" s="21" t="n"/>
    </row>
    <row r="479">
      <c r="A479" s="11" t="n"/>
      <c r="B479" s="21" t="n"/>
    </row>
    <row r="480">
      <c r="A480" s="11" t="n"/>
      <c r="B480" s="21" t="n"/>
    </row>
    <row r="481">
      <c r="A481" s="11" t="n"/>
      <c r="B481" s="21" t="n"/>
    </row>
    <row r="482">
      <c r="A482" s="11" t="n"/>
      <c r="B482" s="21" t="n"/>
    </row>
    <row r="483">
      <c r="A483" s="11" t="n"/>
      <c r="B483" s="21" t="n"/>
    </row>
    <row r="484">
      <c r="A484" s="11" t="n"/>
      <c r="B484" s="21" t="n"/>
    </row>
    <row r="485">
      <c r="A485" s="11" t="n"/>
      <c r="B485" s="21" t="n"/>
    </row>
    <row r="486">
      <c r="A486" s="11" t="n"/>
      <c r="B486" s="21" t="n"/>
    </row>
    <row r="487">
      <c r="A487" s="11" t="n"/>
      <c r="B487" s="21" t="n"/>
    </row>
    <row r="488">
      <c r="A488" s="11" t="n"/>
      <c r="B488" s="21" t="n"/>
    </row>
    <row r="489">
      <c r="A489" s="11" t="n"/>
      <c r="B489" s="21" t="n"/>
    </row>
    <row r="490">
      <c r="A490" s="11" t="n"/>
      <c r="B490" s="21" t="n"/>
    </row>
    <row r="491">
      <c r="A491" s="11" t="n"/>
      <c r="B491" s="21" t="n"/>
    </row>
    <row r="492">
      <c r="A492" s="11" t="n"/>
      <c r="B492" s="21" t="n"/>
    </row>
    <row r="493">
      <c r="A493" s="11" t="n"/>
      <c r="B493" s="21" t="n"/>
    </row>
    <row r="494">
      <c r="A494" s="11" t="n"/>
      <c r="B494" s="21" t="n"/>
    </row>
    <row r="495">
      <c r="A495" s="11" t="n"/>
      <c r="B495" s="21" t="n"/>
    </row>
    <row r="496">
      <c r="A496" s="11" t="n"/>
      <c r="B496" s="21" t="n"/>
    </row>
    <row r="497">
      <c r="A497" s="11" t="n"/>
      <c r="B497" s="21" t="n"/>
    </row>
    <row r="498">
      <c r="A498" s="11" t="n"/>
      <c r="B498" s="21" t="n"/>
    </row>
    <row r="499">
      <c r="A499" s="11" t="n"/>
      <c r="B499" s="21" t="n"/>
    </row>
    <row r="500">
      <c r="A500" s="11" t="n"/>
      <c r="B500" s="21" t="n"/>
    </row>
    <row r="501">
      <c r="A501" s="11" t="n"/>
      <c r="B501" s="21" t="n"/>
    </row>
    <row r="502">
      <c r="A502" s="11" t="n"/>
      <c r="B502" s="21" t="n"/>
    </row>
    <row r="503">
      <c r="A503" s="11" t="n"/>
      <c r="B503" s="21" t="n"/>
    </row>
    <row r="504">
      <c r="A504" s="11" t="n"/>
      <c r="B504" s="21" t="n"/>
    </row>
    <row r="505">
      <c r="A505" s="11" t="n"/>
      <c r="B505" s="21" t="n"/>
    </row>
    <row r="506">
      <c r="A506" s="11" t="n"/>
      <c r="B506" s="21" t="n"/>
    </row>
    <row r="507">
      <c r="A507" s="11" t="n"/>
      <c r="B507" s="21" t="n"/>
    </row>
    <row r="508">
      <c r="A508" s="11" t="n"/>
      <c r="B508" s="21" t="n"/>
    </row>
    <row r="509">
      <c r="A509" s="11" t="n"/>
      <c r="B509" s="21" t="n"/>
    </row>
    <row r="510">
      <c r="A510" s="11" t="n"/>
      <c r="B510" s="21" t="n"/>
    </row>
    <row r="511">
      <c r="A511" s="11" t="n"/>
      <c r="B511" s="21" t="n"/>
    </row>
    <row r="512">
      <c r="A512" s="11" t="n"/>
      <c r="B512" s="21" t="n"/>
    </row>
    <row r="513">
      <c r="A513" s="11" t="n"/>
      <c r="B513" s="21" t="n"/>
    </row>
    <row r="514">
      <c r="A514" s="11" t="n"/>
      <c r="B514" s="21" t="n"/>
    </row>
    <row r="515">
      <c r="A515" s="11" t="n"/>
      <c r="B515" s="21" t="n"/>
    </row>
    <row r="516">
      <c r="A516" s="11" t="n"/>
      <c r="B516" s="21" t="n"/>
    </row>
    <row r="517">
      <c r="A517" s="11" t="n"/>
      <c r="B517" s="21" t="n"/>
    </row>
    <row r="518">
      <c r="A518" s="11" t="n"/>
      <c r="B518" s="21" t="n"/>
    </row>
    <row r="519">
      <c r="A519" s="11" t="n"/>
      <c r="B519" s="21" t="n"/>
    </row>
    <row r="520">
      <c r="A520" s="11" t="n"/>
      <c r="B520" s="21" t="n"/>
    </row>
    <row r="521">
      <c r="A521" s="11" t="n"/>
      <c r="B521" s="21" t="n"/>
    </row>
    <row r="522">
      <c r="A522" s="11" t="n"/>
      <c r="B522" s="21" t="n"/>
    </row>
    <row r="523">
      <c r="A523" s="11" t="n"/>
      <c r="B523" s="21" t="n"/>
    </row>
    <row r="524">
      <c r="A524" s="11" t="n"/>
      <c r="B524" s="21" t="n"/>
    </row>
    <row r="525">
      <c r="A525" s="11" t="n"/>
      <c r="B525" s="21" t="n"/>
    </row>
    <row r="526">
      <c r="A526" s="11" t="n"/>
      <c r="B526" s="21" t="n"/>
    </row>
    <row r="527">
      <c r="A527" s="11" t="n"/>
      <c r="B527" s="21" t="n"/>
    </row>
    <row r="528">
      <c r="A528" s="11" t="n"/>
      <c r="B528" s="21" t="n"/>
    </row>
    <row r="529">
      <c r="A529" s="11" t="n"/>
      <c r="B529" s="21" t="n"/>
    </row>
    <row r="530">
      <c r="A530" s="11" t="n"/>
      <c r="B530" s="21" t="n"/>
    </row>
    <row r="531">
      <c r="A531" s="11" t="n"/>
      <c r="B531" s="21" t="n"/>
    </row>
    <row r="532">
      <c r="A532" s="11" t="n"/>
      <c r="B532" s="21" t="n"/>
    </row>
    <row r="533">
      <c r="A533" s="11" t="n"/>
      <c r="B533" s="21" t="n"/>
    </row>
    <row r="534">
      <c r="A534" s="11" t="n"/>
      <c r="B534" s="21" t="n"/>
    </row>
    <row r="535">
      <c r="A535" s="11" t="n"/>
      <c r="B535" s="21" t="n"/>
    </row>
    <row r="536">
      <c r="A536" s="11" t="n"/>
      <c r="B536" s="21" t="n"/>
    </row>
    <row r="537">
      <c r="A537" s="11" t="n"/>
      <c r="B537" s="21" t="n"/>
    </row>
    <row r="538">
      <c r="A538" s="11" t="n"/>
      <c r="B538" s="21" t="n"/>
    </row>
    <row r="539">
      <c r="A539" s="11" t="n"/>
      <c r="B539" s="21" t="n"/>
    </row>
    <row r="540">
      <c r="A540" s="11" t="n"/>
      <c r="B540" s="21" t="n"/>
    </row>
    <row r="541">
      <c r="A541" s="11" t="n"/>
      <c r="B541" s="21" t="n"/>
    </row>
    <row r="542">
      <c r="A542" s="11" t="n"/>
      <c r="B542" s="21" t="n"/>
    </row>
    <row r="543">
      <c r="A543" s="11" t="n"/>
      <c r="B543" s="21" t="n"/>
    </row>
    <row r="544">
      <c r="A544" s="11" t="n"/>
      <c r="B544" s="21" t="n"/>
    </row>
    <row r="545">
      <c r="A545" s="11" t="n"/>
      <c r="B545" s="21" t="n"/>
    </row>
    <row r="546">
      <c r="A546" s="11" t="n"/>
      <c r="B546" s="21" t="n"/>
    </row>
    <row r="547">
      <c r="A547" s="11" t="n"/>
      <c r="B547" s="21" t="n"/>
    </row>
    <row r="548">
      <c r="A548" s="11" t="n"/>
      <c r="B548" s="21" t="n"/>
    </row>
    <row r="549">
      <c r="A549" s="11" t="n"/>
      <c r="B549" s="21" t="n"/>
    </row>
    <row r="550">
      <c r="A550" s="11" t="n"/>
      <c r="B550" s="21" t="n"/>
    </row>
    <row r="551">
      <c r="A551" s="11" t="n"/>
      <c r="B551" s="21" t="n"/>
    </row>
    <row r="552">
      <c r="A552" s="11" t="n"/>
      <c r="B552" s="21" t="n"/>
    </row>
    <row r="553">
      <c r="A553" s="11" t="n"/>
      <c r="B553" s="21" t="n"/>
    </row>
    <row r="554">
      <c r="A554" s="11" t="n"/>
      <c r="B554" s="21" t="n"/>
    </row>
    <row r="555">
      <c r="A555" s="11" t="n"/>
      <c r="B555" s="21" t="n"/>
    </row>
    <row r="556">
      <c r="A556" s="11" t="n"/>
      <c r="B556" s="21" t="n"/>
    </row>
    <row r="557">
      <c r="A557" s="11" t="n"/>
      <c r="B557" s="21" t="n"/>
    </row>
    <row r="558">
      <c r="A558" s="11" t="n"/>
      <c r="B558" s="21" t="n"/>
    </row>
    <row r="559">
      <c r="A559" s="11" t="n"/>
      <c r="B559" s="21" t="n"/>
    </row>
    <row r="560">
      <c r="A560" s="11" t="n"/>
      <c r="B560" s="21" t="n"/>
    </row>
    <row r="561">
      <c r="A561" s="11" t="n"/>
      <c r="B561" s="21" t="n"/>
    </row>
    <row r="562">
      <c r="A562" s="11" t="n"/>
      <c r="B562" s="21" t="n"/>
    </row>
    <row r="563">
      <c r="A563" s="11" t="n"/>
      <c r="B563" s="21" t="n"/>
    </row>
    <row r="564">
      <c r="A564" s="11" t="n"/>
      <c r="B564" s="21" t="n"/>
    </row>
    <row r="565">
      <c r="A565" s="11" t="n"/>
      <c r="B565" s="21" t="n"/>
    </row>
    <row r="566">
      <c r="A566" s="11" t="n"/>
      <c r="B566" s="21" t="n"/>
    </row>
    <row r="567">
      <c r="A567" s="11" t="n"/>
      <c r="B567" s="21" t="n"/>
    </row>
    <row r="568">
      <c r="A568" s="11" t="n"/>
      <c r="B568" s="21" t="n"/>
    </row>
    <row r="569">
      <c r="A569" s="11" t="n"/>
      <c r="B569" s="21" t="n"/>
    </row>
    <row r="570">
      <c r="A570" s="11" t="n"/>
      <c r="B570" s="21" t="n"/>
    </row>
    <row r="571">
      <c r="A571" s="11" t="n"/>
      <c r="B571" s="21" t="n"/>
    </row>
    <row r="572">
      <c r="A572" s="11" t="n"/>
      <c r="B572" s="21" t="n"/>
    </row>
    <row r="573">
      <c r="A573" s="11" t="n"/>
      <c r="B573" s="21" t="n"/>
    </row>
    <row r="574">
      <c r="A574" s="11" t="n"/>
      <c r="B574" s="21" t="n"/>
    </row>
    <row r="575">
      <c r="A575" s="11" t="n"/>
      <c r="B575" s="21" t="n"/>
    </row>
    <row r="576">
      <c r="A576" s="11" t="n"/>
      <c r="B576" s="21" t="n"/>
    </row>
    <row r="577">
      <c r="A577" s="11" t="n"/>
      <c r="B577" s="21" t="n"/>
    </row>
    <row r="578">
      <c r="A578" s="11" t="n"/>
      <c r="B578" s="21" t="n"/>
    </row>
    <row r="579">
      <c r="A579" s="11" t="n"/>
      <c r="B579" s="21" t="n"/>
    </row>
    <row r="580">
      <c r="A580" s="11" t="n"/>
      <c r="B580" s="21" t="n"/>
    </row>
    <row r="581">
      <c r="A581" s="11" t="n"/>
      <c r="B581" s="21" t="n"/>
    </row>
    <row r="582">
      <c r="A582" s="11" t="n"/>
      <c r="B582" s="21" t="n"/>
    </row>
    <row r="583">
      <c r="A583" s="11" t="n"/>
      <c r="B583" s="21" t="n"/>
    </row>
    <row r="584">
      <c r="A584" s="11" t="n"/>
      <c r="B584" s="21" t="n"/>
    </row>
    <row r="585">
      <c r="A585" s="11" t="n"/>
      <c r="B585" s="21" t="n"/>
    </row>
    <row r="586">
      <c r="A586" s="11" t="n"/>
      <c r="B586" s="21" t="n"/>
    </row>
    <row r="587">
      <c r="A587" s="11" t="n"/>
      <c r="B587" s="21" t="n"/>
    </row>
    <row r="588">
      <c r="A588" s="11" t="n"/>
      <c r="B588" s="21" t="n"/>
    </row>
    <row r="589">
      <c r="A589" s="11" t="n"/>
      <c r="B589" s="21" t="n"/>
    </row>
    <row r="590">
      <c r="A590" s="11" t="n"/>
      <c r="B590" s="21" t="n"/>
    </row>
    <row r="591">
      <c r="A591" s="11" t="n"/>
      <c r="B591" s="21" t="n"/>
    </row>
    <row r="592">
      <c r="A592" s="11" t="n"/>
      <c r="B592" s="21" t="n"/>
    </row>
    <row r="593">
      <c r="A593" s="11" t="n"/>
      <c r="B593" s="21" t="n"/>
    </row>
    <row r="594">
      <c r="A594" s="11" t="n"/>
      <c r="B594" s="21" t="n"/>
    </row>
    <row r="595">
      <c r="A595" s="11" t="n"/>
      <c r="B595" s="21" t="n"/>
    </row>
    <row r="596">
      <c r="A596" s="11" t="n"/>
      <c r="B596" s="21" t="n"/>
    </row>
    <row r="597">
      <c r="A597" s="11" t="n"/>
      <c r="B597" s="21" t="n"/>
    </row>
    <row r="598">
      <c r="A598" s="11" t="n"/>
      <c r="B598" s="21" t="n"/>
    </row>
    <row r="599">
      <c r="A599" s="11" t="n"/>
      <c r="B599" s="21" t="n"/>
    </row>
    <row r="600">
      <c r="A600" s="11" t="n"/>
      <c r="B600" s="21" t="n"/>
    </row>
    <row r="601">
      <c r="A601" s="11" t="n"/>
      <c r="B601" s="21" t="n"/>
    </row>
    <row r="602">
      <c r="A602" s="11" t="n"/>
      <c r="B602" s="21" t="n"/>
    </row>
    <row r="603">
      <c r="A603" s="11" t="n"/>
      <c r="B603" s="21" t="n"/>
    </row>
    <row r="604">
      <c r="A604" s="11" t="n"/>
      <c r="B604" s="21" t="n"/>
    </row>
    <row r="605">
      <c r="A605" s="11" t="n"/>
      <c r="B605" s="21" t="n"/>
    </row>
    <row r="606">
      <c r="A606" s="11" t="n"/>
      <c r="B606" s="21" t="n"/>
    </row>
    <row r="607">
      <c r="A607" s="11" t="n"/>
      <c r="B607" s="21" t="n"/>
    </row>
    <row r="608">
      <c r="A608" s="11" t="n"/>
      <c r="B608" s="21" t="n"/>
    </row>
    <row r="609">
      <c r="A609" s="11" t="n"/>
      <c r="B609" s="21" t="n"/>
    </row>
    <row r="610">
      <c r="A610" s="11" t="n"/>
      <c r="B610" s="21" t="n"/>
    </row>
    <row r="611">
      <c r="A611" s="11" t="n"/>
      <c r="B611" s="21" t="n"/>
    </row>
    <row r="612">
      <c r="A612" s="11" t="n"/>
      <c r="B612" s="21" t="n"/>
    </row>
    <row r="613">
      <c r="A613" s="11" t="n"/>
      <c r="B613" s="21" t="n"/>
    </row>
    <row r="614">
      <c r="A614" s="11" t="n"/>
      <c r="B614" s="21" t="n"/>
    </row>
    <row r="615">
      <c r="A615" s="11" t="n"/>
      <c r="B615" s="21" t="n"/>
    </row>
    <row r="616">
      <c r="A616" s="11" t="n"/>
      <c r="B616" s="21" t="n"/>
    </row>
    <row r="617">
      <c r="A617" s="11" t="n"/>
      <c r="B617" s="21" t="n"/>
    </row>
    <row r="618">
      <c r="A618" s="11" t="n"/>
      <c r="B618" s="21" t="n"/>
    </row>
    <row r="619">
      <c r="A619" s="11" t="n"/>
      <c r="B619" s="21" t="n"/>
    </row>
    <row r="620">
      <c r="A620" s="11" t="n"/>
      <c r="B620" s="21" t="n"/>
    </row>
    <row r="621">
      <c r="A621" s="11" t="n"/>
      <c r="B621" s="21" t="n"/>
    </row>
    <row r="622">
      <c r="A622" s="11" t="n"/>
      <c r="B622" s="21" t="n"/>
    </row>
    <row r="623">
      <c r="A623" s="11" t="n"/>
      <c r="B623" s="21" t="n"/>
    </row>
    <row r="624">
      <c r="A624" s="11" t="n"/>
      <c r="B624" s="21" t="n"/>
    </row>
    <row r="625">
      <c r="A625" s="11" t="n"/>
      <c r="B625" s="21" t="n"/>
    </row>
    <row r="626">
      <c r="A626" s="11" t="n"/>
      <c r="B626" s="21" t="n"/>
    </row>
    <row r="627">
      <c r="A627" s="11" t="n"/>
      <c r="B627" s="21" t="n"/>
    </row>
    <row r="628">
      <c r="A628" s="11" t="n"/>
      <c r="B628" s="21" t="n"/>
    </row>
    <row r="629">
      <c r="A629" s="11" t="n"/>
      <c r="B629" s="21" t="n"/>
    </row>
    <row r="630">
      <c r="A630" s="11" t="n"/>
      <c r="B630" s="21" t="n"/>
    </row>
    <row r="631">
      <c r="A631" s="11" t="n"/>
      <c r="B631" s="21" t="n"/>
    </row>
    <row r="632">
      <c r="A632" s="11" t="n"/>
      <c r="B632" s="21" t="n"/>
    </row>
    <row r="633">
      <c r="A633" s="11" t="n"/>
      <c r="B633" s="21" t="n"/>
    </row>
    <row r="634">
      <c r="A634" s="11" t="n"/>
      <c r="B634" s="21" t="n"/>
    </row>
    <row r="635">
      <c r="A635" s="11" t="n"/>
      <c r="B635" s="21" t="n"/>
    </row>
    <row r="636">
      <c r="A636" s="11" t="n"/>
      <c r="B636" s="21" t="n"/>
    </row>
    <row r="637">
      <c r="A637" s="11" t="n"/>
      <c r="B637" s="21" t="n"/>
    </row>
    <row r="638">
      <c r="A638" s="11" t="n"/>
      <c r="B638" s="21" t="n"/>
    </row>
    <row r="639">
      <c r="A639" s="11" t="n"/>
      <c r="B639" s="21" t="n"/>
    </row>
    <row r="640">
      <c r="A640" s="11" t="n"/>
      <c r="B640" s="21" t="n"/>
    </row>
    <row r="641">
      <c r="A641" s="11" t="n"/>
      <c r="B641" s="21" t="n"/>
    </row>
    <row r="642">
      <c r="A642" s="11" t="n"/>
      <c r="B642" s="21" t="n"/>
    </row>
    <row r="643">
      <c r="A643" s="11" t="n"/>
      <c r="B643" s="21" t="n"/>
    </row>
    <row r="644">
      <c r="A644" s="11" t="n"/>
      <c r="B644" s="21" t="n"/>
    </row>
    <row r="645">
      <c r="A645" s="11" t="n"/>
      <c r="B645" s="21" t="n"/>
    </row>
    <row r="646">
      <c r="A646" s="11" t="n"/>
      <c r="B646" s="21" t="n"/>
    </row>
    <row r="647">
      <c r="A647" s="11" t="n"/>
      <c r="B647" s="21" t="n"/>
    </row>
    <row r="648">
      <c r="A648" s="11" t="n"/>
      <c r="B648" s="21" t="n"/>
    </row>
    <row r="649">
      <c r="A649" s="11" t="n"/>
      <c r="B649" s="21" t="n"/>
    </row>
    <row r="650">
      <c r="A650" s="11" t="n"/>
      <c r="B650" s="21" t="n"/>
    </row>
    <row r="651">
      <c r="A651" s="11" t="n"/>
      <c r="B651" s="21" t="n"/>
    </row>
    <row r="652">
      <c r="A652" s="11" t="n"/>
      <c r="B652" s="21" t="n"/>
    </row>
    <row r="653">
      <c r="A653" s="11" t="n"/>
      <c r="B653" s="21" t="n"/>
    </row>
    <row r="654">
      <c r="A654" s="11" t="n"/>
      <c r="B654" s="21" t="n"/>
    </row>
    <row r="655">
      <c r="A655" s="11" t="n"/>
      <c r="B655" s="21" t="n"/>
    </row>
    <row r="656">
      <c r="A656" s="11" t="n"/>
      <c r="B656" s="21" t="n"/>
    </row>
    <row r="657">
      <c r="A657" s="11" t="n"/>
      <c r="B657" s="21" t="n"/>
    </row>
    <row r="658">
      <c r="A658" s="11" t="n"/>
      <c r="B658" s="21" t="n"/>
    </row>
    <row r="659">
      <c r="A659" s="11" t="n"/>
      <c r="B659" s="21" t="n"/>
    </row>
    <row r="660">
      <c r="A660" s="11" t="n"/>
      <c r="B660" s="21" t="n"/>
    </row>
    <row r="661">
      <c r="A661" s="11" t="n"/>
      <c r="B661" s="21" t="n"/>
    </row>
    <row r="662">
      <c r="A662" s="11" t="n"/>
      <c r="B662" s="21" t="n"/>
    </row>
    <row r="663">
      <c r="A663" s="11" t="n"/>
      <c r="B663" s="21" t="n"/>
    </row>
    <row r="664">
      <c r="A664" s="11" t="n"/>
      <c r="B664" s="21" t="n"/>
    </row>
    <row r="665">
      <c r="A665" s="11" t="n"/>
      <c r="B665" s="21" t="n"/>
    </row>
    <row r="666">
      <c r="A666" s="11" t="n"/>
      <c r="B666" s="21" t="n"/>
    </row>
    <row r="667">
      <c r="A667" s="11" t="n"/>
      <c r="B667" s="21" t="n"/>
    </row>
    <row r="668">
      <c r="A668" s="11" t="n"/>
      <c r="B668" s="21" t="n"/>
    </row>
    <row r="669">
      <c r="A669" s="11" t="n"/>
      <c r="B669" s="21" t="n"/>
    </row>
    <row r="670">
      <c r="A670" s="11" t="n"/>
      <c r="B670" s="21" t="n"/>
    </row>
    <row r="671">
      <c r="A671" s="11" t="n"/>
      <c r="B671" s="21" t="n"/>
    </row>
    <row r="672">
      <c r="A672" s="11" t="n"/>
      <c r="B672" s="21" t="n"/>
    </row>
    <row r="673">
      <c r="A673" s="11" t="n"/>
      <c r="B673" s="21" t="n"/>
    </row>
    <row r="674">
      <c r="A674" s="11" t="n"/>
      <c r="B674" s="21" t="n"/>
    </row>
    <row r="675">
      <c r="A675" s="11" t="n"/>
      <c r="B675" s="21" t="n"/>
    </row>
    <row r="676">
      <c r="A676" s="11" t="n"/>
      <c r="B676" s="21" t="n"/>
    </row>
    <row r="677">
      <c r="A677" s="11" t="n"/>
      <c r="B677" s="21" t="n"/>
    </row>
    <row r="678">
      <c r="A678" s="11" t="n"/>
      <c r="B678" s="21" t="n"/>
    </row>
    <row r="679">
      <c r="A679" s="11" t="n"/>
      <c r="B679" s="21" t="n"/>
    </row>
    <row r="680">
      <c r="A680" s="11" t="n"/>
      <c r="B680" s="21" t="n"/>
    </row>
    <row r="681">
      <c r="A681" s="11" t="n"/>
      <c r="B681" s="21" t="n"/>
    </row>
    <row r="682">
      <c r="A682" s="11" t="n"/>
      <c r="B682" s="21" t="n"/>
    </row>
    <row r="683">
      <c r="A683" s="11" t="n"/>
      <c r="B683" s="21" t="n"/>
    </row>
    <row r="684">
      <c r="A684" s="11" t="n"/>
      <c r="B684" s="21" t="n"/>
    </row>
    <row r="685">
      <c r="A685" s="11" t="n"/>
      <c r="B685" s="21" t="n"/>
    </row>
    <row r="686">
      <c r="A686" s="11" t="n"/>
      <c r="B686" s="21" t="n"/>
    </row>
    <row r="687">
      <c r="A687" s="11" t="n"/>
      <c r="B687" s="21" t="n"/>
    </row>
    <row r="688">
      <c r="A688" s="11" t="n"/>
      <c r="B688" s="21" t="n"/>
    </row>
    <row r="689">
      <c r="A689" s="11" t="n"/>
      <c r="B689" s="21" t="n"/>
    </row>
    <row r="690">
      <c r="A690" s="11" t="n"/>
      <c r="B690" s="21" t="n"/>
    </row>
    <row r="691">
      <c r="A691" s="11" t="n"/>
      <c r="B691" s="21" t="n"/>
    </row>
    <row r="692">
      <c r="A692" s="11" t="n"/>
      <c r="B692" s="21" t="n"/>
    </row>
    <row r="693">
      <c r="A693" s="11" t="n"/>
      <c r="B693" s="21" t="n"/>
    </row>
    <row r="694">
      <c r="A694" s="11" t="n"/>
      <c r="B694" s="21" t="n"/>
    </row>
    <row r="695">
      <c r="A695" s="11" t="n"/>
      <c r="B695" s="21" t="n"/>
    </row>
    <row r="696">
      <c r="A696" s="11" t="n"/>
      <c r="B696" s="21" t="n"/>
    </row>
    <row r="697">
      <c r="A697" s="11" t="n"/>
      <c r="B697" s="21" t="n"/>
    </row>
    <row r="698">
      <c r="A698" s="11" t="n"/>
      <c r="B698" s="21" t="n"/>
    </row>
    <row r="699">
      <c r="A699" s="11" t="n"/>
      <c r="B699" s="21" t="n"/>
    </row>
    <row r="700">
      <c r="A700" s="11" t="n"/>
      <c r="B700" s="21" t="n"/>
    </row>
    <row r="701">
      <c r="A701" s="11" t="n"/>
      <c r="B701" s="21" t="n"/>
    </row>
    <row r="702">
      <c r="A702" s="11" t="n"/>
      <c r="B702" s="21" t="n"/>
    </row>
    <row r="703">
      <c r="A703" s="11" t="n"/>
      <c r="B703" s="21" t="n"/>
    </row>
    <row r="704">
      <c r="A704" s="11" t="n"/>
      <c r="B704" s="21" t="n"/>
    </row>
    <row r="705">
      <c r="A705" s="11" t="n"/>
      <c r="B705" s="21" t="n"/>
    </row>
    <row r="706">
      <c r="A706" s="11" t="n"/>
      <c r="B706" s="21" t="n"/>
    </row>
    <row r="707">
      <c r="A707" s="11" t="n"/>
      <c r="B707" s="21" t="n"/>
    </row>
    <row r="708">
      <c r="A708" s="11" t="n"/>
      <c r="B708" s="21" t="n"/>
    </row>
    <row r="709">
      <c r="A709" s="11" t="n"/>
      <c r="B709" s="21" t="n"/>
    </row>
    <row r="710">
      <c r="A710" s="11" t="n"/>
      <c r="B710" s="21" t="n"/>
    </row>
    <row r="711">
      <c r="A711" s="11" t="n"/>
      <c r="B711" s="21" t="n"/>
    </row>
    <row r="712">
      <c r="A712" s="11" t="n"/>
      <c r="B712" s="21" t="n"/>
    </row>
    <row r="713">
      <c r="A713" s="11" t="n"/>
      <c r="B713" s="21" t="n"/>
    </row>
    <row r="714">
      <c r="A714" s="11" t="n"/>
      <c r="B714" s="21" t="n"/>
    </row>
    <row r="715">
      <c r="A715" s="11" t="n"/>
      <c r="B715" s="21" t="n"/>
    </row>
    <row r="716">
      <c r="A716" s="11" t="n"/>
      <c r="B716" s="21" t="n"/>
    </row>
    <row r="717">
      <c r="A717" s="11" t="n"/>
      <c r="B717" s="21" t="n"/>
    </row>
    <row r="718">
      <c r="A718" s="11" t="n"/>
      <c r="B718" s="21" t="n"/>
    </row>
    <row r="719">
      <c r="A719" s="11" t="n"/>
      <c r="B719" s="21" t="n"/>
    </row>
    <row r="720">
      <c r="A720" s="11" t="n"/>
      <c r="B720" s="21" t="n"/>
    </row>
    <row r="721">
      <c r="A721" s="11" t="n"/>
      <c r="B721" s="21" t="n"/>
    </row>
    <row r="722">
      <c r="A722" s="11" t="n"/>
      <c r="B722" s="21" t="n"/>
    </row>
    <row r="723">
      <c r="A723" s="11" t="n"/>
      <c r="B723" s="21" t="n"/>
    </row>
    <row r="724">
      <c r="A724" s="11" t="n"/>
      <c r="B724" s="21" t="n"/>
    </row>
    <row r="725">
      <c r="A725" s="11" t="n"/>
      <c r="B725" s="21" t="n"/>
    </row>
    <row r="726">
      <c r="A726" s="11" t="n"/>
      <c r="B726" s="21" t="n"/>
    </row>
    <row r="727">
      <c r="A727" s="11" t="n"/>
      <c r="B727" s="21" t="n"/>
    </row>
    <row r="728">
      <c r="A728" s="11" t="n"/>
      <c r="B728" s="21" t="n"/>
    </row>
    <row r="729">
      <c r="A729" s="11" t="n"/>
      <c r="B729" s="21" t="n"/>
    </row>
    <row r="730">
      <c r="A730" s="11" t="n"/>
      <c r="B730" s="21" t="n"/>
    </row>
    <row r="731">
      <c r="A731" s="11" t="n"/>
      <c r="B731" s="21" t="n"/>
    </row>
    <row r="732">
      <c r="A732" s="11" t="n"/>
      <c r="B732" s="21" t="n"/>
    </row>
    <row r="733">
      <c r="A733" s="11" t="n"/>
      <c r="B733" s="21" t="n"/>
    </row>
    <row r="734">
      <c r="A734" s="11" t="n"/>
      <c r="B734" s="21" t="n"/>
    </row>
    <row r="735">
      <c r="A735" s="11" t="n"/>
      <c r="B735" s="21" t="n"/>
    </row>
    <row r="736">
      <c r="A736" s="11" t="n"/>
      <c r="B736" s="21" t="n"/>
    </row>
    <row r="737">
      <c r="A737" s="11" t="n"/>
      <c r="B737" s="21" t="n"/>
    </row>
    <row r="738">
      <c r="A738" s="11" t="n"/>
      <c r="B738" s="21" t="n"/>
    </row>
    <row r="739">
      <c r="A739" s="11" t="n"/>
      <c r="B739" s="21" t="n"/>
    </row>
    <row r="740">
      <c r="A740" s="11" t="n"/>
      <c r="B740" s="21" t="n"/>
    </row>
    <row r="741">
      <c r="A741" s="11" t="n"/>
      <c r="B741" s="21" t="n"/>
    </row>
    <row r="742">
      <c r="A742" s="11" t="n"/>
      <c r="B742" s="21" t="n"/>
    </row>
    <row r="743">
      <c r="A743" s="11" t="n"/>
      <c r="B743" s="21" t="n"/>
    </row>
    <row r="744">
      <c r="A744" s="11" t="n"/>
      <c r="B744" s="21" t="n"/>
    </row>
    <row r="745">
      <c r="A745" s="11" t="n"/>
      <c r="B745" s="21" t="n"/>
    </row>
    <row r="746">
      <c r="A746" s="11" t="n"/>
      <c r="B746" s="21" t="n"/>
    </row>
    <row r="747">
      <c r="A747" s="11" t="n"/>
      <c r="B747" s="21" t="n"/>
    </row>
    <row r="748">
      <c r="A748" s="11" t="n"/>
      <c r="B748" s="21" t="n"/>
    </row>
    <row r="749">
      <c r="A749" s="11" t="n"/>
      <c r="B749" s="21" t="n"/>
    </row>
    <row r="750">
      <c r="A750" s="11" t="n"/>
      <c r="B750" s="21" t="n"/>
    </row>
    <row r="751">
      <c r="A751" s="11" t="n"/>
      <c r="B751" s="21" t="n"/>
    </row>
    <row r="752">
      <c r="A752" s="11" t="n"/>
      <c r="B752" s="21" t="n"/>
    </row>
    <row r="753">
      <c r="A753" s="11" t="n"/>
      <c r="B753" s="21" t="n"/>
    </row>
    <row r="754">
      <c r="A754" s="11" t="n"/>
      <c r="B754" s="21" t="n"/>
    </row>
    <row r="755">
      <c r="A755" s="11" t="n"/>
      <c r="B755" s="21" t="n"/>
    </row>
    <row r="756">
      <c r="A756" s="11" t="n"/>
      <c r="B756" s="21" t="n"/>
    </row>
    <row r="757">
      <c r="A757" s="11" t="n"/>
      <c r="B757" s="21" t="n"/>
    </row>
    <row r="758">
      <c r="A758" s="11" t="n"/>
      <c r="B758" s="21" t="n"/>
    </row>
    <row r="759">
      <c r="A759" s="11" t="n"/>
      <c r="B759" s="21" t="n"/>
    </row>
    <row r="760">
      <c r="A760" s="11" t="n"/>
      <c r="B760" s="21" t="n"/>
    </row>
    <row r="761">
      <c r="A761" s="11" t="n"/>
      <c r="B761" s="21" t="n"/>
    </row>
    <row r="762">
      <c r="A762" s="11" t="n"/>
      <c r="B762" s="21" t="n"/>
    </row>
    <row r="763">
      <c r="A763" s="11" t="n"/>
      <c r="B763" s="21" t="n"/>
    </row>
    <row r="764">
      <c r="A764" s="11" t="n"/>
      <c r="B764" s="21" t="n"/>
    </row>
    <row r="765">
      <c r="A765" s="11" t="n"/>
      <c r="B765" s="21" t="n"/>
    </row>
    <row r="766">
      <c r="A766" s="11" t="n"/>
      <c r="B766" s="21" t="n"/>
    </row>
    <row r="767">
      <c r="A767" s="11" t="n"/>
      <c r="B767" s="21" t="n"/>
    </row>
    <row r="768">
      <c r="A768" s="11" t="n"/>
      <c r="B768" s="21" t="n"/>
    </row>
    <row r="769">
      <c r="A769" s="11" t="n"/>
      <c r="B769" s="21" t="n"/>
    </row>
    <row r="770">
      <c r="A770" s="11" t="n"/>
      <c r="B770" s="21" t="n"/>
    </row>
    <row r="771">
      <c r="A771" s="11" t="n"/>
      <c r="B771" s="21" t="n"/>
    </row>
    <row r="772">
      <c r="A772" s="11" t="n"/>
      <c r="B772" s="21" t="n"/>
    </row>
    <row r="773">
      <c r="A773" s="11" t="n"/>
      <c r="B773" s="21" t="n"/>
    </row>
    <row r="774">
      <c r="A774" s="11" t="n"/>
      <c r="B774" s="21" t="n"/>
    </row>
    <row r="775">
      <c r="A775" s="11" t="n"/>
      <c r="B775" s="21" t="n"/>
    </row>
    <row r="776">
      <c r="A776" s="11" t="n"/>
      <c r="B776" s="21" t="n"/>
    </row>
    <row r="777">
      <c r="A777" s="11" t="n"/>
      <c r="B777" s="21" t="n"/>
    </row>
    <row r="778">
      <c r="A778" s="11" t="n"/>
      <c r="B778" s="21" t="n"/>
    </row>
    <row r="779">
      <c r="A779" s="11" t="n"/>
      <c r="B779" s="21" t="n"/>
    </row>
    <row r="780">
      <c r="A780" s="11" t="n"/>
      <c r="B780" s="21" t="n"/>
    </row>
    <row r="781">
      <c r="A781" s="11" t="n"/>
      <c r="B781" s="21" t="n"/>
    </row>
    <row r="782">
      <c r="A782" s="11" t="n"/>
      <c r="B782" s="21" t="n"/>
    </row>
    <row r="783">
      <c r="A783" s="11" t="n"/>
      <c r="B783" s="21" t="n"/>
    </row>
    <row r="784">
      <c r="A784" s="11" t="n"/>
      <c r="B784" s="21" t="n"/>
    </row>
    <row r="785">
      <c r="A785" s="11" t="n"/>
      <c r="B785" s="21" t="n"/>
    </row>
    <row r="786">
      <c r="A786" s="11" t="n"/>
      <c r="B786" s="21" t="n"/>
    </row>
    <row r="787">
      <c r="A787" s="11" t="n"/>
      <c r="B787" s="21" t="n"/>
    </row>
    <row r="788">
      <c r="A788" s="11" t="n"/>
      <c r="B788" s="21" t="n"/>
    </row>
    <row r="789">
      <c r="A789" s="11" t="n"/>
      <c r="B789" s="21" t="n"/>
    </row>
    <row r="790">
      <c r="A790" s="11" t="n"/>
      <c r="B790" s="21" t="n"/>
    </row>
    <row r="791">
      <c r="A791" s="11" t="n"/>
      <c r="B791" s="21" t="n"/>
    </row>
    <row r="792">
      <c r="A792" s="11" t="n"/>
      <c r="B792" s="21" t="n"/>
    </row>
    <row r="793">
      <c r="A793" s="11" t="n"/>
      <c r="B793" s="21" t="n"/>
    </row>
    <row r="794">
      <c r="A794" s="11" t="n"/>
      <c r="B794" s="21" t="n"/>
    </row>
    <row r="795">
      <c r="A795" s="11" t="n"/>
      <c r="B795" s="21" t="n"/>
    </row>
    <row r="796">
      <c r="A796" s="11" t="n"/>
      <c r="B796" s="21" t="n"/>
    </row>
    <row r="797">
      <c r="A797" s="11" t="n"/>
      <c r="B797" s="21" t="n"/>
    </row>
    <row r="798">
      <c r="A798" s="11" t="n"/>
      <c r="B798" s="21" t="n"/>
    </row>
    <row r="799">
      <c r="A799" s="11" t="n"/>
      <c r="B799" s="21" t="n"/>
    </row>
    <row r="800">
      <c r="A800" s="11" t="n"/>
      <c r="B800" s="21" t="n"/>
    </row>
    <row r="801">
      <c r="A801" s="11" t="n"/>
      <c r="B801" s="21" t="n"/>
    </row>
    <row r="802">
      <c r="A802" s="11" t="n"/>
      <c r="B802" s="21" t="n"/>
    </row>
    <row r="803">
      <c r="A803" s="11" t="n"/>
      <c r="B803" s="21" t="n"/>
    </row>
    <row r="804">
      <c r="A804" s="11" t="n"/>
      <c r="B804" s="21" t="n"/>
    </row>
    <row r="805">
      <c r="A805" s="11" t="n"/>
      <c r="B805" s="21" t="n"/>
    </row>
    <row r="806">
      <c r="A806" s="11" t="n"/>
      <c r="B806" s="21" t="n"/>
    </row>
    <row r="807">
      <c r="A807" s="11" t="n"/>
      <c r="B807" s="21" t="n"/>
    </row>
    <row r="808">
      <c r="A808" s="11" t="n"/>
      <c r="B808" s="21" t="n"/>
    </row>
    <row r="809">
      <c r="A809" s="11" t="n"/>
      <c r="B809" s="21" t="n"/>
    </row>
    <row r="810">
      <c r="A810" s="11" t="n"/>
      <c r="B810" s="21" t="n"/>
    </row>
    <row r="811">
      <c r="A811" s="11" t="n"/>
      <c r="B811" s="21" t="n"/>
    </row>
    <row r="812">
      <c r="A812" s="11" t="n"/>
      <c r="B812" s="21" t="n"/>
    </row>
    <row r="813">
      <c r="A813" s="11" t="n"/>
      <c r="B813" s="21" t="n"/>
    </row>
    <row r="814">
      <c r="A814" s="11" t="n"/>
      <c r="B814" s="21" t="n"/>
    </row>
    <row r="815">
      <c r="A815" s="11" t="n"/>
      <c r="B815" s="21" t="n"/>
    </row>
    <row r="816">
      <c r="A816" s="11" t="n"/>
      <c r="B816" s="21" t="n"/>
    </row>
    <row r="817">
      <c r="A817" s="11" t="n"/>
      <c r="B817" s="21" t="n"/>
    </row>
    <row r="818">
      <c r="A818" s="11" t="n"/>
      <c r="B818" s="21" t="n"/>
    </row>
    <row r="819">
      <c r="A819" s="11" t="n"/>
      <c r="B819" s="21" t="n"/>
    </row>
    <row r="820">
      <c r="A820" s="11" t="n"/>
      <c r="B820" s="21" t="n"/>
    </row>
    <row r="821">
      <c r="A821" s="11" t="n"/>
      <c r="B821" s="21" t="n"/>
    </row>
    <row r="822">
      <c r="A822" s="11" t="n"/>
      <c r="B822" s="21" t="n"/>
    </row>
    <row r="823">
      <c r="A823" s="11" t="n"/>
      <c r="B823" s="21" t="n"/>
    </row>
    <row r="824">
      <c r="A824" s="11" t="n"/>
      <c r="B824" s="21" t="n"/>
    </row>
    <row r="825">
      <c r="A825" s="11" t="n"/>
      <c r="B825" s="21" t="n"/>
    </row>
    <row r="826">
      <c r="A826" s="11" t="n"/>
      <c r="B826" s="21" t="n"/>
    </row>
    <row r="827">
      <c r="A827" s="11" t="n"/>
      <c r="B827" s="21" t="n"/>
    </row>
    <row r="828">
      <c r="A828" s="11" t="n"/>
      <c r="B828" s="21" t="n"/>
    </row>
    <row r="829">
      <c r="A829" s="11" t="n"/>
      <c r="B829" s="21" t="n"/>
    </row>
    <row r="830">
      <c r="A830" s="11" t="n"/>
      <c r="B830" s="21" t="n"/>
    </row>
    <row r="831">
      <c r="A831" s="11" t="n"/>
      <c r="B831" s="21" t="n"/>
    </row>
    <row r="832">
      <c r="A832" s="11" t="n"/>
      <c r="B832" s="21" t="n"/>
    </row>
    <row r="833">
      <c r="A833" s="11" t="n"/>
      <c r="B833" s="21" t="n"/>
    </row>
    <row r="834">
      <c r="A834" s="11" t="n"/>
      <c r="B834" s="21" t="n"/>
    </row>
    <row r="835">
      <c r="A835" s="11" t="n"/>
      <c r="B835" s="21" t="n"/>
    </row>
    <row r="836">
      <c r="A836" s="11" t="n"/>
      <c r="B836" s="21" t="n"/>
    </row>
    <row r="837">
      <c r="A837" s="11" t="n"/>
      <c r="B837" s="21" t="n"/>
    </row>
    <row r="838">
      <c r="A838" s="11" t="n"/>
      <c r="B838" s="21" t="n"/>
    </row>
    <row r="839">
      <c r="A839" s="11" t="n"/>
      <c r="B839" s="21" t="n"/>
    </row>
    <row r="840">
      <c r="A840" s="11" t="n"/>
      <c r="B840" s="21" t="n"/>
    </row>
    <row r="841">
      <c r="A841" s="11" t="n"/>
      <c r="B841" s="21" t="n"/>
    </row>
    <row r="842">
      <c r="A842" s="11" t="n"/>
      <c r="B842" s="21" t="n"/>
    </row>
    <row r="843">
      <c r="A843" s="11" t="n"/>
      <c r="B843" s="21" t="n"/>
    </row>
    <row r="844">
      <c r="A844" s="11" t="n"/>
      <c r="B844" s="21" t="n"/>
    </row>
    <row r="845">
      <c r="A845" s="11" t="n"/>
      <c r="B845" s="21" t="n"/>
    </row>
    <row r="846">
      <c r="A846" s="11" t="n"/>
      <c r="B846" s="21" t="n"/>
    </row>
    <row r="847">
      <c r="A847" s="11" t="n"/>
      <c r="B847" s="21" t="n"/>
    </row>
    <row r="848">
      <c r="A848" s="11" t="n"/>
      <c r="B848" s="21" t="n"/>
    </row>
    <row r="849">
      <c r="A849" s="11" t="n"/>
      <c r="B849" s="21" t="n"/>
    </row>
    <row r="850">
      <c r="A850" s="11" t="n"/>
      <c r="B850" s="21" t="n"/>
    </row>
    <row r="851">
      <c r="A851" s="11" t="n"/>
      <c r="B851" s="21" t="n"/>
    </row>
    <row r="852">
      <c r="A852" s="11" t="n"/>
      <c r="B852" s="21" t="n"/>
    </row>
    <row r="853">
      <c r="A853" s="11" t="n"/>
      <c r="B853" s="21" t="n"/>
    </row>
    <row r="854">
      <c r="A854" s="11" t="n"/>
      <c r="B854" s="21" t="n"/>
    </row>
    <row r="855">
      <c r="A855" s="11" t="n"/>
      <c r="B855" s="21" t="n"/>
    </row>
    <row r="856">
      <c r="A856" s="11" t="n"/>
      <c r="B856" s="21" t="n"/>
    </row>
    <row r="857">
      <c r="A857" s="11" t="n"/>
      <c r="B857" s="21" t="n"/>
    </row>
    <row r="858">
      <c r="A858" s="11" t="n"/>
      <c r="B858" s="21" t="n"/>
    </row>
    <row r="859">
      <c r="A859" s="11" t="n"/>
      <c r="B859" s="21" t="n"/>
    </row>
    <row r="860">
      <c r="A860" s="11" t="n"/>
      <c r="B860" s="21" t="n"/>
    </row>
    <row r="861">
      <c r="A861" s="11" t="n"/>
      <c r="B861" s="21" t="n"/>
    </row>
    <row r="862">
      <c r="A862" s="11" t="n"/>
      <c r="B862" s="21" t="n"/>
    </row>
    <row r="863">
      <c r="A863" s="11" t="n"/>
      <c r="B863" s="21" t="n"/>
    </row>
    <row r="864">
      <c r="A864" s="11" t="n"/>
      <c r="B864" s="21" t="n"/>
    </row>
    <row r="865">
      <c r="A865" s="11" t="n"/>
      <c r="B865" s="21" t="n"/>
    </row>
    <row r="866">
      <c r="A866" s="11" t="n"/>
      <c r="B866" s="21" t="n"/>
    </row>
    <row r="867">
      <c r="A867" s="11" t="n"/>
      <c r="B867" s="21" t="n"/>
    </row>
    <row r="868">
      <c r="A868" s="11" t="n"/>
      <c r="B868" s="21" t="n"/>
    </row>
    <row r="869">
      <c r="A869" s="11" t="n"/>
      <c r="B869" s="21" t="n"/>
    </row>
    <row r="870">
      <c r="A870" s="11" t="n"/>
      <c r="B870" s="21" t="n"/>
    </row>
    <row r="871">
      <c r="A871" s="11" t="n"/>
      <c r="B871" s="21" t="n"/>
    </row>
    <row r="872">
      <c r="A872" s="11" t="n"/>
      <c r="B872" s="21" t="n"/>
    </row>
    <row r="873">
      <c r="A873" s="11" t="n"/>
      <c r="B873" s="21" t="n"/>
    </row>
    <row r="874">
      <c r="A874" s="11" t="n"/>
      <c r="B874" s="21" t="n"/>
    </row>
    <row r="875">
      <c r="A875" s="11" t="n"/>
      <c r="B875" s="21" t="n"/>
    </row>
    <row r="876">
      <c r="A876" s="11" t="n"/>
      <c r="B876" s="21" t="n"/>
    </row>
    <row r="877">
      <c r="A877" s="11" t="n"/>
      <c r="B877" s="21" t="n"/>
    </row>
    <row r="878">
      <c r="A878" s="11" t="n"/>
      <c r="B878" s="21" t="n"/>
    </row>
    <row r="879">
      <c r="A879" s="11" t="n"/>
      <c r="B879" s="21" t="n"/>
    </row>
    <row r="880">
      <c r="A880" s="11" t="n"/>
      <c r="B880" s="21" t="n"/>
    </row>
    <row r="881">
      <c r="A881" s="11" t="n"/>
      <c r="B881" s="21" t="n"/>
    </row>
    <row r="882">
      <c r="A882" s="11" t="n"/>
      <c r="B882" s="21" t="n"/>
    </row>
    <row r="883">
      <c r="A883" s="11" t="n"/>
      <c r="B883" s="21" t="n"/>
    </row>
    <row r="884">
      <c r="A884" s="11" t="n"/>
      <c r="B884" s="21" t="n"/>
    </row>
    <row r="885">
      <c r="A885" s="11" t="n"/>
      <c r="B885" s="21" t="n"/>
    </row>
    <row r="886">
      <c r="A886" s="11" t="n"/>
      <c r="B886" s="21" t="n"/>
    </row>
    <row r="887">
      <c r="A887" s="11" t="n"/>
      <c r="B887" s="21" t="n"/>
    </row>
    <row r="888">
      <c r="A888" s="11" t="n"/>
      <c r="B888" s="21" t="n"/>
    </row>
    <row r="889">
      <c r="A889" s="11" t="n"/>
      <c r="B889" s="21" t="n"/>
    </row>
    <row r="890">
      <c r="A890" s="11" t="n"/>
      <c r="B890" s="21" t="n"/>
    </row>
    <row r="891">
      <c r="A891" s="11" t="n"/>
      <c r="B891" s="21" t="n"/>
    </row>
    <row r="892">
      <c r="A892" s="11" t="n"/>
      <c r="B892" s="21" t="n"/>
    </row>
    <row r="893">
      <c r="A893" s="11" t="n"/>
      <c r="B893" s="21" t="n"/>
    </row>
    <row r="894">
      <c r="A894" s="11" t="n"/>
      <c r="B894" s="21" t="n"/>
    </row>
    <row r="895">
      <c r="A895" s="11" t="n"/>
      <c r="B895" s="21" t="n"/>
    </row>
    <row r="896">
      <c r="A896" s="11" t="n"/>
      <c r="B896" s="21" t="n"/>
    </row>
    <row r="897">
      <c r="A897" s="11" t="n"/>
      <c r="B897" s="21" t="n"/>
    </row>
    <row r="898">
      <c r="A898" s="11" t="n"/>
      <c r="B898" s="21" t="n"/>
    </row>
    <row r="899">
      <c r="A899" s="11" t="n"/>
      <c r="B899" s="21" t="n"/>
    </row>
    <row r="900">
      <c r="A900" s="11" t="n"/>
      <c r="B900" s="21" t="n"/>
    </row>
    <row r="901">
      <c r="A901" s="11" t="n"/>
      <c r="B901" s="21" t="n"/>
    </row>
    <row r="902">
      <c r="A902" s="11" t="n"/>
      <c r="B902" s="21" t="n"/>
    </row>
    <row r="903">
      <c r="A903" s="11" t="n"/>
      <c r="B903" s="21" t="n"/>
    </row>
    <row r="904">
      <c r="A904" s="11" t="n"/>
      <c r="B904" s="21" t="n"/>
    </row>
    <row r="905">
      <c r="A905" s="11" t="n"/>
      <c r="B905" s="21" t="n"/>
    </row>
    <row r="906">
      <c r="A906" s="11" t="n"/>
      <c r="B906" s="21" t="n"/>
    </row>
    <row r="907">
      <c r="A907" s="11" t="n"/>
      <c r="B907" s="21" t="n"/>
    </row>
    <row r="908">
      <c r="A908" s="11" t="n"/>
      <c r="B908" s="21" t="n"/>
    </row>
    <row r="909">
      <c r="A909" s="11" t="n"/>
      <c r="B909" s="21" t="n"/>
    </row>
    <row r="910">
      <c r="A910" s="11" t="n"/>
      <c r="B910" s="21" t="n"/>
    </row>
    <row r="911">
      <c r="A911" s="11" t="n"/>
      <c r="B911" s="21" t="n"/>
    </row>
    <row r="912">
      <c r="A912" s="11" t="n"/>
      <c r="B912" s="21" t="n"/>
    </row>
    <row r="913">
      <c r="A913" s="11" t="n"/>
      <c r="B913" s="21" t="n"/>
    </row>
    <row r="914">
      <c r="A914" s="11" t="n"/>
      <c r="B914" s="21" t="n"/>
    </row>
    <row r="915">
      <c r="A915" s="11" t="n"/>
      <c r="B915" s="21" t="n"/>
    </row>
    <row r="916">
      <c r="A916" s="11" t="n"/>
      <c r="B916" s="21" t="n"/>
    </row>
    <row r="917">
      <c r="A917" s="11" t="n"/>
      <c r="B917" s="21" t="n"/>
    </row>
    <row r="918">
      <c r="A918" s="11" t="n"/>
      <c r="B918" s="21" t="n"/>
    </row>
    <row r="919">
      <c r="A919" s="11" t="n"/>
      <c r="B919" s="21" t="n"/>
    </row>
    <row r="920">
      <c r="A920" s="11" t="n"/>
      <c r="B920" s="21" t="n"/>
    </row>
    <row r="921">
      <c r="A921" s="11" t="n"/>
      <c r="B921" s="21" t="n"/>
    </row>
    <row r="922">
      <c r="A922" s="11" t="n"/>
      <c r="B922" s="21" t="n"/>
    </row>
    <row r="923">
      <c r="A923" s="11" t="n"/>
      <c r="B923" s="21" t="n"/>
    </row>
    <row r="924">
      <c r="A924" s="11" t="n"/>
      <c r="B924" s="21" t="n"/>
    </row>
    <row r="925">
      <c r="A925" s="11" t="n"/>
      <c r="B925" s="21" t="n"/>
    </row>
    <row r="926">
      <c r="A926" s="11" t="n"/>
      <c r="B926" s="21" t="n"/>
    </row>
    <row r="927">
      <c r="A927" s="11" t="n"/>
      <c r="B927" s="21" t="n"/>
    </row>
    <row r="928">
      <c r="A928" s="11" t="n"/>
      <c r="B928" s="21" t="n"/>
    </row>
    <row r="929">
      <c r="A929" s="11" t="n"/>
      <c r="B929" s="21" t="n"/>
    </row>
    <row r="930">
      <c r="A930" s="11" t="n"/>
      <c r="B930" s="21" t="n"/>
    </row>
    <row r="931">
      <c r="A931" s="11" t="n"/>
      <c r="B931" s="21" t="n"/>
    </row>
    <row r="932">
      <c r="A932" s="11" t="n"/>
      <c r="B932" s="21" t="n"/>
    </row>
    <row r="933">
      <c r="A933" s="11" t="n"/>
      <c r="B933" s="21" t="n"/>
    </row>
    <row r="934">
      <c r="A934" s="11" t="n"/>
      <c r="B934" s="21" t="n"/>
    </row>
    <row r="935">
      <c r="A935" s="11" t="n"/>
      <c r="B935" s="21" t="n"/>
    </row>
    <row r="936">
      <c r="A936" s="11" t="n"/>
      <c r="B936" s="21" t="n"/>
    </row>
    <row r="937">
      <c r="A937" s="11" t="n"/>
      <c r="B937" s="21" t="n"/>
    </row>
    <row r="938">
      <c r="A938" s="11" t="n"/>
      <c r="B938" s="21" t="n"/>
    </row>
    <row r="939">
      <c r="A939" s="11" t="n"/>
      <c r="B939" s="21" t="n"/>
    </row>
    <row r="940">
      <c r="A940" s="11" t="n"/>
      <c r="B940" s="21" t="n"/>
    </row>
    <row r="941">
      <c r="A941" s="11" t="n"/>
      <c r="B941" s="21" t="n"/>
    </row>
    <row r="942">
      <c r="A942" s="11" t="n"/>
      <c r="B942" s="21" t="n"/>
    </row>
    <row r="943">
      <c r="A943" s="11" t="n"/>
      <c r="B943" s="21" t="n"/>
    </row>
    <row r="944">
      <c r="A944" s="11" t="n"/>
      <c r="B944" s="21" t="n"/>
    </row>
    <row r="945">
      <c r="A945" s="11" t="n"/>
      <c r="B945" s="21" t="n"/>
    </row>
    <row r="946">
      <c r="A946" s="11" t="n"/>
      <c r="B946" s="21" t="n"/>
    </row>
    <row r="947">
      <c r="A947" s="11" t="n"/>
      <c r="B947" s="21" t="n"/>
    </row>
    <row r="948">
      <c r="A948" s="11" t="n"/>
      <c r="B948" s="21" t="n"/>
    </row>
    <row r="949">
      <c r="A949" s="11" t="n"/>
      <c r="B949" s="21" t="n"/>
    </row>
    <row r="950">
      <c r="A950" s="11" t="n"/>
      <c r="B950" s="21" t="n"/>
    </row>
    <row r="951">
      <c r="A951" s="11" t="n"/>
      <c r="B951" s="21" t="n"/>
    </row>
    <row r="952">
      <c r="A952" s="11" t="n"/>
      <c r="B952" s="21" t="n"/>
    </row>
    <row r="953">
      <c r="A953" s="11" t="n"/>
      <c r="B953" s="21" t="n"/>
    </row>
    <row r="954">
      <c r="A954" s="11" t="n"/>
      <c r="B954" s="21" t="n"/>
    </row>
    <row r="955">
      <c r="A955" s="11" t="n"/>
      <c r="B955" s="21" t="n"/>
    </row>
    <row r="956">
      <c r="A956" s="11" t="n"/>
      <c r="B956" s="21" t="n"/>
    </row>
    <row r="957">
      <c r="A957" s="11" t="n"/>
      <c r="B957" s="21" t="n"/>
    </row>
    <row r="958">
      <c r="A958" s="11" t="n"/>
      <c r="B958" s="21" t="n"/>
    </row>
    <row r="959">
      <c r="A959" s="11" t="n"/>
      <c r="B959" s="21" t="n"/>
    </row>
    <row r="960">
      <c r="A960" s="11" t="n"/>
      <c r="B960" s="21" t="n"/>
    </row>
    <row r="961">
      <c r="A961" s="11" t="n"/>
      <c r="B961" s="21" t="n"/>
    </row>
    <row r="962">
      <c r="A962" s="11" t="n"/>
      <c r="B962" s="21" t="n"/>
    </row>
    <row r="963">
      <c r="A963" s="11" t="n"/>
      <c r="B963" s="21" t="n"/>
    </row>
    <row r="964">
      <c r="A964" s="11" t="n"/>
      <c r="B964" s="21" t="n"/>
    </row>
    <row r="965">
      <c r="A965" s="11" t="n"/>
      <c r="B965" s="21" t="n"/>
    </row>
    <row r="966">
      <c r="A966" s="11" t="n"/>
      <c r="B966" s="21" t="n"/>
    </row>
    <row r="967">
      <c r="A967" s="11" t="n"/>
      <c r="B967" s="21" t="n"/>
    </row>
    <row r="968">
      <c r="A968" s="11" t="n"/>
      <c r="B968" s="21" t="n"/>
    </row>
    <row r="969">
      <c r="A969" s="11" t="n"/>
      <c r="B969" s="21" t="n"/>
    </row>
    <row r="970">
      <c r="A970" s="11" t="n"/>
      <c r="B970" s="21" t="n"/>
    </row>
    <row r="971">
      <c r="A971" s="11" t="n"/>
      <c r="B971" s="21" t="n"/>
    </row>
    <row r="972">
      <c r="A972" s="11" t="n"/>
      <c r="B972" s="21" t="n"/>
    </row>
    <row r="973">
      <c r="A973" s="11" t="n"/>
      <c r="B973" s="21" t="n"/>
    </row>
    <row r="974">
      <c r="A974" s="11" t="n"/>
      <c r="B974" s="21" t="n"/>
    </row>
    <row r="975">
      <c r="A975" s="11" t="n"/>
      <c r="B975" s="21" t="n"/>
    </row>
    <row r="976">
      <c r="A976" s="11" t="n"/>
      <c r="B976" s="21" t="n"/>
    </row>
    <row r="977">
      <c r="A977" s="11" t="n"/>
      <c r="B977" s="21" t="n"/>
    </row>
    <row r="978">
      <c r="A978" s="11" t="n"/>
      <c r="B978" s="21" t="n"/>
    </row>
    <row r="979">
      <c r="A979" s="11" t="n"/>
      <c r="B979" s="21" t="n"/>
    </row>
    <row r="980">
      <c r="A980" s="11" t="n"/>
      <c r="B980" s="21" t="n"/>
    </row>
    <row r="981">
      <c r="A981" s="11" t="n"/>
      <c r="B981" s="21" t="n"/>
    </row>
    <row r="982">
      <c r="A982" s="11" t="n"/>
      <c r="B982" s="21" t="n"/>
    </row>
    <row r="983">
      <c r="A983" s="11" t="n"/>
      <c r="B983" s="21" t="n"/>
    </row>
    <row r="984">
      <c r="A984" s="11" t="n"/>
      <c r="B984" s="21" t="n"/>
    </row>
    <row r="985">
      <c r="A985" s="11" t="n"/>
      <c r="B985" s="21" t="n"/>
    </row>
    <row r="986">
      <c r="A986" s="11" t="n"/>
      <c r="B986" s="21" t="n"/>
    </row>
    <row r="987">
      <c r="A987" s="11" t="n"/>
      <c r="B987" s="21" t="n"/>
    </row>
    <row r="988">
      <c r="A988" s="11" t="n"/>
      <c r="B988" s="21" t="n"/>
    </row>
    <row r="989">
      <c r="A989" s="11" t="n"/>
      <c r="B989" s="21" t="n"/>
    </row>
    <row r="990">
      <c r="A990" s="11" t="n"/>
      <c r="B990" s="21" t="n"/>
    </row>
    <row r="991">
      <c r="A991" s="11" t="n"/>
      <c r="B991" s="21" t="n"/>
    </row>
    <row r="992">
      <c r="A992" s="11" t="n"/>
      <c r="B992" s="21" t="n"/>
    </row>
    <row r="993">
      <c r="A993" s="11" t="n"/>
      <c r="B993" s="21" t="n"/>
    </row>
    <row r="994">
      <c r="A994" s="11" t="n"/>
      <c r="B994" s="21" t="n"/>
    </row>
    <row r="995">
      <c r="A995" s="11" t="n"/>
      <c r="B995" s="21" t="n"/>
    </row>
    <row r="996">
      <c r="A996" s="11" t="n"/>
      <c r="B996" s="21" t="n"/>
    </row>
    <row r="997">
      <c r="A997" s="11" t="n"/>
      <c r="B997" s="21" t="n"/>
    </row>
    <row r="998">
      <c r="A998" s="11" t="n"/>
      <c r="B998" s="21" t="n"/>
    </row>
    <row r="999">
      <c r="A999" s="11" t="n"/>
      <c r="B999" s="21" t="n"/>
    </row>
    <row r="1000">
      <c r="A1000" s="11" t="n"/>
      <c r="B1000" s="21" t="n"/>
    </row>
    <row r="1001">
      <c r="A1001" s="11" t="n"/>
      <c r="B1001" s="21" t="n"/>
    </row>
    <row r="1002">
      <c r="A1002" s="11" t="n"/>
      <c r="B1002" s="21" t="n"/>
    </row>
    <row r="1003">
      <c r="A1003" s="11" t="n"/>
      <c r="B1003" s="21" t="n"/>
    </row>
    <row r="1004">
      <c r="A1004" s="11" t="n"/>
      <c r="B1004" s="21" t="n"/>
    </row>
    <row r="1005">
      <c r="A1005" s="11" t="n"/>
      <c r="B1005" s="21" t="n"/>
    </row>
    <row r="1006">
      <c r="A1006" s="11" t="n"/>
      <c r="B1006" s="21" t="n"/>
    </row>
    <row r="1007">
      <c r="A1007" s="11" t="n"/>
      <c r="B1007" s="21" t="n"/>
    </row>
    <row r="1008">
      <c r="A1008" s="11" t="n"/>
      <c r="B1008" s="21" t="n"/>
    </row>
    <row r="1009">
      <c r="A1009" s="11" t="n"/>
      <c r="B1009" s="21" t="n"/>
    </row>
    <row r="1010">
      <c r="A1010" s="11" t="n"/>
      <c r="B1010" s="21" t="n"/>
    </row>
    <row r="1011">
      <c r="A1011" s="11" t="n"/>
      <c r="B1011" s="21" t="n"/>
    </row>
    <row r="1012">
      <c r="A1012" s="11" t="n"/>
      <c r="B1012" s="21" t="n"/>
    </row>
    <row r="1013">
      <c r="A1013" s="11" t="n"/>
      <c r="B1013" s="21" t="n"/>
    </row>
    <row r="1014">
      <c r="A1014" s="11" t="n"/>
      <c r="B1014" s="21" t="n"/>
    </row>
    <row r="1015">
      <c r="A1015" s="11" t="n"/>
      <c r="B1015" s="21" t="n"/>
    </row>
    <row r="1016">
      <c r="A1016" s="11" t="n"/>
      <c r="B1016" s="21" t="n"/>
    </row>
    <row r="1017">
      <c r="A1017" s="11" t="n"/>
      <c r="B1017" s="21" t="n"/>
    </row>
    <row r="1018">
      <c r="A1018" s="11" t="n"/>
      <c r="B1018" s="21" t="n"/>
    </row>
    <row r="1019">
      <c r="A1019" s="11" t="n"/>
      <c r="B1019" s="21" t="n"/>
    </row>
    <row r="1020">
      <c r="A1020" s="11" t="n"/>
      <c r="B1020" s="21" t="n"/>
    </row>
    <row r="1021">
      <c r="A1021" s="11" t="n"/>
      <c r="B1021" s="21" t="n"/>
    </row>
    <row r="1022">
      <c r="A1022" s="11" t="n"/>
      <c r="B1022" s="21" t="n"/>
    </row>
    <row r="1023">
      <c r="A1023" s="11" t="n"/>
      <c r="B1023" s="21" t="n"/>
    </row>
    <row r="1024">
      <c r="A1024" s="11" t="n"/>
      <c r="B1024" s="21" t="n"/>
    </row>
    <row r="1025">
      <c r="A1025" s="11" t="n"/>
      <c r="B1025" s="21" t="n"/>
    </row>
    <row r="1026">
      <c r="A1026" s="11" t="n"/>
      <c r="B1026" s="21" t="n"/>
    </row>
    <row r="1027">
      <c r="A1027" s="11" t="n"/>
      <c r="B1027" s="21" t="n"/>
    </row>
    <row r="1028">
      <c r="A1028" s="11" t="n"/>
      <c r="B1028" s="21" t="n"/>
    </row>
    <row r="1029">
      <c r="A1029" s="11" t="n"/>
      <c r="B1029" s="21" t="n"/>
    </row>
    <row r="1030">
      <c r="A1030" s="11" t="n"/>
      <c r="B1030" s="21" t="n"/>
    </row>
    <row r="1031">
      <c r="A1031" s="11" t="n"/>
      <c r="B1031" s="21" t="n"/>
    </row>
    <row r="1032">
      <c r="A1032" s="11" t="n"/>
      <c r="B1032" s="21" t="n"/>
    </row>
    <row r="1033">
      <c r="A1033" s="11" t="n"/>
      <c r="B1033" s="21" t="n"/>
    </row>
    <row r="1034">
      <c r="A1034" s="11" t="n"/>
      <c r="B1034" s="21" t="n"/>
    </row>
    <row r="1035">
      <c r="A1035" s="11" t="n"/>
      <c r="B1035" s="21" t="n"/>
    </row>
    <row r="1036">
      <c r="A1036" s="11" t="n"/>
      <c r="B1036" s="21" t="n"/>
    </row>
    <row r="1037">
      <c r="A1037" s="11" t="n"/>
      <c r="B1037" s="21" t="n"/>
    </row>
    <row r="1038">
      <c r="A1038" s="11" t="n"/>
      <c r="B1038" s="21" t="n"/>
    </row>
    <row r="1039">
      <c r="A1039" s="11" t="n"/>
      <c r="B1039" s="21" t="n"/>
    </row>
    <row r="1040">
      <c r="A1040" s="11" t="n"/>
      <c r="B1040" s="21" t="n"/>
    </row>
    <row r="1041">
      <c r="A1041" s="11" t="n"/>
      <c r="B1041" s="21" t="n"/>
    </row>
    <row r="1042">
      <c r="A1042" s="11" t="n"/>
      <c r="B1042" s="21" t="n"/>
    </row>
    <row r="1043">
      <c r="A1043" s="11" t="n"/>
      <c r="B1043" s="21" t="n"/>
    </row>
    <row r="1044">
      <c r="A1044" s="11" t="n"/>
      <c r="B1044" s="21" t="n"/>
    </row>
    <row r="1045">
      <c r="A1045" s="11" t="n"/>
      <c r="B1045" s="21" t="n"/>
    </row>
    <row r="1046">
      <c r="A1046" s="11" t="n"/>
      <c r="B1046" s="21" t="n"/>
    </row>
    <row r="1047">
      <c r="A1047" s="11" t="n"/>
      <c r="B1047" s="21" t="n"/>
    </row>
    <row r="1048">
      <c r="A1048" s="11" t="n"/>
      <c r="B1048" s="21" t="n"/>
    </row>
    <row r="1049">
      <c r="A1049" s="11" t="n"/>
      <c r="B1049" s="21" t="n"/>
    </row>
    <row r="1050">
      <c r="A1050" s="11" t="n"/>
      <c r="B1050" s="21" t="n"/>
    </row>
    <row r="1051">
      <c r="A1051" s="11" t="n"/>
      <c r="B1051" s="21" t="n"/>
    </row>
    <row r="1052">
      <c r="A1052" s="11" t="n"/>
      <c r="B1052" s="21" t="n"/>
    </row>
    <row r="1053">
      <c r="A1053" s="11" t="n"/>
      <c r="B1053" s="21" t="n"/>
    </row>
    <row r="1054">
      <c r="A1054" s="11" t="n"/>
      <c r="B1054" s="21" t="n"/>
    </row>
    <row r="1055">
      <c r="A1055" s="11" t="n"/>
      <c r="B1055" s="21" t="n"/>
    </row>
    <row r="1056">
      <c r="A1056" s="11" t="n"/>
      <c r="B1056" s="21" t="n"/>
    </row>
    <row r="1057">
      <c r="A1057" s="11" t="n"/>
      <c r="B1057" s="21" t="n"/>
    </row>
    <row r="1058">
      <c r="A1058" s="11" t="n"/>
      <c r="B1058" s="21" t="n"/>
    </row>
    <row r="1059">
      <c r="A1059" s="11" t="n"/>
      <c r="B1059" s="21" t="n"/>
    </row>
    <row r="1060">
      <c r="A1060" s="11" t="n"/>
      <c r="B1060" s="21" t="n"/>
    </row>
    <row r="1061">
      <c r="A1061" s="11" t="n"/>
      <c r="B1061" s="21" t="n"/>
    </row>
    <row r="1062">
      <c r="A1062" s="11" t="n"/>
      <c r="B1062" s="21" t="n"/>
    </row>
    <row r="1063">
      <c r="A1063" s="11" t="n"/>
      <c r="B1063" s="21" t="n"/>
    </row>
    <row r="1064">
      <c r="A1064" s="11" t="n"/>
      <c r="B1064" s="21" t="n"/>
    </row>
    <row r="1065">
      <c r="A1065" s="11" t="n"/>
      <c r="B1065" s="21" t="n"/>
    </row>
    <row r="1066">
      <c r="A1066" s="11" t="n"/>
      <c r="B1066" s="21" t="n"/>
    </row>
    <row r="1067">
      <c r="A1067" s="11" t="n"/>
      <c r="B1067" s="21" t="n"/>
    </row>
    <row r="1068">
      <c r="A1068" s="11" t="n"/>
      <c r="B1068" s="21" t="n"/>
    </row>
    <row r="1069">
      <c r="A1069" s="11" t="n"/>
      <c r="B1069" s="21" t="n"/>
    </row>
    <row r="1070">
      <c r="A1070" s="11" t="n"/>
      <c r="B1070" s="21" t="n"/>
    </row>
    <row r="1071">
      <c r="A1071" s="11" t="n"/>
      <c r="B1071" s="21" t="n"/>
    </row>
    <row r="1072">
      <c r="A1072" s="11" t="n"/>
      <c r="B1072" s="21" t="n"/>
    </row>
    <row r="1073">
      <c r="A1073" s="11" t="n"/>
      <c r="B1073" s="21" t="n"/>
    </row>
    <row r="1074">
      <c r="A1074" s="11" t="n"/>
      <c r="B1074" s="21" t="n"/>
    </row>
    <row r="1075">
      <c r="A1075" s="11" t="n"/>
      <c r="B1075" s="21" t="n"/>
    </row>
    <row r="1076">
      <c r="A1076" s="11" t="n"/>
      <c r="B1076" s="21" t="n"/>
    </row>
    <row r="1077">
      <c r="A1077" s="11" t="n"/>
      <c r="B1077" s="21" t="n"/>
    </row>
    <row r="1078">
      <c r="A1078" s="11" t="n"/>
      <c r="B1078" s="21" t="n"/>
    </row>
    <row r="1079">
      <c r="A1079" s="11" t="n"/>
      <c r="B1079" s="21" t="n"/>
    </row>
    <row r="1080">
      <c r="A1080" s="11" t="n"/>
      <c r="B1080" s="21" t="n"/>
    </row>
    <row r="1081">
      <c r="A1081" s="11" t="n"/>
      <c r="B1081" s="21" t="n"/>
    </row>
    <row r="1082">
      <c r="A1082" s="11" t="n"/>
      <c r="B1082" s="21" t="n"/>
    </row>
    <row r="1083">
      <c r="A1083" s="11" t="n"/>
      <c r="B1083" s="21" t="n"/>
    </row>
    <row r="1084">
      <c r="A1084" s="11" t="n"/>
      <c r="B1084" s="21" t="n"/>
    </row>
    <row r="1085">
      <c r="A1085" s="11" t="n"/>
      <c r="B1085" s="21" t="n"/>
    </row>
    <row r="1086">
      <c r="A1086" s="11" t="n"/>
      <c r="B1086" s="21" t="n"/>
    </row>
    <row r="1087">
      <c r="A1087" s="11" t="n"/>
      <c r="B1087" s="21" t="n"/>
    </row>
    <row r="1088">
      <c r="A1088" s="11" t="n"/>
      <c r="B1088" s="21" t="n"/>
    </row>
    <row r="1089">
      <c r="A1089" s="11" t="n"/>
      <c r="B1089" s="21" t="n"/>
    </row>
    <row r="1090">
      <c r="A1090" s="11" t="n"/>
      <c r="B1090" s="21" t="n"/>
    </row>
    <row r="1091">
      <c r="A1091" s="11" t="n"/>
      <c r="B1091" s="21" t="n"/>
    </row>
    <row r="1092">
      <c r="A1092" s="11" t="n"/>
      <c r="B1092" s="21" t="n"/>
    </row>
    <row r="1093">
      <c r="A1093" s="11" t="n"/>
      <c r="B1093" s="21" t="n"/>
    </row>
    <row r="1094">
      <c r="A1094" s="11" t="n"/>
      <c r="B1094" s="21" t="n"/>
    </row>
    <row r="1095">
      <c r="A1095" s="11" t="n"/>
      <c r="B1095" s="21" t="n"/>
    </row>
    <row r="1096">
      <c r="A1096" s="11" t="n"/>
      <c r="B1096" s="21" t="n"/>
    </row>
    <row r="1097">
      <c r="A1097" s="11" t="n"/>
      <c r="B1097" s="21" t="n"/>
    </row>
    <row r="1098">
      <c r="A1098" s="11" t="n"/>
      <c r="B1098" s="21" t="n"/>
    </row>
    <row r="1099">
      <c r="A1099" s="11" t="n"/>
      <c r="B1099" s="21" t="n"/>
    </row>
    <row r="1100">
      <c r="A1100" s="11" t="n"/>
      <c r="B1100" s="21" t="n"/>
    </row>
    <row r="1101">
      <c r="A1101" s="11" t="n"/>
      <c r="B1101" s="21" t="n"/>
    </row>
    <row r="1102">
      <c r="A1102" s="11" t="n"/>
      <c r="B1102" s="21" t="n"/>
    </row>
    <row r="1103">
      <c r="A1103" s="11" t="n"/>
      <c r="B1103" s="21" t="n"/>
    </row>
    <row r="1104">
      <c r="A1104" s="11" t="n"/>
      <c r="B1104" s="21" t="n"/>
    </row>
    <row r="1105">
      <c r="A1105" s="11" t="n"/>
      <c r="B1105" s="21" t="n"/>
    </row>
    <row r="1106">
      <c r="A1106" s="11" t="n"/>
      <c r="B1106" s="21" t="n"/>
    </row>
    <row r="1107">
      <c r="A1107" s="11" t="n"/>
      <c r="B1107" s="21" t="n"/>
    </row>
    <row r="1108">
      <c r="A1108" s="11" t="n"/>
      <c r="B1108" s="21" t="n"/>
    </row>
    <row r="1109">
      <c r="A1109" s="11" t="n"/>
      <c r="B1109" s="21" t="n"/>
    </row>
    <row r="1110">
      <c r="A1110" s="11" t="n"/>
      <c r="B1110" s="21" t="n"/>
    </row>
    <row r="1111">
      <c r="A1111" s="11" t="n"/>
      <c r="B1111" s="21" t="n"/>
    </row>
    <row r="1112">
      <c r="A1112" s="11" t="n"/>
      <c r="B1112" s="21" t="n"/>
    </row>
    <row r="1113">
      <c r="A1113" s="11" t="n"/>
      <c r="B1113" s="21" t="n"/>
    </row>
    <row r="1114">
      <c r="A1114" s="11" t="n"/>
      <c r="B1114" s="21" t="n"/>
    </row>
    <row r="1115">
      <c r="A1115" s="11" t="n"/>
      <c r="B1115" s="21" t="n"/>
    </row>
    <row r="1116">
      <c r="A1116" s="11" t="n"/>
      <c r="B1116" s="21" t="n"/>
    </row>
    <row r="1117">
      <c r="A1117" s="11" t="n"/>
      <c r="B1117" s="21" t="n"/>
    </row>
    <row r="1118">
      <c r="A1118" s="11" t="n"/>
      <c r="B1118" s="21" t="n"/>
    </row>
    <row r="1119">
      <c r="A1119" s="11" t="n"/>
      <c r="B1119" s="21" t="n"/>
    </row>
    <row r="1120">
      <c r="A1120" s="11" t="n"/>
      <c r="B1120" s="21" t="n"/>
    </row>
    <row r="1121">
      <c r="A1121" s="11" t="n"/>
      <c r="B1121" s="21" t="n"/>
    </row>
    <row r="1122">
      <c r="A1122" s="11" t="n"/>
      <c r="B1122" s="21" t="n"/>
    </row>
    <row r="1123">
      <c r="A1123" s="11" t="n"/>
      <c r="B1123" s="21" t="n"/>
    </row>
    <row r="1124">
      <c r="A1124" s="11" t="n"/>
      <c r="B1124" s="21" t="n"/>
    </row>
    <row r="1125">
      <c r="A1125" s="11" t="n"/>
      <c r="B1125" s="21" t="n"/>
    </row>
    <row r="1126">
      <c r="A1126" s="11" t="n"/>
      <c r="B1126" s="21" t="n"/>
    </row>
    <row r="1127">
      <c r="A1127" s="11" t="n"/>
      <c r="B1127" s="21" t="n"/>
    </row>
    <row r="1128">
      <c r="A1128" s="11" t="n"/>
      <c r="B1128" s="21" t="n"/>
    </row>
    <row r="1129">
      <c r="A1129" s="11" t="n"/>
      <c r="B1129" s="21" t="n"/>
    </row>
    <row r="1130">
      <c r="A1130" s="11" t="n"/>
      <c r="B1130" s="21" t="n"/>
    </row>
    <row r="1131">
      <c r="A1131" s="11" t="n"/>
      <c r="B1131" s="21" t="n"/>
    </row>
    <row r="1132">
      <c r="A1132" s="11" t="n"/>
      <c r="B1132" s="21" t="n"/>
    </row>
    <row r="1133">
      <c r="A1133" s="11" t="n"/>
      <c r="B1133" s="21" t="n"/>
    </row>
    <row r="1134">
      <c r="A1134" s="11" t="n"/>
      <c r="B1134" s="21" t="n"/>
    </row>
    <row r="1135">
      <c r="A1135" s="11" t="n"/>
      <c r="B1135" s="21" t="n"/>
    </row>
    <row r="1136">
      <c r="A1136" s="11" t="n"/>
      <c r="B1136" s="21" t="n"/>
    </row>
    <row r="1137">
      <c r="A1137" s="11" t="n"/>
      <c r="B1137" s="21" t="n"/>
    </row>
    <row r="1138">
      <c r="A1138" s="11" t="n"/>
      <c r="B1138" s="21" t="n"/>
    </row>
    <row r="1139">
      <c r="A1139" s="11" t="n"/>
      <c r="B1139" s="21" t="n"/>
    </row>
    <row r="1140">
      <c r="A1140" s="11" t="n"/>
      <c r="B1140" s="21" t="n"/>
    </row>
    <row r="1141">
      <c r="A1141" s="11" t="n"/>
      <c r="B1141" s="21" t="n"/>
    </row>
    <row r="1142">
      <c r="A1142" s="11" t="n"/>
      <c r="B1142" s="21" t="n"/>
    </row>
    <row r="1143">
      <c r="A1143" s="11" t="n"/>
      <c r="B1143" s="21" t="n"/>
    </row>
    <row r="1144">
      <c r="A1144" s="11" t="n"/>
      <c r="B1144" s="21" t="n"/>
    </row>
    <row r="1145">
      <c r="A1145" s="11" t="n"/>
      <c r="B1145" s="21" t="n"/>
    </row>
    <row r="1146">
      <c r="A1146" s="11" t="n"/>
      <c r="B1146" s="21" t="n"/>
    </row>
    <row r="1147">
      <c r="A1147" s="11" t="n"/>
      <c r="B1147" s="21" t="n"/>
    </row>
    <row r="1148">
      <c r="A1148" s="11" t="n"/>
      <c r="B1148" s="21" t="n"/>
    </row>
    <row r="1149">
      <c r="A1149" s="11" t="n"/>
      <c r="B1149" s="21" t="n"/>
    </row>
    <row r="1150">
      <c r="A1150" s="11" t="n"/>
      <c r="B1150" s="21" t="n"/>
    </row>
    <row r="1151">
      <c r="A1151" s="11" t="n"/>
      <c r="B1151" s="21" t="n"/>
    </row>
    <row r="1152">
      <c r="A1152" s="11" t="n"/>
      <c r="B1152" s="21" t="n"/>
    </row>
    <row r="1153">
      <c r="A1153" s="11" t="n"/>
      <c r="B1153" s="21" t="n"/>
    </row>
    <row r="1154">
      <c r="A1154" s="11" t="n"/>
      <c r="B1154" s="21" t="n"/>
    </row>
    <row r="1155">
      <c r="A1155" s="11" t="n"/>
      <c r="B1155" s="21" t="n"/>
    </row>
    <row r="1156">
      <c r="A1156" s="11" t="n"/>
      <c r="B1156" s="21" t="n"/>
    </row>
    <row r="1157">
      <c r="A1157" s="11" t="n"/>
      <c r="B1157" s="21" t="n"/>
    </row>
    <row r="1158">
      <c r="A1158" s="11" t="n"/>
      <c r="B1158" s="21" t="n"/>
    </row>
    <row r="1159">
      <c r="A1159" s="11" t="n"/>
      <c r="B1159" s="21" t="n"/>
    </row>
    <row r="1160">
      <c r="A1160" s="11" t="n"/>
      <c r="B1160" s="21" t="n"/>
    </row>
    <row r="1161">
      <c r="A1161" s="11" t="n"/>
      <c r="B1161" s="21" t="n"/>
    </row>
    <row r="1162">
      <c r="A1162" s="11" t="n"/>
      <c r="B1162" s="21" t="n"/>
    </row>
    <row r="1163">
      <c r="A1163" s="11" t="n"/>
      <c r="B1163" s="21" t="n"/>
    </row>
    <row r="1164">
      <c r="A1164" s="11" t="n"/>
      <c r="B1164" s="21" t="n"/>
    </row>
    <row r="1165">
      <c r="A1165" s="11" t="n"/>
      <c r="B1165" s="21" t="n"/>
    </row>
    <row r="1166">
      <c r="A1166" s="11" t="n"/>
      <c r="B1166" s="21" t="n"/>
    </row>
    <row r="1167">
      <c r="A1167" s="11" t="n"/>
      <c r="B1167" s="21" t="n"/>
    </row>
    <row r="1168">
      <c r="A1168" s="11" t="n"/>
      <c r="B1168" s="21" t="n"/>
    </row>
    <row r="1169">
      <c r="A1169" s="11" t="n"/>
      <c r="B1169" s="21" t="n"/>
    </row>
    <row r="1170">
      <c r="A1170" s="11" t="n"/>
      <c r="B1170" s="21" t="n"/>
    </row>
    <row r="1171">
      <c r="A1171" s="11" t="n"/>
      <c r="B1171" s="21" t="n"/>
    </row>
    <row r="1172">
      <c r="A1172" s="11" t="n"/>
      <c r="B1172" s="21" t="n"/>
    </row>
    <row r="1173">
      <c r="A1173" s="11" t="n"/>
      <c r="B1173" s="21" t="n"/>
    </row>
    <row r="1174">
      <c r="A1174" s="11" t="n"/>
      <c r="B1174" s="21" t="n"/>
    </row>
    <row r="1175">
      <c r="A1175" s="11" t="n"/>
      <c r="B1175" s="21" t="n"/>
    </row>
    <row r="1176">
      <c r="A1176" s="11" t="n"/>
      <c r="B1176" s="21" t="n"/>
    </row>
    <row r="1177">
      <c r="A1177" s="11" t="n"/>
      <c r="B1177" s="21" t="n"/>
    </row>
    <row r="1178">
      <c r="A1178" s="11" t="n"/>
      <c r="B1178" s="21" t="n"/>
    </row>
    <row r="1179">
      <c r="A1179" s="11" t="n"/>
      <c r="B1179" s="21" t="n"/>
    </row>
    <row r="1180">
      <c r="A1180" s="11" t="n"/>
      <c r="B1180" s="21" t="n"/>
    </row>
    <row r="1181">
      <c r="A1181" s="11" t="n"/>
      <c r="B1181" s="21" t="n"/>
    </row>
    <row r="1182">
      <c r="A1182" s="11" t="n"/>
      <c r="B1182" s="21" t="n"/>
    </row>
    <row r="1183">
      <c r="A1183" s="11" t="n"/>
      <c r="B1183" s="21" t="n"/>
    </row>
    <row r="1184">
      <c r="A1184" s="11" t="n"/>
      <c r="B1184" s="21" t="n"/>
    </row>
    <row r="1185">
      <c r="A1185" s="11" t="n"/>
      <c r="B1185" s="21" t="n"/>
    </row>
    <row r="1186">
      <c r="A1186" s="11" t="n"/>
      <c r="B1186" s="21" t="n"/>
    </row>
    <row r="1187">
      <c r="A1187" s="11" t="n"/>
      <c r="B1187" s="21" t="n"/>
    </row>
    <row r="1188">
      <c r="A1188" s="11" t="n"/>
      <c r="B1188" s="21" t="n"/>
    </row>
    <row r="1189">
      <c r="A1189" s="11" t="n"/>
      <c r="B1189" s="21" t="n"/>
    </row>
    <row r="1190">
      <c r="A1190" s="11" t="n"/>
      <c r="B1190" s="21" t="n"/>
    </row>
    <row r="1191">
      <c r="A1191" s="11" t="n"/>
      <c r="B1191" s="21" t="n"/>
    </row>
    <row r="1192">
      <c r="A1192" s="11" t="n"/>
      <c r="B1192" s="21" t="n"/>
    </row>
    <row r="1193">
      <c r="A1193" s="11" t="n"/>
      <c r="B1193" s="21" t="n"/>
    </row>
    <row r="1194">
      <c r="A1194" s="11" t="n"/>
      <c r="B1194" s="21" t="n"/>
    </row>
    <row r="1195">
      <c r="A1195" s="11" t="n"/>
      <c r="B1195" s="21" t="n"/>
    </row>
    <row r="1196">
      <c r="A1196" s="11" t="n"/>
      <c r="B1196" s="21" t="n"/>
    </row>
    <row r="1197">
      <c r="A1197" s="11" t="n"/>
      <c r="B1197" s="21" t="n"/>
    </row>
    <row r="1198">
      <c r="A1198" s="11" t="n"/>
      <c r="B1198" s="21" t="n"/>
    </row>
    <row r="1199">
      <c r="A1199" s="11" t="n"/>
      <c r="B1199" s="21" t="n"/>
    </row>
    <row r="1200">
      <c r="A1200" s="11" t="n"/>
      <c r="B1200" s="21" t="n"/>
    </row>
    <row r="1201">
      <c r="A1201" s="11" t="n"/>
      <c r="B1201" s="21" t="n"/>
    </row>
    <row r="1202">
      <c r="A1202" s="11" t="n"/>
      <c r="B1202" s="21" t="n"/>
    </row>
    <row r="1203">
      <c r="A1203" s="11" t="n"/>
      <c r="B1203" s="21" t="n"/>
    </row>
    <row r="1204">
      <c r="A1204" s="11" t="n"/>
      <c r="B1204" s="21" t="n"/>
    </row>
    <row r="1205">
      <c r="A1205" s="11" t="n"/>
      <c r="B1205" s="21" t="n"/>
    </row>
    <row r="1206">
      <c r="A1206" s="11" t="n"/>
      <c r="B1206" s="21" t="n"/>
    </row>
    <row r="1207">
      <c r="A1207" s="11" t="n"/>
      <c r="B1207" s="21" t="n"/>
    </row>
    <row r="1208">
      <c r="A1208" s="11" t="n"/>
      <c r="B1208" s="21" t="n"/>
    </row>
    <row r="1209">
      <c r="A1209" s="11" t="n"/>
      <c r="B1209" s="21" t="n"/>
    </row>
    <row r="1210">
      <c r="A1210" s="11" t="n"/>
      <c r="B1210" s="21" t="n"/>
    </row>
    <row r="1211">
      <c r="A1211" s="11" t="n"/>
      <c r="B1211" s="21" t="n"/>
    </row>
    <row r="1212">
      <c r="A1212" s="11" t="n"/>
      <c r="B1212" s="21" t="n"/>
    </row>
    <row r="1213">
      <c r="A1213" s="11" t="n"/>
      <c r="B1213" s="21" t="n"/>
    </row>
    <row r="1214">
      <c r="A1214" s="11" t="n"/>
      <c r="B1214" s="21" t="n"/>
    </row>
    <row r="1215">
      <c r="A1215" s="11" t="n"/>
      <c r="B1215" s="21" t="n"/>
    </row>
    <row r="1216">
      <c r="A1216" s="11" t="n"/>
      <c r="B1216" s="21" t="n"/>
    </row>
    <row r="1217">
      <c r="A1217" s="11" t="n"/>
      <c r="B1217" s="21" t="n"/>
    </row>
    <row r="1218">
      <c r="A1218" s="11" t="n"/>
      <c r="B1218" s="21" t="n"/>
    </row>
    <row r="1219">
      <c r="A1219" s="11" t="n"/>
      <c r="B1219" s="21" t="n"/>
    </row>
    <row r="1220">
      <c r="A1220" s="11" t="n"/>
      <c r="B1220" s="21" t="n"/>
    </row>
    <row r="1221">
      <c r="A1221" s="11" t="n"/>
      <c r="B1221" s="21" t="n"/>
    </row>
    <row r="1222">
      <c r="A1222" s="11" t="n"/>
      <c r="B1222" s="21" t="n"/>
    </row>
    <row r="1223">
      <c r="A1223" s="11" t="n"/>
      <c r="B1223" s="21" t="n"/>
    </row>
    <row r="1224">
      <c r="A1224" s="11" t="n"/>
      <c r="B1224" s="21" t="n"/>
    </row>
    <row r="1225">
      <c r="A1225" s="11" t="n"/>
      <c r="B1225" s="21" t="n"/>
    </row>
    <row r="1226">
      <c r="A1226" s="11" t="n"/>
      <c r="B1226" s="21" t="n"/>
    </row>
    <row r="1227">
      <c r="A1227" s="11" t="n"/>
      <c r="B1227" s="21" t="n"/>
    </row>
    <row r="1228">
      <c r="A1228" s="11" t="n"/>
      <c r="B1228" s="21" t="n"/>
    </row>
    <row r="1229">
      <c r="A1229" s="11" t="n"/>
      <c r="B1229" s="21" t="n"/>
    </row>
    <row r="1230">
      <c r="A1230" s="11" t="n"/>
      <c r="B1230" s="21" t="n"/>
    </row>
    <row r="1231">
      <c r="A1231" s="11" t="n"/>
      <c r="B1231" s="21" t="n"/>
    </row>
    <row r="1232">
      <c r="A1232" s="11" t="n"/>
      <c r="B1232" s="21" t="n"/>
    </row>
    <row r="1233">
      <c r="A1233" s="11" t="n"/>
      <c r="B1233" s="21" t="n"/>
    </row>
    <row r="1234">
      <c r="A1234" s="11" t="n"/>
      <c r="B1234" s="21" t="n"/>
    </row>
    <row r="1235">
      <c r="A1235" s="11" t="n"/>
      <c r="B1235" s="21" t="n"/>
    </row>
    <row r="1236">
      <c r="A1236" s="11" t="n"/>
      <c r="B1236" s="21" t="n"/>
    </row>
    <row r="1237">
      <c r="A1237" s="11" t="n"/>
      <c r="B1237" s="21" t="n"/>
    </row>
    <row r="1238">
      <c r="A1238" s="11" t="n"/>
      <c r="B1238" s="21" t="n"/>
    </row>
    <row r="1239">
      <c r="A1239" s="11" t="n"/>
      <c r="B1239" s="21" t="n"/>
    </row>
    <row r="1240">
      <c r="A1240" s="11" t="n"/>
      <c r="B1240" s="21" t="n"/>
    </row>
    <row r="1241">
      <c r="A1241" s="11" t="n"/>
      <c r="B1241" s="21" t="n"/>
    </row>
    <row r="1242">
      <c r="A1242" s="11" t="n"/>
      <c r="B1242" s="21" t="n"/>
    </row>
    <row r="1243">
      <c r="A1243" s="11" t="n"/>
      <c r="B1243" s="21" t="n"/>
    </row>
    <row r="1244">
      <c r="A1244" s="11" t="n"/>
      <c r="B1244" s="21" t="n"/>
    </row>
    <row r="1245">
      <c r="A1245" s="11" t="n"/>
      <c r="B1245" s="21" t="n"/>
    </row>
    <row r="1246">
      <c r="A1246" s="11" t="n"/>
      <c r="B1246" s="21" t="n"/>
    </row>
    <row r="1247">
      <c r="A1247" s="11" t="n"/>
      <c r="B1247" s="21" t="n"/>
    </row>
    <row r="1248">
      <c r="A1248" s="11" t="n"/>
      <c r="B1248" s="21" t="n"/>
    </row>
    <row r="1249">
      <c r="A1249" s="11" t="n"/>
      <c r="B1249" s="21" t="n"/>
    </row>
    <row r="1250">
      <c r="A1250" s="11" t="n"/>
      <c r="B1250" s="21" t="n"/>
    </row>
    <row r="1251">
      <c r="A1251" s="11" t="n"/>
      <c r="B1251" s="21" t="n"/>
    </row>
    <row r="1252">
      <c r="A1252" s="11" t="n"/>
      <c r="B1252" s="21" t="n"/>
    </row>
    <row r="1253">
      <c r="A1253" s="11" t="n"/>
      <c r="B1253" s="21" t="n"/>
    </row>
    <row r="1254">
      <c r="A1254" s="11" t="n"/>
      <c r="B1254" s="21" t="n"/>
    </row>
    <row r="1255">
      <c r="A1255" s="11" t="n"/>
      <c r="B1255" s="21" t="n"/>
    </row>
    <row r="1256">
      <c r="A1256" s="11" t="n"/>
      <c r="B1256" s="21" t="n"/>
    </row>
    <row r="1257">
      <c r="A1257" s="11" t="n"/>
      <c r="B1257" s="21" t="n"/>
    </row>
    <row r="1258">
      <c r="A1258" s="11" t="n"/>
      <c r="B1258" s="21" t="n"/>
    </row>
    <row r="1259">
      <c r="A1259" s="11" t="n"/>
      <c r="B1259" s="21" t="n"/>
    </row>
    <row r="1260">
      <c r="A1260" s="11" t="n"/>
      <c r="B1260" s="21" t="n"/>
    </row>
    <row r="1261">
      <c r="A1261" s="11" t="n"/>
      <c r="B1261" s="21" t="n"/>
    </row>
    <row r="1262">
      <c r="A1262" s="11" t="n"/>
      <c r="B1262" s="21" t="n"/>
    </row>
    <row r="1263">
      <c r="A1263" s="11" t="n"/>
      <c r="B1263" s="21" t="n"/>
    </row>
    <row r="1264">
      <c r="A1264" s="11" t="n"/>
      <c r="B1264" s="21" t="n"/>
    </row>
    <row r="1265">
      <c r="A1265" s="11" t="n"/>
      <c r="B1265" s="21" t="n"/>
    </row>
    <row r="1266">
      <c r="A1266" s="11" t="n"/>
      <c r="B1266" s="21" t="n"/>
    </row>
    <row r="1267">
      <c r="A1267" s="11" t="n"/>
      <c r="B1267" s="21" t="n"/>
    </row>
    <row r="1268">
      <c r="A1268" s="11" t="n"/>
      <c r="B1268" s="21" t="n"/>
    </row>
    <row r="1269">
      <c r="A1269" s="11" t="n"/>
      <c r="B1269" s="21" t="n"/>
    </row>
    <row r="1270">
      <c r="A1270" s="11" t="n"/>
      <c r="B1270" s="21" t="n"/>
    </row>
    <row r="1271">
      <c r="A1271" s="11" t="n"/>
      <c r="B1271" s="21" t="n"/>
    </row>
    <row r="1272">
      <c r="A1272" s="11" t="n"/>
      <c r="B1272" s="21" t="n"/>
    </row>
    <row r="1273">
      <c r="A1273" s="11" t="n"/>
      <c r="B1273" s="21" t="n"/>
    </row>
    <row r="1274">
      <c r="A1274" s="11" t="n"/>
      <c r="B1274" s="21" t="n"/>
    </row>
    <row r="1275">
      <c r="A1275" s="11" t="n"/>
      <c r="B1275" s="21" t="n"/>
    </row>
    <row r="1276">
      <c r="A1276" s="11" t="n"/>
      <c r="B1276" s="21" t="n"/>
    </row>
    <row r="1277">
      <c r="A1277" s="11" t="n"/>
      <c r="B1277" s="21" t="n"/>
    </row>
    <row r="1278">
      <c r="A1278" s="11" t="n"/>
      <c r="B1278" s="21" t="n"/>
    </row>
    <row r="1279">
      <c r="A1279" s="11" t="n"/>
      <c r="B1279" s="21" t="n"/>
    </row>
    <row r="1280">
      <c r="A1280" s="11" t="n"/>
      <c r="B1280" s="21" t="n"/>
    </row>
    <row r="1281">
      <c r="A1281" s="11" t="n"/>
      <c r="B1281" s="21" t="n"/>
    </row>
    <row r="1282">
      <c r="A1282" s="11" t="n"/>
      <c r="B1282" s="21" t="n"/>
    </row>
    <row r="1283">
      <c r="A1283" s="11" t="n"/>
      <c r="B1283" s="21" t="n"/>
    </row>
    <row r="1284">
      <c r="A1284" s="11" t="n"/>
      <c r="B1284" s="21" t="n"/>
    </row>
    <row r="1285">
      <c r="A1285" s="11" t="n"/>
      <c r="B1285" s="21" t="n"/>
    </row>
    <row r="1286">
      <c r="A1286" s="11" t="n"/>
      <c r="B1286" s="21" t="n"/>
    </row>
    <row r="1287">
      <c r="A1287" s="11" t="n"/>
      <c r="B1287" s="21" t="n"/>
    </row>
    <row r="1288">
      <c r="A1288" s="11" t="n"/>
      <c r="B1288" s="21" t="n"/>
    </row>
    <row r="1289">
      <c r="A1289" s="11" t="n"/>
      <c r="B1289" s="21" t="n"/>
    </row>
    <row r="1290">
      <c r="A1290" s="11" t="n"/>
      <c r="B1290" s="21" t="n"/>
    </row>
    <row r="1291">
      <c r="A1291" s="11" t="n"/>
      <c r="B1291" s="21" t="n"/>
    </row>
    <row r="1292">
      <c r="A1292" s="11" t="n"/>
      <c r="B1292" s="21" t="n"/>
    </row>
    <row r="1293">
      <c r="A1293" s="11" t="n"/>
      <c r="B1293" s="21" t="n"/>
    </row>
    <row r="1294">
      <c r="A1294" s="11" t="n"/>
      <c r="B1294" s="21" t="n"/>
    </row>
    <row r="1295">
      <c r="A1295" s="11" t="n"/>
      <c r="B1295" s="21" t="n"/>
    </row>
    <row r="1296">
      <c r="A1296" s="11" t="n"/>
      <c r="B1296" s="21" t="n"/>
    </row>
    <row r="1297">
      <c r="A1297" s="11" t="n"/>
      <c r="B1297" s="21" t="n"/>
    </row>
    <row r="1298">
      <c r="A1298" s="11" t="n"/>
      <c r="B1298" s="21" t="n"/>
    </row>
    <row r="1299">
      <c r="A1299" s="11" t="n"/>
      <c r="B1299" s="21" t="n"/>
    </row>
    <row r="1300">
      <c r="A1300" s="11" t="n"/>
      <c r="B1300" s="21" t="n"/>
    </row>
    <row r="1301">
      <c r="A1301" s="11" t="n"/>
      <c r="B1301" s="21" t="n"/>
    </row>
    <row r="1302">
      <c r="A1302" s="11" t="n"/>
      <c r="B1302" s="21" t="n"/>
    </row>
    <row r="1303">
      <c r="A1303" s="11" t="n"/>
      <c r="B1303" s="21" t="n"/>
    </row>
    <row r="1304">
      <c r="A1304" s="11" t="n"/>
      <c r="B1304" s="21" t="n"/>
    </row>
    <row r="1305">
      <c r="A1305" s="11" t="n"/>
      <c r="B1305" s="21" t="n"/>
    </row>
    <row r="1306">
      <c r="A1306" s="11" t="n"/>
      <c r="B1306" s="21" t="n"/>
    </row>
    <row r="1307">
      <c r="A1307" s="11" t="n"/>
      <c r="B1307" s="21" t="n"/>
    </row>
    <row r="1308">
      <c r="A1308" s="11" t="n"/>
      <c r="B1308" s="21" t="n"/>
    </row>
    <row r="1309">
      <c r="A1309" s="11" t="n"/>
      <c r="B1309" s="21" t="n"/>
    </row>
    <row r="1310">
      <c r="A1310" s="11" t="n"/>
      <c r="B1310" s="21" t="n"/>
    </row>
    <row r="1311">
      <c r="A1311" s="11" t="n"/>
      <c r="B1311" s="21" t="n"/>
    </row>
    <row r="1312">
      <c r="A1312" s="11" t="n"/>
      <c r="B1312" s="21" t="n"/>
    </row>
    <row r="1313">
      <c r="A1313" s="11" t="n"/>
      <c r="B1313" s="21" t="n"/>
    </row>
    <row r="1314">
      <c r="A1314" s="11" t="n"/>
      <c r="B1314" s="21" t="n"/>
    </row>
    <row r="1315">
      <c r="A1315" s="11" t="n"/>
      <c r="B1315" s="21" t="n"/>
    </row>
    <row r="1316">
      <c r="A1316" s="11" t="n"/>
      <c r="B1316" s="21" t="n"/>
    </row>
    <row r="1317">
      <c r="A1317" s="11" t="n"/>
      <c r="B1317" s="21" t="n"/>
    </row>
    <row r="1318">
      <c r="A1318" s="11" t="n"/>
      <c r="B1318" s="21" t="n"/>
    </row>
    <row r="1319">
      <c r="A1319" s="11" t="n"/>
      <c r="B1319" s="21" t="n"/>
    </row>
    <row r="1320">
      <c r="A1320" s="11" t="n"/>
      <c r="B1320" s="21" t="n"/>
    </row>
    <row r="1321">
      <c r="A1321" s="11" t="n"/>
      <c r="B1321" s="21" t="n"/>
    </row>
    <row r="1322">
      <c r="A1322" s="11" t="n"/>
      <c r="B1322" s="21" t="n"/>
    </row>
    <row r="1323">
      <c r="A1323" s="11" t="n"/>
      <c r="B1323" s="21" t="n"/>
    </row>
    <row r="1324">
      <c r="A1324" s="11" t="n"/>
      <c r="B1324" s="21" t="n"/>
    </row>
    <row r="1325">
      <c r="A1325" s="11" t="n"/>
      <c r="B1325" s="21" t="n"/>
    </row>
    <row r="1326">
      <c r="A1326" s="11" t="n"/>
      <c r="B1326" s="21" t="n"/>
    </row>
    <row r="1327">
      <c r="A1327" s="11" t="n"/>
      <c r="B1327" s="21" t="n"/>
    </row>
    <row r="1328">
      <c r="A1328" s="11" t="n"/>
      <c r="B1328" s="21" t="n"/>
    </row>
    <row r="1329">
      <c r="A1329" s="11" t="n"/>
      <c r="B1329" s="21" t="n"/>
    </row>
    <row r="1330">
      <c r="A1330" s="11" t="n"/>
      <c r="B1330" s="21" t="n"/>
    </row>
    <row r="1331">
      <c r="A1331" s="11" t="n"/>
      <c r="B1331" s="21" t="n"/>
    </row>
    <row r="1332">
      <c r="A1332" s="11" t="n"/>
      <c r="B1332" s="21" t="n"/>
    </row>
    <row r="1333">
      <c r="A1333" s="11" t="n"/>
      <c r="B1333" s="21" t="n"/>
    </row>
    <row r="1334">
      <c r="A1334" s="11" t="n"/>
      <c r="B1334" s="21" t="n"/>
    </row>
    <row r="1335">
      <c r="A1335" s="11" t="n"/>
      <c r="B1335" s="21" t="n"/>
    </row>
    <row r="1336">
      <c r="A1336" s="11" t="n"/>
      <c r="B1336" s="21" t="n"/>
    </row>
    <row r="1337">
      <c r="A1337" s="11" t="n"/>
      <c r="B1337" s="21" t="n"/>
    </row>
    <row r="1338">
      <c r="A1338" s="11" t="n"/>
      <c r="B1338" s="21" t="n"/>
    </row>
    <row r="1339">
      <c r="A1339" s="11" t="n"/>
      <c r="B1339" s="21" t="n"/>
    </row>
    <row r="1340">
      <c r="A1340" s="11" t="n"/>
      <c r="B1340" s="21" t="n"/>
    </row>
    <row r="1341">
      <c r="A1341" s="11" t="n"/>
      <c r="B1341" s="21" t="n"/>
    </row>
    <row r="1342">
      <c r="A1342" s="11" t="n"/>
      <c r="B1342" s="21" t="n"/>
    </row>
    <row r="1343">
      <c r="A1343" s="11" t="n"/>
      <c r="B1343" s="21" t="n"/>
    </row>
    <row r="1344">
      <c r="A1344" s="11" t="n"/>
      <c r="B1344" s="21" t="n"/>
    </row>
    <row r="1345">
      <c r="A1345" s="11" t="n"/>
      <c r="B1345" s="21" t="n"/>
    </row>
    <row r="1346">
      <c r="A1346" s="11" t="n"/>
      <c r="B1346" s="21" t="n"/>
    </row>
    <row r="1347">
      <c r="A1347" s="11" t="n"/>
      <c r="B1347" s="21" t="n"/>
    </row>
    <row r="1348">
      <c r="A1348" s="11" t="n"/>
      <c r="B1348" s="21" t="n"/>
    </row>
    <row r="1349">
      <c r="A1349" s="11" t="n"/>
      <c r="B1349" s="21" t="n"/>
    </row>
    <row r="1350">
      <c r="A1350" s="11" t="n"/>
      <c r="B1350" s="21" t="n"/>
    </row>
    <row r="1351">
      <c r="A1351" s="11" t="n"/>
      <c r="B1351" s="21" t="n"/>
    </row>
    <row r="1352">
      <c r="A1352" s="11" t="n"/>
      <c r="B1352" s="21" t="n"/>
    </row>
    <row r="1353">
      <c r="A1353" s="11" t="n"/>
      <c r="B1353" s="21" t="n"/>
    </row>
    <row r="1354">
      <c r="A1354" s="11" t="n"/>
      <c r="B1354" s="21" t="n"/>
    </row>
    <row r="1355">
      <c r="A1355" s="11" t="n"/>
      <c r="B1355" s="21" t="n"/>
    </row>
    <row r="1356">
      <c r="A1356" s="11" t="n"/>
      <c r="B1356" s="21" t="n"/>
    </row>
    <row r="1357">
      <c r="A1357" s="11" t="n"/>
      <c r="B1357" s="21" t="n"/>
    </row>
    <row r="1358">
      <c r="A1358" s="11" t="n"/>
      <c r="B1358" s="21" t="n"/>
    </row>
    <row r="1359">
      <c r="A1359" s="11" t="n"/>
      <c r="B1359" s="21" t="n"/>
    </row>
    <row r="1360">
      <c r="A1360" s="11" t="n"/>
      <c r="B1360" s="21" t="n"/>
    </row>
    <row r="1361">
      <c r="A1361" s="11" t="n"/>
      <c r="B1361" s="21" t="n"/>
    </row>
    <row r="1362">
      <c r="A1362" s="11" t="n"/>
      <c r="B1362" s="21" t="n"/>
    </row>
    <row r="1363">
      <c r="A1363" s="11" t="n"/>
      <c r="B1363" s="21" t="n"/>
    </row>
    <row r="1364">
      <c r="A1364" s="11" t="n"/>
      <c r="B1364" s="21" t="n"/>
    </row>
    <row r="1365">
      <c r="A1365" s="11" t="n"/>
      <c r="B1365" s="21" t="n"/>
    </row>
    <row r="1366">
      <c r="A1366" s="11" t="n"/>
      <c r="B1366" s="21" t="n"/>
    </row>
    <row r="1367">
      <c r="A1367" s="11" t="n"/>
      <c r="B1367" s="21" t="n"/>
    </row>
    <row r="1368">
      <c r="A1368" s="11" t="n"/>
      <c r="B1368" s="21" t="n"/>
    </row>
    <row r="1369">
      <c r="A1369" s="11" t="n"/>
      <c r="B1369" s="21" t="n"/>
    </row>
    <row r="1370">
      <c r="A1370" s="11" t="n"/>
      <c r="B1370" s="21" t="n"/>
    </row>
    <row r="1371">
      <c r="A1371" s="11" t="n"/>
      <c r="B1371" s="21" t="n"/>
    </row>
    <row r="1372">
      <c r="A1372" s="11" t="n"/>
      <c r="B1372" s="21" t="n"/>
    </row>
    <row r="1373">
      <c r="A1373" s="11" t="n"/>
      <c r="B1373" s="21" t="n"/>
    </row>
    <row r="1374">
      <c r="A1374" s="11" t="n"/>
      <c r="B1374" s="21" t="n"/>
    </row>
    <row r="1375">
      <c r="A1375" s="11" t="n"/>
      <c r="B1375" s="21" t="n"/>
    </row>
    <row r="1376">
      <c r="A1376" s="11" t="n"/>
      <c r="B1376" s="21" t="n"/>
    </row>
    <row r="1377">
      <c r="A1377" s="11" t="n"/>
      <c r="B1377" s="21" t="n"/>
    </row>
    <row r="1378">
      <c r="A1378" s="11" t="n"/>
      <c r="B1378" s="21" t="n"/>
    </row>
    <row r="1379">
      <c r="A1379" s="11" t="n"/>
      <c r="B1379" s="21" t="n"/>
    </row>
    <row r="1380">
      <c r="A1380" s="11" t="n"/>
      <c r="B1380" s="21" t="n"/>
    </row>
    <row r="1381">
      <c r="A1381" s="11" t="n"/>
      <c r="B1381" s="21" t="n"/>
    </row>
    <row r="1382">
      <c r="A1382" s="11" t="n"/>
      <c r="B1382" s="21" t="n"/>
    </row>
    <row r="1383">
      <c r="A1383" s="11" t="n"/>
      <c r="B1383" s="21" t="n"/>
    </row>
    <row r="1384">
      <c r="A1384" s="11" t="n"/>
      <c r="B1384" s="21" t="n"/>
    </row>
    <row r="1385">
      <c r="A1385" s="11" t="n"/>
      <c r="B1385" s="21" t="n"/>
    </row>
    <row r="1386">
      <c r="A1386" s="11" t="n"/>
      <c r="B1386" s="21" t="n"/>
    </row>
    <row r="1387">
      <c r="A1387" s="11" t="n"/>
      <c r="B1387" s="21" t="n"/>
    </row>
    <row r="1388">
      <c r="A1388" s="11" t="n"/>
      <c r="B1388" s="21" t="n"/>
    </row>
    <row r="1389">
      <c r="A1389" s="11" t="n"/>
      <c r="B1389" s="21" t="n"/>
    </row>
    <row r="1390">
      <c r="A1390" s="11" t="n"/>
      <c r="B1390" s="21" t="n"/>
    </row>
    <row r="1391">
      <c r="A1391" s="11" t="n"/>
      <c r="B1391" s="21" t="n"/>
    </row>
    <row r="1392">
      <c r="A1392" s="11" t="n"/>
      <c r="B1392" s="21" t="n"/>
    </row>
    <row r="1393">
      <c r="A1393" s="11" t="n"/>
      <c r="B1393" s="21" t="n"/>
    </row>
    <row r="1394">
      <c r="A1394" s="11" t="n"/>
      <c r="B1394" s="21" t="n"/>
    </row>
    <row r="1395">
      <c r="A1395" s="11" t="n"/>
      <c r="B1395" s="21" t="n"/>
    </row>
    <row r="1396">
      <c r="A1396" s="11" t="n"/>
      <c r="B1396" s="21" t="n"/>
    </row>
    <row r="1397">
      <c r="A1397" s="11" t="n"/>
      <c r="B1397" s="21" t="n"/>
    </row>
    <row r="1398">
      <c r="A1398" s="11" t="n"/>
      <c r="B1398" s="21" t="n"/>
    </row>
    <row r="1399">
      <c r="A1399" s="11" t="n"/>
      <c r="B1399" s="21" t="n"/>
    </row>
    <row r="1400">
      <c r="A1400" s="11" t="n"/>
      <c r="B1400" s="21" t="n"/>
    </row>
    <row r="1401">
      <c r="A1401" s="11" t="n"/>
      <c r="B1401" s="21" t="n"/>
    </row>
    <row r="1402">
      <c r="A1402" s="11" t="n"/>
      <c r="B1402" s="21" t="n"/>
    </row>
    <row r="1403">
      <c r="A1403" s="11" t="n"/>
      <c r="B1403" s="21" t="n"/>
    </row>
    <row r="1404">
      <c r="A1404" s="11" t="n"/>
      <c r="B1404" s="21" t="n"/>
    </row>
    <row r="1405">
      <c r="A1405" s="11" t="n"/>
      <c r="B1405" s="21" t="n"/>
    </row>
    <row r="1406">
      <c r="A1406" s="11" t="n"/>
      <c r="B1406" s="21" t="n"/>
    </row>
    <row r="1407">
      <c r="A1407" s="11" t="n"/>
      <c r="B1407" s="21" t="n"/>
    </row>
    <row r="1408">
      <c r="A1408" s="11" t="n"/>
      <c r="B1408" s="21" t="n"/>
    </row>
    <row r="1409">
      <c r="A1409" s="11" t="n"/>
      <c r="B1409" s="21" t="n"/>
    </row>
    <row r="1410">
      <c r="A1410" s="11" t="n"/>
      <c r="B1410" s="21" t="n"/>
    </row>
    <row r="1411">
      <c r="A1411" s="11" t="n"/>
      <c r="B1411" s="21" t="n"/>
    </row>
    <row r="1412">
      <c r="A1412" s="11" t="n"/>
      <c r="B1412" s="21" t="n"/>
    </row>
    <row r="1413">
      <c r="A1413" s="11" t="n"/>
      <c r="B1413" s="21" t="n"/>
    </row>
    <row r="1414">
      <c r="A1414" s="11" t="n"/>
      <c r="B1414" s="21" t="n"/>
    </row>
    <row r="1415">
      <c r="A1415" s="11" t="n"/>
      <c r="B1415" s="21" t="n"/>
    </row>
    <row r="1416">
      <c r="A1416" s="11" t="n"/>
      <c r="B1416" s="21" t="n"/>
    </row>
    <row r="1417">
      <c r="A1417" s="11" t="n"/>
      <c r="B1417" s="21" t="n"/>
    </row>
    <row r="1418">
      <c r="A1418" s="11" t="n"/>
      <c r="B1418" s="21" t="n"/>
    </row>
    <row r="1419">
      <c r="A1419" s="11" t="n"/>
      <c r="B1419" s="21" t="n"/>
    </row>
    <row r="1420">
      <c r="A1420" s="11" t="n"/>
      <c r="B1420" s="21" t="n"/>
    </row>
    <row r="1421">
      <c r="A1421" s="11" t="n"/>
      <c r="B1421" s="21" t="n"/>
    </row>
    <row r="1422">
      <c r="A1422" s="11" t="n"/>
      <c r="B1422" s="21" t="n"/>
    </row>
    <row r="1423">
      <c r="A1423" s="11" t="n"/>
      <c r="B1423" s="21" t="n"/>
    </row>
    <row r="1424">
      <c r="A1424" s="11" t="n"/>
      <c r="B1424" s="21" t="n"/>
    </row>
    <row r="1425">
      <c r="A1425" s="11" t="n"/>
      <c r="B1425" s="21" t="n"/>
    </row>
    <row r="1426">
      <c r="A1426" s="11" t="n"/>
      <c r="B1426" s="21" t="n"/>
    </row>
    <row r="1427">
      <c r="A1427" s="11" t="n"/>
      <c r="B1427" s="21" t="n"/>
    </row>
    <row r="1428">
      <c r="A1428" s="11" t="n"/>
      <c r="B1428" s="21" t="n"/>
    </row>
    <row r="1429">
      <c r="A1429" s="11" t="n"/>
      <c r="B1429" s="21" t="n"/>
    </row>
    <row r="1430">
      <c r="A1430" s="11" t="n"/>
      <c r="B1430" s="21" t="n"/>
    </row>
    <row r="1431">
      <c r="A1431" s="11" t="n"/>
      <c r="B1431" s="21" t="n"/>
    </row>
    <row r="1432">
      <c r="A1432" s="11" t="n"/>
      <c r="B1432" s="21" t="n"/>
    </row>
    <row r="1433">
      <c r="A1433" s="11" t="n"/>
      <c r="B1433" s="21" t="n"/>
    </row>
    <row r="1434">
      <c r="A1434" s="11" t="n"/>
      <c r="B1434" s="21" t="n"/>
    </row>
    <row r="1435">
      <c r="A1435" s="11" t="n"/>
      <c r="B1435" s="21" t="n"/>
    </row>
    <row r="1436">
      <c r="A1436" s="11" t="n"/>
      <c r="B1436" s="21" t="n"/>
    </row>
    <row r="1437">
      <c r="A1437" s="11" t="n"/>
      <c r="B1437" s="21" t="n"/>
    </row>
    <row r="1438">
      <c r="A1438" s="11" t="n"/>
      <c r="B1438" s="21" t="n"/>
    </row>
    <row r="1439">
      <c r="A1439" s="11" t="n"/>
      <c r="B1439" s="21" t="n"/>
    </row>
    <row r="1440">
      <c r="A1440" s="11" t="n"/>
      <c r="B1440" s="21" t="n"/>
    </row>
    <row r="1441">
      <c r="A1441" s="11" t="n"/>
      <c r="B1441" s="21" t="n"/>
    </row>
    <row r="1442">
      <c r="A1442" s="11" t="n"/>
      <c r="B1442" s="21" t="n"/>
    </row>
    <row r="1443">
      <c r="A1443" s="11" t="n"/>
      <c r="B1443" s="21" t="n"/>
    </row>
    <row r="1444">
      <c r="A1444" s="11" t="n"/>
      <c r="B1444" s="21" t="n"/>
    </row>
    <row r="1445">
      <c r="A1445" s="11" t="n"/>
      <c r="B1445" s="21" t="n"/>
    </row>
    <row r="1446">
      <c r="A1446" s="11" t="n"/>
      <c r="B1446" s="21" t="n"/>
    </row>
    <row r="1447">
      <c r="A1447" s="11" t="n"/>
      <c r="B1447" s="21" t="n"/>
    </row>
    <row r="1448">
      <c r="A1448" s="11" t="n"/>
      <c r="B1448" s="21" t="n"/>
    </row>
    <row r="1449">
      <c r="A1449" s="11" t="n"/>
      <c r="B1449" s="21" t="n"/>
    </row>
    <row r="1450">
      <c r="A1450" s="11" t="n"/>
      <c r="B1450" s="21" t="n"/>
    </row>
    <row r="1451">
      <c r="A1451" s="11" t="n"/>
      <c r="B1451" s="21" t="n"/>
    </row>
    <row r="1452">
      <c r="A1452" s="11" t="n"/>
      <c r="B1452" s="21" t="n"/>
    </row>
    <row r="1453">
      <c r="A1453" s="11" t="n"/>
      <c r="B1453" s="21" t="n"/>
    </row>
    <row r="1454">
      <c r="A1454" s="11" t="n"/>
      <c r="B1454" s="21" t="n"/>
    </row>
    <row r="1455">
      <c r="A1455" s="11" t="n"/>
      <c r="B1455" s="21" t="n"/>
    </row>
    <row r="1456">
      <c r="A1456" s="11" t="n"/>
      <c r="B1456" s="21" t="n"/>
    </row>
    <row r="1457">
      <c r="A1457" s="11" t="n"/>
      <c r="B1457" s="21" t="n"/>
    </row>
    <row r="1458">
      <c r="A1458" s="11" t="n"/>
      <c r="B1458" s="21" t="n"/>
    </row>
    <row r="1459">
      <c r="A1459" s="11" t="n"/>
      <c r="B1459" s="21" t="n"/>
    </row>
    <row r="1460">
      <c r="A1460" s="11" t="n"/>
      <c r="B1460" s="21" t="n"/>
    </row>
    <row r="1461">
      <c r="A1461" s="11" t="n"/>
      <c r="B1461" s="21" t="n"/>
    </row>
    <row r="1462">
      <c r="A1462" s="11" t="n"/>
      <c r="B1462" s="21" t="n"/>
    </row>
    <row r="1463">
      <c r="A1463" s="11" t="n"/>
      <c r="B1463" s="21" t="n"/>
    </row>
    <row r="1464">
      <c r="A1464" s="11" t="n"/>
      <c r="B1464" s="21" t="n"/>
    </row>
    <row r="1465">
      <c r="A1465" s="11" t="n"/>
      <c r="B1465" s="21" t="n"/>
    </row>
    <row r="1466">
      <c r="A1466" s="11" t="n"/>
      <c r="B1466" s="21" t="n"/>
    </row>
    <row r="1467">
      <c r="A1467" s="11" t="n"/>
      <c r="B1467" s="21" t="n"/>
    </row>
    <row r="1468">
      <c r="A1468" s="11" t="n"/>
      <c r="B1468" s="21" t="n"/>
    </row>
    <row r="1469">
      <c r="A1469" s="11" t="n"/>
      <c r="B1469" s="21" t="n"/>
    </row>
    <row r="1470">
      <c r="A1470" s="11" t="n"/>
      <c r="B1470" s="21" t="n"/>
    </row>
    <row r="1471">
      <c r="A1471" s="11" t="n"/>
      <c r="B1471" s="21" t="n"/>
    </row>
    <row r="1472">
      <c r="A1472" s="11" t="n"/>
      <c r="B1472" s="21" t="n"/>
    </row>
    <row r="1473">
      <c r="A1473" s="11" t="n"/>
      <c r="B1473" s="21" t="n"/>
    </row>
    <row r="1474">
      <c r="A1474" s="11" t="n"/>
      <c r="B1474" s="21" t="n"/>
    </row>
    <row r="1475">
      <c r="A1475" s="11" t="n"/>
      <c r="B1475" s="21" t="n"/>
    </row>
    <row r="1476">
      <c r="A1476" s="11" t="n"/>
      <c r="B1476" s="21" t="n"/>
    </row>
    <row r="1477">
      <c r="A1477" s="11" t="n"/>
      <c r="B1477" s="21" t="n"/>
    </row>
    <row r="1478">
      <c r="A1478" s="11" t="n"/>
      <c r="B1478" s="21" t="n"/>
    </row>
    <row r="1479">
      <c r="A1479" s="11" t="n"/>
      <c r="B1479" s="21" t="n"/>
    </row>
    <row r="1480">
      <c r="A1480" s="11" t="n"/>
      <c r="B1480" s="21" t="n"/>
    </row>
    <row r="1481">
      <c r="A1481" s="11" t="n"/>
      <c r="B1481" s="21" t="n"/>
    </row>
    <row r="1482">
      <c r="A1482" s="11" t="n"/>
      <c r="B1482" s="21" t="n"/>
    </row>
    <row r="1483">
      <c r="A1483" s="11" t="n"/>
      <c r="B1483" s="21" t="n"/>
    </row>
    <row r="1484">
      <c r="A1484" s="11" t="n"/>
      <c r="B1484" s="21" t="n"/>
    </row>
    <row r="1485">
      <c r="A1485" s="11" t="n"/>
      <c r="B1485" s="21" t="n"/>
    </row>
    <row r="1486">
      <c r="A1486" s="11" t="n"/>
      <c r="B1486" s="21" t="n"/>
    </row>
    <row r="1487">
      <c r="A1487" s="11" t="n"/>
      <c r="B1487" s="21" t="n"/>
    </row>
    <row r="1488">
      <c r="A1488" s="11" t="n"/>
      <c r="B1488" s="21" t="n"/>
    </row>
    <row r="1489">
      <c r="A1489" s="11" t="n"/>
      <c r="B1489" s="21" t="n"/>
    </row>
    <row r="1490">
      <c r="A1490" s="11" t="n"/>
      <c r="B1490" s="21" t="n"/>
    </row>
    <row r="1491">
      <c r="A1491" s="11" t="n"/>
      <c r="B1491" s="21" t="n"/>
    </row>
    <row r="1492">
      <c r="A1492" s="11" t="n"/>
      <c r="B1492" s="21" t="n"/>
    </row>
    <row r="1493">
      <c r="A1493" s="11" t="n"/>
      <c r="B1493" s="21" t="n"/>
    </row>
    <row r="1494">
      <c r="A1494" s="11" t="n"/>
      <c r="B1494" s="21" t="n"/>
    </row>
    <row r="1495">
      <c r="A1495" s="11" t="n"/>
      <c r="B1495" s="21" t="n"/>
    </row>
    <row r="1496">
      <c r="A1496" s="11" t="n"/>
      <c r="B1496" s="21" t="n"/>
    </row>
    <row r="1497">
      <c r="A1497" s="11" t="n"/>
      <c r="B1497" s="21" t="n"/>
    </row>
    <row r="1498">
      <c r="A1498" s="11" t="n"/>
      <c r="B1498" s="21" t="n"/>
    </row>
    <row r="1499">
      <c r="A1499" s="11" t="n"/>
      <c r="B1499" s="21" t="n"/>
    </row>
    <row r="1500">
      <c r="A1500" s="11" t="n"/>
      <c r="B1500" s="21" t="n"/>
    </row>
    <row r="1501">
      <c r="A1501" s="11" t="n"/>
      <c r="B1501" s="21" t="n"/>
    </row>
    <row r="1502">
      <c r="A1502" s="11" t="n"/>
      <c r="B1502" s="21" t="n"/>
    </row>
    <row r="1503">
      <c r="A1503" s="11" t="n"/>
      <c r="B1503" s="21" t="n"/>
    </row>
    <row r="1504">
      <c r="A1504" s="11" t="n"/>
      <c r="B1504" s="21" t="n"/>
    </row>
    <row r="1505">
      <c r="A1505" s="11" t="n"/>
      <c r="B1505" s="21" t="n"/>
    </row>
    <row r="1506">
      <c r="A1506" s="11" t="n"/>
      <c r="B1506" s="21" t="n"/>
    </row>
    <row r="1507">
      <c r="A1507" s="11" t="n"/>
      <c r="B1507" s="21" t="n"/>
    </row>
    <row r="1508">
      <c r="A1508" s="11" t="n"/>
      <c r="B1508" s="21" t="n"/>
    </row>
    <row r="1509">
      <c r="A1509" s="11" t="n"/>
      <c r="B1509" s="21" t="n"/>
    </row>
    <row r="1510">
      <c r="A1510" s="11" t="n"/>
      <c r="B1510" s="21" t="n"/>
    </row>
    <row r="1511">
      <c r="A1511" s="11" t="n"/>
      <c r="B1511" s="21" t="n"/>
    </row>
    <row r="1512">
      <c r="A1512" s="11" t="n"/>
      <c r="B1512" s="21" t="n"/>
    </row>
    <row r="1513">
      <c r="A1513" s="11" t="n"/>
      <c r="B1513" s="21" t="n"/>
    </row>
    <row r="1514">
      <c r="A1514" s="11" t="n"/>
      <c r="B1514" s="21" t="n"/>
    </row>
    <row r="1515">
      <c r="A1515" s="11" t="n"/>
      <c r="B1515" s="21" t="n"/>
    </row>
    <row r="1516">
      <c r="A1516" s="11" t="n"/>
      <c r="B1516" s="21" t="n"/>
    </row>
    <row r="1517">
      <c r="A1517" s="11" t="n"/>
      <c r="B1517" s="21" t="n"/>
    </row>
    <row r="1518">
      <c r="A1518" s="11" t="n"/>
      <c r="B1518" s="21" t="n"/>
    </row>
    <row r="1519">
      <c r="A1519" s="11" t="n"/>
      <c r="B1519" s="21" t="n"/>
    </row>
    <row r="1520">
      <c r="A1520" s="11" t="n"/>
      <c r="B1520" s="21" t="n"/>
    </row>
    <row r="1521">
      <c r="A1521" s="11" t="n"/>
      <c r="B1521" s="21" t="n"/>
    </row>
    <row r="1522">
      <c r="A1522" s="11" t="n"/>
      <c r="B1522" s="21" t="n"/>
    </row>
    <row r="1523">
      <c r="A1523" s="11" t="n"/>
      <c r="B1523" s="21" t="n"/>
    </row>
    <row r="1524">
      <c r="A1524" s="11" t="n"/>
      <c r="B1524" s="21" t="n"/>
    </row>
    <row r="1525">
      <c r="A1525" s="11" t="n"/>
      <c r="B1525" s="21" t="n"/>
    </row>
    <row r="1526">
      <c r="A1526" s="11" t="n"/>
      <c r="B1526" s="21" t="n"/>
    </row>
    <row r="1527">
      <c r="A1527" s="11" t="n"/>
      <c r="B1527" s="21" t="n"/>
    </row>
    <row r="1528">
      <c r="A1528" s="11" t="n"/>
      <c r="B1528" s="21" t="n"/>
    </row>
    <row r="1529">
      <c r="A1529" s="11" t="n"/>
      <c r="B1529" s="21" t="n"/>
    </row>
    <row r="1530">
      <c r="A1530" s="11" t="n"/>
      <c r="B1530" s="21" t="n"/>
    </row>
    <row r="1531">
      <c r="A1531" s="11" t="n"/>
      <c r="B1531" s="21" t="n"/>
    </row>
    <row r="1532">
      <c r="A1532" s="11" t="n"/>
      <c r="B1532" s="21" t="n"/>
    </row>
    <row r="1533">
      <c r="A1533" s="11" t="n"/>
      <c r="B1533" s="21" t="n"/>
    </row>
    <row r="1534">
      <c r="A1534" s="11" t="n"/>
      <c r="B1534" s="21" t="n"/>
    </row>
    <row r="1535">
      <c r="A1535" s="11" t="n"/>
      <c r="B1535" s="21" t="n"/>
    </row>
    <row r="1536">
      <c r="A1536" s="11" t="n"/>
      <c r="B1536" s="21" t="n"/>
    </row>
    <row r="1537">
      <c r="A1537" s="11" t="n"/>
      <c r="B1537" s="21" t="n"/>
    </row>
    <row r="1538">
      <c r="A1538" s="11" t="n"/>
      <c r="B1538" s="21" t="n"/>
    </row>
    <row r="1539">
      <c r="A1539" s="11" t="n"/>
      <c r="B1539" s="21" t="n"/>
    </row>
    <row r="1540">
      <c r="A1540" s="11" t="n"/>
      <c r="B1540" s="21" t="n"/>
    </row>
    <row r="1541">
      <c r="A1541" s="11" t="n"/>
      <c r="B1541" s="21" t="n"/>
    </row>
    <row r="1542">
      <c r="A1542" s="11" t="n"/>
      <c r="B1542" s="21" t="n"/>
    </row>
    <row r="1543">
      <c r="A1543" s="11" t="n"/>
      <c r="B1543" s="21" t="n"/>
    </row>
    <row r="1544">
      <c r="A1544" s="11" t="n"/>
      <c r="B1544" s="21" t="n"/>
    </row>
    <row r="1545">
      <c r="A1545" s="11" t="n"/>
      <c r="B1545" s="21" t="n"/>
    </row>
    <row r="1546">
      <c r="A1546" s="11" t="n"/>
      <c r="B1546" s="21" t="n"/>
    </row>
    <row r="1547">
      <c r="A1547" s="11" t="n"/>
      <c r="B1547" s="21" t="n"/>
    </row>
    <row r="1548">
      <c r="A1548" s="11" t="n"/>
      <c r="B1548" s="21" t="n"/>
    </row>
    <row r="1549">
      <c r="A1549" s="11" t="n"/>
      <c r="B1549" s="21" t="n"/>
    </row>
    <row r="1550">
      <c r="A1550" s="11" t="n"/>
      <c r="B1550" s="21" t="n"/>
    </row>
    <row r="1551">
      <c r="A1551" s="11" t="n"/>
      <c r="B1551" s="21" t="n"/>
    </row>
    <row r="1552">
      <c r="A1552" s="11" t="n"/>
      <c r="B1552" s="21" t="n"/>
    </row>
    <row r="1553">
      <c r="A1553" s="11" t="n"/>
      <c r="B1553" s="21" t="n"/>
    </row>
    <row r="1554">
      <c r="A1554" s="11" t="n"/>
      <c r="B1554" s="21" t="n"/>
    </row>
    <row r="1555">
      <c r="A1555" s="11" t="n"/>
      <c r="B1555" s="21" t="n"/>
    </row>
    <row r="1556">
      <c r="A1556" s="11" t="n"/>
      <c r="B1556" s="21" t="n"/>
    </row>
    <row r="1557">
      <c r="A1557" s="11" t="n"/>
      <c r="B1557" s="21" t="n"/>
    </row>
    <row r="1558">
      <c r="A1558" s="11" t="n"/>
      <c r="B1558" s="21" t="n"/>
    </row>
    <row r="1559">
      <c r="A1559" s="11" t="n"/>
      <c r="B1559" s="21" t="n"/>
    </row>
    <row r="1560">
      <c r="A1560" s="11" t="n"/>
      <c r="B1560" s="21" t="n"/>
    </row>
    <row r="1561">
      <c r="A1561" s="11" t="n"/>
      <c r="B1561" s="21" t="n"/>
    </row>
    <row r="1562">
      <c r="A1562" s="11" t="n"/>
      <c r="B1562" s="21" t="n"/>
    </row>
    <row r="1563">
      <c r="A1563" s="11" t="n"/>
      <c r="B1563" s="21" t="n"/>
    </row>
    <row r="1564">
      <c r="A1564" s="11" t="n"/>
      <c r="B1564" s="21" t="n"/>
    </row>
    <row r="1565">
      <c r="A1565" s="11" t="n"/>
      <c r="B1565" s="21" t="n"/>
    </row>
    <row r="1566">
      <c r="A1566" s="11" t="n"/>
      <c r="B1566" s="21" t="n"/>
    </row>
    <row r="1567">
      <c r="A1567" s="11" t="n"/>
      <c r="B1567" s="21" t="n"/>
    </row>
    <row r="1568">
      <c r="A1568" s="11" t="n"/>
      <c r="B1568" s="21" t="n"/>
    </row>
    <row r="1569">
      <c r="A1569" s="11" t="n"/>
      <c r="B1569" s="21" t="n"/>
    </row>
    <row r="1570">
      <c r="A1570" s="11" t="n"/>
      <c r="B1570" s="21" t="n"/>
    </row>
    <row r="1571">
      <c r="A1571" s="11" t="n"/>
      <c r="B1571" s="21" t="n"/>
    </row>
    <row r="1572">
      <c r="A1572" s="11" t="n"/>
      <c r="B1572" s="21" t="n"/>
    </row>
    <row r="1573">
      <c r="A1573" s="11" t="n"/>
      <c r="B1573" s="21" t="n"/>
    </row>
    <row r="1574">
      <c r="A1574" s="11" t="n"/>
      <c r="B1574" s="21" t="n"/>
    </row>
    <row r="1575">
      <c r="A1575" s="11" t="n"/>
      <c r="B1575" s="21" t="n"/>
    </row>
    <row r="1576">
      <c r="A1576" s="11" t="n"/>
      <c r="B1576" s="21" t="n"/>
    </row>
    <row r="1577">
      <c r="A1577" s="11" t="n"/>
      <c r="B1577" s="21" t="n"/>
    </row>
    <row r="1578">
      <c r="A1578" s="11" t="n"/>
      <c r="B1578" s="21" t="n"/>
    </row>
    <row r="1579">
      <c r="A1579" s="11" t="n"/>
      <c r="B1579" s="21" t="n"/>
    </row>
    <row r="1580">
      <c r="A1580" s="11" t="n"/>
      <c r="B1580" s="21" t="n"/>
    </row>
    <row r="1581">
      <c r="A1581" s="11" t="n"/>
      <c r="B1581" s="21" t="n"/>
    </row>
    <row r="1582">
      <c r="A1582" s="11" t="n"/>
      <c r="B1582" s="21" t="n"/>
    </row>
    <row r="1583">
      <c r="A1583" s="11" t="n"/>
      <c r="B1583" s="21" t="n"/>
    </row>
    <row r="1584">
      <c r="A1584" s="11" t="n"/>
      <c r="B1584" s="21" t="n"/>
    </row>
    <row r="1585">
      <c r="A1585" s="11" t="n"/>
      <c r="B1585" s="21" t="n"/>
    </row>
    <row r="1586">
      <c r="A1586" s="11" t="n"/>
      <c r="B1586" s="21" t="n"/>
    </row>
    <row r="1587">
      <c r="A1587" s="11" t="n"/>
      <c r="B1587" s="21" t="n"/>
    </row>
    <row r="1588">
      <c r="A1588" s="11" t="n"/>
      <c r="B1588" s="21" t="n"/>
    </row>
    <row r="1589">
      <c r="A1589" s="11" t="n"/>
      <c r="B1589" s="21" t="n"/>
    </row>
    <row r="1590">
      <c r="A1590" s="11" t="n"/>
      <c r="B1590" s="21" t="n"/>
    </row>
    <row r="1591">
      <c r="A1591" s="11" t="n"/>
      <c r="B1591" s="21" t="n"/>
    </row>
    <row r="1592">
      <c r="A1592" s="11" t="n"/>
      <c r="B1592" s="21" t="n"/>
    </row>
    <row r="1593">
      <c r="A1593" s="11" t="n"/>
      <c r="B1593" s="21" t="n"/>
    </row>
    <row r="1594">
      <c r="A1594" s="11" t="n"/>
      <c r="B1594" s="21" t="n"/>
    </row>
    <row r="1595">
      <c r="A1595" s="11" t="n"/>
      <c r="B1595" s="21" t="n"/>
    </row>
    <row r="1596">
      <c r="A1596" s="11" t="n"/>
      <c r="B1596" s="21" t="n"/>
    </row>
    <row r="1597">
      <c r="A1597" s="11" t="n"/>
      <c r="B1597" s="21" t="n"/>
    </row>
    <row r="1598">
      <c r="A1598" s="11" t="n"/>
      <c r="B1598" s="21" t="n"/>
    </row>
    <row r="1599">
      <c r="A1599" s="11" t="n"/>
      <c r="B1599" s="21" t="n"/>
    </row>
    <row r="1600">
      <c r="A1600" s="11" t="n"/>
      <c r="B1600" s="21" t="n"/>
    </row>
    <row r="1601">
      <c r="A1601" s="11" t="n"/>
      <c r="B1601" s="21" t="n"/>
    </row>
    <row r="1602">
      <c r="A1602" s="11" t="n"/>
      <c r="B1602" s="21" t="n"/>
    </row>
    <row r="1603">
      <c r="A1603" s="11" t="n"/>
      <c r="B1603" s="21" t="n"/>
    </row>
    <row r="1604">
      <c r="A1604" s="11" t="n"/>
      <c r="B1604" s="21" t="n"/>
    </row>
    <row r="1605">
      <c r="A1605" s="11" t="n"/>
      <c r="B1605" s="21" t="n"/>
    </row>
    <row r="1606">
      <c r="A1606" s="11" t="n"/>
      <c r="B1606" s="21" t="n"/>
    </row>
    <row r="1607">
      <c r="A1607" s="11" t="n"/>
      <c r="B1607" s="21" t="n"/>
    </row>
    <row r="1608">
      <c r="A1608" s="11" t="n"/>
      <c r="B1608" s="21" t="n"/>
    </row>
    <row r="1609">
      <c r="A1609" s="11" t="n"/>
      <c r="B1609" s="21" t="n"/>
    </row>
    <row r="1610">
      <c r="A1610" s="11" t="n"/>
      <c r="B1610" s="21" t="n"/>
    </row>
    <row r="1611">
      <c r="A1611" s="11" t="n"/>
      <c r="B1611" s="21" t="n"/>
    </row>
    <row r="1612">
      <c r="A1612" s="11" t="n"/>
      <c r="B1612" s="21" t="n"/>
    </row>
    <row r="1613">
      <c r="A1613" s="11" t="n"/>
      <c r="B1613" s="21" t="n"/>
    </row>
    <row r="1614">
      <c r="A1614" s="11" t="n"/>
      <c r="B1614" s="21" t="n"/>
    </row>
    <row r="1615">
      <c r="A1615" s="11" t="n"/>
      <c r="B1615" s="21" t="n"/>
    </row>
    <row r="1616">
      <c r="A1616" s="11" t="n"/>
      <c r="B1616" s="21" t="n"/>
    </row>
    <row r="1617">
      <c r="A1617" s="11" t="n"/>
      <c r="B1617" s="21" t="n"/>
    </row>
    <row r="1618">
      <c r="A1618" s="11" t="n"/>
      <c r="B1618" s="21" t="n"/>
    </row>
    <row r="1619">
      <c r="A1619" s="11" t="n"/>
      <c r="B1619" s="21" t="n"/>
    </row>
    <row r="1620">
      <c r="A1620" s="11" t="n"/>
      <c r="B1620" s="21" t="n"/>
    </row>
    <row r="1621">
      <c r="A1621" s="11" t="n"/>
      <c r="B1621" s="21" t="n"/>
    </row>
    <row r="1622">
      <c r="A1622" s="11" t="n"/>
      <c r="B1622" s="21" t="n"/>
    </row>
    <row r="1623">
      <c r="A1623" s="11" t="n"/>
      <c r="B1623" s="21" t="n"/>
    </row>
    <row r="1624">
      <c r="A1624" s="11" t="n"/>
      <c r="B1624" s="21" t="n"/>
    </row>
    <row r="1625">
      <c r="A1625" s="11" t="n"/>
      <c r="B1625" s="21" t="n"/>
    </row>
    <row r="1626">
      <c r="A1626" s="11" t="n"/>
      <c r="B1626" s="21" t="n"/>
    </row>
    <row r="1627">
      <c r="A1627" s="11" t="n"/>
      <c r="B1627" s="21" t="n"/>
    </row>
    <row r="1628">
      <c r="A1628" s="11" t="n"/>
      <c r="B1628" s="21" t="n"/>
    </row>
    <row r="1629">
      <c r="A1629" s="11" t="n"/>
      <c r="B1629" s="21" t="n"/>
    </row>
    <row r="1630">
      <c r="A1630" s="11" t="n"/>
      <c r="B1630" s="21" t="n"/>
    </row>
    <row r="1631">
      <c r="A1631" s="11" t="n"/>
      <c r="B1631" s="21" t="n"/>
    </row>
    <row r="1632">
      <c r="A1632" s="11" t="n"/>
      <c r="B1632" s="21" t="n"/>
    </row>
    <row r="1633">
      <c r="A1633" s="11" t="n"/>
      <c r="B1633" s="21" t="n"/>
    </row>
    <row r="1634">
      <c r="A1634" s="11" t="n"/>
      <c r="B1634" s="21" t="n"/>
    </row>
    <row r="1635">
      <c r="A1635" s="11" t="n"/>
      <c r="B1635" s="21" t="n"/>
    </row>
    <row r="1636">
      <c r="A1636" s="11" t="n"/>
      <c r="B1636" s="21" t="n"/>
    </row>
    <row r="1637">
      <c r="A1637" s="11" t="n"/>
      <c r="B1637" s="21" t="n"/>
    </row>
    <row r="1638">
      <c r="A1638" s="11" t="n"/>
      <c r="B1638" s="21" t="n"/>
    </row>
    <row r="1639">
      <c r="A1639" s="11" t="n"/>
      <c r="B1639" s="21" t="n"/>
    </row>
    <row r="1640">
      <c r="A1640" s="11" t="n"/>
      <c r="B1640" s="21" t="n"/>
    </row>
    <row r="1641">
      <c r="A1641" s="11" t="n"/>
      <c r="B1641" s="21" t="n"/>
    </row>
    <row r="1642">
      <c r="A1642" s="11" t="n"/>
      <c r="B1642" s="21" t="n"/>
    </row>
    <row r="1643">
      <c r="A1643" s="11" t="n"/>
      <c r="B1643" s="21" t="n"/>
    </row>
    <row r="1644">
      <c r="A1644" s="11" t="n"/>
      <c r="B1644" s="21" t="n"/>
    </row>
    <row r="1645">
      <c r="A1645" s="11" t="n"/>
      <c r="B1645" s="21" t="n"/>
    </row>
    <row r="1646">
      <c r="A1646" s="11" t="n"/>
      <c r="B1646" s="21" t="n"/>
    </row>
    <row r="1647">
      <c r="A1647" s="11" t="n"/>
      <c r="B1647" s="21" t="n"/>
    </row>
    <row r="1648">
      <c r="A1648" s="11" t="n"/>
      <c r="B1648" s="21" t="n"/>
    </row>
    <row r="1649">
      <c r="A1649" s="11" t="n"/>
      <c r="B1649" s="21" t="n"/>
    </row>
    <row r="1650">
      <c r="A1650" s="11" t="n"/>
      <c r="B1650" s="21" t="n"/>
    </row>
    <row r="1651">
      <c r="A1651" s="11" t="n"/>
      <c r="B1651" s="21" t="n"/>
    </row>
    <row r="1652">
      <c r="A1652" s="11" t="n"/>
      <c r="B1652" s="21" t="n"/>
    </row>
    <row r="1653">
      <c r="A1653" s="11" t="n"/>
      <c r="B1653" s="21" t="n"/>
    </row>
    <row r="1654">
      <c r="A1654" s="11" t="n"/>
      <c r="B1654" s="21" t="n"/>
    </row>
    <row r="1655">
      <c r="A1655" s="11" t="n"/>
      <c r="B1655" s="21" t="n"/>
    </row>
    <row r="1656">
      <c r="A1656" s="11" t="n"/>
      <c r="B1656" s="21" t="n"/>
    </row>
    <row r="1657">
      <c r="A1657" s="11" t="n"/>
      <c r="B1657" s="21" t="n"/>
    </row>
    <row r="1658">
      <c r="A1658" s="11" t="n"/>
      <c r="B1658" s="21" t="n"/>
    </row>
    <row r="1659">
      <c r="A1659" s="11" t="n"/>
      <c r="B1659" s="21" t="n"/>
    </row>
    <row r="1660">
      <c r="A1660" s="11" t="n"/>
      <c r="B1660" s="21" t="n"/>
    </row>
    <row r="1661">
      <c r="A1661" s="11" t="n"/>
      <c r="B1661" s="21" t="n"/>
    </row>
    <row r="1662">
      <c r="A1662" s="11" t="n"/>
      <c r="B1662" s="21" t="n"/>
    </row>
    <row r="1663">
      <c r="A1663" s="11" t="n"/>
      <c r="B1663" s="21" t="n"/>
    </row>
    <row r="1664">
      <c r="A1664" s="11" t="n"/>
      <c r="B1664" s="21" t="n"/>
    </row>
    <row r="1665">
      <c r="A1665" s="11" t="n"/>
      <c r="B1665" s="21" t="n"/>
    </row>
    <row r="1666">
      <c r="A1666" s="11" t="n"/>
      <c r="B1666" s="21" t="n"/>
    </row>
    <row r="1667">
      <c r="A1667" s="11" t="n"/>
      <c r="B1667" s="21" t="n"/>
    </row>
    <row r="1668">
      <c r="A1668" s="11" t="n"/>
      <c r="B1668" s="21" t="n"/>
    </row>
    <row r="1669">
      <c r="A1669" s="11" t="n"/>
      <c r="B1669" s="21" t="n"/>
    </row>
    <row r="1670">
      <c r="A1670" s="11" t="n"/>
      <c r="B1670" s="21" t="n"/>
    </row>
    <row r="1671">
      <c r="A1671" s="11" t="n"/>
      <c r="B1671" s="21" t="n"/>
    </row>
    <row r="1672">
      <c r="A1672" s="11" t="n"/>
      <c r="B1672" s="21" t="n"/>
    </row>
    <row r="1673">
      <c r="A1673" s="11" t="n"/>
      <c r="B1673" s="21" t="n"/>
    </row>
    <row r="1674">
      <c r="A1674" s="11" t="n"/>
      <c r="B1674" s="21" t="n"/>
    </row>
    <row r="1675">
      <c r="A1675" s="11" t="n"/>
      <c r="B1675" s="21" t="n"/>
    </row>
    <row r="1676">
      <c r="A1676" s="11" t="n"/>
      <c r="B1676" s="21" t="n"/>
    </row>
    <row r="1677">
      <c r="A1677" s="11" t="n"/>
      <c r="B1677" s="21" t="n"/>
    </row>
    <row r="1678">
      <c r="A1678" s="11" t="n"/>
      <c r="B1678" s="21" t="n"/>
    </row>
    <row r="1679">
      <c r="A1679" s="11" t="n"/>
      <c r="B1679" s="21" t="n"/>
    </row>
    <row r="1680">
      <c r="A1680" s="11" t="n"/>
      <c r="B1680" s="21" t="n"/>
    </row>
    <row r="1681">
      <c r="A1681" s="11" t="n"/>
      <c r="B1681" s="21" t="n"/>
    </row>
    <row r="1682">
      <c r="A1682" s="11" t="n"/>
      <c r="B1682" s="21" t="n"/>
    </row>
    <row r="1683">
      <c r="A1683" s="11" t="n"/>
      <c r="B1683" s="21" t="n"/>
    </row>
    <row r="1684">
      <c r="A1684" s="11" t="n"/>
      <c r="B1684" s="21" t="n"/>
    </row>
    <row r="1685">
      <c r="A1685" s="11" t="n"/>
      <c r="B1685" s="21" t="n"/>
    </row>
    <row r="1686">
      <c r="A1686" s="11" t="n"/>
      <c r="B1686" s="21" t="n"/>
    </row>
    <row r="1687">
      <c r="A1687" s="11" t="n"/>
      <c r="B1687" s="21" t="n"/>
    </row>
    <row r="1688">
      <c r="A1688" s="11" t="n"/>
      <c r="B1688" s="21" t="n"/>
    </row>
    <row r="1689">
      <c r="A1689" s="11" t="n"/>
      <c r="B1689" s="21" t="n"/>
    </row>
    <row r="1690">
      <c r="A1690" s="11" t="n"/>
      <c r="B1690" s="21" t="n"/>
    </row>
    <row r="1691">
      <c r="A1691" s="11" t="n"/>
      <c r="B1691" s="21" t="n"/>
    </row>
    <row r="1692">
      <c r="A1692" s="11" t="n"/>
      <c r="B1692" s="21" t="n"/>
    </row>
    <row r="1693">
      <c r="A1693" s="11" t="n"/>
      <c r="B1693" s="21" t="n"/>
    </row>
    <row r="1694">
      <c r="A1694" s="11" t="n"/>
      <c r="B1694" s="21" t="n"/>
    </row>
    <row r="1695">
      <c r="A1695" s="11" t="n"/>
      <c r="B1695" s="21" t="n"/>
    </row>
    <row r="1696">
      <c r="A1696" s="11" t="n"/>
      <c r="B1696" s="21" t="n"/>
    </row>
    <row r="1697">
      <c r="A1697" s="11" t="n"/>
      <c r="B1697" s="21" t="n"/>
    </row>
    <row r="1698">
      <c r="A1698" s="11" t="n"/>
      <c r="B1698" s="21" t="n"/>
    </row>
    <row r="1699">
      <c r="A1699" s="11" t="n"/>
      <c r="B1699" s="21" t="n"/>
    </row>
    <row r="1700">
      <c r="A1700" s="11" t="n"/>
      <c r="B1700" s="21" t="n"/>
    </row>
    <row r="1701">
      <c r="A1701" s="11" t="n"/>
      <c r="B1701" s="21" t="n"/>
    </row>
    <row r="1702">
      <c r="A1702" s="11" t="n"/>
      <c r="B1702" s="21" t="n"/>
    </row>
    <row r="1703">
      <c r="A1703" s="11" t="n"/>
      <c r="B1703" s="21" t="n"/>
    </row>
    <row r="1704">
      <c r="A1704" s="11" t="n"/>
      <c r="B1704" s="21" t="n"/>
    </row>
    <row r="1705">
      <c r="A1705" s="11" t="n"/>
      <c r="B1705" s="21" t="n"/>
    </row>
    <row r="1706">
      <c r="A1706" s="11" t="n"/>
      <c r="B1706" s="21" t="n"/>
    </row>
    <row r="1707">
      <c r="A1707" s="11" t="n"/>
      <c r="B1707" s="21" t="n"/>
    </row>
    <row r="1708">
      <c r="A1708" s="11" t="n"/>
      <c r="B1708" s="21" t="n"/>
    </row>
    <row r="1709">
      <c r="A1709" s="11" t="n"/>
      <c r="B1709" s="21" t="n"/>
    </row>
    <row r="1710">
      <c r="A1710" s="11" t="n"/>
      <c r="B1710" s="21" t="n"/>
    </row>
    <row r="1711">
      <c r="A1711" s="11" t="n"/>
      <c r="B1711" s="21" t="n"/>
    </row>
    <row r="1712">
      <c r="A1712" s="11" t="n"/>
      <c r="B1712" s="21" t="n"/>
    </row>
    <row r="1713">
      <c r="A1713" s="11" t="n"/>
      <c r="B1713" s="21" t="n"/>
    </row>
    <row r="1714">
      <c r="A1714" s="11" t="n"/>
      <c r="B1714" s="21" t="n"/>
    </row>
    <row r="1715">
      <c r="A1715" s="11" t="n"/>
      <c r="B1715" s="21" t="n"/>
    </row>
    <row r="1716">
      <c r="A1716" s="11" t="n"/>
      <c r="B1716" s="21" t="n"/>
    </row>
    <row r="1717">
      <c r="A1717" s="11" t="n"/>
      <c r="B1717" s="21" t="n"/>
    </row>
    <row r="1718">
      <c r="A1718" s="11" t="n"/>
      <c r="B1718" s="21" t="n"/>
    </row>
    <row r="1719">
      <c r="A1719" s="11" t="n"/>
      <c r="B1719" s="21" t="n"/>
    </row>
    <row r="1720">
      <c r="A1720" s="11" t="n"/>
      <c r="B1720" s="21" t="n"/>
    </row>
    <row r="1721">
      <c r="A1721" s="11" t="n"/>
      <c r="B1721" s="21" t="n"/>
    </row>
    <row r="1722">
      <c r="A1722" s="11" t="n"/>
      <c r="B1722" s="21" t="n"/>
    </row>
    <row r="1723">
      <c r="A1723" s="11" t="n"/>
      <c r="B1723" s="21" t="n"/>
    </row>
    <row r="1724">
      <c r="A1724" s="11" t="n"/>
      <c r="B1724" s="21" t="n"/>
    </row>
    <row r="1725">
      <c r="A1725" s="11" t="n"/>
      <c r="B1725" s="21" t="n"/>
    </row>
    <row r="1726">
      <c r="A1726" s="11" t="n"/>
      <c r="B1726" s="21" t="n"/>
    </row>
    <row r="1727">
      <c r="A1727" s="11" t="n"/>
      <c r="B1727" s="21" t="n"/>
    </row>
    <row r="1728">
      <c r="A1728" s="11" t="n"/>
      <c r="B1728" s="21" t="n"/>
    </row>
    <row r="1729">
      <c r="A1729" s="11" t="n"/>
      <c r="B1729" s="21" t="n"/>
    </row>
    <row r="1730">
      <c r="A1730" s="11" t="n"/>
      <c r="B1730" s="21" t="n"/>
    </row>
    <row r="1731">
      <c r="A1731" s="11" t="n"/>
      <c r="B1731" s="21" t="n"/>
    </row>
    <row r="1732">
      <c r="A1732" s="11" t="n"/>
      <c r="B1732" s="21" t="n"/>
    </row>
    <row r="1733">
      <c r="A1733" s="11" t="n"/>
      <c r="B1733" s="21" t="n"/>
    </row>
    <row r="1734">
      <c r="A1734" s="11" t="n"/>
      <c r="B1734" s="21" t="n"/>
    </row>
    <row r="1735">
      <c r="A1735" s="11" t="n"/>
      <c r="B1735" s="21" t="n"/>
    </row>
    <row r="1736">
      <c r="A1736" s="11" t="n"/>
      <c r="B1736" s="21" t="n"/>
    </row>
    <row r="1737">
      <c r="A1737" s="11" t="n"/>
      <c r="B1737" s="21" t="n"/>
    </row>
    <row r="1738">
      <c r="A1738" s="11" t="n"/>
      <c r="B1738" s="21" t="n"/>
    </row>
    <row r="1739">
      <c r="A1739" s="11" t="n"/>
      <c r="B1739" s="21" t="n"/>
    </row>
    <row r="1740">
      <c r="A1740" s="11" t="n"/>
      <c r="B1740" s="21" t="n"/>
    </row>
    <row r="1741">
      <c r="A1741" s="11" t="n"/>
      <c r="B1741" s="21" t="n"/>
    </row>
    <row r="1742">
      <c r="A1742" s="11" t="n"/>
      <c r="B1742" s="21" t="n"/>
    </row>
    <row r="1743">
      <c r="A1743" s="11" t="n"/>
      <c r="B1743" s="21" t="n"/>
    </row>
    <row r="1744">
      <c r="A1744" s="11" t="n"/>
      <c r="B1744" s="21" t="n"/>
    </row>
    <row r="1745">
      <c r="A1745" s="11" t="n"/>
      <c r="B1745" s="21" t="n"/>
    </row>
    <row r="1746">
      <c r="A1746" s="11" t="n"/>
      <c r="B1746" s="21" t="n"/>
    </row>
    <row r="1747">
      <c r="A1747" s="11" t="n"/>
      <c r="B1747" s="21" t="n"/>
    </row>
    <row r="1748">
      <c r="A1748" s="11" t="n"/>
      <c r="B1748" s="21" t="n"/>
    </row>
    <row r="1749">
      <c r="A1749" s="11" t="n"/>
      <c r="B1749" s="21" t="n"/>
    </row>
    <row r="1750">
      <c r="A1750" s="11" t="n"/>
      <c r="B1750" s="21" t="n"/>
    </row>
    <row r="1751">
      <c r="A1751" s="11" t="n"/>
      <c r="B1751" s="21" t="n"/>
    </row>
    <row r="1752">
      <c r="A1752" s="11" t="n"/>
      <c r="B1752" s="21" t="n"/>
    </row>
    <row r="1753">
      <c r="A1753" s="11" t="n"/>
      <c r="B1753" s="21" t="n"/>
    </row>
    <row r="1754">
      <c r="A1754" s="11" t="n"/>
      <c r="B1754" s="21" t="n"/>
    </row>
    <row r="1755">
      <c r="A1755" s="11" t="n"/>
      <c r="B1755" s="21" t="n"/>
    </row>
    <row r="1756">
      <c r="A1756" s="11" t="n"/>
      <c r="B1756" s="21" t="n"/>
    </row>
    <row r="1757">
      <c r="A1757" s="11" t="n"/>
      <c r="B1757" s="21" t="n"/>
    </row>
    <row r="1758">
      <c r="A1758" s="11" t="n"/>
      <c r="B1758" s="21" t="n"/>
    </row>
    <row r="1759">
      <c r="A1759" s="11" t="n"/>
      <c r="B1759" s="21" t="n"/>
    </row>
    <row r="1760">
      <c r="A1760" s="11" t="n"/>
      <c r="B1760" s="21" t="n"/>
    </row>
    <row r="1761">
      <c r="A1761" s="11" t="n"/>
      <c r="B1761" s="21" t="n"/>
    </row>
    <row r="1762">
      <c r="A1762" s="11" t="n"/>
      <c r="B1762" s="21" t="n"/>
    </row>
    <row r="1763">
      <c r="A1763" s="11" t="n"/>
      <c r="B1763" s="21" t="n"/>
    </row>
    <row r="1764">
      <c r="A1764" s="11" t="n"/>
      <c r="B1764" s="21" t="n"/>
    </row>
    <row r="1765">
      <c r="A1765" s="11" t="n"/>
      <c r="B1765" s="21" t="n"/>
    </row>
    <row r="1766">
      <c r="A1766" s="11" t="n"/>
      <c r="B1766" s="21" t="n"/>
    </row>
    <row r="1767">
      <c r="A1767" s="11" t="n"/>
      <c r="B1767" s="21" t="n"/>
    </row>
    <row r="1768">
      <c r="A1768" s="11" t="n"/>
      <c r="B1768" s="21" t="n"/>
    </row>
    <row r="1769">
      <c r="A1769" s="11" t="n"/>
      <c r="B1769" s="21" t="n"/>
    </row>
    <row r="1770">
      <c r="A1770" s="11" t="n"/>
      <c r="B1770" s="21" t="n"/>
    </row>
    <row r="1771">
      <c r="A1771" s="11" t="n"/>
      <c r="B1771" s="21" t="n"/>
    </row>
    <row r="1772">
      <c r="A1772" s="11" t="n"/>
      <c r="B1772" s="21" t="n"/>
    </row>
    <row r="1773">
      <c r="A1773" s="11" t="n"/>
      <c r="B1773" s="21" t="n"/>
    </row>
    <row r="1774">
      <c r="A1774" s="11" t="n"/>
      <c r="B1774" s="21" t="n"/>
    </row>
    <row r="1775">
      <c r="A1775" s="11" t="n"/>
      <c r="B1775" s="21" t="n"/>
    </row>
    <row r="1776">
      <c r="A1776" s="11" t="n"/>
      <c r="B1776" s="21" t="n"/>
    </row>
    <row r="1777">
      <c r="A1777" s="11" t="n"/>
      <c r="B1777" s="21" t="n"/>
    </row>
    <row r="1778">
      <c r="A1778" s="11" t="n"/>
      <c r="B1778" s="21" t="n"/>
    </row>
    <row r="1779">
      <c r="A1779" s="11" t="n"/>
      <c r="B1779" s="21" t="n"/>
    </row>
    <row r="1780">
      <c r="A1780" s="11" t="n"/>
      <c r="B1780" s="21" t="n"/>
    </row>
    <row r="1781">
      <c r="A1781" s="11" t="n"/>
      <c r="B1781" s="21" t="n"/>
    </row>
    <row r="1782">
      <c r="A1782" s="11" t="n"/>
      <c r="B1782" s="21" t="n"/>
    </row>
    <row r="1783">
      <c r="A1783" s="11" t="n"/>
      <c r="B1783" s="21" t="n"/>
    </row>
    <row r="1784">
      <c r="A1784" s="11" t="n"/>
      <c r="B1784" s="21" t="n"/>
    </row>
    <row r="1785">
      <c r="A1785" s="11" t="n"/>
      <c r="B1785" s="21" t="n"/>
    </row>
    <row r="1786">
      <c r="A1786" s="11" t="n"/>
      <c r="B1786" s="21" t="n"/>
    </row>
    <row r="1787">
      <c r="A1787" s="11" t="n"/>
      <c r="B1787" s="21" t="n"/>
    </row>
    <row r="1788">
      <c r="A1788" s="11" t="n"/>
      <c r="B1788" s="21" t="n"/>
    </row>
    <row r="1789">
      <c r="A1789" s="11" t="n"/>
      <c r="B1789" s="21" t="n"/>
    </row>
    <row r="1790">
      <c r="A1790" s="11" t="n"/>
      <c r="B1790" s="21" t="n"/>
    </row>
    <row r="1791">
      <c r="A1791" s="11" t="n"/>
      <c r="B1791" s="21" t="n"/>
    </row>
    <row r="1792">
      <c r="A1792" s="11" t="n"/>
      <c r="B1792" s="21" t="n"/>
    </row>
    <row r="1793">
      <c r="A1793" s="11" t="n"/>
      <c r="B1793" s="21" t="n"/>
    </row>
    <row r="1794">
      <c r="A1794" s="11" t="n"/>
      <c r="B1794" s="21" t="n"/>
    </row>
    <row r="1795">
      <c r="A1795" s="11" t="n"/>
      <c r="B1795" s="21" t="n"/>
    </row>
    <row r="1796">
      <c r="A1796" s="11" t="n"/>
      <c r="B1796" s="21" t="n"/>
    </row>
    <row r="1797">
      <c r="A1797" s="11" t="n"/>
      <c r="B1797" s="21" t="n"/>
    </row>
    <row r="1798">
      <c r="A1798" s="11" t="n"/>
      <c r="B1798" s="21" t="n"/>
    </row>
    <row r="1799">
      <c r="A1799" s="11" t="n"/>
      <c r="B1799" s="21" t="n"/>
    </row>
    <row r="1800">
      <c r="A1800" s="11" t="n"/>
      <c r="B1800" s="21" t="n"/>
    </row>
    <row r="1801">
      <c r="A1801" s="11" t="n"/>
      <c r="B1801" s="21" t="n"/>
    </row>
    <row r="1802">
      <c r="A1802" s="11" t="n"/>
      <c r="B1802" s="21" t="n"/>
    </row>
    <row r="1803">
      <c r="A1803" s="11" t="n"/>
      <c r="B1803" s="21" t="n"/>
    </row>
    <row r="1804">
      <c r="A1804" s="11" t="n"/>
      <c r="B1804" s="21" t="n"/>
    </row>
    <row r="1805">
      <c r="A1805" s="11" t="n"/>
      <c r="B1805" s="21" t="n"/>
    </row>
    <row r="1806">
      <c r="A1806" s="11" t="n"/>
      <c r="B1806" s="21" t="n"/>
    </row>
    <row r="1807">
      <c r="A1807" s="11" t="n"/>
      <c r="B1807" s="21" t="n"/>
    </row>
    <row r="1808">
      <c r="A1808" s="11" t="n"/>
      <c r="B1808" s="21" t="n"/>
    </row>
    <row r="1809">
      <c r="A1809" s="11" t="n"/>
      <c r="B1809" s="21" t="n"/>
    </row>
    <row r="1810">
      <c r="A1810" s="11" t="n"/>
      <c r="B1810" s="21" t="n"/>
    </row>
    <row r="1811">
      <c r="A1811" s="11" t="n"/>
      <c r="B1811" s="21" t="n"/>
    </row>
    <row r="1812">
      <c r="A1812" s="11" t="n"/>
      <c r="B1812" s="21" t="n"/>
    </row>
    <row r="1813">
      <c r="A1813" s="11" t="n"/>
      <c r="B1813" s="21" t="n"/>
    </row>
    <row r="1814">
      <c r="A1814" s="11" t="n"/>
      <c r="B1814" s="21" t="n"/>
    </row>
    <row r="1815">
      <c r="A1815" s="11" t="n"/>
      <c r="B1815" s="21" t="n"/>
    </row>
    <row r="1816">
      <c r="A1816" s="11" t="n"/>
      <c r="B1816" s="21" t="n"/>
    </row>
    <row r="1817">
      <c r="A1817" s="11" t="n"/>
      <c r="B1817" s="21" t="n"/>
    </row>
    <row r="1818">
      <c r="A1818" s="11" t="n"/>
      <c r="B1818" s="21" t="n"/>
    </row>
    <row r="1819">
      <c r="A1819" s="11" t="n"/>
      <c r="B1819" s="21" t="n"/>
    </row>
    <row r="1820">
      <c r="A1820" s="11" t="n"/>
      <c r="B1820" s="21" t="n"/>
    </row>
    <row r="1821">
      <c r="A1821" s="11" t="n"/>
      <c r="B1821" s="21" t="n"/>
    </row>
    <row r="1822">
      <c r="A1822" s="11" t="n"/>
      <c r="B1822" s="21" t="n"/>
    </row>
    <row r="1823">
      <c r="A1823" s="11" t="n"/>
      <c r="B1823" s="21" t="n"/>
    </row>
    <row r="1824">
      <c r="A1824" s="11" t="n"/>
      <c r="B1824" s="21" t="n"/>
    </row>
    <row r="1825">
      <c r="A1825" s="11" t="n"/>
      <c r="B1825" s="21" t="n"/>
    </row>
    <row r="1826">
      <c r="A1826" s="11" t="n"/>
      <c r="B1826" s="21" t="n"/>
    </row>
    <row r="1827">
      <c r="A1827" s="11" t="n"/>
      <c r="B1827" s="21" t="n"/>
    </row>
    <row r="1828">
      <c r="A1828" s="11" t="n"/>
      <c r="B1828" s="21" t="n"/>
    </row>
    <row r="1829">
      <c r="A1829" s="11" t="n"/>
      <c r="B1829" s="21" t="n"/>
    </row>
    <row r="1830">
      <c r="A1830" s="11" t="n"/>
      <c r="B1830" s="21" t="n"/>
    </row>
    <row r="1831">
      <c r="A1831" s="11" t="n"/>
      <c r="B1831" s="21" t="n"/>
    </row>
    <row r="1832">
      <c r="A1832" s="11" t="n"/>
      <c r="B1832" s="21" t="n"/>
    </row>
    <row r="1833">
      <c r="A1833" s="11" t="n"/>
      <c r="B1833" s="21" t="n"/>
    </row>
    <row r="1834">
      <c r="A1834" s="11" t="n"/>
      <c r="B1834" s="21" t="n"/>
    </row>
    <row r="1835">
      <c r="A1835" s="11" t="n"/>
      <c r="B1835" s="21" t="n"/>
    </row>
    <row r="1836">
      <c r="A1836" s="11" t="n"/>
      <c r="B1836" s="21" t="n"/>
    </row>
    <row r="1837">
      <c r="A1837" s="11" t="n"/>
      <c r="B1837" s="21" t="n"/>
    </row>
    <row r="1838">
      <c r="A1838" s="11" t="n"/>
      <c r="B1838" s="21" t="n"/>
    </row>
    <row r="1839">
      <c r="A1839" s="11" t="n"/>
      <c r="B1839" s="21" t="n"/>
    </row>
    <row r="1840">
      <c r="A1840" s="11" t="n"/>
      <c r="B1840" s="21" t="n"/>
    </row>
    <row r="1841">
      <c r="A1841" s="11" t="n"/>
      <c r="B1841" s="21" t="n"/>
    </row>
    <row r="1842">
      <c r="A1842" s="11" t="n"/>
      <c r="B1842" s="21" t="n"/>
    </row>
    <row r="1843">
      <c r="A1843" s="11" t="n"/>
      <c r="B1843" s="21" t="n"/>
    </row>
    <row r="1844">
      <c r="A1844" s="11" t="n"/>
      <c r="B1844" s="21" t="n"/>
    </row>
    <row r="1845">
      <c r="A1845" s="11" t="n"/>
      <c r="B1845" s="21" t="n"/>
    </row>
    <row r="1846">
      <c r="A1846" s="11" t="n"/>
      <c r="B1846" s="21" t="n"/>
    </row>
    <row r="1847">
      <c r="A1847" s="11" t="n"/>
      <c r="B1847" s="21" t="n"/>
    </row>
    <row r="1848">
      <c r="A1848" s="11" t="n"/>
      <c r="B1848" s="21" t="n"/>
    </row>
    <row r="1849">
      <c r="A1849" s="11" t="n"/>
      <c r="B1849" s="21" t="n"/>
    </row>
    <row r="1850">
      <c r="A1850" s="11" t="n"/>
      <c r="B1850" s="21" t="n"/>
    </row>
    <row r="1851">
      <c r="A1851" s="11" t="n"/>
      <c r="B1851" s="21" t="n"/>
    </row>
    <row r="1852">
      <c r="A1852" s="11" t="n"/>
      <c r="B1852" s="21" t="n"/>
    </row>
    <row r="1853">
      <c r="A1853" s="11" t="n"/>
      <c r="B1853" s="21" t="n"/>
    </row>
    <row r="1854">
      <c r="A1854" s="11" t="n"/>
      <c r="B1854" s="21" t="n"/>
    </row>
    <row r="1855">
      <c r="A1855" s="11" t="n"/>
      <c r="B1855" s="21" t="n"/>
    </row>
    <row r="1856">
      <c r="A1856" s="11" t="n"/>
      <c r="B1856" s="21" t="n"/>
    </row>
    <row r="1857">
      <c r="A1857" s="11" t="n"/>
      <c r="B1857" s="21" t="n"/>
    </row>
    <row r="1858">
      <c r="A1858" s="11" t="n"/>
      <c r="B1858" s="21" t="n"/>
    </row>
    <row r="1859">
      <c r="A1859" s="11" t="n"/>
      <c r="B1859" s="21" t="n"/>
    </row>
    <row r="1860">
      <c r="A1860" s="11" t="n"/>
      <c r="B1860" s="21" t="n"/>
    </row>
    <row r="1861">
      <c r="A1861" s="11" t="n"/>
      <c r="B1861" s="21" t="n"/>
    </row>
    <row r="1862">
      <c r="A1862" s="11" t="n"/>
      <c r="B1862" s="21" t="n"/>
    </row>
    <row r="1863">
      <c r="A1863" s="11" t="n"/>
      <c r="B1863" s="21" t="n"/>
    </row>
    <row r="1864">
      <c r="A1864" s="11" t="n"/>
      <c r="B1864" s="21" t="n"/>
    </row>
    <row r="1865">
      <c r="A1865" s="11" t="n"/>
      <c r="B1865" s="21" t="n"/>
    </row>
    <row r="1866">
      <c r="A1866" s="11" t="n"/>
      <c r="B1866" s="21" t="n"/>
    </row>
    <row r="1867">
      <c r="A1867" s="11" t="n"/>
      <c r="B1867" s="21" t="n"/>
    </row>
    <row r="1868">
      <c r="A1868" s="11" t="n"/>
      <c r="B1868" s="21" t="n"/>
    </row>
    <row r="1869">
      <c r="A1869" s="11" t="n"/>
      <c r="B1869" s="21" t="n"/>
    </row>
    <row r="1870">
      <c r="A1870" s="11" t="n"/>
      <c r="B1870" s="21" t="n"/>
    </row>
    <row r="1871">
      <c r="A1871" s="11" t="n"/>
      <c r="B1871" s="21" t="n"/>
    </row>
    <row r="1872">
      <c r="A1872" s="11" t="n"/>
      <c r="B1872" s="21" t="n"/>
    </row>
    <row r="1873">
      <c r="A1873" s="11" t="n"/>
      <c r="B1873" s="21" t="n"/>
    </row>
    <row r="1874">
      <c r="A1874" s="11" t="n"/>
      <c r="B1874" s="21" t="n"/>
    </row>
    <row r="1875">
      <c r="A1875" s="11" t="n"/>
      <c r="B1875" s="21" t="n"/>
    </row>
    <row r="1876">
      <c r="A1876" s="11" t="n"/>
      <c r="B1876" s="21" t="n"/>
    </row>
    <row r="1877">
      <c r="A1877" s="11" t="n"/>
      <c r="B1877" s="21" t="n"/>
    </row>
    <row r="1878">
      <c r="A1878" s="11" t="n"/>
      <c r="B1878" s="21" t="n"/>
    </row>
    <row r="1879">
      <c r="A1879" s="11" t="n"/>
      <c r="B1879" s="21" t="n"/>
    </row>
    <row r="1880">
      <c r="A1880" s="11" t="n"/>
      <c r="B1880" s="21" t="n"/>
    </row>
    <row r="1881">
      <c r="A1881" s="11" t="n"/>
      <c r="B1881" s="21" t="n"/>
    </row>
    <row r="1882">
      <c r="A1882" s="11" t="n"/>
      <c r="B1882" s="21" t="n"/>
    </row>
    <row r="1883">
      <c r="A1883" s="11" t="n"/>
      <c r="B1883" s="21" t="n"/>
    </row>
    <row r="1884">
      <c r="A1884" s="11" t="n"/>
      <c r="B1884" s="21" t="n"/>
    </row>
    <row r="1885">
      <c r="A1885" s="11" t="n"/>
      <c r="B1885" s="21" t="n"/>
    </row>
    <row r="1886">
      <c r="A1886" s="11" t="n"/>
      <c r="B1886" s="21" t="n"/>
    </row>
    <row r="1887">
      <c r="A1887" s="11" t="n"/>
      <c r="B1887" s="21" t="n"/>
    </row>
    <row r="1888">
      <c r="A1888" s="11" t="n"/>
      <c r="B1888" s="21" t="n"/>
    </row>
    <row r="1889">
      <c r="A1889" s="11" t="n"/>
      <c r="B1889" s="21" t="n"/>
    </row>
    <row r="1890">
      <c r="A1890" s="11" t="n"/>
      <c r="B1890" s="21" t="n"/>
    </row>
    <row r="1891">
      <c r="A1891" s="11" t="n"/>
      <c r="B1891" s="21" t="n"/>
    </row>
    <row r="1892">
      <c r="A1892" s="11" t="n"/>
      <c r="B1892" s="21" t="n"/>
    </row>
    <row r="1893">
      <c r="A1893" s="11" t="n"/>
      <c r="B1893" s="21" t="n"/>
    </row>
    <row r="1894">
      <c r="A1894" s="11" t="n"/>
      <c r="B1894" s="21" t="n"/>
    </row>
    <row r="1895">
      <c r="A1895" s="11" t="n"/>
      <c r="B1895" s="21" t="n"/>
    </row>
    <row r="1896">
      <c r="A1896" s="11" t="n"/>
      <c r="B1896" s="21" t="n"/>
    </row>
    <row r="1897">
      <c r="A1897" s="11" t="n"/>
      <c r="B1897" s="21" t="n"/>
    </row>
    <row r="1898">
      <c r="A1898" s="11" t="n"/>
      <c r="B1898" s="21" t="n"/>
    </row>
    <row r="1899">
      <c r="A1899" s="11" t="n"/>
      <c r="B1899" s="21" t="n"/>
    </row>
    <row r="1900">
      <c r="A1900" s="11" t="n"/>
      <c r="B1900" s="21" t="n"/>
    </row>
    <row r="1901">
      <c r="A1901" s="11" t="n"/>
      <c r="B1901" s="21" t="n"/>
    </row>
    <row r="1902">
      <c r="A1902" s="11" t="n"/>
      <c r="B1902" s="21" t="n"/>
    </row>
    <row r="1903">
      <c r="A1903" s="11" t="n"/>
      <c r="B1903" s="21" t="n"/>
    </row>
    <row r="1904">
      <c r="A1904" s="11" t="n"/>
      <c r="B1904" s="21" t="n"/>
    </row>
    <row r="1905">
      <c r="A1905" s="11" t="n"/>
      <c r="B1905" s="21" t="n"/>
    </row>
    <row r="1906">
      <c r="A1906" s="11" t="n"/>
      <c r="B1906" s="21" t="n"/>
    </row>
    <row r="1907">
      <c r="A1907" s="11" t="n"/>
      <c r="B1907" s="21" t="n"/>
    </row>
    <row r="1908">
      <c r="A1908" s="11" t="n"/>
      <c r="B1908" s="21" t="n"/>
    </row>
    <row r="1909">
      <c r="A1909" s="11" t="n"/>
      <c r="B1909" s="21" t="n"/>
    </row>
    <row r="1910">
      <c r="A1910" s="11" t="n"/>
      <c r="B1910" s="21" t="n"/>
    </row>
    <row r="1911">
      <c r="A1911" s="11" t="n"/>
      <c r="B1911" s="21" t="n"/>
    </row>
    <row r="1912">
      <c r="A1912" s="11" t="n"/>
      <c r="B1912" s="21" t="n"/>
    </row>
    <row r="1913">
      <c r="A1913" s="11" t="n"/>
      <c r="B1913" s="21" t="n"/>
    </row>
    <row r="1914">
      <c r="A1914" s="11" t="n"/>
      <c r="B1914" s="21" t="n"/>
    </row>
    <row r="1915">
      <c r="A1915" s="11" t="n"/>
      <c r="B1915" s="21" t="n"/>
    </row>
    <row r="1916">
      <c r="A1916" s="11" t="n"/>
      <c r="B1916" s="21" t="n"/>
    </row>
    <row r="1917">
      <c r="A1917" s="11" t="n"/>
      <c r="B1917" s="21" t="n"/>
    </row>
    <row r="1918">
      <c r="A1918" s="11" t="n"/>
      <c r="B1918" s="21" t="n"/>
    </row>
    <row r="1919">
      <c r="A1919" s="11" t="n"/>
      <c r="B1919" s="21" t="n"/>
    </row>
    <row r="1920">
      <c r="A1920" s="11" t="n"/>
      <c r="B1920" s="21" t="n"/>
    </row>
    <row r="1921">
      <c r="A1921" s="11" t="n"/>
      <c r="B1921" s="21" t="n"/>
    </row>
    <row r="1922">
      <c r="A1922" s="11" t="n"/>
      <c r="B1922" s="21" t="n"/>
    </row>
    <row r="1923">
      <c r="A1923" s="11" t="n"/>
      <c r="B1923" s="21" t="n"/>
    </row>
    <row r="1924">
      <c r="A1924" s="11" t="n"/>
      <c r="B1924" s="21" t="n"/>
    </row>
    <row r="1925">
      <c r="A1925" s="11" t="n"/>
      <c r="B1925" s="21" t="n"/>
    </row>
    <row r="1926">
      <c r="A1926" s="11" t="n"/>
      <c r="B1926" s="21" t="n"/>
    </row>
    <row r="1927">
      <c r="A1927" s="11" t="n"/>
      <c r="B1927" s="21" t="n"/>
    </row>
    <row r="1928">
      <c r="A1928" s="11" t="n"/>
      <c r="B1928" s="21" t="n"/>
    </row>
    <row r="1929">
      <c r="A1929" s="11" t="n"/>
      <c r="B1929" s="21" t="n"/>
    </row>
    <row r="1930">
      <c r="A1930" s="11" t="n"/>
      <c r="B1930" s="21" t="n"/>
    </row>
    <row r="1931">
      <c r="A1931" s="11" t="n"/>
      <c r="B1931" s="21" t="n"/>
    </row>
    <row r="1932">
      <c r="A1932" s="11" t="n"/>
      <c r="B1932" s="21" t="n"/>
    </row>
    <row r="1933">
      <c r="A1933" s="11" t="n"/>
      <c r="B1933" s="21" t="n"/>
    </row>
    <row r="1934">
      <c r="A1934" s="11" t="n"/>
      <c r="B1934" s="21" t="n"/>
    </row>
    <row r="1935">
      <c r="A1935" s="11" t="n"/>
      <c r="B1935" s="21" t="n"/>
    </row>
    <row r="1936">
      <c r="A1936" s="11" t="n"/>
      <c r="B1936" s="21" t="n"/>
    </row>
    <row r="1937">
      <c r="A1937" s="11" t="n"/>
      <c r="B1937" s="21" t="n"/>
    </row>
    <row r="1938">
      <c r="A1938" s="11" t="n"/>
      <c r="B1938" s="21" t="n"/>
    </row>
    <row r="1939">
      <c r="A1939" s="11" t="n"/>
      <c r="B1939" s="21" t="n"/>
    </row>
    <row r="1940">
      <c r="A1940" s="11" t="n"/>
      <c r="B1940" s="21" t="n"/>
    </row>
    <row r="1941">
      <c r="A1941" s="11" t="n"/>
      <c r="B1941" s="21" t="n"/>
    </row>
    <row r="1942">
      <c r="A1942" s="11" t="n"/>
      <c r="B1942" s="21" t="n"/>
    </row>
    <row r="1943">
      <c r="A1943" s="11" t="n"/>
      <c r="B1943" s="21" t="n"/>
    </row>
    <row r="1944">
      <c r="A1944" s="11" t="n"/>
      <c r="B1944" s="21" t="n"/>
    </row>
    <row r="1945">
      <c r="A1945" s="11" t="n"/>
      <c r="B1945" s="21" t="n"/>
    </row>
    <row r="1946">
      <c r="A1946" s="11" t="n"/>
      <c r="B1946" s="21" t="n"/>
    </row>
    <row r="1947">
      <c r="A1947" s="11" t="n"/>
      <c r="B1947" s="21" t="n"/>
    </row>
    <row r="1948">
      <c r="A1948" s="11" t="n"/>
      <c r="B1948" s="21" t="n"/>
    </row>
    <row r="1949">
      <c r="A1949" s="11" t="n"/>
      <c r="B1949" s="21" t="n"/>
    </row>
    <row r="1950">
      <c r="A1950" s="11" t="n"/>
      <c r="B1950" s="21" t="n"/>
    </row>
    <row r="1951">
      <c r="A1951" s="11" t="n"/>
      <c r="B1951" s="21" t="n"/>
    </row>
    <row r="1952">
      <c r="A1952" s="11" t="n"/>
      <c r="B1952" s="21" t="n"/>
    </row>
    <row r="1953">
      <c r="A1953" s="11" t="n"/>
      <c r="B1953" s="21" t="n"/>
    </row>
    <row r="1954">
      <c r="A1954" s="11" t="n"/>
      <c r="B1954" s="21" t="n"/>
    </row>
    <row r="1955">
      <c r="A1955" s="11" t="n"/>
      <c r="B1955" s="21" t="n"/>
    </row>
    <row r="1956">
      <c r="A1956" s="11" t="n"/>
      <c r="B1956" s="21" t="n"/>
    </row>
    <row r="1957">
      <c r="A1957" s="11" t="n"/>
      <c r="B1957" s="21" t="n"/>
    </row>
    <row r="1958">
      <c r="A1958" s="11" t="n"/>
      <c r="B1958" s="21" t="n"/>
    </row>
    <row r="1959">
      <c r="A1959" s="11" t="n"/>
      <c r="B1959" s="21" t="n"/>
    </row>
    <row r="1960">
      <c r="A1960" s="11" t="n"/>
      <c r="B1960" s="21" t="n"/>
    </row>
    <row r="1961">
      <c r="A1961" s="11" t="n"/>
      <c r="B1961" s="21" t="n"/>
    </row>
    <row r="1962">
      <c r="A1962" s="11" t="n"/>
      <c r="B1962" s="21" t="n"/>
    </row>
    <row r="1963">
      <c r="A1963" s="11" t="n"/>
      <c r="B1963" s="21" t="n"/>
    </row>
    <row r="1964">
      <c r="A1964" s="11" t="n"/>
      <c r="B1964" s="21" t="n"/>
    </row>
    <row r="1965">
      <c r="A1965" s="11" t="n"/>
      <c r="B1965" s="21" t="n"/>
    </row>
    <row r="1966">
      <c r="A1966" s="11" t="n"/>
      <c r="B1966" s="21" t="n"/>
    </row>
    <row r="1967">
      <c r="A1967" s="11" t="n"/>
      <c r="B1967" s="21" t="n"/>
    </row>
    <row r="1968">
      <c r="A1968" s="11" t="n"/>
      <c r="B1968" s="21" t="n"/>
    </row>
    <row r="1969">
      <c r="A1969" s="11" t="n"/>
      <c r="B1969" s="21" t="n"/>
    </row>
    <row r="1970">
      <c r="A1970" s="11" t="n"/>
      <c r="B1970" s="21" t="n"/>
    </row>
    <row r="1971">
      <c r="A1971" s="11" t="n"/>
      <c r="B1971" s="21" t="n"/>
    </row>
    <row r="1972">
      <c r="A1972" s="11" t="n"/>
      <c r="B1972" s="21" t="n"/>
    </row>
    <row r="1973">
      <c r="A1973" s="11" t="n"/>
      <c r="B1973" s="21" t="n"/>
    </row>
    <row r="1974">
      <c r="A1974" s="11" t="n"/>
      <c r="B1974" s="21" t="n"/>
    </row>
    <row r="1975">
      <c r="A1975" s="11" t="n"/>
      <c r="B1975" s="21" t="n"/>
    </row>
    <row r="1976">
      <c r="A1976" s="11" t="n"/>
      <c r="B1976" s="21" t="n"/>
    </row>
    <row r="1977">
      <c r="A1977" s="11" t="n"/>
      <c r="B1977" s="21" t="n"/>
    </row>
    <row r="1978">
      <c r="A1978" s="11" t="n"/>
      <c r="B1978" s="21" t="n"/>
    </row>
    <row r="1979">
      <c r="A1979" s="11" t="n"/>
      <c r="B1979" s="21" t="n"/>
    </row>
    <row r="1980">
      <c r="A1980" s="11" t="n"/>
      <c r="B1980" s="21" t="n"/>
    </row>
    <row r="1981">
      <c r="A1981" s="11" t="n"/>
      <c r="B1981" s="21" t="n"/>
    </row>
    <row r="1982">
      <c r="A1982" s="11" t="n"/>
      <c r="B1982" s="21" t="n"/>
    </row>
    <row r="1983">
      <c r="A1983" s="11" t="n"/>
      <c r="B1983" s="21" t="n"/>
    </row>
    <row r="1984">
      <c r="A1984" s="11" t="n"/>
      <c r="B1984" s="21" t="n"/>
    </row>
    <row r="1985">
      <c r="A1985" s="11" t="n"/>
      <c r="B1985" s="21" t="n"/>
    </row>
    <row r="1986">
      <c r="A1986" s="11" t="n"/>
      <c r="B1986" s="21" t="n"/>
    </row>
    <row r="1987">
      <c r="A1987" s="11" t="n"/>
      <c r="B1987" s="21" t="n"/>
    </row>
    <row r="1988">
      <c r="A1988" s="11" t="n"/>
      <c r="B1988" s="21" t="n"/>
    </row>
    <row r="1989">
      <c r="A1989" s="11" t="n"/>
      <c r="B1989" s="21" t="n"/>
    </row>
    <row r="1990">
      <c r="A1990" s="11" t="n"/>
      <c r="B1990" s="21" t="n"/>
    </row>
    <row r="1991">
      <c r="A1991" s="11" t="n"/>
      <c r="B1991" s="21" t="n"/>
    </row>
    <row r="1992">
      <c r="A1992" s="11" t="n"/>
      <c r="B1992" s="21" t="n"/>
    </row>
    <row r="1993">
      <c r="A1993" s="11" t="n"/>
      <c r="B1993" s="21" t="n"/>
    </row>
    <row r="1994">
      <c r="A1994" s="11" t="n"/>
      <c r="B1994" s="21" t="n"/>
    </row>
    <row r="1995">
      <c r="A1995" s="11" t="n"/>
      <c r="B1995" s="21" t="n"/>
    </row>
    <row r="1996">
      <c r="A1996" s="11" t="n"/>
      <c r="B1996" s="21" t="n"/>
    </row>
    <row r="1997">
      <c r="A1997" s="11" t="n"/>
      <c r="B1997" s="21" t="n"/>
    </row>
    <row r="1998">
      <c r="A1998" s="11" t="n"/>
      <c r="B1998" s="21" t="n"/>
    </row>
    <row r="1999">
      <c r="A1999" s="11" t="n"/>
      <c r="B1999" s="21" t="n"/>
    </row>
    <row r="2000">
      <c r="A2000" s="11" t="n"/>
      <c r="B2000" s="21" t="n"/>
    </row>
    <row r="2001">
      <c r="A2001" s="11" t="n"/>
      <c r="B2001" s="21" t="n"/>
    </row>
    <row r="2002">
      <c r="A2002" s="11" t="n"/>
      <c r="B2002" s="21" t="n"/>
    </row>
    <row r="2003">
      <c r="A2003" s="11" t="n"/>
      <c r="B2003" s="21" t="n"/>
    </row>
    <row r="2004">
      <c r="A2004" s="11" t="n"/>
      <c r="B2004" s="21" t="n"/>
    </row>
    <row r="2005">
      <c r="A2005" s="11" t="n"/>
      <c r="B2005" s="21" t="n"/>
    </row>
    <row r="2006">
      <c r="A2006" s="11" t="n"/>
      <c r="B2006" s="21" t="n"/>
    </row>
    <row r="2007">
      <c r="A2007" s="11" t="n"/>
      <c r="B2007" s="21" t="n"/>
    </row>
    <row r="2008">
      <c r="A2008" s="11" t="n"/>
      <c r="B2008" s="21" t="n"/>
    </row>
    <row r="2009">
      <c r="A2009" s="11" t="n"/>
      <c r="B2009" s="21" t="n"/>
    </row>
    <row r="2010">
      <c r="A2010" s="11" t="n"/>
      <c r="B2010" s="21" t="n"/>
    </row>
    <row r="2011">
      <c r="A2011" s="11" t="n"/>
      <c r="B2011" s="21" t="n"/>
    </row>
    <row r="2012">
      <c r="A2012" s="11" t="n"/>
      <c r="B2012" s="21" t="n"/>
    </row>
    <row r="2013">
      <c r="A2013" s="11" t="n"/>
      <c r="B2013" s="21" t="n"/>
    </row>
    <row r="2014">
      <c r="A2014" s="11" t="n"/>
      <c r="B2014" s="21" t="n"/>
    </row>
    <row r="2015">
      <c r="A2015" s="11" t="n"/>
      <c r="B2015" s="21" t="n"/>
    </row>
    <row r="2016">
      <c r="A2016" s="11" t="n"/>
      <c r="B2016" s="21" t="n"/>
    </row>
    <row r="2017">
      <c r="A2017" s="11" t="n"/>
      <c r="B2017" s="21" t="n"/>
    </row>
    <row r="2018">
      <c r="A2018" s="11" t="n"/>
      <c r="B2018" s="21" t="n"/>
    </row>
    <row r="2019">
      <c r="A2019" s="11" t="n"/>
      <c r="B2019" s="21" t="n"/>
    </row>
    <row r="2020">
      <c r="A2020" s="11" t="n"/>
      <c r="B2020" s="21" t="n"/>
    </row>
    <row r="2021">
      <c r="A2021" s="11" t="n"/>
      <c r="B2021" s="21" t="n"/>
    </row>
    <row r="2022">
      <c r="A2022" s="11" t="n"/>
      <c r="B2022" s="21" t="n"/>
    </row>
    <row r="2023">
      <c r="A2023" s="11" t="n"/>
      <c r="B2023" s="21" t="n"/>
    </row>
    <row r="2024">
      <c r="A2024" s="11" t="n"/>
      <c r="B2024" s="21" t="n"/>
    </row>
    <row r="2025">
      <c r="A2025" s="11" t="n"/>
      <c r="B2025" s="21" t="n"/>
    </row>
    <row r="2026">
      <c r="A2026" s="11" t="n"/>
      <c r="B2026" s="21" t="n"/>
    </row>
    <row r="2027">
      <c r="A2027" s="11" t="n"/>
      <c r="B2027" s="21" t="n"/>
    </row>
    <row r="2028">
      <c r="A2028" s="11" t="n"/>
      <c r="B2028" s="21" t="n"/>
    </row>
    <row r="2029">
      <c r="A2029" s="11" t="n"/>
      <c r="B2029" s="21" t="n"/>
    </row>
    <row r="2030">
      <c r="A2030" s="11" t="n"/>
      <c r="B2030" s="21" t="n"/>
    </row>
    <row r="2031">
      <c r="A2031" s="11" t="n"/>
      <c r="B2031" s="21" t="n"/>
    </row>
    <row r="2032">
      <c r="A2032" s="11" t="n"/>
      <c r="B2032" s="21" t="n"/>
    </row>
    <row r="2033">
      <c r="A2033" s="11" t="n"/>
      <c r="B2033" s="21" t="n"/>
    </row>
    <row r="2034">
      <c r="A2034" s="11" t="n"/>
      <c r="B2034" s="21" t="n"/>
    </row>
    <row r="2035">
      <c r="A2035" s="11" t="n"/>
      <c r="B2035" s="21" t="n"/>
    </row>
    <row r="2036">
      <c r="A2036" s="11" t="n"/>
      <c r="B2036" s="21" t="n"/>
    </row>
    <row r="2037">
      <c r="A2037" s="11" t="n"/>
      <c r="B2037" s="21" t="n"/>
    </row>
    <row r="2038">
      <c r="A2038" s="11" t="n"/>
      <c r="B2038" s="21" t="n"/>
    </row>
    <row r="2039">
      <c r="A2039" s="11" t="n"/>
      <c r="B2039" s="21" t="n"/>
    </row>
    <row r="2040">
      <c r="A2040" s="11" t="n"/>
      <c r="B2040" s="21" t="n"/>
    </row>
    <row r="2041">
      <c r="A2041" s="11" t="n"/>
      <c r="B2041" s="21" t="n"/>
    </row>
    <row r="2042">
      <c r="A2042" s="11" t="n"/>
      <c r="B2042" s="21" t="n"/>
    </row>
    <row r="2043">
      <c r="A2043" s="11" t="n"/>
      <c r="B2043" s="21" t="n"/>
    </row>
    <row r="2044">
      <c r="A2044" s="11" t="n"/>
      <c r="B2044" s="21" t="n"/>
    </row>
    <row r="2045">
      <c r="A2045" s="11" t="n"/>
      <c r="B2045" s="21" t="n"/>
    </row>
    <row r="2046">
      <c r="A2046" s="11" t="n"/>
      <c r="B2046" s="21" t="n"/>
    </row>
    <row r="2047">
      <c r="A2047" s="11" t="n"/>
      <c r="B2047" s="21" t="n"/>
    </row>
    <row r="2048">
      <c r="A2048" s="11" t="n"/>
      <c r="B2048" s="21" t="n"/>
    </row>
    <row r="2049">
      <c r="A2049" s="11" t="n"/>
      <c r="B2049" s="21" t="n"/>
    </row>
    <row r="2050">
      <c r="A2050" s="11" t="n"/>
      <c r="B2050" s="21" t="n"/>
    </row>
    <row r="2051">
      <c r="A2051" s="11" t="n"/>
      <c r="B2051" s="21" t="n"/>
    </row>
    <row r="2052">
      <c r="A2052" s="11" t="n"/>
      <c r="B2052" s="21" t="n"/>
    </row>
    <row r="2053">
      <c r="A2053" s="11" t="n"/>
      <c r="B2053" s="21" t="n"/>
    </row>
    <row r="2054">
      <c r="A2054" s="11" t="n"/>
      <c r="B2054" s="21" t="n"/>
    </row>
    <row r="2055">
      <c r="A2055" s="11" t="n"/>
      <c r="B2055" s="21" t="n"/>
    </row>
    <row r="2056">
      <c r="A2056" s="11" t="n"/>
      <c r="B2056" s="21" t="n"/>
    </row>
    <row r="2057">
      <c r="A2057" s="11" t="n"/>
      <c r="B2057" s="21" t="n"/>
    </row>
    <row r="2058">
      <c r="A2058" s="11" t="n"/>
      <c r="B2058" s="21" t="n"/>
    </row>
    <row r="2059">
      <c r="A2059" s="11" t="n"/>
      <c r="B2059" s="21" t="n"/>
    </row>
    <row r="2060">
      <c r="A2060" s="11" t="n"/>
      <c r="B2060" s="21" t="n"/>
    </row>
    <row r="2061">
      <c r="A2061" s="11" t="n"/>
      <c r="B2061" s="21" t="n"/>
    </row>
    <row r="2062">
      <c r="A2062" s="11" t="n"/>
      <c r="B2062" s="21" t="n"/>
    </row>
    <row r="2063">
      <c r="A2063" s="11" t="n"/>
      <c r="B2063" s="21" t="n"/>
    </row>
    <row r="2064">
      <c r="A2064" s="11" t="n"/>
      <c r="B2064" s="21" t="n"/>
    </row>
    <row r="2065">
      <c r="A2065" s="11" t="n"/>
      <c r="B2065" s="21" t="n"/>
    </row>
    <row r="2066">
      <c r="A2066" s="11" t="n"/>
      <c r="B2066" s="21" t="n"/>
    </row>
    <row r="2067">
      <c r="A2067" s="11" t="n"/>
      <c r="B2067" s="21" t="n"/>
    </row>
    <row r="2068">
      <c r="A2068" s="11" t="n"/>
      <c r="B2068" s="21" t="n"/>
    </row>
    <row r="2069">
      <c r="A2069" s="11" t="n"/>
      <c r="B2069" s="21" t="n"/>
    </row>
    <row r="2070">
      <c r="A2070" s="11" t="n"/>
      <c r="B2070" s="21" t="n"/>
    </row>
    <row r="2071">
      <c r="A2071" s="11" t="n"/>
      <c r="B2071" s="21" t="n"/>
    </row>
    <row r="2072">
      <c r="A2072" s="11" t="n"/>
      <c r="B2072" s="21" t="n"/>
    </row>
    <row r="2073">
      <c r="A2073" s="11" t="n"/>
      <c r="B2073" s="21" t="n"/>
    </row>
    <row r="2074">
      <c r="A2074" s="11" t="n"/>
      <c r="B2074" s="21" t="n"/>
    </row>
    <row r="2075">
      <c r="A2075" s="11" t="n"/>
      <c r="B2075" s="21" t="n"/>
    </row>
    <row r="2076">
      <c r="A2076" s="11" t="n"/>
      <c r="B2076" s="21" t="n"/>
    </row>
    <row r="2077">
      <c r="A2077" s="11" t="n"/>
      <c r="B2077" s="21" t="n"/>
    </row>
    <row r="2078">
      <c r="A2078" s="11" t="n"/>
      <c r="B2078" s="21" t="n"/>
    </row>
    <row r="2079">
      <c r="A2079" s="11" t="n"/>
      <c r="B2079" s="21" t="n"/>
    </row>
    <row r="2080">
      <c r="A2080" s="11" t="n"/>
      <c r="B2080" s="21" t="n"/>
    </row>
    <row r="2081">
      <c r="A2081" s="11" t="n"/>
      <c r="B2081" s="21" t="n"/>
    </row>
    <row r="2082">
      <c r="A2082" s="11" t="n"/>
      <c r="B2082" s="21" t="n"/>
    </row>
    <row r="2083">
      <c r="A2083" s="11" t="n"/>
      <c r="B2083" s="21" t="n"/>
    </row>
    <row r="2084">
      <c r="A2084" s="11" t="n"/>
      <c r="B2084" s="21" t="n"/>
    </row>
    <row r="2085">
      <c r="A2085" s="11" t="n"/>
      <c r="B2085" s="21" t="n"/>
    </row>
    <row r="2086">
      <c r="A2086" s="11" t="n"/>
      <c r="B2086" s="21" t="n"/>
    </row>
    <row r="2087">
      <c r="A2087" s="11" t="n"/>
      <c r="B2087" s="21" t="n"/>
    </row>
    <row r="2088">
      <c r="A2088" s="11" t="n"/>
      <c r="B2088" s="21" t="n"/>
    </row>
    <row r="2089">
      <c r="A2089" s="11" t="n"/>
      <c r="B2089" s="21" t="n"/>
    </row>
    <row r="2090">
      <c r="A2090" s="11" t="n"/>
      <c r="B2090" s="21" t="n"/>
    </row>
    <row r="2091">
      <c r="A2091" s="11" t="n"/>
      <c r="B2091" s="21" t="n"/>
    </row>
    <row r="2092">
      <c r="A2092" s="11" t="n"/>
      <c r="B2092" s="21" t="n"/>
    </row>
    <row r="2093">
      <c r="A2093" s="11" t="n"/>
      <c r="B2093" s="21" t="n"/>
    </row>
    <row r="2094">
      <c r="A2094" s="11" t="n"/>
      <c r="B2094" s="21" t="n"/>
    </row>
    <row r="2095">
      <c r="A2095" s="11" t="n"/>
      <c r="B2095" s="21" t="n"/>
    </row>
    <row r="2096">
      <c r="A2096" s="11" t="n"/>
      <c r="B2096" s="21" t="n"/>
    </row>
    <row r="2097">
      <c r="A2097" s="11" t="n"/>
      <c r="B2097" s="21" t="n"/>
    </row>
    <row r="2098">
      <c r="A2098" s="11" t="n"/>
      <c r="B2098" s="21" t="n"/>
    </row>
    <row r="2099">
      <c r="A2099" s="11" t="n"/>
      <c r="B2099" s="21" t="n"/>
    </row>
    <row r="2100">
      <c r="A2100" s="11" t="n"/>
      <c r="B2100" s="21" t="n"/>
    </row>
    <row r="2101">
      <c r="A2101" s="11" t="n"/>
      <c r="B2101" s="21" t="n"/>
    </row>
    <row r="2102">
      <c r="A2102" s="11" t="n"/>
      <c r="B2102" s="21" t="n"/>
    </row>
    <row r="2103">
      <c r="A2103" s="11" t="n"/>
      <c r="B2103" s="21" t="n"/>
    </row>
    <row r="2104">
      <c r="A2104" s="11" t="n"/>
      <c r="B2104" s="21" t="n"/>
    </row>
    <row r="2105">
      <c r="A2105" s="11" t="n"/>
      <c r="B2105" s="21" t="n"/>
    </row>
    <row r="2106">
      <c r="A2106" s="11" t="n"/>
      <c r="B2106" s="21" t="n"/>
    </row>
    <row r="2107">
      <c r="A2107" s="11" t="n"/>
      <c r="B2107" s="21" t="n"/>
    </row>
    <row r="2108">
      <c r="A2108" s="11" t="n"/>
      <c r="B2108" s="21" t="n"/>
    </row>
    <row r="2109">
      <c r="A2109" s="11" t="n"/>
      <c r="B2109" s="21" t="n"/>
    </row>
    <row r="2110">
      <c r="A2110" s="11" t="n"/>
      <c r="B2110" s="21" t="n"/>
    </row>
    <row r="2111">
      <c r="A2111" s="11" t="n"/>
      <c r="B2111" s="21" t="n"/>
    </row>
    <row r="2112">
      <c r="A2112" s="11" t="n"/>
      <c r="B2112" s="21" t="n"/>
    </row>
    <row r="2113">
      <c r="A2113" s="11" t="n"/>
      <c r="B2113" s="21" t="n"/>
    </row>
    <row r="2114">
      <c r="A2114" s="11" t="n"/>
      <c r="B2114" s="21" t="n"/>
    </row>
    <row r="2115">
      <c r="A2115" s="11" t="n"/>
      <c r="B2115" s="21" t="n"/>
    </row>
    <row r="2116">
      <c r="A2116" s="11" t="n"/>
      <c r="B2116" s="21" t="n"/>
    </row>
    <row r="2117">
      <c r="A2117" s="11" t="n"/>
      <c r="B2117" s="21" t="n"/>
    </row>
    <row r="2118">
      <c r="A2118" s="11" t="n"/>
      <c r="B2118" s="21" t="n"/>
    </row>
    <row r="2119">
      <c r="A2119" s="11" t="n"/>
      <c r="B2119" s="21" t="n"/>
    </row>
    <row r="2120">
      <c r="A2120" s="11" t="n"/>
      <c r="B2120" s="21" t="n"/>
    </row>
    <row r="2121">
      <c r="A2121" s="11" t="n"/>
      <c r="B2121" s="21" t="n"/>
    </row>
    <row r="2122">
      <c r="A2122" s="11" t="n"/>
      <c r="B2122" s="21" t="n"/>
    </row>
    <row r="2123">
      <c r="A2123" s="11" t="n"/>
      <c r="B2123" s="21" t="n"/>
    </row>
    <row r="2124">
      <c r="A2124" s="11" t="n"/>
      <c r="B2124" s="21" t="n"/>
    </row>
    <row r="2125">
      <c r="A2125" s="11" t="n"/>
      <c r="B2125" s="21" t="n"/>
    </row>
    <row r="2126">
      <c r="A2126" s="11" t="n"/>
      <c r="B2126" s="21" t="n"/>
    </row>
    <row r="2127">
      <c r="A2127" s="11" t="n"/>
      <c r="B2127" s="21" t="n"/>
    </row>
    <row r="2128">
      <c r="A2128" s="11" t="n"/>
      <c r="B2128" s="21" t="n"/>
    </row>
    <row r="2129">
      <c r="A2129" s="11" t="n"/>
      <c r="B2129" s="21" t="n"/>
    </row>
    <row r="2130">
      <c r="A2130" s="11" t="n"/>
      <c r="B2130" s="21" t="n"/>
    </row>
    <row r="2131">
      <c r="A2131" s="11" t="n"/>
      <c r="B2131" s="21" t="n"/>
    </row>
    <row r="2132">
      <c r="A2132" s="11" t="n"/>
      <c r="B2132" s="21" t="n"/>
    </row>
    <row r="2133">
      <c r="A2133" s="11" t="n"/>
      <c r="B2133" s="21" t="n"/>
    </row>
    <row r="2134">
      <c r="A2134" s="11" t="n"/>
      <c r="B2134" s="21" t="n"/>
    </row>
    <row r="2135">
      <c r="A2135" s="11" t="n"/>
      <c r="B2135" s="21" t="n"/>
    </row>
    <row r="2136">
      <c r="A2136" s="11" t="n"/>
      <c r="B2136" s="21" t="n"/>
    </row>
    <row r="2137">
      <c r="A2137" s="11" t="n"/>
      <c r="B2137" s="21" t="n"/>
    </row>
    <row r="2138">
      <c r="A2138" s="11" t="n"/>
      <c r="B2138" s="21" t="n"/>
    </row>
    <row r="2139">
      <c r="A2139" s="11" t="n"/>
      <c r="B2139" s="21" t="n"/>
    </row>
    <row r="2140">
      <c r="A2140" s="11" t="n"/>
      <c r="B2140" s="21" t="n"/>
    </row>
    <row r="2141">
      <c r="A2141" s="11" t="n"/>
      <c r="B2141" s="21" t="n"/>
    </row>
    <row r="2142">
      <c r="A2142" s="11" t="n"/>
      <c r="B2142" s="21" t="n"/>
    </row>
    <row r="2143">
      <c r="A2143" s="11" t="n"/>
      <c r="B2143" s="21" t="n"/>
    </row>
    <row r="2144">
      <c r="A2144" s="11" t="n"/>
      <c r="B2144" s="21" t="n"/>
    </row>
    <row r="2145">
      <c r="A2145" s="11" t="n"/>
      <c r="B2145" s="21" t="n"/>
    </row>
    <row r="2146">
      <c r="A2146" s="11" t="n"/>
      <c r="B2146" s="21" t="n"/>
    </row>
    <row r="2147">
      <c r="A2147" s="11" t="n"/>
      <c r="B2147" s="21" t="n"/>
    </row>
    <row r="2148">
      <c r="A2148" s="11" t="n"/>
      <c r="B2148" s="21" t="n"/>
    </row>
    <row r="2149">
      <c r="A2149" s="11" t="n"/>
      <c r="B2149" s="21" t="n"/>
    </row>
    <row r="2150">
      <c r="A2150" s="11" t="n"/>
      <c r="B2150" s="21" t="n"/>
    </row>
    <row r="2151">
      <c r="A2151" s="11" t="n"/>
      <c r="B2151" s="21" t="n"/>
    </row>
    <row r="2152">
      <c r="A2152" s="11" t="n"/>
      <c r="B2152" s="21" t="n"/>
    </row>
    <row r="2153">
      <c r="A2153" s="11" t="n"/>
      <c r="B2153" s="21" t="n"/>
    </row>
    <row r="2154">
      <c r="A2154" s="11" t="n"/>
      <c r="B2154" s="21" t="n"/>
    </row>
    <row r="2155">
      <c r="A2155" s="11" t="n"/>
      <c r="B2155" s="21" t="n"/>
    </row>
    <row r="2156">
      <c r="A2156" s="11" t="n"/>
      <c r="B2156" s="21" t="n"/>
    </row>
    <row r="2157">
      <c r="A2157" s="11" t="n"/>
      <c r="B2157" s="21" t="n"/>
    </row>
    <row r="2158">
      <c r="A2158" s="11" t="n"/>
      <c r="B2158" s="21" t="n"/>
    </row>
    <row r="2159">
      <c r="A2159" s="11" t="n"/>
      <c r="B2159" s="21" t="n"/>
    </row>
    <row r="2160">
      <c r="A2160" s="11" t="n"/>
      <c r="B2160" s="21" t="n"/>
    </row>
    <row r="2161">
      <c r="A2161" s="11" t="n"/>
      <c r="B2161" s="21" t="n"/>
    </row>
    <row r="2162">
      <c r="A2162" s="11" t="n"/>
      <c r="B2162" s="21" t="n"/>
    </row>
    <row r="2163">
      <c r="A2163" s="11" t="n"/>
      <c r="B2163" s="21" t="n"/>
    </row>
    <row r="2164">
      <c r="A2164" s="11" t="n"/>
      <c r="B2164" s="21" t="n"/>
    </row>
    <row r="2165">
      <c r="A2165" s="11" t="n"/>
      <c r="B2165" s="21" t="n"/>
    </row>
    <row r="2166">
      <c r="A2166" s="11" t="n"/>
      <c r="B2166" s="21" t="n"/>
    </row>
    <row r="2167">
      <c r="A2167" s="11" t="n"/>
      <c r="B2167" s="21" t="n"/>
    </row>
    <row r="2168">
      <c r="A2168" s="11" t="n"/>
      <c r="B2168" s="21" t="n"/>
    </row>
    <row r="2169">
      <c r="A2169" s="11" t="n"/>
      <c r="B2169" s="21" t="n"/>
    </row>
    <row r="2170">
      <c r="A2170" s="11" t="n"/>
      <c r="B2170" s="21" t="n"/>
    </row>
    <row r="2171">
      <c r="A2171" s="11" t="n"/>
      <c r="B2171" s="21" t="n"/>
    </row>
    <row r="2172">
      <c r="A2172" s="11" t="n"/>
      <c r="B2172" s="21" t="n"/>
    </row>
    <row r="2173">
      <c r="A2173" s="11" t="n"/>
      <c r="B2173" s="21" t="n"/>
    </row>
    <row r="2174">
      <c r="A2174" s="11" t="n"/>
      <c r="B2174" s="21" t="n"/>
    </row>
    <row r="2175">
      <c r="A2175" s="11" t="n"/>
      <c r="B2175" s="21" t="n"/>
    </row>
    <row r="2176">
      <c r="A2176" s="11" t="n"/>
      <c r="B2176" s="21" t="n"/>
    </row>
    <row r="2177">
      <c r="A2177" s="11" t="n"/>
      <c r="B2177" s="21" t="n"/>
    </row>
    <row r="2178">
      <c r="A2178" s="11" t="n"/>
      <c r="B2178" s="21" t="n"/>
    </row>
    <row r="2179">
      <c r="A2179" s="11" t="n"/>
      <c r="B2179" s="21" t="n"/>
    </row>
    <row r="2180">
      <c r="A2180" s="11" t="n"/>
      <c r="B2180" s="21" t="n"/>
    </row>
    <row r="2181">
      <c r="A2181" s="11" t="n"/>
      <c r="B2181" s="21" t="n"/>
    </row>
    <row r="2182">
      <c r="A2182" s="11" t="n"/>
      <c r="B2182" s="21" t="n"/>
    </row>
    <row r="2183">
      <c r="A2183" s="11" t="n"/>
      <c r="B2183" s="21" t="n"/>
    </row>
    <row r="2184">
      <c r="A2184" s="11" t="n"/>
      <c r="B2184" s="21" t="n"/>
    </row>
    <row r="2185">
      <c r="A2185" s="11" t="n"/>
      <c r="B2185" s="21" t="n"/>
    </row>
    <row r="2186">
      <c r="A2186" s="11" t="n"/>
      <c r="B2186" s="21" t="n"/>
    </row>
    <row r="2187">
      <c r="A2187" s="11" t="n"/>
      <c r="B2187" s="21" t="n"/>
    </row>
    <row r="2188">
      <c r="A2188" s="11" t="n"/>
      <c r="B2188" s="21" t="n"/>
    </row>
    <row r="2189">
      <c r="A2189" s="11" t="n"/>
      <c r="B2189" s="21" t="n"/>
    </row>
    <row r="2190">
      <c r="A2190" s="11" t="n"/>
      <c r="B2190" s="21" t="n"/>
    </row>
    <row r="2191">
      <c r="A2191" s="11" t="n"/>
      <c r="B2191" s="21" t="n"/>
    </row>
    <row r="2192">
      <c r="A2192" s="11" t="n"/>
      <c r="B2192" s="21" t="n"/>
    </row>
    <row r="2193">
      <c r="A2193" s="11" t="n"/>
      <c r="B2193" s="21" t="n"/>
    </row>
    <row r="2194">
      <c r="A2194" s="11" t="n"/>
      <c r="B2194" s="21" t="n"/>
    </row>
    <row r="2195">
      <c r="A2195" s="11" t="n"/>
      <c r="B2195" s="21" t="n"/>
    </row>
    <row r="2196">
      <c r="A2196" s="11" t="n"/>
      <c r="B2196" s="21" t="n"/>
    </row>
    <row r="2197">
      <c r="A2197" s="11" t="n"/>
      <c r="B2197" s="21" t="n"/>
    </row>
    <row r="2198">
      <c r="A2198" s="11" t="n"/>
      <c r="B2198" s="21" t="n"/>
    </row>
    <row r="2199">
      <c r="A2199" s="11" t="n"/>
      <c r="B2199" s="21" t="n"/>
    </row>
    <row r="2200">
      <c r="A2200" s="11" t="n"/>
      <c r="B2200" s="21" t="n"/>
    </row>
    <row r="2201">
      <c r="A2201" s="11" t="n"/>
      <c r="B2201" s="21" t="n"/>
    </row>
    <row r="2202">
      <c r="A2202" s="11" t="n"/>
      <c r="B2202" s="21" t="n"/>
    </row>
    <row r="2203">
      <c r="A2203" s="11" t="n"/>
      <c r="B2203" s="21" t="n"/>
    </row>
    <row r="2204">
      <c r="A2204" s="11" t="n"/>
      <c r="B2204" s="21" t="n"/>
    </row>
    <row r="2205">
      <c r="A2205" s="11" t="n"/>
      <c r="B2205" s="21" t="n"/>
    </row>
    <row r="2206">
      <c r="A2206" s="11" t="n"/>
      <c r="B2206" s="21" t="n"/>
    </row>
    <row r="2207">
      <c r="A2207" s="11" t="n"/>
      <c r="B2207" s="21" t="n"/>
    </row>
    <row r="2208">
      <c r="A2208" s="11" t="n"/>
      <c r="B2208" s="21" t="n"/>
    </row>
    <row r="2209">
      <c r="A2209" s="11" t="n"/>
      <c r="B2209" s="21" t="n"/>
    </row>
    <row r="2210">
      <c r="A2210" s="11" t="n"/>
      <c r="B2210" s="21" t="n"/>
    </row>
    <row r="2211">
      <c r="A2211" s="11" t="n"/>
      <c r="B2211" s="21" t="n"/>
    </row>
    <row r="2212">
      <c r="A2212" s="11" t="n"/>
      <c r="B2212" s="21" t="n"/>
    </row>
    <row r="2213">
      <c r="A2213" s="11" t="n"/>
      <c r="B2213" s="21" t="n"/>
    </row>
    <row r="2214">
      <c r="A2214" s="11" t="n"/>
      <c r="B2214" s="21" t="n"/>
    </row>
    <row r="2215">
      <c r="A2215" s="11" t="n"/>
      <c r="B2215" s="21" t="n"/>
    </row>
    <row r="2216">
      <c r="A2216" s="11" t="n"/>
      <c r="B2216" s="21" t="n"/>
    </row>
    <row r="2217">
      <c r="A2217" s="11" t="n"/>
      <c r="B2217" s="21" t="n"/>
    </row>
    <row r="2218">
      <c r="A2218" s="11" t="n"/>
      <c r="B2218" s="21" t="n"/>
    </row>
    <row r="2219">
      <c r="A2219" s="11" t="n"/>
      <c r="B2219" s="21" t="n"/>
    </row>
    <row r="2220">
      <c r="A2220" s="11" t="n"/>
      <c r="B2220" s="21" t="n"/>
    </row>
    <row r="2221">
      <c r="A2221" s="11" t="n"/>
      <c r="B2221" s="21" t="n"/>
    </row>
    <row r="2222">
      <c r="A2222" s="11" t="n"/>
      <c r="B2222" s="21" t="n"/>
    </row>
    <row r="2223">
      <c r="A2223" s="11" t="n"/>
      <c r="B2223" s="21" t="n"/>
    </row>
    <row r="2224">
      <c r="A2224" s="11" t="n"/>
      <c r="B2224" s="21" t="n"/>
    </row>
    <row r="2225">
      <c r="A2225" s="11" t="n"/>
      <c r="B2225" s="21" t="n"/>
    </row>
    <row r="2226">
      <c r="A2226" s="11" t="n"/>
      <c r="B2226" s="21" t="n"/>
    </row>
    <row r="2227">
      <c r="A2227" s="11" t="n"/>
      <c r="B2227" s="21" t="n"/>
    </row>
    <row r="2228">
      <c r="A2228" s="11" t="n"/>
      <c r="B2228" s="21" t="n"/>
    </row>
    <row r="2229">
      <c r="A2229" s="11" t="n"/>
      <c r="B2229" s="21" t="n"/>
    </row>
    <row r="2230">
      <c r="A2230" s="11" t="n"/>
      <c r="B2230" s="21" t="n"/>
    </row>
    <row r="2231">
      <c r="A2231" s="11" t="n"/>
      <c r="B2231" s="21" t="n"/>
    </row>
    <row r="2232">
      <c r="A2232" s="11" t="n"/>
      <c r="B2232" s="21" t="n"/>
    </row>
    <row r="2233">
      <c r="A2233" s="11" t="n"/>
      <c r="B2233" s="21" t="n"/>
    </row>
    <row r="2234">
      <c r="A2234" s="11" t="n"/>
      <c r="B2234" s="21" t="n"/>
    </row>
    <row r="2235">
      <c r="A2235" s="11" t="n"/>
      <c r="B2235" s="21" t="n"/>
    </row>
    <row r="2236">
      <c r="A2236" s="11" t="n"/>
      <c r="B2236" s="21" t="n"/>
    </row>
    <row r="2237">
      <c r="A2237" s="11" t="n"/>
      <c r="B2237" s="21" t="n"/>
    </row>
    <row r="2238">
      <c r="A2238" s="11" t="n"/>
      <c r="B2238" s="21" t="n"/>
    </row>
    <row r="2239">
      <c r="A2239" s="11" t="n"/>
      <c r="B2239" s="21" t="n"/>
    </row>
    <row r="2240">
      <c r="A2240" s="11" t="n"/>
      <c r="B2240" s="21" t="n"/>
    </row>
    <row r="2241">
      <c r="A2241" s="11" t="n"/>
      <c r="B2241" s="21" t="n"/>
    </row>
    <row r="2242">
      <c r="A2242" s="11" t="n"/>
      <c r="B2242" s="21" t="n"/>
    </row>
    <row r="2243">
      <c r="A2243" s="11" t="n"/>
      <c r="B2243" s="21" t="n"/>
    </row>
    <row r="2244">
      <c r="A2244" s="11" t="n"/>
      <c r="B2244" s="21" t="n"/>
    </row>
    <row r="2245">
      <c r="A2245" s="11" t="n"/>
      <c r="B2245" s="21" t="n"/>
    </row>
    <row r="2246">
      <c r="A2246" s="11" t="n"/>
      <c r="B2246" s="21" t="n"/>
    </row>
    <row r="2247">
      <c r="A2247" s="11" t="n"/>
      <c r="B2247" s="21" t="n"/>
    </row>
    <row r="2248">
      <c r="A2248" s="11" t="n"/>
      <c r="B2248" s="21" t="n"/>
    </row>
    <row r="2249">
      <c r="A2249" s="11" t="n"/>
      <c r="B2249" s="21" t="n"/>
    </row>
    <row r="2250">
      <c r="A2250" s="11" t="n"/>
      <c r="B2250" s="21" t="n"/>
    </row>
    <row r="2251">
      <c r="A2251" s="11" t="n"/>
      <c r="B2251" s="21" t="n"/>
    </row>
    <row r="2252">
      <c r="A2252" s="11" t="n"/>
      <c r="B2252" s="21" t="n"/>
    </row>
    <row r="2253">
      <c r="A2253" s="11" t="n"/>
      <c r="B2253" s="21" t="n"/>
    </row>
    <row r="2254">
      <c r="A2254" s="11" t="n"/>
      <c r="B2254" s="21" t="n"/>
    </row>
    <row r="2255">
      <c r="A2255" s="11" t="n"/>
      <c r="B2255" s="21" t="n"/>
    </row>
    <row r="2256">
      <c r="A2256" s="11" t="n"/>
      <c r="B2256" s="21" t="n"/>
    </row>
    <row r="2257">
      <c r="A2257" s="11" t="n"/>
      <c r="B2257" s="21" t="n"/>
    </row>
    <row r="2258">
      <c r="A2258" s="11" t="n"/>
      <c r="B2258" s="21" t="n"/>
    </row>
    <row r="2259">
      <c r="A2259" s="11" t="n"/>
      <c r="B2259" s="21" t="n"/>
    </row>
    <row r="2260">
      <c r="A2260" s="11" t="n"/>
      <c r="B2260" s="21" t="n"/>
    </row>
    <row r="2261">
      <c r="A2261" s="11" t="n"/>
      <c r="B2261" s="21" t="n"/>
    </row>
    <row r="2262">
      <c r="A2262" s="11" t="n"/>
      <c r="B2262" s="21" t="n"/>
    </row>
    <row r="2263">
      <c r="A2263" s="11" t="n"/>
      <c r="B2263" s="21" t="n"/>
    </row>
    <row r="2264">
      <c r="A2264" s="11" t="n"/>
      <c r="B2264" s="21" t="n"/>
    </row>
    <row r="2265">
      <c r="A2265" s="11" t="n"/>
      <c r="B2265" s="21" t="n"/>
    </row>
    <row r="2266">
      <c r="A2266" s="11" t="n"/>
      <c r="B2266" s="21" t="n"/>
    </row>
    <row r="2267">
      <c r="A2267" s="11" t="n"/>
      <c r="B2267" s="21" t="n"/>
    </row>
    <row r="2268">
      <c r="A2268" s="11" t="n"/>
      <c r="B2268" s="21" t="n"/>
    </row>
    <row r="2269">
      <c r="A2269" s="11" t="n"/>
      <c r="B2269" s="21" t="n"/>
    </row>
    <row r="2270">
      <c r="A2270" s="11" t="n"/>
      <c r="B2270" s="21" t="n"/>
    </row>
    <row r="2271">
      <c r="A2271" s="11" t="n"/>
      <c r="B2271" s="21" t="n"/>
    </row>
    <row r="2272">
      <c r="A2272" s="11" t="n"/>
      <c r="B2272" s="21" t="n"/>
    </row>
    <row r="2273">
      <c r="A2273" s="11" t="n"/>
      <c r="B2273" s="21" t="n"/>
    </row>
    <row r="2274">
      <c r="A2274" s="11" t="n"/>
      <c r="B2274" s="21" t="n"/>
    </row>
    <row r="2275">
      <c r="A2275" s="11" t="n"/>
      <c r="B2275" s="21" t="n"/>
    </row>
    <row r="2276">
      <c r="A2276" s="11" t="n"/>
      <c r="B2276" s="21" t="n"/>
    </row>
    <row r="2277">
      <c r="A2277" s="11" t="n"/>
      <c r="B2277" s="21" t="n"/>
    </row>
    <row r="2278">
      <c r="A2278" s="11" t="n"/>
      <c r="B2278" s="21" t="n"/>
    </row>
    <row r="2279">
      <c r="A2279" s="11" t="n"/>
      <c r="B2279" s="21" t="n"/>
    </row>
    <row r="2280">
      <c r="A2280" s="11" t="n"/>
      <c r="B2280" s="21" t="n"/>
    </row>
    <row r="2281">
      <c r="A2281" s="11" t="n"/>
      <c r="B2281" s="21" t="n"/>
    </row>
    <row r="2282">
      <c r="A2282" s="11" t="n"/>
      <c r="B2282" s="21" t="n"/>
    </row>
    <row r="2283">
      <c r="A2283" s="11" t="n"/>
      <c r="B2283" s="21" t="n"/>
    </row>
    <row r="2284">
      <c r="A2284" s="11" t="n"/>
      <c r="B2284" s="21" t="n"/>
    </row>
    <row r="2285">
      <c r="A2285" s="11" t="n"/>
      <c r="B2285" s="21" t="n"/>
    </row>
    <row r="2286">
      <c r="A2286" s="11" t="n"/>
      <c r="B2286" s="21" t="n"/>
    </row>
    <row r="2287">
      <c r="A2287" s="11" t="n"/>
      <c r="B2287" s="21" t="n"/>
    </row>
    <row r="2288">
      <c r="A2288" s="11" t="n"/>
      <c r="B2288" s="21" t="n"/>
    </row>
    <row r="2289">
      <c r="A2289" s="11" t="n"/>
      <c r="B2289" s="21" t="n"/>
    </row>
    <row r="2290">
      <c r="A2290" s="11" t="n"/>
      <c r="B2290" s="21" t="n"/>
    </row>
    <row r="2291">
      <c r="A2291" s="11" t="n"/>
      <c r="B2291" s="21" t="n"/>
    </row>
    <row r="2292">
      <c r="A2292" s="11" t="n"/>
      <c r="B2292" s="21" t="n"/>
    </row>
    <row r="2293">
      <c r="A2293" s="11" t="n"/>
      <c r="B2293" s="21" t="n"/>
    </row>
    <row r="2294">
      <c r="A2294" s="11" t="n"/>
      <c r="B2294" s="21" t="n"/>
    </row>
    <row r="2295">
      <c r="A2295" s="11" t="n"/>
      <c r="B2295" s="21" t="n"/>
    </row>
    <row r="2296">
      <c r="A2296" s="11" t="n"/>
      <c r="B2296" s="21" t="n"/>
    </row>
    <row r="2297">
      <c r="A2297" s="11" t="n"/>
      <c r="B2297" s="21" t="n"/>
    </row>
    <row r="2298">
      <c r="A2298" s="11" t="n"/>
      <c r="B2298" s="21" t="n"/>
    </row>
    <row r="2299">
      <c r="A2299" s="11" t="n"/>
      <c r="B2299" s="21" t="n"/>
    </row>
    <row r="2300">
      <c r="A2300" s="11" t="n"/>
      <c r="B2300" s="21" t="n"/>
    </row>
    <row r="2301">
      <c r="A2301" s="11" t="n"/>
      <c r="B2301" s="21" t="n"/>
    </row>
    <row r="2302">
      <c r="A2302" s="11" t="n"/>
      <c r="B2302" s="21" t="n"/>
    </row>
    <row r="2303">
      <c r="A2303" s="11" t="n"/>
      <c r="B2303" s="21" t="n"/>
    </row>
    <row r="2304">
      <c r="A2304" s="11" t="n"/>
      <c r="B2304" s="21" t="n"/>
    </row>
    <row r="2305">
      <c r="A2305" s="11" t="n"/>
      <c r="B2305" s="21" t="n"/>
    </row>
    <row r="2306">
      <c r="A2306" s="11" t="n"/>
      <c r="B2306" s="21" t="n"/>
    </row>
    <row r="2307">
      <c r="A2307" s="11" t="n"/>
      <c r="B2307" s="21" t="n"/>
    </row>
    <row r="2308">
      <c r="A2308" s="11" t="n"/>
      <c r="B2308" s="21" t="n"/>
    </row>
    <row r="2309">
      <c r="A2309" s="11" t="n"/>
      <c r="B2309" s="21" t="n"/>
    </row>
    <row r="2310">
      <c r="A2310" s="11" t="n"/>
      <c r="B2310" s="21" t="n"/>
    </row>
    <row r="2311">
      <c r="A2311" s="11" t="n"/>
      <c r="B2311" s="21" t="n"/>
    </row>
    <row r="2312">
      <c r="A2312" s="11" t="n"/>
      <c r="B2312" s="21" t="n"/>
    </row>
    <row r="2313">
      <c r="A2313" s="11" t="n"/>
      <c r="B2313" s="21" t="n"/>
    </row>
    <row r="2314">
      <c r="A2314" s="11" t="n"/>
      <c r="B2314" s="21" t="n"/>
    </row>
    <row r="2315">
      <c r="A2315" s="11" t="n"/>
      <c r="B2315" s="21" t="n"/>
    </row>
    <row r="2316">
      <c r="A2316" s="11" t="n"/>
      <c r="B2316" s="21" t="n"/>
    </row>
    <row r="2317">
      <c r="A2317" s="11" t="n"/>
      <c r="B2317" s="21" t="n"/>
    </row>
    <row r="2318">
      <c r="A2318" s="11" t="n"/>
      <c r="B2318" s="21" t="n"/>
    </row>
    <row r="2319">
      <c r="A2319" s="11" t="n"/>
      <c r="B2319" s="21" t="n"/>
    </row>
    <row r="2320">
      <c r="A2320" s="11" t="n"/>
      <c r="B2320" s="21" t="n"/>
    </row>
    <row r="2321">
      <c r="A2321" s="11" t="n"/>
      <c r="B2321" s="21" t="n"/>
    </row>
    <row r="2322">
      <c r="A2322" s="11" t="n"/>
      <c r="B2322" s="21" t="n"/>
    </row>
    <row r="2323">
      <c r="A2323" s="11" t="n"/>
      <c r="B2323" s="21" t="n"/>
    </row>
    <row r="2324">
      <c r="A2324" s="11" t="n"/>
      <c r="B2324" s="21" t="n"/>
    </row>
    <row r="2325">
      <c r="A2325" s="11" t="n"/>
      <c r="B2325" s="21" t="n"/>
    </row>
    <row r="2326">
      <c r="A2326" s="11" t="n"/>
      <c r="B2326" s="21" t="n"/>
    </row>
    <row r="2327">
      <c r="A2327" s="11" t="n"/>
      <c r="B2327" s="21" t="n"/>
    </row>
    <row r="2328">
      <c r="A2328" s="11" t="n"/>
      <c r="B2328" s="21" t="n"/>
    </row>
    <row r="2329">
      <c r="A2329" s="11" t="n"/>
      <c r="B2329" s="21" t="n"/>
    </row>
    <row r="2330">
      <c r="A2330" s="11" t="n"/>
      <c r="B2330" s="21" t="n"/>
    </row>
    <row r="2331">
      <c r="A2331" s="11" t="n"/>
      <c r="B2331" s="21" t="n"/>
    </row>
    <row r="2332">
      <c r="A2332" s="11" t="n"/>
      <c r="B2332" s="21" t="n"/>
    </row>
    <row r="2333">
      <c r="A2333" s="11" t="n"/>
      <c r="B2333" s="21" t="n"/>
    </row>
    <row r="2334">
      <c r="A2334" s="11" t="n"/>
      <c r="B2334" s="21" t="n"/>
    </row>
    <row r="2335">
      <c r="A2335" s="11" t="n"/>
      <c r="B2335" s="21" t="n"/>
    </row>
    <row r="2336">
      <c r="A2336" s="11" t="n"/>
      <c r="B2336" s="21" t="n"/>
    </row>
    <row r="2337">
      <c r="A2337" s="11" t="n"/>
      <c r="B2337" s="21" t="n"/>
    </row>
    <row r="2338">
      <c r="A2338" s="11" t="n"/>
      <c r="B2338" s="21" t="n"/>
    </row>
    <row r="2339">
      <c r="A2339" s="11" t="n"/>
      <c r="B2339" s="21" t="n"/>
    </row>
    <row r="2340">
      <c r="A2340" s="11" t="n"/>
      <c r="B2340" s="21" t="n"/>
    </row>
    <row r="2341">
      <c r="A2341" s="11" t="n"/>
      <c r="B2341" s="21" t="n"/>
    </row>
    <row r="2342">
      <c r="A2342" s="11" t="n"/>
      <c r="B2342" s="21" t="n"/>
    </row>
    <row r="2343">
      <c r="A2343" s="11" t="n"/>
      <c r="B2343" s="21" t="n"/>
    </row>
    <row r="2344">
      <c r="A2344" s="11" t="n"/>
      <c r="B2344" s="21" t="n"/>
    </row>
    <row r="2345">
      <c r="A2345" s="11" t="n"/>
      <c r="B2345" s="21" t="n"/>
    </row>
    <row r="2346">
      <c r="A2346" s="11" t="n"/>
      <c r="B2346" s="21" t="n"/>
    </row>
    <row r="2347">
      <c r="A2347" s="11" t="n"/>
      <c r="B2347" s="21" t="n"/>
    </row>
    <row r="2348">
      <c r="A2348" s="11" t="n"/>
      <c r="B2348" s="21" t="n"/>
    </row>
    <row r="2349">
      <c r="A2349" s="11" t="n"/>
      <c r="B2349" s="21" t="n"/>
    </row>
    <row r="2350">
      <c r="A2350" s="11" t="n"/>
      <c r="B2350" s="21" t="n"/>
    </row>
    <row r="2351">
      <c r="A2351" s="11" t="n"/>
      <c r="B2351" s="21" t="n"/>
    </row>
    <row r="2352">
      <c r="A2352" s="11" t="n"/>
      <c r="B2352" s="21" t="n"/>
    </row>
    <row r="2353">
      <c r="A2353" s="11" t="n"/>
      <c r="B2353" s="21" t="n"/>
    </row>
    <row r="2354">
      <c r="A2354" s="11" t="n"/>
      <c r="B2354" s="21" t="n"/>
    </row>
    <row r="2355">
      <c r="A2355" s="11" t="n"/>
      <c r="B2355" s="21" t="n"/>
    </row>
    <row r="2356">
      <c r="A2356" s="11" t="n"/>
      <c r="B2356" s="21" t="n"/>
    </row>
    <row r="2357">
      <c r="A2357" s="11" t="n"/>
      <c r="B2357" s="21" t="n"/>
    </row>
    <row r="2358">
      <c r="A2358" s="11" t="n"/>
      <c r="B2358" s="21" t="n"/>
    </row>
    <row r="2359">
      <c r="A2359" s="11" t="n"/>
      <c r="B2359" s="21" t="n"/>
    </row>
    <row r="2360">
      <c r="A2360" s="11" t="n"/>
      <c r="B2360" s="21" t="n"/>
    </row>
    <row r="2361">
      <c r="A2361" s="11" t="n"/>
      <c r="B2361" s="21" t="n"/>
    </row>
    <row r="2362">
      <c r="A2362" s="11" t="n"/>
      <c r="B2362" s="21" t="n"/>
    </row>
    <row r="2363">
      <c r="A2363" s="11" t="n"/>
      <c r="B2363" s="21" t="n"/>
    </row>
    <row r="2364">
      <c r="A2364" s="11" t="n"/>
      <c r="B2364" s="21" t="n"/>
    </row>
    <row r="2365">
      <c r="A2365" s="11" t="n"/>
      <c r="B2365" s="21" t="n"/>
    </row>
    <row r="2366">
      <c r="A2366" s="11" t="n"/>
      <c r="B2366" s="21" t="n"/>
    </row>
    <row r="2367">
      <c r="A2367" s="11" t="n"/>
      <c r="B2367" s="21" t="n"/>
    </row>
    <row r="2368">
      <c r="A2368" s="11" t="n"/>
      <c r="B2368" s="21" t="n"/>
    </row>
    <row r="2369">
      <c r="A2369" s="11" t="n"/>
      <c r="B2369" s="21" t="n"/>
    </row>
    <row r="2370">
      <c r="A2370" s="11" t="n"/>
      <c r="B2370" s="21" t="n"/>
    </row>
    <row r="2371">
      <c r="A2371" s="11" t="n"/>
      <c r="B2371" s="21" t="n"/>
    </row>
    <row r="2372">
      <c r="A2372" s="11" t="n"/>
      <c r="B2372" s="21" t="n"/>
    </row>
    <row r="2373">
      <c r="A2373" s="11" t="n"/>
      <c r="B2373" s="21" t="n"/>
    </row>
    <row r="2374">
      <c r="A2374" s="11" t="n"/>
      <c r="B2374" s="21" t="n"/>
    </row>
    <row r="2375">
      <c r="A2375" s="11" t="n"/>
      <c r="B2375" s="21" t="n"/>
    </row>
    <row r="2376">
      <c r="A2376" s="11" t="n"/>
      <c r="B2376" s="21" t="n"/>
    </row>
    <row r="2377">
      <c r="A2377" s="11" t="n"/>
      <c r="B2377" s="21" t="n"/>
    </row>
    <row r="2378">
      <c r="A2378" s="11" t="n"/>
      <c r="B2378" s="21" t="n"/>
    </row>
    <row r="2379">
      <c r="A2379" s="11" t="n"/>
      <c r="B2379" s="21" t="n"/>
    </row>
    <row r="2380">
      <c r="A2380" s="11" t="n"/>
      <c r="B2380" s="21" t="n"/>
    </row>
    <row r="2381">
      <c r="A2381" s="11" t="n"/>
      <c r="B2381" s="21" t="n"/>
    </row>
    <row r="2382">
      <c r="A2382" s="11" t="n"/>
      <c r="B2382" s="21" t="n"/>
    </row>
    <row r="2383">
      <c r="A2383" s="11" t="n"/>
      <c r="B2383" s="21" t="n"/>
    </row>
    <row r="2384">
      <c r="A2384" s="11" t="n"/>
      <c r="B2384" s="21" t="n"/>
    </row>
    <row r="2385">
      <c r="A2385" s="11" t="n"/>
      <c r="B2385" s="21" t="n"/>
    </row>
    <row r="2386">
      <c r="A2386" s="11" t="n"/>
      <c r="B2386" s="21" t="n"/>
    </row>
    <row r="2387">
      <c r="A2387" s="11" t="n"/>
      <c r="B2387" s="21" t="n"/>
    </row>
    <row r="2388">
      <c r="A2388" s="11" t="n"/>
      <c r="B2388" s="21" t="n"/>
    </row>
    <row r="2389">
      <c r="A2389" s="11" t="n"/>
      <c r="B2389" s="21" t="n"/>
    </row>
    <row r="2390">
      <c r="A2390" s="11" t="n"/>
      <c r="B2390" s="21" t="n"/>
    </row>
    <row r="2391">
      <c r="A2391" s="11" t="n"/>
      <c r="B2391" s="21" t="n"/>
    </row>
    <row r="2392">
      <c r="A2392" s="11" t="n"/>
      <c r="B2392" s="21" t="n"/>
    </row>
    <row r="2393">
      <c r="A2393" s="11" t="n"/>
      <c r="B2393" s="21" t="n"/>
    </row>
    <row r="2394">
      <c r="A2394" s="11" t="n"/>
      <c r="B2394" s="21" t="n"/>
    </row>
    <row r="2395">
      <c r="A2395" s="11" t="n"/>
      <c r="B2395" s="21" t="n"/>
    </row>
    <row r="2396">
      <c r="A2396" s="11" t="n"/>
      <c r="B2396" s="21" t="n"/>
    </row>
    <row r="2397">
      <c r="A2397" s="11" t="n"/>
      <c r="B2397" s="21" t="n"/>
    </row>
    <row r="2398">
      <c r="A2398" s="11" t="n"/>
      <c r="B2398" s="21" t="n"/>
    </row>
    <row r="2399">
      <c r="A2399" s="11" t="n"/>
      <c r="B2399" s="21" t="n"/>
    </row>
    <row r="2400">
      <c r="A2400" s="11" t="n"/>
      <c r="B2400" s="21" t="n"/>
    </row>
    <row r="2401">
      <c r="A2401" s="11" t="n"/>
      <c r="B2401" s="21" t="n"/>
    </row>
    <row r="2402">
      <c r="A2402" s="11" t="n"/>
      <c r="B2402" s="21" t="n"/>
    </row>
    <row r="2403">
      <c r="A2403" s="11" t="n"/>
      <c r="B2403" s="21" t="n"/>
    </row>
    <row r="2404">
      <c r="A2404" s="11" t="n"/>
      <c r="B2404" s="21" t="n"/>
    </row>
    <row r="2405">
      <c r="A2405" s="11" t="n"/>
      <c r="B2405" s="21" t="n"/>
    </row>
    <row r="2406">
      <c r="A2406" s="11" t="n"/>
      <c r="B2406" s="21" t="n"/>
    </row>
    <row r="2407">
      <c r="A2407" s="11" t="n"/>
      <c r="B2407" s="21" t="n"/>
    </row>
    <row r="2408">
      <c r="A2408" s="11" t="n"/>
      <c r="B2408" s="21" t="n"/>
    </row>
    <row r="2409">
      <c r="A2409" s="11" t="n"/>
      <c r="B2409" s="21" t="n"/>
    </row>
    <row r="2410">
      <c r="A2410" s="11" t="n"/>
      <c r="B2410" s="21" t="n"/>
    </row>
    <row r="2411">
      <c r="A2411" s="11" t="n"/>
      <c r="B2411" s="21" t="n"/>
    </row>
    <row r="2412">
      <c r="A2412" s="11" t="n"/>
      <c r="B2412" s="21" t="n"/>
    </row>
    <row r="2413">
      <c r="A2413" s="11" t="n"/>
      <c r="B2413" s="21" t="n"/>
    </row>
    <row r="2414">
      <c r="A2414" s="11" t="n"/>
      <c r="B2414" s="21" t="n"/>
    </row>
    <row r="2415">
      <c r="A2415" s="11" t="n"/>
      <c r="B2415" s="21" t="n"/>
    </row>
    <row r="2416">
      <c r="A2416" s="11" t="n"/>
      <c r="B2416" s="21" t="n"/>
    </row>
    <row r="2417">
      <c r="A2417" s="11" t="n"/>
      <c r="B2417" s="21" t="n"/>
    </row>
    <row r="2418">
      <c r="A2418" s="11" t="n"/>
      <c r="B2418" s="21" t="n"/>
    </row>
    <row r="2419">
      <c r="A2419" s="11" t="n"/>
      <c r="B2419" s="21" t="n"/>
    </row>
    <row r="2420">
      <c r="A2420" s="11" t="n"/>
      <c r="B2420" s="21" t="n"/>
    </row>
    <row r="2421">
      <c r="A2421" s="11" t="n"/>
      <c r="B2421" s="21" t="n"/>
    </row>
    <row r="2422">
      <c r="A2422" s="11" t="n"/>
      <c r="B2422" s="21" t="n"/>
    </row>
    <row r="2423">
      <c r="A2423" s="11" t="n"/>
      <c r="B2423" s="21" t="n"/>
    </row>
    <row r="2424">
      <c r="A2424" s="11" t="n"/>
      <c r="B2424" s="21" t="n"/>
    </row>
    <row r="2425">
      <c r="A2425" s="11" t="n"/>
      <c r="B2425" s="21" t="n"/>
    </row>
    <row r="2426">
      <c r="A2426" s="11" t="n"/>
      <c r="B2426" s="21" t="n"/>
    </row>
    <row r="2427">
      <c r="A2427" s="11" t="n"/>
      <c r="B2427" s="21" t="n"/>
    </row>
    <row r="2428">
      <c r="A2428" s="11" t="n"/>
      <c r="B2428" s="21" t="n"/>
    </row>
    <row r="2429">
      <c r="A2429" s="11" t="n"/>
      <c r="B2429" s="21" t="n"/>
    </row>
    <row r="2430">
      <c r="A2430" s="11" t="n"/>
      <c r="B2430" s="21" t="n"/>
    </row>
    <row r="2431">
      <c r="A2431" s="11" t="n"/>
      <c r="B2431" s="21" t="n"/>
    </row>
    <row r="2432">
      <c r="A2432" s="11" t="n"/>
      <c r="B2432" s="21" t="n"/>
    </row>
    <row r="2433">
      <c r="A2433" s="11" t="n"/>
      <c r="B2433" s="21" t="n"/>
    </row>
    <row r="2434">
      <c r="A2434" s="11" t="n"/>
      <c r="B2434" s="21" t="n"/>
    </row>
    <row r="2435">
      <c r="A2435" s="11" t="n"/>
      <c r="B2435" s="21" t="n"/>
    </row>
    <row r="2436">
      <c r="A2436" s="11" t="n"/>
      <c r="B2436" s="21" t="n"/>
    </row>
    <row r="2437">
      <c r="A2437" s="11" t="n"/>
      <c r="B2437" s="21" t="n"/>
    </row>
    <row r="2438">
      <c r="A2438" s="11" t="n"/>
      <c r="B2438" s="21" t="n"/>
    </row>
    <row r="2439">
      <c r="A2439" s="11" t="n"/>
      <c r="B2439" s="21" t="n"/>
    </row>
    <row r="2440">
      <c r="A2440" s="11" t="n"/>
      <c r="B2440" s="21" t="n"/>
    </row>
    <row r="2441">
      <c r="A2441" s="11" t="n"/>
      <c r="B2441" s="21" t="n"/>
    </row>
    <row r="2442">
      <c r="A2442" s="11" t="n"/>
      <c r="B2442" s="21" t="n"/>
    </row>
    <row r="2443">
      <c r="A2443" s="11" t="n"/>
      <c r="B2443" s="21" t="n"/>
    </row>
    <row r="2444">
      <c r="A2444" s="11" t="n"/>
      <c r="B2444" s="21" t="n"/>
    </row>
    <row r="2445">
      <c r="A2445" s="11" t="n"/>
      <c r="B2445" s="21" t="n"/>
    </row>
    <row r="2446">
      <c r="A2446" s="11" t="n"/>
      <c r="B2446" s="21" t="n"/>
    </row>
    <row r="2447">
      <c r="A2447" s="11" t="n"/>
      <c r="B2447" s="21" t="n"/>
    </row>
    <row r="2448">
      <c r="A2448" s="11" t="n"/>
      <c r="B2448" s="21" t="n"/>
    </row>
    <row r="2449">
      <c r="A2449" s="11" t="n"/>
      <c r="B2449" s="21" t="n"/>
    </row>
    <row r="2450">
      <c r="A2450" s="11" t="n"/>
      <c r="B2450" s="21" t="n"/>
    </row>
    <row r="2451">
      <c r="A2451" s="11" t="n"/>
      <c r="B2451" s="21" t="n"/>
    </row>
    <row r="2452">
      <c r="A2452" s="11" t="n"/>
      <c r="B2452" s="21" t="n"/>
    </row>
    <row r="2453">
      <c r="A2453" s="11" t="n"/>
      <c r="B2453" s="21" t="n"/>
    </row>
    <row r="2454">
      <c r="A2454" s="11" t="n"/>
      <c r="B2454" s="21" t="n"/>
    </row>
    <row r="2455">
      <c r="A2455" s="11" t="n"/>
      <c r="B2455" s="21" t="n"/>
    </row>
    <row r="2456">
      <c r="A2456" s="11" t="n"/>
      <c r="B2456" s="21" t="n"/>
    </row>
    <row r="2457">
      <c r="A2457" s="11" t="n"/>
      <c r="B2457" s="21" t="n"/>
    </row>
    <row r="2458">
      <c r="A2458" s="11" t="n"/>
      <c r="B2458" s="21" t="n"/>
    </row>
    <row r="2459">
      <c r="A2459" s="11" t="n"/>
      <c r="B2459" s="21" t="n"/>
    </row>
    <row r="2460">
      <c r="A2460" s="11" t="n"/>
      <c r="B2460" s="21" t="n"/>
    </row>
    <row r="2461">
      <c r="A2461" s="11" t="n"/>
      <c r="B2461" s="21" t="n"/>
    </row>
    <row r="2462">
      <c r="A2462" s="11" t="n"/>
      <c r="B2462" s="21" t="n"/>
    </row>
    <row r="2463">
      <c r="A2463" s="11" t="n"/>
      <c r="B2463" s="21" t="n"/>
    </row>
    <row r="2464">
      <c r="A2464" s="11" t="n"/>
      <c r="B2464" s="21" t="n"/>
    </row>
    <row r="2465">
      <c r="A2465" s="11" t="n"/>
      <c r="B2465" s="21" t="n"/>
    </row>
    <row r="2466">
      <c r="A2466" s="11" t="n"/>
      <c r="B2466" s="21" t="n"/>
    </row>
    <row r="2467">
      <c r="A2467" s="11" t="n"/>
      <c r="B2467" s="21" t="n"/>
    </row>
    <row r="2468">
      <c r="A2468" s="11" t="n"/>
      <c r="B2468" s="21" t="n"/>
    </row>
    <row r="2469">
      <c r="A2469" s="11" t="n"/>
      <c r="B2469" s="21" t="n"/>
    </row>
    <row r="2470">
      <c r="A2470" s="11" t="n"/>
      <c r="B2470" s="21" t="n"/>
    </row>
    <row r="2471">
      <c r="A2471" s="11" t="n"/>
      <c r="B2471" s="21" t="n"/>
    </row>
    <row r="2472">
      <c r="A2472" s="11" t="n"/>
      <c r="B2472" s="21" t="n"/>
    </row>
    <row r="2473">
      <c r="A2473" s="11" t="n"/>
      <c r="B2473" s="21" t="n"/>
    </row>
    <row r="2474">
      <c r="A2474" s="11" t="n"/>
      <c r="B2474" s="21" t="n"/>
    </row>
    <row r="2475">
      <c r="A2475" s="11" t="n"/>
      <c r="B2475" s="21" t="n"/>
    </row>
    <row r="2476">
      <c r="A2476" s="11" t="n"/>
      <c r="B2476" s="21" t="n"/>
    </row>
    <row r="2477">
      <c r="A2477" s="11" t="n"/>
      <c r="B2477" s="21" t="n"/>
    </row>
    <row r="2478">
      <c r="A2478" s="11" t="n"/>
      <c r="B2478" s="21" t="n"/>
    </row>
    <row r="2479">
      <c r="A2479" s="11" t="n"/>
      <c r="B2479" s="21" t="n"/>
    </row>
    <row r="2480">
      <c r="A2480" s="11" t="n"/>
      <c r="B2480" s="21" t="n"/>
    </row>
    <row r="2481">
      <c r="A2481" s="11" t="n"/>
      <c r="B2481" s="21" t="n"/>
    </row>
    <row r="2482">
      <c r="A2482" s="11" t="n"/>
      <c r="B2482" s="21" t="n"/>
    </row>
    <row r="2483">
      <c r="A2483" s="11" t="n"/>
      <c r="B2483" s="21" t="n"/>
    </row>
    <row r="2484">
      <c r="A2484" s="11" t="n"/>
      <c r="B2484" s="21" t="n"/>
    </row>
    <row r="2485">
      <c r="A2485" s="11" t="n"/>
      <c r="B2485" s="21" t="n"/>
    </row>
    <row r="2486">
      <c r="A2486" s="11" t="n"/>
      <c r="B2486" s="21" t="n"/>
    </row>
    <row r="2487">
      <c r="A2487" s="11" t="n"/>
      <c r="B2487" s="21" t="n"/>
    </row>
    <row r="2488">
      <c r="A2488" s="11" t="n"/>
      <c r="B2488" s="21" t="n"/>
    </row>
    <row r="2489">
      <c r="A2489" s="11" t="n"/>
      <c r="B2489" s="21" t="n"/>
    </row>
    <row r="2490">
      <c r="A2490" s="11" t="n"/>
      <c r="B2490" s="21" t="n"/>
    </row>
    <row r="2491">
      <c r="A2491" s="11" t="n"/>
      <c r="B2491" s="21" t="n"/>
    </row>
    <row r="2492">
      <c r="A2492" s="11" t="n"/>
      <c r="B2492" s="21" t="n"/>
    </row>
    <row r="2493">
      <c r="A2493" s="11" t="n"/>
      <c r="B2493" s="21" t="n"/>
    </row>
    <row r="2494">
      <c r="A2494" s="11" t="n"/>
      <c r="B2494" s="21" t="n"/>
    </row>
    <row r="2495">
      <c r="A2495" s="11" t="n"/>
      <c r="B2495" s="21" t="n"/>
    </row>
    <row r="2496">
      <c r="A2496" s="11" t="n"/>
      <c r="B2496" s="21" t="n"/>
    </row>
    <row r="2497">
      <c r="A2497" s="11" t="n"/>
      <c r="B2497" s="21" t="n"/>
    </row>
    <row r="2498">
      <c r="A2498" s="11" t="n"/>
      <c r="B2498" s="21" t="n"/>
    </row>
    <row r="2499">
      <c r="A2499" s="11" t="n"/>
      <c r="B2499" s="21" t="n"/>
    </row>
    <row r="2500">
      <c r="A2500" s="11" t="n"/>
      <c r="B2500" s="21" t="n"/>
    </row>
    <row r="2501">
      <c r="A2501" s="11" t="n"/>
      <c r="B2501" s="21" t="n"/>
    </row>
    <row r="2502">
      <c r="A2502" s="11" t="n"/>
      <c r="B2502" s="21" t="n"/>
    </row>
    <row r="2503">
      <c r="A2503" s="11" t="n"/>
      <c r="B2503" s="21" t="n"/>
    </row>
    <row r="2504">
      <c r="A2504" s="11" t="n"/>
      <c r="B2504" s="21" t="n"/>
    </row>
    <row r="2505">
      <c r="A2505" s="11" t="n"/>
      <c r="B2505" s="21" t="n"/>
    </row>
    <row r="2506">
      <c r="A2506" s="11" t="n"/>
      <c r="B2506" s="21" t="n"/>
    </row>
    <row r="2507">
      <c r="A2507" s="11" t="n"/>
      <c r="B2507" s="21" t="n"/>
    </row>
    <row r="2508">
      <c r="A2508" s="11" t="n"/>
      <c r="B2508" s="21" t="n"/>
    </row>
    <row r="2509">
      <c r="A2509" s="11" t="n"/>
      <c r="B2509" s="21" t="n"/>
    </row>
    <row r="2510">
      <c r="A2510" s="11" t="n"/>
      <c r="B2510" s="21" t="n"/>
    </row>
    <row r="2511">
      <c r="A2511" s="11" t="n"/>
      <c r="B2511" s="21" t="n"/>
    </row>
    <row r="2512">
      <c r="A2512" s="11" t="n"/>
      <c r="B2512" s="21" t="n"/>
    </row>
    <row r="2513">
      <c r="A2513" s="11" t="n"/>
      <c r="B2513" s="21" t="n"/>
    </row>
    <row r="2514">
      <c r="A2514" s="11" t="n"/>
      <c r="B2514" s="21" t="n"/>
    </row>
    <row r="2515">
      <c r="A2515" s="11" t="n"/>
      <c r="B2515" s="21" t="n"/>
    </row>
    <row r="2516">
      <c r="A2516" s="11" t="n"/>
      <c r="B2516" s="21" t="n"/>
    </row>
    <row r="2517">
      <c r="A2517" s="11" t="n"/>
      <c r="B2517" s="21" t="n"/>
    </row>
    <row r="2518">
      <c r="A2518" s="11" t="n"/>
      <c r="B2518" s="21" t="n"/>
    </row>
    <row r="2519">
      <c r="A2519" s="11" t="n"/>
      <c r="B2519" s="21" t="n"/>
    </row>
    <row r="2520">
      <c r="A2520" s="11" t="n"/>
      <c r="B2520" s="21" t="n"/>
    </row>
    <row r="2521">
      <c r="A2521" s="11" t="n"/>
      <c r="B2521" s="21" t="n"/>
    </row>
    <row r="2522">
      <c r="A2522" s="11" t="n"/>
      <c r="B2522" s="21" t="n"/>
    </row>
    <row r="2523">
      <c r="A2523" s="11" t="n"/>
      <c r="B2523" s="21" t="n"/>
    </row>
    <row r="2524">
      <c r="A2524" s="11" t="n"/>
      <c r="B2524" s="21" t="n"/>
    </row>
    <row r="2525">
      <c r="A2525" s="11" t="n"/>
      <c r="B2525" s="21" t="n"/>
    </row>
    <row r="2526">
      <c r="A2526" s="11" t="n"/>
      <c r="B2526" s="21" t="n"/>
    </row>
    <row r="2527">
      <c r="A2527" s="11" t="n"/>
      <c r="B2527" s="21" t="n"/>
    </row>
    <row r="2528">
      <c r="A2528" s="11" t="n"/>
      <c r="B2528" s="21" t="n"/>
    </row>
    <row r="2529">
      <c r="A2529" s="11" t="n"/>
      <c r="B2529" s="21" t="n"/>
    </row>
    <row r="2530">
      <c r="A2530" s="11" t="n"/>
      <c r="B2530" s="21" t="n"/>
    </row>
    <row r="2531">
      <c r="A2531" s="11" t="n"/>
      <c r="B2531" s="21" t="n"/>
    </row>
    <row r="2532">
      <c r="A2532" s="11" t="n"/>
      <c r="B2532" s="21" t="n"/>
    </row>
    <row r="2533">
      <c r="A2533" s="11" t="n"/>
      <c r="B2533" s="21" t="n"/>
    </row>
    <row r="2534">
      <c r="A2534" s="11" t="n"/>
      <c r="B2534" s="21" t="n"/>
    </row>
    <row r="2535">
      <c r="A2535" s="11" t="n"/>
      <c r="B2535" s="21" t="n"/>
    </row>
    <row r="2536">
      <c r="A2536" s="11" t="n"/>
      <c r="B2536" s="21" t="n"/>
    </row>
    <row r="2537">
      <c r="A2537" s="11" t="n"/>
      <c r="B2537" s="21" t="n"/>
    </row>
    <row r="2538">
      <c r="A2538" s="11" t="n"/>
      <c r="B2538" s="21" t="n"/>
    </row>
    <row r="2539">
      <c r="A2539" s="11" t="n"/>
      <c r="B2539" s="21" t="n"/>
    </row>
    <row r="2540">
      <c r="A2540" s="11" t="n"/>
      <c r="B2540" s="21" t="n"/>
    </row>
    <row r="2541">
      <c r="A2541" s="11" t="n"/>
      <c r="B2541" s="21" t="n"/>
    </row>
    <row r="2542">
      <c r="A2542" s="11" t="n"/>
      <c r="B2542" s="21" t="n"/>
    </row>
    <row r="2543">
      <c r="A2543" s="11" t="n"/>
      <c r="B2543" s="21" t="n"/>
    </row>
    <row r="2544">
      <c r="A2544" s="11" t="n"/>
      <c r="B2544" s="21" t="n"/>
    </row>
    <row r="2545">
      <c r="A2545" s="11" t="n"/>
      <c r="B2545" s="21" t="n"/>
    </row>
    <row r="2546">
      <c r="A2546" s="11" t="n"/>
      <c r="B2546" s="21" t="n"/>
    </row>
    <row r="2547">
      <c r="A2547" s="11" t="n"/>
      <c r="B2547" s="21" t="n"/>
    </row>
    <row r="2548">
      <c r="A2548" s="11" t="n"/>
      <c r="B2548" s="21" t="n"/>
    </row>
    <row r="2549">
      <c r="A2549" s="11" t="n"/>
      <c r="B2549" s="21" t="n"/>
    </row>
    <row r="2550">
      <c r="A2550" s="11" t="n"/>
      <c r="B2550" s="21" t="n"/>
    </row>
    <row r="2551">
      <c r="A2551" s="11" t="n"/>
      <c r="B2551" s="21" t="n"/>
    </row>
    <row r="2552">
      <c r="A2552" s="11" t="n"/>
      <c r="B2552" s="21" t="n"/>
    </row>
    <row r="2553">
      <c r="A2553" s="11" t="n"/>
      <c r="B2553" s="21" t="n"/>
    </row>
    <row r="2554">
      <c r="A2554" s="11" t="n"/>
      <c r="B2554" s="21" t="n"/>
    </row>
    <row r="2555">
      <c r="A2555" s="11" t="n"/>
      <c r="B2555" s="21" t="n"/>
    </row>
    <row r="2556">
      <c r="A2556" s="11" t="n"/>
      <c r="B2556" s="21" t="n"/>
    </row>
    <row r="2557">
      <c r="A2557" s="11" t="n"/>
      <c r="B2557" s="21" t="n"/>
    </row>
    <row r="2558">
      <c r="A2558" s="11" t="n"/>
      <c r="B2558" s="21" t="n"/>
    </row>
    <row r="2559">
      <c r="A2559" s="11" t="n"/>
      <c r="B2559" s="21" t="n"/>
    </row>
    <row r="2560">
      <c r="A2560" s="11" t="n"/>
      <c r="B2560" s="21" t="n"/>
    </row>
    <row r="2561">
      <c r="A2561" s="11" t="n"/>
      <c r="B2561" s="21" t="n"/>
    </row>
    <row r="2562">
      <c r="A2562" s="11" t="n"/>
      <c r="B2562" s="21" t="n"/>
    </row>
    <row r="2563">
      <c r="A2563" s="11" t="n"/>
      <c r="B2563" s="21" t="n"/>
    </row>
    <row r="2564">
      <c r="A2564" s="11" t="n"/>
      <c r="B2564" s="21" t="n"/>
    </row>
    <row r="2565">
      <c r="A2565" s="11" t="n"/>
      <c r="B2565" s="21" t="n"/>
    </row>
    <row r="2566">
      <c r="A2566" s="11" t="n"/>
      <c r="B2566" s="21" t="n"/>
    </row>
    <row r="2567">
      <c r="A2567" s="11" t="n"/>
      <c r="B2567" s="21" t="n"/>
    </row>
    <row r="2568">
      <c r="A2568" s="11" t="n"/>
      <c r="B2568" s="21" t="n"/>
    </row>
    <row r="2569">
      <c r="A2569" s="11" t="n"/>
      <c r="B2569" s="21" t="n"/>
    </row>
    <row r="2570">
      <c r="A2570" s="11" t="n"/>
      <c r="B2570" s="21" t="n"/>
    </row>
    <row r="2571">
      <c r="A2571" s="11" t="n"/>
      <c r="B2571" s="21" t="n"/>
    </row>
    <row r="2572">
      <c r="A2572" s="11" t="n"/>
      <c r="B2572" s="21" t="n"/>
    </row>
    <row r="2573">
      <c r="A2573" s="11" t="n"/>
      <c r="B2573" s="21" t="n"/>
    </row>
    <row r="2574">
      <c r="A2574" s="11" t="n"/>
      <c r="B2574" s="21" t="n"/>
    </row>
    <row r="2575">
      <c r="A2575" s="11" t="n"/>
      <c r="B2575" s="21" t="n"/>
    </row>
    <row r="2576">
      <c r="A2576" s="11" t="n"/>
      <c r="B2576" s="21" t="n"/>
    </row>
    <row r="2577">
      <c r="A2577" s="11" t="n"/>
      <c r="B2577" s="21" t="n"/>
    </row>
    <row r="2578">
      <c r="A2578" s="11" t="n"/>
      <c r="B2578" s="21" t="n"/>
    </row>
    <row r="2579">
      <c r="A2579" s="11" t="n"/>
      <c r="B2579" s="21" t="n"/>
    </row>
    <row r="2580">
      <c r="A2580" s="11" t="n"/>
      <c r="B2580" s="21" t="n"/>
    </row>
    <row r="2581">
      <c r="A2581" s="11" t="n"/>
      <c r="B2581" s="21" t="n"/>
    </row>
    <row r="2582">
      <c r="A2582" s="11" t="n"/>
      <c r="B2582" s="21" t="n"/>
    </row>
    <row r="2583">
      <c r="A2583" s="11" t="n"/>
      <c r="B2583" s="21" t="n"/>
    </row>
    <row r="2584">
      <c r="A2584" s="11" t="n"/>
      <c r="B2584" s="21" t="n"/>
    </row>
    <row r="2585">
      <c r="A2585" s="11" t="n"/>
      <c r="B2585" s="21" t="n"/>
    </row>
    <row r="2586">
      <c r="A2586" s="11" t="n"/>
      <c r="B2586" s="21" t="n"/>
    </row>
    <row r="2587">
      <c r="A2587" s="11" t="n"/>
      <c r="B2587" s="21" t="n"/>
    </row>
    <row r="2588">
      <c r="A2588" s="11" t="n"/>
      <c r="B2588" s="21" t="n"/>
    </row>
    <row r="2589">
      <c r="A2589" s="11" t="n"/>
      <c r="B2589" s="21" t="n"/>
    </row>
    <row r="2590">
      <c r="A2590" s="11" t="n"/>
      <c r="B2590" s="21" t="n"/>
    </row>
    <row r="2591">
      <c r="A2591" s="11" t="n"/>
      <c r="B2591" s="21" t="n"/>
    </row>
    <row r="2592">
      <c r="A2592" s="11" t="n"/>
      <c r="B2592" s="21" t="n"/>
    </row>
    <row r="2593">
      <c r="A2593" s="11" t="n"/>
      <c r="B2593" s="21" t="n"/>
    </row>
    <row r="2594">
      <c r="A2594" s="11" t="n"/>
      <c r="B2594" s="21" t="n"/>
    </row>
    <row r="2595">
      <c r="A2595" s="11" t="n"/>
      <c r="B2595" s="21" t="n"/>
    </row>
    <row r="2596">
      <c r="A2596" s="11" t="n"/>
      <c r="B2596" s="21" t="n"/>
    </row>
    <row r="2597">
      <c r="A2597" s="11" t="n"/>
      <c r="B2597" s="21" t="n"/>
    </row>
    <row r="2598">
      <c r="A2598" s="11" t="n"/>
      <c r="B2598" s="21" t="n"/>
    </row>
    <row r="2599">
      <c r="A2599" s="11" t="n"/>
      <c r="B2599" s="21" t="n"/>
    </row>
    <row r="2600">
      <c r="A2600" s="11" t="n"/>
      <c r="B2600" s="21" t="n"/>
    </row>
    <row r="2601">
      <c r="A2601" s="11" t="n"/>
      <c r="B2601" s="21" t="n"/>
    </row>
    <row r="2602">
      <c r="A2602" s="11" t="n"/>
      <c r="B2602" s="21" t="n"/>
    </row>
    <row r="2603">
      <c r="A2603" s="11" t="n"/>
      <c r="B2603" s="21" t="n"/>
    </row>
    <row r="2604">
      <c r="A2604" s="11" t="n"/>
      <c r="B2604" s="21" t="n"/>
    </row>
    <row r="2605">
      <c r="A2605" s="11" t="n"/>
      <c r="B2605" s="21" t="n"/>
    </row>
    <row r="2606">
      <c r="A2606" s="11" t="n"/>
      <c r="B2606" s="21" t="n"/>
    </row>
    <row r="2607">
      <c r="A2607" s="11" t="n"/>
      <c r="B2607" s="21" t="n"/>
    </row>
    <row r="2608">
      <c r="A2608" s="11" t="n"/>
      <c r="B2608" s="21" t="n"/>
    </row>
    <row r="2609">
      <c r="A2609" s="11" t="n"/>
      <c r="B2609" s="21" t="n"/>
    </row>
    <row r="2610">
      <c r="A2610" s="11" t="n"/>
      <c r="B2610" s="21" t="n"/>
    </row>
    <row r="2611">
      <c r="A2611" s="11" t="n"/>
      <c r="B2611" s="21" t="n"/>
    </row>
    <row r="2612">
      <c r="A2612" s="11" t="n"/>
      <c r="B2612" s="21" t="n"/>
    </row>
    <row r="2613">
      <c r="A2613" s="11" t="n"/>
      <c r="B2613" s="21" t="n"/>
    </row>
    <row r="2614">
      <c r="A2614" s="11" t="n"/>
      <c r="B2614" s="21" t="n"/>
    </row>
    <row r="2615">
      <c r="A2615" s="11" t="n"/>
      <c r="B2615" s="21" t="n"/>
    </row>
    <row r="2616">
      <c r="A2616" s="11" t="n"/>
      <c r="B2616" s="21" t="n"/>
    </row>
    <row r="2617">
      <c r="A2617" s="11" t="n"/>
      <c r="B2617" s="21" t="n"/>
    </row>
    <row r="2618">
      <c r="A2618" s="11" t="n"/>
      <c r="B2618" s="21" t="n"/>
    </row>
    <row r="2619">
      <c r="A2619" s="11" t="n"/>
      <c r="B2619" s="21" t="n"/>
    </row>
    <row r="2620">
      <c r="A2620" s="11" t="n"/>
      <c r="B2620" s="21" t="n"/>
    </row>
    <row r="2621">
      <c r="A2621" s="11" t="n"/>
      <c r="B2621" s="21" t="n"/>
    </row>
    <row r="2622">
      <c r="A2622" s="11" t="n"/>
      <c r="B2622" s="21" t="n"/>
    </row>
    <row r="2623">
      <c r="A2623" s="11" t="n"/>
      <c r="B2623" s="21" t="n"/>
    </row>
    <row r="2624">
      <c r="A2624" s="11" t="n"/>
      <c r="B2624" s="21" t="n"/>
    </row>
    <row r="2625">
      <c r="A2625" s="11" t="n"/>
      <c r="B2625" s="21" t="n"/>
    </row>
    <row r="2626">
      <c r="A2626" s="11" t="n"/>
      <c r="B2626" s="21" t="n"/>
    </row>
    <row r="2627">
      <c r="A2627" s="11" t="n"/>
      <c r="B2627" s="21" t="n"/>
    </row>
    <row r="2628">
      <c r="A2628" s="11" t="n"/>
      <c r="B2628" s="21" t="n"/>
    </row>
    <row r="2629">
      <c r="A2629" s="11" t="n"/>
      <c r="B2629" s="21" t="n"/>
    </row>
    <row r="2630">
      <c r="A2630" s="11" t="n"/>
      <c r="B2630" s="21" t="n"/>
    </row>
    <row r="2631">
      <c r="A2631" s="11" t="n"/>
      <c r="B2631" s="21" t="n"/>
    </row>
    <row r="2632">
      <c r="A2632" s="11" t="n"/>
      <c r="B2632" s="21" t="n"/>
    </row>
    <row r="2633">
      <c r="A2633" s="11" t="n"/>
      <c r="B2633" s="21" t="n"/>
    </row>
    <row r="2634">
      <c r="A2634" s="11" t="n"/>
      <c r="B2634" s="21" t="n"/>
    </row>
    <row r="2635">
      <c r="A2635" s="11" t="n"/>
      <c r="B2635" s="21" t="n"/>
    </row>
    <row r="2636">
      <c r="A2636" s="11" t="n"/>
      <c r="B2636" s="21" t="n"/>
    </row>
    <row r="2637">
      <c r="A2637" s="11" t="n"/>
      <c r="B2637" s="21" t="n"/>
    </row>
    <row r="2638">
      <c r="A2638" s="11" t="n"/>
      <c r="B2638" s="21" t="n"/>
    </row>
    <row r="2639">
      <c r="A2639" s="11" t="n"/>
      <c r="B2639" s="21" t="n"/>
    </row>
    <row r="2640">
      <c r="A2640" s="11" t="n"/>
      <c r="B2640" s="21" t="n"/>
    </row>
    <row r="2641">
      <c r="A2641" s="11" t="n"/>
      <c r="B2641" s="21" t="n"/>
    </row>
    <row r="2642">
      <c r="A2642" s="11" t="n"/>
      <c r="B2642" s="21" t="n"/>
    </row>
    <row r="2643">
      <c r="A2643" s="11" t="n"/>
      <c r="B2643" s="21" t="n"/>
    </row>
    <row r="2644">
      <c r="A2644" s="11" t="n"/>
      <c r="B2644" s="21" t="n"/>
    </row>
    <row r="2645">
      <c r="A2645" s="11" t="n"/>
      <c r="B2645" s="21" t="n"/>
    </row>
    <row r="2646">
      <c r="A2646" s="11" t="n"/>
      <c r="B2646" s="21" t="n"/>
    </row>
    <row r="2647">
      <c r="A2647" s="11" t="n"/>
      <c r="B2647" s="21" t="n"/>
    </row>
    <row r="2648">
      <c r="A2648" s="11" t="n"/>
      <c r="B2648" s="21" t="n"/>
    </row>
    <row r="2649">
      <c r="A2649" s="11" t="n"/>
      <c r="B2649" s="21" t="n"/>
    </row>
    <row r="2650">
      <c r="A2650" s="11" t="n"/>
      <c r="B2650" s="21" t="n"/>
    </row>
    <row r="2651">
      <c r="A2651" s="11" t="n"/>
      <c r="B2651" s="21" t="n"/>
    </row>
    <row r="2652">
      <c r="A2652" s="11" t="n"/>
      <c r="B2652" s="21" t="n"/>
    </row>
    <row r="2653">
      <c r="A2653" s="11" t="n"/>
      <c r="B2653" s="21" t="n"/>
    </row>
    <row r="2654">
      <c r="A2654" s="11" t="n"/>
      <c r="B2654" s="21" t="n"/>
    </row>
    <row r="2655">
      <c r="A2655" s="11" t="n"/>
      <c r="B2655" s="21" t="n"/>
    </row>
    <row r="2656">
      <c r="A2656" s="11" t="n"/>
      <c r="B2656" s="21" t="n"/>
    </row>
    <row r="2657">
      <c r="A2657" s="11" t="n"/>
      <c r="B2657" s="21" t="n"/>
    </row>
    <row r="2658">
      <c r="A2658" s="11" t="n"/>
      <c r="B2658" s="21" t="n"/>
    </row>
    <row r="2659">
      <c r="A2659" s="11" t="n"/>
      <c r="B2659" s="21" t="n"/>
    </row>
    <row r="2660">
      <c r="A2660" s="11" t="n"/>
      <c r="B2660" s="21" t="n"/>
    </row>
    <row r="2661">
      <c r="A2661" s="11" t="n"/>
      <c r="B2661" s="21" t="n"/>
    </row>
    <row r="2662">
      <c r="A2662" s="11" t="n"/>
      <c r="B2662" s="21" t="n"/>
    </row>
    <row r="2663">
      <c r="A2663" s="11" t="n"/>
      <c r="B2663" s="21" t="n"/>
    </row>
    <row r="2664">
      <c r="A2664" s="11" t="n"/>
      <c r="B2664" s="21" t="n"/>
    </row>
    <row r="2665">
      <c r="A2665" s="11" t="n"/>
      <c r="B2665" s="21" t="n"/>
    </row>
    <row r="2666">
      <c r="A2666" s="11" t="n"/>
      <c r="B2666" s="21" t="n"/>
    </row>
    <row r="2667">
      <c r="A2667" s="11" t="n"/>
      <c r="B2667" s="21" t="n"/>
    </row>
    <row r="2668">
      <c r="A2668" s="11" t="n"/>
      <c r="B2668" s="21" t="n"/>
    </row>
    <row r="2669">
      <c r="A2669" s="11" t="n"/>
      <c r="B2669" s="21" t="n"/>
    </row>
    <row r="2670">
      <c r="A2670" s="11" t="n"/>
      <c r="B2670" s="21" t="n"/>
    </row>
    <row r="2671">
      <c r="A2671" s="11" t="n"/>
      <c r="B2671" s="21" t="n"/>
    </row>
    <row r="2672">
      <c r="A2672" s="11" t="n"/>
      <c r="B2672" s="21" t="n"/>
    </row>
    <row r="2673">
      <c r="A2673" s="11" t="n"/>
      <c r="B2673" s="21" t="n"/>
    </row>
    <row r="2674">
      <c r="A2674" s="11" t="n"/>
      <c r="B2674" s="21" t="n"/>
    </row>
    <row r="2675">
      <c r="A2675" s="11" t="n"/>
      <c r="B2675" s="21" t="n"/>
    </row>
    <row r="2676">
      <c r="A2676" s="11" t="n"/>
      <c r="B2676" s="21" t="n"/>
    </row>
    <row r="2677">
      <c r="A2677" s="11" t="n"/>
      <c r="B2677" s="21" t="n"/>
    </row>
    <row r="2678">
      <c r="A2678" s="11" t="n"/>
      <c r="B2678" s="21" t="n"/>
    </row>
    <row r="2679">
      <c r="A2679" s="11" t="n"/>
      <c r="B2679" s="21" t="n"/>
    </row>
    <row r="2680">
      <c r="A2680" s="11" t="n"/>
      <c r="B2680" s="21" t="n"/>
    </row>
    <row r="2681">
      <c r="A2681" s="11" t="n"/>
      <c r="B2681" s="21" t="n"/>
    </row>
    <row r="2682">
      <c r="A2682" s="11" t="n"/>
      <c r="B2682" s="21" t="n"/>
    </row>
    <row r="2683">
      <c r="A2683" s="11" t="n"/>
      <c r="B2683" s="21" t="n"/>
    </row>
    <row r="2684">
      <c r="A2684" s="11" t="n"/>
      <c r="B2684" s="21" t="n"/>
    </row>
    <row r="2685">
      <c r="A2685" s="11" t="n"/>
      <c r="B2685" s="21" t="n"/>
    </row>
    <row r="2686">
      <c r="A2686" s="11" t="n"/>
      <c r="B2686" s="21" t="n"/>
    </row>
    <row r="2687">
      <c r="A2687" s="11" t="n"/>
      <c r="B2687" s="21" t="n"/>
    </row>
    <row r="2688">
      <c r="A2688" s="11" t="n"/>
      <c r="B2688" s="21" t="n"/>
    </row>
    <row r="2689">
      <c r="A2689" s="11" t="n"/>
      <c r="B2689" s="21" t="n"/>
    </row>
    <row r="2690">
      <c r="A2690" s="11" t="n"/>
      <c r="B2690" s="21" t="n"/>
    </row>
    <row r="2691">
      <c r="A2691" s="11" t="n"/>
      <c r="B2691" s="21" t="n"/>
    </row>
    <row r="2692">
      <c r="A2692" s="11" t="n"/>
      <c r="B2692" s="21" t="n"/>
    </row>
    <row r="2693">
      <c r="A2693" s="11" t="n"/>
      <c r="B2693" s="21" t="n"/>
    </row>
    <row r="2694">
      <c r="A2694" s="11" t="n"/>
      <c r="B2694" s="21" t="n"/>
    </row>
    <row r="2695">
      <c r="A2695" s="11" t="n"/>
      <c r="B2695" s="21" t="n"/>
    </row>
    <row r="2696">
      <c r="A2696" s="11" t="n"/>
      <c r="B2696" s="21" t="n"/>
    </row>
    <row r="2697">
      <c r="A2697" s="11" t="n"/>
      <c r="B2697" s="21" t="n"/>
    </row>
    <row r="2698">
      <c r="A2698" s="11" t="n"/>
      <c r="B2698" s="21" t="n"/>
    </row>
    <row r="2699">
      <c r="A2699" s="11" t="n"/>
      <c r="B2699" s="21" t="n"/>
    </row>
    <row r="2700">
      <c r="A2700" s="11" t="n"/>
      <c r="B2700" s="21" t="n"/>
    </row>
    <row r="2701">
      <c r="A2701" s="11" t="n"/>
      <c r="B2701" s="21" t="n"/>
    </row>
    <row r="2702">
      <c r="A2702" s="11" t="n"/>
      <c r="B2702" s="21" t="n"/>
    </row>
    <row r="2703">
      <c r="A2703" s="11" t="n"/>
      <c r="B2703" s="21" t="n"/>
    </row>
    <row r="2704">
      <c r="A2704" s="11" t="n"/>
      <c r="B2704" s="21" t="n"/>
    </row>
    <row r="2705">
      <c r="A2705" s="11" t="n"/>
      <c r="B2705" s="21" t="n"/>
    </row>
    <row r="2706">
      <c r="A2706" s="11" t="n"/>
      <c r="B2706" s="21" t="n"/>
    </row>
    <row r="2707">
      <c r="A2707" s="11" t="n"/>
      <c r="B2707" s="21" t="n"/>
    </row>
    <row r="2708">
      <c r="A2708" s="11" t="n"/>
      <c r="B2708" s="21" t="n"/>
    </row>
    <row r="2709">
      <c r="A2709" s="11" t="n"/>
      <c r="B2709" s="21" t="n"/>
    </row>
    <row r="2710">
      <c r="A2710" s="11" t="n"/>
      <c r="B2710" s="21" t="n"/>
    </row>
    <row r="2711">
      <c r="A2711" s="11" t="n"/>
      <c r="B2711" s="21" t="n"/>
    </row>
    <row r="2712">
      <c r="A2712" s="11" t="n"/>
      <c r="B2712" s="21" t="n"/>
    </row>
    <row r="2713">
      <c r="A2713" s="11" t="n"/>
      <c r="B2713" s="21" t="n"/>
    </row>
    <row r="2714">
      <c r="A2714" s="11" t="n"/>
      <c r="B2714" s="21" t="n"/>
    </row>
    <row r="2715">
      <c r="A2715" s="11" t="n"/>
      <c r="B2715" s="21" t="n"/>
    </row>
    <row r="2716">
      <c r="A2716" s="11" t="n"/>
      <c r="B2716" s="21" t="n"/>
    </row>
    <row r="2717">
      <c r="A2717" s="11" t="n"/>
      <c r="B2717" s="21" t="n"/>
    </row>
    <row r="2718">
      <c r="A2718" s="11" t="n"/>
      <c r="B2718" s="21" t="n"/>
    </row>
    <row r="2719">
      <c r="A2719" s="11" t="n"/>
      <c r="B2719" s="21" t="n"/>
    </row>
    <row r="2720">
      <c r="A2720" s="11" t="n"/>
      <c r="B2720" s="21" t="n"/>
    </row>
    <row r="2721">
      <c r="A2721" s="11" t="n"/>
      <c r="B2721" s="21" t="n"/>
    </row>
    <row r="2722">
      <c r="A2722" s="11" t="n"/>
      <c r="B2722" s="21" t="n"/>
    </row>
    <row r="2723">
      <c r="A2723" s="11" t="n"/>
      <c r="B2723" s="21" t="n"/>
    </row>
    <row r="2724">
      <c r="A2724" s="11" t="n"/>
      <c r="B2724" s="21" t="n"/>
    </row>
    <row r="2725">
      <c r="A2725" s="11" t="n"/>
      <c r="B2725" s="21" t="n"/>
    </row>
    <row r="2726">
      <c r="A2726" s="11" t="n"/>
      <c r="B2726" s="21" t="n"/>
    </row>
    <row r="2727">
      <c r="A2727" s="11" t="n"/>
      <c r="B2727" s="21" t="n"/>
    </row>
    <row r="2728">
      <c r="A2728" s="11" t="n"/>
      <c r="B2728" s="21" t="n"/>
    </row>
    <row r="2729">
      <c r="A2729" s="11" t="n"/>
      <c r="B2729" s="21" t="n"/>
    </row>
    <row r="2730">
      <c r="A2730" s="11" t="n"/>
      <c r="B2730" s="21" t="n"/>
    </row>
    <row r="2731">
      <c r="A2731" s="11" t="n"/>
      <c r="B2731" s="21" t="n"/>
    </row>
    <row r="2732">
      <c r="A2732" s="11" t="n"/>
      <c r="B2732" s="21" t="n"/>
    </row>
    <row r="2733">
      <c r="A2733" s="11" t="n"/>
      <c r="B2733" s="21" t="n"/>
    </row>
    <row r="2734">
      <c r="A2734" s="11" t="n"/>
      <c r="B2734" s="21" t="n"/>
    </row>
    <row r="2735">
      <c r="A2735" s="11" t="n"/>
      <c r="B2735" s="21" t="n"/>
    </row>
    <row r="2736">
      <c r="A2736" s="11" t="n"/>
      <c r="B2736" s="21" t="n"/>
    </row>
    <row r="2737">
      <c r="A2737" s="11" t="n"/>
      <c r="B2737" s="21" t="n"/>
    </row>
    <row r="2738">
      <c r="A2738" s="11" t="n"/>
      <c r="B2738" s="21" t="n"/>
    </row>
    <row r="2739">
      <c r="A2739" s="11" t="n"/>
      <c r="B2739" s="21" t="n"/>
    </row>
    <row r="2740">
      <c r="A2740" s="11" t="n"/>
      <c r="B2740" s="21" t="n"/>
    </row>
    <row r="2741">
      <c r="A2741" s="11" t="n"/>
      <c r="B2741" s="21" t="n"/>
    </row>
    <row r="2742">
      <c r="A2742" s="11" t="n"/>
      <c r="B2742" s="21" t="n"/>
    </row>
    <row r="2743">
      <c r="A2743" s="11" t="n"/>
      <c r="B2743" s="21" t="n"/>
    </row>
    <row r="2744">
      <c r="A2744" s="11" t="n"/>
      <c r="B2744" s="21" t="n"/>
    </row>
    <row r="2745">
      <c r="A2745" s="11" t="n"/>
      <c r="B2745" s="21" t="n"/>
    </row>
    <row r="2746">
      <c r="A2746" s="11" t="n"/>
      <c r="B2746" s="21" t="n"/>
    </row>
    <row r="2747">
      <c r="A2747" s="11" t="n"/>
      <c r="B2747" s="21" t="n"/>
    </row>
    <row r="2748">
      <c r="A2748" s="11" t="n"/>
      <c r="B2748" s="21" t="n"/>
    </row>
    <row r="2749">
      <c r="A2749" s="11" t="n"/>
      <c r="B2749" s="21" t="n"/>
    </row>
    <row r="2750">
      <c r="A2750" s="11" t="n"/>
      <c r="B2750" s="21" t="n"/>
    </row>
    <row r="2751">
      <c r="A2751" s="11" t="n"/>
      <c r="B2751" s="21" t="n"/>
    </row>
    <row r="2752">
      <c r="A2752" s="11" t="n"/>
      <c r="B2752" s="21" t="n"/>
    </row>
    <row r="2753">
      <c r="A2753" s="11" t="n"/>
      <c r="B2753" s="21" t="n"/>
    </row>
    <row r="2754">
      <c r="A2754" s="11" t="n"/>
      <c r="B2754" s="21" t="n"/>
    </row>
    <row r="2755">
      <c r="A2755" s="11" t="n"/>
      <c r="B2755" s="21" t="n"/>
    </row>
    <row r="2756">
      <c r="A2756" s="11" t="n"/>
      <c r="B2756" s="21" t="n"/>
    </row>
    <row r="2757">
      <c r="A2757" s="11" t="n"/>
      <c r="B2757" s="21" t="n"/>
    </row>
    <row r="2758">
      <c r="A2758" s="11" t="n"/>
      <c r="B2758" s="21" t="n"/>
    </row>
    <row r="2759">
      <c r="A2759" s="11" t="n"/>
      <c r="B2759" s="21" t="n"/>
    </row>
    <row r="2760">
      <c r="A2760" s="11" t="n"/>
      <c r="B2760" s="21" t="n"/>
    </row>
    <row r="2761">
      <c r="A2761" s="11" t="n"/>
      <c r="B2761" s="21" t="n"/>
    </row>
    <row r="2762">
      <c r="A2762" s="11" t="n"/>
      <c r="B2762" s="21" t="n"/>
    </row>
    <row r="2763">
      <c r="A2763" s="11" t="n"/>
      <c r="B2763" s="21" t="n"/>
    </row>
    <row r="2764">
      <c r="A2764" s="11" t="n"/>
      <c r="B2764" s="21" t="n"/>
    </row>
    <row r="2765">
      <c r="A2765" s="11" t="n"/>
      <c r="B2765" s="21" t="n"/>
    </row>
    <row r="2766">
      <c r="A2766" s="11" t="n"/>
      <c r="B2766" s="21" t="n"/>
    </row>
    <row r="2767">
      <c r="A2767" s="11" t="n"/>
      <c r="B2767" s="21" t="n"/>
    </row>
    <row r="2768">
      <c r="A2768" s="11" t="n"/>
      <c r="B2768" s="21" t="n"/>
    </row>
    <row r="2769">
      <c r="A2769" s="11" t="n"/>
      <c r="B2769" s="21" t="n"/>
    </row>
    <row r="2770">
      <c r="A2770" s="11" t="n"/>
      <c r="B2770" s="21" t="n"/>
    </row>
    <row r="2771">
      <c r="A2771" s="11" t="n"/>
      <c r="B2771" s="21" t="n"/>
    </row>
    <row r="2772">
      <c r="A2772" s="11" t="n"/>
      <c r="B2772" s="21" t="n"/>
    </row>
    <row r="2773">
      <c r="A2773" s="11" t="n"/>
      <c r="B2773" s="21" t="n"/>
    </row>
    <row r="2774">
      <c r="A2774" s="11" t="n"/>
      <c r="B2774" s="21" t="n"/>
    </row>
    <row r="2775">
      <c r="A2775" s="11" t="n"/>
      <c r="B2775" s="21" t="n"/>
    </row>
    <row r="2776">
      <c r="A2776" s="11" t="n"/>
      <c r="B2776" s="21" t="n"/>
    </row>
    <row r="2777">
      <c r="A2777" s="11" t="n"/>
      <c r="B2777" s="21" t="n"/>
    </row>
    <row r="2778">
      <c r="A2778" s="11" t="n"/>
      <c r="B2778" s="21" t="n"/>
    </row>
    <row r="2779">
      <c r="A2779" s="11" t="n"/>
      <c r="B2779" s="21" t="n"/>
    </row>
    <row r="2780">
      <c r="A2780" s="11" t="n"/>
      <c r="B2780" s="21" t="n"/>
    </row>
    <row r="2781">
      <c r="A2781" s="11" t="n"/>
      <c r="B2781" s="21" t="n"/>
    </row>
    <row r="2782">
      <c r="A2782" s="11" t="n"/>
      <c r="B2782" s="21" t="n"/>
    </row>
    <row r="2783">
      <c r="A2783" s="11" t="n"/>
      <c r="B2783" s="21" t="n"/>
    </row>
    <row r="2784">
      <c r="A2784" s="11" t="n"/>
      <c r="B2784" s="21" t="n"/>
    </row>
    <row r="2785">
      <c r="A2785" s="11" t="n"/>
      <c r="B2785" s="21" t="n"/>
    </row>
    <row r="2786">
      <c r="A2786" s="11" t="n"/>
      <c r="B2786" s="21" t="n"/>
    </row>
    <row r="2787">
      <c r="A2787" s="11" t="n"/>
      <c r="B2787" s="21" t="n"/>
    </row>
    <row r="2788">
      <c r="A2788" s="11" t="n"/>
      <c r="B2788" s="21" t="n"/>
    </row>
    <row r="2789">
      <c r="A2789" s="11" t="n"/>
      <c r="B2789" s="21" t="n"/>
    </row>
    <row r="2790">
      <c r="A2790" s="11" t="n"/>
      <c r="B2790" s="21" t="n"/>
    </row>
    <row r="2791">
      <c r="A2791" s="11" t="n"/>
      <c r="B2791" s="21" t="n"/>
    </row>
    <row r="2792">
      <c r="A2792" s="11" t="n"/>
      <c r="B2792" s="21" t="n"/>
    </row>
    <row r="2793">
      <c r="A2793" s="11" t="n"/>
      <c r="B2793" s="21" t="n"/>
    </row>
    <row r="2794">
      <c r="A2794" s="11" t="n"/>
      <c r="B2794" s="21" t="n"/>
    </row>
    <row r="2795">
      <c r="A2795" s="11" t="n"/>
      <c r="B2795" s="21" t="n"/>
    </row>
    <row r="2796">
      <c r="A2796" s="11" t="n"/>
      <c r="B2796" s="21" t="n"/>
    </row>
    <row r="2797">
      <c r="A2797" s="11" t="n"/>
      <c r="B2797" s="21" t="n"/>
    </row>
    <row r="2798">
      <c r="A2798" s="11" t="n"/>
      <c r="B2798" s="21" t="n"/>
    </row>
    <row r="2799">
      <c r="A2799" s="11" t="n"/>
      <c r="B2799" s="21" t="n"/>
    </row>
    <row r="2800">
      <c r="A2800" s="11" t="n"/>
      <c r="B2800" s="21" t="n"/>
    </row>
    <row r="2801">
      <c r="A2801" s="11" t="n"/>
      <c r="B2801" s="21" t="n"/>
    </row>
    <row r="2802">
      <c r="A2802" s="11" t="n"/>
      <c r="B2802" s="21" t="n"/>
    </row>
    <row r="2803">
      <c r="A2803" s="11" t="n"/>
      <c r="B2803" s="21" t="n"/>
    </row>
    <row r="2804">
      <c r="A2804" s="11" t="n"/>
      <c r="B2804" s="21" t="n"/>
    </row>
    <row r="2805">
      <c r="A2805" s="11" t="n"/>
      <c r="B2805" s="21" t="n"/>
    </row>
    <row r="2806">
      <c r="A2806" s="11" t="n"/>
      <c r="B2806" s="21" t="n"/>
    </row>
    <row r="2807">
      <c r="A2807" s="11" t="n"/>
      <c r="B2807" s="21" t="n"/>
    </row>
    <row r="2808">
      <c r="A2808" s="11" t="n"/>
      <c r="B2808" s="21" t="n"/>
    </row>
    <row r="2809">
      <c r="A2809" s="11" t="n"/>
      <c r="B2809" s="21" t="n"/>
    </row>
    <row r="2810">
      <c r="A2810" s="11" t="n"/>
      <c r="B2810" s="21" t="n"/>
    </row>
    <row r="2811">
      <c r="A2811" s="11" t="n"/>
      <c r="B2811" s="21" t="n"/>
    </row>
    <row r="2812">
      <c r="A2812" s="11" t="n"/>
      <c r="B2812" s="21" t="n"/>
    </row>
    <row r="2813">
      <c r="A2813" s="11" t="n"/>
      <c r="B2813" s="21" t="n"/>
    </row>
    <row r="2814">
      <c r="A2814" s="11" t="n"/>
      <c r="B2814" s="21" t="n"/>
    </row>
    <row r="2815">
      <c r="A2815" s="11" t="n"/>
      <c r="B2815" s="21" t="n"/>
    </row>
    <row r="2816">
      <c r="A2816" s="11" t="n"/>
      <c r="B2816" s="21" t="n"/>
    </row>
    <row r="2817">
      <c r="A2817" s="11" t="n"/>
      <c r="B2817" s="21" t="n"/>
    </row>
    <row r="2818">
      <c r="A2818" s="11" t="n"/>
      <c r="B2818" s="21" t="n"/>
    </row>
    <row r="2819">
      <c r="A2819" s="11" t="n"/>
      <c r="B2819" s="21" t="n"/>
    </row>
    <row r="2820">
      <c r="A2820" s="11" t="n"/>
      <c r="B2820" s="21" t="n"/>
    </row>
    <row r="2821">
      <c r="A2821" s="11" t="n"/>
      <c r="B2821" s="21" t="n"/>
    </row>
    <row r="2822">
      <c r="A2822" s="11" t="n"/>
      <c r="B2822" s="21" t="n"/>
    </row>
    <row r="2823">
      <c r="A2823" s="11" t="n"/>
      <c r="B2823" s="21" t="n"/>
    </row>
    <row r="2824">
      <c r="A2824" s="11" t="n"/>
      <c r="B2824" s="21" t="n"/>
    </row>
    <row r="2825">
      <c r="A2825" s="11" t="n"/>
      <c r="B2825" s="21" t="n"/>
    </row>
    <row r="2826">
      <c r="A2826" s="11" t="n"/>
      <c r="B2826" s="21" t="n"/>
    </row>
    <row r="2827">
      <c r="A2827" s="11" t="n"/>
      <c r="B2827" s="21" t="n"/>
    </row>
    <row r="2828">
      <c r="A2828" s="11" t="n"/>
      <c r="B2828" s="21" t="n"/>
    </row>
    <row r="2829">
      <c r="A2829" s="11" t="n"/>
      <c r="B2829" s="21" t="n"/>
    </row>
    <row r="2830">
      <c r="A2830" s="11" t="n"/>
      <c r="B2830" s="21" t="n"/>
    </row>
    <row r="2831">
      <c r="A2831" s="11" t="n"/>
      <c r="B2831" s="21" t="n"/>
    </row>
    <row r="2832">
      <c r="A2832" s="11" t="n"/>
      <c r="B2832" s="21" t="n"/>
    </row>
    <row r="2833">
      <c r="A2833" s="11" t="n"/>
      <c r="B2833" s="21" t="n"/>
    </row>
    <row r="2834">
      <c r="A2834" s="11" t="n"/>
      <c r="B2834" s="21" t="n"/>
    </row>
    <row r="2835">
      <c r="A2835" s="11" t="n"/>
      <c r="B2835" s="21" t="n"/>
    </row>
    <row r="2836">
      <c r="A2836" s="11" t="n"/>
      <c r="B2836" s="21" t="n"/>
    </row>
    <row r="2837">
      <c r="A2837" s="11" t="n"/>
      <c r="B2837" s="21" t="n"/>
    </row>
    <row r="2838">
      <c r="A2838" s="11" t="n"/>
      <c r="B2838" s="21" t="n"/>
    </row>
    <row r="2839">
      <c r="A2839" s="11" t="n"/>
      <c r="B2839" s="21" t="n"/>
    </row>
    <row r="2840">
      <c r="A2840" s="11" t="n"/>
      <c r="B2840" s="21" t="n"/>
    </row>
    <row r="2841">
      <c r="A2841" s="11" t="n"/>
      <c r="B2841" s="21" t="n"/>
    </row>
    <row r="2842">
      <c r="A2842" s="11" t="n"/>
      <c r="B2842" s="21" t="n"/>
    </row>
    <row r="2843">
      <c r="A2843" s="11" t="n"/>
      <c r="B2843" s="21" t="n"/>
    </row>
    <row r="2844">
      <c r="A2844" s="11" t="n"/>
      <c r="B2844" s="21" t="n"/>
    </row>
    <row r="2845">
      <c r="A2845" s="11" t="n"/>
      <c r="B2845" s="21" t="n"/>
    </row>
    <row r="2846">
      <c r="A2846" s="11" t="n"/>
      <c r="B2846" s="21" t="n"/>
    </row>
    <row r="2847">
      <c r="A2847" s="11" t="n"/>
      <c r="B2847" s="21" t="n"/>
    </row>
    <row r="2848">
      <c r="A2848" s="11" t="n"/>
      <c r="B2848" s="21" t="n"/>
    </row>
    <row r="2849">
      <c r="A2849" s="11" t="n"/>
      <c r="B2849" s="21" t="n"/>
    </row>
    <row r="2850">
      <c r="A2850" s="11" t="n"/>
      <c r="B2850" s="21" t="n"/>
    </row>
    <row r="2851">
      <c r="A2851" s="11" t="n"/>
      <c r="B2851" s="21" t="n"/>
    </row>
    <row r="2852">
      <c r="A2852" s="11" t="n"/>
      <c r="B2852" s="21" t="n"/>
    </row>
    <row r="2853">
      <c r="A2853" s="11" t="n"/>
      <c r="B2853" s="21" t="n"/>
    </row>
    <row r="2854">
      <c r="A2854" s="11" t="n"/>
      <c r="B2854" s="21" t="n"/>
    </row>
    <row r="2855">
      <c r="A2855" s="11" t="n"/>
      <c r="B2855" s="21" t="n"/>
    </row>
    <row r="2856">
      <c r="A2856" s="11" t="n"/>
      <c r="B2856" s="21" t="n"/>
    </row>
    <row r="2857">
      <c r="A2857" s="11" t="n"/>
      <c r="B2857" s="21" t="n"/>
    </row>
    <row r="2858">
      <c r="A2858" s="11" t="n"/>
      <c r="B2858" s="21" t="n"/>
    </row>
    <row r="2859">
      <c r="A2859" s="11" t="n"/>
      <c r="B2859" s="21" t="n"/>
    </row>
    <row r="2860">
      <c r="A2860" s="11" t="n"/>
      <c r="B2860" s="21" t="n"/>
    </row>
    <row r="2861">
      <c r="A2861" s="11" t="n"/>
      <c r="B2861" s="21" t="n"/>
    </row>
    <row r="2862">
      <c r="A2862" s="11" t="n"/>
      <c r="B2862" s="21" t="n"/>
    </row>
    <row r="2863">
      <c r="A2863" s="11" t="n"/>
      <c r="B2863" s="21" t="n"/>
    </row>
    <row r="2864">
      <c r="A2864" s="11" t="n"/>
      <c r="B2864" s="21" t="n"/>
    </row>
    <row r="2865">
      <c r="A2865" s="11" t="n"/>
      <c r="B2865" s="21" t="n"/>
    </row>
    <row r="2866">
      <c r="A2866" s="11" t="n"/>
      <c r="B2866" s="21" t="n"/>
    </row>
    <row r="2867">
      <c r="A2867" s="11" t="n"/>
      <c r="B2867" s="21" t="n"/>
    </row>
    <row r="2868">
      <c r="A2868" s="11" t="n"/>
      <c r="B2868" s="21" t="n"/>
    </row>
    <row r="2869">
      <c r="A2869" s="11" t="n"/>
      <c r="B2869" s="21" t="n"/>
    </row>
    <row r="2870">
      <c r="A2870" s="11" t="n"/>
      <c r="B2870" s="21" t="n"/>
    </row>
    <row r="2871">
      <c r="A2871" s="11" t="n"/>
      <c r="B2871" s="21" t="n"/>
    </row>
    <row r="2872">
      <c r="A2872" s="11" t="n"/>
      <c r="B2872" s="21" t="n"/>
    </row>
    <row r="2873">
      <c r="A2873" s="11" t="n"/>
      <c r="B2873" s="21" t="n"/>
    </row>
    <row r="2874">
      <c r="A2874" s="11" t="n"/>
      <c r="B2874" s="21" t="n"/>
    </row>
    <row r="2875">
      <c r="A2875" s="11" t="n"/>
      <c r="B2875" s="21" t="n"/>
    </row>
    <row r="2876">
      <c r="A2876" s="11" t="n"/>
      <c r="B2876" s="21" t="n"/>
    </row>
    <row r="2877">
      <c r="A2877" s="11" t="n"/>
      <c r="B2877" s="21" t="n"/>
    </row>
    <row r="2878">
      <c r="A2878" s="11" t="n"/>
      <c r="B2878" s="21" t="n"/>
    </row>
    <row r="2879">
      <c r="A2879" s="11" t="n"/>
      <c r="B2879" s="21" t="n"/>
    </row>
    <row r="2880">
      <c r="A2880" s="11" t="n"/>
      <c r="B2880" s="21" t="n"/>
    </row>
    <row r="2881">
      <c r="A2881" s="11" t="n"/>
      <c r="B2881" s="21" t="n"/>
    </row>
    <row r="2882">
      <c r="A2882" s="11" t="n"/>
      <c r="B2882" s="21" t="n"/>
    </row>
    <row r="2883">
      <c r="A2883" s="11" t="n"/>
      <c r="B2883" s="21" t="n"/>
    </row>
    <row r="2884">
      <c r="A2884" s="11" t="n"/>
      <c r="B2884" s="21" t="n"/>
    </row>
    <row r="2885">
      <c r="A2885" s="11" t="n"/>
      <c r="B2885" s="21" t="n"/>
    </row>
    <row r="2886">
      <c r="A2886" s="11" t="n"/>
      <c r="B2886" s="21" t="n"/>
    </row>
    <row r="2887">
      <c r="A2887" s="11" t="n"/>
      <c r="B2887" s="21" t="n"/>
    </row>
    <row r="2888">
      <c r="A2888" s="11" t="n"/>
      <c r="B2888" s="21" t="n"/>
    </row>
    <row r="2889">
      <c r="A2889" s="11" t="n"/>
      <c r="B2889" s="21" t="n"/>
    </row>
    <row r="2890">
      <c r="A2890" s="11" t="n"/>
      <c r="B2890" s="21" t="n"/>
    </row>
    <row r="2891">
      <c r="A2891" s="11" t="n"/>
      <c r="B2891" s="21" t="n"/>
    </row>
    <row r="2892">
      <c r="A2892" s="11" t="n"/>
      <c r="B2892" s="21" t="n"/>
    </row>
    <row r="2893">
      <c r="A2893" s="11" t="n"/>
      <c r="B2893" s="21" t="n"/>
    </row>
    <row r="2894">
      <c r="A2894" s="11" t="n"/>
      <c r="B2894" s="21" t="n"/>
    </row>
    <row r="2895">
      <c r="A2895" s="11" t="n"/>
      <c r="B2895" s="21" t="n"/>
    </row>
    <row r="2896">
      <c r="A2896" s="11" t="n"/>
      <c r="B2896" s="21" t="n"/>
    </row>
    <row r="2897">
      <c r="A2897" s="11" t="n"/>
      <c r="B2897" s="21" t="n"/>
    </row>
    <row r="2898">
      <c r="A2898" s="11" t="n"/>
      <c r="B2898" s="21" t="n"/>
    </row>
    <row r="2899">
      <c r="A2899" s="11" t="n"/>
      <c r="B2899" s="21" t="n"/>
    </row>
    <row r="2900">
      <c r="A2900" s="11" t="n"/>
      <c r="B2900" s="21" t="n"/>
    </row>
    <row r="2901">
      <c r="A2901" s="11" t="n"/>
      <c r="B2901" s="21" t="n"/>
    </row>
    <row r="2902">
      <c r="A2902" s="11" t="n"/>
      <c r="B2902" s="21" t="n"/>
    </row>
    <row r="2903">
      <c r="A2903" s="11" t="n"/>
      <c r="B2903" s="21" t="n"/>
    </row>
    <row r="2904">
      <c r="A2904" s="11" t="n"/>
      <c r="B2904" s="21" t="n"/>
    </row>
    <row r="2905">
      <c r="A2905" s="11" t="n"/>
      <c r="B2905" s="21" t="n"/>
    </row>
    <row r="2906">
      <c r="A2906" s="11" t="n"/>
      <c r="B2906" s="21" t="n"/>
    </row>
    <row r="2907">
      <c r="A2907" s="11" t="n"/>
      <c r="B2907" s="21" t="n"/>
    </row>
    <row r="2908">
      <c r="A2908" s="11" t="n"/>
      <c r="B2908" s="21" t="n"/>
    </row>
    <row r="2909">
      <c r="A2909" s="11" t="n"/>
      <c r="B2909" s="21" t="n"/>
    </row>
    <row r="2910">
      <c r="A2910" s="11" t="n"/>
      <c r="B2910" s="21" t="n"/>
    </row>
    <row r="2911">
      <c r="A2911" s="11" t="n"/>
      <c r="B2911" s="21" t="n"/>
    </row>
    <row r="2912">
      <c r="A2912" s="11" t="n"/>
      <c r="B2912" s="21" t="n"/>
    </row>
    <row r="2913">
      <c r="A2913" s="11" t="n"/>
      <c r="B2913" s="21" t="n"/>
    </row>
    <row r="2914">
      <c r="A2914" s="11" t="n"/>
      <c r="B2914" s="21" t="n"/>
    </row>
    <row r="2915">
      <c r="A2915" s="11" t="n"/>
      <c r="B2915" s="21" t="n"/>
    </row>
    <row r="2916">
      <c r="A2916" s="11" t="n"/>
      <c r="B2916" s="21" t="n"/>
    </row>
    <row r="2917">
      <c r="A2917" s="11" t="n"/>
      <c r="B2917" s="21" t="n"/>
    </row>
    <row r="2918">
      <c r="A2918" s="11" t="n"/>
      <c r="B2918" s="21" t="n"/>
    </row>
    <row r="2919">
      <c r="A2919" s="11" t="n"/>
      <c r="B2919" s="21" t="n"/>
    </row>
    <row r="2920">
      <c r="A2920" s="11" t="n"/>
      <c r="B2920" s="21" t="n"/>
    </row>
    <row r="2921">
      <c r="A2921" s="11" t="n"/>
      <c r="B2921" s="21" t="n"/>
    </row>
    <row r="2922">
      <c r="A2922" s="11" t="n"/>
      <c r="B2922" s="21" t="n"/>
    </row>
    <row r="2923">
      <c r="A2923" s="11" t="n"/>
      <c r="B2923" s="21" t="n"/>
    </row>
    <row r="2924">
      <c r="A2924" s="11" t="n"/>
      <c r="B2924" s="21" t="n"/>
    </row>
    <row r="2925">
      <c r="A2925" s="11" t="n"/>
      <c r="B2925" s="21" t="n"/>
    </row>
    <row r="2926">
      <c r="A2926" s="11" t="n"/>
      <c r="B2926" s="21" t="n"/>
    </row>
    <row r="2927">
      <c r="A2927" s="11" t="n"/>
      <c r="B2927" s="21" t="n"/>
    </row>
    <row r="2928">
      <c r="A2928" s="11" t="n"/>
      <c r="B2928" s="21" t="n"/>
    </row>
    <row r="2929">
      <c r="A2929" s="11" t="n"/>
      <c r="B2929" s="21" t="n"/>
    </row>
    <row r="2930">
      <c r="A2930" s="11" t="n"/>
      <c r="B2930" s="21" t="n"/>
    </row>
    <row r="2931">
      <c r="A2931" s="11" t="n"/>
      <c r="B2931" s="21" t="n"/>
    </row>
    <row r="2932">
      <c r="A2932" s="11" t="n"/>
      <c r="B2932" s="21" t="n"/>
    </row>
    <row r="2933">
      <c r="A2933" s="11" t="n"/>
      <c r="B2933" s="21" t="n"/>
    </row>
    <row r="2934">
      <c r="A2934" s="11" t="n"/>
      <c r="B2934" s="21" t="n"/>
    </row>
    <row r="2935">
      <c r="A2935" s="11" t="n"/>
      <c r="B2935" s="21" t="n"/>
    </row>
    <row r="2936">
      <c r="A2936" s="11" t="n"/>
      <c r="B2936" s="21" t="n"/>
    </row>
    <row r="2937">
      <c r="A2937" s="11" t="n"/>
      <c r="B2937" s="21" t="n"/>
    </row>
    <row r="2938">
      <c r="A2938" s="11" t="n"/>
      <c r="B2938" s="21" t="n"/>
    </row>
    <row r="2939">
      <c r="A2939" s="11" t="n"/>
      <c r="B2939" s="21" t="n"/>
    </row>
    <row r="2940">
      <c r="A2940" s="11" t="n"/>
      <c r="B2940" s="21" t="n"/>
    </row>
    <row r="2941">
      <c r="A2941" s="11" t="n"/>
      <c r="B2941" s="21" t="n"/>
    </row>
    <row r="2942">
      <c r="A2942" s="11" t="n"/>
      <c r="B2942" s="21" t="n"/>
    </row>
    <row r="2943">
      <c r="A2943" s="11" t="n"/>
      <c r="B2943" s="21" t="n"/>
    </row>
    <row r="2944">
      <c r="A2944" s="11" t="n"/>
      <c r="B2944" s="21" t="n"/>
    </row>
    <row r="2945">
      <c r="A2945" s="11" t="n"/>
      <c r="B2945" s="21" t="n"/>
    </row>
    <row r="2946">
      <c r="A2946" s="11" t="n"/>
      <c r="B2946" s="21" t="n"/>
    </row>
    <row r="2947">
      <c r="A2947" s="11" t="n"/>
      <c r="B2947" s="21" t="n"/>
    </row>
    <row r="2948">
      <c r="A2948" s="11" t="n"/>
      <c r="B2948" s="21" t="n"/>
    </row>
    <row r="2949">
      <c r="A2949" s="11" t="n"/>
      <c r="B2949" s="21" t="n"/>
    </row>
    <row r="2950">
      <c r="A2950" s="11" t="n"/>
      <c r="B2950" s="21" t="n"/>
    </row>
    <row r="2951">
      <c r="A2951" s="11" t="n"/>
      <c r="B2951" s="21" t="n"/>
    </row>
    <row r="2952">
      <c r="A2952" s="11" t="n"/>
      <c r="B2952" s="21" t="n"/>
    </row>
    <row r="2953">
      <c r="A2953" s="11" t="n"/>
      <c r="B2953" s="21" t="n"/>
    </row>
    <row r="2954">
      <c r="A2954" s="11" t="n"/>
      <c r="B2954" s="21" t="n"/>
    </row>
    <row r="2955">
      <c r="A2955" s="11" t="n"/>
      <c r="B2955" s="21" t="n"/>
    </row>
    <row r="2956">
      <c r="A2956" s="11" t="n"/>
      <c r="B2956" s="21" t="n"/>
    </row>
    <row r="2957">
      <c r="A2957" s="11" t="n"/>
      <c r="B2957" s="21" t="n"/>
    </row>
    <row r="2958">
      <c r="A2958" s="11" t="n"/>
      <c r="B2958" s="21" t="n"/>
    </row>
    <row r="2959">
      <c r="A2959" s="11" t="n"/>
      <c r="B2959" s="21" t="n"/>
    </row>
    <row r="2960">
      <c r="A2960" s="11" t="n"/>
      <c r="B2960" s="21" t="n"/>
    </row>
    <row r="2961">
      <c r="A2961" s="11" t="n"/>
      <c r="B2961" s="21" t="n"/>
    </row>
    <row r="2962">
      <c r="A2962" s="11" t="n"/>
      <c r="B2962" s="21" t="n"/>
    </row>
    <row r="2963">
      <c r="A2963" s="11" t="n"/>
      <c r="B2963" s="21" t="n"/>
    </row>
    <row r="2964">
      <c r="A2964" s="11" t="n"/>
      <c r="B2964" s="21" t="n"/>
    </row>
    <row r="2965">
      <c r="A2965" s="11" t="n"/>
      <c r="B2965" s="21" t="n"/>
    </row>
    <row r="2966">
      <c r="A2966" s="11" t="n"/>
      <c r="B2966" s="21" t="n"/>
    </row>
    <row r="2967">
      <c r="A2967" s="11" t="n"/>
      <c r="B2967" s="21" t="n"/>
    </row>
    <row r="2968">
      <c r="A2968" s="11" t="n"/>
      <c r="B2968" s="21" t="n"/>
    </row>
    <row r="2969">
      <c r="A2969" s="11" t="n"/>
      <c r="B2969" s="21" t="n"/>
    </row>
    <row r="2970">
      <c r="A2970" s="11" t="n"/>
      <c r="B2970" s="21" t="n"/>
    </row>
    <row r="2971">
      <c r="A2971" s="11" t="n"/>
      <c r="B2971" s="21" t="n"/>
    </row>
    <row r="2972">
      <c r="A2972" s="11" t="n"/>
      <c r="B2972" s="21" t="n"/>
    </row>
    <row r="2973">
      <c r="A2973" s="11" t="n"/>
      <c r="B2973" s="21" t="n"/>
    </row>
    <row r="2974">
      <c r="A2974" s="11" t="n"/>
      <c r="B2974" s="21" t="n"/>
    </row>
    <row r="2975">
      <c r="A2975" s="11" t="n"/>
      <c r="B2975" s="21" t="n"/>
    </row>
    <row r="2976">
      <c r="A2976" s="11" t="n"/>
      <c r="B2976" s="21" t="n"/>
    </row>
    <row r="2977">
      <c r="A2977" s="11" t="n"/>
      <c r="B2977" s="21" t="n"/>
    </row>
    <row r="2978">
      <c r="A2978" s="11" t="n"/>
      <c r="B2978" s="21" t="n"/>
    </row>
    <row r="2979">
      <c r="A2979" s="11" t="n"/>
      <c r="B2979" s="21" t="n"/>
    </row>
    <row r="2980">
      <c r="A2980" s="11" t="n"/>
      <c r="B2980" s="21" t="n"/>
    </row>
    <row r="2981">
      <c r="A2981" s="11" t="n"/>
      <c r="B2981" s="21" t="n"/>
    </row>
    <row r="2982">
      <c r="A2982" s="11" t="n"/>
      <c r="B2982" s="21" t="n"/>
    </row>
    <row r="2983">
      <c r="A2983" s="11" t="n"/>
      <c r="B2983" s="21" t="n"/>
    </row>
    <row r="2984">
      <c r="A2984" s="11" t="n"/>
      <c r="B2984" s="21" t="n"/>
    </row>
    <row r="2985">
      <c r="A2985" s="11" t="n"/>
      <c r="B2985" s="21" t="n"/>
    </row>
    <row r="2986">
      <c r="A2986" s="11" t="n"/>
      <c r="B2986" s="21" t="n"/>
    </row>
    <row r="2987">
      <c r="A2987" s="11" t="n"/>
      <c r="B2987" s="21" t="n"/>
    </row>
    <row r="2988">
      <c r="A2988" s="11" t="n"/>
      <c r="B2988" s="21" t="n"/>
    </row>
    <row r="2989">
      <c r="A2989" s="11" t="n"/>
      <c r="B2989" s="21" t="n"/>
    </row>
    <row r="2990">
      <c r="A2990" s="11" t="n"/>
      <c r="B2990" s="21" t="n"/>
    </row>
    <row r="2991">
      <c r="A2991" s="11" t="n"/>
      <c r="B2991" s="21" t="n"/>
    </row>
    <row r="2992">
      <c r="A2992" s="11" t="n"/>
      <c r="B2992" s="21" t="n"/>
    </row>
    <row r="2993">
      <c r="A2993" s="11" t="n"/>
      <c r="B2993" s="21" t="n"/>
    </row>
    <row r="2994">
      <c r="A2994" s="11" t="n"/>
      <c r="B2994" s="21" t="n"/>
    </row>
    <row r="2995">
      <c r="A2995" s="11" t="n"/>
      <c r="B2995" s="21" t="n"/>
    </row>
    <row r="2996">
      <c r="A2996" s="11" t="n"/>
      <c r="B2996" s="21" t="n"/>
    </row>
    <row r="2997">
      <c r="A2997" s="11" t="n"/>
      <c r="B2997" s="21" t="n"/>
    </row>
    <row r="2998">
      <c r="A2998" s="11" t="n"/>
      <c r="B2998" s="21" t="n"/>
    </row>
    <row r="2999">
      <c r="A2999" s="11" t="n"/>
      <c r="B2999" s="21" t="n"/>
    </row>
    <row r="3000">
      <c r="A3000" s="11" t="n"/>
      <c r="B3000" s="21" t="n"/>
    </row>
    <row r="3001">
      <c r="A3001" s="11" t="n"/>
      <c r="B3001" s="21" t="n"/>
    </row>
    <row r="3002">
      <c r="A3002" s="11" t="n"/>
      <c r="B3002" s="21" t="n"/>
    </row>
    <row r="3003">
      <c r="A3003" s="11" t="n"/>
      <c r="B3003" s="21" t="n"/>
    </row>
    <row r="3004">
      <c r="A3004" s="11" t="n"/>
      <c r="B3004" s="21" t="n"/>
    </row>
    <row r="3005">
      <c r="A3005" s="11" t="n"/>
      <c r="B3005" s="21" t="n"/>
    </row>
    <row r="3006">
      <c r="A3006" s="11" t="n"/>
      <c r="B3006" s="21" t="n"/>
    </row>
    <row r="3007">
      <c r="A3007" s="11" t="n"/>
      <c r="B3007" s="21" t="n"/>
    </row>
    <row r="3008">
      <c r="A3008" s="11" t="n"/>
      <c r="B3008" s="21" t="n"/>
    </row>
    <row r="3009">
      <c r="A3009" s="11" t="n"/>
      <c r="B3009" s="21" t="n"/>
    </row>
    <row r="3010">
      <c r="A3010" s="11" t="n"/>
      <c r="B3010" s="21" t="n"/>
    </row>
    <row r="3011">
      <c r="A3011" s="11" t="n"/>
      <c r="B3011" s="21" t="n"/>
    </row>
    <row r="3012">
      <c r="A3012" s="11" t="n"/>
      <c r="B3012" s="21" t="n"/>
    </row>
    <row r="3013">
      <c r="A3013" s="11" t="n"/>
      <c r="B3013" s="21" t="n"/>
    </row>
    <row r="3014">
      <c r="A3014" s="11" t="n"/>
      <c r="B3014" s="21" t="n"/>
    </row>
    <row r="3015">
      <c r="A3015" s="11" t="n"/>
      <c r="B3015" s="21" t="n"/>
    </row>
    <row r="3016">
      <c r="A3016" s="11" t="n"/>
      <c r="B3016" s="21" t="n"/>
    </row>
    <row r="3017">
      <c r="A3017" s="11" t="n"/>
      <c r="B3017" s="21" t="n"/>
    </row>
    <row r="3018">
      <c r="A3018" s="11" t="n"/>
      <c r="B3018" s="21" t="n"/>
    </row>
    <row r="3019">
      <c r="A3019" s="11" t="n"/>
      <c r="B3019" s="21" t="n"/>
    </row>
    <row r="3020">
      <c r="A3020" s="11" t="n"/>
      <c r="B3020" s="21" t="n"/>
    </row>
    <row r="3021">
      <c r="A3021" s="11" t="n"/>
      <c r="B3021" s="21" t="n"/>
    </row>
    <row r="3022">
      <c r="A3022" s="11" t="n"/>
      <c r="B3022" s="21" t="n"/>
    </row>
    <row r="3023">
      <c r="A3023" s="11" t="n"/>
      <c r="B3023" s="21" t="n"/>
    </row>
    <row r="3024">
      <c r="A3024" s="11" t="n"/>
      <c r="B3024" s="21" t="n"/>
    </row>
    <row r="3025">
      <c r="A3025" s="11" t="n"/>
      <c r="B3025" s="21" t="n"/>
    </row>
    <row r="3026">
      <c r="A3026" s="11" t="n"/>
      <c r="B3026" s="21" t="n"/>
    </row>
    <row r="3027">
      <c r="A3027" s="11" t="n"/>
      <c r="B3027" s="21" t="n"/>
    </row>
    <row r="3028">
      <c r="A3028" s="11" t="n"/>
      <c r="B3028" s="21" t="n"/>
    </row>
    <row r="3029">
      <c r="A3029" s="11" t="n"/>
      <c r="B3029" s="21" t="n"/>
    </row>
    <row r="3030">
      <c r="A3030" s="11" t="n"/>
      <c r="B3030" s="21" t="n"/>
    </row>
    <row r="3031">
      <c r="A3031" s="11" t="n"/>
      <c r="B3031" s="21" t="n"/>
    </row>
    <row r="3032">
      <c r="A3032" s="11" t="n"/>
      <c r="B3032" s="21" t="n"/>
    </row>
    <row r="3033">
      <c r="A3033" s="11" t="n"/>
      <c r="B3033" s="21" t="n"/>
    </row>
    <row r="3034">
      <c r="A3034" s="11" t="n"/>
      <c r="B3034" s="21" t="n"/>
    </row>
    <row r="3035">
      <c r="A3035" s="11" t="n"/>
      <c r="B3035" s="21" t="n"/>
    </row>
    <row r="3036">
      <c r="A3036" s="11" t="n"/>
      <c r="B3036" s="21" t="n"/>
    </row>
    <row r="3037">
      <c r="A3037" s="11" t="n"/>
      <c r="B3037" s="21" t="n"/>
    </row>
    <row r="3038">
      <c r="A3038" s="11" t="n"/>
      <c r="B3038" s="21" t="n"/>
    </row>
    <row r="3039">
      <c r="A3039" s="11" t="n"/>
      <c r="B3039" s="21" t="n"/>
    </row>
    <row r="3040">
      <c r="A3040" s="11" t="n"/>
      <c r="B3040" s="21" t="n"/>
    </row>
    <row r="3041">
      <c r="A3041" s="11" t="n"/>
      <c r="B3041" s="21" t="n"/>
    </row>
    <row r="3042">
      <c r="A3042" s="11" t="n"/>
      <c r="B3042" s="21" t="n"/>
    </row>
    <row r="3043">
      <c r="A3043" s="11" t="n"/>
      <c r="B3043" s="21" t="n"/>
    </row>
    <row r="3044">
      <c r="A3044" s="11" t="n"/>
      <c r="B3044" s="21" t="n"/>
    </row>
    <row r="3045">
      <c r="A3045" s="11" t="n"/>
      <c r="B3045" s="21" t="n"/>
    </row>
    <row r="3046">
      <c r="A3046" s="11" t="n"/>
      <c r="B3046" s="21" t="n"/>
    </row>
    <row r="3047">
      <c r="A3047" s="11" t="n"/>
      <c r="B3047" s="21" t="n"/>
    </row>
    <row r="3048">
      <c r="A3048" s="11" t="n"/>
      <c r="B3048" s="21" t="n"/>
    </row>
    <row r="3049">
      <c r="A3049" s="11" t="n"/>
      <c r="B3049" s="21" t="n"/>
    </row>
    <row r="3050">
      <c r="A3050" s="11" t="n"/>
      <c r="B3050" s="21" t="n"/>
    </row>
    <row r="3051">
      <c r="A3051" s="11" t="n"/>
      <c r="B3051" s="21" t="n"/>
    </row>
    <row r="3052">
      <c r="A3052" s="11" t="n"/>
      <c r="B3052" s="21" t="n"/>
    </row>
    <row r="3053">
      <c r="A3053" s="11" t="n"/>
      <c r="B3053" s="21" t="n"/>
    </row>
    <row r="3054">
      <c r="A3054" s="11" t="n"/>
      <c r="B3054" s="21" t="n"/>
    </row>
    <row r="3055">
      <c r="A3055" s="11" t="n"/>
      <c r="B3055" s="21" t="n"/>
    </row>
    <row r="3056">
      <c r="A3056" s="11" t="n"/>
      <c r="B3056" s="21" t="n"/>
    </row>
    <row r="3057">
      <c r="A3057" s="11" t="n"/>
      <c r="B3057" s="21" t="n"/>
    </row>
    <row r="3058">
      <c r="A3058" s="11" t="n"/>
      <c r="B3058" s="21" t="n"/>
    </row>
    <row r="3059">
      <c r="A3059" s="11" t="n"/>
      <c r="B3059" s="21" t="n"/>
    </row>
    <row r="3060">
      <c r="A3060" s="11" t="n"/>
      <c r="B3060" s="21" t="n"/>
    </row>
    <row r="3061">
      <c r="A3061" s="11" t="n"/>
      <c r="B3061" s="21" t="n"/>
    </row>
    <row r="3062">
      <c r="A3062" s="11" t="n"/>
      <c r="B3062" s="21" t="n"/>
    </row>
    <row r="3063">
      <c r="A3063" s="11" t="n"/>
      <c r="B3063" s="21" t="n"/>
    </row>
    <row r="3064">
      <c r="A3064" s="11" t="n"/>
      <c r="B3064" s="21" t="n"/>
    </row>
    <row r="3065">
      <c r="A3065" s="11" t="n"/>
      <c r="B3065" s="21" t="n"/>
    </row>
    <row r="3066">
      <c r="A3066" s="11" t="n"/>
      <c r="B3066" s="21" t="n"/>
    </row>
    <row r="3067">
      <c r="A3067" s="11" t="n"/>
      <c r="B3067" s="21" t="n"/>
    </row>
    <row r="3068">
      <c r="A3068" s="11" t="n"/>
      <c r="B3068" s="21" t="n"/>
    </row>
    <row r="3069">
      <c r="A3069" s="11" t="n"/>
      <c r="B3069" s="21" t="n"/>
    </row>
    <row r="3070">
      <c r="A3070" s="11" t="n"/>
      <c r="B3070" s="21" t="n"/>
    </row>
    <row r="3071">
      <c r="A3071" s="11" t="n"/>
      <c r="B3071" s="21" t="n"/>
    </row>
    <row r="3072">
      <c r="A3072" s="11" t="n"/>
      <c r="B3072" s="21" t="n"/>
    </row>
    <row r="3073">
      <c r="A3073" s="11" t="n"/>
      <c r="B3073" s="21" t="n"/>
    </row>
    <row r="3074">
      <c r="A3074" s="11" t="n"/>
      <c r="B3074" s="21" t="n"/>
    </row>
    <row r="3075">
      <c r="A3075" s="11" t="n"/>
      <c r="B3075" s="21" t="n"/>
    </row>
    <row r="3076">
      <c r="A3076" s="11" t="n"/>
      <c r="B3076" s="21" t="n"/>
    </row>
    <row r="3077">
      <c r="A3077" s="11" t="n"/>
      <c r="B3077" s="21" t="n"/>
    </row>
    <row r="3078">
      <c r="A3078" s="11" t="n"/>
      <c r="B3078" s="21" t="n"/>
    </row>
    <row r="3079">
      <c r="A3079" s="11" t="n"/>
      <c r="B3079" s="21" t="n"/>
    </row>
    <row r="3080">
      <c r="A3080" s="11" t="n"/>
      <c r="B3080" s="21" t="n"/>
    </row>
    <row r="3081">
      <c r="A3081" s="11" t="n"/>
      <c r="B3081" s="21" t="n"/>
    </row>
    <row r="3082">
      <c r="A3082" s="11" t="n"/>
      <c r="B3082" s="21" t="n"/>
    </row>
    <row r="3083">
      <c r="A3083" s="11" t="n"/>
      <c r="B3083" s="21" t="n"/>
    </row>
    <row r="3084">
      <c r="A3084" s="11" t="n"/>
      <c r="B3084" s="21" t="n"/>
    </row>
    <row r="3085">
      <c r="A3085" s="11" t="n"/>
      <c r="B3085" s="21" t="n"/>
    </row>
    <row r="3086">
      <c r="A3086" s="11" t="n"/>
      <c r="B3086" s="21" t="n"/>
    </row>
    <row r="3087">
      <c r="A3087" s="11" t="n"/>
      <c r="B3087" s="21" t="n"/>
    </row>
    <row r="3088">
      <c r="A3088" s="11" t="n"/>
      <c r="B3088" s="21" t="n"/>
    </row>
    <row r="3089">
      <c r="A3089" s="11" t="n"/>
      <c r="B3089" s="21" t="n"/>
    </row>
    <row r="3090">
      <c r="A3090" s="11" t="n"/>
      <c r="B3090" s="21" t="n"/>
    </row>
    <row r="3091">
      <c r="A3091" s="11" t="n"/>
      <c r="B3091" s="21" t="n"/>
    </row>
    <row r="3092">
      <c r="A3092" s="11" t="n"/>
      <c r="B3092" s="21" t="n"/>
    </row>
    <row r="3093">
      <c r="A3093" s="11" t="n"/>
      <c r="B3093" s="21" t="n"/>
    </row>
    <row r="3094">
      <c r="A3094" s="11" t="n"/>
      <c r="B3094" s="21" t="n"/>
    </row>
    <row r="3095">
      <c r="A3095" s="11" t="n"/>
      <c r="B3095" s="21" t="n"/>
    </row>
    <row r="3096">
      <c r="A3096" s="11" t="n"/>
      <c r="B3096" s="21" t="n"/>
    </row>
    <row r="3097">
      <c r="A3097" s="11" t="n"/>
      <c r="B3097" s="21" t="n"/>
    </row>
    <row r="3098">
      <c r="A3098" s="11" t="n"/>
      <c r="B3098" s="21" t="n"/>
    </row>
    <row r="3099">
      <c r="A3099" s="11" t="n"/>
      <c r="B3099" s="21" t="n"/>
    </row>
    <row r="3100">
      <c r="A3100" s="11" t="n"/>
      <c r="B3100" s="21" t="n"/>
    </row>
    <row r="3101">
      <c r="A3101" s="11" t="n"/>
      <c r="B3101" s="21" t="n"/>
    </row>
    <row r="3102">
      <c r="A3102" s="11" t="n"/>
      <c r="B3102" s="21" t="n"/>
    </row>
    <row r="3103">
      <c r="A3103" s="11" t="n"/>
      <c r="B3103" s="21" t="n"/>
    </row>
    <row r="3104">
      <c r="A3104" s="11" t="n"/>
      <c r="B3104" s="21" t="n"/>
    </row>
    <row r="3105">
      <c r="A3105" s="11" t="n"/>
      <c r="B3105" s="21" t="n"/>
    </row>
    <row r="3106">
      <c r="A3106" s="11" t="n"/>
      <c r="B3106" s="21" t="n"/>
    </row>
    <row r="3107">
      <c r="A3107" s="11" t="n"/>
      <c r="B3107" s="21" t="n"/>
    </row>
    <row r="3108">
      <c r="A3108" s="11" t="n"/>
      <c r="B3108" s="21" t="n"/>
    </row>
    <row r="3109">
      <c r="A3109" s="11" t="n"/>
      <c r="B3109" s="21" t="n"/>
    </row>
    <row r="3110">
      <c r="A3110" s="11" t="n"/>
      <c r="B3110" s="21" t="n"/>
    </row>
    <row r="3111">
      <c r="A3111" s="11" t="n"/>
      <c r="B3111" s="21" t="n"/>
    </row>
    <row r="3112">
      <c r="A3112" s="11" t="n"/>
      <c r="B3112" s="21" t="n"/>
    </row>
    <row r="3113">
      <c r="A3113" s="11" t="n"/>
      <c r="B3113" s="21" t="n"/>
    </row>
    <row r="3114">
      <c r="A3114" s="11" t="n"/>
      <c r="B3114" s="21" t="n"/>
    </row>
    <row r="3115">
      <c r="A3115" s="11" t="n"/>
      <c r="B3115" s="21" t="n"/>
    </row>
    <row r="3116">
      <c r="A3116" s="11" t="n"/>
      <c r="B3116" s="21" t="n"/>
    </row>
    <row r="3117">
      <c r="A3117" s="11" t="n"/>
      <c r="B3117" s="21" t="n"/>
    </row>
    <row r="3118">
      <c r="A3118" s="11" t="n"/>
      <c r="B3118" s="21" t="n"/>
    </row>
    <row r="3119">
      <c r="A3119" s="11" t="n"/>
      <c r="B3119" s="21" t="n"/>
    </row>
    <row r="3120">
      <c r="A3120" s="11" t="n"/>
      <c r="B3120" s="21" t="n"/>
    </row>
    <row r="3121">
      <c r="A3121" s="11" t="n"/>
      <c r="B3121" s="21" t="n"/>
    </row>
    <row r="3122">
      <c r="A3122" s="11" t="n"/>
      <c r="B3122" s="21" t="n"/>
    </row>
    <row r="3123">
      <c r="A3123" s="11" t="n"/>
      <c r="B3123" s="21" t="n"/>
    </row>
    <row r="3124">
      <c r="A3124" s="11" t="n"/>
      <c r="B3124" s="21" t="n"/>
    </row>
    <row r="3125">
      <c r="A3125" s="11" t="n"/>
      <c r="B3125" s="21" t="n"/>
    </row>
    <row r="3126">
      <c r="A3126" s="11" t="n"/>
      <c r="B3126" s="21" t="n"/>
    </row>
    <row r="3127">
      <c r="A3127" s="11" t="n"/>
      <c r="B3127" s="21" t="n"/>
    </row>
    <row r="3128">
      <c r="A3128" s="11" t="n"/>
      <c r="B3128" s="21" t="n"/>
    </row>
    <row r="3129">
      <c r="A3129" s="11" t="n"/>
      <c r="B3129" s="21" t="n"/>
    </row>
    <row r="3130">
      <c r="A3130" s="11" t="n"/>
      <c r="B3130" s="21" t="n"/>
    </row>
    <row r="3131">
      <c r="A3131" s="11" t="n"/>
      <c r="B3131" s="21" t="n"/>
    </row>
    <row r="3132">
      <c r="A3132" s="11" t="n"/>
      <c r="B3132" s="21" t="n"/>
    </row>
    <row r="3133">
      <c r="A3133" s="11" t="n"/>
      <c r="B3133" s="21" t="n"/>
    </row>
    <row r="3134">
      <c r="A3134" s="11" t="n"/>
      <c r="B3134" s="21" t="n"/>
    </row>
    <row r="3135">
      <c r="A3135" s="11" t="n"/>
      <c r="B3135" s="21" t="n"/>
    </row>
    <row r="3136">
      <c r="A3136" s="11" t="n"/>
      <c r="B3136" s="21" t="n"/>
    </row>
    <row r="3137">
      <c r="A3137" s="11" t="n"/>
      <c r="B3137" s="21" t="n"/>
    </row>
    <row r="3138">
      <c r="A3138" s="11" t="n"/>
      <c r="B3138" s="21" t="n"/>
    </row>
    <row r="3139">
      <c r="A3139" s="11" t="n"/>
      <c r="B3139" s="21" t="n"/>
    </row>
    <row r="3140">
      <c r="A3140" s="11" t="n"/>
      <c r="B3140" s="21" t="n"/>
    </row>
    <row r="3141">
      <c r="A3141" s="11" t="n"/>
      <c r="B3141" s="21" t="n"/>
    </row>
    <row r="3142">
      <c r="A3142" s="11" t="n"/>
      <c r="B3142" s="21" t="n"/>
    </row>
    <row r="3143">
      <c r="A3143" s="11" t="n"/>
      <c r="B3143" s="21" t="n"/>
    </row>
    <row r="3144">
      <c r="A3144" s="11" t="n"/>
      <c r="B3144" s="21" t="n"/>
    </row>
    <row r="3145">
      <c r="A3145" s="11" t="n"/>
      <c r="B3145" s="21" t="n"/>
    </row>
    <row r="3146">
      <c r="A3146" s="11" t="n"/>
      <c r="B3146" s="21" t="n"/>
    </row>
    <row r="3147">
      <c r="A3147" s="11" t="n"/>
      <c r="B3147" s="21" t="n"/>
    </row>
    <row r="3148">
      <c r="A3148" s="11" t="n"/>
      <c r="B3148" s="21" t="n"/>
    </row>
    <row r="3149">
      <c r="A3149" s="11" t="n"/>
      <c r="B3149" s="21" t="n"/>
    </row>
    <row r="3150">
      <c r="A3150" s="11" t="n"/>
      <c r="B3150" s="21" t="n"/>
    </row>
    <row r="3151">
      <c r="A3151" s="11" t="n"/>
      <c r="B3151" s="21" t="n"/>
    </row>
    <row r="3152">
      <c r="A3152" s="11" t="n"/>
      <c r="B3152" s="21" t="n"/>
    </row>
    <row r="3153">
      <c r="A3153" s="11" t="n"/>
      <c r="B3153" s="21" t="n"/>
    </row>
    <row r="3154">
      <c r="A3154" s="11" t="n"/>
      <c r="B3154" s="21" t="n"/>
    </row>
    <row r="3155">
      <c r="A3155" s="11" t="n"/>
      <c r="B3155" s="21" t="n"/>
    </row>
    <row r="3156">
      <c r="A3156" s="11" t="n"/>
      <c r="B3156" s="21" t="n"/>
    </row>
    <row r="3157">
      <c r="A3157" s="11" t="n"/>
      <c r="B3157" s="21" t="n"/>
    </row>
    <row r="3158">
      <c r="A3158" s="11" t="n"/>
      <c r="B3158" s="21" t="n"/>
    </row>
    <row r="3159">
      <c r="A3159" s="11" t="n"/>
      <c r="B3159" s="21" t="n"/>
    </row>
    <row r="3160">
      <c r="A3160" s="11" t="n"/>
      <c r="B3160" s="21" t="n"/>
    </row>
    <row r="3161">
      <c r="A3161" s="11" t="n"/>
      <c r="B3161" s="21" t="n"/>
    </row>
    <row r="3162">
      <c r="A3162" s="11" t="n"/>
      <c r="B3162" s="21" t="n"/>
    </row>
    <row r="3163">
      <c r="A3163" s="11" t="n"/>
      <c r="B3163" s="21" t="n"/>
    </row>
    <row r="3164">
      <c r="A3164" s="11" t="n"/>
      <c r="B3164" s="21" t="n"/>
    </row>
    <row r="3165">
      <c r="A3165" s="11" t="n"/>
      <c r="B3165" s="21" t="n"/>
    </row>
    <row r="3166">
      <c r="A3166" s="11" t="n"/>
      <c r="B3166" s="21" t="n"/>
    </row>
    <row r="3167">
      <c r="A3167" s="11" t="n"/>
      <c r="B3167" s="21" t="n"/>
    </row>
    <row r="3168">
      <c r="A3168" s="11" t="n"/>
      <c r="B3168" s="21" t="n"/>
    </row>
    <row r="3169">
      <c r="A3169" s="11" t="n"/>
      <c r="B3169" s="21" t="n"/>
    </row>
    <row r="3170">
      <c r="A3170" s="11" t="n"/>
      <c r="B3170" s="21" t="n"/>
    </row>
    <row r="3171">
      <c r="A3171" s="11" t="n"/>
      <c r="B3171" s="21" t="n"/>
    </row>
    <row r="3172">
      <c r="A3172" s="11" t="n"/>
      <c r="B3172" s="21" t="n"/>
    </row>
    <row r="3173">
      <c r="A3173" s="11" t="n"/>
      <c r="B3173" s="21" t="n"/>
    </row>
    <row r="3174">
      <c r="A3174" s="11" t="n"/>
      <c r="B3174" s="21" t="n"/>
    </row>
    <row r="3175">
      <c r="A3175" s="11" t="n"/>
      <c r="B3175" s="21" t="n"/>
    </row>
    <row r="3176">
      <c r="A3176" s="11" t="n"/>
      <c r="B3176" s="21" t="n"/>
    </row>
    <row r="3177">
      <c r="A3177" s="11" t="n"/>
      <c r="B3177" s="21" t="n"/>
    </row>
    <row r="3178">
      <c r="A3178" s="11" t="n"/>
      <c r="B3178" s="21" t="n"/>
    </row>
    <row r="3179">
      <c r="A3179" s="11" t="n"/>
      <c r="B3179" s="21" t="n"/>
    </row>
    <row r="3180">
      <c r="A3180" s="11" t="n"/>
      <c r="B3180" s="21" t="n"/>
    </row>
    <row r="3181">
      <c r="A3181" s="11" t="n"/>
      <c r="B3181" s="21" t="n"/>
    </row>
    <row r="3182">
      <c r="A3182" s="11" t="n"/>
      <c r="B3182" s="21" t="n"/>
    </row>
    <row r="3183">
      <c r="A3183" s="11" t="n"/>
      <c r="B3183" s="21" t="n"/>
    </row>
    <row r="3184">
      <c r="A3184" s="11" t="n"/>
      <c r="B3184" s="21" t="n"/>
    </row>
    <row r="3185">
      <c r="A3185" s="11" t="n"/>
      <c r="B3185" s="21" t="n"/>
    </row>
    <row r="3186">
      <c r="A3186" s="11" t="n"/>
      <c r="B3186" s="21" t="n"/>
    </row>
    <row r="3187">
      <c r="A3187" s="11" t="n"/>
      <c r="B3187" s="21" t="n"/>
    </row>
    <row r="3188">
      <c r="A3188" s="11" t="n"/>
      <c r="B3188" s="21" t="n"/>
    </row>
    <row r="3189">
      <c r="A3189" s="11" t="n"/>
      <c r="B3189" s="21" t="n"/>
    </row>
    <row r="3190">
      <c r="A3190" s="11" t="n"/>
      <c r="B3190" s="21" t="n"/>
    </row>
    <row r="3191">
      <c r="A3191" s="11" t="n"/>
      <c r="B3191" s="21" t="n"/>
    </row>
    <row r="3192">
      <c r="A3192" s="11" t="n"/>
      <c r="B3192" s="21" t="n"/>
    </row>
    <row r="3193">
      <c r="A3193" s="11" t="n"/>
      <c r="B3193" s="21" t="n"/>
    </row>
    <row r="3194">
      <c r="A3194" s="11" t="n"/>
      <c r="B3194" s="21" t="n"/>
    </row>
    <row r="3195">
      <c r="A3195" s="11" t="n"/>
      <c r="B3195" s="21" t="n"/>
    </row>
    <row r="3196">
      <c r="A3196" s="11" t="n"/>
      <c r="B3196" s="21" t="n"/>
    </row>
    <row r="3197">
      <c r="A3197" s="11" t="n"/>
      <c r="B3197" s="21" t="n"/>
    </row>
    <row r="3198">
      <c r="A3198" s="11" t="n"/>
      <c r="B3198" s="21" t="n"/>
    </row>
    <row r="3199">
      <c r="A3199" s="11" t="n"/>
      <c r="B3199" s="21" t="n"/>
    </row>
    <row r="3200">
      <c r="A3200" s="11" t="n"/>
      <c r="B3200" s="21" t="n"/>
    </row>
    <row r="3201">
      <c r="A3201" s="11" t="n"/>
      <c r="B3201" s="21" t="n"/>
    </row>
    <row r="3202">
      <c r="A3202" s="11" t="n"/>
      <c r="B3202" s="21" t="n"/>
    </row>
    <row r="3203">
      <c r="A3203" s="11" t="n"/>
      <c r="B3203" s="21" t="n"/>
    </row>
    <row r="3204">
      <c r="A3204" s="11" t="n"/>
      <c r="B3204" s="21" t="n"/>
    </row>
    <row r="3205">
      <c r="A3205" s="11" t="n"/>
      <c r="B3205" s="21" t="n"/>
    </row>
    <row r="3206">
      <c r="A3206" s="11" t="n"/>
      <c r="B3206" s="21" t="n"/>
    </row>
    <row r="3207">
      <c r="A3207" s="11" t="n"/>
      <c r="B3207" s="21" t="n"/>
    </row>
    <row r="3208">
      <c r="A3208" s="11" t="n"/>
      <c r="B3208" s="21" t="n"/>
    </row>
    <row r="3209">
      <c r="A3209" s="11" t="n"/>
      <c r="B3209" s="21" t="n"/>
    </row>
    <row r="3210">
      <c r="A3210" s="11" t="n"/>
      <c r="B3210" s="21" t="n"/>
    </row>
    <row r="3211">
      <c r="A3211" s="11" t="n"/>
      <c r="B3211" s="21" t="n"/>
    </row>
    <row r="3212">
      <c r="A3212" s="11" t="n"/>
      <c r="B3212" s="21" t="n"/>
    </row>
    <row r="3213">
      <c r="A3213" s="11" t="n"/>
      <c r="B3213" s="21" t="n"/>
    </row>
    <row r="3214">
      <c r="A3214" s="11" t="n"/>
      <c r="B3214" s="21" t="n"/>
    </row>
    <row r="3215">
      <c r="A3215" s="11" t="n"/>
      <c r="B3215" s="21" t="n"/>
    </row>
    <row r="3216">
      <c r="A3216" s="11" t="n"/>
      <c r="B3216" s="21" t="n"/>
    </row>
    <row r="3217">
      <c r="A3217" s="11" t="n"/>
      <c r="B3217" s="21" t="n"/>
    </row>
    <row r="3218">
      <c r="A3218" s="11" t="n"/>
      <c r="B3218" s="21" t="n"/>
    </row>
    <row r="3219">
      <c r="A3219" s="11" t="n"/>
      <c r="B3219" s="21" t="n"/>
    </row>
    <row r="3220">
      <c r="A3220" s="11" t="n"/>
      <c r="B3220" s="21" t="n"/>
    </row>
    <row r="3221">
      <c r="A3221" s="11" t="n"/>
      <c r="B3221" s="21" t="n"/>
    </row>
    <row r="3222">
      <c r="A3222" s="11" t="n"/>
      <c r="B3222" s="21" t="n"/>
    </row>
    <row r="3223">
      <c r="A3223" s="11" t="n"/>
      <c r="B3223" s="21" t="n"/>
    </row>
    <row r="3224">
      <c r="A3224" s="11" t="n"/>
      <c r="B3224" s="21" t="n"/>
    </row>
    <row r="3225">
      <c r="A3225" s="11" t="n"/>
      <c r="B3225" s="21" t="n"/>
    </row>
    <row r="3226">
      <c r="A3226" s="11" t="n"/>
      <c r="B3226" s="21" t="n"/>
    </row>
    <row r="3227">
      <c r="A3227" s="11" t="n"/>
      <c r="B3227" s="21" t="n"/>
    </row>
    <row r="3228">
      <c r="A3228" s="11" t="n"/>
      <c r="B3228" s="21" t="n"/>
    </row>
    <row r="3229">
      <c r="A3229" s="11" t="n"/>
      <c r="B3229" s="21" t="n"/>
    </row>
    <row r="3230">
      <c r="A3230" s="11" t="n"/>
      <c r="B3230" s="21" t="n"/>
    </row>
    <row r="3231">
      <c r="A3231" s="11" t="n"/>
      <c r="B3231" s="21" t="n"/>
    </row>
    <row r="3232">
      <c r="A3232" s="11" t="n"/>
      <c r="B3232" s="21" t="n"/>
    </row>
    <row r="3233">
      <c r="A3233" s="11" t="n"/>
      <c r="B3233" s="21" t="n"/>
    </row>
    <row r="3234">
      <c r="A3234" s="11" t="n"/>
      <c r="B3234" s="21" t="n"/>
    </row>
    <row r="3235">
      <c r="A3235" s="11" t="n"/>
      <c r="B3235" s="21" t="n"/>
    </row>
    <row r="3236">
      <c r="A3236" s="11" t="n"/>
      <c r="B3236" s="21" t="n"/>
    </row>
    <row r="3237">
      <c r="A3237" s="11" t="n"/>
      <c r="B3237" s="21" t="n"/>
    </row>
    <row r="3238">
      <c r="A3238" s="11" t="n"/>
      <c r="B3238" s="21" t="n"/>
    </row>
    <row r="3239">
      <c r="A3239" s="11" t="n"/>
      <c r="B3239" s="21" t="n"/>
    </row>
    <row r="3240">
      <c r="A3240" s="11" t="n"/>
      <c r="B3240" s="21" t="n"/>
    </row>
    <row r="3241">
      <c r="A3241" s="11" t="n"/>
      <c r="B3241" s="21" t="n"/>
    </row>
    <row r="3242">
      <c r="A3242" s="11" t="n"/>
      <c r="B3242" s="21" t="n"/>
    </row>
    <row r="3243">
      <c r="A3243" s="11" t="n"/>
      <c r="B3243" s="21" t="n"/>
    </row>
    <row r="3244">
      <c r="A3244" s="11" t="n"/>
      <c r="B3244" s="21" t="n"/>
    </row>
    <row r="3245">
      <c r="A3245" s="11" t="n"/>
      <c r="B3245" s="21" t="n"/>
    </row>
    <row r="3246">
      <c r="A3246" s="11" t="n"/>
      <c r="B3246" s="21" t="n"/>
    </row>
    <row r="3247">
      <c r="A3247" s="11" t="n"/>
      <c r="B3247" s="21" t="n"/>
    </row>
    <row r="3248">
      <c r="A3248" s="11" t="n"/>
      <c r="B3248" s="21" t="n"/>
    </row>
    <row r="3249">
      <c r="A3249" s="11" t="n"/>
      <c r="B3249" s="21" t="n"/>
    </row>
    <row r="3250">
      <c r="A3250" s="11" t="n"/>
      <c r="B3250" s="21" t="n"/>
    </row>
    <row r="3251">
      <c r="A3251" s="11" t="n"/>
      <c r="B3251" s="21" t="n"/>
    </row>
    <row r="3252">
      <c r="A3252" s="11" t="n"/>
      <c r="B3252" s="21" t="n"/>
    </row>
    <row r="3253">
      <c r="A3253" s="11" t="n"/>
      <c r="B3253" s="21" t="n"/>
    </row>
    <row r="3254">
      <c r="A3254" s="11" t="n"/>
      <c r="B3254" s="21" t="n"/>
    </row>
    <row r="3255">
      <c r="A3255" s="11" t="n"/>
      <c r="B3255" s="21" t="n"/>
    </row>
    <row r="3256">
      <c r="A3256" s="11" t="n"/>
      <c r="B3256" s="21" t="n"/>
    </row>
    <row r="3257">
      <c r="A3257" s="11" t="n"/>
      <c r="B3257" s="21" t="n"/>
    </row>
    <row r="3258">
      <c r="A3258" s="11" t="n"/>
      <c r="B3258" s="21" t="n"/>
    </row>
    <row r="3259">
      <c r="A3259" s="11" t="n"/>
      <c r="B3259" s="21" t="n"/>
    </row>
    <row r="3260">
      <c r="A3260" s="11" t="n"/>
      <c r="B3260" s="21" t="n"/>
    </row>
    <row r="3261">
      <c r="A3261" s="11" t="n"/>
      <c r="B3261" s="21" t="n"/>
    </row>
    <row r="3262">
      <c r="A3262" s="11" t="n"/>
      <c r="B3262" s="21" t="n"/>
    </row>
    <row r="3263">
      <c r="A3263" s="11" t="n"/>
      <c r="B3263" s="21" t="n"/>
    </row>
    <row r="3264">
      <c r="A3264" s="11" t="n"/>
      <c r="B3264" s="21" t="n"/>
    </row>
    <row r="3265">
      <c r="A3265" s="11" t="n"/>
      <c r="B3265" s="21" t="n"/>
    </row>
    <row r="3266">
      <c r="A3266" s="11" t="n"/>
      <c r="B3266" s="21" t="n"/>
    </row>
    <row r="3267">
      <c r="A3267" s="11" t="n"/>
      <c r="B3267" s="21" t="n"/>
    </row>
    <row r="3268">
      <c r="A3268" s="11" t="n"/>
      <c r="B3268" s="21" t="n"/>
    </row>
    <row r="3269">
      <c r="A3269" s="11" t="n"/>
      <c r="B3269" s="21" t="n"/>
    </row>
    <row r="3270">
      <c r="A3270" s="11" t="n"/>
      <c r="B3270" s="21" t="n"/>
    </row>
    <row r="3271">
      <c r="A3271" s="11" t="n"/>
      <c r="B3271" s="21" t="n"/>
    </row>
    <row r="3272">
      <c r="A3272" s="11" t="n"/>
      <c r="B3272" s="21" t="n"/>
    </row>
    <row r="3273">
      <c r="A3273" s="11" t="n"/>
      <c r="B3273" s="21" t="n"/>
    </row>
    <row r="3274">
      <c r="A3274" s="11" t="n"/>
      <c r="B3274" s="21" t="n"/>
    </row>
    <row r="3275">
      <c r="A3275" s="11" t="n"/>
      <c r="B3275" s="21" t="n"/>
    </row>
    <row r="3276">
      <c r="A3276" s="11" t="n"/>
      <c r="B3276" s="21" t="n"/>
    </row>
    <row r="3277">
      <c r="A3277" s="11" t="n"/>
      <c r="B3277" s="21" t="n"/>
    </row>
    <row r="3278">
      <c r="A3278" s="11" t="n"/>
      <c r="B3278" s="21" t="n"/>
    </row>
    <row r="3279">
      <c r="A3279" s="11" t="n"/>
      <c r="B3279" s="21" t="n"/>
    </row>
    <row r="3280">
      <c r="A3280" s="11" t="n"/>
      <c r="B3280" s="21" t="n"/>
    </row>
    <row r="3281">
      <c r="A3281" s="11" t="n"/>
      <c r="B3281" s="21" t="n"/>
    </row>
    <row r="3282">
      <c r="A3282" s="11" t="n"/>
      <c r="B3282" s="21" t="n"/>
    </row>
    <row r="3283">
      <c r="A3283" s="11" t="n"/>
      <c r="B3283" s="21" t="n"/>
    </row>
    <row r="3284">
      <c r="A3284" s="11" t="n"/>
      <c r="B3284" s="21" t="n"/>
    </row>
    <row r="3285">
      <c r="A3285" s="11" t="n"/>
      <c r="B3285" s="21" t="n"/>
    </row>
    <row r="3286">
      <c r="A3286" s="11" t="n"/>
      <c r="B3286" s="21" t="n"/>
    </row>
    <row r="3287">
      <c r="A3287" s="11" t="n"/>
      <c r="B3287" s="21" t="n"/>
    </row>
    <row r="3288">
      <c r="A3288" s="11" t="n"/>
      <c r="B3288" s="21" t="n"/>
    </row>
    <row r="3289">
      <c r="A3289" s="11" t="n"/>
      <c r="B3289" s="21" t="n"/>
    </row>
    <row r="3290">
      <c r="A3290" s="11" t="n"/>
      <c r="B3290" s="21" t="n"/>
    </row>
    <row r="3291">
      <c r="A3291" s="11" t="n"/>
      <c r="B3291" s="21" t="n"/>
    </row>
    <row r="3292">
      <c r="A3292" s="11" t="n"/>
      <c r="B3292" s="21" t="n"/>
    </row>
    <row r="3293">
      <c r="A3293" s="11" t="n"/>
      <c r="B3293" s="21" t="n"/>
    </row>
    <row r="3294">
      <c r="A3294" s="11" t="n"/>
      <c r="B3294" s="21" t="n"/>
    </row>
    <row r="3295">
      <c r="A3295" s="11" t="n"/>
      <c r="B3295" s="21" t="n"/>
    </row>
    <row r="3296">
      <c r="A3296" s="11" t="n"/>
      <c r="B3296" s="21" t="n"/>
    </row>
    <row r="3297">
      <c r="A3297" s="11" t="n"/>
      <c r="B3297" s="21" t="n"/>
    </row>
    <row r="3298">
      <c r="A3298" s="11" t="n"/>
      <c r="B3298" s="21" t="n"/>
    </row>
    <row r="3299">
      <c r="A3299" s="11" t="n"/>
      <c r="B3299" s="21" t="n"/>
    </row>
    <row r="3300">
      <c r="A3300" s="11" t="n"/>
      <c r="B3300" s="21" t="n"/>
    </row>
    <row r="3301">
      <c r="A3301" s="11" t="n"/>
      <c r="B3301" s="21" t="n"/>
    </row>
    <row r="3302">
      <c r="A3302" s="11" t="n"/>
      <c r="B3302" s="21" t="n"/>
    </row>
    <row r="3303">
      <c r="A3303" s="11" t="n"/>
      <c r="B3303" s="21" t="n"/>
    </row>
    <row r="3304">
      <c r="A3304" s="11" t="n"/>
      <c r="B3304" s="21" t="n"/>
    </row>
    <row r="3305">
      <c r="A3305" s="11" t="n"/>
      <c r="B3305" s="21" t="n"/>
    </row>
    <row r="3306">
      <c r="A3306" s="11" t="n"/>
      <c r="B3306" s="21" t="n"/>
    </row>
    <row r="3307">
      <c r="A3307" s="11" t="n"/>
      <c r="B3307" s="21" t="n"/>
    </row>
    <row r="3308">
      <c r="A3308" s="11" t="n"/>
      <c r="B3308" s="21" t="n"/>
    </row>
    <row r="3309">
      <c r="A3309" s="11" t="n"/>
      <c r="B3309" s="21" t="n"/>
    </row>
    <row r="3310">
      <c r="A3310" s="11" t="n"/>
      <c r="B3310" s="21" t="n"/>
    </row>
    <row r="3311">
      <c r="A3311" s="11" t="n"/>
      <c r="B3311" s="21" t="n"/>
    </row>
    <row r="3312">
      <c r="A3312" s="11" t="n"/>
      <c r="B3312" s="21" t="n"/>
    </row>
    <row r="3313">
      <c r="A3313" s="11" t="n"/>
      <c r="B3313" s="21" t="n"/>
    </row>
    <row r="3314">
      <c r="A3314" s="11" t="n"/>
      <c r="B3314" s="21" t="n"/>
    </row>
    <row r="3315">
      <c r="A3315" s="11" t="n"/>
      <c r="B3315" s="21" t="n"/>
    </row>
    <row r="3316">
      <c r="A3316" s="11" t="n"/>
      <c r="B3316" s="21" t="n"/>
    </row>
    <row r="3317">
      <c r="A3317" s="11" t="n"/>
      <c r="B3317" s="21" t="n"/>
    </row>
    <row r="3318">
      <c r="A3318" s="11" t="n"/>
      <c r="B3318" s="21" t="n"/>
    </row>
    <row r="3319">
      <c r="A3319" s="11" t="n"/>
      <c r="B3319" s="21" t="n"/>
    </row>
    <row r="3320">
      <c r="A3320" s="11" t="n"/>
      <c r="B3320" s="21" t="n"/>
    </row>
    <row r="3321">
      <c r="A3321" s="11" t="n"/>
      <c r="B3321" s="21" t="n"/>
    </row>
    <row r="3322">
      <c r="A3322" s="11" t="n"/>
      <c r="B3322" s="21" t="n"/>
    </row>
    <row r="3323">
      <c r="A3323" s="11" t="n"/>
      <c r="B3323" s="21" t="n"/>
    </row>
    <row r="3324">
      <c r="A3324" s="11" t="n"/>
      <c r="B3324" s="21" t="n"/>
    </row>
    <row r="3325">
      <c r="A3325" s="11" t="n"/>
      <c r="B3325" s="21" t="n"/>
    </row>
    <row r="3326">
      <c r="A3326" s="11" t="n"/>
      <c r="B3326" s="21" t="n"/>
    </row>
    <row r="3327">
      <c r="A3327" s="11" t="n"/>
      <c r="B3327" s="21" t="n"/>
    </row>
    <row r="3328">
      <c r="A3328" s="11" t="n"/>
      <c r="B3328" s="21" t="n"/>
    </row>
    <row r="3329">
      <c r="A3329" s="11" t="n"/>
      <c r="B3329" s="21" t="n"/>
    </row>
    <row r="3330">
      <c r="A3330" s="11" t="n"/>
      <c r="B3330" s="21" t="n"/>
    </row>
    <row r="3331">
      <c r="A3331" s="11" t="n"/>
      <c r="B3331" s="21" t="n"/>
    </row>
    <row r="3332">
      <c r="A3332" s="11" t="n"/>
      <c r="B3332" s="21" t="n"/>
    </row>
    <row r="3333">
      <c r="A3333" s="11" t="n"/>
      <c r="B3333" s="21" t="n"/>
    </row>
    <row r="3334">
      <c r="A3334" s="11" t="n"/>
      <c r="B3334" s="21" t="n"/>
    </row>
    <row r="3335">
      <c r="A3335" s="11" t="n"/>
      <c r="B3335" s="21" t="n"/>
    </row>
    <row r="3336">
      <c r="A3336" s="11" t="n"/>
      <c r="B3336" s="21" t="n"/>
    </row>
    <row r="3337">
      <c r="A3337" s="11" t="n"/>
      <c r="B3337" s="21" t="n"/>
    </row>
    <row r="3338">
      <c r="A3338" s="11" t="n"/>
      <c r="B3338" s="21" t="n"/>
    </row>
    <row r="3339">
      <c r="A3339" s="11" t="n"/>
      <c r="B3339" s="21" t="n"/>
    </row>
    <row r="3340">
      <c r="A3340" s="11" t="n"/>
      <c r="B3340" s="21" t="n"/>
    </row>
    <row r="3341">
      <c r="A3341" s="11" t="n"/>
      <c r="B3341" s="21" t="n"/>
    </row>
    <row r="3342">
      <c r="A3342" s="11" t="n"/>
      <c r="B3342" s="21" t="n"/>
    </row>
    <row r="3343">
      <c r="A3343" s="11" t="n"/>
      <c r="B3343" s="21" t="n"/>
    </row>
    <row r="3344">
      <c r="A3344" s="11" t="n"/>
      <c r="B3344" s="21" t="n"/>
    </row>
    <row r="3345">
      <c r="A3345" s="11" t="n"/>
      <c r="B3345" s="21" t="n"/>
    </row>
    <row r="3346">
      <c r="A3346" s="11" t="n"/>
      <c r="B3346" s="21" t="n"/>
    </row>
    <row r="3347">
      <c r="A3347" s="11" t="n"/>
      <c r="B3347" s="21" t="n"/>
    </row>
    <row r="3348">
      <c r="A3348" s="11" t="n"/>
      <c r="B3348" s="21" t="n"/>
    </row>
    <row r="3349">
      <c r="A3349" s="11" t="n"/>
      <c r="B3349" s="21" t="n"/>
    </row>
    <row r="3350">
      <c r="A3350" s="11" t="n"/>
      <c r="B3350" s="21" t="n"/>
    </row>
    <row r="3351">
      <c r="A3351" s="11" t="n"/>
      <c r="B3351" s="21" t="n"/>
    </row>
    <row r="3352">
      <c r="A3352" s="11" t="n"/>
      <c r="B3352" s="21" t="n"/>
    </row>
    <row r="3353">
      <c r="A3353" s="11" t="n"/>
      <c r="B3353" s="21" t="n"/>
    </row>
    <row r="3354">
      <c r="A3354" s="11" t="n"/>
      <c r="B3354" s="21" t="n"/>
    </row>
    <row r="3355">
      <c r="A3355" s="11" t="n"/>
      <c r="B3355" s="21" t="n"/>
    </row>
    <row r="3356">
      <c r="A3356" s="11" t="n"/>
      <c r="B3356" s="21" t="n"/>
    </row>
    <row r="3357">
      <c r="A3357" s="11" t="n"/>
      <c r="B3357" s="21" t="n"/>
    </row>
    <row r="3358">
      <c r="A3358" s="11" t="n"/>
      <c r="B3358" s="21" t="n"/>
    </row>
    <row r="3359">
      <c r="A3359" s="11" t="n"/>
      <c r="B3359" s="21" t="n"/>
    </row>
    <row r="3360">
      <c r="A3360" s="11" t="n"/>
      <c r="B3360" s="21" t="n"/>
    </row>
    <row r="3361">
      <c r="A3361" s="11" t="n"/>
      <c r="B3361" s="21" t="n"/>
    </row>
    <row r="3362">
      <c r="A3362" s="11" t="n"/>
      <c r="B3362" s="21" t="n"/>
    </row>
    <row r="3363">
      <c r="A3363" s="11" t="n"/>
      <c r="B3363" s="21" t="n"/>
    </row>
    <row r="3364">
      <c r="A3364" s="11" t="n"/>
      <c r="B3364" s="21" t="n"/>
    </row>
    <row r="3365">
      <c r="A3365" s="11" t="n"/>
      <c r="B3365" s="21" t="n"/>
    </row>
    <row r="3366">
      <c r="A3366" s="11" t="n"/>
      <c r="B3366" s="21" t="n"/>
    </row>
    <row r="3367">
      <c r="A3367" s="11" t="n"/>
      <c r="B3367" s="21" t="n"/>
    </row>
    <row r="3368">
      <c r="A3368" s="11" t="n"/>
      <c r="B3368" s="21" t="n"/>
    </row>
    <row r="3369">
      <c r="A3369" s="11" t="n"/>
      <c r="B3369" s="21" t="n"/>
    </row>
    <row r="3370">
      <c r="A3370" s="11" t="n"/>
      <c r="B3370" s="21" t="n"/>
    </row>
    <row r="3371">
      <c r="A3371" s="11" t="n"/>
      <c r="B3371" s="21" t="n"/>
    </row>
    <row r="3372">
      <c r="A3372" s="11" t="n"/>
      <c r="B3372" s="21" t="n"/>
    </row>
    <row r="3373">
      <c r="A3373" s="11" t="n"/>
      <c r="B3373" s="21" t="n"/>
    </row>
    <row r="3374">
      <c r="A3374" s="11" t="n"/>
      <c r="B3374" s="21" t="n"/>
    </row>
    <row r="3375">
      <c r="A3375" s="11" t="n"/>
      <c r="B3375" s="21" t="n"/>
    </row>
    <row r="3376">
      <c r="A3376" s="11" t="n"/>
      <c r="B3376" s="21" t="n"/>
    </row>
    <row r="3377">
      <c r="A3377" s="11" t="n"/>
      <c r="B3377" s="21" t="n"/>
    </row>
    <row r="3378">
      <c r="A3378" s="11" t="n"/>
      <c r="B3378" s="21" t="n"/>
    </row>
    <row r="3379">
      <c r="A3379" s="11" t="n"/>
      <c r="B3379" s="21" t="n"/>
    </row>
    <row r="3380">
      <c r="A3380" s="11" t="n"/>
      <c r="B3380" s="21" t="n"/>
    </row>
    <row r="3381">
      <c r="A3381" s="11" t="n"/>
      <c r="B3381" s="21" t="n"/>
    </row>
    <row r="3382">
      <c r="A3382" s="11" t="n"/>
      <c r="B3382" s="21" t="n"/>
    </row>
    <row r="3383">
      <c r="A3383" s="11" t="n"/>
      <c r="B3383" s="21" t="n"/>
    </row>
    <row r="3384">
      <c r="A3384" s="11" t="n"/>
      <c r="B3384" s="21" t="n"/>
    </row>
    <row r="3385">
      <c r="A3385" s="11" t="n"/>
      <c r="B3385" s="21" t="n"/>
    </row>
    <row r="3386">
      <c r="A3386" s="11" t="n"/>
      <c r="B3386" s="21" t="n"/>
    </row>
    <row r="3387">
      <c r="A3387" s="11" t="n"/>
      <c r="B3387" s="21" t="n"/>
    </row>
    <row r="3388">
      <c r="A3388" s="11" t="n"/>
      <c r="B3388" s="21" t="n"/>
    </row>
    <row r="3389">
      <c r="A3389" s="11" t="n"/>
      <c r="B3389" s="21" t="n"/>
    </row>
    <row r="3390">
      <c r="A3390" s="11" t="n"/>
      <c r="B3390" s="21" t="n"/>
    </row>
    <row r="3391">
      <c r="A3391" s="11" t="n"/>
      <c r="B3391" s="21" t="n"/>
    </row>
    <row r="3392">
      <c r="A3392" s="11" t="n"/>
      <c r="B3392" s="21" t="n"/>
    </row>
    <row r="3393">
      <c r="A3393" s="11" t="n"/>
      <c r="B3393" s="21" t="n"/>
    </row>
    <row r="3394">
      <c r="A3394" s="11" t="n"/>
      <c r="B3394" s="21" t="n"/>
    </row>
    <row r="3395">
      <c r="A3395" s="11" t="n"/>
      <c r="B3395" s="21" t="n"/>
    </row>
    <row r="3396">
      <c r="A3396" s="11" t="n"/>
      <c r="B3396" s="21" t="n"/>
    </row>
    <row r="3397">
      <c r="A3397" s="11" t="n"/>
      <c r="B3397" s="21" t="n"/>
    </row>
    <row r="3398">
      <c r="A3398" s="11" t="n"/>
      <c r="B3398" s="21" t="n"/>
    </row>
    <row r="3399">
      <c r="A3399" s="11" t="n"/>
      <c r="B3399" s="21" t="n"/>
    </row>
    <row r="3400">
      <c r="A3400" s="11" t="n"/>
      <c r="B3400" s="21" t="n"/>
    </row>
    <row r="3401">
      <c r="A3401" s="11" t="n"/>
      <c r="B3401" s="21" t="n"/>
    </row>
    <row r="3402">
      <c r="A3402" s="11" t="n"/>
      <c r="B3402" s="21" t="n"/>
    </row>
    <row r="3403">
      <c r="A3403" s="11" t="n"/>
      <c r="B3403" s="21" t="n"/>
    </row>
    <row r="3404">
      <c r="A3404" s="11" t="n"/>
      <c r="B3404" s="21" t="n"/>
    </row>
    <row r="3405">
      <c r="A3405" s="11" t="n"/>
      <c r="B3405" s="21" t="n"/>
    </row>
    <row r="3406">
      <c r="A3406" s="11" t="n"/>
      <c r="B3406" s="21" t="n"/>
    </row>
    <row r="3407">
      <c r="A3407" s="11" t="n"/>
      <c r="B3407" s="21" t="n"/>
    </row>
    <row r="3408">
      <c r="A3408" s="11" t="n"/>
      <c r="B3408" s="21" t="n"/>
    </row>
    <row r="3409">
      <c r="A3409" s="11" t="n"/>
      <c r="B3409" s="21" t="n"/>
    </row>
    <row r="3410">
      <c r="A3410" s="11" t="n"/>
      <c r="B3410" s="21" t="n"/>
    </row>
    <row r="3411">
      <c r="A3411" s="11" t="n"/>
      <c r="B3411" s="21" t="n"/>
    </row>
    <row r="3412">
      <c r="A3412" s="11" t="n"/>
      <c r="B3412" s="21" t="n"/>
    </row>
    <row r="3413">
      <c r="A3413" s="11" t="n"/>
      <c r="B3413" s="21" t="n"/>
    </row>
    <row r="3414">
      <c r="A3414" s="11" t="n"/>
      <c r="B3414" s="21" t="n"/>
    </row>
    <row r="3415">
      <c r="A3415" s="11" t="n"/>
      <c r="B3415" s="21" t="n"/>
    </row>
    <row r="3416">
      <c r="A3416" s="11" t="n"/>
      <c r="B3416" s="21" t="n"/>
    </row>
    <row r="3417">
      <c r="A3417" s="11" t="n"/>
      <c r="B3417" s="21" t="n"/>
    </row>
    <row r="3418">
      <c r="A3418" s="11" t="n"/>
      <c r="B3418" s="21" t="n"/>
    </row>
    <row r="3419">
      <c r="A3419" s="11" t="n"/>
      <c r="B3419" s="21" t="n"/>
    </row>
    <row r="3420">
      <c r="A3420" s="11" t="n"/>
      <c r="B3420" s="21" t="n"/>
    </row>
    <row r="3421">
      <c r="A3421" s="11" t="n"/>
      <c r="B3421" s="21" t="n"/>
    </row>
    <row r="3422">
      <c r="A3422" s="11" t="n"/>
      <c r="B3422" s="21" t="n"/>
    </row>
    <row r="3423">
      <c r="A3423" s="11" t="n"/>
      <c r="B3423" s="21" t="n"/>
    </row>
    <row r="3424">
      <c r="A3424" s="11" t="n"/>
      <c r="B3424" s="21" t="n"/>
    </row>
    <row r="3425">
      <c r="A3425" s="11" t="n"/>
      <c r="B3425" s="21" t="n"/>
    </row>
    <row r="3426">
      <c r="A3426" s="11" t="n"/>
      <c r="B3426" s="21" t="n"/>
    </row>
    <row r="3427">
      <c r="A3427" s="11" t="n"/>
      <c r="B3427" s="21" t="n"/>
    </row>
    <row r="3428">
      <c r="A3428" s="11" t="n"/>
      <c r="B3428" s="21" t="n"/>
    </row>
    <row r="3429">
      <c r="A3429" s="11" t="n"/>
      <c r="B3429" s="21" t="n"/>
    </row>
    <row r="3430">
      <c r="A3430" s="11" t="n"/>
      <c r="B3430" s="21" t="n"/>
    </row>
    <row r="3431">
      <c r="A3431" s="11" t="n"/>
      <c r="B3431" s="21" t="n"/>
    </row>
    <row r="3432">
      <c r="A3432" s="11" t="n"/>
      <c r="B3432" s="21" t="n"/>
    </row>
    <row r="3433">
      <c r="A3433" s="11" t="n"/>
      <c r="B3433" s="21" t="n"/>
    </row>
    <row r="3434">
      <c r="A3434" s="11" t="n"/>
      <c r="B3434" s="21" t="n"/>
    </row>
    <row r="3435">
      <c r="A3435" s="11" t="n"/>
      <c r="B3435" s="21" t="n"/>
    </row>
    <row r="3436">
      <c r="A3436" s="11" t="n"/>
      <c r="B3436" s="21" t="n"/>
    </row>
    <row r="3437">
      <c r="A3437" s="11" t="n"/>
      <c r="B3437" s="21" t="n"/>
    </row>
    <row r="3438">
      <c r="A3438" s="11" t="n"/>
      <c r="B3438" s="21" t="n"/>
    </row>
    <row r="3439">
      <c r="A3439" s="11" t="n"/>
      <c r="B3439" s="21" t="n"/>
    </row>
    <row r="3440">
      <c r="A3440" s="11" t="n"/>
      <c r="B3440" s="21" t="n"/>
    </row>
    <row r="3441">
      <c r="A3441" s="11" t="n"/>
      <c r="B3441" s="21" t="n"/>
    </row>
    <row r="3442">
      <c r="A3442" s="11" t="n"/>
      <c r="B3442" s="21" t="n"/>
    </row>
    <row r="3443">
      <c r="A3443" s="11" t="n"/>
      <c r="B3443" s="21" t="n"/>
    </row>
    <row r="3444">
      <c r="A3444" s="11" t="n"/>
      <c r="B3444" s="21" t="n"/>
    </row>
    <row r="3445">
      <c r="A3445" s="11" t="n"/>
      <c r="B3445" s="21" t="n"/>
    </row>
    <row r="3446">
      <c r="A3446" s="11" t="n"/>
      <c r="B3446" s="21" t="n"/>
    </row>
    <row r="3447">
      <c r="A3447" s="11" t="n"/>
      <c r="B3447" s="21" t="n"/>
    </row>
    <row r="3448">
      <c r="A3448" s="11" t="n"/>
      <c r="B3448" s="21" t="n"/>
    </row>
    <row r="3449">
      <c r="A3449" s="11" t="n"/>
      <c r="B3449" s="21" t="n"/>
    </row>
    <row r="3450">
      <c r="A3450" s="11" t="n"/>
      <c r="B3450" s="21" t="n"/>
    </row>
    <row r="3451">
      <c r="A3451" s="11" t="n"/>
      <c r="B3451" s="21" t="n"/>
    </row>
    <row r="3452">
      <c r="A3452" s="11" t="n"/>
      <c r="B3452" s="21" t="n"/>
    </row>
    <row r="3453">
      <c r="A3453" s="11" t="n"/>
      <c r="B3453" s="21" t="n"/>
    </row>
    <row r="3454">
      <c r="A3454" s="11" t="n"/>
      <c r="B3454" s="21" t="n"/>
    </row>
    <row r="3455">
      <c r="A3455" s="11" t="n"/>
      <c r="B3455" s="21" t="n"/>
    </row>
    <row r="3456">
      <c r="A3456" s="11" t="n"/>
      <c r="B3456" s="21" t="n"/>
    </row>
    <row r="3457">
      <c r="A3457" s="11" t="n"/>
      <c r="B3457" s="21" t="n"/>
    </row>
    <row r="3458">
      <c r="A3458" s="11" t="n"/>
      <c r="B3458" s="21" t="n"/>
    </row>
    <row r="3459">
      <c r="A3459" s="11" t="n"/>
      <c r="B3459" s="21" t="n"/>
    </row>
    <row r="3460">
      <c r="A3460" s="11" t="n"/>
      <c r="B3460" s="21" t="n"/>
    </row>
    <row r="3461">
      <c r="A3461" s="11" t="n"/>
      <c r="B3461" s="21" t="n"/>
    </row>
    <row r="3462">
      <c r="A3462" s="11" t="n"/>
      <c r="B3462" s="21" t="n"/>
    </row>
    <row r="3463">
      <c r="A3463" s="11" t="n"/>
      <c r="B3463" s="21" t="n"/>
    </row>
    <row r="3464">
      <c r="A3464" s="11" t="n"/>
      <c r="B3464" s="21" t="n"/>
    </row>
    <row r="3465">
      <c r="A3465" s="11" t="n"/>
      <c r="B3465" s="21" t="n"/>
    </row>
    <row r="3466">
      <c r="A3466" s="11" t="n"/>
      <c r="B3466" s="21" t="n"/>
    </row>
    <row r="3467">
      <c r="A3467" s="11" t="n"/>
      <c r="B3467" s="21" t="n"/>
    </row>
    <row r="3468">
      <c r="A3468" s="11" t="n"/>
      <c r="B3468" s="21" t="n"/>
    </row>
    <row r="3469">
      <c r="A3469" s="11" t="n"/>
      <c r="B3469" s="21" t="n"/>
    </row>
    <row r="3470">
      <c r="A3470" s="11" t="n"/>
      <c r="B3470" s="21" t="n"/>
    </row>
    <row r="3471">
      <c r="A3471" s="11" t="n"/>
      <c r="B3471" s="21" t="n"/>
    </row>
    <row r="3472">
      <c r="A3472" s="11" t="n"/>
      <c r="B3472" s="21" t="n"/>
    </row>
    <row r="3473">
      <c r="A3473" s="11" t="n"/>
      <c r="B3473" s="21" t="n"/>
    </row>
    <row r="3474">
      <c r="A3474" s="11" t="n"/>
      <c r="B3474" s="21" t="n"/>
    </row>
    <row r="3475">
      <c r="A3475" s="11" t="n"/>
      <c r="B3475" s="21" t="n"/>
    </row>
    <row r="3476">
      <c r="A3476" s="11" t="n"/>
      <c r="B3476" s="21" t="n"/>
    </row>
    <row r="3477">
      <c r="A3477" s="11" t="n"/>
      <c r="B3477" s="21" t="n"/>
    </row>
    <row r="3478">
      <c r="A3478" s="11" t="n"/>
      <c r="B3478" s="21" t="n"/>
    </row>
    <row r="3479">
      <c r="A3479" s="11" t="n"/>
      <c r="B3479" s="21" t="n"/>
    </row>
    <row r="3480">
      <c r="A3480" s="11" t="n"/>
      <c r="B3480" s="21" t="n"/>
    </row>
    <row r="3481">
      <c r="A3481" s="11" t="n"/>
      <c r="B3481" s="21" t="n"/>
    </row>
    <row r="3482">
      <c r="A3482" s="11" t="n"/>
      <c r="B3482" s="21" t="n"/>
    </row>
    <row r="3483">
      <c r="A3483" s="11" t="n"/>
      <c r="B3483" s="21" t="n"/>
    </row>
    <row r="3484">
      <c r="A3484" s="11" t="n"/>
      <c r="B3484" s="21" t="n"/>
    </row>
    <row r="3485">
      <c r="A3485" s="11" t="n"/>
      <c r="B3485" s="21" t="n"/>
    </row>
    <row r="3486">
      <c r="A3486" s="11" t="n"/>
      <c r="B3486" s="21" t="n"/>
    </row>
    <row r="3487">
      <c r="A3487" s="11" t="n"/>
      <c r="B3487" s="21" t="n"/>
    </row>
    <row r="3488">
      <c r="A3488" s="11" t="n"/>
      <c r="B3488" s="21" t="n"/>
    </row>
    <row r="3489">
      <c r="A3489" s="11" t="n"/>
      <c r="B3489" s="21" t="n"/>
    </row>
    <row r="3490">
      <c r="A3490" s="11" t="n"/>
      <c r="B3490" s="21" t="n"/>
    </row>
    <row r="3491">
      <c r="A3491" s="11" t="n"/>
      <c r="B3491" s="21" t="n"/>
    </row>
    <row r="3492">
      <c r="A3492" s="11" t="n"/>
      <c r="B3492" s="21" t="n"/>
    </row>
    <row r="3493">
      <c r="A3493" s="11" t="n"/>
      <c r="B3493" s="21" t="n"/>
    </row>
    <row r="3494">
      <c r="A3494" s="11" t="n"/>
      <c r="B3494" s="21" t="n"/>
    </row>
    <row r="3495">
      <c r="A3495" s="11" t="n"/>
      <c r="B3495" s="21" t="n"/>
    </row>
    <row r="3496">
      <c r="A3496" s="11" t="n"/>
      <c r="B3496" s="21" t="n"/>
    </row>
    <row r="3497">
      <c r="A3497" s="11" t="n"/>
      <c r="B3497" s="21" t="n"/>
    </row>
    <row r="3498">
      <c r="A3498" s="11" t="n"/>
      <c r="B3498" s="21" t="n"/>
    </row>
    <row r="3499">
      <c r="A3499" s="11" t="n"/>
      <c r="B3499" s="21" t="n"/>
    </row>
    <row r="3500">
      <c r="A3500" s="11" t="n"/>
      <c r="B3500" s="21" t="n"/>
    </row>
    <row r="3501">
      <c r="A3501" s="11" t="n"/>
      <c r="B3501" s="21" t="n"/>
    </row>
    <row r="3502">
      <c r="A3502" s="11" t="n"/>
      <c r="B3502" s="21" t="n"/>
    </row>
    <row r="3503">
      <c r="A3503" s="11" t="n"/>
      <c r="B3503" s="21" t="n"/>
    </row>
    <row r="3504">
      <c r="A3504" s="11" t="n"/>
      <c r="B3504" s="21" t="n"/>
    </row>
    <row r="3505">
      <c r="A3505" s="11" t="n"/>
      <c r="B3505" s="21" t="n"/>
    </row>
    <row r="3506">
      <c r="A3506" s="11" t="n"/>
      <c r="B3506" s="21" t="n"/>
    </row>
    <row r="3507">
      <c r="A3507" s="11" t="n"/>
      <c r="B3507" s="21" t="n"/>
    </row>
    <row r="3508">
      <c r="A3508" s="11" t="n"/>
      <c r="B3508" s="21" t="n"/>
    </row>
    <row r="3509">
      <c r="A3509" s="11" t="n"/>
      <c r="B3509" s="21" t="n"/>
    </row>
    <row r="3510">
      <c r="A3510" s="11" t="n"/>
      <c r="B3510" s="21" t="n"/>
    </row>
    <row r="3511">
      <c r="A3511" s="11" t="n"/>
      <c r="B3511" s="21" t="n"/>
    </row>
    <row r="3512">
      <c r="A3512" s="11" t="n"/>
      <c r="B3512" s="21" t="n"/>
    </row>
    <row r="3513">
      <c r="A3513" s="11" t="n"/>
      <c r="B3513" s="21" t="n"/>
    </row>
    <row r="3514">
      <c r="A3514" s="11" t="n"/>
      <c r="B3514" s="21" t="n"/>
    </row>
    <row r="3515">
      <c r="A3515" s="11" t="n"/>
      <c r="B3515" s="21" t="n"/>
    </row>
    <row r="3516">
      <c r="A3516" s="11" t="n"/>
      <c r="B3516" s="21" t="n"/>
    </row>
    <row r="3517">
      <c r="A3517" s="11" t="n"/>
      <c r="B3517" s="21" t="n"/>
    </row>
    <row r="3518">
      <c r="A3518" s="11" t="n"/>
      <c r="B3518" s="21" t="n"/>
    </row>
    <row r="3519">
      <c r="A3519" s="11" t="n"/>
      <c r="B3519" s="21" t="n"/>
    </row>
    <row r="3520">
      <c r="A3520" s="11" t="n"/>
      <c r="B3520" s="21" t="n"/>
    </row>
    <row r="3521">
      <c r="A3521" s="11" t="n"/>
      <c r="B3521" s="21" t="n"/>
    </row>
    <row r="3522">
      <c r="A3522" s="11" t="n"/>
      <c r="B3522" s="21" t="n"/>
    </row>
    <row r="3523">
      <c r="A3523" s="11" t="n"/>
      <c r="B3523" s="21" t="n"/>
    </row>
    <row r="3524">
      <c r="A3524" s="11" t="n"/>
      <c r="B3524" s="21" t="n"/>
    </row>
    <row r="3525">
      <c r="A3525" s="11" t="n"/>
      <c r="B3525" s="21" t="n"/>
    </row>
    <row r="3526">
      <c r="A3526" s="11" t="n"/>
      <c r="B3526" s="21" t="n"/>
    </row>
    <row r="3527">
      <c r="A3527" s="11" t="n"/>
      <c r="B3527" s="21" t="n"/>
    </row>
    <row r="3528">
      <c r="A3528" s="11" t="n"/>
      <c r="B3528" s="21" t="n"/>
    </row>
    <row r="3529">
      <c r="A3529" s="11" t="n"/>
      <c r="B3529" s="21" t="n"/>
    </row>
    <row r="3530">
      <c r="A3530" s="11" t="n"/>
      <c r="B3530" s="21" t="n"/>
    </row>
    <row r="3531">
      <c r="A3531" s="11" t="n"/>
      <c r="B3531" s="21" t="n"/>
    </row>
    <row r="3532">
      <c r="A3532" s="11" t="n"/>
      <c r="B3532" s="21" t="n"/>
    </row>
    <row r="3533">
      <c r="A3533" s="11" t="n"/>
      <c r="B3533" s="21" t="n"/>
    </row>
    <row r="3534">
      <c r="A3534" s="11" t="n"/>
      <c r="B3534" s="21" t="n"/>
    </row>
    <row r="3535">
      <c r="A3535" s="11" t="n"/>
      <c r="B3535" s="21" t="n"/>
    </row>
    <row r="3536">
      <c r="A3536" s="11" t="n"/>
      <c r="B3536" s="21" t="n"/>
    </row>
    <row r="3537">
      <c r="A3537" s="11" t="n"/>
      <c r="B3537" s="21" t="n"/>
    </row>
    <row r="3538">
      <c r="A3538" s="11" t="n"/>
      <c r="B3538" s="21" t="n"/>
    </row>
    <row r="3539">
      <c r="A3539" s="11" t="n"/>
      <c r="B3539" s="21" t="n"/>
    </row>
    <row r="3540">
      <c r="A3540" s="11" t="n"/>
      <c r="B3540" s="21" t="n"/>
    </row>
    <row r="3541">
      <c r="A3541" s="11" t="n"/>
      <c r="B3541" s="21" t="n"/>
    </row>
    <row r="3542">
      <c r="A3542" s="11" t="n"/>
      <c r="B3542" s="21" t="n"/>
    </row>
    <row r="3543">
      <c r="A3543" s="11" t="n"/>
      <c r="B3543" s="21" t="n"/>
    </row>
    <row r="3544">
      <c r="A3544" s="11" t="n"/>
      <c r="B3544" s="21" t="n"/>
    </row>
    <row r="3545">
      <c r="A3545" s="11" t="n"/>
      <c r="B3545" s="21" t="n"/>
    </row>
    <row r="3546">
      <c r="A3546" s="11" t="n"/>
      <c r="B3546" s="21" t="n"/>
    </row>
    <row r="3547">
      <c r="A3547" s="11" t="n"/>
      <c r="B3547" s="21" t="n"/>
    </row>
    <row r="3548">
      <c r="A3548" s="11" t="n"/>
      <c r="B3548" s="21" t="n"/>
    </row>
    <row r="3549">
      <c r="A3549" s="11" t="n"/>
      <c r="B3549" s="21" t="n"/>
    </row>
    <row r="3550">
      <c r="A3550" s="11" t="n"/>
      <c r="B3550" s="21" t="n"/>
    </row>
    <row r="3551">
      <c r="A3551" s="11" t="n"/>
      <c r="B3551" s="21" t="n"/>
    </row>
    <row r="3552">
      <c r="A3552" s="11" t="n"/>
      <c r="B3552" s="21" t="n"/>
    </row>
    <row r="3553">
      <c r="A3553" s="11" t="n"/>
      <c r="B3553" s="21" t="n"/>
    </row>
    <row r="3554">
      <c r="A3554" s="11" t="n"/>
      <c r="B3554" s="21" t="n"/>
    </row>
    <row r="3555">
      <c r="A3555" s="11" t="n"/>
      <c r="B3555" s="21" t="n"/>
    </row>
    <row r="3556">
      <c r="A3556" s="11" t="n"/>
      <c r="B3556" s="21" t="n"/>
    </row>
    <row r="3557">
      <c r="A3557" s="11" t="n"/>
      <c r="B3557" s="21" t="n"/>
    </row>
    <row r="3558">
      <c r="A3558" s="11" t="n"/>
      <c r="B3558" s="21" t="n"/>
    </row>
    <row r="3559">
      <c r="A3559" s="11" t="n"/>
      <c r="B3559" s="21" t="n"/>
    </row>
    <row r="3560">
      <c r="A3560" s="11" t="n"/>
      <c r="B3560" s="21" t="n"/>
    </row>
    <row r="3561">
      <c r="A3561" s="11" t="n"/>
      <c r="B3561" s="21" t="n"/>
    </row>
    <row r="3562">
      <c r="A3562" s="11" t="n"/>
      <c r="B3562" s="21" t="n"/>
    </row>
    <row r="3563">
      <c r="A3563" s="11" t="n"/>
      <c r="B3563" s="21" t="n"/>
    </row>
    <row r="3564">
      <c r="A3564" s="11" t="n"/>
      <c r="B3564" s="21" t="n"/>
    </row>
    <row r="3565">
      <c r="A3565" s="11" t="n"/>
      <c r="B3565" s="21" t="n"/>
    </row>
    <row r="3566">
      <c r="A3566" s="11" t="n"/>
      <c r="B3566" s="21" t="n"/>
    </row>
    <row r="3567">
      <c r="A3567" s="11" t="n"/>
      <c r="B3567" s="21" t="n"/>
    </row>
    <row r="3568">
      <c r="A3568" s="11" t="n"/>
      <c r="B3568" s="21" t="n"/>
    </row>
    <row r="3569">
      <c r="A3569" s="11" t="n"/>
      <c r="B3569" s="21" t="n"/>
    </row>
    <row r="3570">
      <c r="A3570" s="11" t="n"/>
      <c r="B3570" s="21" t="n"/>
    </row>
    <row r="3571">
      <c r="A3571" s="11" t="n"/>
      <c r="B3571" s="21" t="n"/>
    </row>
    <row r="3572">
      <c r="A3572" s="11" t="n"/>
      <c r="B3572" s="21" t="n"/>
    </row>
    <row r="3573">
      <c r="A3573" s="11" t="n"/>
      <c r="B3573" s="21" t="n"/>
    </row>
    <row r="3574">
      <c r="A3574" s="11" t="n"/>
      <c r="B3574" s="21" t="n"/>
    </row>
    <row r="3575">
      <c r="A3575" s="11" t="n"/>
      <c r="B3575" s="21" t="n"/>
    </row>
    <row r="3576">
      <c r="A3576" s="11" t="n"/>
      <c r="B3576" s="21" t="n"/>
    </row>
    <row r="3577">
      <c r="A3577" s="11" t="n"/>
      <c r="B3577" s="21" t="n"/>
    </row>
    <row r="3578">
      <c r="A3578" s="11" t="n"/>
      <c r="B3578" s="21" t="n"/>
    </row>
    <row r="3579">
      <c r="A3579" s="11" t="n"/>
      <c r="B3579" s="21" t="n"/>
    </row>
    <row r="3580">
      <c r="A3580" s="11" t="n"/>
      <c r="B3580" s="21" t="n"/>
    </row>
    <row r="3581">
      <c r="A3581" s="11" t="n"/>
      <c r="B3581" s="21" t="n"/>
    </row>
    <row r="3582">
      <c r="A3582" s="11" t="n"/>
      <c r="B3582" s="21" t="n"/>
    </row>
    <row r="3583">
      <c r="A3583" s="11" t="n"/>
      <c r="B3583" s="21" t="n"/>
    </row>
    <row r="3584">
      <c r="A3584" s="11" t="n"/>
      <c r="B3584" s="21" t="n"/>
    </row>
    <row r="3585">
      <c r="A3585" s="11" t="n"/>
      <c r="B3585" s="21" t="n"/>
    </row>
    <row r="3586">
      <c r="A3586" s="11" t="n"/>
      <c r="B3586" s="21" t="n"/>
    </row>
    <row r="3587">
      <c r="A3587" s="11" t="n"/>
      <c r="B3587" s="21" t="n"/>
    </row>
    <row r="3588">
      <c r="A3588" s="11" t="n"/>
      <c r="B3588" s="21" t="n"/>
    </row>
    <row r="3589">
      <c r="A3589" s="11" t="n"/>
      <c r="B3589" s="21" t="n"/>
    </row>
    <row r="3590">
      <c r="A3590" s="11" t="n"/>
      <c r="B3590" s="21" t="n"/>
    </row>
    <row r="3591">
      <c r="A3591" s="11" t="n"/>
      <c r="B3591" s="21" t="n"/>
    </row>
    <row r="3592">
      <c r="A3592" s="11" t="n"/>
      <c r="B3592" s="21" t="n"/>
    </row>
    <row r="3593">
      <c r="A3593" s="11" t="n"/>
      <c r="B3593" s="21" t="n"/>
    </row>
    <row r="3594">
      <c r="A3594" s="11" t="n"/>
      <c r="B3594" s="21" t="n"/>
    </row>
    <row r="3595">
      <c r="A3595" s="11" t="n"/>
      <c r="B3595" s="21" t="n"/>
    </row>
    <row r="3596">
      <c r="A3596" s="11" t="n"/>
      <c r="B3596" s="21" t="n"/>
    </row>
    <row r="3597">
      <c r="A3597" s="11" t="n"/>
      <c r="B3597" s="21" t="n"/>
    </row>
    <row r="3598">
      <c r="A3598" s="11" t="n"/>
      <c r="B3598" s="21" t="n"/>
    </row>
    <row r="3599">
      <c r="A3599" s="11" t="n"/>
      <c r="B3599" s="21" t="n"/>
    </row>
    <row r="3600">
      <c r="A3600" s="11" t="n"/>
      <c r="B3600" s="21" t="n"/>
    </row>
    <row r="3601">
      <c r="A3601" s="11" t="n"/>
      <c r="B3601" s="21" t="n"/>
    </row>
    <row r="3602">
      <c r="A3602" s="11" t="n"/>
      <c r="B3602" s="21" t="n"/>
    </row>
    <row r="3603">
      <c r="A3603" s="11" t="n"/>
      <c r="B3603" s="21" t="n"/>
    </row>
    <row r="3604">
      <c r="A3604" s="11" t="n"/>
      <c r="B3604" s="21" t="n"/>
    </row>
    <row r="3605">
      <c r="A3605" s="11" t="n"/>
      <c r="B3605" s="21" t="n"/>
    </row>
    <row r="3606">
      <c r="A3606" s="11" t="n"/>
      <c r="B3606" s="21" t="n"/>
    </row>
    <row r="3607">
      <c r="A3607" s="11" t="n"/>
      <c r="B3607" s="21" t="n"/>
    </row>
    <row r="3608">
      <c r="A3608" s="11" t="n"/>
      <c r="B3608" s="21" t="n"/>
    </row>
    <row r="3609">
      <c r="A3609" s="11" t="n"/>
      <c r="B3609" s="21" t="n"/>
    </row>
    <row r="3610">
      <c r="A3610" s="11" t="n"/>
      <c r="B3610" s="21" t="n"/>
    </row>
    <row r="3611">
      <c r="A3611" s="11" t="n"/>
      <c r="B3611" s="21" t="n"/>
    </row>
    <row r="3612">
      <c r="A3612" s="11" t="n"/>
      <c r="B3612" s="21" t="n"/>
    </row>
    <row r="3613">
      <c r="A3613" s="11" t="n"/>
      <c r="B3613" s="21" t="n"/>
    </row>
    <row r="3614">
      <c r="A3614" s="11" t="n"/>
      <c r="B3614" s="21" t="n"/>
    </row>
    <row r="3615">
      <c r="A3615" s="11" t="n"/>
      <c r="B3615" s="21" t="n"/>
    </row>
    <row r="3616">
      <c r="A3616" s="11" t="n"/>
      <c r="B3616" s="21" t="n"/>
    </row>
    <row r="3617">
      <c r="A3617" s="11" t="n"/>
      <c r="B3617" s="21" t="n"/>
    </row>
    <row r="3618">
      <c r="A3618" s="11" t="n"/>
      <c r="B3618" s="21" t="n"/>
    </row>
    <row r="3619">
      <c r="A3619" s="11" t="n"/>
      <c r="B3619" s="21" t="n"/>
    </row>
    <row r="3620">
      <c r="A3620" s="11" t="n"/>
      <c r="B3620" s="21" t="n"/>
    </row>
    <row r="3621">
      <c r="A3621" s="11" t="n"/>
      <c r="B3621" s="21" t="n"/>
    </row>
    <row r="3622">
      <c r="A3622" s="11" t="n"/>
      <c r="B3622" s="21" t="n"/>
    </row>
    <row r="3623">
      <c r="A3623" s="11" t="n"/>
      <c r="B3623" s="21" t="n"/>
    </row>
    <row r="3624">
      <c r="A3624" s="11" t="n"/>
      <c r="B3624" s="21" t="n"/>
    </row>
    <row r="3625">
      <c r="A3625" s="11" t="n"/>
      <c r="B3625" s="21" t="n"/>
    </row>
    <row r="3626">
      <c r="A3626" s="11" t="n"/>
      <c r="B3626" s="21" t="n"/>
    </row>
    <row r="3627">
      <c r="A3627" s="11" t="n"/>
      <c r="B3627" s="21" t="n"/>
    </row>
    <row r="3628">
      <c r="A3628" s="11" t="n"/>
      <c r="B3628" s="21" t="n"/>
    </row>
    <row r="3629">
      <c r="A3629" s="11" t="n"/>
      <c r="B3629" s="21" t="n"/>
    </row>
    <row r="3630">
      <c r="A3630" s="11" t="n"/>
      <c r="B3630" s="21" t="n"/>
    </row>
    <row r="3631">
      <c r="A3631" s="11" t="n"/>
      <c r="B3631" s="21" t="n"/>
    </row>
    <row r="3632">
      <c r="A3632" s="11" t="n"/>
      <c r="B3632" s="21" t="n"/>
    </row>
    <row r="3633">
      <c r="A3633" s="11" t="n"/>
      <c r="B3633" s="21" t="n"/>
    </row>
    <row r="3634">
      <c r="A3634" s="11" t="n"/>
      <c r="B3634" s="21" t="n"/>
    </row>
    <row r="3635">
      <c r="A3635" s="11" t="n"/>
      <c r="B3635" s="21" t="n"/>
    </row>
    <row r="3636">
      <c r="A3636" s="11" t="n"/>
      <c r="B3636" s="21" t="n"/>
    </row>
    <row r="3637">
      <c r="A3637" s="11" t="n"/>
      <c r="B3637" s="21" t="n"/>
    </row>
    <row r="3638">
      <c r="A3638" s="11" t="n"/>
      <c r="B3638" s="21" t="n"/>
    </row>
    <row r="3639">
      <c r="A3639" s="11" t="n"/>
      <c r="B3639" s="21" t="n"/>
    </row>
    <row r="3640">
      <c r="A3640" s="11" t="n"/>
      <c r="B3640" s="21" t="n"/>
    </row>
    <row r="3641">
      <c r="A3641" s="11" t="n"/>
      <c r="B3641" s="21" t="n"/>
    </row>
    <row r="3642">
      <c r="A3642" s="11" t="n"/>
      <c r="B3642" s="21" t="n"/>
    </row>
    <row r="3643">
      <c r="A3643" s="11" t="n"/>
      <c r="B3643" s="21" t="n"/>
    </row>
    <row r="3644">
      <c r="A3644" s="11" t="n"/>
      <c r="B3644" s="21" t="n"/>
    </row>
    <row r="3645">
      <c r="A3645" s="11" t="n"/>
      <c r="B3645" s="21" t="n"/>
    </row>
    <row r="3646">
      <c r="A3646" s="11" t="n"/>
      <c r="B3646" s="21" t="n"/>
    </row>
    <row r="3647">
      <c r="A3647" s="11" t="n"/>
      <c r="B3647" s="21" t="n"/>
    </row>
    <row r="3648">
      <c r="A3648" s="11" t="n"/>
      <c r="B3648" s="21" t="n"/>
    </row>
    <row r="3649">
      <c r="A3649" s="11" t="n"/>
      <c r="B3649" s="21" t="n"/>
    </row>
    <row r="3650">
      <c r="A3650" s="11" t="n"/>
      <c r="B3650" s="21" t="n"/>
    </row>
    <row r="3651">
      <c r="A3651" s="11" t="n"/>
      <c r="B3651" s="21" t="n"/>
    </row>
    <row r="3652">
      <c r="A3652" s="11" t="n"/>
      <c r="B3652" s="21" t="n"/>
    </row>
    <row r="3653">
      <c r="A3653" s="11" t="n"/>
      <c r="B3653" s="21" t="n"/>
    </row>
    <row r="3654">
      <c r="A3654" s="11" t="n"/>
      <c r="B3654" s="21" t="n"/>
    </row>
    <row r="3655">
      <c r="A3655" s="11" t="n"/>
      <c r="B3655" s="21" t="n"/>
    </row>
    <row r="3656">
      <c r="A3656" s="11" t="n"/>
      <c r="B3656" s="21" t="n"/>
    </row>
    <row r="3657">
      <c r="A3657" s="11" t="n"/>
      <c r="B3657" s="21" t="n"/>
    </row>
    <row r="3658">
      <c r="A3658" s="11" t="n"/>
      <c r="B3658" s="21" t="n"/>
    </row>
    <row r="3659">
      <c r="A3659" s="11" t="n"/>
      <c r="B3659" s="21" t="n"/>
    </row>
    <row r="3660">
      <c r="A3660" s="11" t="n"/>
      <c r="B3660" s="21" t="n"/>
    </row>
    <row r="3661">
      <c r="A3661" s="11" t="n"/>
      <c r="B3661" s="21" t="n"/>
    </row>
    <row r="3662">
      <c r="A3662" s="11" t="n"/>
      <c r="B3662" s="21" t="n"/>
    </row>
    <row r="3663">
      <c r="A3663" s="11" t="n"/>
      <c r="B3663" s="21" t="n"/>
    </row>
    <row r="3664">
      <c r="A3664" s="11" t="n"/>
      <c r="B3664" s="21" t="n"/>
    </row>
    <row r="3665">
      <c r="A3665" s="11" t="n"/>
      <c r="B3665" s="21" t="n"/>
    </row>
    <row r="3666">
      <c r="A3666" s="11" t="n"/>
      <c r="B3666" s="21" t="n"/>
    </row>
    <row r="3667">
      <c r="A3667" s="11" t="n"/>
      <c r="B3667" s="21" t="n"/>
    </row>
    <row r="3668">
      <c r="A3668" s="11" t="n"/>
      <c r="B3668" s="21" t="n"/>
    </row>
    <row r="3669">
      <c r="A3669" s="11" t="n"/>
      <c r="B3669" s="21" t="n"/>
    </row>
    <row r="3670">
      <c r="A3670" s="11" t="n"/>
      <c r="B3670" s="21" t="n"/>
    </row>
    <row r="3671">
      <c r="A3671" s="11" t="n"/>
      <c r="B3671" s="21" t="n"/>
    </row>
    <row r="3672">
      <c r="A3672" s="11" t="n"/>
      <c r="B3672" s="21" t="n"/>
    </row>
    <row r="3673">
      <c r="A3673" s="11" t="n"/>
      <c r="B3673" s="21" t="n"/>
    </row>
    <row r="3674">
      <c r="A3674" s="11" t="n"/>
      <c r="B3674" s="21" t="n"/>
    </row>
    <row r="3675">
      <c r="A3675" s="11" t="n"/>
      <c r="B3675" s="21" t="n"/>
    </row>
    <row r="3676">
      <c r="A3676" s="11" t="n"/>
      <c r="B3676" s="21" t="n"/>
    </row>
    <row r="3677">
      <c r="A3677" s="11" t="n"/>
      <c r="B3677" s="21" t="n"/>
    </row>
    <row r="3678">
      <c r="A3678" s="11" t="n"/>
      <c r="B3678" s="21" t="n"/>
    </row>
    <row r="3679">
      <c r="A3679" s="11" t="n"/>
      <c r="B3679" s="21" t="n"/>
    </row>
    <row r="3680">
      <c r="A3680" s="11" t="n"/>
      <c r="B3680" s="21" t="n"/>
    </row>
    <row r="3681">
      <c r="A3681" s="11" t="n"/>
      <c r="B3681" s="21" t="n"/>
    </row>
    <row r="3682">
      <c r="A3682" s="11" t="n"/>
      <c r="B3682" s="21" t="n"/>
    </row>
    <row r="3683">
      <c r="A3683" s="11" t="n"/>
      <c r="B3683" s="21" t="n"/>
    </row>
    <row r="3684">
      <c r="A3684" s="11" t="n"/>
      <c r="B3684" s="21" t="n"/>
    </row>
    <row r="3685">
      <c r="A3685" s="11" t="n"/>
      <c r="B3685" s="21" t="n"/>
    </row>
    <row r="3686">
      <c r="A3686" s="11" t="n"/>
      <c r="B3686" s="21" t="n"/>
    </row>
    <row r="3687">
      <c r="A3687" s="11" t="n"/>
      <c r="B3687" s="21" t="n"/>
    </row>
    <row r="3688">
      <c r="A3688" s="11" t="n"/>
      <c r="B3688" s="21" t="n"/>
    </row>
    <row r="3689">
      <c r="A3689" s="11" t="n"/>
      <c r="B3689" s="21" t="n"/>
    </row>
    <row r="3690">
      <c r="A3690" s="11" t="n"/>
      <c r="B3690" s="21" t="n"/>
    </row>
    <row r="3691">
      <c r="A3691" s="11" t="n"/>
      <c r="B3691" s="21" t="n"/>
    </row>
    <row r="3692">
      <c r="A3692" s="11" t="n"/>
      <c r="B3692" s="21" t="n"/>
    </row>
    <row r="3693">
      <c r="A3693" s="11" t="n"/>
      <c r="B3693" s="21" t="n"/>
    </row>
    <row r="3694">
      <c r="A3694" s="11" t="n"/>
      <c r="B3694" s="21" t="n"/>
    </row>
    <row r="3695">
      <c r="A3695" s="11" t="n"/>
      <c r="B3695" s="21" t="n"/>
    </row>
    <row r="3696">
      <c r="A3696" s="11" t="n"/>
      <c r="B3696" s="21" t="n"/>
    </row>
    <row r="3697">
      <c r="A3697" s="11" t="n"/>
      <c r="B3697" s="21" t="n"/>
    </row>
    <row r="3698">
      <c r="A3698" s="11" t="n"/>
      <c r="B3698" s="21" t="n"/>
    </row>
    <row r="3699">
      <c r="A3699" s="11" t="n"/>
      <c r="B3699" s="21" t="n"/>
    </row>
    <row r="3700">
      <c r="A3700" s="11" t="n"/>
      <c r="B3700" s="21" t="n"/>
    </row>
    <row r="3701">
      <c r="A3701" s="11" t="n"/>
      <c r="B3701" s="21" t="n"/>
    </row>
    <row r="3702">
      <c r="A3702" s="11" t="n"/>
      <c r="B3702" s="21" t="n"/>
    </row>
    <row r="3703">
      <c r="A3703" s="11" t="n"/>
      <c r="B3703" s="21" t="n"/>
    </row>
    <row r="3704">
      <c r="A3704" s="11" t="n"/>
      <c r="B3704" s="21" t="n"/>
    </row>
    <row r="3705">
      <c r="A3705" s="11" t="n"/>
      <c r="B3705" s="21" t="n"/>
    </row>
    <row r="3706">
      <c r="A3706" s="11" t="n"/>
      <c r="B3706" s="21" t="n"/>
    </row>
    <row r="3707">
      <c r="A3707" s="11" t="n"/>
      <c r="B3707" s="21" t="n"/>
    </row>
    <row r="3708">
      <c r="A3708" s="11" t="n"/>
      <c r="B3708" s="21" t="n"/>
    </row>
    <row r="3709">
      <c r="A3709" s="11" t="n"/>
      <c r="B3709" s="21" t="n"/>
    </row>
    <row r="3710">
      <c r="A3710" s="11" t="n"/>
      <c r="B3710" s="21" t="n"/>
    </row>
    <row r="3711">
      <c r="A3711" s="11" t="n"/>
      <c r="B3711" s="21" t="n"/>
    </row>
    <row r="3712">
      <c r="A3712" s="11" t="n"/>
      <c r="B3712" s="21" t="n"/>
    </row>
    <row r="3713">
      <c r="A3713" s="11" t="n"/>
      <c r="B3713" s="21" t="n"/>
    </row>
    <row r="3714">
      <c r="A3714" s="11" t="n"/>
      <c r="B3714" s="21" t="n"/>
    </row>
    <row r="3715">
      <c r="A3715" s="11" t="n"/>
      <c r="B3715" s="21" t="n"/>
    </row>
    <row r="3716">
      <c r="A3716" s="11" t="n"/>
      <c r="B3716" s="21" t="n"/>
    </row>
    <row r="3717">
      <c r="A3717" s="11" t="n"/>
      <c r="B3717" s="21" t="n"/>
    </row>
    <row r="3718">
      <c r="A3718" s="11" t="n"/>
      <c r="B3718" s="21" t="n"/>
    </row>
    <row r="3719">
      <c r="A3719" s="11" t="n"/>
      <c r="B3719" s="21" t="n"/>
    </row>
    <row r="3720">
      <c r="A3720" s="11" t="n"/>
      <c r="B3720" s="21" t="n"/>
    </row>
    <row r="3721">
      <c r="A3721" s="11" t="n"/>
      <c r="B3721" s="21" t="n"/>
    </row>
    <row r="3722">
      <c r="A3722" s="11" t="n"/>
      <c r="B3722" s="21" t="n"/>
    </row>
    <row r="3723">
      <c r="A3723" s="11" t="n"/>
      <c r="B3723" s="21" t="n"/>
    </row>
    <row r="3724">
      <c r="A3724" s="11" t="n"/>
      <c r="B3724" s="21" t="n"/>
    </row>
    <row r="3725">
      <c r="A3725" s="11" t="n"/>
      <c r="B3725" s="21" t="n"/>
    </row>
    <row r="3726">
      <c r="A3726" s="11" t="n"/>
      <c r="B3726" s="21" t="n"/>
    </row>
    <row r="3727">
      <c r="A3727" s="11" t="n"/>
      <c r="B3727" s="21" t="n"/>
    </row>
    <row r="3728">
      <c r="A3728" s="11" t="n"/>
      <c r="B3728" s="21" t="n"/>
    </row>
    <row r="3729">
      <c r="A3729" s="11" t="n"/>
      <c r="B3729" s="21" t="n"/>
    </row>
    <row r="3730">
      <c r="A3730" s="11" t="n"/>
      <c r="B3730" s="21" t="n"/>
    </row>
    <row r="3731">
      <c r="A3731" s="11" t="n"/>
      <c r="B3731" s="21" t="n"/>
    </row>
    <row r="3732">
      <c r="A3732" s="11" t="n"/>
      <c r="B3732" s="21" t="n"/>
    </row>
    <row r="3733">
      <c r="A3733" s="11" t="n"/>
      <c r="B3733" s="21" t="n"/>
    </row>
    <row r="3734">
      <c r="A3734" s="11" t="n"/>
      <c r="B3734" s="21" t="n"/>
    </row>
    <row r="3735">
      <c r="A3735" s="11" t="n"/>
      <c r="B3735" s="21" t="n"/>
    </row>
    <row r="3736">
      <c r="A3736" s="11" t="n"/>
      <c r="B3736" s="21" t="n"/>
    </row>
    <row r="3737">
      <c r="A3737" s="11" t="n"/>
      <c r="B3737" s="21" t="n"/>
    </row>
    <row r="3738">
      <c r="A3738" s="11" t="n"/>
      <c r="B3738" s="21" t="n"/>
    </row>
    <row r="3739">
      <c r="A3739" s="11" t="n"/>
      <c r="B3739" s="21" t="n"/>
    </row>
    <row r="3740">
      <c r="A3740" s="11" t="n"/>
      <c r="B3740" s="21" t="n"/>
    </row>
    <row r="3741">
      <c r="A3741" s="11" t="n"/>
      <c r="B3741" s="21" t="n"/>
    </row>
    <row r="3742">
      <c r="A3742" s="11" t="n"/>
      <c r="B3742" s="21" t="n"/>
    </row>
    <row r="3743">
      <c r="A3743" s="11" t="n"/>
      <c r="B3743" s="21" t="n"/>
    </row>
    <row r="3744">
      <c r="A3744" s="11" t="n"/>
      <c r="B3744" s="21" t="n"/>
    </row>
    <row r="3745">
      <c r="A3745" s="11" t="n"/>
      <c r="B3745" s="21" t="n"/>
    </row>
    <row r="3746">
      <c r="A3746" s="11" t="n"/>
      <c r="B3746" s="21" t="n"/>
    </row>
    <row r="3747">
      <c r="A3747" s="11" t="n"/>
      <c r="B3747" s="21" t="n"/>
    </row>
    <row r="3748">
      <c r="A3748" s="11" t="n"/>
      <c r="B3748" s="21" t="n"/>
    </row>
    <row r="3749">
      <c r="A3749" s="11" t="n"/>
      <c r="B3749" s="21" t="n"/>
    </row>
    <row r="3750">
      <c r="A3750" s="11" t="n"/>
      <c r="B3750" s="21" t="n"/>
    </row>
    <row r="3751">
      <c r="A3751" s="11" t="n"/>
      <c r="B3751" s="21" t="n"/>
    </row>
    <row r="3752">
      <c r="A3752" s="11" t="n"/>
      <c r="B3752" s="21" t="n"/>
    </row>
    <row r="3753">
      <c r="A3753" s="11" t="n"/>
      <c r="B3753" s="21" t="n"/>
    </row>
    <row r="3754">
      <c r="A3754" s="11" t="n"/>
      <c r="B3754" s="21" t="n"/>
    </row>
    <row r="3755">
      <c r="A3755" s="11" t="n"/>
      <c r="B3755" s="21" t="n"/>
    </row>
    <row r="3756">
      <c r="A3756" s="11" t="n"/>
      <c r="B3756" s="21" t="n"/>
    </row>
    <row r="3757">
      <c r="A3757" s="11" t="n"/>
      <c r="B3757" s="21" t="n"/>
    </row>
    <row r="3758">
      <c r="A3758" s="11" t="n"/>
      <c r="B3758" s="21" t="n"/>
    </row>
    <row r="3759">
      <c r="A3759" s="11" t="n"/>
      <c r="B3759" s="21" t="n"/>
    </row>
    <row r="3760">
      <c r="A3760" s="11" t="n"/>
      <c r="B3760" s="21" t="n"/>
    </row>
    <row r="3761">
      <c r="A3761" s="11" t="n"/>
      <c r="B3761" s="21" t="n"/>
    </row>
    <row r="3762">
      <c r="A3762" s="11" t="n"/>
      <c r="B3762" s="21" t="n"/>
    </row>
    <row r="3763">
      <c r="A3763" s="11" t="n"/>
      <c r="B3763" s="21" t="n"/>
    </row>
    <row r="3764">
      <c r="A3764" s="11" t="n"/>
      <c r="B3764" s="21" t="n"/>
    </row>
    <row r="3765">
      <c r="A3765" s="11" t="n"/>
      <c r="B3765" s="21" t="n"/>
    </row>
    <row r="3766">
      <c r="A3766" s="11" t="n"/>
      <c r="B3766" s="21" t="n"/>
    </row>
    <row r="3767">
      <c r="A3767" s="11" t="n"/>
      <c r="B3767" s="21" t="n"/>
    </row>
    <row r="3768">
      <c r="A3768" s="11" t="n"/>
      <c r="B3768" s="21" t="n"/>
    </row>
    <row r="3769">
      <c r="A3769" s="11" t="n"/>
      <c r="B3769" s="21" t="n"/>
    </row>
    <row r="3770">
      <c r="A3770" s="11" t="n"/>
      <c r="B3770" s="21" t="n"/>
    </row>
    <row r="3771">
      <c r="A3771" s="11" t="n"/>
      <c r="B3771" s="21" t="n"/>
    </row>
    <row r="3772">
      <c r="A3772" s="11" t="n"/>
      <c r="B3772" s="21" t="n"/>
    </row>
    <row r="3773">
      <c r="A3773" s="11" t="n"/>
      <c r="B3773" s="21" t="n"/>
    </row>
    <row r="3774">
      <c r="A3774" s="11" t="n"/>
      <c r="B3774" s="21" t="n"/>
    </row>
    <row r="3775">
      <c r="A3775" s="11" t="n"/>
      <c r="B3775" s="21" t="n"/>
    </row>
    <row r="3776">
      <c r="A3776" s="11" t="n"/>
      <c r="B3776" s="21" t="n"/>
    </row>
    <row r="3777">
      <c r="A3777" s="11" t="n"/>
      <c r="B3777" s="21" t="n"/>
    </row>
    <row r="3778">
      <c r="A3778" s="11" t="n"/>
      <c r="B3778" s="21" t="n"/>
    </row>
    <row r="3779">
      <c r="A3779" s="11" t="n"/>
      <c r="B3779" s="21" t="n"/>
    </row>
    <row r="3780">
      <c r="A3780" s="11" t="n"/>
      <c r="B3780" s="21" t="n"/>
    </row>
    <row r="3781">
      <c r="A3781" s="11" t="n"/>
      <c r="B3781" s="21" t="n"/>
    </row>
    <row r="3782">
      <c r="A3782" s="11" t="n"/>
      <c r="B3782" s="21" t="n"/>
    </row>
    <row r="3783">
      <c r="A3783" s="11" t="n"/>
      <c r="B3783" s="21" t="n"/>
    </row>
    <row r="3784">
      <c r="A3784" s="11" t="n"/>
      <c r="B3784" s="21" t="n"/>
    </row>
    <row r="3785">
      <c r="A3785" s="11" t="n"/>
      <c r="B3785" s="21" t="n"/>
    </row>
    <row r="3786">
      <c r="A3786" s="11" t="n"/>
      <c r="B3786" s="21" t="n"/>
    </row>
    <row r="3787">
      <c r="A3787" s="11" t="n"/>
      <c r="B3787" s="21" t="n"/>
    </row>
    <row r="3788">
      <c r="A3788" s="11" t="n"/>
      <c r="B3788" s="21" t="n"/>
    </row>
    <row r="3789">
      <c r="A3789" s="11" t="n"/>
      <c r="B3789" s="21" t="n"/>
    </row>
    <row r="3790">
      <c r="A3790" s="11" t="n"/>
      <c r="B3790" s="21" t="n"/>
    </row>
    <row r="3791">
      <c r="A3791" s="11" t="n"/>
      <c r="B3791" s="21" t="n"/>
    </row>
    <row r="3792">
      <c r="A3792" s="11" t="n"/>
      <c r="B3792" s="21" t="n"/>
    </row>
    <row r="3793">
      <c r="A3793" s="11" t="n"/>
      <c r="B3793" s="21" t="n"/>
    </row>
    <row r="3794">
      <c r="A3794" s="11" t="n"/>
      <c r="B3794" s="21" t="n"/>
    </row>
    <row r="3795">
      <c r="A3795" s="11" t="n"/>
      <c r="B3795" s="21" t="n"/>
    </row>
    <row r="3796">
      <c r="A3796" s="11" t="n"/>
      <c r="B3796" s="21" t="n"/>
    </row>
    <row r="3797">
      <c r="A3797" s="11" t="n"/>
      <c r="B3797" s="21" t="n"/>
    </row>
    <row r="3798">
      <c r="A3798" s="11" t="n"/>
      <c r="B3798" s="21" t="n"/>
    </row>
    <row r="3799">
      <c r="A3799" s="11" t="n"/>
      <c r="B3799" s="21" t="n"/>
    </row>
    <row r="3800">
      <c r="A3800" s="11" t="n"/>
      <c r="B3800" s="21" t="n"/>
    </row>
    <row r="3801">
      <c r="A3801" s="11" t="n"/>
      <c r="B3801" s="21" t="n"/>
    </row>
    <row r="3802">
      <c r="A3802" s="11" t="n"/>
      <c r="B3802" s="21" t="n"/>
    </row>
    <row r="3803">
      <c r="A3803" s="11" t="n"/>
      <c r="B3803" s="21" t="n"/>
    </row>
    <row r="3804">
      <c r="A3804" s="11" t="n"/>
      <c r="B3804" s="21" t="n"/>
    </row>
    <row r="3805">
      <c r="A3805" s="11" t="n"/>
      <c r="B3805" s="21" t="n"/>
    </row>
    <row r="3806">
      <c r="A3806" s="11" t="n"/>
      <c r="B3806" s="21" t="n"/>
    </row>
    <row r="3807">
      <c r="A3807" s="11" t="n"/>
      <c r="B3807" s="21" t="n"/>
    </row>
    <row r="3808">
      <c r="A3808" s="11" t="n"/>
      <c r="B3808" s="21" t="n"/>
    </row>
    <row r="3809">
      <c r="A3809" s="11" t="n"/>
      <c r="B3809" s="21" t="n"/>
    </row>
    <row r="3810">
      <c r="A3810" s="11" t="n"/>
      <c r="B3810" s="21" t="n"/>
    </row>
    <row r="3811">
      <c r="A3811" s="11" t="n"/>
      <c r="B3811" s="21" t="n"/>
    </row>
    <row r="3812">
      <c r="A3812" s="11" t="n"/>
      <c r="B3812" s="21" t="n"/>
    </row>
    <row r="3813">
      <c r="A3813" s="11" t="n"/>
      <c r="B3813" s="21" t="n"/>
    </row>
    <row r="3814">
      <c r="A3814" s="11" t="n"/>
      <c r="B3814" s="21" t="n"/>
    </row>
    <row r="3815">
      <c r="A3815" s="11" t="n"/>
      <c r="B3815" s="21" t="n"/>
    </row>
    <row r="3816">
      <c r="A3816" s="11" t="n"/>
      <c r="B3816" s="21" t="n"/>
    </row>
    <row r="3817">
      <c r="A3817" s="11" t="n"/>
      <c r="B3817" s="21" t="n"/>
    </row>
    <row r="3818">
      <c r="A3818" s="11" t="n"/>
      <c r="B3818" s="21" t="n"/>
    </row>
    <row r="3819">
      <c r="A3819" s="11" t="n"/>
      <c r="B3819" s="21" t="n"/>
    </row>
    <row r="3820">
      <c r="A3820" s="11" t="n"/>
      <c r="B3820" s="21" t="n"/>
    </row>
    <row r="3821">
      <c r="A3821" s="11" t="n"/>
      <c r="B3821" s="21" t="n"/>
    </row>
    <row r="3822">
      <c r="A3822" s="11" t="n"/>
      <c r="B3822" s="21" t="n"/>
    </row>
    <row r="3823">
      <c r="A3823" s="11" t="n"/>
      <c r="B3823" s="21" t="n"/>
    </row>
    <row r="3824">
      <c r="A3824" s="11" t="n"/>
      <c r="B3824" s="21" t="n"/>
    </row>
    <row r="3825">
      <c r="A3825" s="11" t="n"/>
      <c r="B3825" s="21" t="n"/>
    </row>
    <row r="3826">
      <c r="A3826" s="11" t="n"/>
      <c r="B3826" s="21" t="n"/>
    </row>
    <row r="3827">
      <c r="A3827" s="11" t="n"/>
      <c r="B3827" s="21" t="n"/>
    </row>
    <row r="3828">
      <c r="A3828" s="11" t="n"/>
      <c r="B3828" s="21" t="n"/>
    </row>
    <row r="3829">
      <c r="A3829" s="11" t="n"/>
      <c r="B3829" s="21" t="n"/>
    </row>
    <row r="3830">
      <c r="A3830" s="11" t="n"/>
      <c r="B3830" s="21" t="n"/>
    </row>
    <row r="3831">
      <c r="A3831" s="11" t="n"/>
      <c r="B3831" s="21" t="n"/>
    </row>
    <row r="3832">
      <c r="A3832" s="11" t="n"/>
      <c r="B3832" s="21" t="n"/>
    </row>
    <row r="3833">
      <c r="A3833" s="11" t="n"/>
      <c r="B3833" s="21" t="n"/>
    </row>
    <row r="3834">
      <c r="A3834" s="11" t="n"/>
      <c r="B3834" s="21" t="n"/>
    </row>
    <row r="3835">
      <c r="A3835" s="11" t="n"/>
      <c r="B3835" s="21" t="n"/>
    </row>
    <row r="3836">
      <c r="A3836" s="11" t="n"/>
      <c r="B3836" s="21" t="n"/>
    </row>
    <row r="3837">
      <c r="A3837" s="11" t="n"/>
      <c r="B3837" s="21" t="n"/>
    </row>
    <row r="3838">
      <c r="A3838" s="11" t="n"/>
      <c r="B3838" s="21" t="n"/>
    </row>
    <row r="3839">
      <c r="A3839" s="11" t="n"/>
      <c r="B3839" s="21" t="n"/>
    </row>
    <row r="3840">
      <c r="A3840" s="11" t="n"/>
      <c r="B3840" s="21" t="n"/>
    </row>
    <row r="3841">
      <c r="A3841" s="11" t="n"/>
      <c r="B3841" s="21" t="n"/>
    </row>
    <row r="3842">
      <c r="A3842" s="11" t="n"/>
      <c r="B3842" s="21" t="n"/>
    </row>
    <row r="3843">
      <c r="A3843" s="11" t="n"/>
      <c r="B3843" s="21" t="n"/>
    </row>
    <row r="3844">
      <c r="A3844" s="11" t="n"/>
      <c r="B3844" s="21" t="n"/>
    </row>
    <row r="3845">
      <c r="A3845" s="11" t="n"/>
      <c r="B3845" s="21" t="n"/>
    </row>
    <row r="3846">
      <c r="A3846" s="11" t="n"/>
      <c r="B3846" s="21" t="n"/>
    </row>
    <row r="3847">
      <c r="A3847" s="11" t="n"/>
      <c r="B3847" s="21" t="n"/>
    </row>
    <row r="3848">
      <c r="A3848" s="11" t="n"/>
      <c r="B3848" s="21" t="n"/>
    </row>
    <row r="3849">
      <c r="A3849" s="11" t="n"/>
      <c r="B3849" s="21" t="n"/>
    </row>
    <row r="3850">
      <c r="A3850" s="11" t="n"/>
      <c r="B3850" s="21" t="n"/>
    </row>
    <row r="3851">
      <c r="A3851" s="11" t="n"/>
      <c r="B3851" s="21" t="n"/>
    </row>
    <row r="3852">
      <c r="A3852" s="11" t="n"/>
      <c r="B3852" s="21" t="n"/>
    </row>
    <row r="3853">
      <c r="A3853" s="11" t="n"/>
      <c r="B3853" s="21" t="n"/>
    </row>
    <row r="3854">
      <c r="A3854" s="11" t="n"/>
      <c r="B3854" s="21" t="n"/>
    </row>
    <row r="3855">
      <c r="A3855" s="11" t="n"/>
      <c r="B3855" s="21" t="n"/>
    </row>
    <row r="3856">
      <c r="A3856" s="11" t="n"/>
      <c r="B3856" s="21" t="n"/>
    </row>
    <row r="3857">
      <c r="A3857" s="11" t="n"/>
      <c r="B3857" s="21" t="n"/>
    </row>
    <row r="3858">
      <c r="A3858" s="11" t="n"/>
      <c r="B3858" s="21" t="n"/>
    </row>
    <row r="3859">
      <c r="A3859" s="11" t="n"/>
      <c r="B3859" s="21" t="n"/>
    </row>
    <row r="3860">
      <c r="A3860" s="11" t="n"/>
      <c r="B3860" s="21" t="n"/>
    </row>
    <row r="3861">
      <c r="A3861" s="11" t="n"/>
      <c r="B3861" s="21" t="n"/>
    </row>
    <row r="3862">
      <c r="A3862" s="11" t="n"/>
      <c r="B3862" s="21" t="n"/>
    </row>
    <row r="3863">
      <c r="A3863" s="11" t="n"/>
      <c r="B3863" s="21" t="n"/>
    </row>
    <row r="3864">
      <c r="A3864" s="11" t="n"/>
      <c r="B3864" s="21" t="n"/>
    </row>
    <row r="3865">
      <c r="A3865" s="11" t="n"/>
      <c r="B3865" s="21" t="n"/>
    </row>
    <row r="3866">
      <c r="A3866" s="11" t="n"/>
      <c r="B3866" s="21" t="n"/>
    </row>
    <row r="3867">
      <c r="A3867" s="11" t="n"/>
      <c r="B3867" s="21" t="n"/>
    </row>
    <row r="3868">
      <c r="A3868" s="11" t="n"/>
      <c r="B3868" s="21" t="n"/>
    </row>
    <row r="3869">
      <c r="A3869" s="11" t="n"/>
      <c r="B3869" s="21" t="n"/>
    </row>
    <row r="3870">
      <c r="A3870" s="11" t="n"/>
      <c r="B3870" s="21" t="n"/>
    </row>
    <row r="3871">
      <c r="A3871" s="11" t="n"/>
      <c r="B3871" s="21" t="n"/>
    </row>
    <row r="3872">
      <c r="A3872" s="11" t="n"/>
      <c r="B3872" s="21" t="n"/>
    </row>
    <row r="3873">
      <c r="A3873" s="11" t="n"/>
      <c r="B3873" s="21" t="n"/>
    </row>
    <row r="3874">
      <c r="A3874" s="11" t="n"/>
      <c r="B3874" s="21" t="n"/>
    </row>
    <row r="3875">
      <c r="A3875" s="11" t="n"/>
      <c r="B3875" s="21" t="n"/>
    </row>
    <row r="3876">
      <c r="A3876" s="11" t="n"/>
      <c r="B3876" s="21" t="n"/>
    </row>
    <row r="3877">
      <c r="A3877" s="11" t="n"/>
      <c r="B3877" s="21" t="n"/>
    </row>
    <row r="3878">
      <c r="A3878" s="11" t="n"/>
      <c r="B3878" s="21" t="n"/>
    </row>
    <row r="3879">
      <c r="A3879" s="11" t="n"/>
      <c r="B3879" s="21" t="n"/>
    </row>
    <row r="3880">
      <c r="A3880" s="11" t="n"/>
      <c r="B3880" s="21" t="n"/>
    </row>
    <row r="3881">
      <c r="A3881" s="11" t="n"/>
      <c r="B3881" s="21" t="n"/>
    </row>
    <row r="3882">
      <c r="A3882" s="11" t="n"/>
      <c r="B3882" s="21" t="n"/>
    </row>
    <row r="3883">
      <c r="A3883" s="11" t="n"/>
      <c r="B3883" s="21" t="n"/>
    </row>
    <row r="3884">
      <c r="A3884" s="11" t="n"/>
      <c r="B3884" s="21" t="n"/>
    </row>
    <row r="3885">
      <c r="A3885" s="11" t="n"/>
      <c r="B3885" s="21" t="n"/>
    </row>
    <row r="3886">
      <c r="A3886" s="11" t="n"/>
      <c r="B3886" s="21" t="n"/>
    </row>
    <row r="3887">
      <c r="A3887" s="11" t="n"/>
      <c r="B3887" s="21" t="n"/>
    </row>
    <row r="3888">
      <c r="A3888" s="11" t="n"/>
      <c r="B3888" s="21" t="n"/>
    </row>
    <row r="3889">
      <c r="A3889" s="11" t="n"/>
      <c r="B3889" s="21" t="n"/>
    </row>
    <row r="3890">
      <c r="A3890" s="11" t="n"/>
      <c r="B3890" s="21" t="n"/>
    </row>
    <row r="3891">
      <c r="A3891" s="11" t="n"/>
      <c r="B3891" s="21" t="n"/>
    </row>
    <row r="3892">
      <c r="A3892" s="11" t="n"/>
      <c r="B3892" s="21" t="n"/>
    </row>
    <row r="3893">
      <c r="A3893" s="11" t="n"/>
      <c r="B3893" s="21" t="n"/>
    </row>
    <row r="3894">
      <c r="A3894" s="11" t="n"/>
      <c r="B3894" s="21" t="n"/>
    </row>
    <row r="3895">
      <c r="A3895" s="11" t="n"/>
      <c r="B3895" s="21" t="n"/>
    </row>
    <row r="3896">
      <c r="A3896" s="11" t="n"/>
      <c r="B3896" s="21" t="n"/>
    </row>
    <row r="3897">
      <c r="A3897" s="11" t="n"/>
      <c r="B3897" s="21" t="n"/>
    </row>
    <row r="3898">
      <c r="A3898" s="11" t="n"/>
      <c r="B3898" s="21" t="n"/>
    </row>
    <row r="3899">
      <c r="A3899" s="11" t="n"/>
      <c r="B3899" s="21" t="n"/>
    </row>
    <row r="3900">
      <c r="A3900" s="11" t="n"/>
      <c r="B3900" s="21" t="n"/>
    </row>
    <row r="3901">
      <c r="A3901" s="11" t="n"/>
      <c r="B3901" s="21" t="n"/>
    </row>
    <row r="3902">
      <c r="A3902" s="11" t="n"/>
      <c r="B3902" s="21" t="n"/>
    </row>
    <row r="3903">
      <c r="A3903" s="11" t="n"/>
      <c r="B3903" s="21" t="n"/>
    </row>
    <row r="3904">
      <c r="A3904" s="11" t="n"/>
      <c r="B3904" s="21" t="n"/>
    </row>
    <row r="3905">
      <c r="A3905" s="11" t="n"/>
      <c r="B3905" s="21" t="n"/>
    </row>
    <row r="3906">
      <c r="A3906" s="11" t="n"/>
      <c r="B3906" s="21" t="n"/>
    </row>
    <row r="3907">
      <c r="A3907" s="11" t="n"/>
      <c r="B3907" s="21" t="n"/>
    </row>
    <row r="3908">
      <c r="A3908" s="11" t="n"/>
      <c r="B3908" s="21" t="n"/>
    </row>
    <row r="3909">
      <c r="A3909" s="11" t="n"/>
      <c r="B3909" s="21" t="n"/>
    </row>
    <row r="3910">
      <c r="A3910" s="11" t="n"/>
      <c r="B3910" s="21" t="n"/>
    </row>
    <row r="3911">
      <c r="A3911" s="11" t="n"/>
      <c r="B3911" s="21" t="n"/>
    </row>
    <row r="3912">
      <c r="A3912" s="11" t="n"/>
      <c r="B3912" s="21" t="n"/>
    </row>
    <row r="3913">
      <c r="A3913" s="11" t="n"/>
      <c r="B3913" s="21" t="n"/>
    </row>
    <row r="3914">
      <c r="A3914" s="11" t="n"/>
      <c r="B3914" s="21" t="n"/>
    </row>
    <row r="3915">
      <c r="A3915" s="11" t="n"/>
      <c r="B3915" s="21" t="n"/>
    </row>
    <row r="3916">
      <c r="A3916" s="11" t="n"/>
      <c r="B3916" s="21" t="n"/>
    </row>
    <row r="3917">
      <c r="A3917" s="11" t="n"/>
      <c r="B3917" s="21" t="n"/>
    </row>
    <row r="3918">
      <c r="A3918" s="11" t="n"/>
      <c r="B3918" s="21" t="n"/>
    </row>
    <row r="3919">
      <c r="A3919" s="11" t="n"/>
      <c r="B3919" s="21" t="n"/>
    </row>
    <row r="3920">
      <c r="A3920" s="11" t="n"/>
      <c r="B3920" s="21" t="n"/>
    </row>
    <row r="3921">
      <c r="A3921" s="11" t="n"/>
      <c r="B3921" s="21" t="n"/>
    </row>
    <row r="3922">
      <c r="A3922" s="11" t="n"/>
      <c r="B3922" s="21" t="n"/>
    </row>
    <row r="3923">
      <c r="A3923" s="11" t="n"/>
      <c r="B3923" s="21" t="n"/>
    </row>
    <row r="3924">
      <c r="A3924" s="11" t="n"/>
      <c r="B3924" s="21" t="n"/>
    </row>
    <row r="3925">
      <c r="A3925" s="11" t="n"/>
      <c r="B3925" s="21" t="n"/>
    </row>
    <row r="3926">
      <c r="A3926" s="11" t="n"/>
      <c r="B3926" s="21" t="n"/>
    </row>
    <row r="3927">
      <c r="A3927" s="11" t="n"/>
      <c r="B3927" s="21" t="n"/>
    </row>
    <row r="3928">
      <c r="A3928" s="11" t="n"/>
      <c r="B3928" s="21" t="n"/>
    </row>
    <row r="3929">
      <c r="A3929" s="11" t="n"/>
      <c r="B3929" s="21" t="n"/>
    </row>
    <row r="3930">
      <c r="A3930" s="11" t="n"/>
      <c r="B3930" s="21" t="n"/>
    </row>
    <row r="3931">
      <c r="A3931" s="11" t="n"/>
      <c r="B3931" s="21" t="n"/>
    </row>
    <row r="3932">
      <c r="A3932" s="11" t="n"/>
      <c r="B3932" s="21" t="n"/>
    </row>
    <row r="3933">
      <c r="A3933" s="11" t="n"/>
      <c r="B3933" s="21" t="n"/>
    </row>
    <row r="3934">
      <c r="A3934" s="11" t="n"/>
      <c r="B3934" s="21" t="n"/>
    </row>
    <row r="3935">
      <c r="A3935" s="11" t="n"/>
      <c r="B3935" s="21" t="n"/>
    </row>
    <row r="3936">
      <c r="A3936" s="11" t="n"/>
      <c r="B3936" s="21" t="n"/>
    </row>
    <row r="3937">
      <c r="A3937" s="11" t="n"/>
      <c r="B3937" s="21" t="n"/>
    </row>
    <row r="3938">
      <c r="A3938" s="11" t="n"/>
      <c r="B3938" s="21" t="n"/>
    </row>
    <row r="3939">
      <c r="A3939" s="11" t="n"/>
      <c r="B3939" s="21" t="n"/>
    </row>
    <row r="3940">
      <c r="A3940" s="11" t="n"/>
      <c r="B3940" s="21" t="n"/>
    </row>
    <row r="3941">
      <c r="A3941" s="11" t="n"/>
      <c r="B3941" s="21" t="n"/>
    </row>
    <row r="3942">
      <c r="A3942" s="11" t="n"/>
      <c r="B3942" s="21" t="n"/>
    </row>
    <row r="3943">
      <c r="A3943" s="11" t="n"/>
      <c r="B3943" s="21" t="n"/>
    </row>
    <row r="3944">
      <c r="A3944" s="11" t="n"/>
      <c r="B3944" s="21" t="n"/>
    </row>
    <row r="3945">
      <c r="A3945" s="11" t="n"/>
      <c r="B3945" s="21" t="n"/>
    </row>
    <row r="3946">
      <c r="A3946" s="11" t="n"/>
      <c r="B3946" s="21" t="n"/>
    </row>
    <row r="3947">
      <c r="A3947" s="11" t="n"/>
      <c r="B3947" s="21" t="n"/>
    </row>
    <row r="3948">
      <c r="A3948" s="11" t="n"/>
      <c r="B3948" s="21" t="n"/>
    </row>
    <row r="3949">
      <c r="A3949" s="11" t="n"/>
      <c r="B3949" s="21" t="n"/>
    </row>
    <row r="3950">
      <c r="A3950" s="11" t="n"/>
      <c r="B3950" s="21" t="n"/>
    </row>
    <row r="3951">
      <c r="A3951" s="11" t="n"/>
      <c r="B3951" s="21" t="n"/>
    </row>
    <row r="3952">
      <c r="A3952" s="11" t="n"/>
      <c r="B3952" s="21" t="n"/>
    </row>
    <row r="3953">
      <c r="A3953" s="11" t="n"/>
      <c r="B3953" s="21" t="n"/>
    </row>
    <row r="3954">
      <c r="A3954" s="11" t="n"/>
      <c r="B3954" s="21" t="n"/>
    </row>
    <row r="3955">
      <c r="A3955" s="11" t="n"/>
      <c r="B3955" s="21" t="n"/>
    </row>
    <row r="3956">
      <c r="A3956" s="11" t="n"/>
      <c r="B3956" s="21" t="n"/>
    </row>
    <row r="3957">
      <c r="A3957" s="11" t="n"/>
      <c r="B3957" s="21" t="n"/>
    </row>
    <row r="3958">
      <c r="A3958" s="11" t="n"/>
      <c r="B3958" s="21" t="n"/>
    </row>
    <row r="3959">
      <c r="A3959" s="11" t="n"/>
      <c r="B3959" s="21" t="n"/>
    </row>
    <row r="3960">
      <c r="A3960" s="11" t="n"/>
      <c r="B3960" s="21" t="n"/>
    </row>
    <row r="3961">
      <c r="A3961" s="11" t="n"/>
      <c r="B3961" s="21" t="n"/>
    </row>
    <row r="3962">
      <c r="A3962" s="11" t="n"/>
      <c r="B3962" s="21" t="n"/>
    </row>
    <row r="3963">
      <c r="A3963" s="11" t="n"/>
      <c r="B3963" s="21" t="n"/>
    </row>
    <row r="3964">
      <c r="A3964" s="11" t="n"/>
      <c r="B3964" s="21" t="n"/>
    </row>
    <row r="3965">
      <c r="A3965" s="11" t="n"/>
      <c r="B3965" s="21" t="n"/>
    </row>
    <row r="3966">
      <c r="A3966" s="11" t="n"/>
      <c r="B3966" s="21" t="n"/>
    </row>
    <row r="3967">
      <c r="A3967" s="11" t="n"/>
      <c r="B3967" s="21" t="n"/>
    </row>
    <row r="3968">
      <c r="A3968" s="11" t="n"/>
      <c r="B3968" s="21" t="n"/>
    </row>
    <row r="3969">
      <c r="A3969" s="11" t="n"/>
      <c r="B3969" s="21" t="n"/>
    </row>
    <row r="3970">
      <c r="A3970" s="11" t="n"/>
      <c r="B3970" s="21" t="n"/>
    </row>
    <row r="3971">
      <c r="A3971" s="11" t="n"/>
      <c r="B3971" s="21" t="n"/>
    </row>
    <row r="3972">
      <c r="A3972" s="11" t="n"/>
      <c r="B3972" s="21" t="n"/>
    </row>
    <row r="3973">
      <c r="A3973" s="11" t="n"/>
      <c r="B3973" s="21" t="n"/>
    </row>
    <row r="3974">
      <c r="A3974" s="11" t="n"/>
      <c r="B3974" s="21" t="n"/>
    </row>
    <row r="3975">
      <c r="A3975" s="11" t="n"/>
      <c r="B3975" s="21" t="n"/>
    </row>
    <row r="3976">
      <c r="A3976" s="11" t="n"/>
      <c r="B3976" s="21" t="n"/>
    </row>
    <row r="3977">
      <c r="A3977" s="11" t="n"/>
      <c r="B3977" s="21" t="n"/>
    </row>
    <row r="3978">
      <c r="A3978" s="11" t="n"/>
      <c r="B3978" s="21" t="n"/>
    </row>
    <row r="3979">
      <c r="A3979" s="11" t="n"/>
      <c r="B3979" s="21" t="n"/>
    </row>
    <row r="3980">
      <c r="A3980" s="11" t="n"/>
      <c r="B3980" s="21" t="n"/>
    </row>
    <row r="3981">
      <c r="A3981" s="11" t="n"/>
      <c r="B3981" s="21" t="n"/>
    </row>
    <row r="3982">
      <c r="A3982" s="11" t="n"/>
      <c r="B3982" s="21" t="n"/>
    </row>
    <row r="3983">
      <c r="A3983" s="11" t="n"/>
      <c r="B3983" s="21" t="n"/>
    </row>
    <row r="3984">
      <c r="A3984" s="11" t="n"/>
      <c r="B3984" s="21" t="n"/>
    </row>
    <row r="3985">
      <c r="A3985" s="11" t="n"/>
      <c r="B3985" s="21" t="n"/>
    </row>
    <row r="3986">
      <c r="A3986" s="11" t="n"/>
      <c r="B3986" s="21" t="n"/>
    </row>
    <row r="3987">
      <c r="A3987" s="11" t="n"/>
      <c r="B3987" s="21" t="n"/>
    </row>
    <row r="3988">
      <c r="A3988" s="11" t="n"/>
      <c r="B3988" s="21" t="n"/>
    </row>
    <row r="3989">
      <c r="A3989" s="11" t="n"/>
      <c r="B3989" s="21" t="n"/>
    </row>
    <row r="3990">
      <c r="A3990" s="11" t="n"/>
      <c r="B3990" s="21" t="n"/>
    </row>
    <row r="3991">
      <c r="A3991" s="11" t="n"/>
      <c r="B3991" s="21" t="n"/>
    </row>
    <row r="3992">
      <c r="A3992" s="11" t="n"/>
      <c r="B3992" s="21" t="n"/>
    </row>
    <row r="3993">
      <c r="A3993" s="11" t="n"/>
      <c r="B3993" s="21" t="n"/>
    </row>
    <row r="3994">
      <c r="A3994" s="11" t="n"/>
      <c r="B3994" s="21" t="n"/>
    </row>
    <row r="3995">
      <c r="A3995" s="11" t="n"/>
      <c r="B3995" s="21" t="n"/>
    </row>
    <row r="3996">
      <c r="A3996" s="11" t="n"/>
      <c r="B3996" s="21" t="n"/>
    </row>
    <row r="3997">
      <c r="A3997" s="11" t="n"/>
      <c r="B3997" s="21" t="n"/>
    </row>
    <row r="3998">
      <c r="A3998" s="11" t="n"/>
      <c r="B3998" s="21" t="n"/>
    </row>
    <row r="3999">
      <c r="A3999" s="11" t="n"/>
      <c r="B3999" s="21" t="n"/>
    </row>
    <row r="4000">
      <c r="A4000" s="11" t="n"/>
      <c r="B4000" s="21" t="n"/>
    </row>
    <row r="4001">
      <c r="A4001" s="11" t="n"/>
      <c r="B4001" s="21" t="n"/>
    </row>
    <row r="4002">
      <c r="A4002" s="11" t="n"/>
      <c r="B4002" s="21" t="n"/>
    </row>
    <row r="4003">
      <c r="A4003" s="11" t="n"/>
      <c r="B4003" s="21" t="n"/>
    </row>
    <row r="4004">
      <c r="A4004" s="11" t="n"/>
      <c r="B4004" s="21" t="n"/>
    </row>
    <row r="4005">
      <c r="A4005" s="11" t="n"/>
      <c r="B4005" s="21" t="n"/>
    </row>
    <row r="4006">
      <c r="A4006" s="11" t="n"/>
      <c r="B4006" s="21" t="n"/>
    </row>
    <row r="4007">
      <c r="A4007" s="11" t="n"/>
      <c r="B4007" s="21" t="n"/>
    </row>
    <row r="4008">
      <c r="A4008" s="11" t="n"/>
      <c r="B4008" s="21" t="n"/>
    </row>
    <row r="4009">
      <c r="A4009" s="11" t="n"/>
      <c r="B4009" s="21" t="n"/>
    </row>
    <row r="4010">
      <c r="A4010" s="11" t="n"/>
      <c r="B4010" s="21" t="n"/>
    </row>
    <row r="4011">
      <c r="A4011" s="11" t="n"/>
      <c r="B4011" s="21" t="n"/>
    </row>
    <row r="4012">
      <c r="A4012" s="11" t="n"/>
      <c r="B4012" s="21" t="n"/>
    </row>
    <row r="4013">
      <c r="A4013" s="11" t="n"/>
      <c r="B4013" s="21" t="n"/>
    </row>
    <row r="4014">
      <c r="A4014" s="11" t="n"/>
      <c r="B4014" s="21" t="n"/>
    </row>
    <row r="4015">
      <c r="A4015" s="11" t="n"/>
      <c r="B4015" s="21" t="n"/>
    </row>
    <row r="4016">
      <c r="A4016" s="11" t="n"/>
      <c r="B4016" s="21" t="n"/>
    </row>
    <row r="4017">
      <c r="A4017" s="11" t="n"/>
      <c r="B4017" s="21" t="n"/>
    </row>
    <row r="4018">
      <c r="A4018" s="11" t="n"/>
      <c r="B4018" s="21" t="n"/>
    </row>
    <row r="4019">
      <c r="A4019" s="11" t="n"/>
      <c r="B4019" s="21" t="n"/>
    </row>
    <row r="4020">
      <c r="A4020" s="11" t="n"/>
      <c r="B4020" s="21" t="n"/>
    </row>
    <row r="4021">
      <c r="A4021" s="11" t="n"/>
      <c r="B4021" s="21" t="n"/>
    </row>
    <row r="4022">
      <c r="A4022" s="11" t="n"/>
      <c r="B4022" s="21" t="n"/>
    </row>
    <row r="4023">
      <c r="A4023" s="11" t="n"/>
      <c r="B4023" s="21" t="n"/>
    </row>
    <row r="4024">
      <c r="A4024" s="11" t="n"/>
      <c r="B4024" s="21" t="n"/>
    </row>
    <row r="4025">
      <c r="A4025" s="11" t="n"/>
      <c r="B4025" s="21" t="n"/>
    </row>
    <row r="4026">
      <c r="A4026" s="11" t="n"/>
      <c r="B4026" s="21" t="n"/>
    </row>
    <row r="4027">
      <c r="A4027" s="11" t="n"/>
      <c r="B4027" s="21" t="n"/>
    </row>
    <row r="4028">
      <c r="A4028" s="11" t="n"/>
      <c r="B4028" s="21" t="n"/>
    </row>
    <row r="4029">
      <c r="A4029" s="11" t="n"/>
      <c r="B4029" s="21" t="n"/>
    </row>
    <row r="4030">
      <c r="A4030" s="11" t="n"/>
      <c r="B4030" s="21" t="n"/>
    </row>
    <row r="4031">
      <c r="A4031" s="11" t="n"/>
      <c r="B4031" s="21" t="n"/>
    </row>
    <row r="4032">
      <c r="A4032" s="11" t="n"/>
      <c r="B4032" s="21" t="n"/>
    </row>
    <row r="4033">
      <c r="A4033" s="11" t="n"/>
      <c r="B4033" s="21" t="n"/>
    </row>
    <row r="4034">
      <c r="A4034" s="11" t="n"/>
      <c r="B4034" s="21" t="n"/>
    </row>
    <row r="4035">
      <c r="A4035" s="11" t="n"/>
      <c r="B4035" s="21" t="n"/>
    </row>
    <row r="4036">
      <c r="A4036" s="11" t="n"/>
      <c r="B4036" s="21" t="n"/>
    </row>
    <row r="4037">
      <c r="A4037" s="11" t="n"/>
      <c r="B4037" s="21" t="n"/>
    </row>
    <row r="4038">
      <c r="A4038" s="11" t="n"/>
      <c r="B4038" s="21" t="n"/>
    </row>
    <row r="4039">
      <c r="A4039" s="11" t="n"/>
      <c r="B4039" s="21" t="n"/>
    </row>
    <row r="4040">
      <c r="A4040" s="11" t="n"/>
      <c r="B4040" s="21" t="n"/>
    </row>
    <row r="4041">
      <c r="A4041" s="11" t="n"/>
      <c r="B4041" s="21" t="n"/>
    </row>
    <row r="4042">
      <c r="A4042" s="11" t="n"/>
      <c r="B4042" s="21" t="n"/>
    </row>
    <row r="4043">
      <c r="A4043" s="11" t="n"/>
      <c r="B4043" s="21" t="n"/>
    </row>
    <row r="4044">
      <c r="A4044" s="11" t="n"/>
      <c r="B4044" s="21" t="n"/>
    </row>
    <row r="4045">
      <c r="A4045" s="11" t="n"/>
      <c r="B4045" s="21" t="n"/>
    </row>
    <row r="4046">
      <c r="A4046" s="11" t="n"/>
      <c r="B4046" s="21" t="n"/>
    </row>
    <row r="4047">
      <c r="A4047" s="11" t="n"/>
      <c r="B4047" s="21" t="n"/>
    </row>
    <row r="4048">
      <c r="A4048" s="11" t="n"/>
      <c r="B4048" s="21" t="n"/>
    </row>
    <row r="4049">
      <c r="A4049" s="11" t="n"/>
      <c r="B4049" s="21" t="n"/>
    </row>
    <row r="4050">
      <c r="A4050" s="11" t="n"/>
      <c r="B4050" s="21" t="n"/>
    </row>
    <row r="4051">
      <c r="A4051" s="11" t="n"/>
      <c r="B4051" s="21" t="n"/>
    </row>
    <row r="4052">
      <c r="A4052" s="11" t="n"/>
      <c r="B4052" s="21" t="n"/>
    </row>
    <row r="4053">
      <c r="A4053" s="11" t="n"/>
      <c r="B4053" s="21" t="n"/>
    </row>
    <row r="4054">
      <c r="A4054" s="11" t="n"/>
      <c r="B4054" s="21" t="n"/>
    </row>
    <row r="4055">
      <c r="A4055" s="11" t="n"/>
      <c r="B4055" s="21" t="n"/>
    </row>
    <row r="4056">
      <c r="A4056" s="11" t="n"/>
      <c r="B4056" s="21" t="n"/>
    </row>
    <row r="4057">
      <c r="A4057" s="11" t="n"/>
      <c r="B4057" s="21" t="n"/>
    </row>
    <row r="4058">
      <c r="A4058" s="11" t="n"/>
      <c r="B4058" s="21" t="n"/>
    </row>
    <row r="4059">
      <c r="A4059" s="11" t="n"/>
      <c r="B4059" s="21" t="n"/>
    </row>
    <row r="4060">
      <c r="A4060" s="11" t="n"/>
      <c r="B4060" s="21" t="n"/>
    </row>
    <row r="4061">
      <c r="A4061" s="11" t="n"/>
      <c r="B4061" s="21" t="n"/>
    </row>
    <row r="4062">
      <c r="A4062" s="11" t="n"/>
      <c r="B4062" s="21" t="n"/>
    </row>
    <row r="4063">
      <c r="A4063" s="11" t="n"/>
      <c r="B4063" s="21" t="n"/>
    </row>
    <row r="4064">
      <c r="A4064" s="11" t="n"/>
      <c r="B4064" s="21" t="n"/>
    </row>
    <row r="4065">
      <c r="A4065" s="11" t="n"/>
      <c r="B4065" s="21" t="n"/>
    </row>
    <row r="4066">
      <c r="A4066" s="11" t="n"/>
      <c r="B4066" s="21" t="n"/>
    </row>
    <row r="4067">
      <c r="A4067" s="11" t="n"/>
      <c r="B4067" s="21" t="n"/>
    </row>
    <row r="4068">
      <c r="A4068" s="11" t="n"/>
      <c r="B4068" s="21" t="n"/>
    </row>
    <row r="4069">
      <c r="A4069" s="11" t="n"/>
      <c r="B4069" s="21" t="n"/>
    </row>
    <row r="4070">
      <c r="A4070" s="11" t="n"/>
      <c r="B4070" s="21" t="n"/>
    </row>
    <row r="4071">
      <c r="A4071" s="11" t="n"/>
      <c r="B4071" s="21" t="n"/>
    </row>
    <row r="4072">
      <c r="A4072" s="11" t="n"/>
      <c r="B4072" s="21" t="n"/>
    </row>
    <row r="4073">
      <c r="A4073" s="11" t="n"/>
      <c r="B4073" s="21" t="n"/>
    </row>
    <row r="4074">
      <c r="A4074" s="11" t="n"/>
      <c r="B4074" s="21" t="n"/>
    </row>
    <row r="4075">
      <c r="A4075" s="11" t="n"/>
      <c r="B4075" s="21" t="n"/>
    </row>
    <row r="4076">
      <c r="A4076" s="11" t="n"/>
      <c r="B4076" s="21" t="n"/>
    </row>
    <row r="4077">
      <c r="A4077" s="11" t="n"/>
      <c r="B4077" s="21" t="n"/>
    </row>
    <row r="4078">
      <c r="A4078" s="11" t="n"/>
      <c r="B4078" s="21" t="n"/>
    </row>
    <row r="4079">
      <c r="A4079" s="11" t="n"/>
      <c r="B4079" s="21" t="n"/>
    </row>
    <row r="4080">
      <c r="A4080" s="11" t="n"/>
      <c r="B4080" s="21" t="n"/>
    </row>
    <row r="4081">
      <c r="A4081" s="11" t="n"/>
      <c r="B4081" s="21" t="n"/>
    </row>
    <row r="4082">
      <c r="A4082" s="11" t="n"/>
      <c r="B4082" s="21" t="n"/>
    </row>
    <row r="4083">
      <c r="A4083" s="11" t="n"/>
      <c r="B4083" s="21" t="n"/>
    </row>
    <row r="4084">
      <c r="A4084" s="11" t="n"/>
      <c r="B4084" s="21" t="n"/>
    </row>
    <row r="4085">
      <c r="A4085" s="11" t="n"/>
      <c r="B4085" s="21" t="n"/>
    </row>
    <row r="4086">
      <c r="A4086" s="11" t="n"/>
      <c r="B4086" s="21" t="n"/>
    </row>
    <row r="4087">
      <c r="A4087" s="11" t="n"/>
      <c r="B4087" s="21" t="n"/>
    </row>
    <row r="4088">
      <c r="A4088" s="11" t="n"/>
      <c r="B4088" s="21" t="n"/>
    </row>
    <row r="4089">
      <c r="A4089" s="11" t="n"/>
      <c r="B4089" s="21" t="n"/>
    </row>
    <row r="4090">
      <c r="A4090" s="11" t="n"/>
      <c r="B4090" s="21" t="n"/>
    </row>
    <row r="4091">
      <c r="A4091" s="11" t="n"/>
      <c r="B4091" s="21" t="n"/>
    </row>
    <row r="4092">
      <c r="A4092" s="11" t="n"/>
      <c r="B4092" s="21" t="n"/>
    </row>
    <row r="4093">
      <c r="A4093" s="11" t="n"/>
      <c r="B4093" s="21" t="n"/>
    </row>
    <row r="4094">
      <c r="A4094" s="11" t="n"/>
      <c r="B4094" s="21" t="n"/>
    </row>
    <row r="4095">
      <c r="A4095" s="11" t="n"/>
      <c r="B4095" s="21" t="n"/>
    </row>
    <row r="4096">
      <c r="A4096" s="11" t="n"/>
      <c r="B4096" s="21" t="n"/>
    </row>
    <row r="4097">
      <c r="A4097" s="11" t="n"/>
      <c r="B4097" s="21" t="n"/>
    </row>
    <row r="4098">
      <c r="A4098" s="11" t="n"/>
      <c r="B4098" s="21" t="n"/>
    </row>
    <row r="4099">
      <c r="A4099" s="11" t="n"/>
      <c r="B4099" s="21" t="n"/>
    </row>
    <row r="4100">
      <c r="A4100" s="11" t="n"/>
      <c r="B4100" s="21" t="n"/>
    </row>
    <row r="4101">
      <c r="A4101" s="11" t="n"/>
      <c r="B4101" s="21" t="n"/>
    </row>
    <row r="4102">
      <c r="A4102" s="11" t="n"/>
      <c r="B4102" s="21" t="n"/>
    </row>
    <row r="4103">
      <c r="A4103" s="11" t="n"/>
      <c r="B4103" s="21" t="n"/>
    </row>
    <row r="4104">
      <c r="A4104" s="11" t="n"/>
      <c r="B4104" s="21" t="n"/>
    </row>
    <row r="4105">
      <c r="A4105" s="11" t="n"/>
      <c r="B4105" s="21" t="n"/>
    </row>
    <row r="4106">
      <c r="A4106" s="11" t="n"/>
      <c r="B4106" s="21" t="n"/>
    </row>
    <row r="4107">
      <c r="A4107" s="11" t="n"/>
      <c r="B4107" s="21" t="n"/>
    </row>
    <row r="4108">
      <c r="A4108" s="11" t="n"/>
      <c r="B4108" s="21" t="n"/>
    </row>
    <row r="4109">
      <c r="A4109" s="11" t="n"/>
      <c r="B4109" s="21" t="n"/>
    </row>
    <row r="4110">
      <c r="A4110" s="11" t="n"/>
      <c r="B4110" s="21" t="n"/>
    </row>
    <row r="4111">
      <c r="A4111" s="11" t="n"/>
      <c r="B4111" s="21" t="n"/>
    </row>
    <row r="4112">
      <c r="A4112" s="11" t="n"/>
      <c r="B4112" s="21" t="n"/>
    </row>
    <row r="4113">
      <c r="A4113" s="11" t="n"/>
      <c r="B4113" s="21" t="n"/>
    </row>
    <row r="4114">
      <c r="A4114" s="11" t="n"/>
      <c r="B4114" s="21" t="n"/>
    </row>
    <row r="4115">
      <c r="A4115" s="11" t="n"/>
      <c r="B4115" s="21" t="n"/>
    </row>
    <row r="4116">
      <c r="A4116" s="11" t="n"/>
      <c r="B4116" s="21" t="n"/>
    </row>
    <row r="4117">
      <c r="A4117" s="11" t="n"/>
      <c r="B4117" s="21" t="n"/>
    </row>
    <row r="4118">
      <c r="A4118" s="11" t="n"/>
      <c r="B4118" s="21" t="n"/>
    </row>
    <row r="4119">
      <c r="A4119" s="11" t="n"/>
      <c r="B4119" s="21" t="n"/>
    </row>
    <row r="4120">
      <c r="A4120" s="11" t="n"/>
      <c r="B4120" s="21" t="n"/>
    </row>
    <row r="4121">
      <c r="A4121" s="11" t="n"/>
      <c r="B4121" s="21" t="n"/>
    </row>
    <row r="4122">
      <c r="A4122" s="11" t="n"/>
      <c r="B4122" s="21" t="n"/>
    </row>
    <row r="4123">
      <c r="A4123" s="11" t="n"/>
      <c r="B4123" s="21" t="n"/>
    </row>
    <row r="4124">
      <c r="A4124" s="11" t="n"/>
      <c r="B4124" s="21" t="n"/>
    </row>
    <row r="4125">
      <c r="A4125" s="11" t="n"/>
      <c r="B4125" s="21" t="n"/>
    </row>
    <row r="4126">
      <c r="A4126" s="11" t="n"/>
      <c r="B4126" s="21" t="n"/>
    </row>
    <row r="4127">
      <c r="A4127" s="11" t="n"/>
      <c r="B4127" s="21" t="n"/>
    </row>
    <row r="4128">
      <c r="A4128" s="11" t="n"/>
      <c r="B4128" s="21" t="n"/>
    </row>
    <row r="4129">
      <c r="A4129" s="11" t="n"/>
      <c r="B4129" s="21" t="n"/>
    </row>
    <row r="4130">
      <c r="A4130" s="11" t="n"/>
      <c r="B4130" s="21" t="n"/>
    </row>
    <row r="4131">
      <c r="A4131" s="11" t="n"/>
      <c r="B4131" s="21" t="n"/>
    </row>
    <row r="4132">
      <c r="A4132" s="11" t="n"/>
      <c r="B4132" s="21" t="n"/>
    </row>
    <row r="4133">
      <c r="A4133" s="11" t="n"/>
      <c r="B4133" s="21" t="n"/>
    </row>
    <row r="4134">
      <c r="A4134" s="11" t="n"/>
      <c r="B4134" s="21" t="n"/>
    </row>
    <row r="4135">
      <c r="A4135" s="11" t="n"/>
      <c r="B4135" s="21" t="n"/>
    </row>
    <row r="4136">
      <c r="A4136" s="11" t="n"/>
      <c r="B4136" s="21" t="n"/>
    </row>
    <row r="4137">
      <c r="A4137" s="11" t="n"/>
      <c r="B4137" s="21" t="n"/>
    </row>
    <row r="4138">
      <c r="A4138" s="11" t="n"/>
      <c r="B4138" s="21" t="n"/>
    </row>
    <row r="4139">
      <c r="A4139" s="11" t="n"/>
      <c r="B4139" s="21" t="n"/>
    </row>
    <row r="4140">
      <c r="A4140" s="11" t="n"/>
      <c r="B4140" s="21" t="n"/>
    </row>
    <row r="4141">
      <c r="A4141" s="11" t="n"/>
      <c r="B4141" s="21" t="n"/>
    </row>
    <row r="4142">
      <c r="A4142" s="11" t="n"/>
      <c r="B4142" s="21" t="n"/>
    </row>
    <row r="4143">
      <c r="A4143" s="11" t="n"/>
      <c r="B4143" s="21" t="n"/>
    </row>
    <row r="4144">
      <c r="A4144" s="11" t="n"/>
      <c r="B4144" s="21" t="n"/>
    </row>
    <row r="4145">
      <c r="A4145" s="11" t="n"/>
      <c r="B4145" s="21" t="n"/>
    </row>
    <row r="4146">
      <c r="A4146" s="11" t="n"/>
      <c r="B4146" s="21" t="n"/>
    </row>
    <row r="4147">
      <c r="A4147" s="11" t="n"/>
      <c r="B4147" s="21" t="n"/>
    </row>
    <row r="4148">
      <c r="A4148" s="11" t="n"/>
      <c r="B4148" s="21" t="n"/>
    </row>
    <row r="4149">
      <c r="A4149" s="11" t="n"/>
      <c r="B4149" s="21" t="n"/>
    </row>
    <row r="4150">
      <c r="A4150" s="11" t="n"/>
      <c r="B4150" s="21" t="n"/>
    </row>
    <row r="4151">
      <c r="A4151" s="11" t="n"/>
      <c r="B4151" s="21" t="n"/>
    </row>
    <row r="4152">
      <c r="A4152" s="11" t="n"/>
      <c r="B4152" s="21" t="n"/>
    </row>
    <row r="4153">
      <c r="A4153" s="11" t="n"/>
      <c r="B4153" s="21" t="n"/>
    </row>
    <row r="4154">
      <c r="A4154" s="11" t="n"/>
      <c r="B4154" s="21" t="n"/>
    </row>
    <row r="4155">
      <c r="A4155" s="11" t="n"/>
      <c r="B4155" s="21" t="n"/>
    </row>
    <row r="4156">
      <c r="A4156" s="11" t="n"/>
      <c r="B4156" s="21" t="n"/>
    </row>
    <row r="4157">
      <c r="A4157" s="11" t="n"/>
      <c r="B4157" s="21" t="n"/>
    </row>
    <row r="4158">
      <c r="A4158" s="11" t="n"/>
      <c r="B4158" s="21" t="n"/>
    </row>
    <row r="4159">
      <c r="A4159" s="11" t="n"/>
      <c r="B4159" s="21" t="n"/>
    </row>
    <row r="4160">
      <c r="A4160" s="11" t="n"/>
      <c r="B4160" s="21" t="n"/>
    </row>
    <row r="4161">
      <c r="A4161" s="11" t="n"/>
      <c r="B4161" s="21" t="n"/>
    </row>
    <row r="4162">
      <c r="A4162" s="11" t="n"/>
      <c r="B4162" s="21" t="n"/>
    </row>
    <row r="4163">
      <c r="A4163" s="11" t="n"/>
      <c r="B4163" s="21" t="n"/>
    </row>
    <row r="4164">
      <c r="A4164" s="11" t="n"/>
      <c r="B4164" s="21" t="n"/>
    </row>
    <row r="4165">
      <c r="A4165" s="11" t="n"/>
      <c r="B4165" s="21" t="n"/>
    </row>
    <row r="4166">
      <c r="A4166" s="11" t="n"/>
      <c r="B4166" s="21" t="n"/>
    </row>
    <row r="4167">
      <c r="A4167" s="11" t="n"/>
      <c r="B4167" s="21" t="n"/>
    </row>
    <row r="4168">
      <c r="A4168" s="11" t="n"/>
      <c r="B4168" s="21" t="n"/>
    </row>
    <row r="4169">
      <c r="A4169" s="11" t="n"/>
      <c r="B4169" s="21" t="n"/>
    </row>
    <row r="4170">
      <c r="A4170" s="11" t="n"/>
      <c r="B4170" s="21" t="n"/>
    </row>
    <row r="4171">
      <c r="A4171" s="11" t="n"/>
      <c r="B4171" s="21" t="n"/>
    </row>
    <row r="4172">
      <c r="A4172" s="11" t="n"/>
      <c r="B4172" s="21" t="n"/>
    </row>
    <row r="4173">
      <c r="A4173" s="11" t="n"/>
      <c r="B4173" s="21" t="n"/>
    </row>
    <row r="4174">
      <c r="A4174" s="11" t="n"/>
      <c r="B4174" s="21" t="n"/>
    </row>
    <row r="4175">
      <c r="A4175" s="11" t="n"/>
      <c r="B4175" s="21" t="n"/>
    </row>
    <row r="4176">
      <c r="A4176" s="11" t="n"/>
      <c r="B4176" s="21" t="n"/>
    </row>
    <row r="4177">
      <c r="A4177" s="11" t="n"/>
      <c r="B4177" s="21" t="n"/>
    </row>
    <row r="4178">
      <c r="A4178" s="11" t="n"/>
      <c r="B4178" s="21" t="n"/>
    </row>
    <row r="4179">
      <c r="A4179" s="11" t="n"/>
      <c r="B4179" s="21" t="n"/>
    </row>
    <row r="4180">
      <c r="A4180" s="11" t="n"/>
      <c r="B4180" s="21" t="n"/>
    </row>
    <row r="4181">
      <c r="A4181" s="11" t="n"/>
      <c r="B4181" s="21" t="n"/>
    </row>
    <row r="4182">
      <c r="A4182" s="11" t="n"/>
      <c r="B4182" s="21" t="n"/>
    </row>
    <row r="4183">
      <c r="A4183" s="11" t="n"/>
      <c r="B4183" s="21" t="n"/>
    </row>
    <row r="4184">
      <c r="A4184" s="11" t="n"/>
      <c r="B4184" s="21" t="n"/>
    </row>
    <row r="4185">
      <c r="A4185" s="11" t="n"/>
      <c r="B4185" s="21" t="n"/>
    </row>
    <row r="4186">
      <c r="A4186" s="11" t="n"/>
      <c r="B4186" s="21" t="n"/>
    </row>
    <row r="4187">
      <c r="A4187" s="11" t="n"/>
      <c r="B4187" s="21" t="n"/>
    </row>
    <row r="4188">
      <c r="A4188" s="11" t="n"/>
      <c r="B4188" s="21" t="n"/>
    </row>
    <row r="4189">
      <c r="A4189" s="11" t="n"/>
      <c r="B4189" s="21" t="n"/>
    </row>
    <row r="4190">
      <c r="A4190" s="11" t="n"/>
      <c r="B4190" s="21" t="n"/>
    </row>
    <row r="4191">
      <c r="A4191" s="11" t="n"/>
      <c r="B4191" s="21" t="n"/>
    </row>
    <row r="4192">
      <c r="A4192" s="11" t="n"/>
      <c r="B4192" s="21" t="n"/>
    </row>
    <row r="4193">
      <c r="A4193" s="11" t="n"/>
      <c r="B4193" s="21" t="n"/>
    </row>
    <row r="4194">
      <c r="A4194" s="11" t="n"/>
      <c r="B4194" s="21" t="n"/>
    </row>
    <row r="4195">
      <c r="A4195" s="11" t="n"/>
      <c r="B4195" s="21" t="n"/>
    </row>
    <row r="4196">
      <c r="A4196" s="11" t="n"/>
      <c r="B4196" s="21" t="n"/>
    </row>
    <row r="4197">
      <c r="A4197" s="11" t="n"/>
      <c r="B4197" s="21" t="n"/>
    </row>
    <row r="4198">
      <c r="A4198" s="11" t="n"/>
      <c r="B4198" s="21" t="n"/>
    </row>
    <row r="4199">
      <c r="A4199" s="11" t="n"/>
      <c r="B4199" s="21" t="n"/>
    </row>
    <row r="4200">
      <c r="A4200" s="11" t="n"/>
      <c r="B4200" s="21" t="n"/>
    </row>
    <row r="4201">
      <c r="A4201" s="11" t="n"/>
      <c r="B4201" s="21" t="n"/>
    </row>
    <row r="4202">
      <c r="A4202" s="11" t="n"/>
      <c r="B4202" s="21" t="n"/>
    </row>
    <row r="4203">
      <c r="A4203" s="11" t="n"/>
      <c r="B4203" s="21" t="n"/>
    </row>
    <row r="4204">
      <c r="A4204" s="11" t="n"/>
      <c r="B4204" s="21" t="n"/>
    </row>
    <row r="4205">
      <c r="A4205" s="11" t="n"/>
      <c r="B4205" s="21" t="n"/>
    </row>
    <row r="4206">
      <c r="A4206" s="11" t="n"/>
      <c r="B4206" s="21" t="n"/>
    </row>
    <row r="4207">
      <c r="A4207" s="11" t="n"/>
      <c r="B4207" s="21" t="n"/>
    </row>
    <row r="4208">
      <c r="A4208" s="11" t="n"/>
      <c r="B4208" s="21" t="n"/>
    </row>
    <row r="4209">
      <c r="A4209" s="11" t="n"/>
      <c r="B4209" s="21" t="n"/>
    </row>
    <row r="4210">
      <c r="A4210" s="11" t="n"/>
      <c r="B4210" s="21" t="n"/>
    </row>
    <row r="4211">
      <c r="A4211" s="11" t="n"/>
      <c r="B4211" s="21" t="n"/>
    </row>
    <row r="4212">
      <c r="A4212" s="11" t="n"/>
      <c r="B4212" s="21" t="n"/>
    </row>
    <row r="4213">
      <c r="A4213" s="11" t="n"/>
      <c r="B4213" s="21" t="n"/>
    </row>
    <row r="4214">
      <c r="A4214" s="11" t="n"/>
      <c r="B4214" s="21" t="n"/>
    </row>
    <row r="4215">
      <c r="A4215" s="11" t="n"/>
      <c r="B4215" s="21" t="n"/>
    </row>
    <row r="4216">
      <c r="A4216" s="11" t="n"/>
      <c r="B4216" s="21" t="n"/>
    </row>
    <row r="4217">
      <c r="A4217" s="11" t="n"/>
      <c r="B4217" s="21" t="n"/>
    </row>
    <row r="4218">
      <c r="A4218" s="11" t="n"/>
      <c r="B4218" s="21" t="n"/>
    </row>
    <row r="4219">
      <c r="A4219" s="11" t="n"/>
      <c r="B4219" s="21" t="n"/>
    </row>
    <row r="4220">
      <c r="A4220" s="11" t="n"/>
      <c r="B4220" s="21" t="n"/>
    </row>
    <row r="4221">
      <c r="A4221" s="11" t="n"/>
      <c r="B4221" s="21" t="n"/>
    </row>
    <row r="4222">
      <c r="A4222" s="11" t="n"/>
      <c r="B4222" s="21" t="n"/>
    </row>
    <row r="4223">
      <c r="A4223" s="11" t="n"/>
      <c r="B4223" s="21" t="n"/>
    </row>
    <row r="4224">
      <c r="A4224" s="11" t="n"/>
      <c r="B4224" s="21" t="n"/>
    </row>
    <row r="4225">
      <c r="A4225" s="11" t="n"/>
      <c r="B4225" s="21" t="n"/>
    </row>
    <row r="4226">
      <c r="A4226" s="11" t="n"/>
      <c r="B4226" s="21" t="n"/>
    </row>
    <row r="4227">
      <c r="A4227" s="11" t="n"/>
      <c r="B4227" s="21" t="n"/>
    </row>
    <row r="4228">
      <c r="A4228" s="11" t="n"/>
      <c r="B4228" s="21" t="n"/>
    </row>
    <row r="4229">
      <c r="A4229" s="11" t="n"/>
      <c r="B4229" s="21" t="n"/>
    </row>
    <row r="4230">
      <c r="A4230" s="11" t="n"/>
      <c r="B4230" s="21" t="n"/>
    </row>
    <row r="4231">
      <c r="A4231" s="11" t="n"/>
      <c r="B4231" s="21" t="n"/>
    </row>
    <row r="4232">
      <c r="A4232" s="11" t="n"/>
      <c r="B4232" s="21" t="n"/>
    </row>
    <row r="4233">
      <c r="A4233" s="11" t="n"/>
      <c r="B4233" s="21" t="n"/>
    </row>
    <row r="4234">
      <c r="A4234" s="11" t="n"/>
      <c r="B4234" s="21" t="n"/>
    </row>
    <row r="4235">
      <c r="A4235" s="11" t="n"/>
      <c r="B4235" s="21" t="n"/>
    </row>
    <row r="4236">
      <c r="A4236" s="11" t="n"/>
      <c r="B4236" s="21" t="n"/>
    </row>
    <row r="4237">
      <c r="A4237" s="11" t="n"/>
      <c r="B4237" s="21" t="n"/>
    </row>
    <row r="4238">
      <c r="A4238" s="11" t="n"/>
      <c r="B4238" s="21" t="n"/>
    </row>
    <row r="4239">
      <c r="A4239" s="11" t="n"/>
      <c r="B4239" s="21" t="n"/>
    </row>
    <row r="4240">
      <c r="A4240" s="11" t="n"/>
      <c r="B4240" s="21" t="n"/>
    </row>
    <row r="4241">
      <c r="A4241" s="11" t="n"/>
      <c r="B4241" s="21" t="n"/>
    </row>
    <row r="4242">
      <c r="A4242" s="11" t="n"/>
      <c r="B4242" s="21" t="n"/>
    </row>
    <row r="4243">
      <c r="A4243" s="11" t="n"/>
      <c r="B4243" s="21" t="n"/>
    </row>
    <row r="4244">
      <c r="A4244" s="11" t="n"/>
      <c r="B4244" s="21" t="n"/>
    </row>
    <row r="4245">
      <c r="A4245" s="11" t="n"/>
      <c r="B4245" s="21" t="n"/>
    </row>
    <row r="4246">
      <c r="A4246" s="11" t="n"/>
      <c r="B4246" s="21" t="n"/>
    </row>
    <row r="4247">
      <c r="A4247" s="11" t="n"/>
      <c r="B4247" s="21" t="n"/>
    </row>
    <row r="4248">
      <c r="A4248" s="11" t="n"/>
      <c r="B4248" s="21" t="n"/>
    </row>
    <row r="4249">
      <c r="A4249" s="11" t="n"/>
      <c r="B4249" s="21" t="n"/>
    </row>
    <row r="4250">
      <c r="A4250" s="11" t="n"/>
      <c r="B4250" s="21" t="n"/>
    </row>
    <row r="4251">
      <c r="A4251" s="11" t="n"/>
      <c r="B4251" s="21" t="n"/>
    </row>
    <row r="4252">
      <c r="A4252" s="11" t="n"/>
      <c r="B4252" s="21" t="n"/>
    </row>
    <row r="4253">
      <c r="A4253" s="11" t="n"/>
      <c r="B4253" s="21" t="n"/>
    </row>
    <row r="4254">
      <c r="A4254" s="11" t="n"/>
      <c r="B4254" s="21" t="n"/>
    </row>
    <row r="4255">
      <c r="A4255" s="11" t="n"/>
      <c r="B4255" s="21" t="n"/>
    </row>
    <row r="4256">
      <c r="A4256" s="11" t="n"/>
      <c r="B4256" s="21" t="n"/>
    </row>
    <row r="4257">
      <c r="A4257" s="11" t="n"/>
      <c r="B4257" s="21" t="n"/>
    </row>
    <row r="4258">
      <c r="A4258" s="11" t="n"/>
      <c r="B4258" s="21" t="n"/>
    </row>
    <row r="4259">
      <c r="A4259" s="11" t="n"/>
      <c r="B4259" s="21" t="n"/>
    </row>
    <row r="4260">
      <c r="A4260" s="11" t="n"/>
      <c r="B4260" s="21" t="n"/>
    </row>
    <row r="4261">
      <c r="A4261" s="11" t="n"/>
      <c r="B4261" s="21" t="n"/>
    </row>
    <row r="4262">
      <c r="A4262" s="11" t="n"/>
      <c r="B4262" s="21" t="n"/>
    </row>
    <row r="4263">
      <c r="A4263" s="11" t="n"/>
      <c r="B4263" s="21" t="n"/>
    </row>
    <row r="4264">
      <c r="A4264" s="11" t="n"/>
      <c r="B4264" s="21" t="n"/>
    </row>
    <row r="4265">
      <c r="A4265" s="11" t="n"/>
      <c r="B4265" s="21" t="n"/>
    </row>
    <row r="4266">
      <c r="A4266" s="11" t="n"/>
      <c r="B4266" s="21" t="n"/>
    </row>
    <row r="4267">
      <c r="A4267" s="11" t="n"/>
      <c r="B4267" s="21" t="n"/>
    </row>
    <row r="4268">
      <c r="A4268" s="11" t="n"/>
      <c r="B4268" s="21" t="n"/>
    </row>
    <row r="4269">
      <c r="A4269" s="11" t="n"/>
      <c r="B4269" s="21" t="n"/>
    </row>
    <row r="4270">
      <c r="A4270" s="11" t="n"/>
      <c r="B4270" s="21" t="n"/>
    </row>
    <row r="4271">
      <c r="A4271" s="11" t="n"/>
      <c r="B4271" s="21" t="n"/>
    </row>
    <row r="4272">
      <c r="A4272" s="11" t="n"/>
      <c r="B4272" s="21" t="n"/>
    </row>
    <row r="4273">
      <c r="A4273" s="11" t="n"/>
      <c r="B4273" s="21" t="n"/>
    </row>
    <row r="4274">
      <c r="A4274" s="11" t="n"/>
      <c r="B4274" s="21" t="n"/>
    </row>
    <row r="4275">
      <c r="A4275" s="11" t="n"/>
      <c r="B4275" s="21" t="n"/>
    </row>
    <row r="4276">
      <c r="A4276" s="11" t="n"/>
      <c r="B4276" s="21" t="n"/>
    </row>
    <row r="4277">
      <c r="A4277" s="11" t="n"/>
      <c r="B4277" s="21" t="n"/>
    </row>
    <row r="4278">
      <c r="A4278" s="11" t="n"/>
      <c r="B4278" s="21" t="n"/>
    </row>
    <row r="4279">
      <c r="A4279" s="11" t="n"/>
      <c r="B4279" s="21" t="n"/>
    </row>
    <row r="4280">
      <c r="A4280" s="11" t="n"/>
      <c r="B4280" s="21" t="n"/>
    </row>
    <row r="4281">
      <c r="A4281" s="11" t="n"/>
      <c r="B4281" s="21" t="n"/>
    </row>
    <row r="4282">
      <c r="A4282" s="11" t="n"/>
      <c r="B4282" s="21" t="n"/>
    </row>
    <row r="4283">
      <c r="A4283" s="11" t="n"/>
      <c r="B4283" s="21" t="n"/>
    </row>
    <row r="4284">
      <c r="A4284" s="11" t="n"/>
      <c r="B4284" s="21" t="n"/>
    </row>
    <row r="4285">
      <c r="A4285" s="11" t="n"/>
      <c r="B4285" s="21" t="n"/>
    </row>
    <row r="4286">
      <c r="A4286" s="11" t="n"/>
      <c r="B4286" s="21" t="n"/>
    </row>
    <row r="4287">
      <c r="A4287" s="11" t="n"/>
      <c r="B4287" s="21" t="n"/>
    </row>
    <row r="4288">
      <c r="A4288" s="11" t="n"/>
      <c r="B4288" s="21" t="n"/>
    </row>
    <row r="4289">
      <c r="A4289" s="11" t="n"/>
      <c r="B4289" s="21" t="n"/>
    </row>
    <row r="4290">
      <c r="A4290" s="11" t="n"/>
      <c r="B4290" s="21" t="n"/>
    </row>
    <row r="4291">
      <c r="A4291" s="11" t="n"/>
      <c r="B4291" s="21" t="n"/>
    </row>
    <row r="4292">
      <c r="A4292" s="11" t="n"/>
      <c r="B4292" s="21" t="n"/>
    </row>
    <row r="4293">
      <c r="A4293" s="11" t="n"/>
      <c r="B4293" s="21" t="n"/>
    </row>
    <row r="4294">
      <c r="A4294" s="11" t="n"/>
      <c r="B4294" s="21" t="n"/>
    </row>
    <row r="4295">
      <c r="A4295" s="11" t="n"/>
      <c r="B4295" s="21" t="n"/>
    </row>
    <row r="4296">
      <c r="A4296" s="11" t="n"/>
      <c r="B4296" s="21" t="n"/>
    </row>
    <row r="4297">
      <c r="A4297" s="11" t="n"/>
      <c r="B4297" s="21" t="n"/>
    </row>
    <row r="4298">
      <c r="A4298" s="11" t="n"/>
      <c r="B4298" s="21" t="n"/>
    </row>
    <row r="4299">
      <c r="A4299" s="11" t="n"/>
      <c r="B4299" s="21" t="n"/>
    </row>
    <row r="4300">
      <c r="A4300" s="11" t="n"/>
      <c r="B4300" s="21" t="n"/>
    </row>
    <row r="4301">
      <c r="A4301" s="11" t="n"/>
      <c r="B4301" s="21" t="n"/>
    </row>
    <row r="4302">
      <c r="A4302" s="11" t="n"/>
      <c r="B4302" s="21" t="n"/>
    </row>
    <row r="4303">
      <c r="A4303" s="11" t="n"/>
      <c r="B4303" s="21" t="n"/>
    </row>
    <row r="4304">
      <c r="A4304" s="11" t="n"/>
      <c r="B4304" s="21" t="n"/>
    </row>
    <row r="4305">
      <c r="A4305" s="11" t="n"/>
      <c r="B4305" s="21" t="n"/>
    </row>
    <row r="4306">
      <c r="A4306" s="11" t="n"/>
      <c r="B4306" s="21" t="n"/>
    </row>
    <row r="4307">
      <c r="A4307" s="11" t="n"/>
      <c r="B4307" s="21" t="n"/>
    </row>
    <row r="4308">
      <c r="A4308" s="11" t="n"/>
      <c r="B4308" s="21" t="n"/>
    </row>
    <row r="4309">
      <c r="A4309" s="11" t="n"/>
      <c r="B4309" s="21" t="n"/>
    </row>
    <row r="4310">
      <c r="A4310" s="11" t="n"/>
      <c r="B4310" s="21" t="n"/>
    </row>
    <row r="4311">
      <c r="A4311" s="11" t="n"/>
      <c r="B4311" s="21" t="n"/>
    </row>
    <row r="4312">
      <c r="A4312" s="11" t="n"/>
      <c r="B4312" s="21" t="n"/>
    </row>
    <row r="4313">
      <c r="A4313" s="11" t="n"/>
      <c r="B4313" s="21" t="n"/>
    </row>
    <row r="4314">
      <c r="A4314" s="11" t="n"/>
      <c r="B4314" s="21" t="n"/>
    </row>
    <row r="4315">
      <c r="A4315" s="11" t="n"/>
      <c r="B4315" s="21" t="n"/>
    </row>
    <row r="4316">
      <c r="A4316" s="11" t="n"/>
      <c r="B4316" s="21" t="n"/>
    </row>
    <row r="4317">
      <c r="A4317" s="11" t="n"/>
      <c r="B4317" s="21" t="n"/>
    </row>
    <row r="4318">
      <c r="A4318" s="11" t="n"/>
      <c r="B4318" s="21" t="n"/>
    </row>
    <row r="4319">
      <c r="A4319" s="11" t="n"/>
      <c r="B4319" s="21" t="n"/>
    </row>
    <row r="4320">
      <c r="A4320" s="11" t="n"/>
      <c r="B4320" s="21" t="n"/>
    </row>
    <row r="4321">
      <c r="A4321" s="11" t="n"/>
      <c r="B4321" s="21" t="n"/>
    </row>
    <row r="4322">
      <c r="A4322" s="11" t="n"/>
      <c r="B4322" s="21" t="n"/>
    </row>
    <row r="4323">
      <c r="A4323" s="11" t="n"/>
      <c r="B4323" s="21" t="n"/>
    </row>
    <row r="4324">
      <c r="A4324" s="11" t="n"/>
      <c r="B4324" s="21" t="n"/>
    </row>
    <row r="4325">
      <c r="A4325" s="11" t="n"/>
      <c r="B4325" s="21" t="n"/>
    </row>
    <row r="4326">
      <c r="A4326" s="11" t="n"/>
      <c r="B4326" s="21" t="n"/>
    </row>
    <row r="4327">
      <c r="A4327" s="11" t="n"/>
      <c r="B4327" s="21" t="n"/>
    </row>
    <row r="4328">
      <c r="A4328" s="11" t="n"/>
      <c r="B4328" s="21" t="n"/>
    </row>
    <row r="4329">
      <c r="A4329" s="11" t="n"/>
      <c r="B4329" s="21" t="n"/>
    </row>
    <row r="4330">
      <c r="A4330" s="11" t="n"/>
      <c r="B4330" s="21" t="n"/>
    </row>
    <row r="4331">
      <c r="A4331" s="11" t="n"/>
      <c r="B4331" s="21" t="n"/>
    </row>
    <row r="4332">
      <c r="A4332" s="11" t="n"/>
      <c r="B4332" s="21" t="n"/>
    </row>
    <row r="4333">
      <c r="A4333" s="11" t="n"/>
      <c r="B4333" s="21" t="n"/>
    </row>
    <row r="4334">
      <c r="A4334" s="11" t="n"/>
      <c r="B4334" s="21" t="n"/>
    </row>
    <row r="4335">
      <c r="A4335" s="11" t="n"/>
      <c r="B4335" s="21" t="n"/>
    </row>
    <row r="4336">
      <c r="A4336" s="11" t="n"/>
      <c r="B4336" s="21" t="n"/>
    </row>
    <row r="4337">
      <c r="A4337" s="11" t="n"/>
      <c r="B4337" s="21" t="n"/>
    </row>
    <row r="4338">
      <c r="A4338" s="11" t="n"/>
      <c r="B4338" s="21" t="n"/>
    </row>
    <row r="4339">
      <c r="A4339" s="11" t="n"/>
      <c r="B4339" s="21" t="n"/>
    </row>
    <row r="4340">
      <c r="A4340" s="11" t="n"/>
      <c r="B4340" s="21" t="n"/>
    </row>
    <row r="4341">
      <c r="A4341" s="11" t="n"/>
      <c r="B4341" s="21" t="n"/>
    </row>
    <row r="4342">
      <c r="A4342" s="11" t="n"/>
      <c r="B4342" s="21" t="n"/>
    </row>
    <row r="4343">
      <c r="A4343" s="11" t="n"/>
      <c r="B4343" s="21" t="n"/>
    </row>
    <row r="4344">
      <c r="A4344" s="11" t="n"/>
      <c r="B4344" s="21" t="n"/>
    </row>
    <row r="4345">
      <c r="A4345" s="11" t="n"/>
      <c r="B4345" s="21" t="n"/>
    </row>
    <row r="4346">
      <c r="A4346" s="11" t="n"/>
      <c r="B4346" s="21" t="n"/>
    </row>
    <row r="4347">
      <c r="A4347" s="11" t="n"/>
      <c r="B4347" s="21" t="n"/>
    </row>
    <row r="4348">
      <c r="A4348" s="11" t="n"/>
      <c r="B4348" s="21" t="n"/>
    </row>
    <row r="4349">
      <c r="A4349" s="11" t="n"/>
      <c r="B4349" s="21" t="n"/>
    </row>
    <row r="4350">
      <c r="A4350" s="11" t="n"/>
      <c r="B4350" s="21" t="n"/>
    </row>
    <row r="4351">
      <c r="A4351" s="11" t="n"/>
      <c r="B4351" s="21" t="n"/>
    </row>
    <row r="4352">
      <c r="A4352" s="11" t="n"/>
      <c r="B4352" s="21" t="n"/>
    </row>
    <row r="4353">
      <c r="A4353" s="11" t="n"/>
      <c r="B4353" s="21" t="n"/>
    </row>
    <row r="4354">
      <c r="A4354" s="11" t="n"/>
      <c r="B4354" s="21" t="n"/>
    </row>
    <row r="4355">
      <c r="A4355" s="11" t="n"/>
      <c r="B4355" s="21" t="n"/>
    </row>
    <row r="4356">
      <c r="A4356" s="11" t="n"/>
      <c r="B4356" s="21" t="n"/>
    </row>
    <row r="4357">
      <c r="A4357" s="11" t="n"/>
      <c r="B4357" s="21" t="n"/>
    </row>
    <row r="4358">
      <c r="A4358" s="11" t="n"/>
      <c r="B4358" s="21" t="n"/>
    </row>
    <row r="4359">
      <c r="A4359" s="11" t="n"/>
      <c r="B4359" s="21" t="n"/>
    </row>
    <row r="4360">
      <c r="A4360" s="11" t="n"/>
      <c r="B4360" s="21" t="n"/>
    </row>
    <row r="4361">
      <c r="A4361" s="11" t="n"/>
      <c r="B4361" s="21" t="n"/>
    </row>
    <row r="4362">
      <c r="A4362" s="11" t="n"/>
      <c r="B4362" s="21" t="n"/>
    </row>
    <row r="4363">
      <c r="A4363" s="11" t="n"/>
      <c r="B4363" s="21" t="n"/>
    </row>
    <row r="4364">
      <c r="A4364" s="11" t="n"/>
      <c r="B4364" s="21" t="n"/>
    </row>
    <row r="4365">
      <c r="A4365" s="11" t="n"/>
      <c r="B4365" s="21" t="n"/>
    </row>
    <row r="4366">
      <c r="A4366" s="11" t="n"/>
      <c r="B4366" s="21" t="n"/>
    </row>
    <row r="4367">
      <c r="A4367" s="11" t="n"/>
      <c r="B4367" s="21" t="n"/>
    </row>
    <row r="4368">
      <c r="A4368" s="11" t="n"/>
      <c r="B4368" s="21" t="n"/>
    </row>
    <row r="4369">
      <c r="A4369" s="11" t="n"/>
      <c r="B4369" s="21" t="n"/>
    </row>
    <row r="4370">
      <c r="A4370" s="11" t="n"/>
      <c r="B4370" s="21" t="n"/>
    </row>
    <row r="4371">
      <c r="A4371" s="11" t="n"/>
      <c r="B4371" s="21" t="n"/>
    </row>
    <row r="4372">
      <c r="A4372" s="11" t="n"/>
      <c r="B4372" s="21" t="n"/>
    </row>
    <row r="4373">
      <c r="A4373" s="11" t="n"/>
      <c r="B4373" s="21" t="n"/>
    </row>
    <row r="4374">
      <c r="A4374" s="11" t="n"/>
      <c r="B4374" s="21" t="n"/>
    </row>
    <row r="4375">
      <c r="A4375" s="11" t="n"/>
      <c r="B4375" s="21" t="n"/>
    </row>
    <row r="4376">
      <c r="A4376" s="11" t="n"/>
      <c r="B4376" s="21" t="n"/>
    </row>
    <row r="4377">
      <c r="A4377" s="11" t="n"/>
      <c r="B4377" s="21" t="n"/>
    </row>
    <row r="4378">
      <c r="A4378" s="11" t="n"/>
      <c r="B4378" s="21" t="n"/>
    </row>
    <row r="4379">
      <c r="A4379" s="11" t="n"/>
      <c r="B4379" s="21" t="n"/>
    </row>
    <row r="4380">
      <c r="A4380" s="11" t="n"/>
      <c r="B4380" s="21" t="n"/>
    </row>
    <row r="4381">
      <c r="A4381" s="11" t="n"/>
      <c r="B4381" s="21" t="n"/>
    </row>
    <row r="4382">
      <c r="A4382" s="11" t="n"/>
      <c r="B4382" s="21" t="n"/>
    </row>
    <row r="4383">
      <c r="A4383" s="11" t="n"/>
      <c r="B4383" s="21" t="n"/>
    </row>
    <row r="4384">
      <c r="A4384" s="11" t="n"/>
      <c r="B4384" s="21" t="n"/>
    </row>
    <row r="4385">
      <c r="A4385" s="11" t="n"/>
      <c r="B4385" s="21" t="n"/>
    </row>
    <row r="4386">
      <c r="A4386" s="11" t="n"/>
      <c r="B4386" s="21" t="n"/>
    </row>
    <row r="4387">
      <c r="A4387" s="11" t="n"/>
      <c r="B4387" s="21" t="n"/>
    </row>
    <row r="4388">
      <c r="A4388" s="11" t="n"/>
      <c r="B4388" s="21" t="n"/>
    </row>
    <row r="4389">
      <c r="A4389" s="11" t="n"/>
      <c r="B4389" s="21" t="n"/>
    </row>
    <row r="4390">
      <c r="A4390" s="11" t="n"/>
      <c r="B4390" s="21" t="n"/>
    </row>
    <row r="4391">
      <c r="A4391" s="11" t="n"/>
      <c r="B4391" s="21" t="n"/>
    </row>
    <row r="4392">
      <c r="A4392" s="11" t="n"/>
      <c r="B4392" s="21" t="n"/>
    </row>
    <row r="4393">
      <c r="A4393" s="11" t="n"/>
      <c r="B4393" s="21" t="n"/>
    </row>
    <row r="4394">
      <c r="A4394" s="11" t="n"/>
      <c r="B4394" s="21" t="n"/>
    </row>
    <row r="4395">
      <c r="A4395" s="11" t="n"/>
      <c r="B4395" s="21" t="n"/>
    </row>
    <row r="4396">
      <c r="A4396" s="11" t="n"/>
      <c r="B4396" s="21" t="n"/>
    </row>
    <row r="4397">
      <c r="A4397" s="11" t="n"/>
      <c r="B4397" s="21" t="n"/>
    </row>
    <row r="4398">
      <c r="A4398" s="11" t="n"/>
      <c r="B4398" s="21" t="n"/>
    </row>
    <row r="4399">
      <c r="A4399" s="11" t="n"/>
      <c r="B4399" s="21" t="n"/>
    </row>
    <row r="4400">
      <c r="A4400" s="11" t="n"/>
      <c r="B4400" s="21" t="n"/>
    </row>
    <row r="4401">
      <c r="A4401" s="11" t="n"/>
      <c r="B4401" s="21" t="n"/>
    </row>
    <row r="4402">
      <c r="A4402" s="11" t="n"/>
      <c r="B4402" s="21" t="n"/>
    </row>
    <row r="4403">
      <c r="A4403" s="11" t="n"/>
      <c r="B4403" s="21" t="n"/>
    </row>
    <row r="4404">
      <c r="A4404" s="11" t="n"/>
      <c r="B4404" s="21" t="n"/>
    </row>
    <row r="4405">
      <c r="A4405" s="11" t="n"/>
      <c r="B4405" s="21" t="n"/>
    </row>
    <row r="4406">
      <c r="A4406" s="11" t="n"/>
      <c r="B4406" s="21" t="n"/>
    </row>
    <row r="4407">
      <c r="A4407" s="11" t="n"/>
      <c r="B4407" s="21" t="n"/>
    </row>
    <row r="4408">
      <c r="A4408" s="11" t="n"/>
      <c r="B4408" s="21" t="n"/>
    </row>
    <row r="4409">
      <c r="A4409" s="11" t="n"/>
      <c r="B4409" s="21" t="n"/>
    </row>
    <row r="4410">
      <c r="A4410" s="11" t="n"/>
      <c r="B4410" s="21" t="n"/>
    </row>
    <row r="4411">
      <c r="A4411" s="11" t="n"/>
      <c r="B4411" s="21" t="n"/>
    </row>
    <row r="4412">
      <c r="A4412" s="11" t="n"/>
      <c r="B4412" s="21" t="n"/>
    </row>
    <row r="4413">
      <c r="A4413" s="11" t="n"/>
      <c r="B4413" s="21" t="n"/>
    </row>
    <row r="4414">
      <c r="A4414" s="11" t="n"/>
      <c r="B4414" s="21" t="n"/>
    </row>
    <row r="4415">
      <c r="A4415" s="11" t="n"/>
      <c r="B4415" s="21" t="n"/>
    </row>
    <row r="4416">
      <c r="A4416" s="11" t="n"/>
      <c r="B4416" s="21" t="n"/>
    </row>
    <row r="4417">
      <c r="A4417" s="11" t="n"/>
      <c r="B4417" s="21" t="n"/>
    </row>
    <row r="4418">
      <c r="A4418" s="11" t="n"/>
      <c r="B4418" s="21" t="n"/>
    </row>
    <row r="4419">
      <c r="A4419" s="11" t="n"/>
      <c r="B4419" s="21" t="n"/>
    </row>
    <row r="4420">
      <c r="A4420" s="11" t="n"/>
      <c r="B4420" s="21" t="n"/>
    </row>
    <row r="4421">
      <c r="A4421" s="11" t="n"/>
      <c r="B4421" s="21" t="n"/>
    </row>
    <row r="4422">
      <c r="A4422" s="11" t="n"/>
      <c r="B4422" s="21" t="n"/>
    </row>
    <row r="4423">
      <c r="A4423" s="11" t="n"/>
      <c r="B4423" s="21" t="n"/>
    </row>
    <row r="4424">
      <c r="A4424" s="11" t="n"/>
      <c r="B4424" s="21" t="n"/>
    </row>
    <row r="4425">
      <c r="A4425" s="11" t="n"/>
      <c r="B4425" s="21" t="n"/>
    </row>
    <row r="4426">
      <c r="A4426" s="11" t="n"/>
      <c r="B4426" s="21" t="n"/>
    </row>
    <row r="4427">
      <c r="A4427" s="11" t="n"/>
      <c r="B4427" s="21" t="n"/>
    </row>
    <row r="4428">
      <c r="A4428" s="11" t="n"/>
      <c r="B4428" s="21" t="n"/>
    </row>
    <row r="4429">
      <c r="A4429" s="11" t="n"/>
      <c r="B4429" s="21" t="n"/>
    </row>
    <row r="4430">
      <c r="A4430" s="11" t="n"/>
      <c r="B4430" s="21" t="n"/>
    </row>
    <row r="4431">
      <c r="A4431" s="11" t="n"/>
      <c r="B4431" s="21" t="n"/>
    </row>
    <row r="4432">
      <c r="A4432" s="11" t="n"/>
      <c r="B4432" s="21" t="n"/>
    </row>
    <row r="4433">
      <c r="A4433" s="11" t="n"/>
      <c r="B4433" s="21" t="n"/>
    </row>
    <row r="4434">
      <c r="A4434" s="11" t="n"/>
      <c r="B4434" s="21" t="n"/>
    </row>
    <row r="4435">
      <c r="A4435" s="11" t="n"/>
      <c r="B4435" s="21" t="n"/>
    </row>
    <row r="4436">
      <c r="A4436" s="11" t="n"/>
      <c r="B4436" s="21" t="n"/>
    </row>
    <row r="4437">
      <c r="A4437" s="11" t="n"/>
      <c r="B4437" s="21" t="n"/>
    </row>
    <row r="4438">
      <c r="A4438" s="11" t="n"/>
      <c r="B4438" s="21" t="n"/>
    </row>
    <row r="4439">
      <c r="A4439" s="11" t="n"/>
      <c r="B4439" s="21" t="n"/>
    </row>
    <row r="4440">
      <c r="A4440" s="11" t="n"/>
      <c r="B4440" s="21" t="n"/>
    </row>
    <row r="4441">
      <c r="A4441" s="11" t="n"/>
      <c r="B4441" s="21" t="n"/>
    </row>
    <row r="4442">
      <c r="A4442" s="11" t="n"/>
      <c r="B4442" s="21" t="n"/>
    </row>
    <row r="4443">
      <c r="A4443" s="11" t="n"/>
      <c r="B4443" s="21" t="n"/>
    </row>
    <row r="4444">
      <c r="A4444" s="11" t="n"/>
      <c r="B4444" s="21" t="n"/>
    </row>
    <row r="4445">
      <c r="A4445" s="11" t="n"/>
      <c r="B4445" s="21" t="n"/>
    </row>
    <row r="4446">
      <c r="A4446" s="11" t="n"/>
      <c r="B4446" s="21" t="n"/>
    </row>
    <row r="4447">
      <c r="A4447" s="11" t="n"/>
      <c r="B4447" s="21" t="n"/>
    </row>
    <row r="4448">
      <c r="A4448" s="11" t="n"/>
      <c r="B4448" s="21" t="n"/>
    </row>
    <row r="4449">
      <c r="A4449" s="11" t="n"/>
      <c r="B4449" s="21" t="n"/>
    </row>
    <row r="4450">
      <c r="A4450" s="11" t="n"/>
      <c r="B4450" s="21" t="n"/>
    </row>
    <row r="4451">
      <c r="A4451" s="11" t="n"/>
      <c r="B4451" s="21" t="n"/>
    </row>
    <row r="4452">
      <c r="A4452" s="11" t="n"/>
      <c r="B4452" s="21" t="n"/>
    </row>
    <row r="4453">
      <c r="A4453" s="11" t="n"/>
      <c r="B4453" s="21" t="n"/>
    </row>
    <row r="4454">
      <c r="A4454" s="11" t="n"/>
      <c r="B4454" s="21" t="n"/>
    </row>
    <row r="4455">
      <c r="A4455" s="11" t="n"/>
      <c r="B4455" s="21" t="n"/>
    </row>
    <row r="4456">
      <c r="A4456" s="11" t="n"/>
      <c r="B4456" s="21" t="n"/>
    </row>
    <row r="4457">
      <c r="A4457" s="11" t="n"/>
      <c r="B4457" s="21" t="n"/>
    </row>
    <row r="4458">
      <c r="A4458" s="11" t="n"/>
      <c r="B4458" s="21" t="n"/>
    </row>
    <row r="4459">
      <c r="A4459" s="11" t="n"/>
      <c r="B4459" s="21" t="n"/>
    </row>
    <row r="4460">
      <c r="A4460" s="11" t="n"/>
      <c r="B4460" s="21" t="n"/>
    </row>
    <row r="4461">
      <c r="A4461" s="11" t="n"/>
      <c r="B4461" s="21" t="n"/>
    </row>
    <row r="4462">
      <c r="A4462" s="11" t="n"/>
      <c r="B4462" s="21" t="n"/>
    </row>
    <row r="4463">
      <c r="A4463" s="11" t="n"/>
      <c r="B4463" s="21" t="n"/>
    </row>
    <row r="4464">
      <c r="A4464" s="11" t="n"/>
      <c r="B4464" s="21" t="n"/>
    </row>
    <row r="4465">
      <c r="A4465" s="11" t="n"/>
      <c r="B4465" s="21" t="n"/>
    </row>
    <row r="4466">
      <c r="A4466" s="11" t="n"/>
      <c r="B4466" s="21" t="n"/>
    </row>
    <row r="4467">
      <c r="A4467" s="11" t="n"/>
      <c r="B4467" s="21" t="n"/>
    </row>
    <row r="4468">
      <c r="A4468" s="11" t="n"/>
      <c r="B4468" s="21" t="n"/>
    </row>
    <row r="4469">
      <c r="A4469" s="11" t="n"/>
      <c r="B4469" s="21" t="n"/>
    </row>
    <row r="4470">
      <c r="A4470" s="11" t="n"/>
      <c r="B4470" s="21" t="n"/>
    </row>
    <row r="4471">
      <c r="A4471" s="11" t="n"/>
      <c r="B4471" s="21" t="n"/>
    </row>
    <row r="4472">
      <c r="A4472" s="11" t="n"/>
      <c r="B4472" s="21" t="n"/>
    </row>
    <row r="4473">
      <c r="A4473" s="11" t="n"/>
      <c r="B4473" s="21" t="n"/>
    </row>
    <row r="4474">
      <c r="A4474" s="11" t="n"/>
      <c r="B4474" s="21" t="n"/>
    </row>
    <row r="4475">
      <c r="A4475" s="11" t="n"/>
      <c r="B4475" s="21" t="n"/>
    </row>
    <row r="4476">
      <c r="A4476" s="11" t="n"/>
      <c r="B4476" s="21" t="n"/>
    </row>
    <row r="4477">
      <c r="A4477" s="11" t="n"/>
      <c r="B4477" s="21" t="n"/>
    </row>
    <row r="4478">
      <c r="A4478" s="11" t="n"/>
      <c r="B4478" s="21" t="n"/>
    </row>
    <row r="4479">
      <c r="A4479" s="11" t="n"/>
      <c r="B4479" s="21" t="n"/>
    </row>
    <row r="4480">
      <c r="A4480" s="11" t="n"/>
      <c r="B4480" s="21" t="n"/>
    </row>
    <row r="4481">
      <c r="A4481" s="11" t="n"/>
      <c r="B4481" s="21" t="n"/>
    </row>
    <row r="4482">
      <c r="A4482" s="11" t="n"/>
      <c r="B4482" s="21" t="n"/>
    </row>
    <row r="4483">
      <c r="A4483" s="11" t="n"/>
      <c r="B4483" s="21" t="n"/>
    </row>
    <row r="4484">
      <c r="A4484" s="11" t="n"/>
      <c r="B4484" s="21" t="n"/>
    </row>
    <row r="4485">
      <c r="A4485" s="11" t="n"/>
      <c r="B4485" s="21" t="n"/>
    </row>
    <row r="4486">
      <c r="A4486" s="11" t="n"/>
      <c r="B4486" s="21" t="n"/>
    </row>
    <row r="4487">
      <c r="A4487" s="11" t="n"/>
      <c r="B4487" s="21" t="n"/>
    </row>
    <row r="4488">
      <c r="A4488" s="11" t="n"/>
      <c r="B4488" s="21" t="n"/>
    </row>
    <row r="4489">
      <c r="A4489" s="11" t="n"/>
      <c r="B4489" s="21" t="n"/>
    </row>
    <row r="4490">
      <c r="A4490" s="11" t="n"/>
      <c r="B4490" s="21" t="n"/>
    </row>
    <row r="4491">
      <c r="A4491" s="11" t="n"/>
      <c r="B4491" s="21" t="n"/>
    </row>
    <row r="4492">
      <c r="A4492" s="11" t="n"/>
      <c r="B4492" s="21" t="n"/>
    </row>
    <row r="4493">
      <c r="A4493" s="11" t="n"/>
      <c r="B4493" s="21" t="n"/>
    </row>
    <row r="4494">
      <c r="A4494" s="11" t="n"/>
      <c r="B4494" s="21" t="n"/>
    </row>
    <row r="4495">
      <c r="A4495" s="11" t="n"/>
      <c r="B4495" s="21" t="n"/>
    </row>
    <row r="4496">
      <c r="A4496" s="11" t="n"/>
      <c r="B4496" s="21" t="n"/>
    </row>
    <row r="4497">
      <c r="A4497" s="11" t="n"/>
      <c r="B4497" s="21" t="n"/>
    </row>
    <row r="4498">
      <c r="A4498" s="11" t="n"/>
      <c r="B4498" s="21" t="n"/>
    </row>
    <row r="4499">
      <c r="A4499" s="11" t="n"/>
      <c r="B4499" s="21" t="n"/>
    </row>
    <row r="4500">
      <c r="A4500" s="11" t="n"/>
      <c r="B4500" s="21" t="n"/>
    </row>
    <row r="4501">
      <c r="A4501" s="11" t="n"/>
      <c r="B4501" s="21" t="n"/>
    </row>
    <row r="4502">
      <c r="A4502" s="11" t="n"/>
      <c r="B4502" s="21" t="n"/>
    </row>
    <row r="4503">
      <c r="A4503" s="11" t="n"/>
      <c r="B4503" s="21" t="n"/>
    </row>
    <row r="4504">
      <c r="A4504" s="11" t="n"/>
      <c r="B4504" s="21" t="n"/>
    </row>
    <row r="4505">
      <c r="A4505" s="11" t="n"/>
      <c r="B4505" s="21" t="n"/>
    </row>
    <row r="4506">
      <c r="A4506" s="11" t="n"/>
      <c r="B4506" s="21" t="n"/>
    </row>
    <row r="4507">
      <c r="A4507" s="11" t="n"/>
      <c r="B4507" s="21" t="n"/>
    </row>
    <row r="4508">
      <c r="A4508" s="11" t="n"/>
      <c r="B4508" s="21" t="n"/>
    </row>
    <row r="4509">
      <c r="A4509" s="11" t="n"/>
      <c r="B4509" s="21" t="n"/>
    </row>
    <row r="4510">
      <c r="A4510" s="11" t="n"/>
      <c r="B4510" s="21" t="n"/>
    </row>
    <row r="4511">
      <c r="A4511" s="11" t="n"/>
      <c r="B4511" s="21" t="n"/>
    </row>
    <row r="4512">
      <c r="A4512" s="11" t="n"/>
      <c r="B4512" s="21" t="n"/>
    </row>
    <row r="4513">
      <c r="A4513" s="11" t="n"/>
      <c r="B4513" s="21" t="n"/>
    </row>
    <row r="4514">
      <c r="A4514" s="11" t="n"/>
      <c r="B4514" s="21" t="n"/>
    </row>
    <row r="4515">
      <c r="A4515" s="11" t="n"/>
      <c r="B4515" s="21" t="n"/>
    </row>
    <row r="4516">
      <c r="A4516" s="11" t="n"/>
      <c r="B4516" s="21" t="n"/>
    </row>
    <row r="4517">
      <c r="A4517" s="11" t="n"/>
      <c r="B4517" s="21" t="n"/>
    </row>
    <row r="4518">
      <c r="A4518" s="11" t="n"/>
      <c r="B4518" s="21" t="n"/>
    </row>
    <row r="4519">
      <c r="A4519" s="11" t="n"/>
      <c r="B4519" s="21" t="n"/>
    </row>
    <row r="4520">
      <c r="A4520" s="11" t="n"/>
      <c r="B4520" s="21" t="n"/>
    </row>
    <row r="4521">
      <c r="A4521" s="11" t="n"/>
      <c r="B4521" s="21" t="n"/>
    </row>
    <row r="4522">
      <c r="A4522" s="11" t="n"/>
      <c r="B4522" s="21" t="n"/>
    </row>
    <row r="4523">
      <c r="A4523" s="11" t="n"/>
      <c r="B4523" s="21" t="n"/>
    </row>
    <row r="4524">
      <c r="A4524" s="11" t="n"/>
      <c r="B4524" s="21" t="n"/>
    </row>
    <row r="4525">
      <c r="A4525" s="11" t="n"/>
      <c r="B4525" s="21" t="n"/>
    </row>
    <row r="4526">
      <c r="A4526" s="11" t="n"/>
      <c r="B4526" s="21" t="n"/>
    </row>
    <row r="4527">
      <c r="A4527" s="11" t="n"/>
      <c r="B4527" s="21" t="n"/>
    </row>
    <row r="4528">
      <c r="A4528" s="11" t="n"/>
      <c r="B4528" s="21" t="n"/>
    </row>
    <row r="4529">
      <c r="A4529" s="11" t="n"/>
      <c r="B4529" s="21" t="n"/>
    </row>
    <row r="4530">
      <c r="A4530" s="11" t="n"/>
      <c r="B4530" s="21" t="n"/>
    </row>
    <row r="4531">
      <c r="A4531" s="11" t="n"/>
      <c r="B4531" s="21" t="n"/>
    </row>
    <row r="4532">
      <c r="A4532" s="11" t="n"/>
      <c r="B4532" s="21" t="n"/>
    </row>
    <row r="4533">
      <c r="A4533" s="11" t="n"/>
      <c r="B4533" s="21" t="n"/>
    </row>
    <row r="4534">
      <c r="A4534" s="11" t="n"/>
      <c r="B4534" s="21" t="n"/>
    </row>
    <row r="4535">
      <c r="A4535" s="11" t="n"/>
      <c r="B4535" s="21" t="n"/>
    </row>
    <row r="4536">
      <c r="A4536" s="11" t="n"/>
      <c r="B4536" s="21" t="n"/>
    </row>
    <row r="4537">
      <c r="A4537" s="11" t="n"/>
      <c r="B4537" s="21" t="n"/>
    </row>
    <row r="4538">
      <c r="A4538" s="11" t="n"/>
      <c r="B4538" s="21" t="n"/>
    </row>
    <row r="4539">
      <c r="A4539" s="11" t="n"/>
      <c r="B4539" s="21" t="n"/>
    </row>
    <row r="4540">
      <c r="A4540" s="11" t="n"/>
      <c r="B4540" s="21" t="n"/>
    </row>
    <row r="4541">
      <c r="A4541" s="11" t="n"/>
      <c r="B4541" s="21" t="n"/>
    </row>
    <row r="4542">
      <c r="A4542" s="11" t="n"/>
      <c r="B4542" s="21" t="n"/>
    </row>
    <row r="4543">
      <c r="A4543" s="11" t="n"/>
      <c r="B4543" s="21" t="n"/>
    </row>
    <row r="4544">
      <c r="A4544" s="11" t="n"/>
      <c r="B4544" s="21" t="n"/>
    </row>
    <row r="4545">
      <c r="A4545" s="11" t="n"/>
      <c r="B4545" s="21" t="n"/>
    </row>
    <row r="4546">
      <c r="A4546" s="11" t="n"/>
      <c r="B4546" s="21" t="n"/>
    </row>
    <row r="4547">
      <c r="A4547" s="11" t="n"/>
      <c r="B4547" s="21" t="n"/>
    </row>
    <row r="4548">
      <c r="A4548" s="11" t="n"/>
      <c r="B4548" s="21" t="n"/>
    </row>
    <row r="4549">
      <c r="A4549" s="11" t="n"/>
      <c r="B4549" s="21" t="n"/>
    </row>
    <row r="4550">
      <c r="A4550" s="11" t="n"/>
      <c r="B4550" s="21" t="n"/>
    </row>
    <row r="4551">
      <c r="A4551" s="11" t="n"/>
      <c r="B4551" s="21" t="n"/>
    </row>
    <row r="4552">
      <c r="A4552" s="11" t="n"/>
      <c r="B4552" s="21" t="n"/>
    </row>
    <row r="4553">
      <c r="A4553" s="11" t="n"/>
      <c r="B4553" s="21" t="n"/>
    </row>
    <row r="4554">
      <c r="A4554" s="11" t="n"/>
      <c r="B4554" s="21" t="n"/>
    </row>
    <row r="4555">
      <c r="A4555" s="11" t="n"/>
      <c r="B4555" s="21" t="n"/>
    </row>
    <row r="4556">
      <c r="A4556" s="11" t="n"/>
      <c r="B4556" s="21" t="n"/>
    </row>
    <row r="4557">
      <c r="A4557" s="11" t="n"/>
      <c r="B4557" s="21" t="n"/>
    </row>
    <row r="4558">
      <c r="A4558" s="11" t="n"/>
      <c r="B4558" s="21" t="n"/>
    </row>
    <row r="4559">
      <c r="A4559" s="11" t="n"/>
      <c r="B4559" s="21" t="n"/>
    </row>
    <row r="4560">
      <c r="A4560" s="11" t="n"/>
      <c r="B4560" s="21" t="n"/>
    </row>
    <row r="4561">
      <c r="A4561" s="11" t="n"/>
      <c r="B4561" s="21" t="n"/>
    </row>
    <row r="4562">
      <c r="A4562" s="11" t="n"/>
      <c r="B4562" s="21" t="n"/>
    </row>
    <row r="4563">
      <c r="A4563" s="11" t="n"/>
      <c r="B4563" s="21" t="n"/>
    </row>
    <row r="4564">
      <c r="A4564" s="11" t="n"/>
      <c r="B4564" s="21" t="n"/>
    </row>
    <row r="4565">
      <c r="A4565" s="11" t="n"/>
      <c r="B4565" s="21" t="n"/>
    </row>
    <row r="4566">
      <c r="A4566" s="11" t="n"/>
      <c r="B4566" s="21" t="n"/>
    </row>
    <row r="4567">
      <c r="A4567" s="11" t="n"/>
      <c r="B4567" s="21" t="n"/>
    </row>
    <row r="4568">
      <c r="A4568" s="11" t="n"/>
      <c r="B4568" s="21" t="n"/>
    </row>
    <row r="4569">
      <c r="A4569" s="11" t="n"/>
      <c r="B4569" s="21" t="n"/>
    </row>
    <row r="4570">
      <c r="A4570" s="11" t="n"/>
      <c r="B4570" s="21" t="n"/>
    </row>
    <row r="4571">
      <c r="A4571" s="11" t="n"/>
      <c r="B4571" s="21" t="n"/>
    </row>
    <row r="4572">
      <c r="A4572" s="11" t="n"/>
      <c r="B4572" s="21" t="n"/>
    </row>
    <row r="4573">
      <c r="A4573" s="11" t="n"/>
      <c r="B4573" s="21" t="n"/>
    </row>
    <row r="4574">
      <c r="A4574" s="11" t="n"/>
      <c r="B4574" s="21" t="n"/>
    </row>
    <row r="4575">
      <c r="A4575" s="11" t="n"/>
      <c r="B4575" s="21" t="n"/>
    </row>
    <row r="4576">
      <c r="A4576" s="11" t="n"/>
      <c r="B4576" s="21" t="n"/>
    </row>
    <row r="4577">
      <c r="A4577" s="11" t="n"/>
      <c r="B4577" s="21" t="n"/>
    </row>
    <row r="4578">
      <c r="A4578" s="11" t="n"/>
      <c r="B4578" s="21" t="n"/>
    </row>
    <row r="4579">
      <c r="A4579" s="11" t="n"/>
      <c r="B4579" s="21" t="n"/>
    </row>
    <row r="4580">
      <c r="A4580" s="11" t="n"/>
      <c r="B4580" s="21" t="n"/>
    </row>
    <row r="4581">
      <c r="A4581" s="11" t="n"/>
      <c r="B4581" s="21" t="n"/>
    </row>
    <row r="4582">
      <c r="A4582" s="11" t="n"/>
      <c r="B4582" s="21" t="n"/>
    </row>
    <row r="4583">
      <c r="A4583" s="11" t="n"/>
      <c r="B4583" s="21" t="n"/>
    </row>
    <row r="4584">
      <c r="A4584" s="11" t="n"/>
      <c r="B4584" s="21" t="n"/>
    </row>
    <row r="4585">
      <c r="A4585" s="11" t="n"/>
      <c r="B4585" s="21" t="n"/>
    </row>
    <row r="4586">
      <c r="A4586" s="11" t="n"/>
      <c r="B4586" s="21" t="n"/>
    </row>
    <row r="4587">
      <c r="A4587" s="11" t="n"/>
      <c r="B4587" s="21" t="n"/>
    </row>
    <row r="4588">
      <c r="A4588" s="11" t="n"/>
      <c r="B4588" s="21" t="n"/>
    </row>
    <row r="4589">
      <c r="A4589" s="11" t="n"/>
      <c r="B4589" s="21" t="n"/>
    </row>
    <row r="4590">
      <c r="A4590" s="11" t="n"/>
      <c r="B4590" s="21" t="n"/>
    </row>
    <row r="4591">
      <c r="A4591" s="11" t="n"/>
      <c r="B4591" s="21" t="n"/>
    </row>
    <row r="4592">
      <c r="A4592" s="11" t="n"/>
      <c r="B4592" s="21" t="n"/>
    </row>
    <row r="4593">
      <c r="A4593" s="11" t="n"/>
      <c r="B4593" s="21" t="n"/>
    </row>
    <row r="4594">
      <c r="A4594" s="11" t="n"/>
      <c r="B4594" s="21" t="n"/>
    </row>
    <row r="4595">
      <c r="A4595" s="11" t="n"/>
      <c r="B4595" s="21" t="n"/>
    </row>
    <row r="4596">
      <c r="A4596" s="11" t="n"/>
      <c r="B4596" s="21" t="n"/>
    </row>
    <row r="4597">
      <c r="A4597" s="11" t="n"/>
      <c r="B4597" s="21" t="n"/>
    </row>
    <row r="4598">
      <c r="A4598" s="11" t="n"/>
      <c r="B4598" s="21" t="n"/>
    </row>
    <row r="4599">
      <c r="A4599" s="11" t="n"/>
      <c r="B4599" s="21" t="n"/>
    </row>
    <row r="4600">
      <c r="A4600" s="11" t="n"/>
      <c r="B4600" s="21" t="n"/>
    </row>
    <row r="4601">
      <c r="A4601" s="11" t="n"/>
      <c r="B4601" s="21" t="n"/>
    </row>
    <row r="4602">
      <c r="A4602" s="11" t="n"/>
      <c r="B4602" s="21" t="n"/>
    </row>
    <row r="4603">
      <c r="A4603" s="11" t="n"/>
      <c r="B4603" s="21" t="n"/>
    </row>
    <row r="4604">
      <c r="A4604" s="11" t="n"/>
      <c r="B4604" s="21" t="n"/>
    </row>
    <row r="4605">
      <c r="A4605" s="11" t="n"/>
      <c r="B4605" s="21" t="n"/>
    </row>
    <row r="4606">
      <c r="A4606" s="11" t="n"/>
      <c r="B4606" s="21" t="n"/>
    </row>
    <row r="4607">
      <c r="A4607" s="11" t="n"/>
      <c r="B4607" s="21" t="n"/>
    </row>
    <row r="4608">
      <c r="A4608" s="11" t="n"/>
      <c r="B4608" s="21" t="n"/>
    </row>
    <row r="4609">
      <c r="A4609" s="11" t="n"/>
      <c r="B4609" s="21" t="n"/>
    </row>
    <row r="4610">
      <c r="A4610" s="11" t="n"/>
      <c r="B4610" s="21" t="n"/>
    </row>
    <row r="4611">
      <c r="A4611" s="11" t="n"/>
      <c r="B4611" s="21" t="n"/>
    </row>
    <row r="4612">
      <c r="A4612" s="11" t="n"/>
      <c r="B4612" s="21" t="n"/>
    </row>
    <row r="4613">
      <c r="A4613" s="11" t="n"/>
      <c r="B4613" s="21" t="n"/>
    </row>
    <row r="4614">
      <c r="A4614" s="11" t="n"/>
      <c r="B4614" s="21" t="n"/>
    </row>
    <row r="4615">
      <c r="A4615" s="11" t="n"/>
      <c r="B4615" s="21" t="n"/>
    </row>
    <row r="4616">
      <c r="A4616" s="11" t="n"/>
      <c r="B4616" s="21" t="n"/>
    </row>
    <row r="4617">
      <c r="A4617" s="11" t="n"/>
      <c r="B4617" s="21" t="n"/>
    </row>
    <row r="4618">
      <c r="A4618" s="11" t="n"/>
      <c r="B4618" s="21" t="n"/>
    </row>
    <row r="4619">
      <c r="A4619" s="11" t="n"/>
      <c r="B4619" s="21" t="n"/>
    </row>
    <row r="4620">
      <c r="A4620" s="11" t="n"/>
      <c r="B4620" s="21" t="n"/>
    </row>
    <row r="4621">
      <c r="A4621" s="11" t="n"/>
      <c r="B4621" s="21" t="n"/>
    </row>
    <row r="4622">
      <c r="A4622" s="11" t="n"/>
      <c r="B4622" s="21" t="n"/>
    </row>
    <row r="4623">
      <c r="A4623" s="11" t="n"/>
      <c r="B4623" s="21" t="n"/>
    </row>
    <row r="4624">
      <c r="A4624" s="11" t="n"/>
      <c r="B4624" s="21" t="n"/>
    </row>
    <row r="4625">
      <c r="A4625" s="11" t="n"/>
      <c r="B4625" s="21" t="n"/>
    </row>
    <row r="4626">
      <c r="A4626" s="11" t="n"/>
      <c r="B4626" s="21" t="n"/>
    </row>
    <row r="4627">
      <c r="A4627" s="11" t="n"/>
      <c r="B4627" s="21" t="n"/>
    </row>
    <row r="4628">
      <c r="A4628" s="11" t="n"/>
      <c r="B4628" s="21" t="n"/>
    </row>
    <row r="4629">
      <c r="A4629" s="11" t="n"/>
      <c r="B4629" s="21" t="n"/>
    </row>
    <row r="4630">
      <c r="A4630" s="11" t="n"/>
      <c r="B4630" s="21" t="n"/>
    </row>
    <row r="4631">
      <c r="A4631" s="11" t="n"/>
      <c r="B4631" s="21" t="n"/>
    </row>
    <row r="4632">
      <c r="A4632" s="11" t="n"/>
      <c r="B4632" s="21" t="n"/>
    </row>
    <row r="4633">
      <c r="A4633" s="11" t="n"/>
      <c r="B4633" s="21" t="n"/>
    </row>
    <row r="4634">
      <c r="A4634" s="11" t="n"/>
      <c r="B4634" s="21" t="n"/>
    </row>
    <row r="4635">
      <c r="A4635" s="11" t="n"/>
      <c r="B4635" s="21" t="n"/>
    </row>
    <row r="4636">
      <c r="A4636" s="11" t="n"/>
      <c r="B4636" s="21" t="n"/>
    </row>
    <row r="4637">
      <c r="A4637" s="11" t="n"/>
      <c r="B4637" s="21" t="n"/>
    </row>
    <row r="4638">
      <c r="A4638" s="11" t="n"/>
      <c r="B4638" s="21" t="n"/>
    </row>
    <row r="4639">
      <c r="A4639" s="11" t="n"/>
      <c r="B4639" s="21" t="n"/>
    </row>
    <row r="4640">
      <c r="A4640" s="11" t="n"/>
      <c r="B4640" s="21" t="n"/>
    </row>
    <row r="4641">
      <c r="A4641" s="11" t="n"/>
      <c r="B4641" s="21" t="n"/>
    </row>
    <row r="4642">
      <c r="A4642" s="11" t="n"/>
      <c r="B4642" s="21" t="n"/>
    </row>
    <row r="4643">
      <c r="A4643" s="11" t="n"/>
      <c r="B4643" s="21" t="n"/>
    </row>
    <row r="4644">
      <c r="A4644" s="11" t="n"/>
      <c r="B4644" s="21" t="n"/>
    </row>
    <row r="4645">
      <c r="A4645" s="11" t="n"/>
      <c r="B4645" s="21" t="n"/>
    </row>
    <row r="4646">
      <c r="A4646" s="11" t="n"/>
      <c r="B4646" s="21" t="n"/>
    </row>
    <row r="4647">
      <c r="A4647" s="11" t="n"/>
      <c r="B4647" s="21" t="n"/>
    </row>
    <row r="4648">
      <c r="A4648" s="11" t="n"/>
      <c r="B4648" s="21" t="n"/>
    </row>
    <row r="4649">
      <c r="A4649" s="11" t="n"/>
      <c r="B4649" s="21" t="n"/>
    </row>
    <row r="4650">
      <c r="A4650" s="11" t="n"/>
      <c r="B4650" s="21" t="n"/>
    </row>
    <row r="4651">
      <c r="A4651" s="11" t="n"/>
      <c r="B4651" s="21" t="n"/>
    </row>
    <row r="4652">
      <c r="A4652" s="11" t="n"/>
      <c r="B4652" s="21" t="n"/>
    </row>
    <row r="4653">
      <c r="A4653" s="11" t="n"/>
      <c r="B4653" s="21" t="n"/>
    </row>
    <row r="4654">
      <c r="A4654" s="11" t="n"/>
      <c r="B4654" s="21" t="n"/>
    </row>
    <row r="4655">
      <c r="A4655" s="11" t="n"/>
      <c r="B4655" s="21" t="n"/>
    </row>
    <row r="4656">
      <c r="A4656" s="11" t="n"/>
      <c r="B4656" s="21" t="n"/>
    </row>
    <row r="4657">
      <c r="A4657" s="11" t="n"/>
      <c r="B4657" s="21" t="n"/>
    </row>
    <row r="4658">
      <c r="A4658" s="11" t="n"/>
      <c r="B4658" s="21" t="n"/>
    </row>
    <row r="4659">
      <c r="A4659" s="11" t="n"/>
      <c r="B4659" s="21" t="n"/>
    </row>
    <row r="4660">
      <c r="A4660" s="11" t="n"/>
      <c r="B4660" s="21" t="n"/>
    </row>
    <row r="4661">
      <c r="A4661" s="11" t="n"/>
      <c r="B4661" s="21" t="n"/>
    </row>
    <row r="4662">
      <c r="A4662" s="11" t="n"/>
      <c r="B4662" s="21" t="n"/>
    </row>
    <row r="4663">
      <c r="A4663" s="11" t="n"/>
      <c r="B4663" s="21" t="n"/>
    </row>
    <row r="4664">
      <c r="A4664" s="11" t="n"/>
      <c r="B4664" s="21" t="n"/>
    </row>
    <row r="4665">
      <c r="A4665" s="11" t="n"/>
      <c r="B4665" s="21" t="n"/>
    </row>
    <row r="4666">
      <c r="A4666" s="11" t="n"/>
      <c r="B4666" s="21" t="n"/>
    </row>
    <row r="4667">
      <c r="A4667" s="11" t="n"/>
      <c r="B4667" s="21" t="n"/>
    </row>
    <row r="4668">
      <c r="A4668" s="11" t="n"/>
      <c r="B4668" s="21" t="n"/>
    </row>
    <row r="4669">
      <c r="A4669" s="11" t="n"/>
      <c r="B4669" s="21" t="n"/>
    </row>
    <row r="4670">
      <c r="A4670" s="11" t="n"/>
      <c r="B4670" s="21" t="n"/>
    </row>
    <row r="4671">
      <c r="A4671" s="11" t="n"/>
      <c r="B4671" s="21" t="n"/>
    </row>
    <row r="4672">
      <c r="A4672" s="11" t="n"/>
      <c r="B4672" s="21" t="n"/>
    </row>
    <row r="4673">
      <c r="A4673" s="11" t="n"/>
      <c r="B4673" s="21" t="n"/>
    </row>
    <row r="4674">
      <c r="A4674" s="11" t="n"/>
      <c r="B4674" s="21" t="n"/>
    </row>
    <row r="4675">
      <c r="A4675" s="11" t="n"/>
      <c r="B4675" s="21" t="n"/>
    </row>
    <row r="4676">
      <c r="A4676" s="11" t="n"/>
      <c r="B4676" s="21" t="n"/>
    </row>
    <row r="4677">
      <c r="A4677" s="11" t="n"/>
      <c r="B4677" s="21" t="n"/>
    </row>
    <row r="4678">
      <c r="A4678" s="11" t="n"/>
      <c r="B4678" s="21" t="n"/>
    </row>
    <row r="4679">
      <c r="A4679" s="11" t="n"/>
      <c r="B4679" s="21" t="n"/>
    </row>
    <row r="4680">
      <c r="A4680" s="11" t="n"/>
      <c r="B4680" s="21" t="n"/>
    </row>
    <row r="4681">
      <c r="A4681" s="11" t="n"/>
      <c r="B4681" s="21" t="n"/>
    </row>
    <row r="4682">
      <c r="A4682" s="11" t="n"/>
      <c r="B4682" s="21" t="n"/>
    </row>
    <row r="4683">
      <c r="A4683" s="11" t="n"/>
      <c r="B4683" s="21" t="n"/>
    </row>
    <row r="4684">
      <c r="A4684" s="11" t="n"/>
      <c r="B4684" s="21" t="n"/>
    </row>
    <row r="4685">
      <c r="A4685" s="11" t="n"/>
      <c r="B4685" s="21" t="n"/>
    </row>
    <row r="4686">
      <c r="A4686" s="11" t="n"/>
      <c r="B4686" s="21" t="n"/>
    </row>
    <row r="4687">
      <c r="A4687" s="11" t="n"/>
      <c r="B4687" s="21" t="n"/>
    </row>
    <row r="4688">
      <c r="A4688" s="11" t="n"/>
      <c r="B4688" s="21" t="n"/>
    </row>
    <row r="4689">
      <c r="A4689" s="11" t="n"/>
      <c r="B4689" s="21" t="n"/>
    </row>
    <row r="4690">
      <c r="A4690" s="11" t="n"/>
      <c r="B4690" s="21" t="n"/>
    </row>
    <row r="4691">
      <c r="A4691" s="11" t="n"/>
      <c r="B4691" s="21" t="n"/>
    </row>
    <row r="4692">
      <c r="A4692" s="11" t="n"/>
      <c r="B4692" s="21" t="n"/>
    </row>
    <row r="4693">
      <c r="A4693" s="11" t="n"/>
      <c r="B4693" s="21" t="n"/>
    </row>
    <row r="4694">
      <c r="A4694" s="11" t="n"/>
      <c r="B4694" s="21" t="n"/>
    </row>
    <row r="4695">
      <c r="A4695" s="11" t="n"/>
      <c r="B4695" s="21" t="n"/>
    </row>
    <row r="4696">
      <c r="A4696" s="11" t="n"/>
      <c r="B4696" s="21" t="n"/>
    </row>
    <row r="4697">
      <c r="A4697" s="11" t="n"/>
      <c r="B4697" s="21" t="n"/>
    </row>
    <row r="4698">
      <c r="A4698" s="11" t="n"/>
      <c r="B4698" s="21" t="n"/>
    </row>
    <row r="4699">
      <c r="A4699" s="11" t="n"/>
      <c r="B4699" s="21" t="n"/>
    </row>
    <row r="4700">
      <c r="A4700" s="11" t="n"/>
      <c r="B4700" s="21" t="n"/>
    </row>
    <row r="4701">
      <c r="A4701" s="11" t="n"/>
      <c r="B4701" s="21" t="n"/>
    </row>
    <row r="4702">
      <c r="A4702" s="11" t="n"/>
      <c r="B4702" s="21" t="n"/>
    </row>
    <row r="4703">
      <c r="A4703" s="11" t="n"/>
      <c r="B4703" s="21" t="n"/>
    </row>
    <row r="4704">
      <c r="A4704" s="11" t="n"/>
      <c r="B4704" s="21" t="n"/>
    </row>
    <row r="4705">
      <c r="A4705" s="11" t="n"/>
      <c r="B4705" s="21" t="n"/>
    </row>
    <row r="4706">
      <c r="A4706" s="11" t="n"/>
      <c r="B4706" s="21" t="n"/>
    </row>
    <row r="4707">
      <c r="A4707" s="11" t="n"/>
      <c r="B4707" s="21" t="n"/>
    </row>
    <row r="4708">
      <c r="A4708" s="11" t="n"/>
      <c r="B4708" s="21" t="n"/>
    </row>
    <row r="4709">
      <c r="A4709" s="11" t="n"/>
      <c r="B4709" s="21" t="n"/>
    </row>
    <row r="4710">
      <c r="A4710" s="11" t="n"/>
      <c r="B4710" s="21" t="n"/>
    </row>
    <row r="4711">
      <c r="A4711" s="11" t="n"/>
      <c r="B4711" s="21" t="n"/>
    </row>
    <row r="4712">
      <c r="A4712" s="11" t="n"/>
      <c r="B4712" s="21" t="n"/>
    </row>
    <row r="4713">
      <c r="A4713" s="11" t="n"/>
      <c r="B4713" s="21" t="n"/>
    </row>
    <row r="4714">
      <c r="A4714" s="11" t="n"/>
      <c r="B4714" s="21" t="n"/>
    </row>
    <row r="4715">
      <c r="A4715" s="11" t="n"/>
      <c r="B4715" s="21" t="n"/>
    </row>
    <row r="4716">
      <c r="A4716" s="11" t="n"/>
      <c r="B4716" s="21" t="n"/>
    </row>
    <row r="4717">
      <c r="A4717" s="11" t="n"/>
      <c r="B4717" s="21" t="n"/>
    </row>
    <row r="4718">
      <c r="A4718" s="11" t="n"/>
      <c r="B4718" s="21" t="n"/>
    </row>
    <row r="4719">
      <c r="A4719" s="11" t="n"/>
      <c r="B4719" s="21" t="n"/>
    </row>
    <row r="4720">
      <c r="A4720" s="11" t="n"/>
      <c r="B4720" s="21" t="n"/>
    </row>
    <row r="4721">
      <c r="A4721" s="11" t="n"/>
      <c r="B4721" s="21" t="n"/>
    </row>
    <row r="4722">
      <c r="A4722" s="11" t="n"/>
      <c r="B4722" s="21" t="n"/>
    </row>
    <row r="4723">
      <c r="A4723" s="11" t="n"/>
      <c r="B4723" s="21" t="n"/>
    </row>
    <row r="4724">
      <c r="A4724" s="11" t="n"/>
      <c r="B4724" s="21" t="n"/>
    </row>
    <row r="4725">
      <c r="A4725" s="11" t="n"/>
      <c r="B4725" s="21" t="n"/>
    </row>
    <row r="4726">
      <c r="A4726" s="11" t="n"/>
      <c r="B4726" s="21" t="n"/>
    </row>
    <row r="4727">
      <c r="A4727" s="11" t="n"/>
      <c r="B4727" s="21" t="n"/>
    </row>
    <row r="4728">
      <c r="A4728" s="11" t="n"/>
      <c r="B4728" s="21" t="n"/>
    </row>
    <row r="4729">
      <c r="A4729" s="11" t="n"/>
      <c r="B4729" s="21" t="n"/>
    </row>
    <row r="4730">
      <c r="A4730" s="11" t="n"/>
      <c r="B4730" s="21" t="n"/>
    </row>
    <row r="4731">
      <c r="A4731" s="11" t="n"/>
      <c r="B4731" s="21" t="n"/>
    </row>
    <row r="4732">
      <c r="A4732" s="11" t="n"/>
      <c r="B4732" s="21" t="n"/>
    </row>
    <row r="4733">
      <c r="A4733" s="11" t="n"/>
      <c r="B4733" s="21" t="n"/>
    </row>
    <row r="4734">
      <c r="A4734" s="11" t="n"/>
      <c r="B4734" s="21" t="n"/>
    </row>
    <row r="4735">
      <c r="A4735" s="11" t="n"/>
      <c r="B4735" s="21" t="n"/>
    </row>
    <row r="4736">
      <c r="A4736" s="11" t="n"/>
      <c r="B4736" s="21" t="n"/>
    </row>
    <row r="4737">
      <c r="A4737" s="11" t="n"/>
      <c r="B4737" s="21" t="n"/>
    </row>
    <row r="4738">
      <c r="A4738" s="11" t="n"/>
      <c r="B4738" s="21" t="n"/>
    </row>
    <row r="4739">
      <c r="A4739" s="11" t="n"/>
      <c r="B4739" s="21" t="n"/>
    </row>
    <row r="4740">
      <c r="A4740" s="11" t="n"/>
      <c r="B4740" s="21" t="n"/>
    </row>
    <row r="4741">
      <c r="A4741" s="11" t="n"/>
      <c r="B4741" s="21" t="n"/>
    </row>
    <row r="4742">
      <c r="A4742" s="11" t="n"/>
      <c r="B4742" s="21" t="n"/>
    </row>
    <row r="4743">
      <c r="A4743" s="11" t="n"/>
      <c r="B4743" s="21" t="n"/>
    </row>
    <row r="4744">
      <c r="A4744" s="11" t="n"/>
      <c r="B4744" s="21" t="n"/>
    </row>
    <row r="4745">
      <c r="A4745" s="11" t="n"/>
      <c r="B4745" s="21" t="n"/>
    </row>
    <row r="4746">
      <c r="A4746" s="11" t="n"/>
      <c r="B4746" s="21" t="n"/>
    </row>
    <row r="4747">
      <c r="A4747" s="11" t="n"/>
      <c r="B4747" s="21" t="n"/>
    </row>
    <row r="4748">
      <c r="A4748" s="11" t="n"/>
      <c r="B4748" s="21" t="n"/>
    </row>
    <row r="4749">
      <c r="A4749" s="11" t="n"/>
      <c r="B4749" s="21" t="n"/>
    </row>
    <row r="4750">
      <c r="A4750" s="11" t="n"/>
      <c r="B4750" s="21" t="n"/>
    </row>
    <row r="4751">
      <c r="A4751" s="11" t="n"/>
      <c r="B4751" s="21" t="n"/>
    </row>
    <row r="4752">
      <c r="A4752" s="11" t="n"/>
      <c r="B4752" s="21" t="n"/>
    </row>
    <row r="4753">
      <c r="A4753" s="11" t="n"/>
      <c r="B4753" s="21" t="n"/>
    </row>
    <row r="4754">
      <c r="A4754" s="11" t="n"/>
      <c r="B4754" s="21" t="n"/>
    </row>
    <row r="4755">
      <c r="A4755" s="11" t="n"/>
      <c r="B4755" s="21" t="n"/>
    </row>
    <row r="4756">
      <c r="A4756" s="11" t="n"/>
      <c r="B4756" s="21" t="n"/>
    </row>
    <row r="4757">
      <c r="A4757" s="11" t="n"/>
      <c r="B4757" s="21" t="n"/>
    </row>
    <row r="4758">
      <c r="A4758" s="11" t="n"/>
      <c r="B4758" s="21" t="n"/>
    </row>
    <row r="4759">
      <c r="A4759" s="11" t="n"/>
      <c r="B4759" s="21" t="n"/>
    </row>
    <row r="4760">
      <c r="A4760" s="11" t="n"/>
      <c r="B4760" s="21" t="n"/>
    </row>
    <row r="4761">
      <c r="A4761" s="11" t="n"/>
      <c r="B4761" s="21" t="n"/>
    </row>
    <row r="4762">
      <c r="A4762" s="11" t="n"/>
      <c r="B4762" s="21" t="n"/>
    </row>
    <row r="4763">
      <c r="A4763" s="11" t="n"/>
      <c r="B4763" s="21" t="n"/>
    </row>
    <row r="4764">
      <c r="A4764" s="11" t="n"/>
      <c r="B4764" s="21" t="n"/>
    </row>
    <row r="4765">
      <c r="A4765" s="11" t="n"/>
      <c r="B4765" s="21" t="n"/>
    </row>
    <row r="4766">
      <c r="A4766" s="11" t="n"/>
      <c r="B4766" s="21" t="n"/>
    </row>
    <row r="4767">
      <c r="A4767" s="11" t="n"/>
      <c r="B4767" s="21" t="n"/>
    </row>
    <row r="4768">
      <c r="A4768" s="11" t="n"/>
      <c r="B4768" s="21" t="n"/>
    </row>
    <row r="4769">
      <c r="A4769" s="11" t="n"/>
      <c r="B4769" s="21" t="n"/>
    </row>
    <row r="4770">
      <c r="A4770" s="11" t="n"/>
      <c r="B4770" s="21" t="n"/>
    </row>
    <row r="4771">
      <c r="A4771" s="11" t="n"/>
      <c r="B4771" s="21" t="n"/>
    </row>
    <row r="4772">
      <c r="A4772" s="11" t="n"/>
      <c r="B4772" s="21" t="n"/>
    </row>
    <row r="4773">
      <c r="A4773" s="11" t="n"/>
      <c r="B4773" s="21" t="n"/>
    </row>
    <row r="4774">
      <c r="A4774" s="11" t="n"/>
      <c r="B4774" s="21" t="n"/>
    </row>
    <row r="4775">
      <c r="A4775" s="11" t="n"/>
      <c r="B4775" s="21" t="n"/>
    </row>
    <row r="4776">
      <c r="A4776" s="11" t="n"/>
      <c r="B4776" s="21" t="n"/>
    </row>
    <row r="4777">
      <c r="A4777" s="11" t="n"/>
      <c r="B4777" s="21" t="n"/>
    </row>
    <row r="4778">
      <c r="A4778" s="11" t="n"/>
      <c r="B4778" s="21" t="n"/>
    </row>
    <row r="4779">
      <c r="A4779" s="11" t="n"/>
      <c r="B4779" s="21" t="n"/>
    </row>
    <row r="4780">
      <c r="A4780" s="11" t="n"/>
      <c r="B4780" s="21" t="n"/>
    </row>
    <row r="4781">
      <c r="A4781" s="11" t="n"/>
      <c r="B4781" s="21" t="n"/>
    </row>
    <row r="4782">
      <c r="A4782" s="11" t="n"/>
      <c r="B4782" s="21" t="n"/>
    </row>
    <row r="4783">
      <c r="A4783" s="11" t="n"/>
      <c r="B4783" s="21" t="n"/>
    </row>
    <row r="4784">
      <c r="A4784" s="11" t="n"/>
      <c r="B4784" s="21" t="n"/>
    </row>
    <row r="4785">
      <c r="A4785" s="11" t="n"/>
      <c r="B4785" s="21" t="n"/>
    </row>
    <row r="4786">
      <c r="A4786" s="11" t="n"/>
      <c r="B4786" s="21" t="n"/>
    </row>
    <row r="4787">
      <c r="A4787" s="11" t="n"/>
      <c r="B4787" s="21" t="n"/>
    </row>
    <row r="4788">
      <c r="A4788" s="11" t="n"/>
      <c r="B4788" s="21" t="n"/>
    </row>
    <row r="4789">
      <c r="A4789" s="11" t="n"/>
      <c r="B4789" s="21" t="n"/>
    </row>
    <row r="4790">
      <c r="A4790" s="11" t="n"/>
      <c r="B4790" s="21" t="n"/>
    </row>
    <row r="4791">
      <c r="A4791" s="11" t="n"/>
      <c r="B4791" s="21" t="n"/>
    </row>
    <row r="4792">
      <c r="A4792" s="11" t="n"/>
      <c r="B4792" s="21" t="n"/>
    </row>
    <row r="4793">
      <c r="A4793" s="11" t="n"/>
      <c r="B4793" s="21" t="n"/>
    </row>
    <row r="4794">
      <c r="A4794" s="11" t="n"/>
      <c r="B4794" s="21" t="n"/>
    </row>
    <row r="4795">
      <c r="A4795" s="11" t="n"/>
      <c r="B4795" s="21" t="n"/>
    </row>
    <row r="4796">
      <c r="A4796" s="11" t="n"/>
      <c r="B4796" s="21" t="n"/>
    </row>
    <row r="4797">
      <c r="A4797" s="11" t="n"/>
      <c r="B4797" s="21" t="n"/>
    </row>
    <row r="4798">
      <c r="A4798" s="11" t="n"/>
      <c r="B4798" s="21" t="n"/>
    </row>
    <row r="4799">
      <c r="A4799" s="11" t="n"/>
      <c r="B4799" s="21" t="n"/>
    </row>
    <row r="4800">
      <c r="A4800" s="11" t="n"/>
      <c r="B4800" s="21" t="n"/>
    </row>
    <row r="4801">
      <c r="A4801" s="11" t="n"/>
      <c r="B4801" s="21" t="n"/>
    </row>
    <row r="4802">
      <c r="A4802" s="11" t="n"/>
      <c r="B4802" s="21" t="n"/>
    </row>
    <row r="4803">
      <c r="A4803" s="11" t="n"/>
      <c r="B4803" s="21" t="n"/>
    </row>
    <row r="4804">
      <c r="A4804" s="11" t="n"/>
      <c r="B4804" s="21" t="n"/>
    </row>
    <row r="4805">
      <c r="A4805" s="11" t="n"/>
      <c r="B4805" s="21" t="n"/>
    </row>
    <row r="4806">
      <c r="A4806" s="11" t="n"/>
      <c r="B4806" s="21" t="n"/>
    </row>
    <row r="4807">
      <c r="A4807" s="11" t="n"/>
      <c r="B4807" s="21" t="n"/>
    </row>
    <row r="4808">
      <c r="A4808" s="11" t="n"/>
      <c r="B4808" s="21" t="n"/>
    </row>
    <row r="4809">
      <c r="A4809" s="11" t="n"/>
      <c r="B4809" s="21" t="n"/>
    </row>
    <row r="4810">
      <c r="A4810" s="11" t="n"/>
      <c r="B4810" s="21" t="n"/>
    </row>
    <row r="4811">
      <c r="A4811" s="11" t="n"/>
      <c r="B4811" s="21" t="n"/>
    </row>
    <row r="4812">
      <c r="A4812" s="11" t="n"/>
      <c r="B4812" s="21" t="n"/>
    </row>
    <row r="4813">
      <c r="A4813" s="11" t="n"/>
      <c r="B4813" s="21" t="n"/>
    </row>
    <row r="4814">
      <c r="A4814" s="11" t="n"/>
      <c r="B4814" s="21" t="n"/>
    </row>
    <row r="4815">
      <c r="A4815" s="11" t="n"/>
      <c r="B4815" s="21" t="n"/>
    </row>
    <row r="4816">
      <c r="A4816" s="11" t="n"/>
      <c r="B4816" s="21" t="n"/>
    </row>
    <row r="4817">
      <c r="A4817" s="11" t="n"/>
      <c r="B4817" s="21" t="n"/>
    </row>
    <row r="4818">
      <c r="A4818" s="11" t="n"/>
      <c r="B4818" s="21" t="n"/>
    </row>
    <row r="4819">
      <c r="A4819" s="11" t="n"/>
      <c r="B4819" s="21" t="n"/>
    </row>
    <row r="4820">
      <c r="A4820" s="11" t="n"/>
      <c r="B4820" s="21" t="n"/>
    </row>
    <row r="4821">
      <c r="A4821" s="11" t="n"/>
      <c r="B4821" s="21" t="n"/>
    </row>
    <row r="4822">
      <c r="A4822" s="11" t="n"/>
      <c r="B4822" s="21" t="n"/>
    </row>
    <row r="4823">
      <c r="A4823" s="11" t="n"/>
      <c r="B4823" s="21" t="n"/>
    </row>
    <row r="4824">
      <c r="A4824" s="11" t="n"/>
      <c r="B4824" s="21" t="n"/>
    </row>
    <row r="4825">
      <c r="A4825" s="11" t="n"/>
      <c r="B4825" s="21" t="n"/>
    </row>
    <row r="4826">
      <c r="A4826" s="11" t="n"/>
      <c r="B4826" s="21" t="n"/>
    </row>
    <row r="4827">
      <c r="A4827" s="11" t="n"/>
      <c r="B4827" s="21" t="n"/>
    </row>
    <row r="4828">
      <c r="A4828" s="11" t="n"/>
      <c r="B4828" s="21" t="n"/>
    </row>
    <row r="4829">
      <c r="A4829" s="11" t="n"/>
      <c r="B4829" s="21" t="n"/>
    </row>
    <row r="4830">
      <c r="A4830" s="11" t="n"/>
      <c r="B4830" s="21" t="n"/>
    </row>
    <row r="4831">
      <c r="A4831" s="11" t="n"/>
      <c r="B4831" s="21" t="n"/>
    </row>
    <row r="4832">
      <c r="A4832" s="11" t="n"/>
      <c r="B4832" s="21" t="n"/>
    </row>
    <row r="4833">
      <c r="A4833" s="11" t="n"/>
      <c r="B4833" s="21" t="n"/>
    </row>
    <row r="4834">
      <c r="A4834" s="11" t="n"/>
      <c r="B4834" s="21" t="n"/>
    </row>
    <row r="4835">
      <c r="A4835" s="11" t="n"/>
      <c r="B4835" s="21" t="n"/>
    </row>
    <row r="4836">
      <c r="A4836" s="11" t="n"/>
      <c r="B4836" s="21" t="n"/>
    </row>
    <row r="4837">
      <c r="A4837" s="11" t="n"/>
      <c r="B4837" s="21" t="n"/>
    </row>
    <row r="4838">
      <c r="A4838" s="11" t="n"/>
      <c r="B4838" s="21" t="n"/>
    </row>
    <row r="4839">
      <c r="A4839" s="11" t="n"/>
      <c r="B4839" s="21" t="n"/>
    </row>
    <row r="4840">
      <c r="A4840" s="11" t="n"/>
      <c r="B4840" s="21" t="n"/>
    </row>
    <row r="4841">
      <c r="A4841" s="11" t="n"/>
      <c r="B4841" s="21" t="n"/>
    </row>
    <row r="4842">
      <c r="A4842" s="11" t="n"/>
      <c r="B4842" s="21" t="n"/>
    </row>
    <row r="4843">
      <c r="A4843" s="11" t="n"/>
      <c r="B4843" s="21" t="n"/>
    </row>
    <row r="4844">
      <c r="A4844" s="11" t="n"/>
      <c r="B4844" s="21" t="n"/>
    </row>
    <row r="4845">
      <c r="A4845" s="11" t="n"/>
      <c r="B4845" s="21" t="n"/>
    </row>
    <row r="4846">
      <c r="A4846" s="11" t="n"/>
      <c r="B4846" s="21" t="n"/>
    </row>
    <row r="4847">
      <c r="A4847" s="11" t="n"/>
      <c r="B4847" s="21" t="n"/>
    </row>
    <row r="4848">
      <c r="A4848" s="11" t="n"/>
      <c r="B4848" s="21" t="n"/>
    </row>
    <row r="4849">
      <c r="A4849" s="11" t="n"/>
      <c r="B4849" s="21" t="n"/>
    </row>
    <row r="4850">
      <c r="A4850" s="11" t="n"/>
      <c r="B4850" s="21" t="n"/>
    </row>
    <row r="4851">
      <c r="A4851" s="11" t="n"/>
      <c r="B4851" s="21" t="n"/>
    </row>
    <row r="4852">
      <c r="A4852" s="11" t="n"/>
      <c r="B4852" s="21" t="n"/>
    </row>
    <row r="4853">
      <c r="A4853" s="11" t="n"/>
      <c r="B4853" s="21" t="n"/>
    </row>
    <row r="4854">
      <c r="A4854" s="11" t="n"/>
      <c r="B4854" s="21" t="n"/>
    </row>
    <row r="4855">
      <c r="A4855" s="11" t="n"/>
      <c r="B4855" s="21" t="n"/>
    </row>
    <row r="4856">
      <c r="A4856" s="11" t="n"/>
      <c r="B4856" s="21" t="n"/>
    </row>
    <row r="4857">
      <c r="A4857" s="11" t="n"/>
      <c r="B4857" s="21" t="n"/>
    </row>
    <row r="4858">
      <c r="A4858" s="11" t="n"/>
      <c r="B4858" s="21" t="n"/>
    </row>
    <row r="4859">
      <c r="A4859" s="11" t="n"/>
      <c r="B4859" s="21" t="n"/>
    </row>
    <row r="4860">
      <c r="A4860" s="11" t="n"/>
      <c r="B4860" s="21" t="n"/>
    </row>
    <row r="4861">
      <c r="A4861" s="11" t="n"/>
      <c r="B4861" s="21" t="n"/>
    </row>
    <row r="4862">
      <c r="A4862" s="11" t="n"/>
      <c r="B4862" s="21" t="n"/>
    </row>
    <row r="4863">
      <c r="A4863" s="11" t="n"/>
      <c r="B4863" s="21" t="n"/>
    </row>
    <row r="4864">
      <c r="A4864" s="11" t="n"/>
      <c r="B4864" s="21" t="n"/>
    </row>
    <row r="4865">
      <c r="A4865" s="11" t="n"/>
      <c r="B4865" s="21" t="n"/>
    </row>
    <row r="4866">
      <c r="A4866" s="11" t="n"/>
      <c r="B4866" s="21" t="n"/>
    </row>
    <row r="4867">
      <c r="A4867" s="11" t="n"/>
      <c r="B4867" s="21" t="n"/>
    </row>
    <row r="4868">
      <c r="A4868" s="11" t="n"/>
      <c r="B4868" s="21" t="n"/>
    </row>
    <row r="4869">
      <c r="A4869" s="11" t="n"/>
      <c r="B4869" s="21" t="n"/>
    </row>
    <row r="4870">
      <c r="A4870" s="11" t="n"/>
      <c r="B4870" s="21" t="n"/>
    </row>
    <row r="4871">
      <c r="A4871" s="11" t="n"/>
      <c r="B4871" s="21" t="n"/>
    </row>
    <row r="4872">
      <c r="A4872" s="11" t="n"/>
      <c r="B4872" s="21" t="n"/>
    </row>
    <row r="4873">
      <c r="A4873" s="11" t="n"/>
      <c r="B4873" s="21" t="n"/>
    </row>
    <row r="4874">
      <c r="A4874" s="11" t="n"/>
      <c r="B4874" s="21" t="n"/>
    </row>
    <row r="4875">
      <c r="A4875" s="11" t="n"/>
      <c r="B4875" s="21" t="n"/>
    </row>
    <row r="4876">
      <c r="A4876" s="11" t="n"/>
      <c r="B4876" s="21" t="n"/>
    </row>
    <row r="4877">
      <c r="A4877" s="11" t="n"/>
      <c r="B4877" s="21" t="n"/>
    </row>
    <row r="4878">
      <c r="A4878" s="11" t="n"/>
      <c r="B4878" s="21" t="n"/>
    </row>
    <row r="4879">
      <c r="A4879" s="11" t="n"/>
      <c r="B4879" s="21" t="n"/>
    </row>
    <row r="4880">
      <c r="A4880" s="11" t="n"/>
      <c r="B4880" s="21" t="n"/>
    </row>
    <row r="4881">
      <c r="A4881" s="11" t="n"/>
      <c r="B4881" s="21" t="n"/>
    </row>
    <row r="4882">
      <c r="A4882" s="11" t="n"/>
      <c r="B4882" s="21" t="n"/>
    </row>
    <row r="4883">
      <c r="A4883" s="11" t="n"/>
      <c r="B4883" s="21" t="n"/>
    </row>
    <row r="4884">
      <c r="A4884" s="11" t="n"/>
      <c r="B4884" s="21" t="n"/>
    </row>
    <row r="4885">
      <c r="A4885" s="11" t="n"/>
      <c r="B4885" s="21" t="n"/>
    </row>
    <row r="4886">
      <c r="A4886" s="11" t="n"/>
      <c r="B4886" s="21" t="n"/>
    </row>
    <row r="4887">
      <c r="A4887" s="11" t="n"/>
      <c r="B4887" s="21" t="n"/>
    </row>
    <row r="4888">
      <c r="A4888" s="11" t="n"/>
      <c r="B4888" s="21" t="n"/>
    </row>
    <row r="4889">
      <c r="A4889" s="11" t="n"/>
      <c r="B4889" s="21" t="n"/>
    </row>
    <row r="4890">
      <c r="A4890" s="11" t="n"/>
      <c r="B4890" s="21" t="n"/>
    </row>
    <row r="4891">
      <c r="A4891" s="11" t="n"/>
      <c r="B4891" s="21" t="n"/>
    </row>
    <row r="4892">
      <c r="A4892" s="11" t="n"/>
      <c r="B4892" s="21" t="n"/>
    </row>
    <row r="4893">
      <c r="A4893" s="11" t="n"/>
      <c r="B4893" s="21" t="n"/>
    </row>
    <row r="4894">
      <c r="A4894" s="11" t="n"/>
      <c r="B4894" s="21" t="n"/>
    </row>
    <row r="4895">
      <c r="A4895" s="11" t="n"/>
      <c r="B4895" s="21" t="n"/>
    </row>
    <row r="4896">
      <c r="A4896" s="11" t="n"/>
      <c r="B4896" s="21" t="n"/>
    </row>
    <row r="4897">
      <c r="A4897" s="11" t="n"/>
      <c r="B4897" s="21" t="n"/>
    </row>
    <row r="4898">
      <c r="A4898" s="11" t="n"/>
      <c r="B4898" s="21" t="n"/>
    </row>
    <row r="4899">
      <c r="A4899" s="11" t="n"/>
      <c r="B4899" s="21" t="n"/>
    </row>
    <row r="4900">
      <c r="A4900" s="11" t="n"/>
      <c r="B4900" s="21" t="n"/>
    </row>
    <row r="4901">
      <c r="A4901" s="11" t="n"/>
      <c r="B4901" s="21" t="n"/>
    </row>
    <row r="4902">
      <c r="A4902" s="11" t="n"/>
      <c r="B4902" s="21" t="n"/>
    </row>
    <row r="4903">
      <c r="A4903" s="11" t="n"/>
      <c r="B4903" s="21" t="n"/>
    </row>
    <row r="4904">
      <c r="A4904" s="11" t="n"/>
      <c r="B4904" s="21" t="n"/>
    </row>
    <row r="4905">
      <c r="A4905" s="11" t="n"/>
      <c r="B4905" s="21" t="n"/>
    </row>
    <row r="4906">
      <c r="A4906" s="11" t="n"/>
      <c r="B4906" s="21" t="n"/>
    </row>
    <row r="4907">
      <c r="A4907" s="11" t="n"/>
      <c r="B4907" s="21" t="n"/>
    </row>
    <row r="4908">
      <c r="A4908" s="11" t="n"/>
      <c r="B4908" s="21" t="n"/>
    </row>
    <row r="4909">
      <c r="A4909" s="11" t="n"/>
      <c r="B4909" s="21" t="n"/>
    </row>
    <row r="4910">
      <c r="A4910" s="11" t="n"/>
      <c r="B4910" s="21" t="n"/>
    </row>
    <row r="4911">
      <c r="A4911" s="11" t="n"/>
      <c r="B4911" s="21" t="n"/>
    </row>
    <row r="4912">
      <c r="A4912" s="11" t="n"/>
      <c r="B4912" s="21" t="n"/>
    </row>
    <row r="4913">
      <c r="A4913" s="11" t="n"/>
      <c r="B4913" s="21" t="n"/>
    </row>
    <row r="4914">
      <c r="A4914" s="11" t="n"/>
      <c r="B4914" s="21" t="n"/>
    </row>
    <row r="4915">
      <c r="A4915" s="11" t="n"/>
      <c r="B4915" s="21" t="n"/>
    </row>
    <row r="4916">
      <c r="A4916" s="11" t="n"/>
      <c r="B4916" s="21" t="n"/>
    </row>
    <row r="4917">
      <c r="A4917" s="11" t="n"/>
      <c r="B4917" s="21" t="n"/>
    </row>
    <row r="4918">
      <c r="A4918" s="11" t="n"/>
      <c r="B4918" s="21" t="n"/>
    </row>
    <row r="4919">
      <c r="A4919" s="11" t="n"/>
      <c r="B4919" s="21" t="n"/>
    </row>
    <row r="4920">
      <c r="A4920" s="11" t="n"/>
      <c r="B4920" s="21" t="n"/>
    </row>
    <row r="4921">
      <c r="A4921" s="11" t="n"/>
      <c r="B4921" s="21" t="n"/>
    </row>
    <row r="4922">
      <c r="A4922" s="11" t="n"/>
      <c r="B4922" s="21" t="n"/>
    </row>
    <row r="4923">
      <c r="A4923" s="11" t="n"/>
      <c r="B4923" s="21" t="n"/>
    </row>
    <row r="4924">
      <c r="A4924" s="11" t="n"/>
      <c r="B4924" s="21" t="n"/>
    </row>
    <row r="4925">
      <c r="A4925" s="11" t="n"/>
      <c r="B4925" s="21" t="n"/>
    </row>
    <row r="4926">
      <c r="A4926" s="11" t="n"/>
      <c r="B4926" s="21" t="n"/>
    </row>
    <row r="4927">
      <c r="A4927" s="11" t="n"/>
      <c r="B4927" s="21" t="n"/>
    </row>
    <row r="4928">
      <c r="A4928" s="11" t="n"/>
      <c r="B4928" s="21" t="n"/>
    </row>
    <row r="4929">
      <c r="A4929" s="11" t="n"/>
      <c r="B4929" s="21" t="n"/>
    </row>
    <row r="4930">
      <c r="A4930" s="11" t="n"/>
      <c r="B4930" s="21" t="n"/>
    </row>
    <row r="4931">
      <c r="A4931" s="11" t="n"/>
      <c r="B4931" s="21" t="n"/>
    </row>
    <row r="4932">
      <c r="A4932" s="11" t="n"/>
      <c r="B4932" s="21" t="n"/>
    </row>
    <row r="4933">
      <c r="A4933" s="11" t="n"/>
      <c r="B4933" s="21" t="n"/>
    </row>
    <row r="4934">
      <c r="A4934" s="11" t="n"/>
      <c r="B4934" s="21" t="n"/>
    </row>
    <row r="4935">
      <c r="A4935" s="11" t="n"/>
      <c r="B4935" s="21" t="n"/>
    </row>
    <row r="4936">
      <c r="A4936" s="11" t="n"/>
      <c r="B4936" s="21" t="n"/>
    </row>
    <row r="4937">
      <c r="A4937" s="11" t="n"/>
      <c r="B4937" s="21" t="n"/>
    </row>
    <row r="4938">
      <c r="A4938" s="11" t="n"/>
      <c r="B4938" s="21" t="n"/>
    </row>
    <row r="4939">
      <c r="A4939" s="11" t="n"/>
      <c r="B4939" s="21" t="n"/>
    </row>
    <row r="4940">
      <c r="A4940" s="11" t="n"/>
      <c r="B4940" s="21" t="n"/>
    </row>
    <row r="4941">
      <c r="A4941" s="11" t="n"/>
      <c r="B4941" s="21" t="n"/>
    </row>
    <row r="4942">
      <c r="A4942" s="11" t="n"/>
      <c r="B4942" s="21" t="n"/>
    </row>
    <row r="4943">
      <c r="A4943" s="11" t="n"/>
      <c r="B4943" s="21" t="n"/>
    </row>
    <row r="4944">
      <c r="A4944" s="11" t="n"/>
      <c r="B4944" s="21" t="n"/>
    </row>
    <row r="4945">
      <c r="A4945" s="11" t="n"/>
      <c r="B4945" s="21" t="n"/>
    </row>
    <row r="4946">
      <c r="A4946" s="11" t="n"/>
      <c r="B4946" s="21" t="n"/>
    </row>
    <row r="4947">
      <c r="A4947" s="11" t="n"/>
      <c r="B4947" s="21" t="n"/>
    </row>
    <row r="4948">
      <c r="A4948" s="11" t="n"/>
      <c r="B4948" s="21" t="n"/>
    </row>
    <row r="4949">
      <c r="A4949" s="11" t="n"/>
      <c r="B4949" s="21" t="n"/>
    </row>
    <row r="4950">
      <c r="A4950" s="11" t="n"/>
      <c r="B4950" s="21" t="n"/>
    </row>
    <row r="4951">
      <c r="A4951" s="11" t="n"/>
      <c r="B4951" s="21" t="n"/>
    </row>
    <row r="4952">
      <c r="A4952" s="11" t="n"/>
      <c r="B4952" s="21" t="n"/>
    </row>
    <row r="4953">
      <c r="A4953" s="11" t="n"/>
      <c r="B4953" s="21" t="n"/>
    </row>
    <row r="4954">
      <c r="A4954" s="11" t="n"/>
      <c r="B4954" s="21" t="n"/>
    </row>
    <row r="4955">
      <c r="A4955" s="11" t="n"/>
      <c r="B4955" s="21" t="n"/>
    </row>
    <row r="4956">
      <c r="A4956" s="11" t="n"/>
      <c r="B4956" s="21" t="n"/>
    </row>
    <row r="4957">
      <c r="A4957" s="11" t="n"/>
      <c r="B4957" s="21" t="n"/>
    </row>
    <row r="4958">
      <c r="A4958" s="11" t="n"/>
      <c r="B4958" s="21" t="n"/>
    </row>
    <row r="4959">
      <c r="A4959" s="11" t="n"/>
      <c r="B4959" s="21" t="n"/>
    </row>
    <row r="4960">
      <c r="A4960" s="11" t="n"/>
      <c r="B4960" s="21" t="n"/>
    </row>
    <row r="4961">
      <c r="A4961" s="11" t="n"/>
      <c r="B4961" s="21" t="n"/>
    </row>
    <row r="4962">
      <c r="A4962" s="11" t="n"/>
      <c r="B4962" s="21" t="n"/>
    </row>
    <row r="4963">
      <c r="A4963" s="11" t="n"/>
      <c r="B4963" s="21" t="n"/>
    </row>
    <row r="4964">
      <c r="A4964" s="11" t="n"/>
      <c r="B4964" s="21" t="n"/>
    </row>
    <row r="4965">
      <c r="A4965" s="11" t="n"/>
      <c r="B4965" s="21" t="n"/>
    </row>
    <row r="4966">
      <c r="A4966" s="11" t="n"/>
      <c r="B4966" s="21" t="n"/>
    </row>
    <row r="4967">
      <c r="A4967" s="11" t="n"/>
      <c r="B4967" s="21" t="n"/>
    </row>
    <row r="4968">
      <c r="A4968" s="11" t="n"/>
      <c r="B4968" s="21" t="n"/>
    </row>
    <row r="4969">
      <c r="A4969" s="11" t="n"/>
      <c r="B4969" s="21" t="n"/>
    </row>
    <row r="4970">
      <c r="A4970" s="11" t="n"/>
      <c r="B4970" s="21" t="n"/>
    </row>
    <row r="4971">
      <c r="A4971" s="11" t="n"/>
      <c r="B4971" s="21" t="n"/>
    </row>
    <row r="4972">
      <c r="A4972" s="11" t="n"/>
      <c r="B4972" s="21" t="n"/>
    </row>
    <row r="4973">
      <c r="A4973" s="11" t="n"/>
      <c r="B4973" s="21" t="n"/>
    </row>
    <row r="4974">
      <c r="A4974" s="11" t="n"/>
      <c r="B4974" s="21" t="n"/>
    </row>
    <row r="4975">
      <c r="A4975" s="11" t="n"/>
      <c r="B4975" s="21" t="n"/>
    </row>
    <row r="4976">
      <c r="A4976" s="11" t="n"/>
      <c r="B4976" s="21" t="n"/>
    </row>
    <row r="4977">
      <c r="A4977" s="11" t="n"/>
      <c r="B4977" s="21" t="n"/>
    </row>
    <row r="4978">
      <c r="A4978" s="11" t="n"/>
      <c r="B4978" s="21" t="n"/>
    </row>
    <row r="4979">
      <c r="A4979" s="11" t="n"/>
      <c r="B4979" s="21" t="n"/>
    </row>
    <row r="4980">
      <c r="A4980" s="11" t="n"/>
      <c r="B4980" s="21" t="n"/>
    </row>
    <row r="4981">
      <c r="A4981" s="11" t="n"/>
      <c r="B4981" s="21" t="n"/>
    </row>
    <row r="4982">
      <c r="A4982" s="11" t="n"/>
      <c r="B4982" s="21" t="n"/>
    </row>
    <row r="4983">
      <c r="A4983" s="11" t="n"/>
      <c r="B4983" s="21" t="n"/>
    </row>
    <row r="4984">
      <c r="A4984" s="11" t="n"/>
      <c r="B4984" s="21" t="n"/>
    </row>
    <row r="4985">
      <c r="A4985" s="11" t="n"/>
      <c r="B4985" s="21" t="n"/>
    </row>
    <row r="4986">
      <c r="A4986" s="11" t="n"/>
      <c r="B4986" s="21" t="n"/>
    </row>
    <row r="4987">
      <c r="A4987" s="11" t="n"/>
      <c r="B4987" s="21" t="n"/>
    </row>
    <row r="4988">
      <c r="A4988" s="11" t="n"/>
      <c r="B4988" s="21" t="n"/>
    </row>
    <row r="4989">
      <c r="A4989" s="11" t="n"/>
      <c r="B4989" s="21" t="n"/>
    </row>
    <row r="4990">
      <c r="A4990" s="11" t="n"/>
      <c r="B4990" s="21" t="n"/>
    </row>
    <row r="4991">
      <c r="A4991" s="11" t="n"/>
      <c r="B4991" s="21" t="n"/>
    </row>
    <row r="4992">
      <c r="A4992" s="11" t="n"/>
      <c r="B4992" s="21" t="n"/>
    </row>
    <row r="4993">
      <c r="A4993" s="11" t="n"/>
      <c r="B4993" s="21" t="n"/>
    </row>
    <row r="4994">
      <c r="A4994" s="11" t="n"/>
      <c r="B4994" s="21" t="n"/>
    </row>
    <row r="4995">
      <c r="A4995" s="11" t="n"/>
      <c r="B4995" s="21" t="n"/>
    </row>
    <row r="4996">
      <c r="A4996" s="11" t="n"/>
      <c r="B4996" s="21" t="n"/>
    </row>
    <row r="4997">
      <c r="A4997" s="11" t="n"/>
      <c r="B4997" s="21" t="n"/>
    </row>
    <row r="4998">
      <c r="A4998" s="11" t="n"/>
      <c r="B4998" s="21" t="n"/>
    </row>
    <row r="4999">
      <c r="A4999" s="11" t="n"/>
      <c r="B4999" s="21" t="n"/>
    </row>
    <row r="5000">
      <c r="A5000" s="11" t="n"/>
      <c r="B5000" s="21" t="n"/>
    </row>
    <row r="5001">
      <c r="A5001" s="11" t="n"/>
      <c r="B5001" s="21" t="n"/>
    </row>
    <row r="5002">
      <c r="A5002" s="11" t="n"/>
      <c r="B5002" s="21" t="n"/>
    </row>
    <row r="5003">
      <c r="A5003" s="11" t="n"/>
      <c r="B5003" s="21" t="n"/>
    </row>
    <row r="5004">
      <c r="A5004" s="11" t="n"/>
      <c r="B5004" s="21" t="n"/>
    </row>
    <row r="5005">
      <c r="A5005" s="11" t="n"/>
      <c r="B5005" s="21" t="n"/>
    </row>
    <row r="5006">
      <c r="A5006" s="11" t="n"/>
      <c r="B5006" s="21" t="n"/>
    </row>
    <row r="5007">
      <c r="A5007" s="11" t="n"/>
      <c r="B5007" s="21" t="n"/>
    </row>
  </sheetData>
  <sheetProtection selectLockedCells="0" selectUnlockedCells="0" sheet="1" objects="0" insertRows="1" insertHyperlinks="1" autoFilter="0" scenarios="0" formatColumns="0" deleteColumns="1" insertColumns="1" pivotTables="1" deleteRows="1" formatCells="0" formatRows="0" sort="0"/>
  <mergeCells count="4">
    <mergeCell ref="A2:E2"/>
    <mergeCell ref="D18:E18"/>
    <mergeCell ref="D13:E13"/>
    <mergeCell ref="A3:E3"/>
  </mergeCells>
  <dataValidations count="1">
    <dataValidation sqref="B8:B5007" showDropDown="0" showInputMessage="0" showErrorMessage="0" allowBlank="1" type="decimal" operator="greaterThan">
      <formula1>0</formula1>
    </dataValidation>
  </dataValidations>
  <pageMargins left="0.75" right="0.75" top="1" bottom="1" header="0.5" footer="0.5"/>
</worksheet>
</file>

<file path=xl/worksheets/sheet5.xml><?xml version="1.0" encoding="utf-8"?>
<worksheet xmlns="http://schemas.openxmlformats.org/spreadsheetml/2006/main">
  <sheetPr>
    <tabColor rgb="001F4E5F"/>
    <outlinePr summaryBelow="1" summaryRight="1"/>
    <pageSetUpPr/>
  </sheetPr>
  <dimension ref="A1:Q5007"/>
  <sheetViews>
    <sheetView showGridLines="0" workbookViewId="0">
      <pane ySplit="7" topLeftCell="A8" activePane="bottomLeft" state="frozen"/>
      <selection pane="bottomLeft" activeCell="A1" sqref="A1"/>
    </sheetView>
  </sheetViews>
  <sheetFormatPr baseColWidth="8" defaultRowHeight="15"/>
  <cols>
    <col width="14" customWidth="1" min="1" max="1"/>
    <col width="14" customWidth="1" min="2" max="2"/>
    <col width="3" customWidth="1" min="3" max="3"/>
    <col width="40" customWidth="1" min="4" max="4"/>
    <col width="18" customWidth="1" min="5" max="5"/>
    <col width="14" customWidth="1" min="6" max="6"/>
    <col width="14" customWidth="1" min="7" max="7"/>
    <col width="3" customWidth="1" min="8" max="8"/>
    <col width="13" customWidth="1" min="11" max="11"/>
    <col width="8" customWidth="1" min="12" max="12"/>
    <col width="13" customWidth="1" min="13" max="13"/>
    <col width="12" customWidth="1" min="14" max="14"/>
    <col width="11" customWidth="1" min="15" max="15"/>
    <col width="12" customWidth="1" min="16" max="16"/>
    <col width="10" customWidth="1" min="17" max="17"/>
  </cols>
  <sheetData>
    <row r="1">
      <c r="A1" s="1" t="inlineStr">
        <is>
          <t>Fund history: the fund's own record, from its NAV list</t>
        </is>
      </c>
    </row>
    <row r="2" ht="34" customHeight="1">
      <c r="A2" s="2" t="inlineStr">
        <is>
          <t>Paste the fund's dates in column A and its NAVs in column B, oldest first, one row per day, up to 5,000 rows (about twenty years). Use the Growth option's NAV; an IDCW option's NAV drops at every payout.</t>
        </is>
      </c>
    </row>
    <row r="4">
      <c r="D4" s="3" t="inlineStr">
        <is>
          <t>Holding period, years</t>
        </is>
      </c>
      <c r="E4" s="18" t="n">
        <v>5</v>
      </c>
    </row>
    <row r="5">
      <c r="D5" s="3" t="inlineStr">
        <is>
          <t>Rate to compare against, % a year</t>
        </is>
      </c>
      <c r="E5" s="15" t="n">
        <v>8</v>
      </c>
    </row>
    <row r="6">
      <c r="D6" s="3" t="inlineStr">
        <is>
          <t>Units you hold, if you want their value</t>
        </is>
      </c>
      <c r="E6" s="27" t="n"/>
    </row>
    <row r="7">
      <c r="A7" s="6" t="inlineStr">
        <is>
          <t>Date</t>
        </is>
      </c>
      <c r="B7" s="6" t="inlineStr">
        <is>
          <t>NAV</t>
        </is>
      </c>
      <c r="K7" s="28" t="inlineStr">
        <is>
          <t>Window end</t>
        </is>
      </c>
      <c r="L7" s="28" t="inlineStr">
        <is>
          <t>Row</t>
        </is>
      </c>
      <c r="M7" s="28" t="inlineStr">
        <is>
          <t>Ended on</t>
        </is>
      </c>
      <c r="N7" s="28" t="inlineStr">
        <is>
          <t>End NAV</t>
        </is>
      </c>
      <c r="O7" s="28" t="inlineStr">
        <is>
          <t>Return a year</t>
        </is>
      </c>
      <c r="P7" s="28" t="inlineStr">
        <is>
          <t>High so far</t>
        </is>
      </c>
      <c r="Q7" s="28" t="inlineStr">
        <is>
          <t>Below high</t>
        </is>
      </c>
    </row>
    <row r="8">
      <c r="A8" s="11" t="n"/>
      <c r="B8" s="29" t="n"/>
      <c r="D8" s="6" t="str">
        <f>IF($E$4="","Rolling returns","Rolling returns over every "&amp;$E$4&amp;"-year holding period")</f>
        <v>Rolling returns over every 5-year holding period</v>
      </c>
      <c r="E8" s="6" t="inlineStr"/>
      <c r="K8" s="30" t="str">
        <f>IF($A8="","",EDATE($A8,12*$E$4))</f>
        <v/>
      </c>
      <c r="L8" s="19" t="str">
        <f>IF($K8="","",IF($K8&gt;MAX($A$8:$A$5007),"",IFERROR(MATCH($K8,$A$8:$A$5007,1),"")))</f>
        <v/>
      </c>
      <c r="M8" s="30" t="str">
        <f>IF($L8="","",INDEX($A$8:$A$5007,$L8))</f>
        <v/>
      </c>
      <c r="N8" s="31" t="str">
        <f>IF($L8="","",INDEX($B$8:$B$5007,$L8))</f>
        <v/>
      </c>
      <c r="O8" s="32" t="str">
        <f>IF($M8="","",IF($K8-$M8&gt;7,"",IF($M8&lt;=$A8,"",IF(OR($B8&lt;=0,$N8&lt;=0),"",($N8/$B8)^(365/($M8-$A8))-1))))</f>
        <v/>
      </c>
      <c r="P8" s="31" t="str">
        <f>IF($B8="","",$B8)</f>
        <v/>
      </c>
      <c r="Q8" s="32" t="str">
        <f>IF($P8="","",$B8/$P8-1)</f>
        <v/>
      </c>
    </row>
    <row r="9">
      <c r="A9" s="11" t="n"/>
      <c r="B9" s="29" t="n"/>
      <c r="D9" s="3" t="inlineStr">
        <is>
          <t>Holding periods measured</t>
        </is>
      </c>
      <c r="E9" s="33">
        <f>COUNT($O$8:$O$5007)</f>
        <v>0</v>
      </c>
      <c r="K9" s="30" t="str">
        <f>IF($A9="","",EDATE($A9,12*$E$4))</f>
        <v/>
      </c>
      <c r="L9" s="19" t="str">
        <f>IF($K9="","",IF($K9&gt;MAX($A$8:$A$5007),"",IFERROR(MATCH($K9,$A$8:$A$5007,1),"")))</f>
        <v/>
      </c>
      <c r="M9" s="30" t="str">
        <f>IF($L9="","",INDEX($A$8:$A$5007,$L9))</f>
        <v/>
      </c>
      <c r="N9" s="31" t="str">
        <f>IF($L9="","",INDEX($B$8:$B$5007,$L9))</f>
        <v/>
      </c>
      <c r="O9" s="32" t="str">
        <f>IF($M9="","",IF($K9-$M9&gt;7,"",IF($M9&lt;=$A9,"",IF(OR($B9&lt;=0,$N9&lt;=0),"",($N9/$B9)^(365/($M9-$A9))-1))))</f>
        <v/>
      </c>
      <c r="P9" s="31" t="str">
        <f>IF($B9="","",IF($P8="",$B9,MAX($P8,$B9)))</f>
        <v/>
      </c>
      <c r="Q9" s="32" t="str">
        <f>IF($P9="","",$B9/$P9-1)</f>
        <v/>
      </c>
    </row>
    <row r="10">
      <c r="A10" s="11" t="n"/>
      <c r="B10" s="29" t="n"/>
      <c r="D10" s="3" t="inlineStr">
        <is>
          <t>Worst</t>
        </is>
      </c>
      <c r="E10" s="10" t="str">
        <f>IF($E$9=0,"",MIN($O$8:$O$5007))</f>
        <v/>
      </c>
      <c r="K10" s="30" t="str">
        <f>IF($A10="","",EDATE($A10,12*$E$4))</f>
        <v/>
      </c>
      <c r="L10" s="19" t="str">
        <f>IF($K10="","",IF($K10&gt;MAX($A$8:$A$5007),"",IFERROR(MATCH($K10,$A$8:$A$5007,1),"")))</f>
        <v/>
      </c>
      <c r="M10" s="30" t="str">
        <f>IF($L10="","",INDEX($A$8:$A$5007,$L10))</f>
        <v/>
      </c>
      <c r="N10" s="31" t="str">
        <f>IF($L10="","",INDEX($B$8:$B$5007,$L10))</f>
        <v/>
      </c>
      <c r="O10" s="32" t="str">
        <f>IF($M10="","",IF($K10-$M10&gt;7,"",IF($M10&lt;=$A10,"",IF(OR($B10&lt;=0,$N10&lt;=0),"",($N10/$B10)^(365/($M10-$A10))-1))))</f>
        <v/>
      </c>
      <c r="P10" s="31" t="str">
        <f>IF($B10="","",IF($P9="",$B10,MAX($P9,$B10)))</f>
        <v/>
      </c>
      <c r="Q10" s="32" t="str">
        <f>IF($P10="","",$B10/$P10-1)</f>
        <v/>
      </c>
    </row>
    <row r="11">
      <c r="A11" s="11" t="n"/>
      <c r="B11" s="29" t="n"/>
      <c r="D11" s="3" t="inlineStr">
        <is>
          <t>Median: half did better, half worse</t>
        </is>
      </c>
      <c r="E11" s="10" t="str">
        <f>IF($E$9=0,"",MEDIAN($O$8:$O$5007))</f>
        <v/>
      </c>
      <c r="K11" s="30" t="str">
        <f>IF($A11="","",EDATE($A11,12*$E$4))</f>
        <v/>
      </c>
      <c r="L11" s="19" t="str">
        <f>IF($K11="","",IF($K11&gt;MAX($A$8:$A$5007),"",IFERROR(MATCH($K11,$A$8:$A$5007,1),"")))</f>
        <v/>
      </c>
      <c r="M11" s="30" t="str">
        <f>IF($L11="","",INDEX($A$8:$A$5007,$L11))</f>
        <v/>
      </c>
      <c r="N11" s="31" t="str">
        <f>IF($L11="","",INDEX($B$8:$B$5007,$L11))</f>
        <v/>
      </c>
      <c r="O11" s="32" t="str">
        <f>IF($M11="","",IF($K11-$M11&gt;7,"",IF($M11&lt;=$A11,"",IF(OR($B11&lt;=0,$N11&lt;=0),"",($N11/$B11)^(365/($M11-$A11))-1))))</f>
        <v/>
      </c>
      <c r="P11" s="31" t="str">
        <f>IF($B11="","",IF($P10="",$B11,MAX($P10,$B11)))</f>
        <v/>
      </c>
      <c r="Q11" s="32" t="str">
        <f>IF($P11="","",$B11/$P11-1)</f>
        <v/>
      </c>
    </row>
    <row r="12">
      <c r="A12" s="11" t="n"/>
      <c r="B12" s="29" t="n"/>
      <c r="D12" s="3" t="inlineStr">
        <is>
          <t>Best</t>
        </is>
      </c>
      <c r="E12" s="10" t="str">
        <f>IF($E$9=0,"",MAX($O$8:$O$5007))</f>
        <v/>
      </c>
      <c r="K12" s="30" t="str">
        <f>IF($A12="","",EDATE($A12,12*$E$4))</f>
        <v/>
      </c>
      <c r="L12" s="19" t="str">
        <f>IF($K12="","",IF($K12&gt;MAX($A$8:$A$5007),"",IFERROR(MATCH($K12,$A$8:$A$5007,1),"")))</f>
        <v/>
      </c>
      <c r="M12" s="30" t="str">
        <f>IF($L12="","",INDEX($A$8:$A$5007,$L12))</f>
        <v/>
      </c>
      <c r="N12" s="31" t="str">
        <f>IF($L12="","",INDEX($B$8:$B$5007,$L12))</f>
        <v/>
      </c>
      <c r="O12" s="32" t="str">
        <f>IF($M12="","",IF($K12-$M12&gt;7,"",IF($M12&lt;=$A12,"",IF(OR($B12&lt;=0,$N12&lt;=0),"",($N12/$B12)^(365/($M12-$A12))-1))))</f>
        <v/>
      </c>
      <c r="P12" s="31" t="str">
        <f>IF($B12="","",IF($P11="",$B12,MAX($P11,$B12)))</f>
        <v/>
      </c>
      <c r="Q12" s="32" t="str">
        <f>IF($P12="","",$B12/$P12-1)</f>
        <v/>
      </c>
    </row>
    <row r="13">
      <c r="A13" s="11" t="n"/>
      <c r="B13" s="29" t="n"/>
      <c r="D13" s="3" t="inlineStr">
        <is>
          <t>Ended below zero</t>
        </is>
      </c>
      <c r="E13" s="10" t="str">
        <f>IF($E$9=0,"",COUNTIF($O$8:$O$5007,"&lt;0")/$E$9)</f>
        <v/>
      </c>
      <c r="K13" s="30" t="str">
        <f>IF($A13="","",EDATE($A13,12*$E$4))</f>
        <v/>
      </c>
      <c r="L13" s="19" t="str">
        <f>IF($K13="","",IF($K13&gt;MAX($A$8:$A$5007),"",IFERROR(MATCH($K13,$A$8:$A$5007,1),"")))</f>
        <v/>
      </c>
      <c r="M13" s="30" t="str">
        <f>IF($L13="","",INDEX($A$8:$A$5007,$L13))</f>
        <v/>
      </c>
      <c r="N13" s="31" t="str">
        <f>IF($L13="","",INDEX($B$8:$B$5007,$L13))</f>
        <v/>
      </c>
      <c r="O13" s="32" t="str">
        <f>IF($M13="","",IF($K13-$M13&gt;7,"",IF($M13&lt;=$A13,"",IF(OR($B13&lt;=0,$N13&lt;=0),"",($N13/$B13)^(365/($M13-$A13))-1))))</f>
        <v/>
      </c>
      <c r="P13" s="31" t="str">
        <f>IF($B13="","",IF($P12="",$B13,MAX($P12,$B13)))</f>
        <v/>
      </c>
      <c r="Q13" s="32" t="str">
        <f>IF($P13="","",$B13/$P13-1)</f>
        <v/>
      </c>
    </row>
    <row r="14">
      <c r="A14" s="11" t="n"/>
      <c r="B14" s="29" t="n"/>
      <c r="D14" s="3" t="inlineStr">
        <is>
          <t>Beat the rate in E5</t>
        </is>
      </c>
      <c r="E14" s="10" t="str">
        <f>IF(OR($E$9=0,$E$5=""),"",COUNTIF($O$8:$O$5007,"&gt;"&amp;$E$5/100)/$E$9)</f>
        <v/>
      </c>
      <c r="K14" s="30" t="str">
        <f>IF($A14="","",EDATE($A14,12*$E$4))</f>
        <v/>
      </c>
      <c r="L14" s="19" t="str">
        <f>IF($K14="","",IF($K14&gt;MAX($A$8:$A$5007),"",IFERROR(MATCH($K14,$A$8:$A$5007,1),"")))</f>
        <v/>
      </c>
      <c r="M14" s="30" t="str">
        <f>IF($L14="","",INDEX($A$8:$A$5007,$L14))</f>
        <v/>
      </c>
      <c r="N14" s="31" t="str">
        <f>IF($L14="","",INDEX($B$8:$B$5007,$L14))</f>
        <v/>
      </c>
      <c r="O14" s="32" t="str">
        <f>IF($M14="","",IF($K14-$M14&gt;7,"",IF($M14&lt;=$A14,"",IF(OR($B14&lt;=0,$N14&lt;=0),"",($N14/$B14)^(365/($M14-$A14))-1))))</f>
        <v/>
      </c>
      <c r="P14" s="31" t="str">
        <f>IF($B14="","",IF($P13="",$B14,MAX($P13,$B14)))</f>
        <v/>
      </c>
      <c r="Q14" s="32" t="str">
        <f>IF($P14="","",$B14/$P14-1)</f>
        <v/>
      </c>
    </row>
    <row r="15" ht="48" customHeight="1">
      <c r="A15" s="11" t="n"/>
      <c r="B15" s="29" t="n"/>
      <c r="D15" s="2" t="inlineStr">
        <is>
          <t>Every row is a start date; the window ends on the same calendar date years later, or the last value up to seven days before it, annualised on a 365-day year. Overlapping windows, not independent results; past periods, not future odds.</t>
        </is>
      </c>
      <c r="K15" s="30" t="str">
        <f>IF($A15="","",EDATE($A15,12*$E$4))</f>
        <v/>
      </c>
      <c r="L15" s="19" t="str">
        <f>IF($K15="","",IF($K15&gt;MAX($A$8:$A$5007),"",IFERROR(MATCH($K15,$A$8:$A$5007,1),"")))</f>
        <v/>
      </c>
      <c r="M15" s="30" t="str">
        <f>IF($L15="","",INDEX($A$8:$A$5007,$L15))</f>
        <v/>
      </c>
      <c r="N15" s="31" t="str">
        <f>IF($L15="","",INDEX($B$8:$B$5007,$L15))</f>
        <v/>
      </c>
      <c r="O15" s="32" t="str">
        <f>IF($M15="","",IF($K15-$M15&gt;7,"",IF($M15&lt;=$A15,"",IF(OR($B15&lt;=0,$N15&lt;=0),"",($N15/$B15)^(365/($M15-$A15))-1))))</f>
        <v/>
      </c>
      <c r="P15" s="31" t="str">
        <f>IF($B15="","",IF($P14="",$B15,MAX($P14,$B15)))</f>
        <v/>
      </c>
      <c r="Q15" s="32" t="str">
        <f>IF($P15="","",$B15/$P15-1)</f>
        <v/>
      </c>
    </row>
    <row r="16">
      <c r="A16" s="11" t="n"/>
      <c r="B16" s="29" t="n"/>
      <c r="K16" s="30" t="str">
        <f>IF($A16="","",EDATE($A16,12*$E$4))</f>
        <v/>
      </c>
      <c r="L16" s="19" t="str">
        <f>IF($K16="","",IF($K16&gt;MAX($A$8:$A$5007),"",IFERROR(MATCH($K16,$A$8:$A$5007,1),"")))</f>
        <v/>
      </c>
      <c r="M16" s="30" t="str">
        <f>IF($L16="","",INDEX($A$8:$A$5007,$L16))</f>
        <v/>
      </c>
      <c r="N16" s="31" t="str">
        <f>IF($L16="","",INDEX($B$8:$B$5007,$L16))</f>
        <v/>
      </c>
      <c r="O16" s="32" t="str">
        <f>IF($M16="","",IF($K16-$M16&gt;7,"",IF($M16&lt;=$A16,"",IF(OR($B16&lt;=0,$N16&lt;=0),"",($N16/$B16)^(365/($M16-$A16))-1))))</f>
        <v/>
      </c>
      <c r="P16" s="31" t="str">
        <f>IF($B16="","",IF($P15="",$B16,MAX($P15,$B16)))</f>
        <v/>
      </c>
      <c r="Q16" s="32" t="str">
        <f>IF($P16="","",$B16/$P16-1)</f>
        <v/>
      </c>
    </row>
    <row r="17">
      <c r="A17" s="11" t="n"/>
      <c r="B17" s="29" t="n"/>
      <c r="D17" s="6" t="inlineStr">
        <is>
          <t>The worst fall along the way</t>
        </is>
      </c>
      <c r="E17" s="6" t="inlineStr"/>
      <c r="K17" s="30" t="str">
        <f>IF($A17="","",EDATE($A17,12*$E$4))</f>
        <v/>
      </c>
      <c r="L17" s="19" t="str">
        <f>IF($K17="","",IF($K17&gt;MAX($A$8:$A$5007),"",IFERROR(MATCH($K17,$A$8:$A$5007,1),"")))</f>
        <v/>
      </c>
      <c r="M17" s="30" t="str">
        <f>IF($L17="","",INDEX($A$8:$A$5007,$L17))</f>
        <v/>
      </c>
      <c r="N17" s="31" t="str">
        <f>IF($L17="","",INDEX($B$8:$B$5007,$L17))</f>
        <v/>
      </c>
      <c r="O17" s="32" t="str">
        <f>IF($M17="","",IF($K17-$M17&gt;7,"",IF($M17&lt;=$A17,"",IF(OR($B17&lt;=0,$N17&lt;=0),"",($N17/$B17)^(365/($M17-$A17))-1))))</f>
        <v/>
      </c>
      <c r="P17" s="31" t="str">
        <f>IF($B17="","",IF($P16="",$B17,MAX($P16,$B17)))</f>
        <v/>
      </c>
      <c r="Q17" s="32" t="str">
        <f>IF($P17="","",$B17/$P17-1)</f>
        <v/>
      </c>
    </row>
    <row r="18">
      <c r="A18" s="11" t="n"/>
      <c r="B18" s="29" t="n"/>
      <c r="D18" s="3" t="inlineStr">
        <is>
          <t>Deepest fall from a high</t>
        </is>
      </c>
      <c r="E18" s="10" t="str">
        <f>IF(COUNT($B$8:$B$5007)&lt;2,"",MIN($Q$8:$Q$5007))</f>
        <v/>
      </c>
      <c r="K18" s="30" t="str">
        <f>IF($A18="","",EDATE($A18,12*$E$4))</f>
        <v/>
      </c>
      <c r="L18" s="19" t="str">
        <f>IF($K18="","",IF($K18&gt;MAX($A$8:$A$5007),"",IFERROR(MATCH($K18,$A$8:$A$5007,1),"")))</f>
        <v/>
      </c>
      <c r="M18" s="30" t="str">
        <f>IF($L18="","",INDEX($A$8:$A$5007,$L18))</f>
        <v/>
      </c>
      <c r="N18" s="31" t="str">
        <f>IF($L18="","",INDEX($B$8:$B$5007,$L18))</f>
        <v/>
      </c>
      <c r="O18" s="32" t="str">
        <f>IF($M18="","",IF($K18-$M18&gt;7,"",IF($M18&lt;=$A18,"",IF(OR($B18&lt;=0,$N18&lt;=0),"",($N18/$B18)^(365/($M18-$A18))-1))))</f>
        <v/>
      </c>
      <c r="P18" s="31" t="str">
        <f>IF($B18="","",IF($P17="",$B18,MAX($P17,$B18)))</f>
        <v/>
      </c>
      <c r="Q18" s="32" t="str">
        <f>IF($P18="","",$B18/$P18-1)</f>
        <v/>
      </c>
    </row>
    <row r="19">
      <c r="A19" s="11" t="n"/>
      <c r="B19" s="29" t="n"/>
      <c r="D19" s="3" t="inlineStr">
        <is>
          <t>At its bottom on</t>
        </is>
      </c>
      <c r="E19" s="34" t="str">
        <f>IF(NOT(ISNUMBER($E$18)),"",INDEX($A$8:$A$5007,MATCH($E$18,$Q$8:$Q$5007,0)))</f>
        <v/>
      </c>
      <c r="K19" s="30" t="str">
        <f>IF($A19="","",EDATE($A19,12*$E$4))</f>
        <v/>
      </c>
      <c r="L19" s="19" t="str">
        <f>IF($K19="","",IF($K19&gt;MAX($A$8:$A$5007),"",IFERROR(MATCH($K19,$A$8:$A$5007,1),"")))</f>
        <v/>
      </c>
      <c r="M19" s="30" t="str">
        <f>IF($L19="","",INDEX($A$8:$A$5007,$L19))</f>
        <v/>
      </c>
      <c r="N19" s="31" t="str">
        <f>IF($L19="","",INDEX($B$8:$B$5007,$L19))</f>
        <v/>
      </c>
      <c r="O19" s="32" t="str">
        <f>IF($M19="","",IF($K19-$M19&gt;7,"",IF($M19&lt;=$A19,"",IF(OR($B19&lt;=0,$N19&lt;=0),"",($N19/$B19)^(365/($M19-$A19))-1))))</f>
        <v/>
      </c>
      <c r="P19" s="31" t="str">
        <f>IF($B19="","",IF($P18="",$B19,MAX($P18,$B19)))</f>
        <v/>
      </c>
      <c r="Q19" s="32" t="str">
        <f>IF($P19="","",$B19/$P19-1)</f>
        <v/>
      </c>
    </row>
    <row r="20" ht="34" customHeight="1">
      <c r="A20" s="11" t="n"/>
      <c r="B20" s="29" t="n"/>
      <c r="D20" s="2" t="inlineStr">
        <is>
          <t>A return says what was earned; this says what had to be sat through to earn it. Whoever sells at the bottom turns the dip into a permanent result.</t>
        </is>
      </c>
      <c r="K20" s="30" t="str">
        <f>IF($A20="","",EDATE($A20,12*$E$4))</f>
        <v/>
      </c>
      <c r="L20" s="19" t="str">
        <f>IF($K20="","",IF($K20&gt;MAX($A$8:$A$5007),"",IFERROR(MATCH($K20,$A$8:$A$5007,1),"")))</f>
        <v/>
      </c>
      <c r="M20" s="30" t="str">
        <f>IF($L20="","",INDEX($A$8:$A$5007,$L20))</f>
        <v/>
      </c>
      <c r="N20" s="31" t="str">
        <f>IF($L20="","",INDEX($B$8:$B$5007,$L20))</f>
        <v/>
      </c>
      <c r="O20" s="32" t="str">
        <f>IF($M20="","",IF($K20-$M20&gt;7,"",IF($M20&lt;=$A20,"",IF(OR($B20&lt;=0,$N20&lt;=0),"",($N20/$B20)^(365/($M20-$A20))-1))))</f>
        <v/>
      </c>
      <c r="P20" s="31" t="str">
        <f>IF($B20="","",IF($P19="",$B20,MAX($P19,$B20)))</f>
        <v/>
      </c>
      <c r="Q20" s="32" t="str">
        <f>IF($P20="","",$B20/$P20-1)</f>
        <v/>
      </c>
    </row>
    <row r="21">
      <c r="A21" s="11" t="n"/>
      <c r="B21" s="29" t="n"/>
      <c r="K21" s="30" t="str">
        <f>IF($A21="","",EDATE($A21,12*$E$4))</f>
        <v/>
      </c>
      <c r="L21" s="19" t="str">
        <f>IF($K21="","",IF($K21&gt;MAX($A$8:$A$5007),"",IFERROR(MATCH($K21,$A$8:$A$5007,1),"")))</f>
        <v/>
      </c>
      <c r="M21" s="30" t="str">
        <f>IF($L21="","",INDEX($A$8:$A$5007,$L21))</f>
        <v/>
      </c>
      <c r="N21" s="31" t="str">
        <f>IF($L21="","",INDEX($B$8:$B$5007,$L21))</f>
        <v/>
      </c>
      <c r="O21" s="32" t="str">
        <f>IF($M21="","",IF($K21-$M21&gt;7,"",IF($M21&lt;=$A21,"",IF(OR($B21&lt;=0,$N21&lt;=0),"",($N21/$B21)^(365/($M21-$A21))-1))))</f>
        <v/>
      </c>
      <c r="P21" s="31" t="str">
        <f>IF($B21="","",IF($P20="",$B21,MAX($P20,$B21)))</f>
        <v/>
      </c>
      <c r="Q21" s="32" t="str">
        <f>IF($P21="","",$B21/$P21-1)</f>
        <v/>
      </c>
    </row>
    <row r="22">
      <c r="A22" s="11" t="n"/>
      <c r="B22" s="29" t="n"/>
      <c r="D22" s="6" t="inlineStr">
        <is>
          <t>The fund over your own dates</t>
        </is>
      </c>
      <c r="E22" s="6" t="inlineStr"/>
      <c r="K22" s="30" t="str">
        <f>IF($A22="","",EDATE($A22,12*$E$4))</f>
        <v/>
      </c>
      <c r="L22" s="19" t="str">
        <f>IF($K22="","",IF($K22&gt;MAX($A$8:$A$5007),"",IFERROR(MATCH($K22,$A$8:$A$5007,1),"")))</f>
        <v/>
      </c>
      <c r="M22" s="30" t="str">
        <f>IF($L22="","",INDEX($A$8:$A$5007,$L22))</f>
        <v/>
      </c>
      <c r="N22" s="31" t="str">
        <f>IF($L22="","",INDEX($B$8:$B$5007,$L22))</f>
        <v/>
      </c>
      <c r="O22" s="32" t="str">
        <f>IF($M22="","",IF($K22-$M22&gt;7,"",IF($M22&lt;=$A22,"",IF(OR($B22&lt;=0,$N22&lt;=0),"",($N22/$B22)^(365/($M22-$A22))-1))))</f>
        <v/>
      </c>
      <c r="P22" s="31" t="str">
        <f>IF($B22="","",IF($P21="",$B22,MAX($P21,$B22)))</f>
        <v/>
      </c>
      <c r="Q22" s="32" t="str">
        <f>IF($P22="","",$B22/$P22-1)</f>
        <v/>
      </c>
    </row>
    <row r="23">
      <c r="A23" s="11" t="n"/>
      <c r="B23" s="29" t="n"/>
      <c r="D23" s="3" t="inlineStr">
        <is>
          <t>From the NAV on or before your first payment</t>
        </is>
      </c>
      <c r="E23" s="25" t="str">
        <f>IF(OR(Calc!$D$8=0,Calc!$D$1=0,COUNT($B$8:$B$5007)&lt;2),"",IF(AND(Calc!$D$8&gt;=MIN($A$8:$A$5007),Calc!$D$8&lt;=MAX($A$8:$A$5007),Calc!$D$9&lt;=MAX($A$8:$A$5007)+7),INDEX($A$8:$A$5007,MATCH(Calc!$D$8,$A$8:$A$5007,1)),""))</f>
        <v/>
      </c>
      <c r="K23" s="30" t="str">
        <f>IF($A23="","",EDATE($A23,12*$E$4))</f>
        <v/>
      </c>
      <c r="L23" s="19" t="str">
        <f>IF($K23="","",IF($K23&gt;MAX($A$8:$A$5007),"",IFERROR(MATCH($K23,$A$8:$A$5007,1),"")))</f>
        <v/>
      </c>
      <c r="M23" s="30" t="str">
        <f>IF($L23="","",INDEX($A$8:$A$5007,$L23))</f>
        <v/>
      </c>
      <c r="N23" s="31" t="str">
        <f>IF($L23="","",INDEX($B$8:$B$5007,$L23))</f>
        <v/>
      </c>
      <c r="O23" s="32" t="str">
        <f>IF($M23="","",IF($K23-$M23&gt;7,"",IF($M23&lt;=$A23,"",IF(OR($B23&lt;=0,$N23&lt;=0),"",($N23/$B23)^(365/($M23-$A23))-1))))</f>
        <v/>
      </c>
      <c r="P23" s="31" t="str">
        <f>IF($B23="","",IF($P22="",$B23,MAX($P22,$B23)))</f>
        <v/>
      </c>
      <c r="Q23" s="32" t="str">
        <f>IF($P23="","",$B23/$P23-1)</f>
        <v/>
      </c>
    </row>
    <row r="24">
      <c r="A24" s="11" t="n"/>
      <c r="B24" s="29" t="n"/>
      <c r="D24" s="3" t="inlineStr">
        <is>
          <t>To the NAV on or before your Worth today date</t>
        </is>
      </c>
      <c r="E24" s="25" t="str">
        <f>IF(OR(Calc!$D$8=0,Calc!$D$1=0,COUNT($B$8:$B$5007)&lt;2),"",IF(AND(Calc!$D$8&gt;=MIN($A$8:$A$5007),Calc!$D$8&lt;=MAX($A$8:$A$5007),Calc!$D$9&lt;=MAX($A$8:$A$5007)+7),INDEX($A$8:$A$5007,MATCH(Calc!$D$9,$A$8:$A$5007,1)),""))</f>
        <v/>
      </c>
      <c r="K24" s="30" t="str">
        <f>IF($A24="","",EDATE($A24,12*$E$4))</f>
        <v/>
      </c>
      <c r="L24" s="19" t="str">
        <f>IF($K24="","",IF($K24&gt;MAX($A$8:$A$5007),"",IFERROR(MATCH($K24,$A$8:$A$5007,1),"")))</f>
        <v/>
      </c>
      <c r="M24" s="30" t="str">
        <f>IF($L24="","",INDEX($A$8:$A$5007,$L24))</f>
        <v/>
      </c>
      <c r="N24" s="31" t="str">
        <f>IF($L24="","",INDEX($B$8:$B$5007,$L24))</f>
        <v/>
      </c>
      <c r="O24" s="32" t="str">
        <f>IF($M24="","",IF($K24-$M24&gt;7,"",IF($M24&lt;=$A24,"",IF(OR($B24&lt;=0,$N24&lt;=0),"",($N24/$B24)^(365/($M24-$A24))-1))))</f>
        <v/>
      </c>
      <c r="P24" s="31" t="str">
        <f>IF($B24="","",IF($P23="",$B24,MAX($P23,$B24)))</f>
        <v/>
      </c>
      <c r="Q24" s="32" t="str">
        <f>IF($P24="","",$B24/$P24-1)</f>
        <v/>
      </c>
    </row>
    <row r="25">
      <c r="A25" s="11" t="n"/>
      <c r="B25" s="29" t="n"/>
      <c r="D25" s="3" t="inlineStr">
        <is>
          <t>The fund itself grew at, a year</t>
        </is>
      </c>
      <c r="E25" s="10" t="str">
        <f>IF(OR(Calc!$D$8=0,Calc!$D$1=0,COUNT($B$8:$B$5007)&lt;2),"",IF(NOT(AND(Calc!$D$8&gt;=MIN($A$8:$A$5007),Calc!$D$8&lt;=MAX($A$8:$A$5007),Calc!$D$9&lt;=MAX($A$8:$A$5007)+7)),"the NAV list does not cover your dates",IF($E$24&lt;=$E$23,"",IFERROR((INDEX($B$8:$B$5007,MATCH($E$24,$A$8:$A$5007,0))/INDEX($B$8:$B$5007,MATCH($E$23,$A$8:$A$5007,0)))^(365/($E$24-$E$23))-1,""))))</f>
        <v/>
      </c>
      <c r="K25" s="30" t="str">
        <f>IF($A25="","",EDATE($A25,12*$E$4))</f>
        <v/>
      </c>
      <c r="L25" s="19" t="str">
        <f>IF($K25="","",IF($K25&gt;MAX($A$8:$A$5007),"",IFERROR(MATCH($K25,$A$8:$A$5007,1),"")))</f>
        <v/>
      </c>
      <c r="M25" s="30" t="str">
        <f>IF($L25="","",INDEX($A$8:$A$5007,$L25))</f>
        <v/>
      </c>
      <c r="N25" s="31" t="str">
        <f>IF($L25="","",INDEX($B$8:$B$5007,$L25))</f>
        <v/>
      </c>
      <c r="O25" s="32" t="str">
        <f>IF($M25="","",IF($K25-$M25&gt;7,"",IF($M25&lt;=$A25,"",IF(OR($B25&lt;=0,$N25&lt;=0),"",($N25/$B25)^(365/($M25-$A25))-1))))</f>
        <v/>
      </c>
      <c r="P25" s="31" t="str">
        <f>IF($B25="","",IF($P24="",$B25,MAX($P24,$B25)))</f>
        <v/>
      </c>
      <c r="Q25" s="32" t="str">
        <f>IF($P25="","",$B25/$P25-1)</f>
        <v/>
      </c>
    </row>
    <row r="26">
      <c r="A26" s="11" t="n"/>
      <c r="B26" s="29" t="n"/>
      <c r="D26" s="3" t="inlineStr">
        <is>
          <t>Your money in it earned</t>
        </is>
      </c>
      <c r="E26" s="10" t="str">
        <f>IF(ISNUMBER($E$25),'My investments'!$B$4,"")</f>
        <v/>
      </c>
      <c r="K26" s="30" t="str">
        <f>IF($A26="","",EDATE($A26,12*$E$4))</f>
        <v/>
      </c>
      <c r="L26" s="19" t="str">
        <f>IF($K26="","",IF($K26&gt;MAX($A$8:$A$5007),"",IFERROR(MATCH($K26,$A$8:$A$5007,1),"")))</f>
        <v/>
      </c>
      <c r="M26" s="30" t="str">
        <f>IF($L26="","",INDEX($A$8:$A$5007,$L26))</f>
        <v/>
      </c>
      <c r="N26" s="31" t="str">
        <f>IF($L26="","",INDEX($B$8:$B$5007,$L26))</f>
        <v/>
      </c>
      <c r="O26" s="32" t="str">
        <f>IF($M26="","",IF($K26-$M26&gt;7,"",IF($M26&lt;=$A26,"",IF(OR($B26&lt;=0,$N26&lt;=0),"",($N26/$B26)^(365/($M26-$A26))-1))))</f>
        <v/>
      </c>
      <c r="P26" s="31" t="str">
        <f>IF($B26="","",IF($P25="",$B26,MAX($P25,$B26)))</f>
        <v/>
      </c>
      <c r="Q26" s="32" t="str">
        <f>IF($P26="","",$B26/$P26-1)</f>
        <v/>
      </c>
    </row>
    <row r="27">
      <c r="A27" s="11" t="n"/>
      <c r="B27" s="29" t="n"/>
      <c r="D27" s="3" t="inlineStr">
        <is>
          <t>The difference: your timing</t>
        </is>
      </c>
      <c r="E27" s="35" t="str">
        <f>IF(AND(ISNUMBER($E$25),ISNUMBER($E$26)),$E$26-$E$25,"")</f>
        <v/>
      </c>
      <c r="K27" s="30" t="str">
        <f>IF($A27="","",EDATE($A27,12*$E$4))</f>
        <v/>
      </c>
      <c r="L27" s="19" t="str">
        <f>IF($K27="","",IF($K27&gt;MAX($A$8:$A$5007),"",IFERROR(MATCH($K27,$A$8:$A$5007,1),"")))</f>
        <v/>
      </c>
      <c r="M27" s="30" t="str">
        <f>IF($L27="","",INDEX($A$8:$A$5007,$L27))</f>
        <v/>
      </c>
      <c r="N27" s="31" t="str">
        <f>IF($L27="","",INDEX($B$8:$B$5007,$L27))</f>
        <v/>
      </c>
      <c r="O27" s="32" t="str">
        <f>IF($M27="","",IF($K27-$M27&gt;7,"",IF($M27&lt;=$A27,"",IF(OR($B27&lt;=0,$N27&lt;=0),"",($N27/$B27)^(365/($M27-$A27))-1))))</f>
        <v/>
      </c>
      <c r="P27" s="31" t="str">
        <f>IF($B27="","",IF($P26="",$B27,MAX($P26,$B27)))</f>
        <v/>
      </c>
      <c r="Q27" s="32" t="str">
        <f>IF($P27="","",$B27/$P27-1)</f>
        <v/>
      </c>
    </row>
    <row r="28" ht="48" customHeight="1">
      <c r="A28" s="11" t="n"/>
      <c r="B28" s="29" t="n"/>
      <c r="D28" s="2" t="inlineStr">
        <is>
          <t>The fund's figure is what it would publish for exactly your dates, as if one lump sum had gone in on day one. The difference is the effect of when your money went in and out: a description of your dates, not a verdict.</t>
        </is>
      </c>
      <c r="K28" s="30" t="str">
        <f>IF($A28="","",EDATE($A28,12*$E$4))</f>
        <v/>
      </c>
      <c r="L28" s="19" t="str">
        <f>IF($K28="","",IF($K28&gt;MAX($A$8:$A$5007),"",IFERROR(MATCH($K28,$A$8:$A$5007,1),"")))</f>
        <v/>
      </c>
      <c r="M28" s="30" t="str">
        <f>IF($L28="","",INDEX($A$8:$A$5007,$L28))</f>
        <v/>
      </c>
      <c r="N28" s="31" t="str">
        <f>IF($L28="","",INDEX($B$8:$B$5007,$L28))</f>
        <v/>
      </c>
      <c r="O28" s="32" t="str">
        <f>IF($M28="","",IF($K28-$M28&gt;7,"",IF($M28&lt;=$A28,"",IF(OR($B28&lt;=0,$N28&lt;=0),"",($N28/$B28)^(365/($M28-$A28))-1))))</f>
        <v/>
      </c>
      <c r="P28" s="31" t="str">
        <f>IF($B28="","",IF($P27="",$B28,MAX($P27,$B28)))</f>
        <v/>
      </c>
      <c r="Q28" s="32" t="str">
        <f>IF($P28="","",$B28/$P28-1)</f>
        <v/>
      </c>
    </row>
    <row r="29">
      <c r="A29" s="11" t="n"/>
      <c r="B29" s="29" t="n"/>
      <c r="K29" s="30" t="str">
        <f>IF($A29="","",EDATE($A29,12*$E$4))</f>
        <v/>
      </c>
      <c r="L29" s="19" t="str">
        <f>IF($K29="","",IF($K29&gt;MAX($A$8:$A$5007),"",IFERROR(MATCH($K29,$A$8:$A$5007,1),"")))</f>
        <v/>
      </c>
      <c r="M29" s="30" t="str">
        <f>IF($L29="","",INDEX($A$8:$A$5007,$L29))</f>
        <v/>
      </c>
      <c r="N29" s="31" t="str">
        <f>IF($L29="","",INDEX($B$8:$B$5007,$L29))</f>
        <v/>
      </c>
      <c r="O29" s="32" t="str">
        <f>IF($M29="","",IF($K29-$M29&gt;7,"",IF($M29&lt;=$A29,"",IF(OR($B29&lt;=0,$N29&lt;=0),"",($N29/$B29)^(365/($M29-$A29))-1))))</f>
        <v/>
      </c>
      <c r="P29" s="31" t="str">
        <f>IF($B29="","",IF($P28="",$B29,MAX($P28,$B29)))</f>
        <v/>
      </c>
      <c r="Q29" s="32" t="str">
        <f>IF($P29="","",$B29/$P29-1)</f>
        <v/>
      </c>
    </row>
    <row r="30">
      <c r="A30" s="11" t="n"/>
      <c r="B30" s="29" t="n"/>
      <c r="D30" s="6" t="inlineStr">
        <is>
          <t>Your units today</t>
        </is>
      </c>
      <c r="E30" s="6" t="inlineStr"/>
      <c r="K30" s="30" t="str">
        <f>IF($A30="","",EDATE($A30,12*$E$4))</f>
        <v/>
      </c>
      <c r="L30" s="19" t="str">
        <f>IF($K30="","",IF($K30&gt;MAX($A$8:$A$5007),"",IFERROR(MATCH($K30,$A$8:$A$5007,1),"")))</f>
        <v/>
      </c>
      <c r="M30" s="30" t="str">
        <f>IF($L30="","",INDEX($A$8:$A$5007,$L30))</f>
        <v/>
      </c>
      <c r="N30" s="31" t="str">
        <f>IF($L30="","",INDEX($B$8:$B$5007,$L30))</f>
        <v/>
      </c>
      <c r="O30" s="32" t="str">
        <f>IF($M30="","",IF($K30-$M30&gt;7,"",IF($M30&lt;=$A30,"",IF(OR($B30&lt;=0,$N30&lt;=0),"",($N30/$B30)^(365/($M30-$A30))-1))))</f>
        <v/>
      </c>
      <c r="P30" s="31" t="str">
        <f>IF($B30="","",IF($P29="",$B30,MAX($P29,$B30)))</f>
        <v/>
      </c>
      <c r="Q30" s="32" t="str">
        <f>IF($P30="","",$B30/$P30-1)</f>
        <v/>
      </c>
    </row>
    <row r="31">
      <c r="A31" s="11" t="n"/>
      <c r="B31" s="29" t="n"/>
      <c r="D31" s="3" t="inlineStr">
        <is>
          <t>Latest NAV in the list</t>
        </is>
      </c>
      <c r="E31" s="36" t="str">
        <f>IF(COUNT($B$8:$B$5007)=0,"",INDEX($B$8:$B$5007,COUNT($B$8:$B$5007)))</f>
        <v/>
      </c>
      <c r="K31" s="30" t="str">
        <f>IF($A31="","",EDATE($A31,12*$E$4))</f>
        <v/>
      </c>
      <c r="L31" s="19" t="str">
        <f>IF($K31="","",IF($K31&gt;MAX($A$8:$A$5007),"",IFERROR(MATCH($K31,$A$8:$A$5007,1),"")))</f>
        <v/>
      </c>
      <c r="M31" s="30" t="str">
        <f>IF($L31="","",INDEX($A$8:$A$5007,$L31))</f>
        <v/>
      </c>
      <c r="N31" s="31" t="str">
        <f>IF($L31="","",INDEX($B$8:$B$5007,$L31))</f>
        <v/>
      </c>
      <c r="O31" s="32" t="str">
        <f>IF($M31="","",IF($K31-$M31&gt;7,"",IF($M31&lt;=$A31,"",IF(OR($B31&lt;=0,$N31&lt;=0),"",($N31/$B31)^(365/($M31-$A31))-1))))</f>
        <v/>
      </c>
      <c r="P31" s="31" t="str">
        <f>IF($B31="","",IF($P30="",$B31,MAX($P30,$B31)))</f>
        <v/>
      </c>
      <c r="Q31" s="32" t="str">
        <f>IF($P31="","",$B31/$P31-1)</f>
        <v/>
      </c>
    </row>
    <row r="32">
      <c r="A32" s="11" t="n"/>
      <c r="B32" s="29" t="n"/>
      <c r="D32" s="3" t="inlineStr">
        <is>
          <t>On</t>
        </is>
      </c>
      <c r="E32" s="25" t="str">
        <f>IF(COUNT($A$8:$A$5007)=0,"",MAX($A$8:$A$5007))</f>
        <v/>
      </c>
      <c r="K32" s="30" t="str">
        <f>IF($A32="","",EDATE($A32,12*$E$4))</f>
        <v/>
      </c>
      <c r="L32" s="19" t="str">
        <f>IF($K32="","",IF($K32&gt;MAX($A$8:$A$5007),"",IFERROR(MATCH($K32,$A$8:$A$5007,1),"")))</f>
        <v/>
      </c>
      <c r="M32" s="30" t="str">
        <f>IF($L32="","",INDEX($A$8:$A$5007,$L32))</f>
        <v/>
      </c>
      <c r="N32" s="31" t="str">
        <f>IF($L32="","",INDEX($B$8:$B$5007,$L32))</f>
        <v/>
      </c>
      <c r="O32" s="32" t="str">
        <f>IF($M32="","",IF($K32-$M32&gt;7,"",IF($M32&lt;=$A32,"",IF(OR($B32&lt;=0,$N32&lt;=0),"",($N32/$B32)^(365/($M32-$A32))-1))))</f>
        <v/>
      </c>
      <c r="P32" s="31" t="str">
        <f>IF($B32="","",IF($P31="",$B32,MAX($P31,$B32)))</f>
        <v/>
      </c>
      <c r="Q32" s="32" t="str">
        <f>IF($P32="","",$B32/$P32-1)</f>
        <v/>
      </c>
    </row>
    <row r="33">
      <c r="A33" s="11" t="n"/>
      <c r="B33" s="29" t="n"/>
      <c r="D33" s="3" t="inlineStr">
        <is>
          <t>Your units are worth</t>
        </is>
      </c>
      <c r="E33" s="7" t="str">
        <f>IF(OR($E$6="",$E$31=""),"",$E$6*$E$31)</f>
        <v/>
      </c>
      <c r="K33" s="30" t="str">
        <f>IF($A33="","",EDATE($A33,12*$E$4))</f>
        <v/>
      </c>
      <c r="L33" s="19" t="str">
        <f>IF($K33="","",IF($K33&gt;MAX($A$8:$A$5007),"",IFERROR(MATCH($K33,$A$8:$A$5007,1),"")))</f>
        <v/>
      </c>
      <c r="M33" s="30" t="str">
        <f>IF($L33="","",INDEX($A$8:$A$5007,$L33))</f>
        <v/>
      </c>
      <c r="N33" s="31" t="str">
        <f>IF($L33="","",INDEX($B$8:$B$5007,$L33))</f>
        <v/>
      </c>
      <c r="O33" s="32" t="str">
        <f>IF($M33="","",IF($K33-$M33&gt;7,"",IF($M33&lt;=$A33,"",IF(OR($B33&lt;=0,$N33&lt;=0),"",($N33/$B33)^(365/($M33-$A33))-1))))</f>
        <v/>
      </c>
      <c r="P33" s="31" t="str">
        <f>IF($B33="","",IF($P32="",$B33,MAX($P32,$B33)))</f>
        <v/>
      </c>
      <c r="Q33" s="32" t="str">
        <f>IF($P33="","",$B33/$P33-1)</f>
        <v/>
      </c>
    </row>
    <row r="34">
      <c r="A34" s="11" t="n"/>
      <c r="B34" s="29" t="n"/>
      <c r="K34" s="30" t="str">
        <f>IF($A34="","",EDATE($A34,12*$E$4))</f>
        <v/>
      </c>
      <c r="L34" s="19" t="str">
        <f>IF($K34="","",IF($K34&gt;MAX($A$8:$A$5007),"",IFERROR(MATCH($K34,$A$8:$A$5007,1),"")))</f>
        <v/>
      </c>
      <c r="M34" s="30" t="str">
        <f>IF($L34="","",INDEX($A$8:$A$5007,$L34))</f>
        <v/>
      </c>
      <c r="N34" s="31" t="str">
        <f>IF($L34="","",INDEX($B$8:$B$5007,$L34))</f>
        <v/>
      </c>
      <c r="O34" s="32" t="str">
        <f>IF($M34="","",IF($K34-$M34&gt;7,"",IF($M34&lt;=$A34,"",IF(OR($B34&lt;=0,$N34&lt;=0),"",($N34/$B34)^(365/($M34-$A34))-1))))</f>
        <v/>
      </c>
      <c r="P34" s="31" t="str">
        <f>IF($B34="","",IF($P33="",$B34,MAX($P33,$B34)))</f>
        <v/>
      </c>
      <c r="Q34" s="32" t="str">
        <f>IF($P34="","",$B34/$P34-1)</f>
        <v/>
      </c>
    </row>
    <row r="35">
      <c r="A35" s="11" t="n"/>
      <c r="B35" s="29" t="n"/>
      <c r="D35" s="6" t="inlineStr">
        <is>
          <t>Year by year</t>
        </is>
      </c>
      <c r="E35" s="6" t="inlineStr">
        <is>
          <t>Return</t>
        </is>
      </c>
      <c r="F35" s="6" t="inlineStr">
        <is>
          <t>From</t>
        </is>
      </c>
      <c r="G35" s="6" t="inlineStr">
        <is>
          <t>To</t>
        </is>
      </c>
      <c r="K35" s="30" t="str">
        <f>IF($A35="","",EDATE($A35,12*$E$4))</f>
        <v/>
      </c>
      <c r="L35" s="19" t="str">
        <f>IF($K35="","",IF($K35&gt;MAX($A$8:$A$5007),"",IFERROR(MATCH($K35,$A$8:$A$5007,1),"")))</f>
        <v/>
      </c>
      <c r="M35" s="30" t="str">
        <f>IF($L35="","",INDEX($A$8:$A$5007,$L35))</f>
        <v/>
      </c>
      <c r="N35" s="31" t="str">
        <f>IF($L35="","",INDEX($B$8:$B$5007,$L35))</f>
        <v/>
      </c>
      <c r="O35" s="32" t="str">
        <f>IF($M35="","",IF($K35-$M35&gt;7,"",IF($M35&lt;=$A35,"",IF(OR($B35&lt;=0,$N35&lt;=0),"",($N35/$B35)^(365/($M35-$A35))-1))))</f>
        <v/>
      </c>
      <c r="P35" s="31" t="str">
        <f>IF($B35="","",IF($P34="",$B35,MAX($P34,$B35)))</f>
        <v/>
      </c>
      <c r="Q35" s="32" t="str">
        <f>IF($P35="","",$B35/$P35-1)</f>
        <v/>
      </c>
    </row>
    <row r="36">
      <c r="A36" s="11" t="n"/>
      <c r="B36" s="29" t="n"/>
      <c r="D36" s="3" t="str">
        <f>IF(COUNT($A$8:$A$5007)&lt;2,"",YEAR(MIN($A$8:$A$5007)))</f>
        <v/>
      </c>
      <c r="E36" s="37" t="str">
        <f>IF($D36="","",IF($G36&lt;=$F36,"",INDEX($B$8:$B$5007,MATCH($G36,$A$8:$A$5007,0))/INDEX($B$8:$B$5007,MATCH($F36,$A$8:$A$5007,0))-1))</f>
        <v/>
      </c>
      <c r="F36" s="30" t="str">
        <f>IF($D36="","",IF($D36=YEAR(MIN($A$8:$A$5007)),MIN($A$8:$A$5007),INDEX($A$8:$A$5007,MATCH(DATE($D36-1,12,31),$A$8:$A$5007,1))))</f>
        <v/>
      </c>
      <c r="G36" s="30" t="str">
        <f>IF($D36="","",INDEX($A$8:$A$5007,MATCH(DATE($D36,12,31),$A$8:$A$5007,1)))</f>
        <v/>
      </c>
      <c r="K36" s="30" t="str">
        <f>IF($A36="","",EDATE($A36,12*$E$4))</f>
        <v/>
      </c>
      <c r="L36" s="19" t="str">
        <f>IF($K36="","",IF($K36&gt;MAX($A$8:$A$5007),"",IFERROR(MATCH($K36,$A$8:$A$5007,1),"")))</f>
        <v/>
      </c>
      <c r="M36" s="30" t="str">
        <f>IF($L36="","",INDEX($A$8:$A$5007,$L36))</f>
        <v/>
      </c>
      <c r="N36" s="31" t="str">
        <f>IF($L36="","",INDEX($B$8:$B$5007,$L36))</f>
        <v/>
      </c>
      <c r="O36" s="32" t="str">
        <f>IF($M36="","",IF($K36-$M36&gt;7,"",IF($M36&lt;=$A36,"",IF(OR($B36&lt;=0,$N36&lt;=0),"",($N36/$B36)^(365/($M36-$A36))-1))))</f>
        <v/>
      </c>
      <c r="P36" s="31" t="str">
        <f>IF($B36="","",IF($P35="",$B36,MAX($P35,$B36)))</f>
        <v/>
      </c>
      <c r="Q36" s="32" t="str">
        <f>IF($P36="","",$B36/$P36-1)</f>
        <v/>
      </c>
    </row>
    <row r="37">
      <c r="A37" s="11" t="n"/>
      <c r="B37" s="29" t="n"/>
      <c r="D37" s="3" t="str">
        <f>IF($D36="","",IF($D36+1&gt;YEAR(MAX($A$8:$A$5007)),"",$D36+1))</f>
        <v/>
      </c>
      <c r="E37" s="37" t="str">
        <f>IF($D37="","",IF($G37&lt;=$F37,"",INDEX($B$8:$B$5007,MATCH($G37,$A$8:$A$5007,0))/INDEX($B$8:$B$5007,MATCH($F37,$A$8:$A$5007,0))-1))</f>
        <v/>
      </c>
      <c r="F37" s="30" t="str">
        <f>IF($D37="","",IF($D37=YEAR(MIN($A$8:$A$5007)),MIN($A$8:$A$5007),INDEX($A$8:$A$5007,MATCH(DATE($D37-1,12,31),$A$8:$A$5007,1))))</f>
        <v/>
      </c>
      <c r="G37" s="30" t="str">
        <f>IF($D37="","",INDEX($A$8:$A$5007,MATCH(DATE($D37,12,31),$A$8:$A$5007,1)))</f>
        <v/>
      </c>
      <c r="K37" s="30" t="str">
        <f>IF($A37="","",EDATE($A37,12*$E$4))</f>
        <v/>
      </c>
      <c r="L37" s="19" t="str">
        <f>IF($K37="","",IF($K37&gt;MAX($A$8:$A$5007),"",IFERROR(MATCH($K37,$A$8:$A$5007,1),"")))</f>
        <v/>
      </c>
      <c r="M37" s="30" t="str">
        <f>IF($L37="","",INDEX($A$8:$A$5007,$L37))</f>
        <v/>
      </c>
      <c r="N37" s="31" t="str">
        <f>IF($L37="","",INDEX($B$8:$B$5007,$L37))</f>
        <v/>
      </c>
      <c r="O37" s="32" t="str">
        <f>IF($M37="","",IF($K37-$M37&gt;7,"",IF($M37&lt;=$A37,"",IF(OR($B37&lt;=0,$N37&lt;=0),"",($N37/$B37)^(365/($M37-$A37))-1))))</f>
        <v/>
      </c>
      <c r="P37" s="31" t="str">
        <f>IF($B37="","",IF($P36="",$B37,MAX($P36,$B37)))</f>
        <v/>
      </c>
      <c r="Q37" s="32" t="str">
        <f>IF($P37="","",$B37/$P37-1)</f>
        <v/>
      </c>
    </row>
    <row r="38">
      <c r="A38" s="11" t="n"/>
      <c r="B38" s="29" t="n"/>
      <c r="D38" s="3" t="str">
        <f>IF($D37="","",IF($D37+1&gt;YEAR(MAX($A$8:$A$5007)),"",$D37+1))</f>
        <v/>
      </c>
      <c r="E38" s="37" t="str">
        <f>IF($D38="","",IF($G38&lt;=$F38,"",INDEX($B$8:$B$5007,MATCH($G38,$A$8:$A$5007,0))/INDEX($B$8:$B$5007,MATCH($F38,$A$8:$A$5007,0))-1))</f>
        <v/>
      </c>
      <c r="F38" s="30" t="str">
        <f>IF($D38="","",IF($D38=YEAR(MIN($A$8:$A$5007)),MIN($A$8:$A$5007),INDEX($A$8:$A$5007,MATCH(DATE($D38-1,12,31),$A$8:$A$5007,1))))</f>
        <v/>
      </c>
      <c r="G38" s="30" t="str">
        <f>IF($D38="","",INDEX($A$8:$A$5007,MATCH(DATE($D38,12,31),$A$8:$A$5007,1)))</f>
        <v/>
      </c>
      <c r="K38" s="30" t="str">
        <f>IF($A38="","",EDATE($A38,12*$E$4))</f>
        <v/>
      </c>
      <c r="L38" s="19" t="str">
        <f>IF($K38="","",IF($K38&gt;MAX($A$8:$A$5007),"",IFERROR(MATCH($K38,$A$8:$A$5007,1),"")))</f>
        <v/>
      </c>
      <c r="M38" s="30" t="str">
        <f>IF($L38="","",INDEX($A$8:$A$5007,$L38))</f>
        <v/>
      </c>
      <c r="N38" s="31" t="str">
        <f>IF($L38="","",INDEX($B$8:$B$5007,$L38))</f>
        <v/>
      </c>
      <c r="O38" s="32" t="str">
        <f>IF($M38="","",IF($K38-$M38&gt;7,"",IF($M38&lt;=$A38,"",IF(OR($B38&lt;=0,$N38&lt;=0),"",($N38/$B38)^(365/($M38-$A38))-1))))</f>
        <v/>
      </c>
      <c r="P38" s="31" t="str">
        <f>IF($B38="","",IF($P37="",$B38,MAX($P37,$B38)))</f>
        <v/>
      </c>
      <c r="Q38" s="32" t="str">
        <f>IF($P38="","",$B38/$P38-1)</f>
        <v/>
      </c>
    </row>
    <row r="39">
      <c r="A39" s="11" t="n"/>
      <c r="B39" s="29" t="n"/>
      <c r="D39" s="3" t="str">
        <f>IF($D38="","",IF($D38+1&gt;YEAR(MAX($A$8:$A$5007)),"",$D38+1))</f>
        <v/>
      </c>
      <c r="E39" s="37" t="str">
        <f>IF($D39="","",IF($G39&lt;=$F39,"",INDEX($B$8:$B$5007,MATCH($G39,$A$8:$A$5007,0))/INDEX($B$8:$B$5007,MATCH($F39,$A$8:$A$5007,0))-1))</f>
        <v/>
      </c>
      <c r="F39" s="30" t="str">
        <f>IF($D39="","",IF($D39=YEAR(MIN($A$8:$A$5007)),MIN($A$8:$A$5007),INDEX($A$8:$A$5007,MATCH(DATE($D39-1,12,31),$A$8:$A$5007,1))))</f>
        <v/>
      </c>
      <c r="G39" s="30" t="str">
        <f>IF($D39="","",INDEX($A$8:$A$5007,MATCH(DATE($D39,12,31),$A$8:$A$5007,1)))</f>
        <v/>
      </c>
      <c r="K39" s="30" t="str">
        <f>IF($A39="","",EDATE($A39,12*$E$4))</f>
        <v/>
      </c>
      <c r="L39" s="19" t="str">
        <f>IF($K39="","",IF($K39&gt;MAX($A$8:$A$5007),"",IFERROR(MATCH($K39,$A$8:$A$5007,1),"")))</f>
        <v/>
      </c>
      <c r="M39" s="30" t="str">
        <f>IF($L39="","",INDEX($A$8:$A$5007,$L39))</f>
        <v/>
      </c>
      <c r="N39" s="31" t="str">
        <f>IF($L39="","",INDEX($B$8:$B$5007,$L39))</f>
        <v/>
      </c>
      <c r="O39" s="32" t="str">
        <f>IF($M39="","",IF($K39-$M39&gt;7,"",IF($M39&lt;=$A39,"",IF(OR($B39&lt;=0,$N39&lt;=0),"",($N39/$B39)^(365/($M39-$A39))-1))))</f>
        <v/>
      </c>
      <c r="P39" s="31" t="str">
        <f>IF($B39="","",IF($P38="",$B39,MAX($P38,$B39)))</f>
        <v/>
      </c>
      <c r="Q39" s="32" t="str">
        <f>IF($P39="","",$B39/$P39-1)</f>
        <v/>
      </c>
    </row>
    <row r="40">
      <c r="A40" s="11" t="n"/>
      <c r="B40" s="29" t="n"/>
      <c r="D40" s="3" t="str">
        <f>IF($D39="","",IF($D39+1&gt;YEAR(MAX($A$8:$A$5007)),"",$D39+1))</f>
        <v/>
      </c>
      <c r="E40" s="37" t="str">
        <f>IF($D40="","",IF($G40&lt;=$F40,"",INDEX($B$8:$B$5007,MATCH($G40,$A$8:$A$5007,0))/INDEX($B$8:$B$5007,MATCH($F40,$A$8:$A$5007,0))-1))</f>
        <v/>
      </c>
      <c r="F40" s="30" t="str">
        <f>IF($D40="","",IF($D40=YEAR(MIN($A$8:$A$5007)),MIN($A$8:$A$5007),INDEX($A$8:$A$5007,MATCH(DATE($D40-1,12,31),$A$8:$A$5007,1))))</f>
        <v/>
      </c>
      <c r="G40" s="30" t="str">
        <f>IF($D40="","",INDEX($A$8:$A$5007,MATCH(DATE($D40,12,31),$A$8:$A$5007,1)))</f>
        <v/>
      </c>
      <c r="K40" s="30" t="str">
        <f>IF($A40="","",EDATE($A40,12*$E$4))</f>
        <v/>
      </c>
      <c r="L40" s="19" t="str">
        <f>IF($K40="","",IF($K40&gt;MAX($A$8:$A$5007),"",IFERROR(MATCH($K40,$A$8:$A$5007,1),"")))</f>
        <v/>
      </c>
      <c r="M40" s="30" t="str">
        <f>IF($L40="","",INDEX($A$8:$A$5007,$L40))</f>
        <v/>
      </c>
      <c r="N40" s="31" t="str">
        <f>IF($L40="","",INDEX($B$8:$B$5007,$L40))</f>
        <v/>
      </c>
      <c r="O40" s="32" t="str">
        <f>IF($M40="","",IF($K40-$M40&gt;7,"",IF($M40&lt;=$A40,"",IF(OR($B40&lt;=0,$N40&lt;=0),"",($N40/$B40)^(365/($M40-$A40))-1))))</f>
        <v/>
      </c>
      <c r="P40" s="31" t="str">
        <f>IF($B40="","",IF($P39="",$B40,MAX($P39,$B40)))</f>
        <v/>
      </c>
      <c r="Q40" s="32" t="str">
        <f>IF($P40="","",$B40/$P40-1)</f>
        <v/>
      </c>
    </row>
    <row r="41">
      <c r="A41" s="11" t="n"/>
      <c r="B41" s="29" t="n"/>
      <c r="D41" s="3" t="str">
        <f>IF($D40="","",IF($D40+1&gt;YEAR(MAX($A$8:$A$5007)),"",$D40+1))</f>
        <v/>
      </c>
      <c r="E41" s="37" t="str">
        <f>IF($D41="","",IF($G41&lt;=$F41,"",INDEX($B$8:$B$5007,MATCH($G41,$A$8:$A$5007,0))/INDEX($B$8:$B$5007,MATCH($F41,$A$8:$A$5007,0))-1))</f>
        <v/>
      </c>
      <c r="F41" s="30" t="str">
        <f>IF($D41="","",IF($D41=YEAR(MIN($A$8:$A$5007)),MIN($A$8:$A$5007),INDEX($A$8:$A$5007,MATCH(DATE($D41-1,12,31),$A$8:$A$5007,1))))</f>
        <v/>
      </c>
      <c r="G41" s="30" t="str">
        <f>IF($D41="","",INDEX($A$8:$A$5007,MATCH(DATE($D41,12,31),$A$8:$A$5007,1)))</f>
        <v/>
      </c>
      <c r="K41" s="30" t="str">
        <f>IF($A41="","",EDATE($A41,12*$E$4))</f>
        <v/>
      </c>
      <c r="L41" s="19" t="str">
        <f>IF($K41="","",IF($K41&gt;MAX($A$8:$A$5007),"",IFERROR(MATCH($K41,$A$8:$A$5007,1),"")))</f>
        <v/>
      </c>
      <c r="M41" s="30" t="str">
        <f>IF($L41="","",INDEX($A$8:$A$5007,$L41))</f>
        <v/>
      </c>
      <c r="N41" s="31" t="str">
        <f>IF($L41="","",INDEX($B$8:$B$5007,$L41))</f>
        <v/>
      </c>
      <c r="O41" s="32" t="str">
        <f>IF($M41="","",IF($K41-$M41&gt;7,"",IF($M41&lt;=$A41,"",IF(OR($B41&lt;=0,$N41&lt;=0),"",($N41/$B41)^(365/($M41-$A41))-1))))</f>
        <v/>
      </c>
      <c r="P41" s="31" t="str">
        <f>IF($B41="","",IF($P40="",$B41,MAX($P40,$B41)))</f>
        <v/>
      </c>
      <c r="Q41" s="32" t="str">
        <f>IF($P41="","",$B41/$P41-1)</f>
        <v/>
      </c>
    </row>
    <row r="42">
      <c r="A42" s="11" t="n"/>
      <c r="B42" s="29" t="n"/>
      <c r="D42" s="3" t="str">
        <f>IF($D41="","",IF($D41+1&gt;YEAR(MAX($A$8:$A$5007)),"",$D41+1))</f>
        <v/>
      </c>
      <c r="E42" s="37" t="str">
        <f>IF($D42="","",IF($G42&lt;=$F42,"",INDEX($B$8:$B$5007,MATCH($G42,$A$8:$A$5007,0))/INDEX($B$8:$B$5007,MATCH($F42,$A$8:$A$5007,0))-1))</f>
        <v/>
      </c>
      <c r="F42" s="30" t="str">
        <f>IF($D42="","",IF($D42=YEAR(MIN($A$8:$A$5007)),MIN($A$8:$A$5007),INDEX($A$8:$A$5007,MATCH(DATE($D42-1,12,31),$A$8:$A$5007,1))))</f>
        <v/>
      </c>
      <c r="G42" s="30" t="str">
        <f>IF($D42="","",INDEX($A$8:$A$5007,MATCH(DATE($D42,12,31),$A$8:$A$5007,1)))</f>
        <v/>
      </c>
      <c r="K42" s="30" t="str">
        <f>IF($A42="","",EDATE($A42,12*$E$4))</f>
        <v/>
      </c>
      <c r="L42" s="19" t="str">
        <f>IF($K42="","",IF($K42&gt;MAX($A$8:$A$5007),"",IFERROR(MATCH($K42,$A$8:$A$5007,1),"")))</f>
        <v/>
      </c>
      <c r="M42" s="30" t="str">
        <f>IF($L42="","",INDEX($A$8:$A$5007,$L42))</f>
        <v/>
      </c>
      <c r="N42" s="31" t="str">
        <f>IF($L42="","",INDEX($B$8:$B$5007,$L42))</f>
        <v/>
      </c>
      <c r="O42" s="32" t="str">
        <f>IF($M42="","",IF($K42-$M42&gt;7,"",IF($M42&lt;=$A42,"",IF(OR($B42&lt;=0,$N42&lt;=0),"",($N42/$B42)^(365/($M42-$A42))-1))))</f>
        <v/>
      </c>
      <c r="P42" s="31" t="str">
        <f>IF($B42="","",IF($P41="",$B42,MAX($P41,$B42)))</f>
        <v/>
      </c>
      <c r="Q42" s="32" t="str">
        <f>IF($P42="","",$B42/$P42-1)</f>
        <v/>
      </c>
    </row>
    <row r="43">
      <c r="A43" s="11" t="n"/>
      <c r="B43" s="29" t="n"/>
      <c r="D43" s="3" t="str">
        <f>IF($D42="","",IF($D42+1&gt;YEAR(MAX($A$8:$A$5007)),"",$D42+1))</f>
        <v/>
      </c>
      <c r="E43" s="37" t="str">
        <f>IF($D43="","",IF($G43&lt;=$F43,"",INDEX($B$8:$B$5007,MATCH($G43,$A$8:$A$5007,0))/INDEX($B$8:$B$5007,MATCH($F43,$A$8:$A$5007,0))-1))</f>
        <v/>
      </c>
      <c r="F43" s="30" t="str">
        <f>IF($D43="","",IF($D43=YEAR(MIN($A$8:$A$5007)),MIN($A$8:$A$5007),INDEX($A$8:$A$5007,MATCH(DATE($D43-1,12,31),$A$8:$A$5007,1))))</f>
        <v/>
      </c>
      <c r="G43" s="30" t="str">
        <f>IF($D43="","",INDEX($A$8:$A$5007,MATCH(DATE($D43,12,31),$A$8:$A$5007,1)))</f>
        <v/>
      </c>
      <c r="K43" s="30" t="str">
        <f>IF($A43="","",EDATE($A43,12*$E$4))</f>
        <v/>
      </c>
      <c r="L43" s="19" t="str">
        <f>IF($K43="","",IF($K43&gt;MAX($A$8:$A$5007),"",IFERROR(MATCH($K43,$A$8:$A$5007,1),"")))</f>
        <v/>
      </c>
      <c r="M43" s="30" t="str">
        <f>IF($L43="","",INDEX($A$8:$A$5007,$L43))</f>
        <v/>
      </c>
      <c r="N43" s="31" t="str">
        <f>IF($L43="","",INDEX($B$8:$B$5007,$L43))</f>
        <v/>
      </c>
      <c r="O43" s="32" t="str">
        <f>IF($M43="","",IF($K43-$M43&gt;7,"",IF($M43&lt;=$A43,"",IF(OR($B43&lt;=0,$N43&lt;=0),"",($N43/$B43)^(365/($M43-$A43))-1))))</f>
        <v/>
      </c>
      <c r="P43" s="31" t="str">
        <f>IF($B43="","",IF($P42="",$B43,MAX($P42,$B43)))</f>
        <v/>
      </c>
      <c r="Q43" s="32" t="str">
        <f>IF($P43="","",$B43/$P43-1)</f>
        <v/>
      </c>
    </row>
    <row r="44">
      <c r="A44" s="11" t="n"/>
      <c r="B44" s="29" t="n"/>
      <c r="D44" s="3" t="str">
        <f>IF($D43="","",IF($D43+1&gt;YEAR(MAX($A$8:$A$5007)),"",$D43+1))</f>
        <v/>
      </c>
      <c r="E44" s="37" t="str">
        <f>IF($D44="","",IF($G44&lt;=$F44,"",INDEX($B$8:$B$5007,MATCH($G44,$A$8:$A$5007,0))/INDEX($B$8:$B$5007,MATCH($F44,$A$8:$A$5007,0))-1))</f>
        <v/>
      </c>
      <c r="F44" s="30" t="str">
        <f>IF($D44="","",IF($D44=YEAR(MIN($A$8:$A$5007)),MIN($A$8:$A$5007),INDEX($A$8:$A$5007,MATCH(DATE($D44-1,12,31),$A$8:$A$5007,1))))</f>
        <v/>
      </c>
      <c r="G44" s="30" t="str">
        <f>IF($D44="","",INDEX($A$8:$A$5007,MATCH(DATE($D44,12,31),$A$8:$A$5007,1)))</f>
        <v/>
      </c>
      <c r="K44" s="30" t="str">
        <f>IF($A44="","",EDATE($A44,12*$E$4))</f>
        <v/>
      </c>
      <c r="L44" s="19" t="str">
        <f>IF($K44="","",IF($K44&gt;MAX($A$8:$A$5007),"",IFERROR(MATCH($K44,$A$8:$A$5007,1),"")))</f>
        <v/>
      </c>
      <c r="M44" s="30" t="str">
        <f>IF($L44="","",INDEX($A$8:$A$5007,$L44))</f>
        <v/>
      </c>
      <c r="N44" s="31" t="str">
        <f>IF($L44="","",INDEX($B$8:$B$5007,$L44))</f>
        <v/>
      </c>
      <c r="O44" s="32" t="str">
        <f>IF($M44="","",IF($K44-$M44&gt;7,"",IF($M44&lt;=$A44,"",IF(OR($B44&lt;=0,$N44&lt;=0),"",($N44/$B44)^(365/($M44-$A44))-1))))</f>
        <v/>
      </c>
      <c r="P44" s="31" t="str">
        <f>IF($B44="","",IF($P43="",$B44,MAX($P43,$B44)))</f>
        <v/>
      </c>
      <c r="Q44" s="32" t="str">
        <f>IF($P44="","",$B44/$P44-1)</f>
        <v/>
      </c>
    </row>
    <row r="45">
      <c r="A45" s="11" t="n"/>
      <c r="B45" s="29" t="n"/>
      <c r="D45" s="3" t="str">
        <f>IF($D44="","",IF($D44+1&gt;YEAR(MAX($A$8:$A$5007)),"",$D44+1))</f>
        <v/>
      </c>
      <c r="E45" s="37" t="str">
        <f>IF($D45="","",IF($G45&lt;=$F45,"",INDEX($B$8:$B$5007,MATCH($G45,$A$8:$A$5007,0))/INDEX($B$8:$B$5007,MATCH($F45,$A$8:$A$5007,0))-1))</f>
        <v/>
      </c>
      <c r="F45" s="30" t="str">
        <f>IF($D45="","",IF($D45=YEAR(MIN($A$8:$A$5007)),MIN($A$8:$A$5007),INDEX($A$8:$A$5007,MATCH(DATE($D45-1,12,31),$A$8:$A$5007,1))))</f>
        <v/>
      </c>
      <c r="G45" s="30" t="str">
        <f>IF($D45="","",INDEX($A$8:$A$5007,MATCH(DATE($D45,12,31),$A$8:$A$5007,1)))</f>
        <v/>
      </c>
      <c r="K45" s="30" t="str">
        <f>IF($A45="","",EDATE($A45,12*$E$4))</f>
        <v/>
      </c>
      <c r="L45" s="19" t="str">
        <f>IF($K45="","",IF($K45&gt;MAX($A$8:$A$5007),"",IFERROR(MATCH($K45,$A$8:$A$5007,1),"")))</f>
        <v/>
      </c>
      <c r="M45" s="30" t="str">
        <f>IF($L45="","",INDEX($A$8:$A$5007,$L45))</f>
        <v/>
      </c>
      <c r="N45" s="31" t="str">
        <f>IF($L45="","",INDEX($B$8:$B$5007,$L45))</f>
        <v/>
      </c>
      <c r="O45" s="32" t="str">
        <f>IF($M45="","",IF($K45-$M45&gt;7,"",IF($M45&lt;=$A45,"",IF(OR($B45&lt;=0,$N45&lt;=0),"",($N45/$B45)^(365/($M45-$A45))-1))))</f>
        <v/>
      </c>
      <c r="P45" s="31" t="str">
        <f>IF($B45="","",IF($P44="",$B45,MAX($P44,$B45)))</f>
        <v/>
      </c>
      <c r="Q45" s="32" t="str">
        <f>IF($P45="","",$B45/$P45-1)</f>
        <v/>
      </c>
    </row>
    <row r="46">
      <c r="A46" s="11" t="n"/>
      <c r="B46" s="29" t="n"/>
      <c r="D46" s="3" t="str">
        <f>IF($D45="","",IF($D45+1&gt;YEAR(MAX($A$8:$A$5007)),"",$D45+1))</f>
        <v/>
      </c>
      <c r="E46" s="37" t="str">
        <f>IF($D46="","",IF($G46&lt;=$F46,"",INDEX($B$8:$B$5007,MATCH($G46,$A$8:$A$5007,0))/INDEX($B$8:$B$5007,MATCH($F46,$A$8:$A$5007,0))-1))</f>
        <v/>
      </c>
      <c r="F46" s="30" t="str">
        <f>IF($D46="","",IF($D46=YEAR(MIN($A$8:$A$5007)),MIN($A$8:$A$5007),INDEX($A$8:$A$5007,MATCH(DATE($D46-1,12,31),$A$8:$A$5007,1))))</f>
        <v/>
      </c>
      <c r="G46" s="30" t="str">
        <f>IF($D46="","",INDEX($A$8:$A$5007,MATCH(DATE($D46,12,31),$A$8:$A$5007,1)))</f>
        <v/>
      </c>
      <c r="K46" s="30" t="str">
        <f>IF($A46="","",EDATE($A46,12*$E$4))</f>
        <v/>
      </c>
      <c r="L46" s="19" t="str">
        <f>IF($K46="","",IF($K46&gt;MAX($A$8:$A$5007),"",IFERROR(MATCH($K46,$A$8:$A$5007,1),"")))</f>
        <v/>
      </c>
      <c r="M46" s="30" t="str">
        <f>IF($L46="","",INDEX($A$8:$A$5007,$L46))</f>
        <v/>
      </c>
      <c r="N46" s="31" t="str">
        <f>IF($L46="","",INDEX($B$8:$B$5007,$L46))</f>
        <v/>
      </c>
      <c r="O46" s="32" t="str">
        <f>IF($M46="","",IF($K46-$M46&gt;7,"",IF($M46&lt;=$A46,"",IF(OR($B46&lt;=0,$N46&lt;=0),"",($N46/$B46)^(365/($M46-$A46))-1))))</f>
        <v/>
      </c>
      <c r="P46" s="31" t="str">
        <f>IF($B46="","",IF($P45="",$B46,MAX($P45,$B46)))</f>
        <v/>
      </c>
      <c r="Q46" s="32" t="str">
        <f>IF($P46="","",$B46/$P46-1)</f>
        <v/>
      </c>
    </row>
    <row r="47">
      <c r="A47" s="11" t="n"/>
      <c r="B47" s="29" t="n"/>
      <c r="D47" s="3" t="str">
        <f>IF($D46="","",IF($D46+1&gt;YEAR(MAX($A$8:$A$5007)),"",$D46+1))</f>
        <v/>
      </c>
      <c r="E47" s="37" t="str">
        <f>IF($D47="","",IF($G47&lt;=$F47,"",INDEX($B$8:$B$5007,MATCH($G47,$A$8:$A$5007,0))/INDEX($B$8:$B$5007,MATCH($F47,$A$8:$A$5007,0))-1))</f>
        <v/>
      </c>
      <c r="F47" s="30" t="str">
        <f>IF($D47="","",IF($D47=YEAR(MIN($A$8:$A$5007)),MIN($A$8:$A$5007),INDEX($A$8:$A$5007,MATCH(DATE($D47-1,12,31),$A$8:$A$5007,1))))</f>
        <v/>
      </c>
      <c r="G47" s="30" t="str">
        <f>IF($D47="","",INDEX($A$8:$A$5007,MATCH(DATE($D47,12,31),$A$8:$A$5007,1)))</f>
        <v/>
      </c>
      <c r="K47" s="30" t="str">
        <f>IF($A47="","",EDATE($A47,12*$E$4))</f>
        <v/>
      </c>
      <c r="L47" s="19" t="str">
        <f>IF($K47="","",IF($K47&gt;MAX($A$8:$A$5007),"",IFERROR(MATCH($K47,$A$8:$A$5007,1),"")))</f>
        <v/>
      </c>
      <c r="M47" s="30" t="str">
        <f>IF($L47="","",INDEX($A$8:$A$5007,$L47))</f>
        <v/>
      </c>
      <c r="N47" s="31" t="str">
        <f>IF($L47="","",INDEX($B$8:$B$5007,$L47))</f>
        <v/>
      </c>
      <c r="O47" s="32" t="str">
        <f>IF($M47="","",IF($K47-$M47&gt;7,"",IF($M47&lt;=$A47,"",IF(OR($B47&lt;=0,$N47&lt;=0),"",($N47/$B47)^(365/($M47-$A47))-1))))</f>
        <v/>
      </c>
      <c r="P47" s="31" t="str">
        <f>IF($B47="","",IF($P46="",$B47,MAX($P46,$B47)))</f>
        <v/>
      </c>
      <c r="Q47" s="32" t="str">
        <f>IF($P47="","",$B47/$P47-1)</f>
        <v/>
      </c>
    </row>
    <row r="48">
      <c r="A48" s="11" t="n"/>
      <c r="B48" s="29" t="n"/>
      <c r="D48" s="3" t="str">
        <f>IF($D47="","",IF($D47+1&gt;YEAR(MAX($A$8:$A$5007)),"",$D47+1))</f>
        <v/>
      </c>
      <c r="E48" s="37" t="str">
        <f>IF($D48="","",IF($G48&lt;=$F48,"",INDEX($B$8:$B$5007,MATCH($G48,$A$8:$A$5007,0))/INDEX($B$8:$B$5007,MATCH($F48,$A$8:$A$5007,0))-1))</f>
        <v/>
      </c>
      <c r="F48" s="30" t="str">
        <f>IF($D48="","",IF($D48=YEAR(MIN($A$8:$A$5007)),MIN($A$8:$A$5007),INDEX($A$8:$A$5007,MATCH(DATE($D48-1,12,31),$A$8:$A$5007,1))))</f>
        <v/>
      </c>
      <c r="G48" s="30" t="str">
        <f>IF($D48="","",INDEX($A$8:$A$5007,MATCH(DATE($D48,12,31),$A$8:$A$5007,1)))</f>
        <v/>
      </c>
      <c r="K48" s="30" t="str">
        <f>IF($A48="","",EDATE($A48,12*$E$4))</f>
        <v/>
      </c>
      <c r="L48" s="19" t="str">
        <f>IF($K48="","",IF($K48&gt;MAX($A$8:$A$5007),"",IFERROR(MATCH($K48,$A$8:$A$5007,1),"")))</f>
        <v/>
      </c>
      <c r="M48" s="30" t="str">
        <f>IF($L48="","",INDEX($A$8:$A$5007,$L48))</f>
        <v/>
      </c>
      <c r="N48" s="31" t="str">
        <f>IF($L48="","",INDEX($B$8:$B$5007,$L48))</f>
        <v/>
      </c>
      <c r="O48" s="32" t="str">
        <f>IF($M48="","",IF($K48-$M48&gt;7,"",IF($M48&lt;=$A48,"",IF(OR($B48&lt;=0,$N48&lt;=0),"",($N48/$B48)^(365/($M48-$A48))-1))))</f>
        <v/>
      </c>
      <c r="P48" s="31" t="str">
        <f>IF($B48="","",IF($P47="",$B48,MAX($P47,$B48)))</f>
        <v/>
      </c>
      <c r="Q48" s="32" t="str">
        <f>IF($P48="","",$B48/$P48-1)</f>
        <v/>
      </c>
    </row>
    <row r="49">
      <c r="A49" s="11" t="n"/>
      <c r="B49" s="29" t="n"/>
      <c r="D49" s="3" t="str">
        <f>IF($D48="","",IF($D48+1&gt;YEAR(MAX($A$8:$A$5007)),"",$D48+1))</f>
        <v/>
      </c>
      <c r="E49" s="37" t="str">
        <f>IF($D49="","",IF($G49&lt;=$F49,"",INDEX($B$8:$B$5007,MATCH($G49,$A$8:$A$5007,0))/INDEX($B$8:$B$5007,MATCH($F49,$A$8:$A$5007,0))-1))</f>
        <v/>
      </c>
      <c r="F49" s="30" t="str">
        <f>IF($D49="","",IF($D49=YEAR(MIN($A$8:$A$5007)),MIN($A$8:$A$5007),INDEX($A$8:$A$5007,MATCH(DATE($D49-1,12,31),$A$8:$A$5007,1))))</f>
        <v/>
      </c>
      <c r="G49" s="30" t="str">
        <f>IF($D49="","",INDEX($A$8:$A$5007,MATCH(DATE($D49,12,31),$A$8:$A$5007,1)))</f>
        <v/>
      </c>
      <c r="K49" s="30" t="str">
        <f>IF($A49="","",EDATE($A49,12*$E$4))</f>
        <v/>
      </c>
      <c r="L49" s="19" t="str">
        <f>IF($K49="","",IF($K49&gt;MAX($A$8:$A$5007),"",IFERROR(MATCH($K49,$A$8:$A$5007,1),"")))</f>
        <v/>
      </c>
      <c r="M49" s="30" t="str">
        <f>IF($L49="","",INDEX($A$8:$A$5007,$L49))</f>
        <v/>
      </c>
      <c r="N49" s="31" t="str">
        <f>IF($L49="","",INDEX($B$8:$B$5007,$L49))</f>
        <v/>
      </c>
      <c r="O49" s="32" t="str">
        <f>IF($M49="","",IF($K49-$M49&gt;7,"",IF($M49&lt;=$A49,"",IF(OR($B49&lt;=0,$N49&lt;=0),"",($N49/$B49)^(365/($M49-$A49))-1))))</f>
        <v/>
      </c>
      <c r="P49" s="31" t="str">
        <f>IF($B49="","",IF($P48="",$B49,MAX($P48,$B49)))</f>
        <v/>
      </c>
      <c r="Q49" s="32" t="str">
        <f>IF($P49="","",$B49/$P49-1)</f>
        <v/>
      </c>
    </row>
    <row r="50">
      <c r="A50" s="11" t="n"/>
      <c r="B50" s="29" t="n"/>
      <c r="D50" s="3" t="str">
        <f>IF($D49="","",IF($D49+1&gt;YEAR(MAX($A$8:$A$5007)),"",$D49+1))</f>
        <v/>
      </c>
      <c r="E50" s="37" t="str">
        <f>IF($D50="","",IF($G50&lt;=$F50,"",INDEX($B$8:$B$5007,MATCH($G50,$A$8:$A$5007,0))/INDEX($B$8:$B$5007,MATCH($F50,$A$8:$A$5007,0))-1))</f>
        <v/>
      </c>
      <c r="F50" s="30" t="str">
        <f>IF($D50="","",IF($D50=YEAR(MIN($A$8:$A$5007)),MIN($A$8:$A$5007),INDEX($A$8:$A$5007,MATCH(DATE($D50-1,12,31),$A$8:$A$5007,1))))</f>
        <v/>
      </c>
      <c r="G50" s="30" t="str">
        <f>IF($D50="","",INDEX($A$8:$A$5007,MATCH(DATE($D50,12,31),$A$8:$A$5007,1)))</f>
        <v/>
      </c>
      <c r="K50" s="30" t="str">
        <f>IF($A50="","",EDATE($A50,12*$E$4))</f>
        <v/>
      </c>
      <c r="L50" s="19" t="str">
        <f>IF($K50="","",IF($K50&gt;MAX($A$8:$A$5007),"",IFERROR(MATCH($K50,$A$8:$A$5007,1),"")))</f>
        <v/>
      </c>
      <c r="M50" s="30" t="str">
        <f>IF($L50="","",INDEX($A$8:$A$5007,$L50))</f>
        <v/>
      </c>
      <c r="N50" s="31" t="str">
        <f>IF($L50="","",INDEX($B$8:$B$5007,$L50))</f>
        <v/>
      </c>
      <c r="O50" s="32" t="str">
        <f>IF($M50="","",IF($K50-$M50&gt;7,"",IF($M50&lt;=$A50,"",IF(OR($B50&lt;=0,$N50&lt;=0),"",($N50/$B50)^(365/($M50-$A50))-1))))</f>
        <v/>
      </c>
      <c r="P50" s="31" t="str">
        <f>IF($B50="","",IF($P49="",$B50,MAX($P49,$B50)))</f>
        <v/>
      </c>
      <c r="Q50" s="32" t="str">
        <f>IF($P50="","",$B50/$P50-1)</f>
        <v/>
      </c>
    </row>
    <row r="51">
      <c r="A51" s="11" t="n"/>
      <c r="B51" s="29" t="n"/>
      <c r="D51" s="3" t="str">
        <f>IF($D50="","",IF($D50+1&gt;YEAR(MAX($A$8:$A$5007)),"",$D50+1))</f>
        <v/>
      </c>
      <c r="E51" s="37" t="str">
        <f>IF($D51="","",IF($G51&lt;=$F51,"",INDEX($B$8:$B$5007,MATCH($G51,$A$8:$A$5007,0))/INDEX($B$8:$B$5007,MATCH($F51,$A$8:$A$5007,0))-1))</f>
        <v/>
      </c>
      <c r="F51" s="30" t="str">
        <f>IF($D51="","",IF($D51=YEAR(MIN($A$8:$A$5007)),MIN($A$8:$A$5007),INDEX($A$8:$A$5007,MATCH(DATE($D51-1,12,31),$A$8:$A$5007,1))))</f>
        <v/>
      </c>
      <c r="G51" s="30" t="str">
        <f>IF($D51="","",INDEX($A$8:$A$5007,MATCH(DATE($D51,12,31),$A$8:$A$5007,1)))</f>
        <v/>
      </c>
      <c r="K51" s="30" t="str">
        <f>IF($A51="","",EDATE($A51,12*$E$4))</f>
        <v/>
      </c>
      <c r="L51" s="19" t="str">
        <f>IF($K51="","",IF($K51&gt;MAX($A$8:$A$5007),"",IFERROR(MATCH($K51,$A$8:$A$5007,1),"")))</f>
        <v/>
      </c>
      <c r="M51" s="30" t="str">
        <f>IF($L51="","",INDEX($A$8:$A$5007,$L51))</f>
        <v/>
      </c>
      <c r="N51" s="31" t="str">
        <f>IF($L51="","",INDEX($B$8:$B$5007,$L51))</f>
        <v/>
      </c>
      <c r="O51" s="32" t="str">
        <f>IF($M51="","",IF($K51-$M51&gt;7,"",IF($M51&lt;=$A51,"",IF(OR($B51&lt;=0,$N51&lt;=0),"",($N51/$B51)^(365/($M51-$A51))-1))))</f>
        <v/>
      </c>
      <c r="P51" s="31" t="str">
        <f>IF($B51="","",IF($P50="",$B51,MAX($P50,$B51)))</f>
        <v/>
      </c>
      <c r="Q51" s="32" t="str">
        <f>IF($P51="","",$B51/$P51-1)</f>
        <v/>
      </c>
    </row>
    <row r="52">
      <c r="A52" s="11" t="n"/>
      <c r="B52" s="29" t="n"/>
      <c r="D52" s="3" t="str">
        <f>IF($D51="","",IF($D51+1&gt;YEAR(MAX($A$8:$A$5007)),"",$D51+1))</f>
        <v/>
      </c>
      <c r="E52" s="37" t="str">
        <f>IF($D52="","",IF($G52&lt;=$F52,"",INDEX($B$8:$B$5007,MATCH($G52,$A$8:$A$5007,0))/INDEX($B$8:$B$5007,MATCH($F52,$A$8:$A$5007,0))-1))</f>
        <v/>
      </c>
      <c r="F52" s="30" t="str">
        <f>IF($D52="","",IF($D52=YEAR(MIN($A$8:$A$5007)),MIN($A$8:$A$5007),INDEX($A$8:$A$5007,MATCH(DATE($D52-1,12,31),$A$8:$A$5007,1))))</f>
        <v/>
      </c>
      <c r="G52" s="30" t="str">
        <f>IF($D52="","",INDEX($A$8:$A$5007,MATCH(DATE($D52,12,31),$A$8:$A$5007,1)))</f>
        <v/>
      </c>
      <c r="K52" s="30" t="str">
        <f>IF($A52="","",EDATE($A52,12*$E$4))</f>
        <v/>
      </c>
      <c r="L52" s="19" t="str">
        <f>IF($K52="","",IF($K52&gt;MAX($A$8:$A$5007),"",IFERROR(MATCH($K52,$A$8:$A$5007,1),"")))</f>
        <v/>
      </c>
      <c r="M52" s="30" t="str">
        <f>IF($L52="","",INDEX($A$8:$A$5007,$L52))</f>
        <v/>
      </c>
      <c r="N52" s="31" t="str">
        <f>IF($L52="","",INDEX($B$8:$B$5007,$L52))</f>
        <v/>
      </c>
      <c r="O52" s="32" t="str">
        <f>IF($M52="","",IF($K52-$M52&gt;7,"",IF($M52&lt;=$A52,"",IF(OR($B52&lt;=0,$N52&lt;=0),"",($N52/$B52)^(365/($M52-$A52))-1))))</f>
        <v/>
      </c>
      <c r="P52" s="31" t="str">
        <f>IF($B52="","",IF($P51="",$B52,MAX($P51,$B52)))</f>
        <v/>
      </c>
      <c r="Q52" s="32" t="str">
        <f>IF($P52="","",$B52/$P52-1)</f>
        <v/>
      </c>
    </row>
    <row r="53">
      <c r="A53" s="11" t="n"/>
      <c r="B53" s="29" t="n"/>
      <c r="D53" s="3" t="str">
        <f>IF($D52="","",IF($D52+1&gt;YEAR(MAX($A$8:$A$5007)),"",$D52+1))</f>
        <v/>
      </c>
      <c r="E53" s="37" t="str">
        <f>IF($D53="","",IF($G53&lt;=$F53,"",INDEX($B$8:$B$5007,MATCH($G53,$A$8:$A$5007,0))/INDEX($B$8:$B$5007,MATCH($F53,$A$8:$A$5007,0))-1))</f>
        <v/>
      </c>
      <c r="F53" s="30" t="str">
        <f>IF($D53="","",IF($D53=YEAR(MIN($A$8:$A$5007)),MIN($A$8:$A$5007),INDEX($A$8:$A$5007,MATCH(DATE($D53-1,12,31),$A$8:$A$5007,1))))</f>
        <v/>
      </c>
      <c r="G53" s="30" t="str">
        <f>IF($D53="","",INDEX($A$8:$A$5007,MATCH(DATE($D53,12,31),$A$8:$A$5007,1)))</f>
        <v/>
      </c>
      <c r="K53" s="30" t="str">
        <f>IF($A53="","",EDATE($A53,12*$E$4))</f>
        <v/>
      </c>
      <c r="L53" s="19" t="str">
        <f>IF($K53="","",IF($K53&gt;MAX($A$8:$A$5007),"",IFERROR(MATCH($K53,$A$8:$A$5007,1),"")))</f>
        <v/>
      </c>
      <c r="M53" s="30" t="str">
        <f>IF($L53="","",INDEX($A$8:$A$5007,$L53))</f>
        <v/>
      </c>
      <c r="N53" s="31" t="str">
        <f>IF($L53="","",INDEX($B$8:$B$5007,$L53))</f>
        <v/>
      </c>
      <c r="O53" s="32" t="str">
        <f>IF($M53="","",IF($K53-$M53&gt;7,"",IF($M53&lt;=$A53,"",IF(OR($B53&lt;=0,$N53&lt;=0),"",($N53/$B53)^(365/($M53-$A53))-1))))</f>
        <v/>
      </c>
      <c r="P53" s="31" t="str">
        <f>IF($B53="","",IF($P52="",$B53,MAX($P52,$B53)))</f>
        <v/>
      </c>
      <c r="Q53" s="32" t="str">
        <f>IF($P53="","",$B53/$P53-1)</f>
        <v/>
      </c>
    </row>
    <row r="54">
      <c r="A54" s="11" t="n"/>
      <c r="B54" s="29" t="n"/>
      <c r="D54" s="3" t="str">
        <f>IF($D53="","",IF($D53+1&gt;YEAR(MAX($A$8:$A$5007)),"",$D53+1))</f>
        <v/>
      </c>
      <c r="E54" s="37" t="str">
        <f>IF($D54="","",IF($G54&lt;=$F54,"",INDEX($B$8:$B$5007,MATCH($G54,$A$8:$A$5007,0))/INDEX($B$8:$B$5007,MATCH($F54,$A$8:$A$5007,0))-1))</f>
        <v/>
      </c>
      <c r="F54" s="30" t="str">
        <f>IF($D54="","",IF($D54=YEAR(MIN($A$8:$A$5007)),MIN($A$8:$A$5007),INDEX($A$8:$A$5007,MATCH(DATE($D54-1,12,31),$A$8:$A$5007,1))))</f>
        <v/>
      </c>
      <c r="G54" s="30" t="str">
        <f>IF($D54="","",INDEX($A$8:$A$5007,MATCH(DATE($D54,12,31),$A$8:$A$5007,1)))</f>
        <v/>
      </c>
      <c r="K54" s="30" t="str">
        <f>IF($A54="","",EDATE($A54,12*$E$4))</f>
        <v/>
      </c>
      <c r="L54" s="19" t="str">
        <f>IF($K54="","",IF($K54&gt;MAX($A$8:$A$5007),"",IFERROR(MATCH($K54,$A$8:$A$5007,1),"")))</f>
        <v/>
      </c>
      <c r="M54" s="30" t="str">
        <f>IF($L54="","",INDEX($A$8:$A$5007,$L54))</f>
        <v/>
      </c>
      <c r="N54" s="31" t="str">
        <f>IF($L54="","",INDEX($B$8:$B$5007,$L54))</f>
        <v/>
      </c>
      <c r="O54" s="32" t="str">
        <f>IF($M54="","",IF($K54-$M54&gt;7,"",IF($M54&lt;=$A54,"",IF(OR($B54&lt;=0,$N54&lt;=0),"",($N54/$B54)^(365/($M54-$A54))-1))))</f>
        <v/>
      </c>
      <c r="P54" s="31" t="str">
        <f>IF($B54="","",IF($P53="",$B54,MAX($P53,$B54)))</f>
        <v/>
      </c>
      <c r="Q54" s="32" t="str">
        <f>IF($P54="","",$B54/$P54-1)</f>
        <v/>
      </c>
    </row>
    <row r="55">
      <c r="A55" s="11" t="n"/>
      <c r="B55" s="29" t="n"/>
      <c r="D55" s="3" t="str">
        <f>IF($D54="","",IF($D54+1&gt;YEAR(MAX($A$8:$A$5007)),"",$D54+1))</f>
        <v/>
      </c>
      <c r="E55" s="37" t="str">
        <f>IF($D55="","",IF($G55&lt;=$F55,"",INDEX($B$8:$B$5007,MATCH($G55,$A$8:$A$5007,0))/INDEX($B$8:$B$5007,MATCH($F55,$A$8:$A$5007,0))-1))</f>
        <v/>
      </c>
      <c r="F55" s="30" t="str">
        <f>IF($D55="","",IF($D55=YEAR(MIN($A$8:$A$5007)),MIN($A$8:$A$5007),INDEX($A$8:$A$5007,MATCH(DATE($D55-1,12,31),$A$8:$A$5007,1))))</f>
        <v/>
      </c>
      <c r="G55" s="30" t="str">
        <f>IF($D55="","",INDEX($A$8:$A$5007,MATCH(DATE($D55,12,31),$A$8:$A$5007,1)))</f>
        <v/>
      </c>
      <c r="K55" s="30" t="str">
        <f>IF($A55="","",EDATE($A55,12*$E$4))</f>
        <v/>
      </c>
      <c r="L55" s="19" t="str">
        <f>IF($K55="","",IF($K55&gt;MAX($A$8:$A$5007),"",IFERROR(MATCH($K55,$A$8:$A$5007,1),"")))</f>
        <v/>
      </c>
      <c r="M55" s="30" t="str">
        <f>IF($L55="","",INDEX($A$8:$A$5007,$L55))</f>
        <v/>
      </c>
      <c r="N55" s="31" t="str">
        <f>IF($L55="","",INDEX($B$8:$B$5007,$L55))</f>
        <v/>
      </c>
      <c r="O55" s="32" t="str">
        <f>IF($M55="","",IF($K55-$M55&gt;7,"",IF($M55&lt;=$A55,"",IF(OR($B55&lt;=0,$N55&lt;=0),"",($N55/$B55)^(365/($M55-$A55))-1))))</f>
        <v/>
      </c>
      <c r="P55" s="31" t="str">
        <f>IF($B55="","",IF($P54="",$B55,MAX($P54,$B55)))</f>
        <v/>
      </c>
      <c r="Q55" s="32" t="str">
        <f>IF($P55="","",$B55/$P55-1)</f>
        <v/>
      </c>
    </row>
    <row r="56">
      <c r="A56" s="11" t="n"/>
      <c r="B56" s="29" t="n"/>
      <c r="D56" s="3" t="str">
        <f>IF($D55="","",IF($D55+1&gt;YEAR(MAX($A$8:$A$5007)),"",$D55+1))</f>
        <v/>
      </c>
      <c r="E56" s="37" t="str">
        <f>IF($D56="","",IF($G56&lt;=$F56,"",INDEX($B$8:$B$5007,MATCH($G56,$A$8:$A$5007,0))/INDEX($B$8:$B$5007,MATCH($F56,$A$8:$A$5007,0))-1))</f>
        <v/>
      </c>
      <c r="F56" s="30" t="str">
        <f>IF($D56="","",IF($D56=YEAR(MIN($A$8:$A$5007)),MIN($A$8:$A$5007),INDEX($A$8:$A$5007,MATCH(DATE($D56-1,12,31),$A$8:$A$5007,1))))</f>
        <v/>
      </c>
      <c r="G56" s="30" t="str">
        <f>IF($D56="","",INDEX($A$8:$A$5007,MATCH(DATE($D56,12,31),$A$8:$A$5007,1)))</f>
        <v/>
      </c>
      <c r="K56" s="30" t="str">
        <f>IF($A56="","",EDATE($A56,12*$E$4))</f>
        <v/>
      </c>
      <c r="L56" s="19" t="str">
        <f>IF($K56="","",IF($K56&gt;MAX($A$8:$A$5007),"",IFERROR(MATCH($K56,$A$8:$A$5007,1),"")))</f>
        <v/>
      </c>
      <c r="M56" s="30" t="str">
        <f>IF($L56="","",INDEX($A$8:$A$5007,$L56))</f>
        <v/>
      </c>
      <c r="N56" s="31" t="str">
        <f>IF($L56="","",INDEX($B$8:$B$5007,$L56))</f>
        <v/>
      </c>
      <c r="O56" s="32" t="str">
        <f>IF($M56="","",IF($K56-$M56&gt;7,"",IF($M56&lt;=$A56,"",IF(OR($B56&lt;=0,$N56&lt;=0),"",($N56/$B56)^(365/($M56-$A56))-1))))</f>
        <v/>
      </c>
      <c r="P56" s="31" t="str">
        <f>IF($B56="","",IF($P55="",$B56,MAX($P55,$B56)))</f>
        <v/>
      </c>
      <c r="Q56" s="32" t="str">
        <f>IF($P56="","",$B56/$P56-1)</f>
        <v/>
      </c>
    </row>
    <row r="57">
      <c r="A57" s="11" t="n"/>
      <c r="B57" s="29" t="n"/>
      <c r="D57" s="3" t="str">
        <f>IF($D56="","",IF($D56+1&gt;YEAR(MAX($A$8:$A$5007)),"",$D56+1))</f>
        <v/>
      </c>
      <c r="E57" s="37" t="str">
        <f>IF($D57="","",IF($G57&lt;=$F57,"",INDEX($B$8:$B$5007,MATCH($G57,$A$8:$A$5007,0))/INDEX($B$8:$B$5007,MATCH($F57,$A$8:$A$5007,0))-1))</f>
        <v/>
      </c>
      <c r="F57" s="30" t="str">
        <f>IF($D57="","",IF($D57=YEAR(MIN($A$8:$A$5007)),MIN($A$8:$A$5007),INDEX($A$8:$A$5007,MATCH(DATE($D57-1,12,31),$A$8:$A$5007,1))))</f>
        <v/>
      </c>
      <c r="G57" s="30" t="str">
        <f>IF($D57="","",INDEX($A$8:$A$5007,MATCH(DATE($D57,12,31),$A$8:$A$5007,1)))</f>
        <v/>
      </c>
      <c r="K57" s="30" t="str">
        <f>IF($A57="","",EDATE($A57,12*$E$4))</f>
        <v/>
      </c>
      <c r="L57" s="19" t="str">
        <f>IF($K57="","",IF($K57&gt;MAX($A$8:$A$5007),"",IFERROR(MATCH($K57,$A$8:$A$5007,1),"")))</f>
        <v/>
      </c>
      <c r="M57" s="30" t="str">
        <f>IF($L57="","",INDEX($A$8:$A$5007,$L57))</f>
        <v/>
      </c>
      <c r="N57" s="31" t="str">
        <f>IF($L57="","",INDEX($B$8:$B$5007,$L57))</f>
        <v/>
      </c>
      <c r="O57" s="32" t="str">
        <f>IF($M57="","",IF($K57-$M57&gt;7,"",IF($M57&lt;=$A57,"",IF(OR($B57&lt;=0,$N57&lt;=0),"",($N57/$B57)^(365/($M57-$A57))-1))))</f>
        <v/>
      </c>
      <c r="P57" s="31" t="str">
        <f>IF($B57="","",IF($P56="",$B57,MAX($P56,$B57)))</f>
        <v/>
      </c>
      <c r="Q57" s="32" t="str">
        <f>IF($P57="","",$B57/$P57-1)</f>
        <v/>
      </c>
    </row>
    <row r="58">
      <c r="A58" s="11" t="n"/>
      <c r="B58" s="29" t="n"/>
      <c r="D58" s="3" t="str">
        <f>IF($D57="","",IF($D57+1&gt;YEAR(MAX($A$8:$A$5007)),"",$D57+1))</f>
        <v/>
      </c>
      <c r="E58" s="37" t="str">
        <f>IF($D58="","",IF($G58&lt;=$F58,"",INDEX($B$8:$B$5007,MATCH($G58,$A$8:$A$5007,0))/INDEX($B$8:$B$5007,MATCH($F58,$A$8:$A$5007,0))-1))</f>
        <v/>
      </c>
      <c r="F58" s="30" t="str">
        <f>IF($D58="","",IF($D58=YEAR(MIN($A$8:$A$5007)),MIN($A$8:$A$5007),INDEX($A$8:$A$5007,MATCH(DATE($D58-1,12,31),$A$8:$A$5007,1))))</f>
        <v/>
      </c>
      <c r="G58" s="30" t="str">
        <f>IF($D58="","",INDEX($A$8:$A$5007,MATCH(DATE($D58,12,31),$A$8:$A$5007,1)))</f>
        <v/>
      </c>
      <c r="K58" s="30" t="str">
        <f>IF($A58="","",EDATE($A58,12*$E$4))</f>
        <v/>
      </c>
      <c r="L58" s="19" t="str">
        <f>IF($K58="","",IF($K58&gt;MAX($A$8:$A$5007),"",IFERROR(MATCH($K58,$A$8:$A$5007,1),"")))</f>
        <v/>
      </c>
      <c r="M58" s="30" t="str">
        <f>IF($L58="","",INDEX($A$8:$A$5007,$L58))</f>
        <v/>
      </c>
      <c r="N58" s="31" t="str">
        <f>IF($L58="","",INDEX($B$8:$B$5007,$L58))</f>
        <v/>
      </c>
      <c r="O58" s="32" t="str">
        <f>IF($M58="","",IF($K58-$M58&gt;7,"",IF($M58&lt;=$A58,"",IF(OR($B58&lt;=0,$N58&lt;=0),"",($N58/$B58)^(365/($M58-$A58))-1))))</f>
        <v/>
      </c>
      <c r="P58" s="31" t="str">
        <f>IF($B58="","",IF($P57="",$B58,MAX($P57,$B58)))</f>
        <v/>
      </c>
      <c r="Q58" s="32" t="str">
        <f>IF($P58="","",$B58/$P58-1)</f>
        <v/>
      </c>
    </row>
    <row r="59">
      <c r="A59" s="11" t="n"/>
      <c r="B59" s="29" t="n"/>
      <c r="D59" s="3" t="str">
        <f>IF($D58="","",IF($D58+1&gt;YEAR(MAX($A$8:$A$5007)),"",$D58+1))</f>
        <v/>
      </c>
      <c r="E59" s="37" t="str">
        <f>IF($D59="","",IF($G59&lt;=$F59,"",INDEX($B$8:$B$5007,MATCH($G59,$A$8:$A$5007,0))/INDEX($B$8:$B$5007,MATCH($F59,$A$8:$A$5007,0))-1))</f>
        <v/>
      </c>
      <c r="F59" s="30" t="str">
        <f>IF($D59="","",IF($D59=YEAR(MIN($A$8:$A$5007)),MIN($A$8:$A$5007),INDEX($A$8:$A$5007,MATCH(DATE($D59-1,12,31),$A$8:$A$5007,1))))</f>
        <v/>
      </c>
      <c r="G59" s="30" t="str">
        <f>IF($D59="","",INDEX($A$8:$A$5007,MATCH(DATE($D59,12,31),$A$8:$A$5007,1)))</f>
        <v/>
      </c>
      <c r="K59" s="30" t="str">
        <f>IF($A59="","",EDATE($A59,12*$E$4))</f>
        <v/>
      </c>
      <c r="L59" s="19" t="str">
        <f>IF($K59="","",IF($K59&gt;MAX($A$8:$A$5007),"",IFERROR(MATCH($K59,$A$8:$A$5007,1),"")))</f>
        <v/>
      </c>
      <c r="M59" s="30" t="str">
        <f>IF($L59="","",INDEX($A$8:$A$5007,$L59))</f>
        <v/>
      </c>
      <c r="N59" s="31" t="str">
        <f>IF($L59="","",INDEX($B$8:$B$5007,$L59))</f>
        <v/>
      </c>
      <c r="O59" s="32" t="str">
        <f>IF($M59="","",IF($K59-$M59&gt;7,"",IF($M59&lt;=$A59,"",IF(OR($B59&lt;=0,$N59&lt;=0),"",($N59/$B59)^(365/($M59-$A59))-1))))</f>
        <v/>
      </c>
      <c r="P59" s="31" t="str">
        <f>IF($B59="","",IF($P58="",$B59,MAX($P58,$B59)))</f>
        <v/>
      </c>
      <c r="Q59" s="32" t="str">
        <f>IF($P59="","",$B59/$P59-1)</f>
        <v/>
      </c>
    </row>
    <row r="60">
      <c r="A60" s="11" t="n"/>
      <c r="B60" s="29" t="n"/>
      <c r="D60" s="3" t="str">
        <f>IF($D59="","",IF($D59+1&gt;YEAR(MAX($A$8:$A$5007)),"",$D59+1))</f>
        <v/>
      </c>
      <c r="E60" s="37" t="str">
        <f>IF($D60="","",IF($G60&lt;=$F60,"",INDEX($B$8:$B$5007,MATCH($G60,$A$8:$A$5007,0))/INDEX($B$8:$B$5007,MATCH($F60,$A$8:$A$5007,0))-1))</f>
        <v/>
      </c>
      <c r="F60" s="30" t="str">
        <f>IF($D60="","",IF($D60=YEAR(MIN($A$8:$A$5007)),MIN($A$8:$A$5007),INDEX($A$8:$A$5007,MATCH(DATE($D60-1,12,31),$A$8:$A$5007,1))))</f>
        <v/>
      </c>
      <c r="G60" s="30" t="str">
        <f>IF($D60="","",INDEX($A$8:$A$5007,MATCH(DATE($D60,12,31),$A$8:$A$5007,1)))</f>
        <v/>
      </c>
      <c r="K60" s="30" t="str">
        <f>IF($A60="","",EDATE($A60,12*$E$4))</f>
        <v/>
      </c>
      <c r="L60" s="19" t="str">
        <f>IF($K60="","",IF($K60&gt;MAX($A$8:$A$5007),"",IFERROR(MATCH($K60,$A$8:$A$5007,1),"")))</f>
        <v/>
      </c>
      <c r="M60" s="30" t="str">
        <f>IF($L60="","",INDEX($A$8:$A$5007,$L60))</f>
        <v/>
      </c>
      <c r="N60" s="31" t="str">
        <f>IF($L60="","",INDEX($B$8:$B$5007,$L60))</f>
        <v/>
      </c>
      <c r="O60" s="32" t="str">
        <f>IF($M60="","",IF($K60-$M60&gt;7,"",IF($M60&lt;=$A60,"",IF(OR($B60&lt;=0,$N60&lt;=0),"",($N60/$B60)^(365/($M60-$A60))-1))))</f>
        <v/>
      </c>
      <c r="P60" s="31" t="str">
        <f>IF($B60="","",IF($P59="",$B60,MAX($P59,$B60)))</f>
        <v/>
      </c>
      <c r="Q60" s="32" t="str">
        <f>IF($P60="","",$B60/$P60-1)</f>
        <v/>
      </c>
    </row>
    <row r="61">
      <c r="A61" s="11" t="n"/>
      <c r="B61" s="29" t="n"/>
      <c r="D61" s="3" t="str">
        <f>IF($D60="","",IF($D60+1&gt;YEAR(MAX($A$8:$A$5007)),"",$D60+1))</f>
        <v/>
      </c>
      <c r="E61" s="37" t="str">
        <f>IF($D61="","",IF($G61&lt;=$F61,"",INDEX($B$8:$B$5007,MATCH($G61,$A$8:$A$5007,0))/INDEX($B$8:$B$5007,MATCH($F61,$A$8:$A$5007,0))-1))</f>
        <v/>
      </c>
      <c r="F61" s="30" t="str">
        <f>IF($D61="","",IF($D61=YEAR(MIN($A$8:$A$5007)),MIN($A$8:$A$5007),INDEX($A$8:$A$5007,MATCH(DATE($D61-1,12,31),$A$8:$A$5007,1))))</f>
        <v/>
      </c>
      <c r="G61" s="30" t="str">
        <f>IF($D61="","",INDEX($A$8:$A$5007,MATCH(DATE($D61,12,31),$A$8:$A$5007,1)))</f>
        <v/>
      </c>
      <c r="K61" s="30" t="str">
        <f>IF($A61="","",EDATE($A61,12*$E$4))</f>
        <v/>
      </c>
      <c r="L61" s="19" t="str">
        <f>IF($K61="","",IF($K61&gt;MAX($A$8:$A$5007),"",IFERROR(MATCH($K61,$A$8:$A$5007,1),"")))</f>
        <v/>
      </c>
      <c r="M61" s="30" t="str">
        <f>IF($L61="","",INDEX($A$8:$A$5007,$L61))</f>
        <v/>
      </c>
      <c r="N61" s="31" t="str">
        <f>IF($L61="","",INDEX($B$8:$B$5007,$L61))</f>
        <v/>
      </c>
      <c r="O61" s="32" t="str">
        <f>IF($M61="","",IF($K61-$M61&gt;7,"",IF($M61&lt;=$A61,"",IF(OR($B61&lt;=0,$N61&lt;=0),"",($N61/$B61)^(365/($M61-$A61))-1))))</f>
        <v/>
      </c>
      <c r="P61" s="31" t="str">
        <f>IF($B61="","",IF($P60="",$B61,MAX($P60,$B61)))</f>
        <v/>
      </c>
      <c r="Q61" s="32" t="str">
        <f>IF($P61="","",$B61/$P61-1)</f>
        <v/>
      </c>
    </row>
    <row r="62">
      <c r="A62" s="11" t="n"/>
      <c r="B62" s="29" t="n"/>
      <c r="D62" s="3" t="str">
        <f>IF($D61="","",IF($D61+1&gt;YEAR(MAX($A$8:$A$5007)),"",$D61+1))</f>
        <v/>
      </c>
      <c r="E62" s="37" t="str">
        <f>IF($D62="","",IF($G62&lt;=$F62,"",INDEX($B$8:$B$5007,MATCH($G62,$A$8:$A$5007,0))/INDEX($B$8:$B$5007,MATCH($F62,$A$8:$A$5007,0))-1))</f>
        <v/>
      </c>
      <c r="F62" s="30" t="str">
        <f>IF($D62="","",IF($D62=YEAR(MIN($A$8:$A$5007)),MIN($A$8:$A$5007),INDEX($A$8:$A$5007,MATCH(DATE($D62-1,12,31),$A$8:$A$5007,1))))</f>
        <v/>
      </c>
      <c r="G62" s="30" t="str">
        <f>IF($D62="","",INDEX($A$8:$A$5007,MATCH(DATE($D62,12,31),$A$8:$A$5007,1)))</f>
        <v/>
      </c>
      <c r="K62" s="30" t="str">
        <f>IF($A62="","",EDATE($A62,12*$E$4))</f>
        <v/>
      </c>
      <c r="L62" s="19" t="str">
        <f>IF($K62="","",IF($K62&gt;MAX($A$8:$A$5007),"",IFERROR(MATCH($K62,$A$8:$A$5007,1),"")))</f>
        <v/>
      </c>
      <c r="M62" s="30" t="str">
        <f>IF($L62="","",INDEX($A$8:$A$5007,$L62))</f>
        <v/>
      </c>
      <c r="N62" s="31" t="str">
        <f>IF($L62="","",INDEX($B$8:$B$5007,$L62))</f>
        <v/>
      </c>
      <c r="O62" s="32" t="str">
        <f>IF($M62="","",IF($K62-$M62&gt;7,"",IF($M62&lt;=$A62,"",IF(OR($B62&lt;=0,$N62&lt;=0),"",($N62/$B62)^(365/($M62-$A62))-1))))</f>
        <v/>
      </c>
      <c r="P62" s="31" t="str">
        <f>IF($B62="","",IF($P61="",$B62,MAX($P61,$B62)))</f>
        <v/>
      </c>
      <c r="Q62" s="32" t="str">
        <f>IF($P62="","",$B62/$P62-1)</f>
        <v/>
      </c>
    </row>
    <row r="63">
      <c r="A63" s="11" t="n"/>
      <c r="B63" s="29" t="n"/>
      <c r="D63" s="3" t="str">
        <f>IF($D62="","",IF($D62+1&gt;YEAR(MAX($A$8:$A$5007)),"",$D62+1))</f>
        <v/>
      </c>
      <c r="E63" s="37" t="str">
        <f>IF($D63="","",IF($G63&lt;=$F63,"",INDEX($B$8:$B$5007,MATCH($G63,$A$8:$A$5007,0))/INDEX($B$8:$B$5007,MATCH($F63,$A$8:$A$5007,0))-1))</f>
        <v/>
      </c>
      <c r="F63" s="30" t="str">
        <f>IF($D63="","",IF($D63=YEAR(MIN($A$8:$A$5007)),MIN($A$8:$A$5007),INDEX($A$8:$A$5007,MATCH(DATE($D63-1,12,31),$A$8:$A$5007,1))))</f>
        <v/>
      </c>
      <c r="G63" s="30" t="str">
        <f>IF($D63="","",INDEX($A$8:$A$5007,MATCH(DATE($D63,12,31),$A$8:$A$5007,1)))</f>
        <v/>
      </c>
      <c r="K63" s="30" t="str">
        <f>IF($A63="","",EDATE($A63,12*$E$4))</f>
        <v/>
      </c>
      <c r="L63" s="19" t="str">
        <f>IF($K63="","",IF($K63&gt;MAX($A$8:$A$5007),"",IFERROR(MATCH($K63,$A$8:$A$5007,1),"")))</f>
        <v/>
      </c>
      <c r="M63" s="30" t="str">
        <f>IF($L63="","",INDEX($A$8:$A$5007,$L63))</f>
        <v/>
      </c>
      <c r="N63" s="31" t="str">
        <f>IF($L63="","",INDEX($B$8:$B$5007,$L63))</f>
        <v/>
      </c>
      <c r="O63" s="32" t="str">
        <f>IF($M63="","",IF($K63-$M63&gt;7,"",IF($M63&lt;=$A63,"",IF(OR($B63&lt;=0,$N63&lt;=0),"",($N63/$B63)^(365/($M63-$A63))-1))))</f>
        <v/>
      </c>
      <c r="P63" s="31" t="str">
        <f>IF($B63="","",IF($P62="",$B63,MAX($P62,$B63)))</f>
        <v/>
      </c>
      <c r="Q63" s="32" t="str">
        <f>IF($P63="","",$B63/$P63-1)</f>
        <v/>
      </c>
    </row>
    <row r="64">
      <c r="A64" s="11" t="n"/>
      <c r="B64" s="29" t="n"/>
      <c r="D64" s="3" t="str">
        <f>IF($D63="","",IF($D63+1&gt;YEAR(MAX($A$8:$A$5007)),"",$D63+1))</f>
        <v/>
      </c>
      <c r="E64" s="37" t="str">
        <f>IF($D64="","",IF($G64&lt;=$F64,"",INDEX($B$8:$B$5007,MATCH($G64,$A$8:$A$5007,0))/INDEX($B$8:$B$5007,MATCH($F64,$A$8:$A$5007,0))-1))</f>
        <v/>
      </c>
      <c r="F64" s="30" t="str">
        <f>IF($D64="","",IF($D64=YEAR(MIN($A$8:$A$5007)),MIN($A$8:$A$5007),INDEX($A$8:$A$5007,MATCH(DATE($D64-1,12,31),$A$8:$A$5007,1))))</f>
        <v/>
      </c>
      <c r="G64" s="30" t="str">
        <f>IF($D64="","",INDEX($A$8:$A$5007,MATCH(DATE($D64,12,31),$A$8:$A$5007,1)))</f>
        <v/>
      </c>
      <c r="K64" s="30" t="str">
        <f>IF($A64="","",EDATE($A64,12*$E$4))</f>
        <v/>
      </c>
      <c r="L64" s="19" t="str">
        <f>IF($K64="","",IF($K64&gt;MAX($A$8:$A$5007),"",IFERROR(MATCH($K64,$A$8:$A$5007,1),"")))</f>
        <v/>
      </c>
      <c r="M64" s="30" t="str">
        <f>IF($L64="","",INDEX($A$8:$A$5007,$L64))</f>
        <v/>
      </c>
      <c r="N64" s="31" t="str">
        <f>IF($L64="","",INDEX($B$8:$B$5007,$L64))</f>
        <v/>
      </c>
      <c r="O64" s="32" t="str">
        <f>IF($M64="","",IF($K64-$M64&gt;7,"",IF($M64&lt;=$A64,"",IF(OR($B64&lt;=0,$N64&lt;=0),"",($N64/$B64)^(365/($M64-$A64))-1))))</f>
        <v/>
      </c>
      <c r="P64" s="31" t="str">
        <f>IF($B64="","",IF($P63="",$B64,MAX($P63,$B64)))</f>
        <v/>
      </c>
      <c r="Q64" s="32" t="str">
        <f>IF($P64="","",$B64/$P64-1)</f>
        <v/>
      </c>
    </row>
    <row r="65">
      <c r="A65" s="11" t="n"/>
      <c r="B65" s="29" t="n"/>
      <c r="D65" s="3" t="str">
        <f>IF($D64="","",IF($D64+1&gt;YEAR(MAX($A$8:$A$5007)),"",$D64+1))</f>
        <v/>
      </c>
      <c r="E65" s="37" t="str">
        <f>IF($D65="","",IF($G65&lt;=$F65,"",INDEX($B$8:$B$5007,MATCH($G65,$A$8:$A$5007,0))/INDEX($B$8:$B$5007,MATCH($F65,$A$8:$A$5007,0))-1))</f>
        <v/>
      </c>
      <c r="F65" s="30" t="str">
        <f>IF($D65="","",IF($D65=YEAR(MIN($A$8:$A$5007)),MIN($A$8:$A$5007),INDEX($A$8:$A$5007,MATCH(DATE($D65-1,12,31),$A$8:$A$5007,1))))</f>
        <v/>
      </c>
      <c r="G65" s="30" t="str">
        <f>IF($D65="","",INDEX($A$8:$A$5007,MATCH(DATE($D65,12,31),$A$8:$A$5007,1)))</f>
        <v/>
      </c>
      <c r="K65" s="30" t="str">
        <f>IF($A65="","",EDATE($A65,12*$E$4))</f>
        <v/>
      </c>
      <c r="L65" s="19" t="str">
        <f>IF($K65="","",IF($K65&gt;MAX($A$8:$A$5007),"",IFERROR(MATCH($K65,$A$8:$A$5007,1),"")))</f>
        <v/>
      </c>
      <c r="M65" s="30" t="str">
        <f>IF($L65="","",INDEX($A$8:$A$5007,$L65))</f>
        <v/>
      </c>
      <c r="N65" s="31" t="str">
        <f>IF($L65="","",INDEX($B$8:$B$5007,$L65))</f>
        <v/>
      </c>
      <c r="O65" s="32" t="str">
        <f>IF($M65="","",IF($K65-$M65&gt;7,"",IF($M65&lt;=$A65,"",IF(OR($B65&lt;=0,$N65&lt;=0),"",($N65/$B65)^(365/($M65-$A65))-1))))</f>
        <v/>
      </c>
      <c r="P65" s="31" t="str">
        <f>IF($B65="","",IF($P64="",$B65,MAX($P64,$B65)))</f>
        <v/>
      </c>
      <c r="Q65" s="32" t="str">
        <f>IF($P65="","",$B65/$P65-1)</f>
        <v/>
      </c>
    </row>
    <row r="66">
      <c r="A66" s="11" t="n"/>
      <c r="B66" s="29" t="n"/>
      <c r="D66" s="3" t="str">
        <f>IF($D65="","",IF($D65+1&gt;YEAR(MAX($A$8:$A$5007)),"",$D65+1))</f>
        <v/>
      </c>
      <c r="E66" s="37" t="str">
        <f>IF($D66="","",IF($G66&lt;=$F66,"",INDEX($B$8:$B$5007,MATCH($G66,$A$8:$A$5007,0))/INDEX($B$8:$B$5007,MATCH($F66,$A$8:$A$5007,0))-1))</f>
        <v/>
      </c>
      <c r="F66" s="30" t="str">
        <f>IF($D66="","",IF($D66=YEAR(MIN($A$8:$A$5007)),MIN($A$8:$A$5007),INDEX($A$8:$A$5007,MATCH(DATE($D66-1,12,31),$A$8:$A$5007,1))))</f>
        <v/>
      </c>
      <c r="G66" s="30" t="str">
        <f>IF($D66="","",INDEX($A$8:$A$5007,MATCH(DATE($D66,12,31),$A$8:$A$5007,1)))</f>
        <v/>
      </c>
      <c r="K66" s="30" t="str">
        <f>IF($A66="","",EDATE($A66,12*$E$4))</f>
        <v/>
      </c>
      <c r="L66" s="19" t="str">
        <f>IF($K66="","",IF($K66&gt;MAX($A$8:$A$5007),"",IFERROR(MATCH($K66,$A$8:$A$5007,1),"")))</f>
        <v/>
      </c>
      <c r="M66" s="30" t="str">
        <f>IF($L66="","",INDEX($A$8:$A$5007,$L66))</f>
        <v/>
      </c>
      <c r="N66" s="31" t="str">
        <f>IF($L66="","",INDEX($B$8:$B$5007,$L66))</f>
        <v/>
      </c>
      <c r="O66" s="32" t="str">
        <f>IF($M66="","",IF($K66-$M66&gt;7,"",IF($M66&lt;=$A66,"",IF(OR($B66&lt;=0,$N66&lt;=0),"",($N66/$B66)^(365/($M66-$A66))-1))))</f>
        <v/>
      </c>
      <c r="P66" s="31" t="str">
        <f>IF($B66="","",IF($P65="",$B66,MAX($P65,$B66)))</f>
        <v/>
      </c>
      <c r="Q66" s="32" t="str">
        <f>IF($P66="","",$B66/$P66-1)</f>
        <v/>
      </c>
    </row>
    <row r="67">
      <c r="A67" s="11" t="n"/>
      <c r="B67" s="29" t="n"/>
      <c r="D67" s="3" t="str">
        <f>IF($D66="","",IF($D66+1&gt;YEAR(MAX($A$8:$A$5007)),"",$D66+1))</f>
        <v/>
      </c>
      <c r="E67" s="37" t="str">
        <f>IF($D67="","",IF($G67&lt;=$F67,"",INDEX($B$8:$B$5007,MATCH($G67,$A$8:$A$5007,0))/INDEX($B$8:$B$5007,MATCH($F67,$A$8:$A$5007,0))-1))</f>
        <v/>
      </c>
      <c r="F67" s="30" t="str">
        <f>IF($D67="","",IF($D67=YEAR(MIN($A$8:$A$5007)),MIN($A$8:$A$5007),INDEX($A$8:$A$5007,MATCH(DATE($D67-1,12,31),$A$8:$A$5007,1))))</f>
        <v/>
      </c>
      <c r="G67" s="30" t="str">
        <f>IF($D67="","",INDEX($A$8:$A$5007,MATCH(DATE($D67,12,31),$A$8:$A$5007,1)))</f>
        <v/>
      </c>
      <c r="K67" s="30" t="str">
        <f>IF($A67="","",EDATE($A67,12*$E$4))</f>
        <v/>
      </c>
      <c r="L67" s="19" t="str">
        <f>IF($K67="","",IF($K67&gt;MAX($A$8:$A$5007),"",IFERROR(MATCH($K67,$A$8:$A$5007,1),"")))</f>
        <v/>
      </c>
      <c r="M67" s="30" t="str">
        <f>IF($L67="","",INDEX($A$8:$A$5007,$L67))</f>
        <v/>
      </c>
      <c r="N67" s="31" t="str">
        <f>IF($L67="","",INDEX($B$8:$B$5007,$L67))</f>
        <v/>
      </c>
      <c r="O67" s="32" t="str">
        <f>IF($M67="","",IF($K67-$M67&gt;7,"",IF($M67&lt;=$A67,"",IF(OR($B67&lt;=0,$N67&lt;=0),"",($N67/$B67)^(365/($M67-$A67))-1))))</f>
        <v/>
      </c>
      <c r="P67" s="31" t="str">
        <f>IF($B67="","",IF($P66="",$B67,MAX($P66,$B67)))</f>
        <v/>
      </c>
      <c r="Q67" s="32" t="str">
        <f>IF($P67="","",$B67/$P67-1)</f>
        <v/>
      </c>
    </row>
    <row r="68">
      <c r="A68" s="11" t="n"/>
      <c r="B68" s="29" t="n"/>
      <c r="D68" s="3" t="str">
        <f>IF($D67="","",IF($D67+1&gt;YEAR(MAX($A$8:$A$5007)),"",$D67+1))</f>
        <v/>
      </c>
      <c r="E68" s="37" t="str">
        <f>IF($D68="","",IF($G68&lt;=$F68,"",INDEX($B$8:$B$5007,MATCH($G68,$A$8:$A$5007,0))/INDEX($B$8:$B$5007,MATCH($F68,$A$8:$A$5007,0))-1))</f>
        <v/>
      </c>
      <c r="F68" s="30" t="str">
        <f>IF($D68="","",IF($D68=YEAR(MIN($A$8:$A$5007)),MIN($A$8:$A$5007),INDEX($A$8:$A$5007,MATCH(DATE($D68-1,12,31),$A$8:$A$5007,1))))</f>
        <v/>
      </c>
      <c r="G68" s="30" t="str">
        <f>IF($D68="","",INDEX($A$8:$A$5007,MATCH(DATE($D68,12,31),$A$8:$A$5007,1)))</f>
        <v/>
      </c>
      <c r="K68" s="30" t="str">
        <f>IF($A68="","",EDATE($A68,12*$E$4))</f>
        <v/>
      </c>
      <c r="L68" s="19" t="str">
        <f>IF($K68="","",IF($K68&gt;MAX($A$8:$A$5007),"",IFERROR(MATCH($K68,$A$8:$A$5007,1),"")))</f>
        <v/>
      </c>
      <c r="M68" s="30" t="str">
        <f>IF($L68="","",INDEX($A$8:$A$5007,$L68))</f>
        <v/>
      </c>
      <c r="N68" s="31" t="str">
        <f>IF($L68="","",INDEX($B$8:$B$5007,$L68))</f>
        <v/>
      </c>
      <c r="O68" s="32" t="str">
        <f>IF($M68="","",IF($K68-$M68&gt;7,"",IF($M68&lt;=$A68,"",IF(OR($B68&lt;=0,$N68&lt;=0),"",($N68/$B68)^(365/($M68-$A68))-1))))</f>
        <v/>
      </c>
      <c r="P68" s="31" t="str">
        <f>IF($B68="","",IF($P67="",$B68,MAX($P67,$B68)))</f>
        <v/>
      </c>
      <c r="Q68" s="32" t="str">
        <f>IF($P68="","",$B68/$P68-1)</f>
        <v/>
      </c>
    </row>
    <row r="69">
      <c r="A69" s="11" t="n"/>
      <c r="B69" s="29" t="n"/>
      <c r="D69" s="3" t="str">
        <f>IF($D68="","",IF($D68+1&gt;YEAR(MAX($A$8:$A$5007)),"",$D68+1))</f>
        <v/>
      </c>
      <c r="E69" s="37" t="str">
        <f>IF($D69="","",IF($G69&lt;=$F69,"",INDEX($B$8:$B$5007,MATCH($G69,$A$8:$A$5007,0))/INDEX($B$8:$B$5007,MATCH($F69,$A$8:$A$5007,0))-1))</f>
        <v/>
      </c>
      <c r="F69" s="30" t="str">
        <f>IF($D69="","",IF($D69=YEAR(MIN($A$8:$A$5007)),MIN($A$8:$A$5007),INDEX($A$8:$A$5007,MATCH(DATE($D69-1,12,31),$A$8:$A$5007,1))))</f>
        <v/>
      </c>
      <c r="G69" s="30" t="str">
        <f>IF($D69="","",INDEX($A$8:$A$5007,MATCH(DATE($D69,12,31),$A$8:$A$5007,1)))</f>
        <v/>
      </c>
      <c r="K69" s="30" t="str">
        <f>IF($A69="","",EDATE($A69,12*$E$4))</f>
        <v/>
      </c>
      <c r="L69" s="19" t="str">
        <f>IF($K69="","",IF($K69&gt;MAX($A$8:$A$5007),"",IFERROR(MATCH($K69,$A$8:$A$5007,1),"")))</f>
        <v/>
      </c>
      <c r="M69" s="30" t="str">
        <f>IF($L69="","",INDEX($A$8:$A$5007,$L69))</f>
        <v/>
      </c>
      <c r="N69" s="31" t="str">
        <f>IF($L69="","",INDEX($B$8:$B$5007,$L69))</f>
        <v/>
      </c>
      <c r="O69" s="32" t="str">
        <f>IF($M69="","",IF($K69-$M69&gt;7,"",IF($M69&lt;=$A69,"",IF(OR($B69&lt;=0,$N69&lt;=0),"",($N69/$B69)^(365/($M69-$A69))-1))))</f>
        <v/>
      </c>
      <c r="P69" s="31" t="str">
        <f>IF($B69="","",IF($P68="",$B69,MAX($P68,$B69)))</f>
        <v/>
      </c>
      <c r="Q69" s="32" t="str">
        <f>IF($P69="","",$B69/$P69-1)</f>
        <v/>
      </c>
    </row>
    <row r="70">
      <c r="A70" s="11" t="n"/>
      <c r="B70" s="29" t="n"/>
      <c r="D70" s="3" t="str">
        <f>IF($D69="","",IF($D69+1&gt;YEAR(MAX($A$8:$A$5007)),"",$D69+1))</f>
        <v/>
      </c>
      <c r="E70" s="37" t="str">
        <f>IF($D70="","",IF($G70&lt;=$F70,"",INDEX($B$8:$B$5007,MATCH($G70,$A$8:$A$5007,0))/INDEX($B$8:$B$5007,MATCH($F70,$A$8:$A$5007,0))-1))</f>
        <v/>
      </c>
      <c r="F70" s="30" t="str">
        <f>IF($D70="","",IF($D70=YEAR(MIN($A$8:$A$5007)),MIN($A$8:$A$5007),INDEX($A$8:$A$5007,MATCH(DATE($D70-1,12,31),$A$8:$A$5007,1))))</f>
        <v/>
      </c>
      <c r="G70" s="30" t="str">
        <f>IF($D70="","",INDEX($A$8:$A$5007,MATCH(DATE($D70,12,31),$A$8:$A$5007,1)))</f>
        <v/>
      </c>
      <c r="K70" s="30" t="str">
        <f>IF($A70="","",EDATE($A70,12*$E$4))</f>
        <v/>
      </c>
      <c r="L70" s="19" t="str">
        <f>IF($K70="","",IF($K70&gt;MAX($A$8:$A$5007),"",IFERROR(MATCH($K70,$A$8:$A$5007,1),"")))</f>
        <v/>
      </c>
      <c r="M70" s="30" t="str">
        <f>IF($L70="","",INDEX($A$8:$A$5007,$L70))</f>
        <v/>
      </c>
      <c r="N70" s="31" t="str">
        <f>IF($L70="","",INDEX($B$8:$B$5007,$L70))</f>
        <v/>
      </c>
      <c r="O70" s="32" t="str">
        <f>IF($M70="","",IF($K70-$M70&gt;7,"",IF($M70&lt;=$A70,"",IF(OR($B70&lt;=0,$N70&lt;=0),"",($N70/$B70)^(365/($M70-$A70))-1))))</f>
        <v/>
      </c>
      <c r="P70" s="31" t="str">
        <f>IF($B70="","",IF($P69="",$B70,MAX($P69,$B70)))</f>
        <v/>
      </c>
      <c r="Q70" s="32" t="str">
        <f>IF($P70="","",$B70/$P70-1)</f>
        <v/>
      </c>
    </row>
    <row r="71">
      <c r="A71" s="11" t="n"/>
      <c r="B71" s="29" t="n"/>
      <c r="D71" s="3" t="str">
        <f>IF($D70="","",IF($D70+1&gt;YEAR(MAX($A$8:$A$5007)),"",$D70+1))</f>
        <v/>
      </c>
      <c r="E71" s="37" t="str">
        <f>IF($D71="","",IF($G71&lt;=$F71,"",INDEX($B$8:$B$5007,MATCH($G71,$A$8:$A$5007,0))/INDEX($B$8:$B$5007,MATCH($F71,$A$8:$A$5007,0))-1))</f>
        <v/>
      </c>
      <c r="F71" s="30" t="str">
        <f>IF($D71="","",IF($D71=YEAR(MIN($A$8:$A$5007)),MIN($A$8:$A$5007),INDEX($A$8:$A$5007,MATCH(DATE($D71-1,12,31),$A$8:$A$5007,1))))</f>
        <v/>
      </c>
      <c r="G71" s="30" t="str">
        <f>IF($D71="","",INDEX($A$8:$A$5007,MATCH(DATE($D71,12,31),$A$8:$A$5007,1)))</f>
        <v/>
      </c>
      <c r="K71" s="30" t="str">
        <f>IF($A71="","",EDATE($A71,12*$E$4))</f>
        <v/>
      </c>
      <c r="L71" s="19" t="str">
        <f>IF($K71="","",IF($K71&gt;MAX($A$8:$A$5007),"",IFERROR(MATCH($K71,$A$8:$A$5007,1),"")))</f>
        <v/>
      </c>
      <c r="M71" s="30" t="str">
        <f>IF($L71="","",INDEX($A$8:$A$5007,$L71))</f>
        <v/>
      </c>
      <c r="N71" s="31" t="str">
        <f>IF($L71="","",INDEX($B$8:$B$5007,$L71))</f>
        <v/>
      </c>
      <c r="O71" s="32" t="str">
        <f>IF($M71="","",IF($K71-$M71&gt;7,"",IF($M71&lt;=$A71,"",IF(OR($B71&lt;=0,$N71&lt;=0),"",($N71/$B71)^(365/($M71-$A71))-1))))</f>
        <v/>
      </c>
      <c r="P71" s="31" t="str">
        <f>IF($B71="","",IF($P70="",$B71,MAX($P70,$B71)))</f>
        <v/>
      </c>
      <c r="Q71" s="32" t="str">
        <f>IF($P71="","",$B71/$P71-1)</f>
        <v/>
      </c>
    </row>
    <row r="72">
      <c r="A72" s="11" t="n"/>
      <c r="B72" s="29" t="n"/>
      <c r="D72" s="3" t="str">
        <f>IF($D71="","",IF($D71+1&gt;YEAR(MAX($A$8:$A$5007)),"",$D71+1))</f>
        <v/>
      </c>
      <c r="E72" s="37" t="str">
        <f>IF($D72="","",IF($G72&lt;=$F72,"",INDEX($B$8:$B$5007,MATCH($G72,$A$8:$A$5007,0))/INDEX($B$8:$B$5007,MATCH($F72,$A$8:$A$5007,0))-1))</f>
        <v/>
      </c>
      <c r="F72" s="30" t="str">
        <f>IF($D72="","",IF($D72=YEAR(MIN($A$8:$A$5007)),MIN($A$8:$A$5007),INDEX($A$8:$A$5007,MATCH(DATE($D72-1,12,31),$A$8:$A$5007,1))))</f>
        <v/>
      </c>
      <c r="G72" s="30" t="str">
        <f>IF($D72="","",INDEX($A$8:$A$5007,MATCH(DATE($D72,12,31),$A$8:$A$5007,1)))</f>
        <v/>
      </c>
      <c r="K72" s="30" t="str">
        <f>IF($A72="","",EDATE($A72,12*$E$4))</f>
        <v/>
      </c>
      <c r="L72" s="19" t="str">
        <f>IF($K72="","",IF($K72&gt;MAX($A$8:$A$5007),"",IFERROR(MATCH($K72,$A$8:$A$5007,1),"")))</f>
        <v/>
      </c>
      <c r="M72" s="30" t="str">
        <f>IF($L72="","",INDEX($A$8:$A$5007,$L72))</f>
        <v/>
      </c>
      <c r="N72" s="31" t="str">
        <f>IF($L72="","",INDEX($B$8:$B$5007,$L72))</f>
        <v/>
      </c>
      <c r="O72" s="32" t="str">
        <f>IF($M72="","",IF($K72-$M72&gt;7,"",IF($M72&lt;=$A72,"",IF(OR($B72&lt;=0,$N72&lt;=0),"",($N72/$B72)^(365/($M72-$A72))-1))))</f>
        <v/>
      </c>
      <c r="P72" s="31" t="str">
        <f>IF($B72="","",IF($P71="",$B72,MAX($P71,$B72)))</f>
        <v/>
      </c>
      <c r="Q72" s="32" t="str">
        <f>IF($P72="","",$B72/$P72-1)</f>
        <v/>
      </c>
    </row>
    <row r="73">
      <c r="A73" s="11" t="n"/>
      <c r="B73" s="29" t="n"/>
      <c r="D73" s="3" t="str">
        <f>IF($D72="","",IF($D72+1&gt;YEAR(MAX($A$8:$A$5007)),"",$D72+1))</f>
        <v/>
      </c>
      <c r="E73" s="37" t="str">
        <f>IF($D73="","",IF($G73&lt;=$F73,"",INDEX($B$8:$B$5007,MATCH($G73,$A$8:$A$5007,0))/INDEX($B$8:$B$5007,MATCH($F73,$A$8:$A$5007,0))-1))</f>
        <v/>
      </c>
      <c r="F73" s="30" t="str">
        <f>IF($D73="","",IF($D73=YEAR(MIN($A$8:$A$5007)),MIN($A$8:$A$5007),INDEX($A$8:$A$5007,MATCH(DATE($D73-1,12,31),$A$8:$A$5007,1))))</f>
        <v/>
      </c>
      <c r="G73" s="30" t="str">
        <f>IF($D73="","",INDEX($A$8:$A$5007,MATCH(DATE($D73,12,31),$A$8:$A$5007,1)))</f>
        <v/>
      </c>
      <c r="K73" s="30" t="str">
        <f>IF($A73="","",EDATE($A73,12*$E$4))</f>
        <v/>
      </c>
      <c r="L73" s="19" t="str">
        <f>IF($K73="","",IF($K73&gt;MAX($A$8:$A$5007),"",IFERROR(MATCH($K73,$A$8:$A$5007,1),"")))</f>
        <v/>
      </c>
      <c r="M73" s="30" t="str">
        <f>IF($L73="","",INDEX($A$8:$A$5007,$L73))</f>
        <v/>
      </c>
      <c r="N73" s="31" t="str">
        <f>IF($L73="","",INDEX($B$8:$B$5007,$L73))</f>
        <v/>
      </c>
      <c r="O73" s="32" t="str">
        <f>IF($M73="","",IF($K73-$M73&gt;7,"",IF($M73&lt;=$A73,"",IF(OR($B73&lt;=0,$N73&lt;=0),"",($N73/$B73)^(365/($M73-$A73))-1))))</f>
        <v/>
      </c>
      <c r="P73" s="31" t="str">
        <f>IF($B73="","",IF($P72="",$B73,MAX($P72,$B73)))</f>
        <v/>
      </c>
      <c r="Q73" s="32" t="str">
        <f>IF($P73="","",$B73/$P73-1)</f>
        <v/>
      </c>
    </row>
    <row r="74">
      <c r="A74" s="11" t="n"/>
      <c r="B74" s="29" t="n"/>
      <c r="D74" s="3" t="str">
        <f>IF($D73="","",IF($D73+1&gt;YEAR(MAX($A$8:$A$5007)),"",$D73+1))</f>
        <v/>
      </c>
      <c r="E74" s="37" t="str">
        <f>IF($D74="","",IF($G74&lt;=$F74,"",INDEX($B$8:$B$5007,MATCH($G74,$A$8:$A$5007,0))/INDEX($B$8:$B$5007,MATCH($F74,$A$8:$A$5007,0))-1))</f>
        <v/>
      </c>
      <c r="F74" s="30" t="str">
        <f>IF($D74="","",IF($D74=YEAR(MIN($A$8:$A$5007)),MIN($A$8:$A$5007),INDEX($A$8:$A$5007,MATCH(DATE($D74-1,12,31),$A$8:$A$5007,1))))</f>
        <v/>
      </c>
      <c r="G74" s="30" t="str">
        <f>IF($D74="","",INDEX($A$8:$A$5007,MATCH(DATE($D74,12,31),$A$8:$A$5007,1)))</f>
        <v/>
      </c>
      <c r="K74" s="30" t="str">
        <f>IF($A74="","",EDATE($A74,12*$E$4))</f>
        <v/>
      </c>
      <c r="L74" s="19" t="str">
        <f>IF($K74="","",IF($K74&gt;MAX($A$8:$A$5007),"",IFERROR(MATCH($K74,$A$8:$A$5007,1),"")))</f>
        <v/>
      </c>
      <c r="M74" s="30" t="str">
        <f>IF($L74="","",INDEX($A$8:$A$5007,$L74))</f>
        <v/>
      </c>
      <c r="N74" s="31" t="str">
        <f>IF($L74="","",INDEX($B$8:$B$5007,$L74))</f>
        <v/>
      </c>
      <c r="O74" s="32" t="str">
        <f>IF($M74="","",IF($K74-$M74&gt;7,"",IF($M74&lt;=$A74,"",IF(OR($B74&lt;=0,$N74&lt;=0),"",($N74/$B74)^(365/($M74-$A74))-1))))</f>
        <v/>
      </c>
      <c r="P74" s="31" t="str">
        <f>IF($B74="","",IF($P73="",$B74,MAX($P73,$B74)))</f>
        <v/>
      </c>
      <c r="Q74" s="32" t="str">
        <f>IF($P74="","",$B74/$P74-1)</f>
        <v/>
      </c>
    </row>
    <row r="75">
      <c r="A75" s="11" t="n"/>
      <c r="B75" s="29" t="n"/>
      <c r="D75" s="3" t="str">
        <f>IF($D74="","",IF($D74+1&gt;YEAR(MAX($A$8:$A$5007)),"",$D74+1))</f>
        <v/>
      </c>
      <c r="E75" s="37" t="str">
        <f>IF($D75="","",IF($G75&lt;=$F75,"",INDEX($B$8:$B$5007,MATCH($G75,$A$8:$A$5007,0))/INDEX($B$8:$B$5007,MATCH($F75,$A$8:$A$5007,0))-1))</f>
        <v/>
      </c>
      <c r="F75" s="30" t="str">
        <f>IF($D75="","",IF($D75=YEAR(MIN($A$8:$A$5007)),MIN($A$8:$A$5007),INDEX($A$8:$A$5007,MATCH(DATE($D75-1,12,31),$A$8:$A$5007,1))))</f>
        <v/>
      </c>
      <c r="G75" s="30" t="str">
        <f>IF($D75="","",INDEX($A$8:$A$5007,MATCH(DATE($D75,12,31),$A$8:$A$5007,1)))</f>
        <v/>
      </c>
      <c r="K75" s="30" t="str">
        <f>IF($A75="","",EDATE($A75,12*$E$4))</f>
        <v/>
      </c>
      <c r="L75" s="19" t="str">
        <f>IF($K75="","",IF($K75&gt;MAX($A$8:$A$5007),"",IFERROR(MATCH($K75,$A$8:$A$5007,1),"")))</f>
        <v/>
      </c>
      <c r="M75" s="30" t="str">
        <f>IF($L75="","",INDEX($A$8:$A$5007,$L75))</f>
        <v/>
      </c>
      <c r="N75" s="31" t="str">
        <f>IF($L75="","",INDEX($B$8:$B$5007,$L75))</f>
        <v/>
      </c>
      <c r="O75" s="32" t="str">
        <f>IF($M75="","",IF($K75-$M75&gt;7,"",IF($M75&lt;=$A75,"",IF(OR($B75&lt;=0,$N75&lt;=0),"",($N75/$B75)^(365/($M75-$A75))-1))))</f>
        <v/>
      </c>
      <c r="P75" s="31" t="str">
        <f>IF($B75="","",IF($P74="",$B75,MAX($P74,$B75)))</f>
        <v/>
      </c>
      <c r="Q75" s="32" t="str">
        <f>IF($P75="","",$B75/$P75-1)</f>
        <v/>
      </c>
    </row>
    <row r="76">
      <c r="A76" s="11" t="n"/>
      <c r="B76" s="29" t="n"/>
      <c r="K76" s="30" t="str">
        <f>IF($A76="","",EDATE($A76,12*$E$4))</f>
        <v/>
      </c>
      <c r="L76" s="19" t="str">
        <f>IF($K76="","",IF($K76&gt;MAX($A$8:$A$5007),"",IFERROR(MATCH($K76,$A$8:$A$5007,1),"")))</f>
        <v/>
      </c>
      <c r="M76" s="30" t="str">
        <f>IF($L76="","",INDEX($A$8:$A$5007,$L76))</f>
        <v/>
      </c>
      <c r="N76" s="31" t="str">
        <f>IF($L76="","",INDEX($B$8:$B$5007,$L76))</f>
        <v/>
      </c>
      <c r="O76" s="32" t="str">
        <f>IF($M76="","",IF($K76-$M76&gt;7,"",IF($M76&lt;=$A76,"",IF(OR($B76&lt;=0,$N76&lt;=0),"",($N76/$B76)^(365/($M76-$A76))-1))))</f>
        <v/>
      </c>
      <c r="P76" s="31" t="str">
        <f>IF($B76="","",IF($P75="",$B76,MAX($P75,$B76)))</f>
        <v/>
      </c>
      <c r="Q76" s="32" t="str">
        <f>IF($P76="","",$B76/$P76-1)</f>
        <v/>
      </c>
    </row>
    <row r="77" ht="34" customHeight="1">
      <c r="A77" s="11" t="n"/>
      <c r="B77" s="29" t="n"/>
      <c r="D77" s="2" t="inlineStr">
        <is>
          <t>Each year runs from its last value to the next year's last value, the table every factsheet prints. The first and last years may be partial: the From and To columns say exactly what was measured.</t>
        </is>
      </c>
      <c r="K77" s="30" t="str">
        <f>IF($A77="","",EDATE($A77,12*$E$4))</f>
        <v/>
      </c>
      <c r="L77" s="19" t="str">
        <f>IF($K77="","",IF($K77&gt;MAX($A$8:$A$5007),"",IFERROR(MATCH($K77,$A$8:$A$5007,1),"")))</f>
        <v/>
      </c>
      <c r="M77" s="30" t="str">
        <f>IF($L77="","",INDEX($A$8:$A$5007,$L77))</f>
        <v/>
      </c>
      <c r="N77" s="31" t="str">
        <f>IF($L77="","",INDEX($B$8:$B$5007,$L77))</f>
        <v/>
      </c>
      <c r="O77" s="32" t="str">
        <f>IF($M77="","",IF($K77-$M77&gt;7,"",IF($M77&lt;=$A77,"",IF(OR($B77&lt;=0,$N77&lt;=0),"",($N77/$B77)^(365/($M77-$A77))-1))))</f>
        <v/>
      </c>
      <c r="P77" s="31" t="str">
        <f>IF($B77="","",IF($P76="",$B77,MAX($P76,$B77)))</f>
        <v/>
      </c>
      <c r="Q77" s="32" t="str">
        <f>IF($P77="","",$B77/$P77-1)</f>
        <v/>
      </c>
    </row>
    <row r="78">
      <c r="A78" s="11" t="n"/>
      <c r="B78" s="29" t="n"/>
      <c r="K78" s="30" t="str">
        <f>IF($A78="","",EDATE($A78,12*$E$4))</f>
        <v/>
      </c>
      <c r="L78" s="19" t="str">
        <f>IF($K78="","",IF($K78&gt;MAX($A$8:$A$5007),"",IFERROR(MATCH($K78,$A$8:$A$5007,1),"")))</f>
        <v/>
      </c>
      <c r="M78" s="30" t="str">
        <f>IF($L78="","",INDEX($A$8:$A$5007,$L78))</f>
        <v/>
      </c>
      <c r="N78" s="31" t="str">
        <f>IF($L78="","",INDEX($B$8:$B$5007,$L78))</f>
        <v/>
      </c>
      <c r="O78" s="32" t="str">
        <f>IF($M78="","",IF($K78-$M78&gt;7,"",IF($M78&lt;=$A78,"",IF(OR($B78&lt;=0,$N78&lt;=0),"",($N78/$B78)^(365/($M78-$A78))-1))))</f>
        <v/>
      </c>
      <c r="P78" s="31" t="str">
        <f>IF($B78="","",IF($P77="",$B78,MAX($P77,$B78)))</f>
        <v/>
      </c>
      <c r="Q78" s="32" t="str">
        <f>IF($P78="","",$B78/$P78-1)</f>
        <v/>
      </c>
    </row>
    <row r="79">
      <c r="A79" s="11" t="n"/>
      <c r="B79" s="29" t="n"/>
      <c r="D79" s="3" t="inlineStr">
        <is>
          <t>Dates in order, oldest first?</t>
        </is>
      </c>
      <c r="E79" s="3" t="str">
        <f>IF(COUNT($A$8:$A$5007)=0,"",IF(SUMPRODUCT(($A$9:$A$5007&lt;&gt;"")*($A$9:$A$5007&lt;$A$8:$A$5006))&gt;0,"No: sort them oldest to newest","Yes"))</f>
        <v/>
      </c>
      <c r="K79" s="30" t="str">
        <f>IF($A79="","",EDATE($A79,12*$E$4))</f>
        <v/>
      </c>
      <c r="L79" s="19" t="str">
        <f>IF($K79="","",IF($K79&gt;MAX($A$8:$A$5007),"",IFERROR(MATCH($K79,$A$8:$A$5007,1),"")))</f>
        <v/>
      </c>
      <c r="M79" s="30" t="str">
        <f>IF($L79="","",INDEX($A$8:$A$5007,$L79))</f>
        <v/>
      </c>
      <c r="N79" s="31" t="str">
        <f>IF($L79="","",INDEX($B$8:$B$5007,$L79))</f>
        <v/>
      </c>
      <c r="O79" s="32" t="str">
        <f>IF($M79="","",IF($K79-$M79&gt;7,"",IF($M79&lt;=$A79,"",IF(OR($B79&lt;=0,$N79&lt;=0),"",($N79/$B79)^(365/($M79-$A79))-1))))</f>
        <v/>
      </c>
      <c r="P79" s="31" t="str">
        <f>IF($B79="","",IF($P78="",$B79,MAX($P78,$B79)))</f>
        <v/>
      </c>
      <c r="Q79" s="32" t="str">
        <f>IF($P79="","",$B79/$P79-1)</f>
        <v/>
      </c>
    </row>
    <row r="80">
      <c r="A80" s="11" t="n"/>
      <c r="B80" s="29" t="n"/>
      <c r="D80" s="3" t="inlineStr">
        <is>
          <t>Dates read as text, not dates</t>
        </is>
      </c>
      <c r="E80" s="23">
        <f>SUMPRODUCT(--ISTEXT($A$8:$A$5007))</f>
        <v>0</v>
      </c>
      <c r="K80" s="30" t="str">
        <f>IF($A80="","",EDATE($A80,12*$E$4))</f>
        <v/>
      </c>
      <c r="L80" s="19" t="str">
        <f>IF($K80="","",IF($K80&gt;MAX($A$8:$A$5007),"",IFERROR(MATCH($K80,$A$8:$A$5007,1),"")))</f>
        <v/>
      </c>
      <c r="M80" s="30" t="str">
        <f>IF($L80="","",INDEX($A$8:$A$5007,$L80))</f>
        <v/>
      </c>
      <c r="N80" s="31" t="str">
        <f>IF($L80="","",INDEX($B$8:$B$5007,$L80))</f>
        <v/>
      </c>
      <c r="O80" s="32" t="str">
        <f>IF($M80="","",IF($K80-$M80&gt;7,"",IF($M80&lt;=$A80,"",IF(OR($B80&lt;=0,$N80&lt;=0),"",($N80/$B80)^(365/($M80-$A80))-1))))</f>
        <v/>
      </c>
      <c r="P80" s="31" t="str">
        <f>IF($B80="","",IF($P79="",$B80,MAX($P79,$B80)))</f>
        <v/>
      </c>
      <c r="Q80" s="32" t="str">
        <f>IF($P80="","",$B80/$P80-1)</f>
        <v/>
      </c>
    </row>
    <row r="81">
      <c r="A81" s="11" t="n"/>
      <c r="B81" s="29" t="n"/>
      <c r="K81" s="30" t="str">
        <f>IF($A81="","",EDATE($A81,12*$E$4))</f>
        <v/>
      </c>
      <c r="L81" s="19" t="str">
        <f>IF($K81="","",IF($K81&gt;MAX($A$8:$A$5007),"",IFERROR(MATCH($K81,$A$8:$A$5007,1),"")))</f>
        <v/>
      </c>
      <c r="M81" s="30" t="str">
        <f>IF($L81="","",INDEX($A$8:$A$5007,$L81))</f>
        <v/>
      </c>
      <c r="N81" s="31" t="str">
        <f>IF($L81="","",INDEX($B$8:$B$5007,$L81))</f>
        <v/>
      </c>
      <c r="O81" s="32" t="str">
        <f>IF($M81="","",IF($K81-$M81&gt;7,"",IF($M81&lt;=$A81,"",IF(OR($B81&lt;=0,$N81&lt;=0),"",($N81/$B81)^(365/($M81-$A81))-1))))</f>
        <v/>
      </c>
      <c r="P81" s="31" t="str">
        <f>IF($B81="","",IF($P80="",$B81,MAX($P80,$B81)))</f>
        <v/>
      </c>
      <c r="Q81" s="32" t="str">
        <f>IF($P81="","",$B81/$P81-1)</f>
        <v/>
      </c>
    </row>
    <row r="82">
      <c r="A82" s="11" t="n"/>
      <c r="B82" s="29" t="n"/>
      <c r="K82" s="30" t="str">
        <f>IF($A82="","",EDATE($A82,12*$E$4))</f>
        <v/>
      </c>
      <c r="L82" s="19" t="str">
        <f>IF($K82="","",IF($K82&gt;MAX($A$8:$A$5007),"",IFERROR(MATCH($K82,$A$8:$A$5007,1),"")))</f>
        <v/>
      </c>
      <c r="M82" s="30" t="str">
        <f>IF($L82="","",INDEX($A$8:$A$5007,$L82))</f>
        <v/>
      </c>
      <c r="N82" s="31" t="str">
        <f>IF($L82="","",INDEX($B$8:$B$5007,$L82))</f>
        <v/>
      </c>
      <c r="O82" s="32" t="str">
        <f>IF($M82="","",IF($K82-$M82&gt;7,"",IF($M82&lt;=$A82,"",IF(OR($B82&lt;=0,$N82&lt;=0),"",($N82/$B82)^(365/($M82-$A82))-1))))</f>
        <v/>
      </c>
      <c r="P82" s="31" t="str">
        <f>IF($B82="","",IF($P81="",$B82,MAX($P81,$B82)))</f>
        <v/>
      </c>
      <c r="Q82" s="32" t="str">
        <f>IF($P82="","",$B82/$P82-1)</f>
        <v/>
      </c>
    </row>
    <row r="83">
      <c r="A83" s="11" t="n"/>
      <c r="B83" s="29" t="n"/>
      <c r="K83" s="30" t="str">
        <f>IF($A83="","",EDATE($A83,12*$E$4))</f>
        <v/>
      </c>
      <c r="L83" s="19" t="str">
        <f>IF($K83="","",IF($K83&gt;MAX($A$8:$A$5007),"",IFERROR(MATCH($K83,$A$8:$A$5007,1),"")))</f>
        <v/>
      </c>
      <c r="M83" s="30" t="str">
        <f>IF($L83="","",INDEX($A$8:$A$5007,$L83))</f>
        <v/>
      </c>
      <c r="N83" s="31" t="str">
        <f>IF($L83="","",INDEX($B$8:$B$5007,$L83))</f>
        <v/>
      </c>
      <c r="O83" s="32" t="str">
        <f>IF($M83="","",IF($K83-$M83&gt;7,"",IF($M83&lt;=$A83,"",IF(OR($B83&lt;=0,$N83&lt;=0),"",($N83/$B83)^(365/($M83-$A83))-1))))</f>
        <v/>
      </c>
      <c r="P83" s="31" t="str">
        <f>IF($B83="","",IF($P82="",$B83,MAX($P82,$B83)))</f>
        <v/>
      </c>
      <c r="Q83" s="32" t="str">
        <f>IF($P83="","",$B83/$P83-1)</f>
        <v/>
      </c>
    </row>
    <row r="84">
      <c r="A84" s="11" t="n"/>
      <c r="B84" s="29" t="n"/>
      <c r="K84" s="30" t="str">
        <f>IF($A84="","",EDATE($A84,12*$E$4))</f>
        <v/>
      </c>
      <c r="L84" s="19" t="str">
        <f>IF($K84="","",IF($K84&gt;MAX($A$8:$A$5007),"",IFERROR(MATCH($K84,$A$8:$A$5007,1),"")))</f>
        <v/>
      </c>
      <c r="M84" s="30" t="str">
        <f>IF($L84="","",INDEX($A$8:$A$5007,$L84))</f>
        <v/>
      </c>
      <c r="N84" s="31" t="str">
        <f>IF($L84="","",INDEX($B$8:$B$5007,$L84))</f>
        <v/>
      </c>
      <c r="O84" s="32" t="str">
        <f>IF($M84="","",IF($K84-$M84&gt;7,"",IF($M84&lt;=$A84,"",IF(OR($B84&lt;=0,$N84&lt;=0),"",($N84/$B84)^(365/($M84-$A84))-1))))</f>
        <v/>
      </c>
      <c r="P84" s="31" t="str">
        <f>IF($B84="","",IF($P83="",$B84,MAX($P83,$B84)))</f>
        <v/>
      </c>
      <c r="Q84" s="32" t="str">
        <f>IF($P84="","",$B84/$P84-1)</f>
        <v/>
      </c>
    </row>
    <row r="85">
      <c r="A85" s="11" t="n"/>
      <c r="B85" s="29" t="n"/>
      <c r="K85" s="30" t="str">
        <f>IF($A85="","",EDATE($A85,12*$E$4))</f>
        <v/>
      </c>
      <c r="L85" s="19" t="str">
        <f>IF($K85="","",IF($K85&gt;MAX($A$8:$A$5007),"",IFERROR(MATCH($K85,$A$8:$A$5007,1),"")))</f>
        <v/>
      </c>
      <c r="M85" s="30" t="str">
        <f>IF($L85="","",INDEX($A$8:$A$5007,$L85))</f>
        <v/>
      </c>
      <c r="N85" s="31" t="str">
        <f>IF($L85="","",INDEX($B$8:$B$5007,$L85))</f>
        <v/>
      </c>
      <c r="O85" s="32" t="str">
        <f>IF($M85="","",IF($K85-$M85&gt;7,"",IF($M85&lt;=$A85,"",IF(OR($B85&lt;=0,$N85&lt;=0),"",($N85/$B85)^(365/($M85-$A85))-1))))</f>
        <v/>
      </c>
      <c r="P85" s="31" t="str">
        <f>IF($B85="","",IF($P84="",$B85,MAX($P84,$B85)))</f>
        <v/>
      </c>
      <c r="Q85" s="32" t="str">
        <f>IF($P85="","",$B85/$P85-1)</f>
        <v/>
      </c>
    </row>
    <row r="86">
      <c r="A86" s="11" t="n"/>
      <c r="B86" s="29" t="n"/>
      <c r="K86" s="30" t="str">
        <f>IF($A86="","",EDATE($A86,12*$E$4))</f>
        <v/>
      </c>
      <c r="L86" s="19" t="str">
        <f>IF($K86="","",IF($K86&gt;MAX($A$8:$A$5007),"",IFERROR(MATCH($K86,$A$8:$A$5007,1),"")))</f>
        <v/>
      </c>
      <c r="M86" s="30" t="str">
        <f>IF($L86="","",INDEX($A$8:$A$5007,$L86))</f>
        <v/>
      </c>
      <c r="N86" s="31" t="str">
        <f>IF($L86="","",INDEX($B$8:$B$5007,$L86))</f>
        <v/>
      </c>
      <c r="O86" s="32" t="str">
        <f>IF($M86="","",IF($K86-$M86&gt;7,"",IF($M86&lt;=$A86,"",IF(OR($B86&lt;=0,$N86&lt;=0),"",($N86/$B86)^(365/($M86-$A86))-1))))</f>
        <v/>
      </c>
      <c r="P86" s="31" t="str">
        <f>IF($B86="","",IF($P85="",$B86,MAX($P85,$B86)))</f>
        <v/>
      </c>
      <c r="Q86" s="32" t="str">
        <f>IF($P86="","",$B86/$P86-1)</f>
        <v/>
      </c>
    </row>
    <row r="87">
      <c r="A87" s="11" t="n"/>
      <c r="B87" s="29" t="n"/>
      <c r="K87" s="30" t="str">
        <f>IF($A87="","",EDATE($A87,12*$E$4))</f>
        <v/>
      </c>
      <c r="L87" s="19" t="str">
        <f>IF($K87="","",IF($K87&gt;MAX($A$8:$A$5007),"",IFERROR(MATCH($K87,$A$8:$A$5007,1),"")))</f>
        <v/>
      </c>
      <c r="M87" s="30" t="str">
        <f>IF($L87="","",INDEX($A$8:$A$5007,$L87))</f>
        <v/>
      </c>
      <c r="N87" s="31" t="str">
        <f>IF($L87="","",INDEX($B$8:$B$5007,$L87))</f>
        <v/>
      </c>
      <c r="O87" s="32" t="str">
        <f>IF($M87="","",IF($K87-$M87&gt;7,"",IF($M87&lt;=$A87,"",IF(OR($B87&lt;=0,$N87&lt;=0),"",($N87/$B87)^(365/($M87-$A87))-1))))</f>
        <v/>
      </c>
      <c r="P87" s="31" t="str">
        <f>IF($B87="","",IF($P86="",$B87,MAX($P86,$B87)))</f>
        <v/>
      </c>
      <c r="Q87" s="32" t="str">
        <f>IF($P87="","",$B87/$P87-1)</f>
        <v/>
      </c>
    </row>
    <row r="88">
      <c r="A88" s="11" t="n"/>
      <c r="B88" s="29" t="n"/>
      <c r="K88" s="30" t="str">
        <f>IF($A88="","",EDATE($A88,12*$E$4))</f>
        <v/>
      </c>
      <c r="L88" s="19" t="str">
        <f>IF($K88="","",IF($K88&gt;MAX($A$8:$A$5007),"",IFERROR(MATCH($K88,$A$8:$A$5007,1),"")))</f>
        <v/>
      </c>
      <c r="M88" s="30" t="str">
        <f>IF($L88="","",INDEX($A$8:$A$5007,$L88))</f>
        <v/>
      </c>
      <c r="N88" s="31" t="str">
        <f>IF($L88="","",INDEX($B$8:$B$5007,$L88))</f>
        <v/>
      </c>
      <c r="O88" s="32" t="str">
        <f>IF($M88="","",IF($K88-$M88&gt;7,"",IF($M88&lt;=$A88,"",IF(OR($B88&lt;=0,$N88&lt;=0),"",($N88/$B88)^(365/($M88-$A88))-1))))</f>
        <v/>
      </c>
      <c r="P88" s="31" t="str">
        <f>IF($B88="","",IF($P87="",$B88,MAX($P87,$B88)))</f>
        <v/>
      </c>
      <c r="Q88" s="32" t="str">
        <f>IF($P88="","",$B88/$P88-1)</f>
        <v/>
      </c>
    </row>
    <row r="89">
      <c r="A89" s="11" t="n"/>
      <c r="B89" s="29" t="n"/>
      <c r="K89" s="30" t="str">
        <f>IF($A89="","",EDATE($A89,12*$E$4))</f>
        <v/>
      </c>
      <c r="L89" s="19" t="str">
        <f>IF($K89="","",IF($K89&gt;MAX($A$8:$A$5007),"",IFERROR(MATCH($K89,$A$8:$A$5007,1),"")))</f>
        <v/>
      </c>
      <c r="M89" s="30" t="str">
        <f>IF($L89="","",INDEX($A$8:$A$5007,$L89))</f>
        <v/>
      </c>
      <c r="N89" s="31" t="str">
        <f>IF($L89="","",INDEX($B$8:$B$5007,$L89))</f>
        <v/>
      </c>
      <c r="O89" s="32" t="str">
        <f>IF($M89="","",IF($K89-$M89&gt;7,"",IF($M89&lt;=$A89,"",IF(OR($B89&lt;=0,$N89&lt;=0),"",($N89/$B89)^(365/($M89-$A89))-1))))</f>
        <v/>
      </c>
      <c r="P89" s="31" t="str">
        <f>IF($B89="","",IF($P88="",$B89,MAX($P88,$B89)))</f>
        <v/>
      </c>
      <c r="Q89" s="32" t="str">
        <f>IF($P89="","",$B89/$P89-1)</f>
        <v/>
      </c>
    </row>
    <row r="90">
      <c r="A90" s="11" t="n"/>
      <c r="B90" s="29" t="n"/>
      <c r="K90" s="30" t="str">
        <f>IF($A90="","",EDATE($A90,12*$E$4))</f>
        <v/>
      </c>
      <c r="L90" s="19" t="str">
        <f>IF($K90="","",IF($K90&gt;MAX($A$8:$A$5007),"",IFERROR(MATCH($K90,$A$8:$A$5007,1),"")))</f>
        <v/>
      </c>
      <c r="M90" s="30" t="str">
        <f>IF($L90="","",INDEX($A$8:$A$5007,$L90))</f>
        <v/>
      </c>
      <c r="N90" s="31" t="str">
        <f>IF($L90="","",INDEX($B$8:$B$5007,$L90))</f>
        <v/>
      </c>
      <c r="O90" s="32" t="str">
        <f>IF($M90="","",IF($K90-$M90&gt;7,"",IF($M90&lt;=$A90,"",IF(OR($B90&lt;=0,$N90&lt;=0),"",($N90/$B90)^(365/($M90-$A90))-1))))</f>
        <v/>
      </c>
      <c r="P90" s="31" t="str">
        <f>IF($B90="","",IF($P89="",$B90,MAX($P89,$B90)))</f>
        <v/>
      </c>
      <c r="Q90" s="32" t="str">
        <f>IF($P90="","",$B90/$P90-1)</f>
        <v/>
      </c>
    </row>
    <row r="91">
      <c r="A91" s="11" t="n"/>
      <c r="B91" s="29" t="n"/>
      <c r="K91" s="30" t="str">
        <f>IF($A91="","",EDATE($A91,12*$E$4))</f>
        <v/>
      </c>
      <c r="L91" s="19" t="str">
        <f>IF($K91="","",IF($K91&gt;MAX($A$8:$A$5007),"",IFERROR(MATCH($K91,$A$8:$A$5007,1),"")))</f>
        <v/>
      </c>
      <c r="M91" s="30" t="str">
        <f>IF($L91="","",INDEX($A$8:$A$5007,$L91))</f>
        <v/>
      </c>
      <c r="N91" s="31" t="str">
        <f>IF($L91="","",INDEX($B$8:$B$5007,$L91))</f>
        <v/>
      </c>
      <c r="O91" s="32" t="str">
        <f>IF($M91="","",IF($K91-$M91&gt;7,"",IF($M91&lt;=$A91,"",IF(OR($B91&lt;=0,$N91&lt;=0),"",($N91/$B91)^(365/($M91-$A91))-1))))</f>
        <v/>
      </c>
      <c r="P91" s="31" t="str">
        <f>IF($B91="","",IF($P90="",$B91,MAX($P90,$B91)))</f>
        <v/>
      </c>
      <c r="Q91" s="32" t="str">
        <f>IF($P91="","",$B91/$P91-1)</f>
        <v/>
      </c>
    </row>
    <row r="92">
      <c r="A92" s="11" t="n"/>
      <c r="B92" s="29" t="n"/>
      <c r="K92" s="30" t="str">
        <f>IF($A92="","",EDATE($A92,12*$E$4))</f>
        <v/>
      </c>
      <c r="L92" s="19" t="str">
        <f>IF($K92="","",IF($K92&gt;MAX($A$8:$A$5007),"",IFERROR(MATCH($K92,$A$8:$A$5007,1),"")))</f>
        <v/>
      </c>
      <c r="M92" s="30" t="str">
        <f>IF($L92="","",INDEX($A$8:$A$5007,$L92))</f>
        <v/>
      </c>
      <c r="N92" s="31" t="str">
        <f>IF($L92="","",INDEX($B$8:$B$5007,$L92))</f>
        <v/>
      </c>
      <c r="O92" s="32" t="str">
        <f>IF($M92="","",IF($K92-$M92&gt;7,"",IF($M92&lt;=$A92,"",IF(OR($B92&lt;=0,$N92&lt;=0),"",($N92/$B92)^(365/($M92-$A92))-1))))</f>
        <v/>
      </c>
      <c r="P92" s="31" t="str">
        <f>IF($B92="","",IF($P91="",$B92,MAX($P91,$B92)))</f>
        <v/>
      </c>
      <c r="Q92" s="32" t="str">
        <f>IF($P92="","",$B92/$P92-1)</f>
        <v/>
      </c>
    </row>
    <row r="93">
      <c r="A93" s="11" t="n"/>
      <c r="B93" s="29" t="n"/>
      <c r="K93" s="30" t="str">
        <f>IF($A93="","",EDATE($A93,12*$E$4))</f>
        <v/>
      </c>
      <c r="L93" s="19" t="str">
        <f>IF($K93="","",IF($K93&gt;MAX($A$8:$A$5007),"",IFERROR(MATCH($K93,$A$8:$A$5007,1),"")))</f>
        <v/>
      </c>
      <c r="M93" s="30" t="str">
        <f>IF($L93="","",INDEX($A$8:$A$5007,$L93))</f>
        <v/>
      </c>
      <c r="N93" s="31" t="str">
        <f>IF($L93="","",INDEX($B$8:$B$5007,$L93))</f>
        <v/>
      </c>
      <c r="O93" s="32" t="str">
        <f>IF($M93="","",IF($K93-$M93&gt;7,"",IF($M93&lt;=$A93,"",IF(OR($B93&lt;=0,$N93&lt;=0),"",($N93/$B93)^(365/($M93-$A93))-1))))</f>
        <v/>
      </c>
      <c r="P93" s="31" t="str">
        <f>IF($B93="","",IF($P92="",$B93,MAX($P92,$B93)))</f>
        <v/>
      </c>
      <c r="Q93" s="32" t="str">
        <f>IF($P93="","",$B93/$P93-1)</f>
        <v/>
      </c>
    </row>
    <row r="94">
      <c r="A94" s="11" t="n"/>
      <c r="B94" s="29" t="n"/>
      <c r="K94" s="30" t="str">
        <f>IF($A94="","",EDATE($A94,12*$E$4))</f>
        <v/>
      </c>
      <c r="L94" s="19" t="str">
        <f>IF($K94="","",IF($K94&gt;MAX($A$8:$A$5007),"",IFERROR(MATCH($K94,$A$8:$A$5007,1),"")))</f>
        <v/>
      </c>
      <c r="M94" s="30" t="str">
        <f>IF($L94="","",INDEX($A$8:$A$5007,$L94))</f>
        <v/>
      </c>
      <c r="N94" s="31" t="str">
        <f>IF($L94="","",INDEX($B$8:$B$5007,$L94))</f>
        <v/>
      </c>
      <c r="O94" s="32" t="str">
        <f>IF($M94="","",IF($K94-$M94&gt;7,"",IF($M94&lt;=$A94,"",IF(OR($B94&lt;=0,$N94&lt;=0),"",($N94/$B94)^(365/($M94-$A94))-1))))</f>
        <v/>
      </c>
      <c r="P94" s="31" t="str">
        <f>IF($B94="","",IF($P93="",$B94,MAX($P93,$B94)))</f>
        <v/>
      </c>
      <c r="Q94" s="32" t="str">
        <f>IF($P94="","",$B94/$P94-1)</f>
        <v/>
      </c>
    </row>
    <row r="95">
      <c r="A95" s="11" t="n"/>
      <c r="B95" s="29" t="n"/>
      <c r="K95" s="30" t="str">
        <f>IF($A95="","",EDATE($A95,12*$E$4))</f>
        <v/>
      </c>
      <c r="L95" s="19" t="str">
        <f>IF($K95="","",IF($K95&gt;MAX($A$8:$A$5007),"",IFERROR(MATCH($K95,$A$8:$A$5007,1),"")))</f>
        <v/>
      </c>
      <c r="M95" s="30" t="str">
        <f>IF($L95="","",INDEX($A$8:$A$5007,$L95))</f>
        <v/>
      </c>
      <c r="N95" s="31" t="str">
        <f>IF($L95="","",INDEX($B$8:$B$5007,$L95))</f>
        <v/>
      </c>
      <c r="O95" s="32" t="str">
        <f>IF($M95="","",IF($K95-$M95&gt;7,"",IF($M95&lt;=$A95,"",IF(OR($B95&lt;=0,$N95&lt;=0),"",($N95/$B95)^(365/($M95-$A95))-1))))</f>
        <v/>
      </c>
      <c r="P95" s="31" t="str">
        <f>IF($B95="","",IF($P94="",$B95,MAX($P94,$B95)))</f>
        <v/>
      </c>
      <c r="Q95" s="32" t="str">
        <f>IF($P95="","",$B95/$P95-1)</f>
        <v/>
      </c>
    </row>
    <row r="96">
      <c r="A96" s="11" t="n"/>
      <c r="B96" s="29" t="n"/>
      <c r="K96" s="30" t="str">
        <f>IF($A96="","",EDATE($A96,12*$E$4))</f>
        <v/>
      </c>
      <c r="L96" s="19" t="str">
        <f>IF($K96="","",IF($K96&gt;MAX($A$8:$A$5007),"",IFERROR(MATCH($K96,$A$8:$A$5007,1),"")))</f>
        <v/>
      </c>
      <c r="M96" s="30" t="str">
        <f>IF($L96="","",INDEX($A$8:$A$5007,$L96))</f>
        <v/>
      </c>
      <c r="N96" s="31" t="str">
        <f>IF($L96="","",INDEX($B$8:$B$5007,$L96))</f>
        <v/>
      </c>
      <c r="O96" s="32" t="str">
        <f>IF($M96="","",IF($K96-$M96&gt;7,"",IF($M96&lt;=$A96,"",IF(OR($B96&lt;=0,$N96&lt;=0),"",($N96/$B96)^(365/($M96-$A96))-1))))</f>
        <v/>
      </c>
      <c r="P96" s="31" t="str">
        <f>IF($B96="","",IF($P95="",$B96,MAX($P95,$B96)))</f>
        <v/>
      </c>
      <c r="Q96" s="32" t="str">
        <f>IF($P96="","",$B96/$P96-1)</f>
        <v/>
      </c>
    </row>
    <row r="97">
      <c r="A97" s="11" t="n"/>
      <c r="B97" s="29" t="n"/>
      <c r="K97" s="30" t="str">
        <f>IF($A97="","",EDATE($A97,12*$E$4))</f>
        <v/>
      </c>
      <c r="L97" s="19" t="str">
        <f>IF($K97="","",IF($K97&gt;MAX($A$8:$A$5007),"",IFERROR(MATCH($K97,$A$8:$A$5007,1),"")))</f>
        <v/>
      </c>
      <c r="M97" s="30" t="str">
        <f>IF($L97="","",INDEX($A$8:$A$5007,$L97))</f>
        <v/>
      </c>
      <c r="N97" s="31" t="str">
        <f>IF($L97="","",INDEX($B$8:$B$5007,$L97))</f>
        <v/>
      </c>
      <c r="O97" s="32" t="str">
        <f>IF($M97="","",IF($K97-$M97&gt;7,"",IF($M97&lt;=$A97,"",IF(OR($B97&lt;=0,$N97&lt;=0),"",($N97/$B97)^(365/($M97-$A97))-1))))</f>
        <v/>
      </c>
      <c r="P97" s="31" t="str">
        <f>IF($B97="","",IF($P96="",$B97,MAX($P96,$B97)))</f>
        <v/>
      </c>
      <c r="Q97" s="32" t="str">
        <f>IF($P97="","",$B97/$P97-1)</f>
        <v/>
      </c>
    </row>
    <row r="98">
      <c r="A98" s="11" t="n"/>
      <c r="B98" s="29" t="n"/>
      <c r="K98" s="30" t="str">
        <f>IF($A98="","",EDATE($A98,12*$E$4))</f>
        <v/>
      </c>
      <c r="L98" s="19" t="str">
        <f>IF($K98="","",IF($K98&gt;MAX($A$8:$A$5007),"",IFERROR(MATCH($K98,$A$8:$A$5007,1),"")))</f>
        <v/>
      </c>
      <c r="M98" s="30" t="str">
        <f>IF($L98="","",INDEX($A$8:$A$5007,$L98))</f>
        <v/>
      </c>
      <c r="N98" s="31" t="str">
        <f>IF($L98="","",INDEX($B$8:$B$5007,$L98))</f>
        <v/>
      </c>
      <c r="O98" s="32" t="str">
        <f>IF($M98="","",IF($K98-$M98&gt;7,"",IF($M98&lt;=$A98,"",IF(OR($B98&lt;=0,$N98&lt;=0),"",($N98/$B98)^(365/($M98-$A98))-1))))</f>
        <v/>
      </c>
      <c r="P98" s="31" t="str">
        <f>IF($B98="","",IF($P97="",$B98,MAX($P97,$B98)))</f>
        <v/>
      </c>
      <c r="Q98" s="32" t="str">
        <f>IF($P98="","",$B98/$P98-1)</f>
        <v/>
      </c>
    </row>
    <row r="99">
      <c r="A99" s="11" t="n"/>
      <c r="B99" s="29" t="n"/>
      <c r="K99" s="30" t="str">
        <f>IF($A99="","",EDATE($A99,12*$E$4))</f>
        <v/>
      </c>
      <c r="L99" s="19" t="str">
        <f>IF($K99="","",IF($K99&gt;MAX($A$8:$A$5007),"",IFERROR(MATCH($K99,$A$8:$A$5007,1),"")))</f>
        <v/>
      </c>
      <c r="M99" s="30" t="str">
        <f>IF($L99="","",INDEX($A$8:$A$5007,$L99))</f>
        <v/>
      </c>
      <c r="N99" s="31" t="str">
        <f>IF($L99="","",INDEX($B$8:$B$5007,$L99))</f>
        <v/>
      </c>
      <c r="O99" s="32" t="str">
        <f>IF($M99="","",IF($K99-$M99&gt;7,"",IF($M99&lt;=$A99,"",IF(OR($B99&lt;=0,$N99&lt;=0),"",($N99/$B99)^(365/($M99-$A99))-1))))</f>
        <v/>
      </c>
      <c r="P99" s="31" t="str">
        <f>IF($B99="","",IF($P98="",$B99,MAX($P98,$B99)))</f>
        <v/>
      </c>
      <c r="Q99" s="32" t="str">
        <f>IF($P99="","",$B99/$P99-1)</f>
        <v/>
      </c>
    </row>
    <row r="100">
      <c r="A100" s="11" t="n"/>
      <c r="B100" s="29" t="n"/>
      <c r="K100" s="30" t="str">
        <f>IF($A100="","",EDATE($A100,12*$E$4))</f>
        <v/>
      </c>
      <c r="L100" s="19" t="str">
        <f>IF($K100="","",IF($K100&gt;MAX($A$8:$A$5007),"",IFERROR(MATCH($K100,$A$8:$A$5007,1),"")))</f>
        <v/>
      </c>
      <c r="M100" s="30" t="str">
        <f>IF($L100="","",INDEX($A$8:$A$5007,$L100))</f>
        <v/>
      </c>
      <c r="N100" s="31" t="str">
        <f>IF($L100="","",INDEX($B$8:$B$5007,$L100))</f>
        <v/>
      </c>
      <c r="O100" s="32" t="str">
        <f>IF($M100="","",IF($K100-$M100&gt;7,"",IF($M100&lt;=$A100,"",IF(OR($B100&lt;=0,$N100&lt;=0),"",($N100/$B100)^(365/($M100-$A100))-1))))</f>
        <v/>
      </c>
      <c r="P100" s="31" t="str">
        <f>IF($B100="","",IF($P99="",$B100,MAX($P99,$B100)))</f>
        <v/>
      </c>
      <c r="Q100" s="32" t="str">
        <f>IF($P100="","",$B100/$P100-1)</f>
        <v/>
      </c>
    </row>
    <row r="101">
      <c r="A101" s="11" t="n"/>
      <c r="B101" s="29" t="n"/>
      <c r="K101" s="30" t="str">
        <f>IF($A101="","",EDATE($A101,12*$E$4))</f>
        <v/>
      </c>
      <c r="L101" s="19" t="str">
        <f>IF($K101="","",IF($K101&gt;MAX($A$8:$A$5007),"",IFERROR(MATCH($K101,$A$8:$A$5007,1),"")))</f>
        <v/>
      </c>
      <c r="M101" s="30" t="str">
        <f>IF($L101="","",INDEX($A$8:$A$5007,$L101))</f>
        <v/>
      </c>
      <c r="N101" s="31" t="str">
        <f>IF($L101="","",INDEX($B$8:$B$5007,$L101))</f>
        <v/>
      </c>
      <c r="O101" s="32" t="str">
        <f>IF($M101="","",IF($K101-$M101&gt;7,"",IF($M101&lt;=$A101,"",IF(OR($B101&lt;=0,$N101&lt;=0),"",($N101/$B101)^(365/($M101-$A101))-1))))</f>
        <v/>
      </c>
      <c r="P101" s="31" t="str">
        <f>IF($B101="","",IF($P100="",$B101,MAX($P100,$B101)))</f>
        <v/>
      </c>
      <c r="Q101" s="32" t="str">
        <f>IF($P101="","",$B101/$P101-1)</f>
        <v/>
      </c>
    </row>
    <row r="102">
      <c r="A102" s="11" t="n"/>
      <c r="B102" s="29" t="n"/>
      <c r="K102" s="30" t="str">
        <f>IF($A102="","",EDATE($A102,12*$E$4))</f>
        <v/>
      </c>
      <c r="L102" s="19" t="str">
        <f>IF($K102="","",IF($K102&gt;MAX($A$8:$A$5007),"",IFERROR(MATCH($K102,$A$8:$A$5007,1),"")))</f>
        <v/>
      </c>
      <c r="M102" s="30" t="str">
        <f>IF($L102="","",INDEX($A$8:$A$5007,$L102))</f>
        <v/>
      </c>
      <c r="N102" s="31" t="str">
        <f>IF($L102="","",INDEX($B$8:$B$5007,$L102))</f>
        <v/>
      </c>
      <c r="O102" s="32" t="str">
        <f>IF($M102="","",IF($K102-$M102&gt;7,"",IF($M102&lt;=$A102,"",IF(OR($B102&lt;=0,$N102&lt;=0),"",($N102/$B102)^(365/($M102-$A102))-1))))</f>
        <v/>
      </c>
      <c r="P102" s="31" t="str">
        <f>IF($B102="","",IF($P101="",$B102,MAX($P101,$B102)))</f>
        <v/>
      </c>
      <c r="Q102" s="32" t="str">
        <f>IF($P102="","",$B102/$P102-1)</f>
        <v/>
      </c>
    </row>
    <row r="103">
      <c r="A103" s="11" t="n"/>
      <c r="B103" s="29" t="n"/>
      <c r="K103" s="30" t="str">
        <f>IF($A103="","",EDATE($A103,12*$E$4))</f>
        <v/>
      </c>
      <c r="L103" s="19" t="str">
        <f>IF($K103="","",IF($K103&gt;MAX($A$8:$A$5007),"",IFERROR(MATCH($K103,$A$8:$A$5007,1),"")))</f>
        <v/>
      </c>
      <c r="M103" s="30" t="str">
        <f>IF($L103="","",INDEX($A$8:$A$5007,$L103))</f>
        <v/>
      </c>
      <c r="N103" s="31" t="str">
        <f>IF($L103="","",INDEX($B$8:$B$5007,$L103))</f>
        <v/>
      </c>
      <c r="O103" s="32" t="str">
        <f>IF($M103="","",IF($K103-$M103&gt;7,"",IF($M103&lt;=$A103,"",IF(OR($B103&lt;=0,$N103&lt;=0),"",($N103/$B103)^(365/($M103-$A103))-1))))</f>
        <v/>
      </c>
      <c r="P103" s="31" t="str">
        <f>IF($B103="","",IF($P102="",$B103,MAX($P102,$B103)))</f>
        <v/>
      </c>
      <c r="Q103" s="32" t="str">
        <f>IF($P103="","",$B103/$P103-1)</f>
        <v/>
      </c>
    </row>
    <row r="104">
      <c r="A104" s="11" t="n"/>
      <c r="B104" s="29" t="n"/>
      <c r="K104" s="30" t="str">
        <f>IF($A104="","",EDATE($A104,12*$E$4))</f>
        <v/>
      </c>
      <c r="L104" s="19" t="str">
        <f>IF($K104="","",IF($K104&gt;MAX($A$8:$A$5007),"",IFERROR(MATCH($K104,$A$8:$A$5007,1),"")))</f>
        <v/>
      </c>
      <c r="M104" s="30" t="str">
        <f>IF($L104="","",INDEX($A$8:$A$5007,$L104))</f>
        <v/>
      </c>
      <c r="N104" s="31" t="str">
        <f>IF($L104="","",INDEX($B$8:$B$5007,$L104))</f>
        <v/>
      </c>
      <c r="O104" s="32" t="str">
        <f>IF($M104="","",IF($K104-$M104&gt;7,"",IF($M104&lt;=$A104,"",IF(OR($B104&lt;=0,$N104&lt;=0),"",($N104/$B104)^(365/($M104-$A104))-1))))</f>
        <v/>
      </c>
      <c r="P104" s="31" t="str">
        <f>IF($B104="","",IF($P103="",$B104,MAX($P103,$B104)))</f>
        <v/>
      </c>
      <c r="Q104" s="32" t="str">
        <f>IF($P104="","",$B104/$P104-1)</f>
        <v/>
      </c>
    </row>
    <row r="105">
      <c r="A105" s="11" t="n"/>
      <c r="B105" s="29" t="n"/>
      <c r="K105" s="30" t="str">
        <f>IF($A105="","",EDATE($A105,12*$E$4))</f>
        <v/>
      </c>
      <c r="L105" s="19" t="str">
        <f>IF($K105="","",IF($K105&gt;MAX($A$8:$A$5007),"",IFERROR(MATCH($K105,$A$8:$A$5007,1),"")))</f>
        <v/>
      </c>
      <c r="M105" s="30" t="str">
        <f>IF($L105="","",INDEX($A$8:$A$5007,$L105))</f>
        <v/>
      </c>
      <c r="N105" s="31" t="str">
        <f>IF($L105="","",INDEX($B$8:$B$5007,$L105))</f>
        <v/>
      </c>
      <c r="O105" s="32" t="str">
        <f>IF($M105="","",IF($K105-$M105&gt;7,"",IF($M105&lt;=$A105,"",IF(OR($B105&lt;=0,$N105&lt;=0),"",($N105/$B105)^(365/($M105-$A105))-1))))</f>
        <v/>
      </c>
      <c r="P105" s="31" t="str">
        <f>IF($B105="","",IF($P104="",$B105,MAX($P104,$B105)))</f>
        <v/>
      </c>
      <c r="Q105" s="32" t="str">
        <f>IF($P105="","",$B105/$P105-1)</f>
        <v/>
      </c>
    </row>
    <row r="106">
      <c r="A106" s="11" t="n"/>
      <c r="B106" s="29" t="n"/>
      <c r="K106" s="30" t="str">
        <f>IF($A106="","",EDATE($A106,12*$E$4))</f>
        <v/>
      </c>
      <c r="L106" s="19" t="str">
        <f>IF($K106="","",IF($K106&gt;MAX($A$8:$A$5007),"",IFERROR(MATCH($K106,$A$8:$A$5007,1),"")))</f>
        <v/>
      </c>
      <c r="M106" s="30" t="str">
        <f>IF($L106="","",INDEX($A$8:$A$5007,$L106))</f>
        <v/>
      </c>
      <c r="N106" s="31" t="str">
        <f>IF($L106="","",INDEX($B$8:$B$5007,$L106))</f>
        <v/>
      </c>
      <c r="O106" s="32" t="str">
        <f>IF($M106="","",IF($K106-$M106&gt;7,"",IF($M106&lt;=$A106,"",IF(OR($B106&lt;=0,$N106&lt;=0),"",($N106/$B106)^(365/($M106-$A106))-1))))</f>
        <v/>
      </c>
      <c r="P106" s="31" t="str">
        <f>IF($B106="","",IF($P105="",$B106,MAX($P105,$B106)))</f>
        <v/>
      </c>
      <c r="Q106" s="32" t="str">
        <f>IF($P106="","",$B106/$P106-1)</f>
        <v/>
      </c>
    </row>
    <row r="107">
      <c r="A107" s="11" t="n"/>
      <c r="B107" s="29" t="n"/>
      <c r="K107" s="30" t="str">
        <f>IF($A107="","",EDATE($A107,12*$E$4))</f>
        <v/>
      </c>
      <c r="L107" s="19" t="str">
        <f>IF($K107="","",IF($K107&gt;MAX($A$8:$A$5007),"",IFERROR(MATCH($K107,$A$8:$A$5007,1),"")))</f>
        <v/>
      </c>
      <c r="M107" s="30" t="str">
        <f>IF($L107="","",INDEX($A$8:$A$5007,$L107))</f>
        <v/>
      </c>
      <c r="N107" s="31" t="str">
        <f>IF($L107="","",INDEX($B$8:$B$5007,$L107))</f>
        <v/>
      </c>
      <c r="O107" s="32" t="str">
        <f>IF($M107="","",IF($K107-$M107&gt;7,"",IF($M107&lt;=$A107,"",IF(OR($B107&lt;=0,$N107&lt;=0),"",($N107/$B107)^(365/($M107-$A107))-1))))</f>
        <v/>
      </c>
      <c r="P107" s="31" t="str">
        <f>IF($B107="","",IF($P106="",$B107,MAX($P106,$B107)))</f>
        <v/>
      </c>
      <c r="Q107" s="32" t="str">
        <f>IF($P107="","",$B107/$P107-1)</f>
        <v/>
      </c>
    </row>
    <row r="108">
      <c r="A108" s="11" t="n"/>
      <c r="B108" s="29" t="n"/>
      <c r="K108" s="30" t="str">
        <f>IF($A108="","",EDATE($A108,12*$E$4))</f>
        <v/>
      </c>
      <c r="L108" s="19" t="str">
        <f>IF($K108="","",IF($K108&gt;MAX($A$8:$A$5007),"",IFERROR(MATCH($K108,$A$8:$A$5007,1),"")))</f>
        <v/>
      </c>
      <c r="M108" s="30" t="str">
        <f>IF($L108="","",INDEX($A$8:$A$5007,$L108))</f>
        <v/>
      </c>
      <c r="N108" s="31" t="str">
        <f>IF($L108="","",INDEX($B$8:$B$5007,$L108))</f>
        <v/>
      </c>
      <c r="O108" s="32" t="str">
        <f>IF($M108="","",IF($K108-$M108&gt;7,"",IF($M108&lt;=$A108,"",IF(OR($B108&lt;=0,$N108&lt;=0),"",($N108/$B108)^(365/($M108-$A108))-1))))</f>
        <v/>
      </c>
      <c r="P108" s="31" t="str">
        <f>IF($B108="","",IF($P107="",$B108,MAX($P107,$B108)))</f>
        <v/>
      </c>
      <c r="Q108" s="32" t="str">
        <f>IF($P108="","",$B108/$P108-1)</f>
        <v/>
      </c>
    </row>
    <row r="109">
      <c r="A109" s="11" t="n"/>
      <c r="B109" s="29" t="n"/>
      <c r="K109" s="30" t="str">
        <f>IF($A109="","",EDATE($A109,12*$E$4))</f>
        <v/>
      </c>
      <c r="L109" s="19" t="str">
        <f>IF($K109="","",IF($K109&gt;MAX($A$8:$A$5007),"",IFERROR(MATCH($K109,$A$8:$A$5007,1),"")))</f>
        <v/>
      </c>
      <c r="M109" s="30" t="str">
        <f>IF($L109="","",INDEX($A$8:$A$5007,$L109))</f>
        <v/>
      </c>
      <c r="N109" s="31" t="str">
        <f>IF($L109="","",INDEX($B$8:$B$5007,$L109))</f>
        <v/>
      </c>
      <c r="O109" s="32" t="str">
        <f>IF($M109="","",IF($K109-$M109&gt;7,"",IF($M109&lt;=$A109,"",IF(OR($B109&lt;=0,$N109&lt;=0),"",($N109/$B109)^(365/($M109-$A109))-1))))</f>
        <v/>
      </c>
      <c r="P109" s="31" t="str">
        <f>IF($B109="","",IF($P108="",$B109,MAX($P108,$B109)))</f>
        <v/>
      </c>
      <c r="Q109" s="32" t="str">
        <f>IF($P109="","",$B109/$P109-1)</f>
        <v/>
      </c>
    </row>
    <row r="110">
      <c r="A110" s="11" t="n"/>
      <c r="B110" s="29" t="n"/>
      <c r="K110" s="30" t="str">
        <f>IF($A110="","",EDATE($A110,12*$E$4))</f>
        <v/>
      </c>
      <c r="L110" s="19" t="str">
        <f>IF($K110="","",IF($K110&gt;MAX($A$8:$A$5007),"",IFERROR(MATCH($K110,$A$8:$A$5007,1),"")))</f>
        <v/>
      </c>
      <c r="M110" s="30" t="str">
        <f>IF($L110="","",INDEX($A$8:$A$5007,$L110))</f>
        <v/>
      </c>
      <c r="N110" s="31" t="str">
        <f>IF($L110="","",INDEX($B$8:$B$5007,$L110))</f>
        <v/>
      </c>
      <c r="O110" s="32" t="str">
        <f>IF($M110="","",IF($K110-$M110&gt;7,"",IF($M110&lt;=$A110,"",IF(OR($B110&lt;=0,$N110&lt;=0),"",($N110/$B110)^(365/($M110-$A110))-1))))</f>
        <v/>
      </c>
      <c r="P110" s="31" t="str">
        <f>IF($B110="","",IF($P109="",$B110,MAX($P109,$B110)))</f>
        <v/>
      </c>
      <c r="Q110" s="32" t="str">
        <f>IF($P110="","",$B110/$P110-1)</f>
        <v/>
      </c>
    </row>
    <row r="111">
      <c r="A111" s="11" t="n"/>
      <c r="B111" s="29" t="n"/>
      <c r="K111" s="30" t="str">
        <f>IF($A111="","",EDATE($A111,12*$E$4))</f>
        <v/>
      </c>
      <c r="L111" s="19" t="str">
        <f>IF($K111="","",IF($K111&gt;MAX($A$8:$A$5007),"",IFERROR(MATCH($K111,$A$8:$A$5007,1),"")))</f>
        <v/>
      </c>
      <c r="M111" s="30" t="str">
        <f>IF($L111="","",INDEX($A$8:$A$5007,$L111))</f>
        <v/>
      </c>
      <c r="N111" s="31" t="str">
        <f>IF($L111="","",INDEX($B$8:$B$5007,$L111))</f>
        <v/>
      </c>
      <c r="O111" s="32" t="str">
        <f>IF($M111="","",IF($K111-$M111&gt;7,"",IF($M111&lt;=$A111,"",IF(OR($B111&lt;=0,$N111&lt;=0),"",($N111/$B111)^(365/($M111-$A111))-1))))</f>
        <v/>
      </c>
      <c r="P111" s="31" t="str">
        <f>IF($B111="","",IF($P110="",$B111,MAX($P110,$B111)))</f>
        <v/>
      </c>
      <c r="Q111" s="32" t="str">
        <f>IF($P111="","",$B111/$P111-1)</f>
        <v/>
      </c>
    </row>
    <row r="112">
      <c r="A112" s="11" t="n"/>
      <c r="B112" s="29" t="n"/>
      <c r="K112" s="30" t="str">
        <f>IF($A112="","",EDATE($A112,12*$E$4))</f>
        <v/>
      </c>
      <c r="L112" s="19" t="str">
        <f>IF($K112="","",IF($K112&gt;MAX($A$8:$A$5007),"",IFERROR(MATCH($K112,$A$8:$A$5007,1),"")))</f>
        <v/>
      </c>
      <c r="M112" s="30" t="str">
        <f>IF($L112="","",INDEX($A$8:$A$5007,$L112))</f>
        <v/>
      </c>
      <c r="N112" s="31" t="str">
        <f>IF($L112="","",INDEX($B$8:$B$5007,$L112))</f>
        <v/>
      </c>
      <c r="O112" s="32" t="str">
        <f>IF($M112="","",IF($K112-$M112&gt;7,"",IF($M112&lt;=$A112,"",IF(OR($B112&lt;=0,$N112&lt;=0),"",($N112/$B112)^(365/($M112-$A112))-1))))</f>
        <v/>
      </c>
      <c r="P112" s="31" t="str">
        <f>IF($B112="","",IF($P111="",$B112,MAX($P111,$B112)))</f>
        <v/>
      </c>
      <c r="Q112" s="32" t="str">
        <f>IF($P112="","",$B112/$P112-1)</f>
        <v/>
      </c>
    </row>
    <row r="113">
      <c r="A113" s="11" t="n"/>
      <c r="B113" s="29" t="n"/>
      <c r="K113" s="30" t="str">
        <f>IF($A113="","",EDATE($A113,12*$E$4))</f>
        <v/>
      </c>
      <c r="L113" s="19" t="str">
        <f>IF($K113="","",IF($K113&gt;MAX($A$8:$A$5007),"",IFERROR(MATCH($K113,$A$8:$A$5007,1),"")))</f>
        <v/>
      </c>
      <c r="M113" s="30" t="str">
        <f>IF($L113="","",INDEX($A$8:$A$5007,$L113))</f>
        <v/>
      </c>
      <c r="N113" s="31" t="str">
        <f>IF($L113="","",INDEX($B$8:$B$5007,$L113))</f>
        <v/>
      </c>
      <c r="O113" s="32" t="str">
        <f>IF($M113="","",IF($K113-$M113&gt;7,"",IF($M113&lt;=$A113,"",IF(OR($B113&lt;=0,$N113&lt;=0),"",($N113/$B113)^(365/($M113-$A113))-1))))</f>
        <v/>
      </c>
      <c r="P113" s="31" t="str">
        <f>IF($B113="","",IF($P112="",$B113,MAX($P112,$B113)))</f>
        <v/>
      </c>
      <c r="Q113" s="32" t="str">
        <f>IF($P113="","",$B113/$P113-1)</f>
        <v/>
      </c>
    </row>
    <row r="114">
      <c r="A114" s="11" t="n"/>
      <c r="B114" s="29" t="n"/>
      <c r="K114" s="30" t="str">
        <f>IF($A114="","",EDATE($A114,12*$E$4))</f>
        <v/>
      </c>
      <c r="L114" s="19" t="str">
        <f>IF($K114="","",IF($K114&gt;MAX($A$8:$A$5007),"",IFERROR(MATCH($K114,$A$8:$A$5007,1),"")))</f>
        <v/>
      </c>
      <c r="M114" s="30" t="str">
        <f>IF($L114="","",INDEX($A$8:$A$5007,$L114))</f>
        <v/>
      </c>
      <c r="N114" s="31" t="str">
        <f>IF($L114="","",INDEX($B$8:$B$5007,$L114))</f>
        <v/>
      </c>
      <c r="O114" s="32" t="str">
        <f>IF($M114="","",IF($K114-$M114&gt;7,"",IF($M114&lt;=$A114,"",IF(OR($B114&lt;=0,$N114&lt;=0),"",($N114/$B114)^(365/($M114-$A114))-1))))</f>
        <v/>
      </c>
      <c r="P114" s="31" t="str">
        <f>IF($B114="","",IF($P113="",$B114,MAX($P113,$B114)))</f>
        <v/>
      </c>
      <c r="Q114" s="32" t="str">
        <f>IF($P114="","",$B114/$P114-1)</f>
        <v/>
      </c>
    </row>
    <row r="115">
      <c r="A115" s="11" t="n"/>
      <c r="B115" s="29" t="n"/>
      <c r="K115" s="30" t="str">
        <f>IF($A115="","",EDATE($A115,12*$E$4))</f>
        <v/>
      </c>
      <c r="L115" s="19" t="str">
        <f>IF($K115="","",IF($K115&gt;MAX($A$8:$A$5007),"",IFERROR(MATCH($K115,$A$8:$A$5007,1),"")))</f>
        <v/>
      </c>
      <c r="M115" s="30" t="str">
        <f>IF($L115="","",INDEX($A$8:$A$5007,$L115))</f>
        <v/>
      </c>
      <c r="N115" s="31" t="str">
        <f>IF($L115="","",INDEX($B$8:$B$5007,$L115))</f>
        <v/>
      </c>
      <c r="O115" s="32" t="str">
        <f>IF($M115="","",IF($K115-$M115&gt;7,"",IF($M115&lt;=$A115,"",IF(OR($B115&lt;=0,$N115&lt;=0),"",($N115/$B115)^(365/($M115-$A115))-1))))</f>
        <v/>
      </c>
      <c r="P115" s="31" t="str">
        <f>IF($B115="","",IF($P114="",$B115,MAX($P114,$B115)))</f>
        <v/>
      </c>
      <c r="Q115" s="32" t="str">
        <f>IF($P115="","",$B115/$P115-1)</f>
        <v/>
      </c>
    </row>
    <row r="116">
      <c r="A116" s="11" t="n"/>
      <c r="B116" s="29" t="n"/>
      <c r="K116" s="30" t="str">
        <f>IF($A116="","",EDATE($A116,12*$E$4))</f>
        <v/>
      </c>
      <c r="L116" s="19" t="str">
        <f>IF($K116="","",IF($K116&gt;MAX($A$8:$A$5007),"",IFERROR(MATCH($K116,$A$8:$A$5007,1),"")))</f>
        <v/>
      </c>
      <c r="M116" s="30" t="str">
        <f>IF($L116="","",INDEX($A$8:$A$5007,$L116))</f>
        <v/>
      </c>
      <c r="N116" s="31" t="str">
        <f>IF($L116="","",INDEX($B$8:$B$5007,$L116))</f>
        <v/>
      </c>
      <c r="O116" s="32" t="str">
        <f>IF($M116="","",IF($K116-$M116&gt;7,"",IF($M116&lt;=$A116,"",IF(OR($B116&lt;=0,$N116&lt;=0),"",($N116/$B116)^(365/($M116-$A116))-1))))</f>
        <v/>
      </c>
      <c r="P116" s="31" t="str">
        <f>IF($B116="","",IF($P115="",$B116,MAX($P115,$B116)))</f>
        <v/>
      </c>
      <c r="Q116" s="32" t="str">
        <f>IF($P116="","",$B116/$P116-1)</f>
        <v/>
      </c>
    </row>
    <row r="117">
      <c r="A117" s="11" t="n"/>
      <c r="B117" s="29" t="n"/>
      <c r="K117" s="30" t="str">
        <f>IF($A117="","",EDATE($A117,12*$E$4))</f>
        <v/>
      </c>
      <c r="L117" s="19" t="str">
        <f>IF($K117="","",IF($K117&gt;MAX($A$8:$A$5007),"",IFERROR(MATCH($K117,$A$8:$A$5007,1),"")))</f>
        <v/>
      </c>
      <c r="M117" s="30" t="str">
        <f>IF($L117="","",INDEX($A$8:$A$5007,$L117))</f>
        <v/>
      </c>
      <c r="N117" s="31" t="str">
        <f>IF($L117="","",INDEX($B$8:$B$5007,$L117))</f>
        <v/>
      </c>
      <c r="O117" s="32" t="str">
        <f>IF($M117="","",IF($K117-$M117&gt;7,"",IF($M117&lt;=$A117,"",IF(OR($B117&lt;=0,$N117&lt;=0),"",($N117/$B117)^(365/($M117-$A117))-1))))</f>
        <v/>
      </c>
      <c r="P117" s="31" t="str">
        <f>IF($B117="","",IF($P116="",$B117,MAX($P116,$B117)))</f>
        <v/>
      </c>
      <c r="Q117" s="32" t="str">
        <f>IF($P117="","",$B117/$P117-1)</f>
        <v/>
      </c>
    </row>
    <row r="118">
      <c r="A118" s="11" t="n"/>
      <c r="B118" s="29" t="n"/>
      <c r="K118" s="30" t="str">
        <f>IF($A118="","",EDATE($A118,12*$E$4))</f>
        <v/>
      </c>
      <c r="L118" s="19" t="str">
        <f>IF($K118="","",IF($K118&gt;MAX($A$8:$A$5007),"",IFERROR(MATCH($K118,$A$8:$A$5007,1),"")))</f>
        <v/>
      </c>
      <c r="M118" s="30" t="str">
        <f>IF($L118="","",INDEX($A$8:$A$5007,$L118))</f>
        <v/>
      </c>
      <c r="N118" s="31" t="str">
        <f>IF($L118="","",INDEX($B$8:$B$5007,$L118))</f>
        <v/>
      </c>
      <c r="O118" s="32" t="str">
        <f>IF($M118="","",IF($K118-$M118&gt;7,"",IF($M118&lt;=$A118,"",IF(OR($B118&lt;=0,$N118&lt;=0),"",($N118/$B118)^(365/($M118-$A118))-1))))</f>
        <v/>
      </c>
      <c r="P118" s="31" t="str">
        <f>IF($B118="","",IF($P117="",$B118,MAX($P117,$B118)))</f>
        <v/>
      </c>
      <c r="Q118" s="32" t="str">
        <f>IF($P118="","",$B118/$P118-1)</f>
        <v/>
      </c>
    </row>
    <row r="119">
      <c r="A119" s="11" t="n"/>
      <c r="B119" s="29" t="n"/>
      <c r="K119" s="30" t="str">
        <f>IF($A119="","",EDATE($A119,12*$E$4))</f>
        <v/>
      </c>
      <c r="L119" s="19" t="str">
        <f>IF($K119="","",IF($K119&gt;MAX($A$8:$A$5007),"",IFERROR(MATCH($K119,$A$8:$A$5007,1),"")))</f>
        <v/>
      </c>
      <c r="M119" s="30" t="str">
        <f>IF($L119="","",INDEX($A$8:$A$5007,$L119))</f>
        <v/>
      </c>
      <c r="N119" s="31" t="str">
        <f>IF($L119="","",INDEX($B$8:$B$5007,$L119))</f>
        <v/>
      </c>
      <c r="O119" s="32" t="str">
        <f>IF($M119="","",IF($K119-$M119&gt;7,"",IF($M119&lt;=$A119,"",IF(OR($B119&lt;=0,$N119&lt;=0),"",($N119/$B119)^(365/($M119-$A119))-1))))</f>
        <v/>
      </c>
      <c r="P119" s="31" t="str">
        <f>IF($B119="","",IF($P118="",$B119,MAX($P118,$B119)))</f>
        <v/>
      </c>
      <c r="Q119" s="32" t="str">
        <f>IF($P119="","",$B119/$P119-1)</f>
        <v/>
      </c>
    </row>
    <row r="120">
      <c r="A120" s="11" t="n"/>
      <c r="B120" s="29" t="n"/>
      <c r="K120" s="30" t="str">
        <f>IF($A120="","",EDATE($A120,12*$E$4))</f>
        <v/>
      </c>
      <c r="L120" s="19" t="str">
        <f>IF($K120="","",IF($K120&gt;MAX($A$8:$A$5007),"",IFERROR(MATCH($K120,$A$8:$A$5007,1),"")))</f>
        <v/>
      </c>
      <c r="M120" s="30" t="str">
        <f>IF($L120="","",INDEX($A$8:$A$5007,$L120))</f>
        <v/>
      </c>
      <c r="N120" s="31" t="str">
        <f>IF($L120="","",INDEX($B$8:$B$5007,$L120))</f>
        <v/>
      </c>
      <c r="O120" s="32" t="str">
        <f>IF($M120="","",IF($K120-$M120&gt;7,"",IF($M120&lt;=$A120,"",IF(OR($B120&lt;=0,$N120&lt;=0),"",($N120/$B120)^(365/($M120-$A120))-1))))</f>
        <v/>
      </c>
      <c r="P120" s="31" t="str">
        <f>IF($B120="","",IF($P119="",$B120,MAX($P119,$B120)))</f>
        <v/>
      </c>
      <c r="Q120" s="32" t="str">
        <f>IF($P120="","",$B120/$P120-1)</f>
        <v/>
      </c>
    </row>
    <row r="121">
      <c r="A121" s="11" t="n"/>
      <c r="B121" s="29" t="n"/>
      <c r="K121" s="30" t="str">
        <f>IF($A121="","",EDATE($A121,12*$E$4))</f>
        <v/>
      </c>
      <c r="L121" s="19" t="str">
        <f>IF($K121="","",IF($K121&gt;MAX($A$8:$A$5007),"",IFERROR(MATCH($K121,$A$8:$A$5007,1),"")))</f>
        <v/>
      </c>
      <c r="M121" s="30" t="str">
        <f>IF($L121="","",INDEX($A$8:$A$5007,$L121))</f>
        <v/>
      </c>
      <c r="N121" s="31" t="str">
        <f>IF($L121="","",INDEX($B$8:$B$5007,$L121))</f>
        <v/>
      </c>
      <c r="O121" s="32" t="str">
        <f>IF($M121="","",IF($K121-$M121&gt;7,"",IF($M121&lt;=$A121,"",IF(OR($B121&lt;=0,$N121&lt;=0),"",($N121/$B121)^(365/($M121-$A121))-1))))</f>
        <v/>
      </c>
      <c r="P121" s="31" t="str">
        <f>IF($B121="","",IF($P120="",$B121,MAX($P120,$B121)))</f>
        <v/>
      </c>
      <c r="Q121" s="32" t="str">
        <f>IF($P121="","",$B121/$P121-1)</f>
        <v/>
      </c>
    </row>
    <row r="122">
      <c r="A122" s="11" t="n"/>
      <c r="B122" s="29" t="n"/>
      <c r="K122" s="30" t="str">
        <f>IF($A122="","",EDATE($A122,12*$E$4))</f>
        <v/>
      </c>
      <c r="L122" s="19" t="str">
        <f>IF($K122="","",IF($K122&gt;MAX($A$8:$A$5007),"",IFERROR(MATCH($K122,$A$8:$A$5007,1),"")))</f>
        <v/>
      </c>
      <c r="M122" s="30" t="str">
        <f>IF($L122="","",INDEX($A$8:$A$5007,$L122))</f>
        <v/>
      </c>
      <c r="N122" s="31" t="str">
        <f>IF($L122="","",INDEX($B$8:$B$5007,$L122))</f>
        <v/>
      </c>
      <c r="O122" s="32" t="str">
        <f>IF($M122="","",IF($K122-$M122&gt;7,"",IF($M122&lt;=$A122,"",IF(OR($B122&lt;=0,$N122&lt;=0),"",($N122/$B122)^(365/($M122-$A122))-1))))</f>
        <v/>
      </c>
      <c r="P122" s="31" t="str">
        <f>IF($B122="","",IF($P121="",$B122,MAX($P121,$B122)))</f>
        <v/>
      </c>
      <c r="Q122" s="32" t="str">
        <f>IF($P122="","",$B122/$P122-1)</f>
        <v/>
      </c>
    </row>
    <row r="123">
      <c r="A123" s="11" t="n"/>
      <c r="B123" s="29" t="n"/>
      <c r="K123" s="30" t="str">
        <f>IF($A123="","",EDATE($A123,12*$E$4))</f>
        <v/>
      </c>
      <c r="L123" s="19" t="str">
        <f>IF($K123="","",IF($K123&gt;MAX($A$8:$A$5007),"",IFERROR(MATCH($K123,$A$8:$A$5007,1),"")))</f>
        <v/>
      </c>
      <c r="M123" s="30" t="str">
        <f>IF($L123="","",INDEX($A$8:$A$5007,$L123))</f>
        <v/>
      </c>
      <c r="N123" s="31" t="str">
        <f>IF($L123="","",INDEX($B$8:$B$5007,$L123))</f>
        <v/>
      </c>
      <c r="O123" s="32" t="str">
        <f>IF($M123="","",IF($K123-$M123&gt;7,"",IF($M123&lt;=$A123,"",IF(OR($B123&lt;=0,$N123&lt;=0),"",($N123/$B123)^(365/($M123-$A123))-1))))</f>
        <v/>
      </c>
      <c r="P123" s="31" t="str">
        <f>IF($B123="","",IF($P122="",$B123,MAX($P122,$B123)))</f>
        <v/>
      </c>
      <c r="Q123" s="32" t="str">
        <f>IF($P123="","",$B123/$P123-1)</f>
        <v/>
      </c>
    </row>
    <row r="124">
      <c r="A124" s="11" t="n"/>
      <c r="B124" s="29" t="n"/>
      <c r="K124" s="30" t="str">
        <f>IF($A124="","",EDATE($A124,12*$E$4))</f>
        <v/>
      </c>
      <c r="L124" s="19" t="str">
        <f>IF($K124="","",IF($K124&gt;MAX($A$8:$A$5007),"",IFERROR(MATCH($K124,$A$8:$A$5007,1),"")))</f>
        <v/>
      </c>
      <c r="M124" s="30" t="str">
        <f>IF($L124="","",INDEX($A$8:$A$5007,$L124))</f>
        <v/>
      </c>
      <c r="N124" s="31" t="str">
        <f>IF($L124="","",INDEX($B$8:$B$5007,$L124))</f>
        <v/>
      </c>
      <c r="O124" s="32" t="str">
        <f>IF($M124="","",IF($K124-$M124&gt;7,"",IF($M124&lt;=$A124,"",IF(OR($B124&lt;=0,$N124&lt;=0),"",($N124/$B124)^(365/($M124-$A124))-1))))</f>
        <v/>
      </c>
      <c r="P124" s="31" t="str">
        <f>IF($B124="","",IF($P123="",$B124,MAX($P123,$B124)))</f>
        <v/>
      </c>
      <c r="Q124" s="32" t="str">
        <f>IF($P124="","",$B124/$P124-1)</f>
        <v/>
      </c>
    </row>
    <row r="125">
      <c r="A125" s="11" t="n"/>
      <c r="B125" s="29" t="n"/>
      <c r="K125" s="30" t="str">
        <f>IF($A125="","",EDATE($A125,12*$E$4))</f>
        <v/>
      </c>
      <c r="L125" s="19" t="str">
        <f>IF($K125="","",IF($K125&gt;MAX($A$8:$A$5007),"",IFERROR(MATCH($K125,$A$8:$A$5007,1),"")))</f>
        <v/>
      </c>
      <c r="M125" s="30" t="str">
        <f>IF($L125="","",INDEX($A$8:$A$5007,$L125))</f>
        <v/>
      </c>
      <c r="N125" s="31" t="str">
        <f>IF($L125="","",INDEX($B$8:$B$5007,$L125))</f>
        <v/>
      </c>
      <c r="O125" s="32" t="str">
        <f>IF($M125="","",IF($K125-$M125&gt;7,"",IF($M125&lt;=$A125,"",IF(OR($B125&lt;=0,$N125&lt;=0),"",($N125/$B125)^(365/($M125-$A125))-1))))</f>
        <v/>
      </c>
      <c r="P125" s="31" t="str">
        <f>IF($B125="","",IF($P124="",$B125,MAX($P124,$B125)))</f>
        <v/>
      </c>
      <c r="Q125" s="32" t="str">
        <f>IF($P125="","",$B125/$P125-1)</f>
        <v/>
      </c>
    </row>
    <row r="126">
      <c r="A126" s="11" t="n"/>
      <c r="B126" s="29" t="n"/>
      <c r="K126" s="30" t="str">
        <f>IF($A126="","",EDATE($A126,12*$E$4))</f>
        <v/>
      </c>
      <c r="L126" s="19" t="str">
        <f>IF($K126="","",IF($K126&gt;MAX($A$8:$A$5007),"",IFERROR(MATCH($K126,$A$8:$A$5007,1),"")))</f>
        <v/>
      </c>
      <c r="M126" s="30" t="str">
        <f>IF($L126="","",INDEX($A$8:$A$5007,$L126))</f>
        <v/>
      </c>
      <c r="N126" s="31" t="str">
        <f>IF($L126="","",INDEX($B$8:$B$5007,$L126))</f>
        <v/>
      </c>
      <c r="O126" s="32" t="str">
        <f>IF($M126="","",IF($K126-$M126&gt;7,"",IF($M126&lt;=$A126,"",IF(OR($B126&lt;=0,$N126&lt;=0),"",($N126/$B126)^(365/($M126-$A126))-1))))</f>
        <v/>
      </c>
      <c r="P126" s="31" t="str">
        <f>IF($B126="","",IF($P125="",$B126,MAX($P125,$B126)))</f>
        <v/>
      </c>
      <c r="Q126" s="32" t="str">
        <f>IF($P126="","",$B126/$P126-1)</f>
        <v/>
      </c>
    </row>
    <row r="127">
      <c r="A127" s="11" t="n"/>
      <c r="B127" s="29" t="n"/>
      <c r="K127" s="30" t="str">
        <f>IF($A127="","",EDATE($A127,12*$E$4))</f>
        <v/>
      </c>
      <c r="L127" s="19" t="str">
        <f>IF($K127="","",IF($K127&gt;MAX($A$8:$A$5007),"",IFERROR(MATCH($K127,$A$8:$A$5007,1),"")))</f>
        <v/>
      </c>
      <c r="M127" s="30" t="str">
        <f>IF($L127="","",INDEX($A$8:$A$5007,$L127))</f>
        <v/>
      </c>
      <c r="N127" s="31" t="str">
        <f>IF($L127="","",INDEX($B$8:$B$5007,$L127))</f>
        <v/>
      </c>
      <c r="O127" s="32" t="str">
        <f>IF($M127="","",IF($K127-$M127&gt;7,"",IF($M127&lt;=$A127,"",IF(OR($B127&lt;=0,$N127&lt;=0),"",($N127/$B127)^(365/($M127-$A127))-1))))</f>
        <v/>
      </c>
      <c r="P127" s="31" t="str">
        <f>IF($B127="","",IF($P126="",$B127,MAX($P126,$B127)))</f>
        <v/>
      </c>
      <c r="Q127" s="32" t="str">
        <f>IF($P127="","",$B127/$P127-1)</f>
        <v/>
      </c>
    </row>
    <row r="128">
      <c r="A128" s="11" t="n"/>
      <c r="B128" s="29" t="n"/>
      <c r="K128" s="30" t="str">
        <f>IF($A128="","",EDATE($A128,12*$E$4))</f>
        <v/>
      </c>
      <c r="L128" s="19" t="str">
        <f>IF($K128="","",IF($K128&gt;MAX($A$8:$A$5007),"",IFERROR(MATCH($K128,$A$8:$A$5007,1),"")))</f>
        <v/>
      </c>
      <c r="M128" s="30" t="str">
        <f>IF($L128="","",INDEX($A$8:$A$5007,$L128))</f>
        <v/>
      </c>
      <c r="N128" s="31" t="str">
        <f>IF($L128="","",INDEX($B$8:$B$5007,$L128))</f>
        <v/>
      </c>
      <c r="O128" s="32" t="str">
        <f>IF($M128="","",IF($K128-$M128&gt;7,"",IF($M128&lt;=$A128,"",IF(OR($B128&lt;=0,$N128&lt;=0),"",($N128/$B128)^(365/($M128-$A128))-1))))</f>
        <v/>
      </c>
      <c r="P128" s="31" t="str">
        <f>IF($B128="","",IF($P127="",$B128,MAX($P127,$B128)))</f>
        <v/>
      </c>
      <c r="Q128" s="32" t="str">
        <f>IF($P128="","",$B128/$P128-1)</f>
        <v/>
      </c>
    </row>
    <row r="129">
      <c r="A129" s="11" t="n"/>
      <c r="B129" s="29" t="n"/>
      <c r="K129" s="30" t="str">
        <f>IF($A129="","",EDATE($A129,12*$E$4))</f>
        <v/>
      </c>
      <c r="L129" s="19" t="str">
        <f>IF($K129="","",IF($K129&gt;MAX($A$8:$A$5007),"",IFERROR(MATCH($K129,$A$8:$A$5007,1),"")))</f>
        <v/>
      </c>
      <c r="M129" s="30" t="str">
        <f>IF($L129="","",INDEX($A$8:$A$5007,$L129))</f>
        <v/>
      </c>
      <c r="N129" s="31" t="str">
        <f>IF($L129="","",INDEX($B$8:$B$5007,$L129))</f>
        <v/>
      </c>
      <c r="O129" s="32" t="str">
        <f>IF($M129="","",IF($K129-$M129&gt;7,"",IF($M129&lt;=$A129,"",IF(OR($B129&lt;=0,$N129&lt;=0),"",($N129/$B129)^(365/($M129-$A129))-1))))</f>
        <v/>
      </c>
      <c r="P129" s="31" t="str">
        <f>IF($B129="","",IF($P128="",$B129,MAX($P128,$B129)))</f>
        <v/>
      </c>
      <c r="Q129" s="32" t="str">
        <f>IF($P129="","",$B129/$P129-1)</f>
        <v/>
      </c>
    </row>
    <row r="130">
      <c r="A130" s="11" t="n"/>
      <c r="B130" s="29" t="n"/>
      <c r="K130" s="30" t="str">
        <f>IF($A130="","",EDATE($A130,12*$E$4))</f>
        <v/>
      </c>
      <c r="L130" s="19" t="str">
        <f>IF($K130="","",IF($K130&gt;MAX($A$8:$A$5007),"",IFERROR(MATCH($K130,$A$8:$A$5007,1),"")))</f>
        <v/>
      </c>
      <c r="M130" s="30" t="str">
        <f>IF($L130="","",INDEX($A$8:$A$5007,$L130))</f>
        <v/>
      </c>
      <c r="N130" s="31" t="str">
        <f>IF($L130="","",INDEX($B$8:$B$5007,$L130))</f>
        <v/>
      </c>
      <c r="O130" s="32" t="str">
        <f>IF($M130="","",IF($K130-$M130&gt;7,"",IF($M130&lt;=$A130,"",IF(OR($B130&lt;=0,$N130&lt;=0),"",($N130/$B130)^(365/($M130-$A130))-1))))</f>
        <v/>
      </c>
      <c r="P130" s="31" t="str">
        <f>IF($B130="","",IF($P129="",$B130,MAX($P129,$B130)))</f>
        <v/>
      </c>
      <c r="Q130" s="32" t="str">
        <f>IF($P130="","",$B130/$P130-1)</f>
        <v/>
      </c>
    </row>
    <row r="131">
      <c r="A131" s="11" t="n"/>
      <c r="B131" s="29" t="n"/>
      <c r="K131" s="30" t="str">
        <f>IF($A131="","",EDATE($A131,12*$E$4))</f>
        <v/>
      </c>
      <c r="L131" s="19" t="str">
        <f>IF($K131="","",IF($K131&gt;MAX($A$8:$A$5007),"",IFERROR(MATCH($K131,$A$8:$A$5007,1),"")))</f>
        <v/>
      </c>
      <c r="M131" s="30" t="str">
        <f>IF($L131="","",INDEX($A$8:$A$5007,$L131))</f>
        <v/>
      </c>
      <c r="N131" s="31" t="str">
        <f>IF($L131="","",INDEX($B$8:$B$5007,$L131))</f>
        <v/>
      </c>
      <c r="O131" s="32" t="str">
        <f>IF($M131="","",IF($K131-$M131&gt;7,"",IF($M131&lt;=$A131,"",IF(OR($B131&lt;=0,$N131&lt;=0),"",($N131/$B131)^(365/($M131-$A131))-1))))</f>
        <v/>
      </c>
      <c r="P131" s="31" t="str">
        <f>IF($B131="","",IF($P130="",$B131,MAX($P130,$B131)))</f>
        <v/>
      </c>
      <c r="Q131" s="32" t="str">
        <f>IF($P131="","",$B131/$P131-1)</f>
        <v/>
      </c>
    </row>
    <row r="132">
      <c r="A132" s="11" t="n"/>
      <c r="B132" s="29" t="n"/>
      <c r="K132" s="30" t="str">
        <f>IF($A132="","",EDATE($A132,12*$E$4))</f>
        <v/>
      </c>
      <c r="L132" s="19" t="str">
        <f>IF($K132="","",IF($K132&gt;MAX($A$8:$A$5007),"",IFERROR(MATCH($K132,$A$8:$A$5007,1),"")))</f>
        <v/>
      </c>
      <c r="M132" s="30" t="str">
        <f>IF($L132="","",INDEX($A$8:$A$5007,$L132))</f>
        <v/>
      </c>
      <c r="N132" s="31" t="str">
        <f>IF($L132="","",INDEX($B$8:$B$5007,$L132))</f>
        <v/>
      </c>
      <c r="O132" s="32" t="str">
        <f>IF($M132="","",IF($K132-$M132&gt;7,"",IF($M132&lt;=$A132,"",IF(OR($B132&lt;=0,$N132&lt;=0),"",($N132/$B132)^(365/($M132-$A132))-1))))</f>
        <v/>
      </c>
      <c r="P132" s="31" t="str">
        <f>IF($B132="","",IF($P131="",$B132,MAX($P131,$B132)))</f>
        <v/>
      </c>
      <c r="Q132" s="32" t="str">
        <f>IF($P132="","",$B132/$P132-1)</f>
        <v/>
      </c>
    </row>
    <row r="133">
      <c r="A133" s="11" t="n"/>
      <c r="B133" s="29" t="n"/>
      <c r="K133" s="30" t="str">
        <f>IF($A133="","",EDATE($A133,12*$E$4))</f>
        <v/>
      </c>
      <c r="L133" s="19" t="str">
        <f>IF($K133="","",IF($K133&gt;MAX($A$8:$A$5007),"",IFERROR(MATCH($K133,$A$8:$A$5007,1),"")))</f>
        <v/>
      </c>
      <c r="M133" s="30" t="str">
        <f>IF($L133="","",INDEX($A$8:$A$5007,$L133))</f>
        <v/>
      </c>
      <c r="N133" s="31" t="str">
        <f>IF($L133="","",INDEX($B$8:$B$5007,$L133))</f>
        <v/>
      </c>
      <c r="O133" s="32" t="str">
        <f>IF($M133="","",IF($K133-$M133&gt;7,"",IF($M133&lt;=$A133,"",IF(OR($B133&lt;=0,$N133&lt;=0),"",($N133/$B133)^(365/($M133-$A133))-1))))</f>
        <v/>
      </c>
      <c r="P133" s="31" t="str">
        <f>IF($B133="","",IF($P132="",$B133,MAX($P132,$B133)))</f>
        <v/>
      </c>
      <c r="Q133" s="32" t="str">
        <f>IF($P133="","",$B133/$P133-1)</f>
        <v/>
      </c>
    </row>
    <row r="134">
      <c r="A134" s="11" t="n"/>
      <c r="B134" s="29" t="n"/>
      <c r="K134" s="30" t="str">
        <f>IF($A134="","",EDATE($A134,12*$E$4))</f>
        <v/>
      </c>
      <c r="L134" s="19" t="str">
        <f>IF($K134="","",IF($K134&gt;MAX($A$8:$A$5007),"",IFERROR(MATCH($K134,$A$8:$A$5007,1),"")))</f>
        <v/>
      </c>
      <c r="M134" s="30" t="str">
        <f>IF($L134="","",INDEX($A$8:$A$5007,$L134))</f>
        <v/>
      </c>
      <c r="N134" s="31" t="str">
        <f>IF($L134="","",INDEX($B$8:$B$5007,$L134))</f>
        <v/>
      </c>
      <c r="O134" s="32" t="str">
        <f>IF($M134="","",IF($K134-$M134&gt;7,"",IF($M134&lt;=$A134,"",IF(OR($B134&lt;=0,$N134&lt;=0),"",($N134/$B134)^(365/($M134-$A134))-1))))</f>
        <v/>
      </c>
      <c r="P134" s="31" t="str">
        <f>IF($B134="","",IF($P133="",$B134,MAX($P133,$B134)))</f>
        <v/>
      </c>
      <c r="Q134" s="32" t="str">
        <f>IF($P134="","",$B134/$P134-1)</f>
        <v/>
      </c>
    </row>
    <row r="135">
      <c r="A135" s="11" t="n"/>
      <c r="B135" s="29" t="n"/>
      <c r="K135" s="30" t="str">
        <f>IF($A135="","",EDATE($A135,12*$E$4))</f>
        <v/>
      </c>
      <c r="L135" s="19" t="str">
        <f>IF($K135="","",IF($K135&gt;MAX($A$8:$A$5007),"",IFERROR(MATCH($K135,$A$8:$A$5007,1),"")))</f>
        <v/>
      </c>
      <c r="M135" s="30" t="str">
        <f>IF($L135="","",INDEX($A$8:$A$5007,$L135))</f>
        <v/>
      </c>
      <c r="N135" s="31" t="str">
        <f>IF($L135="","",INDEX($B$8:$B$5007,$L135))</f>
        <v/>
      </c>
      <c r="O135" s="32" t="str">
        <f>IF($M135="","",IF($K135-$M135&gt;7,"",IF($M135&lt;=$A135,"",IF(OR($B135&lt;=0,$N135&lt;=0),"",($N135/$B135)^(365/($M135-$A135))-1))))</f>
        <v/>
      </c>
      <c r="P135" s="31" t="str">
        <f>IF($B135="","",IF($P134="",$B135,MAX($P134,$B135)))</f>
        <v/>
      </c>
      <c r="Q135" s="32" t="str">
        <f>IF($P135="","",$B135/$P135-1)</f>
        <v/>
      </c>
    </row>
    <row r="136">
      <c r="A136" s="11" t="n"/>
      <c r="B136" s="29" t="n"/>
      <c r="K136" s="30" t="str">
        <f>IF($A136="","",EDATE($A136,12*$E$4))</f>
        <v/>
      </c>
      <c r="L136" s="19" t="str">
        <f>IF($K136="","",IF($K136&gt;MAX($A$8:$A$5007),"",IFERROR(MATCH($K136,$A$8:$A$5007,1),"")))</f>
        <v/>
      </c>
      <c r="M136" s="30" t="str">
        <f>IF($L136="","",INDEX($A$8:$A$5007,$L136))</f>
        <v/>
      </c>
      <c r="N136" s="31" t="str">
        <f>IF($L136="","",INDEX($B$8:$B$5007,$L136))</f>
        <v/>
      </c>
      <c r="O136" s="32" t="str">
        <f>IF($M136="","",IF($K136-$M136&gt;7,"",IF($M136&lt;=$A136,"",IF(OR($B136&lt;=0,$N136&lt;=0),"",($N136/$B136)^(365/($M136-$A136))-1))))</f>
        <v/>
      </c>
      <c r="P136" s="31" t="str">
        <f>IF($B136="","",IF($P135="",$B136,MAX($P135,$B136)))</f>
        <v/>
      </c>
      <c r="Q136" s="32" t="str">
        <f>IF($P136="","",$B136/$P136-1)</f>
        <v/>
      </c>
    </row>
    <row r="137">
      <c r="A137" s="11" t="n"/>
      <c r="B137" s="29" t="n"/>
      <c r="K137" s="30" t="str">
        <f>IF($A137="","",EDATE($A137,12*$E$4))</f>
        <v/>
      </c>
      <c r="L137" s="19" t="str">
        <f>IF($K137="","",IF($K137&gt;MAX($A$8:$A$5007),"",IFERROR(MATCH($K137,$A$8:$A$5007,1),"")))</f>
        <v/>
      </c>
      <c r="M137" s="30" t="str">
        <f>IF($L137="","",INDEX($A$8:$A$5007,$L137))</f>
        <v/>
      </c>
      <c r="N137" s="31" t="str">
        <f>IF($L137="","",INDEX($B$8:$B$5007,$L137))</f>
        <v/>
      </c>
      <c r="O137" s="32" t="str">
        <f>IF($M137="","",IF($K137-$M137&gt;7,"",IF($M137&lt;=$A137,"",IF(OR($B137&lt;=0,$N137&lt;=0),"",($N137/$B137)^(365/($M137-$A137))-1))))</f>
        <v/>
      </c>
      <c r="P137" s="31" t="str">
        <f>IF($B137="","",IF($P136="",$B137,MAX($P136,$B137)))</f>
        <v/>
      </c>
      <c r="Q137" s="32" t="str">
        <f>IF($P137="","",$B137/$P137-1)</f>
        <v/>
      </c>
    </row>
    <row r="138">
      <c r="A138" s="11" t="n"/>
      <c r="B138" s="29" t="n"/>
      <c r="K138" s="30" t="str">
        <f>IF($A138="","",EDATE($A138,12*$E$4))</f>
        <v/>
      </c>
      <c r="L138" s="19" t="str">
        <f>IF($K138="","",IF($K138&gt;MAX($A$8:$A$5007),"",IFERROR(MATCH($K138,$A$8:$A$5007,1),"")))</f>
        <v/>
      </c>
      <c r="M138" s="30" t="str">
        <f>IF($L138="","",INDEX($A$8:$A$5007,$L138))</f>
        <v/>
      </c>
      <c r="N138" s="31" t="str">
        <f>IF($L138="","",INDEX($B$8:$B$5007,$L138))</f>
        <v/>
      </c>
      <c r="O138" s="32" t="str">
        <f>IF($M138="","",IF($K138-$M138&gt;7,"",IF($M138&lt;=$A138,"",IF(OR($B138&lt;=0,$N138&lt;=0),"",($N138/$B138)^(365/($M138-$A138))-1))))</f>
        <v/>
      </c>
      <c r="P138" s="31" t="str">
        <f>IF($B138="","",IF($P137="",$B138,MAX($P137,$B138)))</f>
        <v/>
      </c>
      <c r="Q138" s="32" t="str">
        <f>IF($P138="","",$B138/$P138-1)</f>
        <v/>
      </c>
    </row>
    <row r="139">
      <c r="A139" s="11" t="n"/>
      <c r="B139" s="29" t="n"/>
      <c r="K139" s="30" t="str">
        <f>IF($A139="","",EDATE($A139,12*$E$4))</f>
        <v/>
      </c>
      <c r="L139" s="19" t="str">
        <f>IF($K139="","",IF($K139&gt;MAX($A$8:$A$5007),"",IFERROR(MATCH($K139,$A$8:$A$5007,1),"")))</f>
        <v/>
      </c>
      <c r="M139" s="30" t="str">
        <f>IF($L139="","",INDEX($A$8:$A$5007,$L139))</f>
        <v/>
      </c>
      <c r="N139" s="31" t="str">
        <f>IF($L139="","",INDEX($B$8:$B$5007,$L139))</f>
        <v/>
      </c>
      <c r="O139" s="32" t="str">
        <f>IF($M139="","",IF($K139-$M139&gt;7,"",IF($M139&lt;=$A139,"",IF(OR($B139&lt;=0,$N139&lt;=0),"",($N139/$B139)^(365/($M139-$A139))-1))))</f>
        <v/>
      </c>
      <c r="P139" s="31" t="str">
        <f>IF($B139="","",IF($P138="",$B139,MAX($P138,$B139)))</f>
        <v/>
      </c>
      <c r="Q139" s="32" t="str">
        <f>IF($P139="","",$B139/$P139-1)</f>
        <v/>
      </c>
    </row>
    <row r="140">
      <c r="A140" s="11" t="n"/>
      <c r="B140" s="29" t="n"/>
      <c r="K140" s="30" t="str">
        <f>IF($A140="","",EDATE($A140,12*$E$4))</f>
        <v/>
      </c>
      <c r="L140" s="19" t="str">
        <f>IF($K140="","",IF($K140&gt;MAX($A$8:$A$5007),"",IFERROR(MATCH($K140,$A$8:$A$5007,1),"")))</f>
        <v/>
      </c>
      <c r="M140" s="30" t="str">
        <f>IF($L140="","",INDEX($A$8:$A$5007,$L140))</f>
        <v/>
      </c>
      <c r="N140" s="31" t="str">
        <f>IF($L140="","",INDEX($B$8:$B$5007,$L140))</f>
        <v/>
      </c>
      <c r="O140" s="32" t="str">
        <f>IF($M140="","",IF($K140-$M140&gt;7,"",IF($M140&lt;=$A140,"",IF(OR($B140&lt;=0,$N140&lt;=0),"",($N140/$B140)^(365/($M140-$A140))-1))))</f>
        <v/>
      </c>
      <c r="P140" s="31" t="str">
        <f>IF($B140="","",IF($P139="",$B140,MAX($P139,$B140)))</f>
        <v/>
      </c>
      <c r="Q140" s="32" t="str">
        <f>IF($P140="","",$B140/$P140-1)</f>
        <v/>
      </c>
    </row>
    <row r="141">
      <c r="A141" s="11" t="n"/>
      <c r="B141" s="29" t="n"/>
      <c r="K141" s="30" t="str">
        <f>IF($A141="","",EDATE($A141,12*$E$4))</f>
        <v/>
      </c>
      <c r="L141" s="19" t="str">
        <f>IF($K141="","",IF($K141&gt;MAX($A$8:$A$5007),"",IFERROR(MATCH($K141,$A$8:$A$5007,1),"")))</f>
        <v/>
      </c>
      <c r="M141" s="30" t="str">
        <f>IF($L141="","",INDEX($A$8:$A$5007,$L141))</f>
        <v/>
      </c>
      <c r="N141" s="31" t="str">
        <f>IF($L141="","",INDEX($B$8:$B$5007,$L141))</f>
        <v/>
      </c>
      <c r="O141" s="32" t="str">
        <f>IF($M141="","",IF($K141-$M141&gt;7,"",IF($M141&lt;=$A141,"",IF(OR($B141&lt;=0,$N141&lt;=0),"",($N141/$B141)^(365/($M141-$A141))-1))))</f>
        <v/>
      </c>
      <c r="P141" s="31" t="str">
        <f>IF($B141="","",IF($P140="",$B141,MAX($P140,$B141)))</f>
        <v/>
      </c>
      <c r="Q141" s="32" t="str">
        <f>IF($P141="","",$B141/$P141-1)</f>
        <v/>
      </c>
    </row>
    <row r="142">
      <c r="A142" s="11" t="n"/>
      <c r="B142" s="29" t="n"/>
      <c r="K142" s="30" t="str">
        <f>IF($A142="","",EDATE($A142,12*$E$4))</f>
        <v/>
      </c>
      <c r="L142" s="19" t="str">
        <f>IF($K142="","",IF($K142&gt;MAX($A$8:$A$5007),"",IFERROR(MATCH($K142,$A$8:$A$5007,1),"")))</f>
        <v/>
      </c>
      <c r="M142" s="30" t="str">
        <f>IF($L142="","",INDEX($A$8:$A$5007,$L142))</f>
        <v/>
      </c>
      <c r="N142" s="31" t="str">
        <f>IF($L142="","",INDEX($B$8:$B$5007,$L142))</f>
        <v/>
      </c>
      <c r="O142" s="32" t="str">
        <f>IF($M142="","",IF($K142-$M142&gt;7,"",IF($M142&lt;=$A142,"",IF(OR($B142&lt;=0,$N142&lt;=0),"",($N142/$B142)^(365/($M142-$A142))-1))))</f>
        <v/>
      </c>
      <c r="P142" s="31" t="str">
        <f>IF($B142="","",IF($P141="",$B142,MAX($P141,$B142)))</f>
        <v/>
      </c>
      <c r="Q142" s="32" t="str">
        <f>IF($P142="","",$B142/$P142-1)</f>
        <v/>
      </c>
    </row>
    <row r="143">
      <c r="A143" s="11" t="n"/>
      <c r="B143" s="29" t="n"/>
      <c r="K143" s="30" t="str">
        <f>IF($A143="","",EDATE($A143,12*$E$4))</f>
        <v/>
      </c>
      <c r="L143" s="19" t="str">
        <f>IF($K143="","",IF($K143&gt;MAX($A$8:$A$5007),"",IFERROR(MATCH($K143,$A$8:$A$5007,1),"")))</f>
        <v/>
      </c>
      <c r="M143" s="30" t="str">
        <f>IF($L143="","",INDEX($A$8:$A$5007,$L143))</f>
        <v/>
      </c>
      <c r="N143" s="31" t="str">
        <f>IF($L143="","",INDEX($B$8:$B$5007,$L143))</f>
        <v/>
      </c>
      <c r="O143" s="32" t="str">
        <f>IF($M143="","",IF($K143-$M143&gt;7,"",IF($M143&lt;=$A143,"",IF(OR($B143&lt;=0,$N143&lt;=0),"",($N143/$B143)^(365/($M143-$A143))-1))))</f>
        <v/>
      </c>
      <c r="P143" s="31" t="str">
        <f>IF($B143="","",IF($P142="",$B143,MAX($P142,$B143)))</f>
        <v/>
      </c>
      <c r="Q143" s="32" t="str">
        <f>IF($P143="","",$B143/$P143-1)</f>
        <v/>
      </c>
    </row>
    <row r="144">
      <c r="A144" s="11" t="n"/>
      <c r="B144" s="29" t="n"/>
      <c r="K144" s="30" t="str">
        <f>IF($A144="","",EDATE($A144,12*$E$4))</f>
        <v/>
      </c>
      <c r="L144" s="19" t="str">
        <f>IF($K144="","",IF($K144&gt;MAX($A$8:$A$5007),"",IFERROR(MATCH($K144,$A$8:$A$5007,1),"")))</f>
        <v/>
      </c>
      <c r="M144" s="30" t="str">
        <f>IF($L144="","",INDEX($A$8:$A$5007,$L144))</f>
        <v/>
      </c>
      <c r="N144" s="31" t="str">
        <f>IF($L144="","",INDEX($B$8:$B$5007,$L144))</f>
        <v/>
      </c>
      <c r="O144" s="32" t="str">
        <f>IF($M144="","",IF($K144-$M144&gt;7,"",IF($M144&lt;=$A144,"",IF(OR($B144&lt;=0,$N144&lt;=0),"",($N144/$B144)^(365/($M144-$A144))-1))))</f>
        <v/>
      </c>
      <c r="P144" s="31" t="str">
        <f>IF($B144="","",IF($P143="",$B144,MAX($P143,$B144)))</f>
        <v/>
      </c>
      <c r="Q144" s="32" t="str">
        <f>IF($P144="","",$B144/$P144-1)</f>
        <v/>
      </c>
    </row>
    <row r="145">
      <c r="A145" s="11" t="n"/>
      <c r="B145" s="29" t="n"/>
      <c r="K145" s="30" t="str">
        <f>IF($A145="","",EDATE($A145,12*$E$4))</f>
        <v/>
      </c>
      <c r="L145" s="19" t="str">
        <f>IF($K145="","",IF($K145&gt;MAX($A$8:$A$5007),"",IFERROR(MATCH($K145,$A$8:$A$5007,1),"")))</f>
        <v/>
      </c>
      <c r="M145" s="30" t="str">
        <f>IF($L145="","",INDEX($A$8:$A$5007,$L145))</f>
        <v/>
      </c>
      <c r="N145" s="31" t="str">
        <f>IF($L145="","",INDEX($B$8:$B$5007,$L145))</f>
        <v/>
      </c>
      <c r="O145" s="32" t="str">
        <f>IF($M145="","",IF($K145-$M145&gt;7,"",IF($M145&lt;=$A145,"",IF(OR($B145&lt;=0,$N145&lt;=0),"",($N145/$B145)^(365/($M145-$A145))-1))))</f>
        <v/>
      </c>
      <c r="P145" s="31" t="str">
        <f>IF($B145="","",IF($P144="",$B145,MAX($P144,$B145)))</f>
        <v/>
      </c>
      <c r="Q145" s="32" t="str">
        <f>IF($P145="","",$B145/$P145-1)</f>
        <v/>
      </c>
    </row>
    <row r="146">
      <c r="A146" s="11" t="n"/>
      <c r="B146" s="29" t="n"/>
      <c r="K146" s="30" t="str">
        <f>IF($A146="","",EDATE($A146,12*$E$4))</f>
        <v/>
      </c>
      <c r="L146" s="19" t="str">
        <f>IF($K146="","",IF($K146&gt;MAX($A$8:$A$5007),"",IFERROR(MATCH($K146,$A$8:$A$5007,1),"")))</f>
        <v/>
      </c>
      <c r="M146" s="30" t="str">
        <f>IF($L146="","",INDEX($A$8:$A$5007,$L146))</f>
        <v/>
      </c>
      <c r="N146" s="31" t="str">
        <f>IF($L146="","",INDEX($B$8:$B$5007,$L146))</f>
        <v/>
      </c>
      <c r="O146" s="32" t="str">
        <f>IF($M146="","",IF($K146-$M146&gt;7,"",IF($M146&lt;=$A146,"",IF(OR($B146&lt;=0,$N146&lt;=0),"",($N146/$B146)^(365/($M146-$A146))-1))))</f>
        <v/>
      </c>
      <c r="P146" s="31" t="str">
        <f>IF($B146="","",IF($P145="",$B146,MAX($P145,$B146)))</f>
        <v/>
      </c>
      <c r="Q146" s="32" t="str">
        <f>IF($P146="","",$B146/$P146-1)</f>
        <v/>
      </c>
    </row>
    <row r="147">
      <c r="A147" s="11" t="n"/>
      <c r="B147" s="29" t="n"/>
      <c r="K147" s="30" t="str">
        <f>IF($A147="","",EDATE($A147,12*$E$4))</f>
        <v/>
      </c>
      <c r="L147" s="19" t="str">
        <f>IF($K147="","",IF($K147&gt;MAX($A$8:$A$5007),"",IFERROR(MATCH($K147,$A$8:$A$5007,1),"")))</f>
        <v/>
      </c>
      <c r="M147" s="30" t="str">
        <f>IF($L147="","",INDEX($A$8:$A$5007,$L147))</f>
        <v/>
      </c>
      <c r="N147" s="31" t="str">
        <f>IF($L147="","",INDEX($B$8:$B$5007,$L147))</f>
        <v/>
      </c>
      <c r="O147" s="32" t="str">
        <f>IF($M147="","",IF($K147-$M147&gt;7,"",IF($M147&lt;=$A147,"",IF(OR($B147&lt;=0,$N147&lt;=0),"",($N147/$B147)^(365/($M147-$A147))-1))))</f>
        <v/>
      </c>
      <c r="P147" s="31" t="str">
        <f>IF($B147="","",IF($P146="",$B147,MAX($P146,$B147)))</f>
        <v/>
      </c>
      <c r="Q147" s="32" t="str">
        <f>IF($P147="","",$B147/$P147-1)</f>
        <v/>
      </c>
    </row>
    <row r="148">
      <c r="A148" s="11" t="n"/>
      <c r="B148" s="29" t="n"/>
      <c r="K148" s="30" t="str">
        <f>IF($A148="","",EDATE($A148,12*$E$4))</f>
        <v/>
      </c>
      <c r="L148" s="19" t="str">
        <f>IF($K148="","",IF($K148&gt;MAX($A$8:$A$5007),"",IFERROR(MATCH($K148,$A$8:$A$5007,1),"")))</f>
        <v/>
      </c>
      <c r="M148" s="30" t="str">
        <f>IF($L148="","",INDEX($A$8:$A$5007,$L148))</f>
        <v/>
      </c>
      <c r="N148" s="31" t="str">
        <f>IF($L148="","",INDEX($B$8:$B$5007,$L148))</f>
        <v/>
      </c>
      <c r="O148" s="32" t="str">
        <f>IF($M148="","",IF($K148-$M148&gt;7,"",IF($M148&lt;=$A148,"",IF(OR($B148&lt;=0,$N148&lt;=0),"",($N148/$B148)^(365/($M148-$A148))-1))))</f>
        <v/>
      </c>
      <c r="P148" s="31" t="str">
        <f>IF($B148="","",IF($P147="",$B148,MAX($P147,$B148)))</f>
        <v/>
      </c>
      <c r="Q148" s="32" t="str">
        <f>IF($P148="","",$B148/$P148-1)</f>
        <v/>
      </c>
    </row>
    <row r="149">
      <c r="A149" s="11" t="n"/>
      <c r="B149" s="29" t="n"/>
      <c r="K149" s="30" t="str">
        <f>IF($A149="","",EDATE($A149,12*$E$4))</f>
        <v/>
      </c>
      <c r="L149" s="19" t="str">
        <f>IF($K149="","",IF($K149&gt;MAX($A$8:$A$5007),"",IFERROR(MATCH($K149,$A$8:$A$5007,1),"")))</f>
        <v/>
      </c>
      <c r="M149" s="30" t="str">
        <f>IF($L149="","",INDEX($A$8:$A$5007,$L149))</f>
        <v/>
      </c>
      <c r="N149" s="31" t="str">
        <f>IF($L149="","",INDEX($B$8:$B$5007,$L149))</f>
        <v/>
      </c>
      <c r="O149" s="32" t="str">
        <f>IF($M149="","",IF($K149-$M149&gt;7,"",IF($M149&lt;=$A149,"",IF(OR($B149&lt;=0,$N149&lt;=0),"",($N149/$B149)^(365/($M149-$A149))-1))))</f>
        <v/>
      </c>
      <c r="P149" s="31" t="str">
        <f>IF($B149="","",IF($P148="",$B149,MAX($P148,$B149)))</f>
        <v/>
      </c>
      <c r="Q149" s="32" t="str">
        <f>IF($P149="","",$B149/$P149-1)</f>
        <v/>
      </c>
    </row>
    <row r="150">
      <c r="A150" s="11" t="n"/>
      <c r="B150" s="29" t="n"/>
      <c r="K150" s="30" t="str">
        <f>IF($A150="","",EDATE($A150,12*$E$4))</f>
        <v/>
      </c>
      <c r="L150" s="19" t="str">
        <f>IF($K150="","",IF($K150&gt;MAX($A$8:$A$5007),"",IFERROR(MATCH($K150,$A$8:$A$5007,1),"")))</f>
        <v/>
      </c>
      <c r="M150" s="30" t="str">
        <f>IF($L150="","",INDEX($A$8:$A$5007,$L150))</f>
        <v/>
      </c>
      <c r="N150" s="31" t="str">
        <f>IF($L150="","",INDEX($B$8:$B$5007,$L150))</f>
        <v/>
      </c>
      <c r="O150" s="32" t="str">
        <f>IF($M150="","",IF($K150-$M150&gt;7,"",IF($M150&lt;=$A150,"",IF(OR($B150&lt;=0,$N150&lt;=0),"",($N150/$B150)^(365/($M150-$A150))-1))))</f>
        <v/>
      </c>
      <c r="P150" s="31" t="str">
        <f>IF($B150="","",IF($P149="",$B150,MAX($P149,$B150)))</f>
        <v/>
      </c>
      <c r="Q150" s="32" t="str">
        <f>IF($P150="","",$B150/$P150-1)</f>
        <v/>
      </c>
    </row>
    <row r="151">
      <c r="A151" s="11" t="n"/>
      <c r="B151" s="29" t="n"/>
      <c r="K151" s="30" t="str">
        <f>IF($A151="","",EDATE($A151,12*$E$4))</f>
        <v/>
      </c>
      <c r="L151" s="19" t="str">
        <f>IF($K151="","",IF($K151&gt;MAX($A$8:$A$5007),"",IFERROR(MATCH($K151,$A$8:$A$5007,1),"")))</f>
        <v/>
      </c>
      <c r="M151" s="30" t="str">
        <f>IF($L151="","",INDEX($A$8:$A$5007,$L151))</f>
        <v/>
      </c>
      <c r="N151" s="31" t="str">
        <f>IF($L151="","",INDEX($B$8:$B$5007,$L151))</f>
        <v/>
      </c>
      <c r="O151" s="32" t="str">
        <f>IF($M151="","",IF($K151-$M151&gt;7,"",IF($M151&lt;=$A151,"",IF(OR($B151&lt;=0,$N151&lt;=0),"",($N151/$B151)^(365/($M151-$A151))-1))))</f>
        <v/>
      </c>
      <c r="P151" s="31" t="str">
        <f>IF($B151="","",IF($P150="",$B151,MAX($P150,$B151)))</f>
        <v/>
      </c>
      <c r="Q151" s="32" t="str">
        <f>IF($P151="","",$B151/$P151-1)</f>
        <v/>
      </c>
    </row>
    <row r="152">
      <c r="A152" s="11" t="n"/>
      <c r="B152" s="29" t="n"/>
      <c r="K152" s="30" t="str">
        <f>IF($A152="","",EDATE($A152,12*$E$4))</f>
        <v/>
      </c>
      <c r="L152" s="19" t="str">
        <f>IF($K152="","",IF($K152&gt;MAX($A$8:$A$5007),"",IFERROR(MATCH($K152,$A$8:$A$5007,1),"")))</f>
        <v/>
      </c>
      <c r="M152" s="30" t="str">
        <f>IF($L152="","",INDEX($A$8:$A$5007,$L152))</f>
        <v/>
      </c>
      <c r="N152" s="31" t="str">
        <f>IF($L152="","",INDEX($B$8:$B$5007,$L152))</f>
        <v/>
      </c>
      <c r="O152" s="32" t="str">
        <f>IF($M152="","",IF($K152-$M152&gt;7,"",IF($M152&lt;=$A152,"",IF(OR($B152&lt;=0,$N152&lt;=0),"",($N152/$B152)^(365/($M152-$A152))-1))))</f>
        <v/>
      </c>
      <c r="P152" s="31" t="str">
        <f>IF($B152="","",IF($P151="",$B152,MAX($P151,$B152)))</f>
        <v/>
      </c>
      <c r="Q152" s="32" t="str">
        <f>IF($P152="","",$B152/$P152-1)</f>
        <v/>
      </c>
    </row>
    <row r="153">
      <c r="A153" s="11" t="n"/>
      <c r="B153" s="29" t="n"/>
      <c r="K153" s="30" t="str">
        <f>IF($A153="","",EDATE($A153,12*$E$4))</f>
        <v/>
      </c>
      <c r="L153" s="19" t="str">
        <f>IF($K153="","",IF($K153&gt;MAX($A$8:$A$5007),"",IFERROR(MATCH($K153,$A$8:$A$5007,1),"")))</f>
        <v/>
      </c>
      <c r="M153" s="30" t="str">
        <f>IF($L153="","",INDEX($A$8:$A$5007,$L153))</f>
        <v/>
      </c>
      <c r="N153" s="31" t="str">
        <f>IF($L153="","",INDEX($B$8:$B$5007,$L153))</f>
        <v/>
      </c>
      <c r="O153" s="32" t="str">
        <f>IF($M153="","",IF($K153-$M153&gt;7,"",IF($M153&lt;=$A153,"",IF(OR($B153&lt;=0,$N153&lt;=0),"",($N153/$B153)^(365/($M153-$A153))-1))))</f>
        <v/>
      </c>
      <c r="P153" s="31" t="str">
        <f>IF($B153="","",IF($P152="",$B153,MAX($P152,$B153)))</f>
        <v/>
      </c>
      <c r="Q153" s="32" t="str">
        <f>IF($P153="","",$B153/$P153-1)</f>
        <v/>
      </c>
    </row>
    <row r="154">
      <c r="A154" s="11" t="n"/>
      <c r="B154" s="29" t="n"/>
      <c r="K154" s="30" t="str">
        <f>IF($A154="","",EDATE($A154,12*$E$4))</f>
        <v/>
      </c>
      <c r="L154" s="19" t="str">
        <f>IF($K154="","",IF($K154&gt;MAX($A$8:$A$5007),"",IFERROR(MATCH($K154,$A$8:$A$5007,1),"")))</f>
        <v/>
      </c>
      <c r="M154" s="30" t="str">
        <f>IF($L154="","",INDEX($A$8:$A$5007,$L154))</f>
        <v/>
      </c>
      <c r="N154" s="31" t="str">
        <f>IF($L154="","",INDEX($B$8:$B$5007,$L154))</f>
        <v/>
      </c>
      <c r="O154" s="32" t="str">
        <f>IF($M154="","",IF($K154-$M154&gt;7,"",IF($M154&lt;=$A154,"",IF(OR($B154&lt;=0,$N154&lt;=0),"",($N154/$B154)^(365/($M154-$A154))-1))))</f>
        <v/>
      </c>
      <c r="P154" s="31" t="str">
        <f>IF($B154="","",IF($P153="",$B154,MAX($P153,$B154)))</f>
        <v/>
      </c>
      <c r="Q154" s="32" t="str">
        <f>IF($P154="","",$B154/$P154-1)</f>
        <v/>
      </c>
    </row>
    <row r="155">
      <c r="A155" s="11" t="n"/>
      <c r="B155" s="29" t="n"/>
      <c r="K155" s="30" t="str">
        <f>IF($A155="","",EDATE($A155,12*$E$4))</f>
        <v/>
      </c>
      <c r="L155" s="19" t="str">
        <f>IF($K155="","",IF($K155&gt;MAX($A$8:$A$5007),"",IFERROR(MATCH($K155,$A$8:$A$5007,1),"")))</f>
        <v/>
      </c>
      <c r="M155" s="30" t="str">
        <f>IF($L155="","",INDEX($A$8:$A$5007,$L155))</f>
        <v/>
      </c>
      <c r="N155" s="31" t="str">
        <f>IF($L155="","",INDEX($B$8:$B$5007,$L155))</f>
        <v/>
      </c>
      <c r="O155" s="32" t="str">
        <f>IF($M155="","",IF($K155-$M155&gt;7,"",IF($M155&lt;=$A155,"",IF(OR($B155&lt;=0,$N155&lt;=0),"",($N155/$B155)^(365/($M155-$A155))-1))))</f>
        <v/>
      </c>
      <c r="P155" s="31" t="str">
        <f>IF($B155="","",IF($P154="",$B155,MAX($P154,$B155)))</f>
        <v/>
      </c>
      <c r="Q155" s="32" t="str">
        <f>IF($P155="","",$B155/$P155-1)</f>
        <v/>
      </c>
    </row>
    <row r="156">
      <c r="A156" s="11" t="n"/>
      <c r="B156" s="29" t="n"/>
      <c r="K156" s="30" t="str">
        <f>IF($A156="","",EDATE($A156,12*$E$4))</f>
        <v/>
      </c>
      <c r="L156" s="19" t="str">
        <f>IF($K156="","",IF($K156&gt;MAX($A$8:$A$5007),"",IFERROR(MATCH($K156,$A$8:$A$5007,1),"")))</f>
        <v/>
      </c>
      <c r="M156" s="30" t="str">
        <f>IF($L156="","",INDEX($A$8:$A$5007,$L156))</f>
        <v/>
      </c>
      <c r="N156" s="31" t="str">
        <f>IF($L156="","",INDEX($B$8:$B$5007,$L156))</f>
        <v/>
      </c>
      <c r="O156" s="32" t="str">
        <f>IF($M156="","",IF($K156-$M156&gt;7,"",IF($M156&lt;=$A156,"",IF(OR($B156&lt;=0,$N156&lt;=0),"",($N156/$B156)^(365/($M156-$A156))-1))))</f>
        <v/>
      </c>
      <c r="P156" s="31" t="str">
        <f>IF($B156="","",IF($P155="",$B156,MAX($P155,$B156)))</f>
        <v/>
      </c>
      <c r="Q156" s="32" t="str">
        <f>IF($P156="","",$B156/$P156-1)</f>
        <v/>
      </c>
    </row>
    <row r="157">
      <c r="A157" s="11" t="n"/>
      <c r="B157" s="29" t="n"/>
      <c r="K157" s="30" t="str">
        <f>IF($A157="","",EDATE($A157,12*$E$4))</f>
        <v/>
      </c>
      <c r="L157" s="19" t="str">
        <f>IF($K157="","",IF($K157&gt;MAX($A$8:$A$5007),"",IFERROR(MATCH($K157,$A$8:$A$5007,1),"")))</f>
        <v/>
      </c>
      <c r="M157" s="30" t="str">
        <f>IF($L157="","",INDEX($A$8:$A$5007,$L157))</f>
        <v/>
      </c>
      <c r="N157" s="31" t="str">
        <f>IF($L157="","",INDEX($B$8:$B$5007,$L157))</f>
        <v/>
      </c>
      <c r="O157" s="32" t="str">
        <f>IF($M157="","",IF($K157-$M157&gt;7,"",IF($M157&lt;=$A157,"",IF(OR($B157&lt;=0,$N157&lt;=0),"",($N157/$B157)^(365/($M157-$A157))-1))))</f>
        <v/>
      </c>
      <c r="P157" s="31" t="str">
        <f>IF($B157="","",IF($P156="",$B157,MAX($P156,$B157)))</f>
        <v/>
      </c>
      <c r="Q157" s="32" t="str">
        <f>IF($P157="","",$B157/$P157-1)</f>
        <v/>
      </c>
    </row>
    <row r="158">
      <c r="A158" s="11" t="n"/>
      <c r="B158" s="29" t="n"/>
      <c r="K158" s="30" t="str">
        <f>IF($A158="","",EDATE($A158,12*$E$4))</f>
        <v/>
      </c>
      <c r="L158" s="19" t="str">
        <f>IF($K158="","",IF($K158&gt;MAX($A$8:$A$5007),"",IFERROR(MATCH($K158,$A$8:$A$5007,1),"")))</f>
        <v/>
      </c>
      <c r="M158" s="30" t="str">
        <f>IF($L158="","",INDEX($A$8:$A$5007,$L158))</f>
        <v/>
      </c>
      <c r="N158" s="31" t="str">
        <f>IF($L158="","",INDEX($B$8:$B$5007,$L158))</f>
        <v/>
      </c>
      <c r="O158" s="32" t="str">
        <f>IF($M158="","",IF($K158-$M158&gt;7,"",IF($M158&lt;=$A158,"",IF(OR($B158&lt;=0,$N158&lt;=0),"",($N158/$B158)^(365/($M158-$A158))-1))))</f>
        <v/>
      </c>
      <c r="P158" s="31" t="str">
        <f>IF($B158="","",IF($P157="",$B158,MAX($P157,$B158)))</f>
        <v/>
      </c>
      <c r="Q158" s="32" t="str">
        <f>IF($P158="","",$B158/$P158-1)</f>
        <v/>
      </c>
    </row>
    <row r="159">
      <c r="A159" s="11" t="n"/>
      <c r="B159" s="29" t="n"/>
      <c r="K159" s="30" t="str">
        <f>IF($A159="","",EDATE($A159,12*$E$4))</f>
        <v/>
      </c>
      <c r="L159" s="19" t="str">
        <f>IF($K159="","",IF($K159&gt;MAX($A$8:$A$5007),"",IFERROR(MATCH($K159,$A$8:$A$5007,1),"")))</f>
        <v/>
      </c>
      <c r="M159" s="30" t="str">
        <f>IF($L159="","",INDEX($A$8:$A$5007,$L159))</f>
        <v/>
      </c>
      <c r="N159" s="31" t="str">
        <f>IF($L159="","",INDEX($B$8:$B$5007,$L159))</f>
        <v/>
      </c>
      <c r="O159" s="32" t="str">
        <f>IF($M159="","",IF($K159-$M159&gt;7,"",IF($M159&lt;=$A159,"",IF(OR($B159&lt;=0,$N159&lt;=0),"",($N159/$B159)^(365/($M159-$A159))-1))))</f>
        <v/>
      </c>
      <c r="P159" s="31" t="str">
        <f>IF($B159="","",IF($P158="",$B159,MAX($P158,$B159)))</f>
        <v/>
      </c>
      <c r="Q159" s="32" t="str">
        <f>IF($P159="","",$B159/$P159-1)</f>
        <v/>
      </c>
    </row>
    <row r="160">
      <c r="A160" s="11" t="n"/>
      <c r="B160" s="29" t="n"/>
      <c r="K160" s="30" t="str">
        <f>IF($A160="","",EDATE($A160,12*$E$4))</f>
        <v/>
      </c>
      <c r="L160" s="19" t="str">
        <f>IF($K160="","",IF($K160&gt;MAX($A$8:$A$5007),"",IFERROR(MATCH($K160,$A$8:$A$5007,1),"")))</f>
        <v/>
      </c>
      <c r="M160" s="30" t="str">
        <f>IF($L160="","",INDEX($A$8:$A$5007,$L160))</f>
        <v/>
      </c>
      <c r="N160" s="31" t="str">
        <f>IF($L160="","",INDEX($B$8:$B$5007,$L160))</f>
        <v/>
      </c>
      <c r="O160" s="32" t="str">
        <f>IF($M160="","",IF($K160-$M160&gt;7,"",IF($M160&lt;=$A160,"",IF(OR($B160&lt;=0,$N160&lt;=0),"",($N160/$B160)^(365/($M160-$A160))-1))))</f>
        <v/>
      </c>
      <c r="P160" s="31" t="str">
        <f>IF($B160="","",IF($P159="",$B160,MAX($P159,$B160)))</f>
        <v/>
      </c>
      <c r="Q160" s="32" t="str">
        <f>IF($P160="","",$B160/$P160-1)</f>
        <v/>
      </c>
    </row>
    <row r="161">
      <c r="A161" s="11" t="n"/>
      <c r="B161" s="29" t="n"/>
      <c r="K161" s="30" t="str">
        <f>IF($A161="","",EDATE($A161,12*$E$4))</f>
        <v/>
      </c>
      <c r="L161" s="19" t="str">
        <f>IF($K161="","",IF($K161&gt;MAX($A$8:$A$5007),"",IFERROR(MATCH($K161,$A$8:$A$5007,1),"")))</f>
        <v/>
      </c>
      <c r="M161" s="30" t="str">
        <f>IF($L161="","",INDEX($A$8:$A$5007,$L161))</f>
        <v/>
      </c>
      <c r="N161" s="31" t="str">
        <f>IF($L161="","",INDEX($B$8:$B$5007,$L161))</f>
        <v/>
      </c>
      <c r="O161" s="32" t="str">
        <f>IF($M161="","",IF($K161-$M161&gt;7,"",IF($M161&lt;=$A161,"",IF(OR($B161&lt;=0,$N161&lt;=0),"",($N161/$B161)^(365/($M161-$A161))-1))))</f>
        <v/>
      </c>
      <c r="P161" s="31" t="str">
        <f>IF($B161="","",IF($P160="",$B161,MAX($P160,$B161)))</f>
        <v/>
      </c>
      <c r="Q161" s="32" t="str">
        <f>IF($P161="","",$B161/$P161-1)</f>
        <v/>
      </c>
    </row>
    <row r="162">
      <c r="A162" s="11" t="n"/>
      <c r="B162" s="29" t="n"/>
      <c r="K162" s="30" t="str">
        <f>IF($A162="","",EDATE($A162,12*$E$4))</f>
        <v/>
      </c>
      <c r="L162" s="19" t="str">
        <f>IF($K162="","",IF($K162&gt;MAX($A$8:$A$5007),"",IFERROR(MATCH($K162,$A$8:$A$5007,1),"")))</f>
        <v/>
      </c>
      <c r="M162" s="30" t="str">
        <f>IF($L162="","",INDEX($A$8:$A$5007,$L162))</f>
        <v/>
      </c>
      <c r="N162" s="31" t="str">
        <f>IF($L162="","",INDEX($B$8:$B$5007,$L162))</f>
        <v/>
      </c>
      <c r="O162" s="32" t="str">
        <f>IF($M162="","",IF($K162-$M162&gt;7,"",IF($M162&lt;=$A162,"",IF(OR($B162&lt;=0,$N162&lt;=0),"",($N162/$B162)^(365/($M162-$A162))-1))))</f>
        <v/>
      </c>
      <c r="P162" s="31" t="str">
        <f>IF($B162="","",IF($P161="",$B162,MAX($P161,$B162)))</f>
        <v/>
      </c>
      <c r="Q162" s="32" t="str">
        <f>IF($P162="","",$B162/$P162-1)</f>
        <v/>
      </c>
    </row>
    <row r="163">
      <c r="A163" s="11" t="n"/>
      <c r="B163" s="29" t="n"/>
      <c r="K163" s="30" t="str">
        <f>IF($A163="","",EDATE($A163,12*$E$4))</f>
        <v/>
      </c>
      <c r="L163" s="19" t="str">
        <f>IF($K163="","",IF($K163&gt;MAX($A$8:$A$5007),"",IFERROR(MATCH($K163,$A$8:$A$5007,1),"")))</f>
        <v/>
      </c>
      <c r="M163" s="30" t="str">
        <f>IF($L163="","",INDEX($A$8:$A$5007,$L163))</f>
        <v/>
      </c>
      <c r="N163" s="31" t="str">
        <f>IF($L163="","",INDEX($B$8:$B$5007,$L163))</f>
        <v/>
      </c>
      <c r="O163" s="32" t="str">
        <f>IF($M163="","",IF($K163-$M163&gt;7,"",IF($M163&lt;=$A163,"",IF(OR($B163&lt;=0,$N163&lt;=0),"",($N163/$B163)^(365/($M163-$A163))-1))))</f>
        <v/>
      </c>
      <c r="P163" s="31" t="str">
        <f>IF($B163="","",IF($P162="",$B163,MAX($P162,$B163)))</f>
        <v/>
      </c>
      <c r="Q163" s="32" t="str">
        <f>IF($P163="","",$B163/$P163-1)</f>
        <v/>
      </c>
    </row>
    <row r="164">
      <c r="A164" s="11" t="n"/>
      <c r="B164" s="29" t="n"/>
      <c r="K164" s="30" t="str">
        <f>IF($A164="","",EDATE($A164,12*$E$4))</f>
        <v/>
      </c>
      <c r="L164" s="19" t="str">
        <f>IF($K164="","",IF($K164&gt;MAX($A$8:$A$5007),"",IFERROR(MATCH($K164,$A$8:$A$5007,1),"")))</f>
        <v/>
      </c>
      <c r="M164" s="30" t="str">
        <f>IF($L164="","",INDEX($A$8:$A$5007,$L164))</f>
        <v/>
      </c>
      <c r="N164" s="31" t="str">
        <f>IF($L164="","",INDEX($B$8:$B$5007,$L164))</f>
        <v/>
      </c>
      <c r="O164" s="32" t="str">
        <f>IF($M164="","",IF($K164-$M164&gt;7,"",IF($M164&lt;=$A164,"",IF(OR($B164&lt;=0,$N164&lt;=0),"",($N164/$B164)^(365/($M164-$A164))-1))))</f>
        <v/>
      </c>
      <c r="P164" s="31" t="str">
        <f>IF($B164="","",IF($P163="",$B164,MAX($P163,$B164)))</f>
        <v/>
      </c>
      <c r="Q164" s="32" t="str">
        <f>IF($P164="","",$B164/$P164-1)</f>
        <v/>
      </c>
    </row>
    <row r="165">
      <c r="A165" s="11" t="n"/>
      <c r="B165" s="29" t="n"/>
      <c r="K165" s="30" t="str">
        <f>IF($A165="","",EDATE($A165,12*$E$4))</f>
        <v/>
      </c>
      <c r="L165" s="19" t="str">
        <f>IF($K165="","",IF($K165&gt;MAX($A$8:$A$5007),"",IFERROR(MATCH($K165,$A$8:$A$5007,1),"")))</f>
        <v/>
      </c>
      <c r="M165" s="30" t="str">
        <f>IF($L165="","",INDEX($A$8:$A$5007,$L165))</f>
        <v/>
      </c>
      <c r="N165" s="31" t="str">
        <f>IF($L165="","",INDEX($B$8:$B$5007,$L165))</f>
        <v/>
      </c>
      <c r="O165" s="32" t="str">
        <f>IF($M165="","",IF($K165-$M165&gt;7,"",IF($M165&lt;=$A165,"",IF(OR($B165&lt;=0,$N165&lt;=0),"",($N165/$B165)^(365/($M165-$A165))-1))))</f>
        <v/>
      </c>
      <c r="P165" s="31" t="str">
        <f>IF($B165="","",IF($P164="",$B165,MAX($P164,$B165)))</f>
        <v/>
      </c>
      <c r="Q165" s="32" t="str">
        <f>IF($P165="","",$B165/$P165-1)</f>
        <v/>
      </c>
    </row>
    <row r="166">
      <c r="A166" s="11" t="n"/>
      <c r="B166" s="29" t="n"/>
      <c r="K166" s="30" t="str">
        <f>IF($A166="","",EDATE($A166,12*$E$4))</f>
        <v/>
      </c>
      <c r="L166" s="19" t="str">
        <f>IF($K166="","",IF($K166&gt;MAX($A$8:$A$5007),"",IFERROR(MATCH($K166,$A$8:$A$5007,1),"")))</f>
        <v/>
      </c>
      <c r="M166" s="30" t="str">
        <f>IF($L166="","",INDEX($A$8:$A$5007,$L166))</f>
        <v/>
      </c>
      <c r="N166" s="31" t="str">
        <f>IF($L166="","",INDEX($B$8:$B$5007,$L166))</f>
        <v/>
      </c>
      <c r="O166" s="32" t="str">
        <f>IF($M166="","",IF($K166-$M166&gt;7,"",IF($M166&lt;=$A166,"",IF(OR($B166&lt;=0,$N166&lt;=0),"",($N166/$B166)^(365/($M166-$A166))-1))))</f>
        <v/>
      </c>
      <c r="P166" s="31" t="str">
        <f>IF($B166="","",IF($P165="",$B166,MAX($P165,$B166)))</f>
        <v/>
      </c>
      <c r="Q166" s="32" t="str">
        <f>IF($P166="","",$B166/$P166-1)</f>
        <v/>
      </c>
    </row>
    <row r="167">
      <c r="A167" s="11" t="n"/>
      <c r="B167" s="29" t="n"/>
      <c r="K167" s="30" t="str">
        <f>IF($A167="","",EDATE($A167,12*$E$4))</f>
        <v/>
      </c>
      <c r="L167" s="19" t="str">
        <f>IF($K167="","",IF($K167&gt;MAX($A$8:$A$5007),"",IFERROR(MATCH($K167,$A$8:$A$5007,1),"")))</f>
        <v/>
      </c>
      <c r="M167" s="30" t="str">
        <f>IF($L167="","",INDEX($A$8:$A$5007,$L167))</f>
        <v/>
      </c>
      <c r="N167" s="31" t="str">
        <f>IF($L167="","",INDEX($B$8:$B$5007,$L167))</f>
        <v/>
      </c>
      <c r="O167" s="32" t="str">
        <f>IF($M167="","",IF($K167-$M167&gt;7,"",IF($M167&lt;=$A167,"",IF(OR($B167&lt;=0,$N167&lt;=0),"",($N167/$B167)^(365/($M167-$A167))-1))))</f>
        <v/>
      </c>
      <c r="P167" s="31" t="str">
        <f>IF($B167="","",IF($P166="",$B167,MAX($P166,$B167)))</f>
        <v/>
      </c>
      <c r="Q167" s="32" t="str">
        <f>IF($P167="","",$B167/$P167-1)</f>
        <v/>
      </c>
    </row>
    <row r="168">
      <c r="A168" s="11" t="n"/>
      <c r="B168" s="29" t="n"/>
      <c r="K168" s="30" t="str">
        <f>IF($A168="","",EDATE($A168,12*$E$4))</f>
        <v/>
      </c>
      <c r="L168" s="19" t="str">
        <f>IF($K168="","",IF($K168&gt;MAX($A$8:$A$5007),"",IFERROR(MATCH($K168,$A$8:$A$5007,1),"")))</f>
        <v/>
      </c>
      <c r="M168" s="30" t="str">
        <f>IF($L168="","",INDEX($A$8:$A$5007,$L168))</f>
        <v/>
      </c>
      <c r="N168" s="31" t="str">
        <f>IF($L168="","",INDEX($B$8:$B$5007,$L168))</f>
        <v/>
      </c>
      <c r="O168" s="32" t="str">
        <f>IF($M168="","",IF($K168-$M168&gt;7,"",IF($M168&lt;=$A168,"",IF(OR($B168&lt;=0,$N168&lt;=0),"",($N168/$B168)^(365/($M168-$A168))-1))))</f>
        <v/>
      </c>
      <c r="P168" s="31" t="str">
        <f>IF($B168="","",IF($P167="",$B168,MAX($P167,$B168)))</f>
        <v/>
      </c>
      <c r="Q168" s="32" t="str">
        <f>IF($P168="","",$B168/$P168-1)</f>
        <v/>
      </c>
    </row>
    <row r="169">
      <c r="A169" s="11" t="n"/>
      <c r="B169" s="29" t="n"/>
      <c r="K169" s="30" t="str">
        <f>IF($A169="","",EDATE($A169,12*$E$4))</f>
        <v/>
      </c>
      <c r="L169" s="19" t="str">
        <f>IF($K169="","",IF($K169&gt;MAX($A$8:$A$5007),"",IFERROR(MATCH($K169,$A$8:$A$5007,1),"")))</f>
        <v/>
      </c>
      <c r="M169" s="30" t="str">
        <f>IF($L169="","",INDEX($A$8:$A$5007,$L169))</f>
        <v/>
      </c>
      <c r="N169" s="31" t="str">
        <f>IF($L169="","",INDEX($B$8:$B$5007,$L169))</f>
        <v/>
      </c>
      <c r="O169" s="32" t="str">
        <f>IF($M169="","",IF($K169-$M169&gt;7,"",IF($M169&lt;=$A169,"",IF(OR($B169&lt;=0,$N169&lt;=0),"",($N169/$B169)^(365/($M169-$A169))-1))))</f>
        <v/>
      </c>
      <c r="P169" s="31" t="str">
        <f>IF($B169="","",IF($P168="",$B169,MAX($P168,$B169)))</f>
        <v/>
      </c>
      <c r="Q169" s="32" t="str">
        <f>IF($P169="","",$B169/$P169-1)</f>
        <v/>
      </c>
    </row>
    <row r="170">
      <c r="A170" s="11" t="n"/>
      <c r="B170" s="29" t="n"/>
      <c r="K170" s="30" t="str">
        <f>IF($A170="","",EDATE($A170,12*$E$4))</f>
        <v/>
      </c>
      <c r="L170" s="19" t="str">
        <f>IF($K170="","",IF($K170&gt;MAX($A$8:$A$5007),"",IFERROR(MATCH($K170,$A$8:$A$5007,1),"")))</f>
        <v/>
      </c>
      <c r="M170" s="30" t="str">
        <f>IF($L170="","",INDEX($A$8:$A$5007,$L170))</f>
        <v/>
      </c>
      <c r="N170" s="31" t="str">
        <f>IF($L170="","",INDEX($B$8:$B$5007,$L170))</f>
        <v/>
      </c>
      <c r="O170" s="32" t="str">
        <f>IF($M170="","",IF($K170-$M170&gt;7,"",IF($M170&lt;=$A170,"",IF(OR($B170&lt;=0,$N170&lt;=0),"",($N170/$B170)^(365/($M170-$A170))-1))))</f>
        <v/>
      </c>
      <c r="P170" s="31" t="str">
        <f>IF($B170="","",IF($P169="",$B170,MAX($P169,$B170)))</f>
        <v/>
      </c>
      <c r="Q170" s="32" t="str">
        <f>IF($P170="","",$B170/$P170-1)</f>
        <v/>
      </c>
    </row>
    <row r="171">
      <c r="A171" s="11" t="n"/>
      <c r="B171" s="29" t="n"/>
      <c r="K171" s="30" t="str">
        <f>IF($A171="","",EDATE($A171,12*$E$4))</f>
        <v/>
      </c>
      <c r="L171" s="19" t="str">
        <f>IF($K171="","",IF($K171&gt;MAX($A$8:$A$5007),"",IFERROR(MATCH($K171,$A$8:$A$5007,1),"")))</f>
        <v/>
      </c>
      <c r="M171" s="30" t="str">
        <f>IF($L171="","",INDEX($A$8:$A$5007,$L171))</f>
        <v/>
      </c>
      <c r="N171" s="31" t="str">
        <f>IF($L171="","",INDEX($B$8:$B$5007,$L171))</f>
        <v/>
      </c>
      <c r="O171" s="32" t="str">
        <f>IF($M171="","",IF($K171-$M171&gt;7,"",IF($M171&lt;=$A171,"",IF(OR($B171&lt;=0,$N171&lt;=0),"",($N171/$B171)^(365/($M171-$A171))-1))))</f>
        <v/>
      </c>
      <c r="P171" s="31" t="str">
        <f>IF($B171="","",IF($P170="",$B171,MAX($P170,$B171)))</f>
        <v/>
      </c>
      <c r="Q171" s="32" t="str">
        <f>IF($P171="","",$B171/$P171-1)</f>
        <v/>
      </c>
    </row>
    <row r="172">
      <c r="A172" s="11" t="n"/>
      <c r="B172" s="29" t="n"/>
      <c r="K172" s="30" t="str">
        <f>IF($A172="","",EDATE($A172,12*$E$4))</f>
        <v/>
      </c>
      <c r="L172" s="19" t="str">
        <f>IF($K172="","",IF($K172&gt;MAX($A$8:$A$5007),"",IFERROR(MATCH($K172,$A$8:$A$5007,1),"")))</f>
        <v/>
      </c>
      <c r="M172" s="30" t="str">
        <f>IF($L172="","",INDEX($A$8:$A$5007,$L172))</f>
        <v/>
      </c>
      <c r="N172" s="31" t="str">
        <f>IF($L172="","",INDEX($B$8:$B$5007,$L172))</f>
        <v/>
      </c>
      <c r="O172" s="32" t="str">
        <f>IF($M172="","",IF($K172-$M172&gt;7,"",IF($M172&lt;=$A172,"",IF(OR($B172&lt;=0,$N172&lt;=0),"",($N172/$B172)^(365/($M172-$A172))-1))))</f>
        <v/>
      </c>
      <c r="P172" s="31" t="str">
        <f>IF($B172="","",IF($P171="",$B172,MAX($P171,$B172)))</f>
        <v/>
      </c>
      <c r="Q172" s="32" t="str">
        <f>IF($P172="","",$B172/$P172-1)</f>
        <v/>
      </c>
    </row>
    <row r="173">
      <c r="A173" s="11" t="n"/>
      <c r="B173" s="29" t="n"/>
      <c r="K173" s="30" t="str">
        <f>IF($A173="","",EDATE($A173,12*$E$4))</f>
        <v/>
      </c>
      <c r="L173" s="19" t="str">
        <f>IF($K173="","",IF($K173&gt;MAX($A$8:$A$5007),"",IFERROR(MATCH($K173,$A$8:$A$5007,1),"")))</f>
        <v/>
      </c>
      <c r="M173" s="30" t="str">
        <f>IF($L173="","",INDEX($A$8:$A$5007,$L173))</f>
        <v/>
      </c>
      <c r="N173" s="31" t="str">
        <f>IF($L173="","",INDEX($B$8:$B$5007,$L173))</f>
        <v/>
      </c>
      <c r="O173" s="32" t="str">
        <f>IF($M173="","",IF($K173-$M173&gt;7,"",IF($M173&lt;=$A173,"",IF(OR($B173&lt;=0,$N173&lt;=0),"",($N173/$B173)^(365/($M173-$A173))-1))))</f>
        <v/>
      </c>
      <c r="P173" s="31" t="str">
        <f>IF($B173="","",IF($P172="",$B173,MAX($P172,$B173)))</f>
        <v/>
      </c>
      <c r="Q173" s="32" t="str">
        <f>IF($P173="","",$B173/$P173-1)</f>
        <v/>
      </c>
    </row>
    <row r="174">
      <c r="A174" s="11" t="n"/>
      <c r="B174" s="29" t="n"/>
      <c r="K174" s="30" t="str">
        <f>IF($A174="","",EDATE($A174,12*$E$4))</f>
        <v/>
      </c>
      <c r="L174" s="19" t="str">
        <f>IF($K174="","",IF($K174&gt;MAX($A$8:$A$5007),"",IFERROR(MATCH($K174,$A$8:$A$5007,1),"")))</f>
        <v/>
      </c>
      <c r="M174" s="30" t="str">
        <f>IF($L174="","",INDEX($A$8:$A$5007,$L174))</f>
        <v/>
      </c>
      <c r="N174" s="31" t="str">
        <f>IF($L174="","",INDEX($B$8:$B$5007,$L174))</f>
        <v/>
      </c>
      <c r="O174" s="32" t="str">
        <f>IF($M174="","",IF($K174-$M174&gt;7,"",IF($M174&lt;=$A174,"",IF(OR($B174&lt;=0,$N174&lt;=0),"",($N174/$B174)^(365/($M174-$A174))-1))))</f>
        <v/>
      </c>
      <c r="P174" s="31" t="str">
        <f>IF($B174="","",IF($P173="",$B174,MAX($P173,$B174)))</f>
        <v/>
      </c>
      <c r="Q174" s="32" t="str">
        <f>IF($P174="","",$B174/$P174-1)</f>
        <v/>
      </c>
    </row>
    <row r="175">
      <c r="A175" s="11" t="n"/>
      <c r="B175" s="29" t="n"/>
      <c r="K175" s="30" t="str">
        <f>IF($A175="","",EDATE($A175,12*$E$4))</f>
        <v/>
      </c>
      <c r="L175" s="19" t="str">
        <f>IF($K175="","",IF($K175&gt;MAX($A$8:$A$5007),"",IFERROR(MATCH($K175,$A$8:$A$5007,1),"")))</f>
        <v/>
      </c>
      <c r="M175" s="30" t="str">
        <f>IF($L175="","",INDEX($A$8:$A$5007,$L175))</f>
        <v/>
      </c>
      <c r="N175" s="31" t="str">
        <f>IF($L175="","",INDEX($B$8:$B$5007,$L175))</f>
        <v/>
      </c>
      <c r="O175" s="32" t="str">
        <f>IF($M175="","",IF($K175-$M175&gt;7,"",IF($M175&lt;=$A175,"",IF(OR($B175&lt;=0,$N175&lt;=0),"",($N175/$B175)^(365/($M175-$A175))-1))))</f>
        <v/>
      </c>
      <c r="P175" s="31" t="str">
        <f>IF($B175="","",IF($P174="",$B175,MAX($P174,$B175)))</f>
        <v/>
      </c>
      <c r="Q175" s="32" t="str">
        <f>IF($P175="","",$B175/$P175-1)</f>
        <v/>
      </c>
    </row>
    <row r="176">
      <c r="A176" s="11" t="n"/>
      <c r="B176" s="29" t="n"/>
      <c r="K176" s="30" t="str">
        <f>IF($A176="","",EDATE($A176,12*$E$4))</f>
        <v/>
      </c>
      <c r="L176" s="19" t="str">
        <f>IF($K176="","",IF($K176&gt;MAX($A$8:$A$5007),"",IFERROR(MATCH($K176,$A$8:$A$5007,1),"")))</f>
        <v/>
      </c>
      <c r="M176" s="30" t="str">
        <f>IF($L176="","",INDEX($A$8:$A$5007,$L176))</f>
        <v/>
      </c>
      <c r="N176" s="31" t="str">
        <f>IF($L176="","",INDEX($B$8:$B$5007,$L176))</f>
        <v/>
      </c>
      <c r="O176" s="32" t="str">
        <f>IF($M176="","",IF($K176-$M176&gt;7,"",IF($M176&lt;=$A176,"",IF(OR($B176&lt;=0,$N176&lt;=0),"",($N176/$B176)^(365/($M176-$A176))-1))))</f>
        <v/>
      </c>
      <c r="P176" s="31" t="str">
        <f>IF($B176="","",IF($P175="",$B176,MAX($P175,$B176)))</f>
        <v/>
      </c>
      <c r="Q176" s="32" t="str">
        <f>IF($P176="","",$B176/$P176-1)</f>
        <v/>
      </c>
    </row>
    <row r="177">
      <c r="A177" s="11" t="n"/>
      <c r="B177" s="29" t="n"/>
      <c r="K177" s="30" t="str">
        <f>IF($A177="","",EDATE($A177,12*$E$4))</f>
        <v/>
      </c>
      <c r="L177" s="19" t="str">
        <f>IF($K177="","",IF($K177&gt;MAX($A$8:$A$5007),"",IFERROR(MATCH($K177,$A$8:$A$5007,1),"")))</f>
        <v/>
      </c>
      <c r="M177" s="30" t="str">
        <f>IF($L177="","",INDEX($A$8:$A$5007,$L177))</f>
        <v/>
      </c>
      <c r="N177" s="31" t="str">
        <f>IF($L177="","",INDEX($B$8:$B$5007,$L177))</f>
        <v/>
      </c>
      <c r="O177" s="32" t="str">
        <f>IF($M177="","",IF($K177-$M177&gt;7,"",IF($M177&lt;=$A177,"",IF(OR($B177&lt;=0,$N177&lt;=0),"",($N177/$B177)^(365/($M177-$A177))-1))))</f>
        <v/>
      </c>
      <c r="P177" s="31" t="str">
        <f>IF($B177="","",IF($P176="",$B177,MAX($P176,$B177)))</f>
        <v/>
      </c>
      <c r="Q177" s="32" t="str">
        <f>IF($P177="","",$B177/$P177-1)</f>
        <v/>
      </c>
    </row>
    <row r="178">
      <c r="A178" s="11" t="n"/>
      <c r="B178" s="29" t="n"/>
      <c r="K178" s="30" t="str">
        <f>IF($A178="","",EDATE($A178,12*$E$4))</f>
        <v/>
      </c>
      <c r="L178" s="19" t="str">
        <f>IF($K178="","",IF($K178&gt;MAX($A$8:$A$5007),"",IFERROR(MATCH($K178,$A$8:$A$5007,1),"")))</f>
        <v/>
      </c>
      <c r="M178" s="30" t="str">
        <f>IF($L178="","",INDEX($A$8:$A$5007,$L178))</f>
        <v/>
      </c>
      <c r="N178" s="31" t="str">
        <f>IF($L178="","",INDEX($B$8:$B$5007,$L178))</f>
        <v/>
      </c>
      <c r="O178" s="32" t="str">
        <f>IF($M178="","",IF($K178-$M178&gt;7,"",IF($M178&lt;=$A178,"",IF(OR($B178&lt;=0,$N178&lt;=0),"",($N178/$B178)^(365/($M178-$A178))-1))))</f>
        <v/>
      </c>
      <c r="P178" s="31" t="str">
        <f>IF($B178="","",IF($P177="",$B178,MAX($P177,$B178)))</f>
        <v/>
      </c>
      <c r="Q178" s="32" t="str">
        <f>IF($P178="","",$B178/$P178-1)</f>
        <v/>
      </c>
    </row>
    <row r="179">
      <c r="A179" s="11" t="n"/>
      <c r="B179" s="29" t="n"/>
      <c r="K179" s="30" t="str">
        <f>IF($A179="","",EDATE($A179,12*$E$4))</f>
        <v/>
      </c>
      <c r="L179" s="19" t="str">
        <f>IF($K179="","",IF($K179&gt;MAX($A$8:$A$5007),"",IFERROR(MATCH($K179,$A$8:$A$5007,1),"")))</f>
        <v/>
      </c>
      <c r="M179" s="30" t="str">
        <f>IF($L179="","",INDEX($A$8:$A$5007,$L179))</f>
        <v/>
      </c>
      <c r="N179" s="31" t="str">
        <f>IF($L179="","",INDEX($B$8:$B$5007,$L179))</f>
        <v/>
      </c>
      <c r="O179" s="32" t="str">
        <f>IF($M179="","",IF($K179-$M179&gt;7,"",IF($M179&lt;=$A179,"",IF(OR($B179&lt;=0,$N179&lt;=0),"",($N179/$B179)^(365/($M179-$A179))-1))))</f>
        <v/>
      </c>
      <c r="P179" s="31" t="str">
        <f>IF($B179="","",IF($P178="",$B179,MAX($P178,$B179)))</f>
        <v/>
      </c>
      <c r="Q179" s="32" t="str">
        <f>IF($P179="","",$B179/$P179-1)</f>
        <v/>
      </c>
    </row>
    <row r="180">
      <c r="A180" s="11" t="n"/>
      <c r="B180" s="29" t="n"/>
      <c r="K180" s="30" t="str">
        <f>IF($A180="","",EDATE($A180,12*$E$4))</f>
        <v/>
      </c>
      <c r="L180" s="19" t="str">
        <f>IF($K180="","",IF($K180&gt;MAX($A$8:$A$5007),"",IFERROR(MATCH($K180,$A$8:$A$5007,1),"")))</f>
        <v/>
      </c>
      <c r="M180" s="30" t="str">
        <f>IF($L180="","",INDEX($A$8:$A$5007,$L180))</f>
        <v/>
      </c>
      <c r="N180" s="31" t="str">
        <f>IF($L180="","",INDEX($B$8:$B$5007,$L180))</f>
        <v/>
      </c>
      <c r="O180" s="32" t="str">
        <f>IF($M180="","",IF($K180-$M180&gt;7,"",IF($M180&lt;=$A180,"",IF(OR($B180&lt;=0,$N180&lt;=0),"",($N180/$B180)^(365/($M180-$A180))-1))))</f>
        <v/>
      </c>
      <c r="P180" s="31" t="str">
        <f>IF($B180="","",IF($P179="",$B180,MAX($P179,$B180)))</f>
        <v/>
      </c>
      <c r="Q180" s="32" t="str">
        <f>IF($P180="","",$B180/$P180-1)</f>
        <v/>
      </c>
    </row>
    <row r="181">
      <c r="A181" s="11" t="n"/>
      <c r="B181" s="29" t="n"/>
      <c r="K181" s="30" t="str">
        <f>IF($A181="","",EDATE($A181,12*$E$4))</f>
        <v/>
      </c>
      <c r="L181" s="19" t="str">
        <f>IF($K181="","",IF($K181&gt;MAX($A$8:$A$5007),"",IFERROR(MATCH($K181,$A$8:$A$5007,1),"")))</f>
        <v/>
      </c>
      <c r="M181" s="30" t="str">
        <f>IF($L181="","",INDEX($A$8:$A$5007,$L181))</f>
        <v/>
      </c>
      <c r="N181" s="31" t="str">
        <f>IF($L181="","",INDEX($B$8:$B$5007,$L181))</f>
        <v/>
      </c>
      <c r="O181" s="32" t="str">
        <f>IF($M181="","",IF($K181-$M181&gt;7,"",IF($M181&lt;=$A181,"",IF(OR($B181&lt;=0,$N181&lt;=0),"",($N181/$B181)^(365/($M181-$A181))-1))))</f>
        <v/>
      </c>
      <c r="P181" s="31" t="str">
        <f>IF($B181="","",IF($P180="",$B181,MAX($P180,$B181)))</f>
        <v/>
      </c>
      <c r="Q181" s="32" t="str">
        <f>IF($P181="","",$B181/$P181-1)</f>
        <v/>
      </c>
    </row>
    <row r="182">
      <c r="A182" s="11" t="n"/>
      <c r="B182" s="29" t="n"/>
      <c r="K182" s="30" t="str">
        <f>IF($A182="","",EDATE($A182,12*$E$4))</f>
        <v/>
      </c>
      <c r="L182" s="19" t="str">
        <f>IF($K182="","",IF($K182&gt;MAX($A$8:$A$5007),"",IFERROR(MATCH($K182,$A$8:$A$5007,1),"")))</f>
        <v/>
      </c>
      <c r="M182" s="30" t="str">
        <f>IF($L182="","",INDEX($A$8:$A$5007,$L182))</f>
        <v/>
      </c>
      <c r="N182" s="31" t="str">
        <f>IF($L182="","",INDEX($B$8:$B$5007,$L182))</f>
        <v/>
      </c>
      <c r="O182" s="32" t="str">
        <f>IF($M182="","",IF($K182-$M182&gt;7,"",IF($M182&lt;=$A182,"",IF(OR($B182&lt;=0,$N182&lt;=0),"",($N182/$B182)^(365/($M182-$A182))-1))))</f>
        <v/>
      </c>
      <c r="P182" s="31" t="str">
        <f>IF($B182="","",IF($P181="",$B182,MAX($P181,$B182)))</f>
        <v/>
      </c>
      <c r="Q182" s="32" t="str">
        <f>IF($P182="","",$B182/$P182-1)</f>
        <v/>
      </c>
    </row>
    <row r="183">
      <c r="A183" s="11" t="n"/>
      <c r="B183" s="29" t="n"/>
      <c r="K183" s="30" t="str">
        <f>IF($A183="","",EDATE($A183,12*$E$4))</f>
        <v/>
      </c>
      <c r="L183" s="19" t="str">
        <f>IF($K183="","",IF($K183&gt;MAX($A$8:$A$5007),"",IFERROR(MATCH($K183,$A$8:$A$5007,1),"")))</f>
        <v/>
      </c>
      <c r="M183" s="30" t="str">
        <f>IF($L183="","",INDEX($A$8:$A$5007,$L183))</f>
        <v/>
      </c>
      <c r="N183" s="31" t="str">
        <f>IF($L183="","",INDEX($B$8:$B$5007,$L183))</f>
        <v/>
      </c>
      <c r="O183" s="32" t="str">
        <f>IF($M183="","",IF($K183-$M183&gt;7,"",IF($M183&lt;=$A183,"",IF(OR($B183&lt;=0,$N183&lt;=0),"",($N183/$B183)^(365/($M183-$A183))-1))))</f>
        <v/>
      </c>
      <c r="P183" s="31" t="str">
        <f>IF($B183="","",IF($P182="",$B183,MAX($P182,$B183)))</f>
        <v/>
      </c>
      <c r="Q183" s="32" t="str">
        <f>IF($P183="","",$B183/$P183-1)</f>
        <v/>
      </c>
    </row>
    <row r="184">
      <c r="A184" s="11" t="n"/>
      <c r="B184" s="29" t="n"/>
      <c r="K184" s="30" t="str">
        <f>IF($A184="","",EDATE($A184,12*$E$4))</f>
        <v/>
      </c>
      <c r="L184" s="19" t="str">
        <f>IF($K184="","",IF($K184&gt;MAX($A$8:$A$5007),"",IFERROR(MATCH($K184,$A$8:$A$5007,1),"")))</f>
        <v/>
      </c>
      <c r="M184" s="30" t="str">
        <f>IF($L184="","",INDEX($A$8:$A$5007,$L184))</f>
        <v/>
      </c>
      <c r="N184" s="31" t="str">
        <f>IF($L184="","",INDEX($B$8:$B$5007,$L184))</f>
        <v/>
      </c>
      <c r="O184" s="32" t="str">
        <f>IF($M184="","",IF($K184-$M184&gt;7,"",IF($M184&lt;=$A184,"",IF(OR($B184&lt;=0,$N184&lt;=0),"",($N184/$B184)^(365/($M184-$A184))-1))))</f>
        <v/>
      </c>
      <c r="P184" s="31" t="str">
        <f>IF($B184="","",IF($P183="",$B184,MAX($P183,$B184)))</f>
        <v/>
      </c>
      <c r="Q184" s="32" t="str">
        <f>IF($P184="","",$B184/$P184-1)</f>
        <v/>
      </c>
    </row>
    <row r="185">
      <c r="A185" s="11" t="n"/>
      <c r="B185" s="29" t="n"/>
      <c r="K185" s="30" t="str">
        <f>IF($A185="","",EDATE($A185,12*$E$4))</f>
        <v/>
      </c>
      <c r="L185" s="19" t="str">
        <f>IF($K185="","",IF($K185&gt;MAX($A$8:$A$5007),"",IFERROR(MATCH($K185,$A$8:$A$5007,1),"")))</f>
        <v/>
      </c>
      <c r="M185" s="30" t="str">
        <f>IF($L185="","",INDEX($A$8:$A$5007,$L185))</f>
        <v/>
      </c>
      <c r="N185" s="31" t="str">
        <f>IF($L185="","",INDEX($B$8:$B$5007,$L185))</f>
        <v/>
      </c>
      <c r="O185" s="32" t="str">
        <f>IF($M185="","",IF($K185-$M185&gt;7,"",IF($M185&lt;=$A185,"",IF(OR($B185&lt;=0,$N185&lt;=0),"",($N185/$B185)^(365/($M185-$A185))-1))))</f>
        <v/>
      </c>
      <c r="P185" s="31" t="str">
        <f>IF($B185="","",IF($P184="",$B185,MAX($P184,$B185)))</f>
        <v/>
      </c>
      <c r="Q185" s="32" t="str">
        <f>IF($P185="","",$B185/$P185-1)</f>
        <v/>
      </c>
    </row>
    <row r="186">
      <c r="A186" s="11" t="n"/>
      <c r="B186" s="29" t="n"/>
      <c r="K186" s="30" t="str">
        <f>IF($A186="","",EDATE($A186,12*$E$4))</f>
        <v/>
      </c>
      <c r="L186" s="19" t="str">
        <f>IF($K186="","",IF($K186&gt;MAX($A$8:$A$5007),"",IFERROR(MATCH($K186,$A$8:$A$5007,1),"")))</f>
        <v/>
      </c>
      <c r="M186" s="30" t="str">
        <f>IF($L186="","",INDEX($A$8:$A$5007,$L186))</f>
        <v/>
      </c>
      <c r="N186" s="31" t="str">
        <f>IF($L186="","",INDEX($B$8:$B$5007,$L186))</f>
        <v/>
      </c>
      <c r="O186" s="32" t="str">
        <f>IF($M186="","",IF($K186-$M186&gt;7,"",IF($M186&lt;=$A186,"",IF(OR($B186&lt;=0,$N186&lt;=0),"",($N186/$B186)^(365/($M186-$A186))-1))))</f>
        <v/>
      </c>
      <c r="P186" s="31" t="str">
        <f>IF($B186="","",IF($P185="",$B186,MAX($P185,$B186)))</f>
        <v/>
      </c>
      <c r="Q186" s="32" t="str">
        <f>IF($P186="","",$B186/$P186-1)</f>
        <v/>
      </c>
    </row>
    <row r="187">
      <c r="A187" s="11" t="n"/>
      <c r="B187" s="29" t="n"/>
      <c r="K187" s="30" t="str">
        <f>IF($A187="","",EDATE($A187,12*$E$4))</f>
        <v/>
      </c>
      <c r="L187" s="19" t="str">
        <f>IF($K187="","",IF($K187&gt;MAX($A$8:$A$5007),"",IFERROR(MATCH($K187,$A$8:$A$5007,1),"")))</f>
        <v/>
      </c>
      <c r="M187" s="30" t="str">
        <f>IF($L187="","",INDEX($A$8:$A$5007,$L187))</f>
        <v/>
      </c>
      <c r="N187" s="31" t="str">
        <f>IF($L187="","",INDEX($B$8:$B$5007,$L187))</f>
        <v/>
      </c>
      <c r="O187" s="32" t="str">
        <f>IF($M187="","",IF($K187-$M187&gt;7,"",IF($M187&lt;=$A187,"",IF(OR($B187&lt;=0,$N187&lt;=0),"",($N187/$B187)^(365/($M187-$A187))-1))))</f>
        <v/>
      </c>
      <c r="P187" s="31" t="str">
        <f>IF($B187="","",IF($P186="",$B187,MAX($P186,$B187)))</f>
        <v/>
      </c>
      <c r="Q187" s="32" t="str">
        <f>IF($P187="","",$B187/$P187-1)</f>
        <v/>
      </c>
    </row>
    <row r="188">
      <c r="A188" s="11" t="n"/>
      <c r="B188" s="29" t="n"/>
      <c r="K188" s="30" t="str">
        <f>IF($A188="","",EDATE($A188,12*$E$4))</f>
        <v/>
      </c>
      <c r="L188" s="19" t="str">
        <f>IF($K188="","",IF($K188&gt;MAX($A$8:$A$5007),"",IFERROR(MATCH($K188,$A$8:$A$5007,1),"")))</f>
        <v/>
      </c>
      <c r="M188" s="30" t="str">
        <f>IF($L188="","",INDEX($A$8:$A$5007,$L188))</f>
        <v/>
      </c>
      <c r="N188" s="31" t="str">
        <f>IF($L188="","",INDEX($B$8:$B$5007,$L188))</f>
        <v/>
      </c>
      <c r="O188" s="32" t="str">
        <f>IF($M188="","",IF($K188-$M188&gt;7,"",IF($M188&lt;=$A188,"",IF(OR($B188&lt;=0,$N188&lt;=0),"",($N188/$B188)^(365/($M188-$A188))-1))))</f>
        <v/>
      </c>
      <c r="P188" s="31" t="str">
        <f>IF($B188="","",IF($P187="",$B188,MAX($P187,$B188)))</f>
        <v/>
      </c>
      <c r="Q188" s="32" t="str">
        <f>IF($P188="","",$B188/$P188-1)</f>
        <v/>
      </c>
    </row>
    <row r="189">
      <c r="A189" s="11" t="n"/>
      <c r="B189" s="29" t="n"/>
      <c r="K189" s="30" t="str">
        <f>IF($A189="","",EDATE($A189,12*$E$4))</f>
        <v/>
      </c>
      <c r="L189" s="19" t="str">
        <f>IF($K189="","",IF($K189&gt;MAX($A$8:$A$5007),"",IFERROR(MATCH($K189,$A$8:$A$5007,1),"")))</f>
        <v/>
      </c>
      <c r="M189" s="30" t="str">
        <f>IF($L189="","",INDEX($A$8:$A$5007,$L189))</f>
        <v/>
      </c>
      <c r="N189" s="31" t="str">
        <f>IF($L189="","",INDEX($B$8:$B$5007,$L189))</f>
        <v/>
      </c>
      <c r="O189" s="32" t="str">
        <f>IF($M189="","",IF($K189-$M189&gt;7,"",IF($M189&lt;=$A189,"",IF(OR($B189&lt;=0,$N189&lt;=0),"",($N189/$B189)^(365/($M189-$A189))-1))))</f>
        <v/>
      </c>
      <c r="P189" s="31" t="str">
        <f>IF($B189="","",IF($P188="",$B189,MAX($P188,$B189)))</f>
        <v/>
      </c>
      <c r="Q189" s="32" t="str">
        <f>IF($P189="","",$B189/$P189-1)</f>
        <v/>
      </c>
    </row>
    <row r="190">
      <c r="A190" s="11" t="n"/>
      <c r="B190" s="29" t="n"/>
      <c r="K190" s="30" t="str">
        <f>IF($A190="","",EDATE($A190,12*$E$4))</f>
        <v/>
      </c>
      <c r="L190" s="19" t="str">
        <f>IF($K190="","",IF($K190&gt;MAX($A$8:$A$5007),"",IFERROR(MATCH($K190,$A$8:$A$5007,1),"")))</f>
        <v/>
      </c>
      <c r="M190" s="30" t="str">
        <f>IF($L190="","",INDEX($A$8:$A$5007,$L190))</f>
        <v/>
      </c>
      <c r="N190" s="31" t="str">
        <f>IF($L190="","",INDEX($B$8:$B$5007,$L190))</f>
        <v/>
      </c>
      <c r="O190" s="32" t="str">
        <f>IF($M190="","",IF($K190-$M190&gt;7,"",IF($M190&lt;=$A190,"",IF(OR($B190&lt;=0,$N190&lt;=0),"",($N190/$B190)^(365/($M190-$A190))-1))))</f>
        <v/>
      </c>
      <c r="P190" s="31" t="str">
        <f>IF($B190="","",IF($P189="",$B190,MAX($P189,$B190)))</f>
        <v/>
      </c>
      <c r="Q190" s="32" t="str">
        <f>IF($P190="","",$B190/$P190-1)</f>
        <v/>
      </c>
    </row>
    <row r="191">
      <c r="A191" s="11" t="n"/>
      <c r="B191" s="29" t="n"/>
      <c r="K191" s="30" t="str">
        <f>IF($A191="","",EDATE($A191,12*$E$4))</f>
        <v/>
      </c>
      <c r="L191" s="19" t="str">
        <f>IF($K191="","",IF($K191&gt;MAX($A$8:$A$5007),"",IFERROR(MATCH($K191,$A$8:$A$5007,1),"")))</f>
        <v/>
      </c>
      <c r="M191" s="30" t="str">
        <f>IF($L191="","",INDEX($A$8:$A$5007,$L191))</f>
        <v/>
      </c>
      <c r="N191" s="31" t="str">
        <f>IF($L191="","",INDEX($B$8:$B$5007,$L191))</f>
        <v/>
      </c>
      <c r="O191" s="32" t="str">
        <f>IF($M191="","",IF($K191-$M191&gt;7,"",IF($M191&lt;=$A191,"",IF(OR($B191&lt;=0,$N191&lt;=0),"",($N191/$B191)^(365/($M191-$A191))-1))))</f>
        <v/>
      </c>
      <c r="P191" s="31" t="str">
        <f>IF($B191="","",IF($P190="",$B191,MAX($P190,$B191)))</f>
        <v/>
      </c>
      <c r="Q191" s="32" t="str">
        <f>IF($P191="","",$B191/$P191-1)</f>
        <v/>
      </c>
    </row>
    <row r="192">
      <c r="A192" s="11" t="n"/>
      <c r="B192" s="29" t="n"/>
      <c r="K192" s="30" t="str">
        <f>IF($A192="","",EDATE($A192,12*$E$4))</f>
        <v/>
      </c>
      <c r="L192" s="19" t="str">
        <f>IF($K192="","",IF($K192&gt;MAX($A$8:$A$5007),"",IFERROR(MATCH($K192,$A$8:$A$5007,1),"")))</f>
        <v/>
      </c>
      <c r="M192" s="30" t="str">
        <f>IF($L192="","",INDEX($A$8:$A$5007,$L192))</f>
        <v/>
      </c>
      <c r="N192" s="31" t="str">
        <f>IF($L192="","",INDEX($B$8:$B$5007,$L192))</f>
        <v/>
      </c>
      <c r="O192" s="32" t="str">
        <f>IF($M192="","",IF($K192-$M192&gt;7,"",IF($M192&lt;=$A192,"",IF(OR($B192&lt;=0,$N192&lt;=0),"",($N192/$B192)^(365/($M192-$A192))-1))))</f>
        <v/>
      </c>
      <c r="P192" s="31" t="str">
        <f>IF($B192="","",IF($P191="",$B192,MAX($P191,$B192)))</f>
        <v/>
      </c>
      <c r="Q192" s="32" t="str">
        <f>IF($P192="","",$B192/$P192-1)</f>
        <v/>
      </c>
    </row>
    <row r="193">
      <c r="A193" s="11" t="n"/>
      <c r="B193" s="29" t="n"/>
      <c r="K193" s="30" t="str">
        <f>IF($A193="","",EDATE($A193,12*$E$4))</f>
        <v/>
      </c>
      <c r="L193" s="19" t="str">
        <f>IF($K193="","",IF($K193&gt;MAX($A$8:$A$5007),"",IFERROR(MATCH($K193,$A$8:$A$5007,1),"")))</f>
        <v/>
      </c>
      <c r="M193" s="30" t="str">
        <f>IF($L193="","",INDEX($A$8:$A$5007,$L193))</f>
        <v/>
      </c>
      <c r="N193" s="31" t="str">
        <f>IF($L193="","",INDEX($B$8:$B$5007,$L193))</f>
        <v/>
      </c>
      <c r="O193" s="32" t="str">
        <f>IF($M193="","",IF($K193-$M193&gt;7,"",IF($M193&lt;=$A193,"",IF(OR($B193&lt;=0,$N193&lt;=0),"",($N193/$B193)^(365/($M193-$A193))-1))))</f>
        <v/>
      </c>
      <c r="P193" s="31" t="str">
        <f>IF($B193="","",IF($P192="",$B193,MAX($P192,$B193)))</f>
        <v/>
      </c>
      <c r="Q193" s="32" t="str">
        <f>IF($P193="","",$B193/$P193-1)</f>
        <v/>
      </c>
    </row>
    <row r="194">
      <c r="A194" s="11" t="n"/>
      <c r="B194" s="29" t="n"/>
      <c r="K194" s="30" t="str">
        <f>IF($A194="","",EDATE($A194,12*$E$4))</f>
        <v/>
      </c>
      <c r="L194" s="19" t="str">
        <f>IF($K194="","",IF($K194&gt;MAX($A$8:$A$5007),"",IFERROR(MATCH($K194,$A$8:$A$5007,1),"")))</f>
        <v/>
      </c>
      <c r="M194" s="30" t="str">
        <f>IF($L194="","",INDEX($A$8:$A$5007,$L194))</f>
        <v/>
      </c>
      <c r="N194" s="31" t="str">
        <f>IF($L194="","",INDEX($B$8:$B$5007,$L194))</f>
        <v/>
      </c>
      <c r="O194" s="32" t="str">
        <f>IF($M194="","",IF($K194-$M194&gt;7,"",IF($M194&lt;=$A194,"",IF(OR($B194&lt;=0,$N194&lt;=0),"",($N194/$B194)^(365/($M194-$A194))-1))))</f>
        <v/>
      </c>
      <c r="P194" s="31" t="str">
        <f>IF($B194="","",IF($P193="",$B194,MAX($P193,$B194)))</f>
        <v/>
      </c>
      <c r="Q194" s="32" t="str">
        <f>IF($P194="","",$B194/$P194-1)</f>
        <v/>
      </c>
    </row>
    <row r="195">
      <c r="A195" s="11" t="n"/>
      <c r="B195" s="29" t="n"/>
      <c r="K195" s="30" t="str">
        <f>IF($A195="","",EDATE($A195,12*$E$4))</f>
        <v/>
      </c>
      <c r="L195" s="19" t="str">
        <f>IF($K195="","",IF($K195&gt;MAX($A$8:$A$5007),"",IFERROR(MATCH($K195,$A$8:$A$5007,1),"")))</f>
        <v/>
      </c>
      <c r="M195" s="30" t="str">
        <f>IF($L195="","",INDEX($A$8:$A$5007,$L195))</f>
        <v/>
      </c>
      <c r="N195" s="31" t="str">
        <f>IF($L195="","",INDEX($B$8:$B$5007,$L195))</f>
        <v/>
      </c>
      <c r="O195" s="32" t="str">
        <f>IF($M195="","",IF($K195-$M195&gt;7,"",IF($M195&lt;=$A195,"",IF(OR($B195&lt;=0,$N195&lt;=0),"",($N195/$B195)^(365/($M195-$A195))-1))))</f>
        <v/>
      </c>
      <c r="P195" s="31" t="str">
        <f>IF($B195="","",IF($P194="",$B195,MAX($P194,$B195)))</f>
        <v/>
      </c>
      <c r="Q195" s="32" t="str">
        <f>IF($P195="","",$B195/$P195-1)</f>
        <v/>
      </c>
    </row>
    <row r="196">
      <c r="A196" s="11" t="n"/>
      <c r="B196" s="29" t="n"/>
      <c r="K196" s="30" t="str">
        <f>IF($A196="","",EDATE($A196,12*$E$4))</f>
        <v/>
      </c>
      <c r="L196" s="19" t="str">
        <f>IF($K196="","",IF($K196&gt;MAX($A$8:$A$5007),"",IFERROR(MATCH($K196,$A$8:$A$5007,1),"")))</f>
        <v/>
      </c>
      <c r="M196" s="30" t="str">
        <f>IF($L196="","",INDEX($A$8:$A$5007,$L196))</f>
        <v/>
      </c>
      <c r="N196" s="31" t="str">
        <f>IF($L196="","",INDEX($B$8:$B$5007,$L196))</f>
        <v/>
      </c>
      <c r="O196" s="32" t="str">
        <f>IF($M196="","",IF($K196-$M196&gt;7,"",IF($M196&lt;=$A196,"",IF(OR($B196&lt;=0,$N196&lt;=0),"",($N196/$B196)^(365/($M196-$A196))-1))))</f>
        <v/>
      </c>
      <c r="P196" s="31" t="str">
        <f>IF($B196="","",IF($P195="",$B196,MAX($P195,$B196)))</f>
        <v/>
      </c>
      <c r="Q196" s="32" t="str">
        <f>IF($P196="","",$B196/$P196-1)</f>
        <v/>
      </c>
    </row>
    <row r="197">
      <c r="A197" s="11" t="n"/>
      <c r="B197" s="29" t="n"/>
      <c r="K197" s="30" t="str">
        <f>IF($A197="","",EDATE($A197,12*$E$4))</f>
        <v/>
      </c>
      <c r="L197" s="19" t="str">
        <f>IF($K197="","",IF($K197&gt;MAX($A$8:$A$5007),"",IFERROR(MATCH($K197,$A$8:$A$5007,1),"")))</f>
        <v/>
      </c>
      <c r="M197" s="30" t="str">
        <f>IF($L197="","",INDEX($A$8:$A$5007,$L197))</f>
        <v/>
      </c>
      <c r="N197" s="31" t="str">
        <f>IF($L197="","",INDEX($B$8:$B$5007,$L197))</f>
        <v/>
      </c>
      <c r="O197" s="32" t="str">
        <f>IF($M197="","",IF($K197-$M197&gt;7,"",IF($M197&lt;=$A197,"",IF(OR($B197&lt;=0,$N197&lt;=0),"",($N197/$B197)^(365/($M197-$A197))-1))))</f>
        <v/>
      </c>
      <c r="P197" s="31" t="str">
        <f>IF($B197="","",IF($P196="",$B197,MAX($P196,$B197)))</f>
        <v/>
      </c>
      <c r="Q197" s="32" t="str">
        <f>IF($P197="","",$B197/$P197-1)</f>
        <v/>
      </c>
    </row>
    <row r="198">
      <c r="A198" s="11" t="n"/>
      <c r="B198" s="29" t="n"/>
      <c r="K198" s="30" t="str">
        <f>IF($A198="","",EDATE($A198,12*$E$4))</f>
        <v/>
      </c>
      <c r="L198" s="19" t="str">
        <f>IF($K198="","",IF($K198&gt;MAX($A$8:$A$5007),"",IFERROR(MATCH($K198,$A$8:$A$5007,1),"")))</f>
        <v/>
      </c>
      <c r="M198" s="30" t="str">
        <f>IF($L198="","",INDEX($A$8:$A$5007,$L198))</f>
        <v/>
      </c>
      <c r="N198" s="31" t="str">
        <f>IF($L198="","",INDEX($B$8:$B$5007,$L198))</f>
        <v/>
      </c>
      <c r="O198" s="32" t="str">
        <f>IF($M198="","",IF($K198-$M198&gt;7,"",IF($M198&lt;=$A198,"",IF(OR($B198&lt;=0,$N198&lt;=0),"",($N198/$B198)^(365/($M198-$A198))-1))))</f>
        <v/>
      </c>
      <c r="P198" s="31" t="str">
        <f>IF($B198="","",IF($P197="",$B198,MAX($P197,$B198)))</f>
        <v/>
      </c>
      <c r="Q198" s="32" t="str">
        <f>IF($P198="","",$B198/$P198-1)</f>
        <v/>
      </c>
    </row>
    <row r="199">
      <c r="A199" s="11" t="n"/>
      <c r="B199" s="29" t="n"/>
      <c r="K199" s="30" t="str">
        <f>IF($A199="","",EDATE($A199,12*$E$4))</f>
        <v/>
      </c>
      <c r="L199" s="19" t="str">
        <f>IF($K199="","",IF($K199&gt;MAX($A$8:$A$5007),"",IFERROR(MATCH($K199,$A$8:$A$5007,1),"")))</f>
        <v/>
      </c>
      <c r="M199" s="30" t="str">
        <f>IF($L199="","",INDEX($A$8:$A$5007,$L199))</f>
        <v/>
      </c>
      <c r="N199" s="31" t="str">
        <f>IF($L199="","",INDEX($B$8:$B$5007,$L199))</f>
        <v/>
      </c>
      <c r="O199" s="32" t="str">
        <f>IF($M199="","",IF($K199-$M199&gt;7,"",IF($M199&lt;=$A199,"",IF(OR($B199&lt;=0,$N199&lt;=0),"",($N199/$B199)^(365/($M199-$A199))-1))))</f>
        <v/>
      </c>
      <c r="P199" s="31" t="str">
        <f>IF($B199="","",IF($P198="",$B199,MAX($P198,$B199)))</f>
        <v/>
      </c>
      <c r="Q199" s="32" t="str">
        <f>IF($P199="","",$B199/$P199-1)</f>
        <v/>
      </c>
    </row>
    <row r="200">
      <c r="A200" s="11" t="n"/>
      <c r="B200" s="29" t="n"/>
      <c r="K200" s="30" t="str">
        <f>IF($A200="","",EDATE($A200,12*$E$4))</f>
        <v/>
      </c>
      <c r="L200" s="19" t="str">
        <f>IF($K200="","",IF($K200&gt;MAX($A$8:$A$5007),"",IFERROR(MATCH($K200,$A$8:$A$5007,1),"")))</f>
        <v/>
      </c>
      <c r="M200" s="30" t="str">
        <f>IF($L200="","",INDEX($A$8:$A$5007,$L200))</f>
        <v/>
      </c>
      <c r="N200" s="31" t="str">
        <f>IF($L200="","",INDEX($B$8:$B$5007,$L200))</f>
        <v/>
      </c>
      <c r="O200" s="32" t="str">
        <f>IF($M200="","",IF($K200-$M200&gt;7,"",IF($M200&lt;=$A200,"",IF(OR($B200&lt;=0,$N200&lt;=0),"",($N200/$B200)^(365/($M200-$A200))-1))))</f>
        <v/>
      </c>
      <c r="P200" s="31" t="str">
        <f>IF($B200="","",IF($P199="",$B200,MAX($P199,$B200)))</f>
        <v/>
      </c>
      <c r="Q200" s="32" t="str">
        <f>IF($P200="","",$B200/$P200-1)</f>
        <v/>
      </c>
    </row>
    <row r="201">
      <c r="A201" s="11" t="n"/>
      <c r="B201" s="29" t="n"/>
      <c r="K201" s="30" t="str">
        <f>IF($A201="","",EDATE($A201,12*$E$4))</f>
        <v/>
      </c>
      <c r="L201" s="19" t="str">
        <f>IF($K201="","",IF($K201&gt;MAX($A$8:$A$5007),"",IFERROR(MATCH($K201,$A$8:$A$5007,1),"")))</f>
        <v/>
      </c>
      <c r="M201" s="30" t="str">
        <f>IF($L201="","",INDEX($A$8:$A$5007,$L201))</f>
        <v/>
      </c>
      <c r="N201" s="31" t="str">
        <f>IF($L201="","",INDEX($B$8:$B$5007,$L201))</f>
        <v/>
      </c>
      <c r="O201" s="32" t="str">
        <f>IF($M201="","",IF($K201-$M201&gt;7,"",IF($M201&lt;=$A201,"",IF(OR($B201&lt;=0,$N201&lt;=0),"",($N201/$B201)^(365/($M201-$A201))-1))))</f>
        <v/>
      </c>
      <c r="P201" s="31" t="str">
        <f>IF($B201="","",IF($P200="",$B201,MAX($P200,$B201)))</f>
        <v/>
      </c>
      <c r="Q201" s="32" t="str">
        <f>IF($P201="","",$B201/$P201-1)</f>
        <v/>
      </c>
    </row>
    <row r="202">
      <c r="A202" s="11" t="n"/>
      <c r="B202" s="29" t="n"/>
      <c r="K202" s="30" t="str">
        <f>IF($A202="","",EDATE($A202,12*$E$4))</f>
        <v/>
      </c>
      <c r="L202" s="19" t="str">
        <f>IF($K202="","",IF($K202&gt;MAX($A$8:$A$5007),"",IFERROR(MATCH($K202,$A$8:$A$5007,1),"")))</f>
        <v/>
      </c>
      <c r="M202" s="30" t="str">
        <f>IF($L202="","",INDEX($A$8:$A$5007,$L202))</f>
        <v/>
      </c>
      <c r="N202" s="31" t="str">
        <f>IF($L202="","",INDEX($B$8:$B$5007,$L202))</f>
        <v/>
      </c>
      <c r="O202" s="32" t="str">
        <f>IF($M202="","",IF($K202-$M202&gt;7,"",IF($M202&lt;=$A202,"",IF(OR($B202&lt;=0,$N202&lt;=0),"",($N202/$B202)^(365/($M202-$A202))-1))))</f>
        <v/>
      </c>
      <c r="P202" s="31" t="str">
        <f>IF($B202="","",IF($P201="",$B202,MAX($P201,$B202)))</f>
        <v/>
      </c>
      <c r="Q202" s="32" t="str">
        <f>IF($P202="","",$B202/$P202-1)</f>
        <v/>
      </c>
    </row>
    <row r="203">
      <c r="A203" s="11" t="n"/>
      <c r="B203" s="29" t="n"/>
      <c r="K203" s="30" t="str">
        <f>IF($A203="","",EDATE($A203,12*$E$4))</f>
        <v/>
      </c>
      <c r="L203" s="19" t="str">
        <f>IF($K203="","",IF($K203&gt;MAX($A$8:$A$5007),"",IFERROR(MATCH($K203,$A$8:$A$5007,1),"")))</f>
        <v/>
      </c>
      <c r="M203" s="30" t="str">
        <f>IF($L203="","",INDEX($A$8:$A$5007,$L203))</f>
        <v/>
      </c>
      <c r="N203" s="31" t="str">
        <f>IF($L203="","",INDEX($B$8:$B$5007,$L203))</f>
        <v/>
      </c>
      <c r="O203" s="32" t="str">
        <f>IF($M203="","",IF($K203-$M203&gt;7,"",IF($M203&lt;=$A203,"",IF(OR($B203&lt;=0,$N203&lt;=0),"",($N203/$B203)^(365/($M203-$A203))-1))))</f>
        <v/>
      </c>
      <c r="P203" s="31" t="str">
        <f>IF($B203="","",IF($P202="",$B203,MAX($P202,$B203)))</f>
        <v/>
      </c>
      <c r="Q203" s="32" t="str">
        <f>IF($P203="","",$B203/$P203-1)</f>
        <v/>
      </c>
    </row>
    <row r="204">
      <c r="A204" s="11" t="n"/>
      <c r="B204" s="29" t="n"/>
      <c r="K204" s="30" t="str">
        <f>IF($A204="","",EDATE($A204,12*$E$4))</f>
        <v/>
      </c>
      <c r="L204" s="19" t="str">
        <f>IF($K204="","",IF($K204&gt;MAX($A$8:$A$5007),"",IFERROR(MATCH($K204,$A$8:$A$5007,1),"")))</f>
        <v/>
      </c>
      <c r="M204" s="30" t="str">
        <f>IF($L204="","",INDEX($A$8:$A$5007,$L204))</f>
        <v/>
      </c>
      <c r="N204" s="31" t="str">
        <f>IF($L204="","",INDEX($B$8:$B$5007,$L204))</f>
        <v/>
      </c>
      <c r="O204" s="32" t="str">
        <f>IF($M204="","",IF($K204-$M204&gt;7,"",IF($M204&lt;=$A204,"",IF(OR($B204&lt;=0,$N204&lt;=0),"",($N204/$B204)^(365/($M204-$A204))-1))))</f>
        <v/>
      </c>
      <c r="P204" s="31" t="str">
        <f>IF($B204="","",IF($P203="",$B204,MAX($P203,$B204)))</f>
        <v/>
      </c>
      <c r="Q204" s="32" t="str">
        <f>IF($P204="","",$B204/$P204-1)</f>
        <v/>
      </c>
    </row>
    <row r="205">
      <c r="A205" s="11" t="n"/>
      <c r="B205" s="29" t="n"/>
      <c r="K205" s="30" t="str">
        <f>IF($A205="","",EDATE($A205,12*$E$4))</f>
        <v/>
      </c>
      <c r="L205" s="19" t="str">
        <f>IF($K205="","",IF($K205&gt;MAX($A$8:$A$5007),"",IFERROR(MATCH($K205,$A$8:$A$5007,1),"")))</f>
        <v/>
      </c>
      <c r="M205" s="30" t="str">
        <f>IF($L205="","",INDEX($A$8:$A$5007,$L205))</f>
        <v/>
      </c>
      <c r="N205" s="31" t="str">
        <f>IF($L205="","",INDEX($B$8:$B$5007,$L205))</f>
        <v/>
      </c>
      <c r="O205" s="32" t="str">
        <f>IF($M205="","",IF($K205-$M205&gt;7,"",IF($M205&lt;=$A205,"",IF(OR($B205&lt;=0,$N205&lt;=0),"",($N205/$B205)^(365/($M205-$A205))-1))))</f>
        <v/>
      </c>
      <c r="P205" s="31" t="str">
        <f>IF($B205="","",IF($P204="",$B205,MAX($P204,$B205)))</f>
        <v/>
      </c>
      <c r="Q205" s="32" t="str">
        <f>IF($P205="","",$B205/$P205-1)</f>
        <v/>
      </c>
    </row>
    <row r="206">
      <c r="A206" s="11" t="n"/>
      <c r="B206" s="29" t="n"/>
      <c r="K206" s="30" t="str">
        <f>IF($A206="","",EDATE($A206,12*$E$4))</f>
        <v/>
      </c>
      <c r="L206" s="19" t="str">
        <f>IF($K206="","",IF($K206&gt;MAX($A$8:$A$5007),"",IFERROR(MATCH($K206,$A$8:$A$5007,1),"")))</f>
        <v/>
      </c>
      <c r="M206" s="30" t="str">
        <f>IF($L206="","",INDEX($A$8:$A$5007,$L206))</f>
        <v/>
      </c>
      <c r="N206" s="31" t="str">
        <f>IF($L206="","",INDEX($B$8:$B$5007,$L206))</f>
        <v/>
      </c>
      <c r="O206" s="32" t="str">
        <f>IF($M206="","",IF($K206-$M206&gt;7,"",IF($M206&lt;=$A206,"",IF(OR($B206&lt;=0,$N206&lt;=0),"",($N206/$B206)^(365/($M206-$A206))-1))))</f>
        <v/>
      </c>
      <c r="P206" s="31" t="str">
        <f>IF($B206="","",IF($P205="",$B206,MAX($P205,$B206)))</f>
        <v/>
      </c>
      <c r="Q206" s="32" t="str">
        <f>IF($P206="","",$B206/$P206-1)</f>
        <v/>
      </c>
    </row>
    <row r="207">
      <c r="A207" s="11" t="n"/>
      <c r="B207" s="29" t="n"/>
      <c r="K207" s="30" t="str">
        <f>IF($A207="","",EDATE($A207,12*$E$4))</f>
        <v/>
      </c>
      <c r="L207" s="19" t="str">
        <f>IF($K207="","",IF($K207&gt;MAX($A$8:$A$5007),"",IFERROR(MATCH($K207,$A$8:$A$5007,1),"")))</f>
        <v/>
      </c>
      <c r="M207" s="30" t="str">
        <f>IF($L207="","",INDEX($A$8:$A$5007,$L207))</f>
        <v/>
      </c>
      <c r="N207" s="31" t="str">
        <f>IF($L207="","",INDEX($B$8:$B$5007,$L207))</f>
        <v/>
      </c>
      <c r="O207" s="32" t="str">
        <f>IF($M207="","",IF($K207-$M207&gt;7,"",IF($M207&lt;=$A207,"",IF(OR($B207&lt;=0,$N207&lt;=0),"",($N207/$B207)^(365/($M207-$A207))-1))))</f>
        <v/>
      </c>
      <c r="P207" s="31" t="str">
        <f>IF($B207="","",IF($P206="",$B207,MAX($P206,$B207)))</f>
        <v/>
      </c>
      <c r="Q207" s="32" t="str">
        <f>IF($P207="","",$B207/$P207-1)</f>
        <v/>
      </c>
    </row>
    <row r="208">
      <c r="A208" s="11" t="n"/>
      <c r="B208" s="29" t="n"/>
      <c r="K208" s="30" t="str">
        <f>IF($A208="","",EDATE($A208,12*$E$4))</f>
        <v/>
      </c>
      <c r="L208" s="19" t="str">
        <f>IF($K208="","",IF($K208&gt;MAX($A$8:$A$5007),"",IFERROR(MATCH($K208,$A$8:$A$5007,1),"")))</f>
        <v/>
      </c>
      <c r="M208" s="30" t="str">
        <f>IF($L208="","",INDEX($A$8:$A$5007,$L208))</f>
        <v/>
      </c>
      <c r="N208" s="31" t="str">
        <f>IF($L208="","",INDEX($B$8:$B$5007,$L208))</f>
        <v/>
      </c>
      <c r="O208" s="32" t="str">
        <f>IF($M208="","",IF($K208-$M208&gt;7,"",IF($M208&lt;=$A208,"",IF(OR($B208&lt;=0,$N208&lt;=0),"",($N208/$B208)^(365/($M208-$A208))-1))))</f>
        <v/>
      </c>
      <c r="P208" s="31" t="str">
        <f>IF($B208="","",IF($P207="",$B208,MAX($P207,$B208)))</f>
        <v/>
      </c>
      <c r="Q208" s="32" t="str">
        <f>IF($P208="","",$B208/$P208-1)</f>
        <v/>
      </c>
    </row>
    <row r="209">
      <c r="A209" s="11" t="n"/>
      <c r="B209" s="29" t="n"/>
      <c r="K209" s="30" t="str">
        <f>IF($A209="","",EDATE($A209,12*$E$4))</f>
        <v/>
      </c>
      <c r="L209" s="19" t="str">
        <f>IF($K209="","",IF($K209&gt;MAX($A$8:$A$5007),"",IFERROR(MATCH($K209,$A$8:$A$5007,1),"")))</f>
        <v/>
      </c>
      <c r="M209" s="30" t="str">
        <f>IF($L209="","",INDEX($A$8:$A$5007,$L209))</f>
        <v/>
      </c>
      <c r="N209" s="31" t="str">
        <f>IF($L209="","",INDEX($B$8:$B$5007,$L209))</f>
        <v/>
      </c>
      <c r="O209" s="32" t="str">
        <f>IF($M209="","",IF($K209-$M209&gt;7,"",IF($M209&lt;=$A209,"",IF(OR($B209&lt;=0,$N209&lt;=0),"",($N209/$B209)^(365/($M209-$A209))-1))))</f>
        <v/>
      </c>
      <c r="P209" s="31" t="str">
        <f>IF($B209="","",IF($P208="",$B209,MAX($P208,$B209)))</f>
        <v/>
      </c>
      <c r="Q209" s="32" t="str">
        <f>IF($P209="","",$B209/$P209-1)</f>
        <v/>
      </c>
    </row>
    <row r="210">
      <c r="A210" s="11" t="n"/>
      <c r="B210" s="29" t="n"/>
      <c r="K210" s="30" t="str">
        <f>IF($A210="","",EDATE($A210,12*$E$4))</f>
        <v/>
      </c>
      <c r="L210" s="19" t="str">
        <f>IF($K210="","",IF($K210&gt;MAX($A$8:$A$5007),"",IFERROR(MATCH($K210,$A$8:$A$5007,1),"")))</f>
        <v/>
      </c>
      <c r="M210" s="30" t="str">
        <f>IF($L210="","",INDEX($A$8:$A$5007,$L210))</f>
        <v/>
      </c>
      <c r="N210" s="31" t="str">
        <f>IF($L210="","",INDEX($B$8:$B$5007,$L210))</f>
        <v/>
      </c>
      <c r="O210" s="32" t="str">
        <f>IF($M210="","",IF($K210-$M210&gt;7,"",IF($M210&lt;=$A210,"",IF(OR($B210&lt;=0,$N210&lt;=0),"",($N210/$B210)^(365/($M210-$A210))-1))))</f>
        <v/>
      </c>
      <c r="P210" s="31" t="str">
        <f>IF($B210="","",IF($P209="",$B210,MAX($P209,$B210)))</f>
        <v/>
      </c>
      <c r="Q210" s="32" t="str">
        <f>IF($P210="","",$B210/$P210-1)</f>
        <v/>
      </c>
    </row>
    <row r="211">
      <c r="A211" s="11" t="n"/>
      <c r="B211" s="29" t="n"/>
      <c r="K211" s="30" t="str">
        <f>IF($A211="","",EDATE($A211,12*$E$4))</f>
        <v/>
      </c>
      <c r="L211" s="19" t="str">
        <f>IF($K211="","",IF($K211&gt;MAX($A$8:$A$5007),"",IFERROR(MATCH($K211,$A$8:$A$5007,1),"")))</f>
        <v/>
      </c>
      <c r="M211" s="30" t="str">
        <f>IF($L211="","",INDEX($A$8:$A$5007,$L211))</f>
        <v/>
      </c>
      <c r="N211" s="31" t="str">
        <f>IF($L211="","",INDEX($B$8:$B$5007,$L211))</f>
        <v/>
      </c>
      <c r="O211" s="32" t="str">
        <f>IF($M211="","",IF($K211-$M211&gt;7,"",IF($M211&lt;=$A211,"",IF(OR($B211&lt;=0,$N211&lt;=0),"",($N211/$B211)^(365/($M211-$A211))-1))))</f>
        <v/>
      </c>
      <c r="P211" s="31" t="str">
        <f>IF($B211="","",IF($P210="",$B211,MAX($P210,$B211)))</f>
        <v/>
      </c>
      <c r="Q211" s="32" t="str">
        <f>IF($P211="","",$B211/$P211-1)</f>
        <v/>
      </c>
    </row>
    <row r="212">
      <c r="A212" s="11" t="n"/>
      <c r="B212" s="29" t="n"/>
      <c r="K212" s="30" t="str">
        <f>IF($A212="","",EDATE($A212,12*$E$4))</f>
        <v/>
      </c>
      <c r="L212" s="19" t="str">
        <f>IF($K212="","",IF($K212&gt;MAX($A$8:$A$5007),"",IFERROR(MATCH($K212,$A$8:$A$5007,1),"")))</f>
        <v/>
      </c>
      <c r="M212" s="30" t="str">
        <f>IF($L212="","",INDEX($A$8:$A$5007,$L212))</f>
        <v/>
      </c>
      <c r="N212" s="31" t="str">
        <f>IF($L212="","",INDEX($B$8:$B$5007,$L212))</f>
        <v/>
      </c>
      <c r="O212" s="32" t="str">
        <f>IF($M212="","",IF($K212-$M212&gt;7,"",IF($M212&lt;=$A212,"",IF(OR($B212&lt;=0,$N212&lt;=0),"",($N212/$B212)^(365/($M212-$A212))-1))))</f>
        <v/>
      </c>
      <c r="P212" s="31" t="str">
        <f>IF($B212="","",IF($P211="",$B212,MAX($P211,$B212)))</f>
        <v/>
      </c>
      <c r="Q212" s="32" t="str">
        <f>IF($P212="","",$B212/$P212-1)</f>
        <v/>
      </c>
    </row>
    <row r="213">
      <c r="A213" s="11" t="n"/>
      <c r="B213" s="29" t="n"/>
      <c r="K213" s="30" t="str">
        <f>IF($A213="","",EDATE($A213,12*$E$4))</f>
        <v/>
      </c>
      <c r="L213" s="19" t="str">
        <f>IF($K213="","",IF($K213&gt;MAX($A$8:$A$5007),"",IFERROR(MATCH($K213,$A$8:$A$5007,1),"")))</f>
        <v/>
      </c>
      <c r="M213" s="30" t="str">
        <f>IF($L213="","",INDEX($A$8:$A$5007,$L213))</f>
        <v/>
      </c>
      <c r="N213" s="31" t="str">
        <f>IF($L213="","",INDEX($B$8:$B$5007,$L213))</f>
        <v/>
      </c>
      <c r="O213" s="32" t="str">
        <f>IF($M213="","",IF($K213-$M213&gt;7,"",IF($M213&lt;=$A213,"",IF(OR($B213&lt;=0,$N213&lt;=0),"",($N213/$B213)^(365/($M213-$A213))-1))))</f>
        <v/>
      </c>
      <c r="P213" s="31" t="str">
        <f>IF($B213="","",IF($P212="",$B213,MAX($P212,$B213)))</f>
        <v/>
      </c>
      <c r="Q213" s="32" t="str">
        <f>IF($P213="","",$B213/$P213-1)</f>
        <v/>
      </c>
    </row>
    <row r="214">
      <c r="A214" s="11" t="n"/>
      <c r="B214" s="29" t="n"/>
      <c r="K214" s="30" t="str">
        <f>IF($A214="","",EDATE($A214,12*$E$4))</f>
        <v/>
      </c>
      <c r="L214" s="19" t="str">
        <f>IF($K214="","",IF($K214&gt;MAX($A$8:$A$5007),"",IFERROR(MATCH($K214,$A$8:$A$5007,1),"")))</f>
        <v/>
      </c>
      <c r="M214" s="30" t="str">
        <f>IF($L214="","",INDEX($A$8:$A$5007,$L214))</f>
        <v/>
      </c>
      <c r="N214" s="31" t="str">
        <f>IF($L214="","",INDEX($B$8:$B$5007,$L214))</f>
        <v/>
      </c>
      <c r="O214" s="32" t="str">
        <f>IF($M214="","",IF($K214-$M214&gt;7,"",IF($M214&lt;=$A214,"",IF(OR($B214&lt;=0,$N214&lt;=0),"",($N214/$B214)^(365/($M214-$A214))-1))))</f>
        <v/>
      </c>
      <c r="P214" s="31" t="str">
        <f>IF($B214="","",IF($P213="",$B214,MAX($P213,$B214)))</f>
        <v/>
      </c>
      <c r="Q214" s="32" t="str">
        <f>IF($P214="","",$B214/$P214-1)</f>
        <v/>
      </c>
    </row>
    <row r="215">
      <c r="A215" s="11" t="n"/>
      <c r="B215" s="29" t="n"/>
      <c r="K215" s="30" t="str">
        <f>IF($A215="","",EDATE($A215,12*$E$4))</f>
        <v/>
      </c>
      <c r="L215" s="19" t="str">
        <f>IF($K215="","",IF($K215&gt;MAX($A$8:$A$5007),"",IFERROR(MATCH($K215,$A$8:$A$5007,1),"")))</f>
        <v/>
      </c>
      <c r="M215" s="30" t="str">
        <f>IF($L215="","",INDEX($A$8:$A$5007,$L215))</f>
        <v/>
      </c>
      <c r="N215" s="31" t="str">
        <f>IF($L215="","",INDEX($B$8:$B$5007,$L215))</f>
        <v/>
      </c>
      <c r="O215" s="32" t="str">
        <f>IF($M215="","",IF($K215-$M215&gt;7,"",IF($M215&lt;=$A215,"",IF(OR($B215&lt;=0,$N215&lt;=0),"",($N215/$B215)^(365/($M215-$A215))-1))))</f>
        <v/>
      </c>
      <c r="P215" s="31" t="str">
        <f>IF($B215="","",IF($P214="",$B215,MAX($P214,$B215)))</f>
        <v/>
      </c>
      <c r="Q215" s="32" t="str">
        <f>IF($P215="","",$B215/$P215-1)</f>
        <v/>
      </c>
    </row>
    <row r="216">
      <c r="A216" s="11" t="n"/>
      <c r="B216" s="29" t="n"/>
      <c r="K216" s="30" t="str">
        <f>IF($A216="","",EDATE($A216,12*$E$4))</f>
        <v/>
      </c>
      <c r="L216" s="19" t="str">
        <f>IF($K216="","",IF($K216&gt;MAX($A$8:$A$5007),"",IFERROR(MATCH($K216,$A$8:$A$5007,1),"")))</f>
        <v/>
      </c>
      <c r="M216" s="30" t="str">
        <f>IF($L216="","",INDEX($A$8:$A$5007,$L216))</f>
        <v/>
      </c>
      <c r="N216" s="31" t="str">
        <f>IF($L216="","",INDEX($B$8:$B$5007,$L216))</f>
        <v/>
      </c>
      <c r="O216" s="32" t="str">
        <f>IF($M216="","",IF($K216-$M216&gt;7,"",IF($M216&lt;=$A216,"",IF(OR($B216&lt;=0,$N216&lt;=0),"",($N216/$B216)^(365/($M216-$A216))-1))))</f>
        <v/>
      </c>
      <c r="P216" s="31" t="str">
        <f>IF($B216="","",IF($P215="",$B216,MAX($P215,$B216)))</f>
        <v/>
      </c>
      <c r="Q216" s="32" t="str">
        <f>IF($P216="","",$B216/$P216-1)</f>
        <v/>
      </c>
    </row>
    <row r="217">
      <c r="A217" s="11" t="n"/>
      <c r="B217" s="29" t="n"/>
      <c r="K217" s="30" t="str">
        <f>IF($A217="","",EDATE($A217,12*$E$4))</f>
        <v/>
      </c>
      <c r="L217" s="19" t="str">
        <f>IF($K217="","",IF($K217&gt;MAX($A$8:$A$5007),"",IFERROR(MATCH($K217,$A$8:$A$5007,1),"")))</f>
        <v/>
      </c>
      <c r="M217" s="30" t="str">
        <f>IF($L217="","",INDEX($A$8:$A$5007,$L217))</f>
        <v/>
      </c>
      <c r="N217" s="31" t="str">
        <f>IF($L217="","",INDEX($B$8:$B$5007,$L217))</f>
        <v/>
      </c>
      <c r="O217" s="32" t="str">
        <f>IF($M217="","",IF($K217-$M217&gt;7,"",IF($M217&lt;=$A217,"",IF(OR($B217&lt;=0,$N217&lt;=0),"",($N217/$B217)^(365/($M217-$A217))-1))))</f>
        <v/>
      </c>
      <c r="P217" s="31" t="str">
        <f>IF($B217="","",IF($P216="",$B217,MAX($P216,$B217)))</f>
        <v/>
      </c>
      <c r="Q217" s="32" t="str">
        <f>IF($P217="","",$B217/$P217-1)</f>
        <v/>
      </c>
    </row>
    <row r="218">
      <c r="A218" s="11" t="n"/>
      <c r="B218" s="29" t="n"/>
      <c r="K218" s="30" t="str">
        <f>IF($A218="","",EDATE($A218,12*$E$4))</f>
        <v/>
      </c>
      <c r="L218" s="19" t="str">
        <f>IF($K218="","",IF($K218&gt;MAX($A$8:$A$5007),"",IFERROR(MATCH($K218,$A$8:$A$5007,1),"")))</f>
        <v/>
      </c>
      <c r="M218" s="30" t="str">
        <f>IF($L218="","",INDEX($A$8:$A$5007,$L218))</f>
        <v/>
      </c>
      <c r="N218" s="31" t="str">
        <f>IF($L218="","",INDEX($B$8:$B$5007,$L218))</f>
        <v/>
      </c>
      <c r="O218" s="32" t="str">
        <f>IF($M218="","",IF($K218-$M218&gt;7,"",IF($M218&lt;=$A218,"",IF(OR($B218&lt;=0,$N218&lt;=0),"",($N218/$B218)^(365/($M218-$A218))-1))))</f>
        <v/>
      </c>
      <c r="P218" s="31" t="str">
        <f>IF($B218="","",IF($P217="",$B218,MAX($P217,$B218)))</f>
        <v/>
      </c>
      <c r="Q218" s="32" t="str">
        <f>IF($P218="","",$B218/$P218-1)</f>
        <v/>
      </c>
    </row>
    <row r="219">
      <c r="A219" s="11" t="n"/>
      <c r="B219" s="29" t="n"/>
      <c r="K219" s="30" t="str">
        <f>IF($A219="","",EDATE($A219,12*$E$4))</f>
        <v/>
      </c>
      <c r="L219" s="19" t="str">
        <f>IF($K219="","",IF($K219&gt;MAX($A$8:$A$5007),"",IFERROR(MATCH($K219,$A$8:$A$5007,1),"")))</f>
        <v/>
      </c>
      <c r="M219" s="30" t="str">
        <f>IF($L219="","",INDEX($A$8:$A$5007,$L219))</f>
        <v/>
      </c>
      <c r="N219" s="31" t="str">
        <f>IF($L219="","",INDEX($B$8:$B$5007,$L219))</f>
        <v/>
      </c>
      <c r="O219" s="32" t="str">
        <f>IF($M219="","",IF($K219-$M219&gt;7,"",IF($M219&lt;=$A219,"",IF(OR($B219&lt;=0,$N219&lt;=0),"",($N219/$B219)^(365/($M219-$A219))-1))))</f>
        <v/>
      </c>
      <c r="P219" s="31" t="str">
        <f>IF($B219="","",IF($P218="",$B219,MAX($P218,$B219)))</f>
        <v/>
      </c>
      <c r="Q219" s="32" t="str">
        <f>IF($P219="","",$B219/$P219-1)</f>
        <v/>
      </c>
    </row>
    <row r="220">
      <c r="A220" s="11" t="n"/>
      <c r="B220" s="29" t="n"/>
      <c r="K220" s="30" t="str">
        <f>IF($A220="","",EDATE($A220,12*$E$4))</f>
        <v/>
      </c>
      <c r="L220" s="19" t="str">
        <f>IF($K220="","",IF($K220&gt;MAX($A$8:$A$5007),"",IFERROR(MATCH($K220,$A$8:$A$5007,1),"")))</f>
        <v/>
      </c>
      <c r="M220" s="30" t="str">
        <f>IF($L220="","",INDEX($A$8:$A$5007,$L220))</f>
        <v/>
      </c>
      <c r="N220" s="31" t="str">
        <f>IF($L220="","",INDEX($B$8:$B$5007,$L220))</f>
        <v/>
      </c>
      <c r="O220" s="32" t="str">
        <f>IF($M220="","",IF($K220-$M220&gt;7,"",IF($M220&lt;=$A220,"",IF(OR($B220&lt;=0,$N220&lt;=0),"",($N220/$B220)^(365/($M220-$A220))-1))))</f>
        <v/>
      </c>
      <c r="P220" s="31" t="str">
        <f>IF($B220="","",IF($P219="",$B220,MAX($P219,$B220)))</f>
        <v/>
      </c>
      <c r="Q220" s="32" t="str">
        <f>IF($P220="","",$B220/$P220-1)</f>
        <v/>
      </c>
    </row>
    <row r="221">
      <c r="A221" s="11" t="n"/>
      <c r="B221" s="29" t="n"/>
      <c r="K221" s="30" t="str">
        <f>IF($A221="","",EDATE($A221,12*$E$4))</f>
        <v/>
      </c>
      <c r="L221" s="19" t="str">
        <f>IF($K221="","",IF($K221&gt;MAX($A$8:$A$5007),"",IFERROR(MATCH($K221,$A$8:$A$5007,1),"")))</f>
        <v/>
      </c>
      <c r="M221" s="30" t="str">
        <f>IF($L221="","",INDEX($A$8:$A$5007,$L221))</f>
        <v/>
      </c>
      <c r="N221" s="31" t="str">
        <f>IF($L221="","",INDEX($B$8:$B$5007,$L221))</f>
        <v/>
      </c>
      <c r="O221" s="32" t="str">
        <f>IF($M221="","",IF($K221-$M221&gt;7,"",IF($M221&lt;=$A221,"",IF(OR($B221&lt;=0,$N221&lt;=0),"",($N221/$B221)^(365/($M221-$A221))-1))))</f>
        <v/>
      </c>
      <c r="P221" s="31" t="str">
        <f>IF($B221="","",IF($P220="",$B221,MAX($P220,$B221)))</f>
        <v/>
      </c>
      <c r="Q221" s="32" t="str">
        <f>IF($P221="","",$B221/$P221-1)</f>
        <v/>
      </c>
    </row>
    <row r="222">
      <c r="A222" s="11" t="n"/>
      <c r="B222" s="29" t="n"/>
      <c r="K222" s="30" t="str">
        <f>IF($A222="","",EDATE($A222,12*$E$4))</f>
        <v/>
      </c>
      <c r="L222" s="19" t="str">
        <f>IF($K222="","",IF($K222&gt;MAX($A$8:$A$5007),"",IFERROR(MATCH($K222,$A$8:$A$5007,1),"")))</f>
        <v/>
      </c>
      <c r="M222" s="30" t="str">
        <f>IF($L222="","",INDEX($A$8:$A$5007,$L222))</f>
        <v/>
      </c>
      <c r="N222" s="31" t="str">
        <f>IF($L222="","",INDEX($B$8:$B$5007,$L222))</f>
        <v/>
      </c>
      <c r="O222" s="32" t="str">
        <f>IF($M222="","",IF($K222-$M222&gt;7,"",IF($M222&lt;=$A222,"",IF(OR($B222&lt;=0,$N222&lt;=0),"",($N222/$B222)^(365/($M222-$A222))-1))))</f>
        <v/>
      </c>
      <c r="P222" s="31" t="str">
        <f>IF($B222="","",IF($P221="",$B222,MAX($P221,$B222)))</f>
        <v/>
      </c>
      <c r="Q222" s="32" t="str">
        <f>IF($P222="","",$B222/$P222-1)</f>
        <v/>
      </c>
    </row>
    <row r="223">
      <c r="A223" s="11" t="n"/>
      <c r="B223" s="29" t="n"/>
      <c r="K223" s="30" t="str">
        <f>IF($A223="","",EDATE($A223,12*$E$4))</f>
        <v/>
      </c>
      <c r="L223" s="19" t="str">
        <f>IF($K223="","",IF($K223&gt;MAX($A$8:$A$5007),"",IFERROR(MATCH($K223,$A$8:$A$5007,1),"")))</f>
        <v/>
      </c>
      <c r="M223" s="30" t="str">
        <f>IF($L223="","",INDEX($A$8:$A$5007,$L223))</f>
        <v/>
      </c>
      <c r="N223" s="31" t="str">
        <f>IF($L223="","",INDEX($B$8:$B$5007,$L223))</f>
        <v/>
      </c>
      <c r="O223" s="32" t="str">
        <f>IF($M223="","",IF($K223-$M223&gt;7,"",IF($M223&lt;=$A223,"",IF(OR($B223&lt;=0,$N223&lt;=0),"",($N223/$B223)^(365/($M223-$A223))-1))))</f>
        <v/>
      </c>
      <c r="P223" s="31" t="str">
        <f>IF($B223="","",IF($P222="",$B223,MAX($P222,$B223)))</f>
        <v/>
      </c>
      <c r="Q223" s="32" t="str">
        <f>IF($P223="","",$B223/$P223-1)</f>
        <v/>
      </c>
    </row>
    <row r="224">
      <c r="A224" s="11" t="n"/>
      <c r="B224" s="29" t="n"/>
      <c r="K224" s="30" t="str">
        <f>IF($A224="","",EDATE($A224,12*$E$4))</f>
        <v/>
      </c>
      <c r="L224" s="19" t="str">
        <f>IF($K224="","",IF($K224&gt;MAX($A$8:$A$5007),"",IFERROR(MATCH($K224,$A$8:$A$5007,1),"")))</f>
        <v/>
      </c>
      <c r="M224" s="30" t="str">
        <f>IF($L224="","",INDEX($A$8:$A$5007,$L224))</f>
        <v/>
      </c>
      <c r="N224" s="31" t="str">
        <f>IF($L224="","",INDEX($B$8:$B$5007,$L224))</f>
        <v/>
      </c>
      <c r="O224" s="32" t="str">
        <f>IF($M224="","",IF($K224-$M224&gt;7,"",IF($M224&lt;=$A224,"",IF(OR($B224&lt;=0,$N224&lt;=0),"",($N224/$B224)^(365/($M224-$A224))-1))))</f>
        <v/>
      </c>
      <c r="P224" s="31" t="str">
        <f>IF($B224="","",IF($P223="",$B224,MAX($P223,$B224)))</f>
        <v/>
      </c>
      <c r="Q224" s="32" t="str">
        <f>IF($P224="","",$B224/$P224-1)</f>
        <v/>
      </c>
    </row>
    <row r="225">
      <c r="A225" s="11" t="n"/>
      <c r="B225" s="29" t="n"/>
      <c r="K225" s="30" t="str">
        <f>IF($A225="","",EDATE($A225,12*$E$4))</f>
        <v/>
      </c>
      <c r="L225" s="19" t="str">
        <f>IF($K225="","",IF($K225&gt;MAX($A$8:$A$5007),"",IFERROR(MATCH($K225,$A$8:$A$5007,1),"")))</f>
        <v/>
      </c>
      <c r="M225" s="30" t="str">
        <f>IF($L225="","",INDEX($A$8:$A$5007,$L225))</f>
        <v/>
      </c>
      <c r="N225" s="31" t="str">
        <f>IF($L225="","",INDEX($B$8:$B$5007,$L225))</f>
        <v/>
      </c>
      <c r="O225" s="32" t="str">
        <f>IF($M225="","",IF($K225-$M225&gt;7,"",IF($M225&lt;=$A225,"",IF(OR($B225&lt;=0,$N225&lt;=0),"",($N225/$B225)^(365/($M225-$A225))-1))))</f>
        <v/>
      </c>
      <c r="P225" s="31" t="str">
        <f>IF($B225="","",IF($P224="",$B225,MAX($P224,$B225)))</f>
        <v/>
      </c>
      <c r="Q225" s="32" t="str">
        <f>IF($P225="","",$B225/$P225-1)</f>
        <v/>
      </c>
    </row>
    <row r="226">
      <c r="A226" s="11" t="n"/>
      <c r="B226" s="29" t="n"/>
      <c r="K226" s="30" t="str">
        <f>IF($A226="","",EDATE($A226,12*$E$4))</f>
        <v/>
      </c>
      <c r="L226" s="19" t="str">
        <f>IF($K226="","",IF($K226&gt;MAX($A$8:$A$5007),"",IFERROR(MATCH($K226,$A$8:$A$5007,1),"")))</f>
        <v/>
      </c>
      <c r="M226" s="30" t="str">
        <f>IF($L226="","",INDEX($A$8:$A$5007,$L226))</f>
        <v/>
      </c>
      <c r="N226" s="31" t="str">
        <f>IF($L226="","",INDEX($B$8:$B$5007,$L226))</f>
        <v/>
      </c>
      <c r="O226" s="32" t="str">
        <f>IF($M226="","",IF($K226-$M226&gt;7,"",IF($M226&lt;=$A226,"",IF(OR($B226&lt;=0,$N226&lt;=0),"",($N226/$B226)^(365/($M226-$A226))-1))))</f>
        <v/>
      </c>
      <c r="P226" s="31" t="str">
        <f>IF($B226="","",IF($P225="",$B226,MAX($P225,$B226)))</f>
        <v/>
      </c>
      <c r="Q226" s="32" t="str">
        <f>IF($P226="","",$B226/$P226-1)</f>
        <v/>
      </c>
    </row>
    <row r="227">
      <c r="A227" s="11" t="n"/>
      <c r="B227" s="29" t="n"/>
      <c r="K227" s="30" t="str">
        <f>IF($A227="","",EDATE($A227,12*$E$4))</f>
        <v/>
      </c>
      <c r="L227" s="19" t="str">
        <f>IF($K227="","",IF($K227&gt;MAX($A$8:$A$5007),"",IFERROR(MATCH($K227,$A$8:$A$5007,1),"")))</f>
        <v/>
      </c>
      <c r="M227" s="30" t="str">
        <f>IF($L227="","",INDEX($A$8:$A$5007,$L227))</f>
        <v/>
      </c>
      <c r="N227" s="31" t="str">
        <f>IF($L227="","",INDEX($B$8:$B$5007,$L227))</f>
        <v/>
      </c>
      <c r="O227" s="32" t="str">
        <f>IF($M227="","",IF($K227-$M227&gt;7,"",IF($M227&lt;=$A227,"",IF(OR($B227&lt;=0,$N227&lt;=0),"",($N227/$B227)^(365/($M227-$A227))-1))))</f>
        <v/>
      </c>
      <c r="P227" s="31" t="str">
        <f>IF($B227="","",IF($P226="",$B227,MAX($P226,$B227)))</f>
        <v/>
      </c>
      <c r="Q227" s="32" t="str">
        <f>IF($P227="","",$B227/$P227-1)</f>
        <v/>
      </c>
    </row>
    <row r="228">
      <c r="A228" s="11" t="n"/>
      <c r="B228" s="29" t="n"/>
      <c r="K228" s="30" t="str">
        <f>IF($A228="","",EDATE($A228,12*$E$4))</f>
        <v/>
      </c>
      <c r="L228" s="19" t="str">
        <f>IF($K228="","",IF($K228&gt;MAX($A$8:$A$5007),"",IFERROR(MATCH($K228,$A$8:$A$5007,1),"")))</f>
        <v/>
      </c>
      <c r="M228" s="30" t="str">
        <f>IF($L228="","",INDEX($A$8:$A$5007,$L228))</f>
        <v/>
      </c>
      <c r="N228" s="31" t="str">
        <f>IF($L228="","",INDEX($B$8:$B$5007,$L228))</f>
        <v/>
      </c>
      <c r="O228" s="32" t="str">
        <f>IF($M228="","",IF($K228-$M228&gt;7,"",IF($M228&lt;=$A228,"",IF(OR($B228&lt;=0,$N228&lt;=0),"",($N228/$B228)^(365/($M228-$A228))-1))))</f>
        <v/>
      </c>
      <c r="P228" s="31" t="str">
        <f>IF($B228="","",IF($P227="",$B228,MAX($P227,$B228)))</f>
        <v/>
      </c>
      <c r="Q228" s="32" t="str">
        <f>IF($P228="","",$B228/$P228-1)</f>
        <v/>
      </c>
    </row>
    <row r="229">
      <c r="A229" s="11" t="n"/>
      <c r="B229" s="29" t="n"/>
      <c r="K229" s="30" t="str">
        <f>IF($A229="","",EDATE($A229,12*$E$4))</f>
        <v/>
      </c>
      <c r="L229" s="19" t="str">
        <f>IF($K229="","",IF($K229&gt;MAX($A$8:$A$5007),"",IFERROR(MATCH($K229,$A$8:$A$5007,1),"")))</f>
        <v/>
      </c>
      <c r="M229" s="30" t="str">
        <f>IF($L229="","",INDEX($A$8:$A$5007,$L229))</f>
        <v/>
      </c>
      <c r="N229" s="31" t="str">
        <f>IF($L229="","",INDEX($B$8:$B$5007,$L229))</f>
        <v/>
      </c>
      <c r="O229" s="32" t="str">
        <f>IF($M229="","",IF($K229-$M229&gt;7,"",IF($M229&lt;=$A229,"",IF(OR($B229&lt;=0,$N229&lt;=0),"",($N229/$B229)^(365/($M229-$A229))-1))))</f>
        <v/>
      </c>
      <c r="P229" s="31" t="str">
        <f>IF($B229="","",IF($P228="",$B229,MAX($P228,$B229)))</f>
        <v/>
      </c>
      <c r="Q229" s="32" t="str">
        <f>IF($P229="","",$B229/$P229-1)</f>
        <v/>
      </c>
    </row>
    <row r="230">
      <c r="A230" s="11" t="n"/>
      <c r="B230" s="29" t="n"/>
      <c r="K230" s="30" t="str">
        <f>IF($A230="","",EDATE($A230,12*$E$4))</f>
        <v/>
      </c>
      <c r="L230" s="19" t="str">
        <f>IF($K230="","",IF($K230&gt;MAX($A$8:$A$5007),"",IFERROR(MATCH($K230,$A$8:$A$5007,1),"")))</f>
        <v/>
      </c>
      <c r="M230" s="30" t="str">
        <f>IF($L230="","",INDEX($A$8:$A$5007,$L230))</f>
        <v/>
      </c>
      <c r="N230" s="31" t="str">
        <f>IF($L230="","",INDEX($B$8:$B$5007,$L230))</f>
        <v/>
      </c>
      <c r="O230" s="32" t="str">
        <f>IF($M230="","",IF($K230-$M230&gt;7,"",IF($M230&lt;=$A230,"",IF(OR($B230&lt;=0,$N230&lt;=0),"",($N230/$B230)^(365/($M230-$A230))-1))))</f>
        <v/>
      </c>
      <c r="P230" s="31" t="str">
        <f>IF($B230="","",IF($P229="",$B230,MAX($P229,$B230)))</f>
        <v/>
      </c>
      <c r="Q230" s="32" t="str">
        <f>IF($P230="","",$B230/$P230-1)</f>
        <v/>
      </c>
    </row>
    <row r="231">
      <c r="A231" s="11" t="n"/>
      <c r="B231" s="29" t="n"/>
      <c r="K231" s="30" t="str">
        <f>IF($A231="","",EDATE($A231,12*$E$4))</f>
        <v/>
      </c>
      <c r="L231" s="19" t="str">
        <f>IF($K231="","",IF($K231&gt;MAX($A$8:$A$5007),"",IFERROR(MATCH($K231,$A$8:$A$5007,1),"")))</f>
        <v/>
      </c>
      <c r="M231" s="30" t="str">
        <f>IF($L231="","",INDEX($A$8:$A$5007,$L231))</f>
        <v/>
      </c>
      <c r="N231" s="31" t="str">
        <f>IF($L231="","",INDEX($B$8:$B$5007,$L231))</f>
        <v/>
      </c>
      <c r="O231" s="32" t="str">
        <f>IF($M231="","",IF($K231-$M231&gt;7,"",IF($M231&lt;=$A231,"",IF(OR($B231&lt;=0,$N231&lt;=0),"",($N231/$B231)^(365/($M231-$A231))-1))))</f>
        <v/>
      </c>
      <c r="P231" s="31" t="str">
        <f>IF($B231="","",IF($P230="",$B231,MAX($P230,$B231)))</f>
        <v/>
      </c>
      <c r="Q231" s="32" t="str">
        <f>IF($P231="","",$B231/$P231-1)</f>
        <v/>
      </c>
    </row>
    <row r="232">
      <c r="A232" s="11" t="n"/>
      <c r="B232" s="29" t="n"/>
      <c r="K232" s="30" t="str">
        <f>IF($A232="","",EDATE($A232,12*$E$4))</f>
        <v/>
      </c>
      <c r="L232" s="19" t="str">
        <f>IF($K232="","",IF($K232&gt;MAX($A$8:$A$5007),"",IFERROR(MATCH($K232,$A$8:$A$5007,1),"")))</f>
        <v/>
      </c>
      <c r="M232" s="30" t="str">
        <f>IF($L232="","",INDEX($A$8:$A$5007,$L232))</f>
        <v/>
      </c>
      <c r="N232" s="31" t="str">
        <f>IF($L232="","",INDEX($B$8:$B$5007,$L232))</f>
        <v/>
      </c>
      <c r="O232" s="32" t="str">
        <f>IF($M232="","",IF($K232-$M232&gt;7,"",IF($M232&lt;=$A232,"",IF(OR($B232&lt;=0,$N232&lt;=0),"",($N232/$B232)^(365/($M232-$A232))-1))))</f>
        <v/>
      </c>
      <c r="P232" s="31" t="str">
        <f>IF($B232="","",IF($P231="",$B232,MAX($P231,$B232)))</f>
        <v/>
      </c>
      <c r="Q232" s="32" t="str">
        <f>IF($P232="","",$B232/$P232-1)</f>
        <v/>
      </c>
    </row>
    <row r="233">
      <c r="A233" s="11" t="n"/>
      <c r="B233" s="29" t="n"/>
      <c r="K233" s="30" t="str">
        <f>IF($A233="","",EDATE($A233,12*$E$4))</f>
        <v/>
      </c>
      <c r="L233" s="19" t="str">
        <f>IF($K233="","",IF($K233&gt;MAX($A$8:$A$5007),"",IFERROR(MATCH($K233,$A$8:$A$5007,1),"")))</f>
        <v/>
      </c>
      <c r="M233" s="30" t="str">
        <f>IF($L233="","",INDEX($A$8:$A$5007,$L233))</f>
        <v/>
      </c>
      <c r="N233" s="31" t="str">
        <f>IF($L233="","",INDEX($B$8:$B$5007,$L233))</f>
        <v/>
      </c>
      <c r="O233" s="32" t="str">
        <f>IF($M233="","",IF($K233-$M233&gt;7,"",IF($M233&lt;=$A233,"",IF(OR($B233&lt;=0,$N233&lt;=0),"",($N233/$B233)^(365/($M233-$A233))-1))))</f>
        <v/>
      </c>
      <c r="P233" s="31" t="str">
        <f>IF($B233="","",IF($P232="",$B233,MAX($P232,$B233)))</f>
        <v/>
      </c>
      <c r="Q233" s="32" t="str">
        <f>IF($P233="","",$B233/$P233-1)</f>
        <v/>
      </c>
    </row>
    <row r="234">
      <c r="A234" s="11" t="n"/>
      <c r="B234" s="29" t="n"/>
      <c r="K234" s="30" t="str">
        <f>IF($A234="","",EDATE($A234,12*$E$4))</f>
        <v/>
      </c>
      <c r="L234" s="19" t="str">
        <f>IF($K234="","",IF($K234&gt;MAX($A$8:$A$5007),"",IFERROR(MATCH($K234,$A$8:$A$5007,1),"")))</f>
        <v/>
      </c>
      <c r="M234" s="30" t="str">
        <f>IF($L234="","",INDEX($A$8:$A$5007,$L234))</f>
        <v/>
      </c>
      <c r="N234" s="31" t="str">
        <f>IF($L234="","",INDEX($B$8:$B$5007,$L234))</f>
        <v/>
      </c>
      <c r="O234" s="32" t="str">
        <f>IF($M234="","",IF($K234-$M234&gt;7,"",IF($M234&lt;=$A234,"",IF(OR($B234&lt;=0,$N234&lt;=0),"",($N234/$B234)^(365/($M234-$A234))-1))))</f>
        <v/>
      </c>
      <c r="P234" s="31" t="str">
        <f>IF($B234="","",IF($P233="",$B234,MAX($P233,$B234)))</f>
        <v/>
      </c>
      <c r="Q234" s="32" t="str">
        <f>IF($P234="","",$B234/$P234-1)</f>
        <v/>
      </c>
    </row>
    <row r="235">
      <c r="A235" s="11" t="n"/>
      <c r="B235" s="29" t="n"/>
      <c r="K235" s="30" t="str">
        <f>IF($A235="","",EDATE($A235,12*$E$4))</f>
        <v/>
      </c>
      <c r="L235" s="19" t="str">
        <f>IF($K235="","",IF($K235&gt;MAX($A$8:$A$5007),"",IFERROR(MATCH($K235,$A$8:$A$5007,1),"")))</f>
        <v/>
      </c>
      <c r="M235" s="30" t="str">
        <f>IF($L235="","",INDEX($A$8:$A$5007,$L235))</f>
        <v/>
      </c>
      <c r="N235" s="31" t="str">
        <f>IF($L235="","",INDEX($B$8:$B$5007,$L235))</f>
        <v/>
      </c>
      <c r="O235" s="32" t="str">
        <f>IF($M235="","",IF($K235-$M235&gt;7,"",IF($M235&lt;=$A235,"",IF(OR($B235&lt;=0,$N235&lt;=0),"",($N235/$B235)^(365/($M235-$A235))-1))))</f>
        <v/>
      </c>
      <c r="P235" s="31" t="str">
        <f>IF($B235="","",IF($P234="",$B235,MAX($P234,$B235)))</f>
        <v/>
      </c>
      <c r="Q235" s="32" t="str">
        <f>IF($P235="","",$B235/$P235-1)</f>
        <v/>
      </c>
    </row>
    <row r="236">
      <c r="A236" s="11" t="n"/>
      <c r="B236" s="29" t="n"/>
      <c r="K236" s="30" t="str">
        <f>IF($A236="","",EDATE($A236,12*$E$4))</f>
        <v/>
      </c>
      <c r="L236" s="19" t="str">
        <f>IF($K236="","",IF($K236&gt;MAX($A$8:$A$5007),"",IFERROR(MATCH($K236,$A$8:$A$5007,1),"")))</f>
        <v/>
      </c>
      <c r="M236" s="30" t="str">
        <f>IF($L236="","",INDEX($A$8:$A$5007,$L236))</f>
        <v/>
      </c>
      <c r="N236" s="31" t="str">
        <f>IF($L236="","",INDEX($B$8:$B$5007,$L236))</f>
        <v/>
      </c>
      <c r="O236" s="32" t="str">
        <f>IF($M236="","",IF($K236-$M236&gt;7,"",IF($M236&lt;=$A236,"",IF(OR($B236&lt;=0,$N236&lt;=0),"",($N236/$B236)^(365/($M236-$A236))-1))))</f>
        <v/>
      </c>
      <c r="P236" s="31" t="str">
        <f>IF($B236="","",IF($P235="",$B236,MAX($P235,$B236)))</f>
        <v/>
      </c>
      <c r="Q236" s="32" t="str">
        <f>IF($P236="","",$B236/$P236-1)</f>
        <v/>
      </c>
    </row>
    <row r="237">
      <c r="A237" s="11" t="n"/>
      <c r="B237" s="29" t="n"/>
      <c r="K237" s="30" t="str">
        <f>IF($A237="","",EDATE($A237,12*$E$4))</f>
        <v/>
      </c>
      <c r="L237" s="19" t="str">
        <f>IF($K237="","",IF($K237&gt;MAX($A$8:$A$5007),"",IFERROR(MATCH($K237,$A$8:$A$5007,1),"")))</f>
        <v/>
      </c>
      <c r="M237" s="30" t="str">
        <f>IF($L237="","",INDEX($A$8:$A$5007,$L237))</f>
        <v/>
      </c>
      <c r="N237" s="31" t="str">
        <f>IF($L237="","",INDEX($B$8:$B$5007,$L237))</f>
        <v/>
      </c>
      <c r="O237" s="32" t="str">
        <f>IF($M237="","",IF($K237-$M237&gt;7,"",IF($M237&lt;=$A237,"",IF(OR($B237&lt;=0,$N237&lt;=0),"",($N237/$B237)^(365/($M237-$A237))-1))))</f>
        <v/>
      </c>
      <c r="P237" s="31" t="str">
        <f>IF($B237="","",IF($P236="",$B237,MAX($P236,$B237)))</f>
        <v/>
      </c>
      <c r="Q237" s="32" t="str">
        <f>IF($P237="","",$B237/$P237-1)</f>
        <v/>
      </c>
    </row>
    <row r="238">
      <c r="A238" s="11" t="n"/>
      <c r="B238" s="29" t="n"/>
      <c r="K238" s="30" t="str">
        <f>IF($A238="","",EDATE($A238,12*$E$4))</f>
        <v/>
      </c>
      <c r="L238" s="19" t="str">
        <f>IF($K238="","",IF($K238&gt;MAX($A$8:$A$5007),"",IFERROR(MATCH($K238,$A$8:$A$5007,1),"")))</f>
        <v/>
      </c>
      <c r="M238" s="30" t="str">
        <f>IF($L238="","",INDEX($A$8:$A$5007,$L238))</f>
        <v/>
      </c>
      <c r="N238" s="31" t="str">
        <f>IF($L238="","",INDEX($B$8:$B$5007,$L238))</f>
        <v/>
      </c>
      <c r="O238" s="32" t="str">
        <f>IF($M238="","",IF($K238-$M238&gt;7,"",IF($M238&lt;=$A238,"",IF(OR($B238&lt;=0,$N238&lt;=0),"",($N238/$B238)^(365/($M238-$A238))-1))))</f>
        <v/>
      </c>
      <c r="P238" s="31" t="str">
        <f>IF($B238="","",IF($P237="",$B238,MAX($P237,$B238)))</f>
        <v/>
      </c>
      <c r="Q238" s="32" t="str">
        <f>IF($P238="","",$B238/$P238-1)</f>
        <v/>
      </c>
    </row>
    <row r="239">
      <c r="A239" s="11" t="n"/>
      <c r="B239" s="29" t="n"/>
      <c r="K239" s="30" t="str">
        <f>IF($A239="","",EDATE($A239,12*$E$4))</f>
        <v/>
      </c>
      <c r="L239" s="19" t="str">
        <f>IF($K239="","",IF($K239&gt;MAX($A$8:$A$5007),"",IFERROR(MATCH($K239,$A$8:$A$5007,1),"")))</f>
        <v/>
      </c>
      <c r="M239" s="30" t="str">
        <f>IF($L239="","",INDEX($A$8:$A$5007,$L239))</f>
        <v/>
      </c>
      <c r="N239" s="31" t="str">
        <f>IF($L239="","",INDEX($B$8:$B$5007,$L239))</f>
        <v/>
      </c>
      <c r="O239" s="32" t="str">
        <f>IF($M239="","",IF($K239-$M239&gt;7,"",IF($M239&lt;=$A239,"",IF(OR($B239&lt;=0,$N239&lt;=0),"",($N239/$B239)^(365/($M239-$A239))-1))))</f>
        <v/>
      </c>
      <c r="P239" s="31" t="str">
        <f>IF($B239="","",IF($P238="",$B239,MAX($P238,$B239)))</f>
        <v/>
      </c>
      <c r="Q239" s="32" t="str">
        <f>IF($P239="","",$B239/$P239-1)</f>
        <v/>
      </c>
    </row>
    <row r="240">
      <c r="A240" s="11" t="n"/>
      <c r="B240" s="29" t="n"/>
      <c r="K240" s="30" t="str">
        <f>IF($A240="","",EDATE($A240,12*$E$4))</f>
        <v/>
      </c>
      <c r="L240" s="19" t="str">
        <f>IF($K240="","",IF($K240&gt;MAX($A$8:$A$5007),"",IFERROR(MATCH($K240,$A$8:$A$5007,1),"")))</f>
        <v/>
      </c>
      <c r="M240" s="30" t="str">
        <f>IF($L240="","",INDEX($A$8:$A$5007,$L240))</f>
        <v/>
      </c>
      <c r="N240" s="31" t="str">
        <f>IF($L240="","",INDEX($B$8:$B$5007,$L240))</f>
        <v/>
      </c>
      <c r="O240" s="32" t="str">
        <f>IF($M240="","",IF($K240-$M240&gt;7,"",IF($M240&lt;=$A240,"",IF(OR($B240&lt;=0,$N240&lt;=0),"",($N240/$B240)^(365/($M240-$A240))-1))))</f>
        <v/>
      </c>
      <c r="P240" s="31" t="str">
        <f>IF($B240="","",IF($P239="",$B240,MAX($P239,$B240)))</f>
        <v/>
      </c>
      <c r="Q240" s="32" t="str">
        <f>IF($P240="","",$B240/$P240-1)</f>
        <v/>
      </c>
    </row>
    <row r="241">
      <c r="A241" s="11" t="n"/>
      <c r="B241" s="29" t="n"/>
      <c r="K241" s="30" t="str">
        <f>IF($A241="","",EDATE($A241,12*$E$4))</f>
        <v/>
      </c>
      <c r="L241" s="19" t="str">
        <f>IF($K241="","",IF($K241&gt;MAX($A$8:$A$5007),"",IFERROR(MATCH($K241,$A$8:$A$5007,1),"")))</f>
        <v/>
      </c>
      <c r="M241" s="30" t="str">
        <f>IF($L241="","",INDEX($A$8:$A$5007,$L241))</f>
        <v/>
      </c>
      <c r="N241" s="31" t="str">
        <f>IF($L241="","",INDEX($B$8:$B$5007,$L241))</f>
        <v/>
      </c>
      <c r="O241" s="32" t="str">
        <f>IF($M241="","",IF($K241-$M241&gt;7,"",IF($M241&lt;=$A241,"",IF(OR($B241&lt;=0,$N241&lt;=0),"",($N241/$B241)^(365/($M241-$A241))-1))))</f>
        <v/>
      </c>
      <c r="P241" s="31" t="str">
        <f>IF($B241="","",IF($P240="",$B241,MAX($P240,$B241)))</f>
        <v/>
      </c>
      <c r="Q241" s="32" t="str">
        <f>IF($P241="","",$B241/$P241-1)</f>
        <v/>
      </c>
    </row>
    <row r="242">
      <c r="A242" s="11" t="n"/>
      <c r="B242" s="29" t="n"/>
      <c r="K242" s="30" t="str">
        <f>IF($A242="","",EDATE($A242,12*$E$4))</f>
        <v/>
      </c>
      <c r="L242" s="19" t="str">
        <f>IF($K242="","",IF($K242&gt;MAX($A$8:$A$5007),"",IFERROR(MATCH($K242,$A$8:$A$5007,1),"")))</f>
        <v/>
      </c>
      <c r="M242" s="30" t="str">
        <f>IF($L242="","",INDEX($A$8:$A$5007,$L242))</f>
        <v/>
      </c>
      <c r="N242" s="31" t="str">
        <f>IF($L242="","",INDEX($B$8:$B$5007,$L242))</f>
        <v/>
      </c>
      <c r="O242" s="32" t="str">
        <f>IF($M242="","",IF($K242-$M242&gt;7,"",IF($M242&lt;=$A242,"",IF(OR($B242&lt;=0,$N242&lt;=0),"",($N242/$B242)^(365/($M242-$A242))-1))))</f>
        <v/>
      </c>
      <c r="P242" s="31" t="str">
        <f>IF($B242="","",IF($P241="",$B242,MAX($P241,$B242)))</f>
        <v/>
      </c>
      <c r="Q242" s="32" t="str">
        <f>IF($P242="","",$B242/$P242-1)</f>
        <v/>
      </c>
    </row>
    <row r="243">
      <c r="A243" s="11" t="n"/>
      <c r="B243" s="29" t="n"/>
      <c r="K243" s="30" t="str">
        <f>IF($A243="","",EDATE($A243,12*$E$4))</f>
        <v/>
      </c>
      <c r="L243" s="19" t="str">
        <f>IF($K243="","",IF($K243&gt;MAX($A$8:$A$5007),"",IFERROR(MATCH($K243,$A$8:$A$5007,1),"")))</f>
        <v/>
      </c>
      <c r="M243" s="30" t="str">
        <f>IF($L243="","",INDEX($A$8:$A$5007,$L243))</f>
        <v/>
      </c>
      <c r="N243" s="31" t="str">
        <f>IF($L243="","",INDEX($B$8:$B$5007,$L243))</f>
        <v/>
      </c>
      <c r="O243" s="32" t="str">
        <f>IF($M243="","",IF($K243-$M243&gt;7,"",IF($M243&lt;=$A243,"",IF(OR($B243&lt;=0,$N243&lt;=0),"",($N243/$B243)^(365/($M243-$A243))-1))))</f>
        <v/>
      </c>
      <c r="P243" s="31" t="str">
        <f>IF($B243="","",IF($P242="",$B243,MAX($P242,$B243)))</f>
        <v/>
      </c>
      <c r="Q243" s="32" t="str">
        <f>IF($P243="","",$B243/$P243-1)</f>
        <v/>
      </c>
    </row>
    <row r="244">
      <c r="A244" s="11" t="n"/>
      <c r="B244" s="29" t="n"/>
      <c r="K244" s="30" t="str">
        <f>IF($A244="","",EDATE($A244,12*$E$4))</f>
        <v/>
      </c>
      <c r="L244" s="19" t="str">
        <f>IF($K244="","",IF($K244&gt;MAX($A$8:$A$5007),"",IFERROR(MATCH($K244,$A$8:$A$5007,1),"")))</f>
        <v/>
      </c>
      <c r="M244" s="30" t="str">
        <f>IF($L244="","",INDEX($A$8:$A$5007,$L244))</f>
        <v/>
      </c>
      <c r="N244" s="31" t="str">
        <f>IF($L244="","",INDEX($B$8:$B$5007,$L244))</f>
        <v/>
      </c>
      <c r="O244" s="32" t="str">
        <f>IF($M244="","",IF($K244-$M244&gt;7,"",IF($M244&lt;=$A244,"",IF(OR($B244&lt;=0,$N244&lt;=0),"",($N244/$B244)^(365/($M244-$A244))-1))))</f>
        <v/>
      </c>
      <c r="P244" s="31" t="str">
        <f>IF($B244="","",IF($P243="",$B244,MAX($P243,$B244)))</f>
        <v/>
      </c>
      <c r="Q244" s="32" t="str">
        <f>IF($P244="","",$B244/$P244-1)</f>
        <v/>
      </c>
    </row>
    <row r="245">
      <c r="A245" s="11" t="n"/>
      <c r="B245" s="29" t="n"/>
      <c r="K245" s="30" t="str">
        <f>IF($A245="","",EDATE($A245,12*$E$4))</f>
        <v/>
      </c>
      <c r="L245" s="19" t="str">
        <f>IF($K245="","",IF($K245&gt;MAX($A$8:$A$5007),"",IFERROR(MATCH($K245,$A$8:$A$5007,1),"")))</f>
        <v/>
      </c>
      <c r="M245" s="30" t="str">
        <f>IF($L245="","",INDEX($A$8:$A$5007,$L245))</f>
        <v/>
      </c>
      <c r="N245" s="31" t="str">
        <f>IF($L245="","",INDEX($B$8:$B$5007,$L245))</f>
        <v/>
      </c>
      <c r="O245" s="32" t="str">
        <f>IF($M245="","",IF($K245-$M245&gt;7,"",IF($M245&lt;=$A245,"",IF(OR($B245&lt;=0,$N245&lt;=0),"",($N245/$B245)^(365/($M245-$A245))-1))))</f>
        <v/>
      </c>
      <c r="P245" s="31" t="str">
        <f>IF($B245="","",IF($P244="",$B245,MAX($P244,$B245)))</f>
        <v/>
      </c>
      <c r="Q245" s="32" t="str">
        <f>IF($P245="","",$B245/$P245-1)</f>
        <v/>
      </c>
    </row>
    <row r="246">
      <c r="A246" s="11" t="n"/>
      <c r="B246" s="29" t="n"/>
      <c r="K246" s="30" t="str">
        <f>IF($A246="","",EDATE($A246,12*$E$4))</f>
        <v/>
      </c>
      <c r="L246" s="19" t="str">
        <f>IF($K246="","",IF($K246&gt;MAX($A$8:$A$5007),"",IFERROR(MATCH($K246,$A$8:$A$5007,1),"")))</f>
        <v/>
      </c>
      <c r="M246" s="30" t="str">
        <f>IF($L246="","",INDEX($A$8:$A$5007,$L246))</f>
        <v/>
      </c>
      <c r="N246" s="31" t="str">
        <f>IF($L246="","",INDEX($B$8:$B$5007,$L246))</f>
        <v/>
      </c>
      <c r="O246" s="32" t="str">
        <f>IF($M246="","",IF($K246-$M246&gt;7,"",IF($M246&lt;=$A246,"",IF(OR($B246&lt;=0,$N246&lt;=0),"",($N246/$B246)^(365/($M246-$A246))-1))))</f>
        <v/>
      </c>
      <c r="P246" s="31" t="str">
        <f>IF($B246="","",IF($P245="",$B246,MAX($P245,$B246)))</f>
        <v/>
      </c>
      <c r="Q246" s="32" t="str">
        <f>IF($P246="","",$B246/$P246-1)</f>
        <v/>
      </c>
    </row>
    <row r="247">
      <c r="A247" s="11" t="n"/>
      <c r="B247" s="29" t="n"/>
      <c r="K247" s="30" t="str">
        <f>IF($A247="","",EDATE($A247,12*$E$4))</f>
        <v/>
      </c>
      <c r="L247" s="19" t="str">
        <f>IF($K247="","",IF($K247&gt;MAX($A$8:$A$5007),"",IFERROR(MATCH($K247,$A$8:$A$5007,1),"")))</f>
        <v/>
      </c>
      <c r="M247" s="30" t="str">
        <f>IF($L247="","",INDEX($A$8:$A$5007,$L247))</f>
        <v/>
      </c>
      <c r="N247" s="31" t="str">
        <f>IF($L247="","",INDEX($B$8:$B$5007,$L247))</f>
        <v/>
      </c>
      <c r="O247" s="32" t="str">
        <f>IF($M247="","",IF($K247-$M247&gt;7,"",IF($M247&lt;=$A247,"",IF(OR($B247&lt;=0,$N247&lt;=0),"",($N247/$B247)^(365/($M247-$A247))-1))))</f>
        <v/>
      </c>
      <c r="P247" s="31" t="str">
        <f>IF($B247="","",IF($P246="",$B247,MAX($P246,$B247)))</f>
        <v/>
      </c>
      <c r="Q247" s="32" t="str">
        <f>IF($P247="","",$B247/$P247-1)</f>
        <v/>
      </c>
    </row>
    <row r="248">
      <c r="A248" s="11" t="n"/>
      <c r="B248" s="29" t="n"/>
      <c r="K248" s="30" t="str">
        <f>IF($A248="","",EDATE($A248,12*$E$4))</f>
        <v/>
      </c>
      <c r="L248" s="19" t="str">
        <f>IF($K248="","",IF($K248&gt;MAX($A$8:$A$5007),"",IFERROR(MATCH($K248,$A$8:$A$5007,1),"")))</f>
        <v/>
      </c>
      <c r="M248" s="30" t="str">
        <f>IF($L248="","",INDEX($A$8:$A$5007,$L248))</f>
        <v/>
      </c>
      <c r="N248" s="31" t="str">
        <f>IF($L248="","",INDEX($B$8:$B$5007,$L248))</f>
        <v/>
      </c>
      <c r="O248" s="32" t="str">
        <f>IF($M248="","",IF($K248-$M248&gt;7,"",IF($M248&lt;=$A248,"",IF(OR($B248&lt;=0,$N248&lt;=0),"",($N248/$B248)^(365/($M248-$A248))-1))))</f>
        <v/>
      </c>
      <c r="P248" s="31" t="str">
        <f>IF($B248="","",IF($P247="",$B248,MAX($P247,$B248)))</f>
        <v/>
      </c>
      <c r="Q248" s="32" t="str">
        <f>IF($P248="","",$B248/$P248-1)</f>
        <v/>
      </c>
    </row>
    <row r="249">
      <c r="A249" s="11" t="n"/>
      <c r="B249" s="29" t="n"/>
      <c r="K249" s="30" t="str">
        <f>IF($A249="","",EDATE($A249,12*$E$4))</f>
        <v/>
      </c>
      <c r="L249" s="19" t="str">
        <f>IF($K249="","",IF($K249&gt;MAX($A$8:$A$5007),"",IFERROR(MATCH($K249,$A$8:$A$5007,1),"")))</f>
        <v/>
      </c>
      <c r="M249" s="30" t="str">
        <f>IF($L249="","",INDEX($A$8:$A$5007,$L249))</f>
        <v/>
      </c>
      <c r="N249" s="31" t="str">
        <f>IF($L249="","",INDEX($B$8:$B$5007,$L249))</f>
        <v/>
      </c>
      <c r="O249" s="32" t="str">
        <f>IF($M249="","",IF($K249-$M249&gt;7,"",IF($M249&lt;=$A249,"",IF(OR($B249&lt;=0,$N249&lt;=0),"",($N249/$B249)^(365/($M249-$A249))-1))))</f>
        <v/>
      </c>
      <c r="P249" s="31" t="str">
        <f>IF($B249="","",IF($P248="",$B249,MAX($P248,$B249)))</f>
        <v/>
      </c>
      <c r="Q249" s="32" t="str">
        <f>IF($P249="","",$B249/$P249-1)</f>
        <v/>
      </c>
    </row>
    <row r="250">
      <c r="A250" s="11" t="n"/>
      <c r="B250" s="29" t="n"/>
      <c r="K250" s="30" t="str">
        <f>IF($A250="","",EDATE($A250,12*$E$4))</f>
        <v/>
      </c>
      <c r="L250" s="19" t="str">
        <f>IF($K250="","",IF($K250&gt;MAX($A$8:$A$5007),"",IFERROR(MATCH($K250,$A$8:$A$5007,1),"")))</f>
        <v/>
      </c>
      <c r="M250" s="30" t="str">
        <f>IF($L250="","",INDEX($A$8:$A$5007,$L250))</f>
        <v/>
      </c>
      <c r="N250" s="31" t="str">
        <f>IF($L250="","",INDEX($B$8:$B$5007,$L250))</f>
        <v/>
      </c>
      <c r="O250" s="32" t="str">
        <f>IF($M250="","",IF($K250-$M250&gt;7,"",IF($M250&lt;=$A250,"",IF(OR($B250&lt;=0,$N250&lt;=0),"",($N250/$B250)^(365/($M250-$A250))-1))))</f>
        <v/>
      </c>
      <c r="P250" s="31" t="str">
        <f>IF($B250="","",IF($P249="",$B250,MAX($P249,$B250)))</f>
        <v/>
      </c>
      <c r="Q250" s="32" t="str">
        <f>IF($P250="","",$B250/$P250-1)</f>
        <v/>
      </c>
    </row>
    <row r="251">
      <c r="A251" s="11" t="n"/>
      <c r="B251" s="29" t="n"/>
      <c r="K251" s="30" t="str">
        <f>IF($A251="","",EDATE($A251,12*$E$4))</f>
        <v/>
      </c>
      <c r="L251" s="19" t="str">
        <f>IF($K251="","",IF($K251&gt;MAX($A$8:$A$5007),"",IFERROR(MATCH($K251,$A$8:$A$5007,1),"")))</f>
        <v/>
      </c>
      <c r="M251" s="30" t="str">
        <f>IF($L251="","",INDEX($A$8:$A$5007,$L251))</f>
        <v/>
      </c>
      <c r="N251" s="31" t="str">
        <f>IF($L251="","",INDEX($B$8:$B$5007,$L251))</f>
        <v/>
      </c>
      <c r="O251" s="32" t="str">
        <f>IF($M251="","",IF($K251-$M251&gt;7,"",IF($M251&lt;=$A251,"",IF(OR($B251&lt;=0,$N251&lt;=0),"",($N251/$B251)^(365/($M251-$A251))-1))))</f>
        <v/>
      </c>
      <c r="P251" s="31" t="str">
        <f>IF($B251="","",IF($P250="",$B251,MAX($P250,$B251)))</f>
        <v/>
      </c>
      <c r="Q251" s="32" t="str">
        <f>IF($P251="","",$B251/$P251-1)</f>
        <v/>
      </c>
    </row>
    <row r="252">
      <c r="A252" s="11" t="n"/>
      <c r="B252" s="29" t="n"/>
      <c r="K252" s="30" t="str">
        <f>IF($A252="","",EDATE($A252,12*$E$4))</f>
        <v/>
      </c>
      <c r="L252" s="19" t="str">
        <f>IF($K252="","",IF($K252&gt;MAX($A$8:$A$5007),"",IFERROR(MATCH($K252,$A$8:$A$5007,1),"")))</f>
        <v/>
      </c>
      <c r="M252" s="30" t="str">
        <f>IF($L252="","",INDEX($A$8:$A$5007,$L252))</f>
        <v/>
      </c>
      <c r="N252" s="31" t="str">
        <f>IF($L252="","",INDEX($B$8:$B$5007,$L252))</f>
        <v/>
      </c>
      <c r="O252" s="32" t="str">
        <f>IF($M252="","",IF($K252-$M252&gt;7,"",IF($M252&lt;=$A252,"",IF(OR($B252&lt;=0,$N252&lt;=0),"",($N252/$B252)^(365/($M252-$A252))-1))))</f>
        <v/>
      </c>
      <c r="P252" s="31" t="str">
        <f>IF($B252="","",IF($P251="",$B252,MAX($P251,$B252)))</f>
        <v/>
      </c>
      <c r="Q252" s="32" t="str">
        <f>IF($P252="","",$B252/$P252-1)</f>
        <v/>
      </c>
    </row>
    <row r="253">
      <c r="A253" s="11" t="n"/>
      <c r="B253" s="29" t="n"/>
      <c r="K253" s="30" t="str">
        <f>IF($A253="","",EDATE($A253,12*$E$4))</f>
        <v/>
      </c>
      <c r="L253" s="19" t="str">
        <f>IF($K253="","",IF($K253&gt;MAX($A$8:$A$5007),"",IFERROR(MATCH($K253,$A$8:$A$5007,1),"")))</f>
        <v/>
      </c>
      <c r="M253" s="30" t="str">
        <f>IF($L253="","",INDEX($A$8:$A$5007,$L253))</f>
        <v/>
      </c>
      <c r="N253" s="31" t="str">
        <f>IF($L253="","",INDEX($B$8:$B$5007,$L253))</f>
        <v/>
      </c>
      <c r="O253" s="32" t="str">
        <f>IF($M253="","",IF($K253-$M253&gt;7,"",IF($M253&lt;=$A253,"",IF(OR($B253&lt;=0,$N253&lt;=0),"",($N253/$B253)^(365/($M253-$A253))-1))))</f>
        <v/>
      </c>
      <c r="P253" s="31" t="str">
        <f>IF($B253="","",IF($P252="",$B253,MAX($P252,$B253)))</f>
        <v/>
      </c>
      <c r="Q253" s="32" t="str">
        <f>IF($P253="","",$B253/$P253-1)</f>
        <v/>
      </c>
    </row>
    <row r="254">
      <c r="A254" s="11" t="n"/>
      <c r="B254" s="29" t="n"/>
      <c r="K254" s="30" t="str">
        <f>IF($A254="","",EDATE($A254,12*$E$4))</f>
        <v/>
      </c>
      <c r="L254" s="19" t="str">
        <f>IF($K254="","",IF($K254&gt;MAX($A$8:$A$5007),"",IFERROR(MATCH($K254,$A$8:$A$5007,1),"")))</f>
        <v/>
      </c>
      <c r="M254" s="30" t="str">
        <f>IF($L254="","",INDEX($A$8:$A$5007,$L254))</f>
        <v/>
      </c>
      <c r="N254" s="31" t="str">
        <f>IF($L254="","",INDEX($B$8:$B$5007,$L254))</f>
        <v/>
      </c>
      <c r="O254" s="32" t="str">
        <f>IF($M254="","",IF($K254-$M254&gt;7,"",IF($M254&lt;=$A254,"",IF(OR($B254&lt;=0,$N254&lt;=0),"",($N254/$B254)^(365/($M254-$A254))-1))))</f>
        <v/>
      </c>
      <c r="P254" s="31" t="str">
        <f>IF($B254="","",IF($P253="",$B254,MAX($P253,$B254)))</f>
        <v/>
      </c>
      <c r="Q254" s="32" t="str">
        <f>IF($P254="","",$B254/$P254-1)</f>
        <v/>
      </c>
    </row>
    <row r="255">
      <c r="A255" s="11" t="n"/>
      <c r="B255" s="29" t="n"/>
      <c r="K255" s="30" t="str">
        <f>IF($A255="","",EDATE($A255,12*$E$4))</f>
        <v/>
      </c>
      <c r="L255" s="19" t="str">
        <f>IF($K255="","",IF($K255&gt;MAX($A$8:$A$5007),"",IFERROR(MATCH($K255,$A$8:$A$5007,1),"")))</f>
        <v/>
      </c>
      <c r="M255" s="30" t="str">
        <f>IF($L255="","",INDEX($A$8:$A$5007,$L255))</f>
        <v/>
      </c>
      <c r="N255" s="31" t="str">
        <f>IF($L255="","",INDEX($B$8:$B$5007,$L255))</f>
        <v/>
      </c>
      <c r="O255" s="32" t="str">
        <f>IF($M255="","",IF($K255-$M255&gt;7,"",IF($M255&lt;=$A255,"",IF(OR($B255&lt;=0,$N255&lt;=0),"",($N255/$B255)^(365/($M255-$A255))-1))))</f>
        <v/>
      </c>
      <c r="P255" s="31" t="str">
        <f>IF($B255="","",IF($P254="",$B255,MAX($P254,$B255)))</f>
        <v/>
      </c>
      <c r="Q255" s="32" t="str">
        <f>IF($P255="","",$B255/$P255-1)</f>
        <v/>
      </c>
    </row>
    <row r="256">
      <c r="A256" s="11" t="n"/>
      <c r="B256" s="29" t="n"/>
      <c r="K256" s="30" t="str">
        <f>IF($A256="","",EDATE($A256,12*$E$4))</f>
        <v/>
      </c>
      <c r="L256" s="19" t="str">
        <f>IF($K256="","",IF($K256&gt;MAX($A$8:$A$5007),"",IFERROR(MATCH($K256,$A$8:$A$5007,1),"")))</f>
        <v/>
      </c>
      <c r="M256" s="30" t="str">
        <f>IF($L256="","",INDEX($A$8:$A$5007,$L256))</f>
        <v/>
      </c>
      <c r="N256" s="31" t="str">
        <f>IF($L256="","",INDEX($B$8:$B$5007,$L256))</f>
        <v/>
      </c>
      <c r="O256" s="32" t="str">
        <f>IF($M256="","",IF($K256-$M256&gt;7,"",IF($M256&lt;=$A256,"",IF(OR($B256&lt;=0,$N256&lt;=0),"",($N256/$B256)^(365/($M256-$A256))-1))))</f>
        <v/>
      </c>
      <c r="P256" s="31" t="str">
        <f>IF($B256="","",IF($P255="",$B256,MAX($P255,$B256)))</f>
        <v/>
      </c>
      <c r="Q256" s="32" t="str">
        <f>IF($P256="","",$B256/$P256-1)</f>
        <v/>
      </c>
    </row>
    <row r="257">
      <c r="A257" s="11" t="n"/>
      <c r="B257" s="29" t="n"/>
      <c r="K257" s="30" t="str">
        <f>IF($A257="","",EDATE($A257,12*$E$4))</f>
        <v/>
      </c>
      <c r="L257" s="19" t="str">
        <f>IF($K257="","",IF($K257&gt;MAX($A$8:$A$5007),"",IFERROR(MATCH($K257,$A$8:$A$5007,1),"")))</f>
        <v/>
      </c>
      <c r="M257" s="30" t="str">
        <f>IF($L257="","",INDEX($A$8:$A$5007,$L257))</f>
        <v/>
      </c>
      <c r="N257" s="31" t="str">
        <f>IF($L257="","",INDEX($B$8:$B$5007,$L257))</f>
        <v/>
      </c>
      <c r="O257" s="32" t="str">
        <f>IF($M257="","",IF($K257-$M257&gt;7,"",IF($M257&lt;=$A257,"",IF(OR($B257&lt;=0,$N257&lt;=0),"",($N257/$B257)^(365/($M257-$A257))-1))))</f>
        <v/>
      </c>
      <c r="P257" s="31" t="str">
        <f>IF($B257="","",IF($P256="",$B257,MAX($P256,$B257)))</f>
        <v/>
      </c>
      <c r="Q257" s="32" t="str">
        <f>IF($P257="","",$B257/$P257-1)</f>
        <v/>
      </c>
    </row>
    <row r="258">
      <c r="A258" s="11" t="n"/>
      <c r="B258" s="29" t="n"/>
      <c r="K258" s="30" t="str">
        <f>IF($A258="","",EDATE($A258,12*$E$4))</f>
        <v/>
      </c>
      <c r="L258" s="19" t="str">
        <f>IF($K258="","",IF($K258&gt;MAX($A$8:$A$5007),"",IFERROR(MATCH($K258,$A$8:$A$5007,1),"")))</f>
        <v/>
      </c>
      <c r="M258" s="30" t="str">
        <f>IF($L258="","",INDEX($A$8:$A$5007,$L258))</f>
        <v/>
      </c>
      <c r="N258" s="31" t="str">
        <f>IF($L258="","",INDEX($B$8:$B$5007,$L258))</f>
        <v/>
      </c>
      <c r="O258" s="32" t="str">
        <f>IF($M258="","",IF($K258-$M258&gt;7,"",IF($M258&lt;=$A258,"",IF(OR($B258&lt;=0,$N258&lt;=0),"",($N258/$B258)^(365/($M258-$A258))-1))))</f>
        <v/>
      </c>
      <c r="P258" s="31" t="str">
        <f>IF($B258="","",IF($P257="",$B258,MAX($P257,$B258)))</f>
        <v/>
      </c>
      <c r="Q258" s="32" t="str">
        <f>IF($P258="","",$B258/$P258-1)</f>
        <v/>
      </c>
    </row>
    <row r="259">
      <c r="A259" s="11" t="n"/>
      <c r="B259" s="29" t="n"/>
      <c r="K259" s="30" t="str">
        <f>IF($A259="","",EDATE($A259,12*$E$4))</f>
        <v/>
      </c>
      <c r="L259" s="19" t="str">
        <f>IF($K259="","",IF($K259&gt;MAX($A$8:$A$5007),"",IFERROR(MATCH($K259,$A$8:$A$5007,1),"")))</f>
        <v/>
      </c>
      <c r="M259" s="30" t="str">
        <f>IF($L259="","",INDEX($A$8:$A$5007,$L259))</f>
        <v/>
      </c>
      <c r="N259" s="31" t="str">
        <f>IF($L259="","",INDEX($B$8:$B$5007,$L259))</f>
        <v/>
      </c>
      <c r="O259" s="32" t="str">
        <f>IF($M259="","",IF($K259-$M259&gt;7,"",IF($M259&lt;=$A259,"",IF(OR($B259&lt;=0,$N259&lt;=0),"",($N259/$B259)^(365/($M259-$A259))-1))))</f>
        <v/>
      </c>
      <c r="P259" s="31" t="str">
        <f>IF($B259="","",IF($P258="",$B259,MAX($P258,$B259)))</f>
        <v/>
      </c>
      <c r="Q259" s="32" t="str">
        <f>IF($P259="","",$B259/$P259-1)</f>
        <v/>
      </c>
    </row>
    <row r="260">
      <c r="A260" s="11" t="n"/>
      <c r="B260" s="29" t="n"/>
      <c r="K260" s="30" t="str">
        <f>IF($A260="","",EDATE($A260,12*$E$4))</f>
        <v/>
      </c>
      <c r="L260" s="19" t="str">
        <f>IF($K260="","",IF($K260&gt;MAX($A$8:$A$5007),"",IFERROR(MATCH($K260,$A$8:$A$5007,1),"")))</f>
        <v/>
      </c>
      <c r="M260" s="30" t="str">
        <f>IF($L260="","",INDEX($A$8:$A$5007,$L260))</f>
        <v/>
      </c>
      <c r="N260" s="31" t="str">
        <f>IF($L260="","",INDEX($B$8:$B$5007,$L260))</f>
        <v/>
      </c>
      <c r="O260" s="32" t="str">
        <f>IF($M260="","",IF($K260-$M260&gt;7,"",IF($M260&lt;=$A260,"",IF(OR($B260&lt;=0,$N260&lt;=0),"",($N260/$B260)^(365/($M260-$A260))-1))))</f>
        <v/>
      </c>
      <c r="P260" s="31" t="str">
        <f>IF($B260="","",IF($P259="",$B260,MAX($P259,$B260)))</f>
        <v/>
      </c>
      <c r="Q260" s="32" t="str">
        <f>IF($P260="","",$B260/$P260-1)</f>
        <v/>
      </c>
    </row>
    <row r="261">
      <c r="A261" s="11" t="n"/>
      <c r="B261" s="29" t="n"/>
      <c r="K261" s="30" t="str">
        <f>IF($A261="","",EDATE($A261,12*$E$4))</f>
        <v/>
      </c>
      <c r="L261" s="19" t="str">
        <f>IF($K261="","",IF($K261&gt;MAX($A$8:$A$5007),"",IFERROR(MATCH($K261,$A$8:$A$5007,1),"")))</f>
        <v/>
      </c>
      <c r="M261" s="30" t="str">
        <f>IF($L261="","",INDEX($A$8:$A$5007,$L261))</f>
        <v/>
      </c>
      <c r="N261" s="31" t="str">
        <f>IF($L261="","",INDEX($B$8:$B$5007,$L261))</f>
        <v/>
      </c>
      <c r="O261" s="32" t="str">
        <f>IF($M261="","",IF($K261-$M261&gt;7,"",IF($M261&lt;=$A261,"",IF(OR($B261&lt;=0,$N261&lt;=0),"",($N261/$B261)^(365/($M261-$A261))-1))))</f>
        <v/>
      </c>
      <c r="P261" s="31" t="str">
        <f>IF($B261="","",IF($P260="",$B261,MAX($P260,$B261)))</f>
        <v/>
      </c>
      <c r="Q261" s="32" t="str">
        <f>IF($P261="","",$B261/$P261-1)</f>
        <v/>
      </c>
    </row>
    <row r="262">
      <c r="A262" s="11" t="n"/>
      <c r="B262" s="29" t="n"/>
      <c r="K262" s="30" t="str">
        <f>IF($A262="","",EDATE($A262,12*$E$4))</f>
        <v/>
      </c>
      <c r="L262" s="19" t="str">
        <f>IF($K262="","",IF($K262&gt;MAX($A$8:$A$5007),"",IFERROR(MATCH($K262,$A$8:$A$5007,1),"")))</f>
        <v/>
      </c>
      <c r="M262" s="30" t="str">
        <f>IF($L262="","",INDEX($A$8:$A$5007,$L262))</f>
        <v/>
      </c>
      <c r="N262" s="31" t="str">
        <f>IF($L262="","",INDEX($B$8:$B$5007,$L262))</f>
        <v/>
      </c>
      <c r="O262" s="32" t="str">
        <f>IF($M262="","",IF($K262-$M262&gt;7,"",IF($M262&lt;=$A262,"",IF(OR($B262&lt;=0,$N262&lt;=0),"",($N262/$B262)^(365/($M262-$A262))-1))))</f>
        <v/>
      </c>
      <c r="P262" s="31" t="str">
        <f>IF($B262="","",IF($P261="",$B262,MAX($P261,$B262)))</f>
        <v/>
      </c>
      <c r="Q262" s="32" t="str">
        <f>IF($P262="","",$B262/$P262-1)</f>
        <v/>
      </c>
    </row>
    <row r="263">
      <c r="A263" s="11" t="n"/>
      <c r="B263" s="29" t="n"/>
      <c r="K263" s="30" t="str">
        <f>IF($A263="","",EDATE($A263,12*$E$4))</f>
        <v/>
      </c>
      <c r="L263" s="19" t="str">
        <f>IF($K263="","",IF($K263&gt;MAX($A$8:$A$5007),"",IFERROR(MATCH($K263,$A$8:$A$5007,1),"")))</f>
        <v/>
      </c>
      <c r="M263" s="30" t="str">
        <f>IF($L263="","",INDEX($A$8:$A$5007,$L263))</f>
        <v/>
      </c>
      <c r="N263" s="31" t="str">
        <f>IF($L263="","",INDEX($B$8:$B$5007,$L263))</f>
        <v/>
      </c>
      <c r="O263" s="32" t="str">
        <f>IF($M263="","",IF($K263-$M263&gt;7,"",IF($M263&lt;=$A263,"",IF(OR($B263&lt;=0,$N263&lt;=0),"",($N263/$B263)^(365/($M263-$A263))-1))))</f>
        <v/>
      </c>
      <c r="P263" s="31" t="str">
        <f>IF($B263="","",IF($P262="",$B263,MAX($P262,$B263)))</f>
        <v/>
      </c>
      <c r="Q263" s="32" t="str">
        <f>IF($P263="","",$B263/$P263-1)</f>
        <v/>
      </c>
    </row>
    <row r="264">
      <c r="A264" s="11" t="n"/>
      <c r="B264" s="29" t="n"/>
      <c r="K264" s="30" t="str">
        <f>IF($A264="","",EDATE($A264,12*$E$4))</f>
        <v/>
      </c>
      <c r="L264" s="19" t="str">
        <f>IF($K264="","",IF($K264&gt;MAX($A$8:$A$5007),"",IFERROR(MATCH($K264,$A$8:$A$5007,1),"")))</f>
        <v/>
      </c>
      <c r="M264" s="30" t="str">
        <f>IF($L264="","",INDEX($A$8:$A$5007,$L264))</f>
        <v/>
      </c>
      <c r="N264" s="31" t="str">
        <f>IF($L264="","",INDEX($B$8:$B$5007,$L264))</f>
        <v/>
      </c>
      <c r="O264" s="32" t="str">
        <f>IF($M264="","",IF($K264-$M264&gt;7,"",IF($M264&lt;=$A264,"",IF(OR($B264&lt;=0,$N264&lt;=0),"",($N264/$B264)^(365/($M264-$A264))-1))))</f>
        <v/>
      </c>
      <c r="P264" s="31" t="str">
        <f>IF($B264="","",IF($P263="",$B264,MAX($P263,$B264)))</f>
        <v/>
      </c>
      <c r="Q264" s="32" t="str">
        <f>IF($P264="","",$B264/$P264-1)</f>
        <v/>
      </c>
    </row>
    <row r="265">
      <c r="A265" s="11" t="n"/>
      <c r="B265" s="29" t="n"/>
      <c r="K265" s="30" t="str">
        <f>IF($A265="","",EDATE($A265,12*$E$4))</f>
        <v/>
      </c>
      <c r="L265" s="19" t="str">
        <f>IF($K265="","",IF($K265&gt;MAX($A$8:$A$5007),"",IFERROR(MATCH($K265,$A$8:$A$5007,1),"")))</f>
        <v/>
      </c>
      <c r="M265" s="30" t="str">
        <f>IF($L265="","",INDEX($A$8:$A$5007,$L265))</f>
        <v/>
      </c>
      <c r="N265" s="31" t="str">
        <f>IF($L265="","",INDEX($B$8:$B$5007,$L265))</f>
        <v/>
      </c>
      <c r="O265" s="32" t="str">
        <f>IF($M265="","",IF($K265-$M265&gt;7,"",IF($M265&lt;=$A265,"",IF(OR($B265&lt;=0,$N265&lt;=0),"",($N265/$B265)^(365/($M265-$A265))-1))))</f>
        <v/>
      </c>
      <c r="P265" s="31" t="str">
        <f>IF($B265="","",IF($P264="",$B265,MAX($P264,$B265)))</f>
        <v/>
      </c>
      <c r="Q265" s="32" t="str">
        <f>IF($P265="","",$B265/$P265-1)</f>
        <v/>
      </c>
    </row>
    <row r="266">
      <c r="A266" s="11" t="n"/>
      <c r="B266" s="29" t="n"/>
      <c r="K266" s="30" t="str">
        <f>IF($A266="","",EDATE($A266,12*$E$4))</f>
        <v/>
      </c>
      <c r="L266" s="19" t="str">
        <f>IF($K266="","",IF($K266&gt;MAX($A$8:$A$5007),"",IFERROR(MATCH($K266,$A$8:$A$5007,1),"")))</f>
        <v/>
      </c>
      <c r="M266" s="30" t="str">
        <f>IF($L266="","",INDEX($A$8:$A$5007,$L266))</f>
        <v/>
      </c>
      <c r="N266" s="31" t="str">
        <f>IF($L266="","",INDEX($B$8:$B$5007,$L266))</f>
        <v/>
      </c>
      <c r="O266" s="32" t="str">
        <f>IF($M266="","",IF($K266-$M266&gt;7,"",IF($M266&lt;=$A266,"",IF(OR($B266&lt;=0,$N266&lt;=0),"",($N266/$B266)^(365/($M266-$A266))-1))))</f>
        <v/>
      </c>
      <c r="P266" s="31" t="str">
        <f>IF($B266="","",IF($P265="",$B266,MAX($P265,$B266)))</f>
        <v/>
      </c>
      <c r="Q266" s="32" t="str">
        <f>IF($P266="","",$B266/$P266-1)</f>
        <v/>
      </c>
    </row>
    <row r="267">
      <c r="A267" s="11" t="n"/>
      <c r="B267" s="29" t="n"/>
      <c r="K267" s="30" t="str">
        <f>IF($A267="","",EDATE($A267,12*$E$4))</f>
        <v/>
      </c>
      <c r="L267" s="19" t="str">
        <f>IF($K267="","",IF($K267&gt;MAX($A$8:$A$5007),"",IFERROR(MATCH($K267,$A$8:$A$5007,1),"")))</f>
        <v/>
      </c>
      <c r="M267" s="30" t="str">
        <f>IF($L267="","",INDEX($A$8:$A$5007,$L267))</f>
        <v/>
      </c>
      <c r="N267" s="31" t="str">
        <f>IF($L267="","",INDEX($B$8:$B$5007,$L267))</f>
        <v/>
      </c>
      <c r="O267" s="32" t="str">
        <f>IF($M267="","",IF($K267-$M267&gt;7,"",IF($M267&lt;=$A267,"",IF(OR($B267&lt;=0,$N267&lt;=0),"",($N267/$B267)^(365/($M267-$A267))-1))))</f>
        <v/>
      </c>
      <c r="P267" s="31" t="str">
        <f>IF($B267="","",IF($P266="",$B267,MAX($P266,$B267)))</f>
        <v/>
      </c>
      <c r="Q267" s="32" t="str">
        <f>IF($P267="","",$B267/$P267-1)</f>
        <v/>
      </c>
    </row>
    <row r="268">
      <c r="A268" s="11" t="n"/>
      <c r="B268" s="29" t="n"/>
      <c r="K268" s="30" t="str">
        <f>IF($A268="","",EDATE($A268,12*$E$4))</f>
        <v/>
      </c>
      <c r="L268" s="19" t="str">
        <f>IF($K268="","",IF($K268&gt;MAX($A$8:$A$5007),"",IFERROR(MATCH($K268,$A$8:$A$5007,1),"")))</f>
        <v/>
      </c>
      <c r="M268" s="30" t="str">
        <f>IF($L268="","",INDEX($A$8:$A$5007,$L268))</f>
        <v/>
      </c>
      <c r="N268" s="31" t="str">
        <f>IF($L268="","",INDEX($B$8:$B$5007,$L268))</f>
        <v/>
      </c>
      <c r="O268" s="32" t="str">
        <f>IF($M268="","",IF($K268-$M268&gt;7,"",IF($M268&lt;=$A268,"",IF(OR($B268&lt;=0,$N268&lt;=0),"",($N268/$B268)^(365/($M268-$A268))-1))))</f>
        <v/>
      </c>
      <c r="P268" s="31" t="str">
        <f>IF($B268="","",IF($P267="",$B268,MAX($P267,$B268)))</f>
        <v/>
      </c>
      <c r="Q268" s="32" t="str">
        <f>IF($P268="","",$B268/$P268-1)</f>
        <v/>
      </c>
    </row>
    <row r="269">
      <c r="A269" s="11" t="n"/>
      <c r="B269" s="29" t="n"/>
      <c r="K269" s="30" t="str">
        <f>IF($A269="","",EDATE($A269,12*$E$4))</f>
        <v/>
      </c>
      <c r="L269" s="19" t="str">
        <f>IF($K269="","",IF($K269&gt;MAX($A$8:$A$5007),"",IFERROR(MATCH($K269,$A$8:$A$5007,1),"")))</f>
        <v/>
      </c>
      <c r="M269" s="30" t="str">
        <f>IF($L269="","",INDEX($A$8:$A$5007,$L269))</f>
        <v/>
      </c>
      <c r="N269" s="31" t="str">
        <f>IF($L269="","",INDEX($B$8:$B$5007,$L269))</f>
        <v/>
      </c>
      <c r="O269" s="32" t="str">
        <f>IF($M269="","",IF($K269-$M269&gt;7,"",IF($M269&lt;=$A269,"",IF(OR($B269&lt;=0,$N269&lt;=0),"",($N269/$B269)^(365/($M269-$A269))-1))))</f>
        <v/>
      </c>
      <c r="P269" s="31" t="str">
        <f>IF($B269="","",IF($P268="",$B269,MAX($P268,$B269)))</f>
        <v/>
      </c>
      <c r="Q269" s="32" t="str">
        <f>IF($P269="","",$B269/$P269-1)</f>
        <v/>
      </c>
    </row>
    <row r="270">
      <c r="A270" s="11" t="n"/>
      <c r="B270" s="29" t="n"/>
      <c r="K270" s="30" t="str">
        <f>IF($A270="","",EDATE($A270,12*$E$4))</f>
        <v/>
      </c>
      <c r="L270" s="19" t="str">
        <f>IF($K270="","",IF($K270&gt;MAX($A$8:$A$5007),"",IFERROR(MATCH($K270,$A$8:$A$5007,1),"")))</f>
        <v/>
      </c>
      <c r="M270" s="30" t="str">
        <f>IF($L270="","",INDEX($A$8:$A$5007,$L270))</f>
        <v/>
      </c>
      <c r="N270" s="31" t="str">
        <f>IF($L270="","",INDEX($B$8:$B$5007,$L270))</f>
        <v/>
      </c>
      <c r="O270" s="32" t="str">
        <f>IF($M270="","",IF($K270-$M270&gt;7,"",IF($M270&lt;=$A270,"",IF(OR($B270&lt;=0,$N270&lt;=0),"",($N270/$B270)^(365/($M270-$A270))-1))))</f>
        <v/>
      </c>
      <c r="P270" s="31" t="str">
        <f>IF($B270="","",IF($P269="",$B270,MAX($P269,$B270)))</f>
        <v/>
      </c>
      <c r="Q270" s="32" t="str">
        <f>IF($P270="","",$B270/$P270-1)</f>
        <v/>
      </c>
    </row>
    <row r="271">
      <c r="A271" s="11" t="n"/>
      <c r="B271" s="29" t="n"/>
      <c r="K271" s="30" t="str">
        <f>IF($A271="","",EDATE($A271,12*$E$4))</f>
        <v/>
      </c>
      <c r="L271" s="19" t="str">
        <f>IF($K271="","",IF($K271&gt;MAX($A$8:$A$5007),"",IFERROR(MATCH($K271,$A$8:$A$5007,1),"")))</f>
        <v/>
      </c>
      <c r="M271" s="30" t="str">
        <f>IF($L271="","",INDEX($A$8:$A$5007,$L271))</f>
        <v/>
      </c>
      <c r="N271" s="31" t="str">
        <f>IF($L271="","",INDEX($B$8:$B$5007,$L271))</f>
        <v/>
      </c>
      <c r="O271" s="32" t="str">
        <f>IF($M271="","",IF($K271-$M271&gt;7,"",IF($M271&lt;=$A271,"",IF(OR($B271&lt;=0,$N271&lt;=0),"",($N271/$B271)^(365/($M271-$A271))-1))))</f>
        <v/>
      </c>
      <c r="P271" s="31" t="str">
        <f>IF($B271="","",IF($P270="",$B271,MAX($P270,$B271)))</f>
        <v/>
      </c>
      <c r="Q271" s="32" t="str">
        <f>IF($P271="","",$B271/$P271-1)</f>
        <v/>
      </c>
    </row>
    <row r="272">
      <c r="A272" s="11" t="n"/>
      <c r="B272" s="29" t="n"/>
      <c r="K272" s="30" t="str">
        <f>IF($A272="","",EDATE($A272,12*$E$4))</f>
        <v/>
      </c>
      <c r="L272" s="19" t="str">
        <f>IF($K272="","",IF($K272&gt;MAX($A$8:$A$5007),"",IFERROR(MATCH($K272,$A$8:$A$5007,1),"")))</f>
        <v/>
      </c>
      <c r="M272" s="30" t="str">
        <f>IF($L272="","",INDEX($A$8:$A$5007,$L272))</f>
        <v/>
      </c>
      <c r="N272" s="31" t="str">
        <f>IF($L272="","",INDEX($B$8:$B$5007,$L272))</f>
        <v/>
      </c>
      <c r="O272" s="32" t="str">
        <f>IF($M272="","",IF($K272-$M272&gt;7,"",IF($M272&lt;=$A272,"",IF(OR($B272&lt;=0,$N272&lt;=0),"",($N272/$B272)^(365/($M272-$A272))-1))))</f>
        <v/>
      </c>
      <c r="P272" s="31" t="str">
        <f>IF($B272="","",IF($P271="",$B272,MAX($P271,$B272)))</f>
        <v/>
      </c>
      <c r="Q272" s="32" t="str">
        <f>IF($P272="","",$B272/$P272-1)</f>
        <v/>
      </c>
    </row>
    <row r="273">
      <c r="A273" s="11" t="n"/>
      <c r="B273" s="29" t="n"/>
      <c r="K273" s="30" t="str">
        <f>IF($A273="","",EDATE($A273,12*$E$4))</f>
        <v/>
      </c>
      <c r="L273" s="19" t="str">
        <f>IF($K273="","",IF($K273&gt;MAX($A$8:$A$5007),"",IFERROR(MATCH($K273,$A$8:$A$5007,1),"")))</f>
        <v/>
      </c>
      <c r="M273" s="30" t="str">
        <f>IF($L273="","",INDEX($A$8:$A$5007,$L273))</f>
        <v/>
      </c>
      <c r="N273" s="31" t="str">
        <f>IF($L273="","",INDEX($B$8:$B$5007,$L273))</f>
        <v/>
      </c>
      <c r="O273" s="32" t="str">
        <f>IF($M273="","",IF($K273-$M273&gt;7,"",IF($M273&lt;=$A273,"",IF(OR($B273&lt;=0,$N273&lt;=0),"",($N273/$B273)^(365/($M273-$A273))-1))))</f>
        <v/>
      </c>
      <c r="P273" s="31" t="str">
        <f>IF($B273="","",IF($P272="",$B273,MAX($P272,$B273)))</f>
        <v/>
      </c>
      <c r="Q273" s="32" t="str">
        <f>IF($P273="","",$B273/$P273-1)</f>
        <v/>
      </c>
    </row>
    <row r="274">
      <c r="A274" s="11" t="n"/>
      <c r="B274" s="29" t="n"/>
      <c r="K274" s="30" t="str">
        <f>IF($A274="","",EDATE($A274,12*$E$4))</f>
        <v/>
      </c>
      <c r="L274" s="19" t="str">
        <f>IF($K274="","",IF($K274&gt;MAX($A$8:$A$5007),"",IFERROR(MATCH($K274,$A$8:$A$5007,1),"")))</f>
        <v/>
      </c>
      <c r="M274" s="30" t="str">
        <f>IF($L274="","",INDEX($A$8:$A$5007,$L274))</f>
        <v/>
      </c>
      <c r="N274" s="31" t="str">
        <f>IF($L274="","",INDEX($B$8:$B$5007,$L274))</f>
        <v/>
      </c>
      <c r="O274" s="32" t="str">
        <f>IF($M274="","",IF($K274-$M274&gt;7,"",IF($M274&lt;=$A274,"",IF(OR($B274&lt;=0,$N274&lt;=0),"",($N274/$B274)^(365/($M274-$A274))-1))))</f>
        <v/>
      </c>
      <c r="P274" s="31" t="str">
        <f>IF($B274="","",IF($P273="",$B274,MAX($P273,$B274)))</f>
        <v/>
      </c>
      <c r="Q274" s="32" t="str">
        <f>IF($P274="","",$B274/$P274-1)</f>
        <v/>
      </c>
    </row>
    <row r="275">
      <c r="A275" s="11" t="n"/>
      <c r="B275" s="29" t="n"/>
      <c r="K275" s="30" t="str">
        <f>IF($A275="","",EDATE($A275,12*$E$4))</f>
        <v/>
      </c>
      <c r="L275" s="19" t="str">
        <f>IF($K275="","",IF($K275&gt;MAX($A$8:$A$5007),"",IFERROR(MATCH($K275,$A$8:$A$5007,1),"")))</f>
        <v/>
      </c>
      <c r="M275" s="30" t="str">
        <f>IF($L275="","",INDEX($A$8:$A$5007,$L275))</f>
        <v/>
      </c>
      <c r="N275" s="31" t="str">
        <f>IF($L275="","",INDEX($B$8:$B$5007,$L275))</f>
        <v/>
      </c>
      <c r="O275" s="32" t="str">
        <f>IF($M275="","",IF($K275-$M275&gt;7,"",IF($M275&lt;=$A275,"",IF(OR($B275&lt;=0,$N275&lt;=0),"",($N275/$B275)^(365/($M275-$A275))-1))))</f>
        <v/>
      </c>
      <c r="P275" s="31" t="str">
        <f>IF($B275="","",IF($P274="",$B275,MAX($P274,$B275)))</f>
        <v/>
      </c>
      <c r="Q275" s="32" t="str">
        <f>IF($P275="","",$B275/$P275-1)</f>
        <v/>
      </c>
    </row>
    <row r="276">
      <c r="A276" s="11" t="n"/>
      <c r="B276" s="29" t="n"/>
      <c r="K276" s="30" t="str">
        <f>IF($A276="","",EDATE($A276,12*$E$4))</f>
        <v/>
      </c>
      <c r="L276" s="19" t="str">
        <f>IF($K276="","",IF($K276&gt;MAX($A$8:$A$5007),"",IFERROR(MATCH($K276,$A$8:$A$5007,1),"")))</f>
        <v/>
      </c>
      <c r="M276" s="30" t="str">
        <f>IF($L276="","",INDEX($A$8:$A$5007,$L276))</f>
        <v/>
      </c>
      <c r="N276" s="31" t="str">
        <f>IF($L276="","",INDEX($B$8:$B$5007,$L276))</f>
        <v/>
      </c>
      <c r="O276" s="32" t="str">
        <f>IF($M276="","",IF($K276-$M276&gt;7,"",IF($M276&lt;=$A276,"",IF(OR($B276&lt;=0,$N276&lt;=0),"",($N276/$B276)^(365/($M276-$A276))-1))))</f>
        <v/>
      </c>
      <c r="P276" s="31" t="str">
        <f>IF($B276="","",IF($P275="",$B276,MAX($P275,$B276)))</f>
        <v/>
      </c>
      <c r="Q276" s="32" t="str">
        <f>IF($P276="","",$B276/$P276-1)</f>
        <v/>
      </c>
    </row>
    <row r="277">
      <c r="A277" s="11" t="n"/>
      <c r="B277" s="29" t="n"/>
      <c r="K277" s="30" t="str">
        <f>IF($A277="","",EDATE($A277,12*$E$4))</f>
        <v/>
      </c>
      <c r="L277" s="19" t="str">
        <f>IF($K277="","",IF($K277&gt;MAX($A$8:$A$5007),"",IFERROR(MATCH($K277,$A$8:$A$5007,1),"")))</f>
        <v/>
      </c>
      <c r="M277" s="30" t="str">
        <f>IF($L277="","",INDEX($A$8:$A$5007,$L277))</f>
        <v/>
      </c>
      <c r="N277" s="31" t="str">
        <f>IF($L277="","",INDEX($B$8:$B$5007,$L277))</f>
        <v/>
      </c>
      <c r="O277" s="32" t="str">
        <f>IF($M277="","",IF($K277-$M277&gt;7,"",IF($M277&lt;=$A277,"",IF(OR($B277&lt;=0,$N277&lt;=0),"",($N277/$B277)^(365/($M277-$A277))-1))))</f>
        <v/>
      </c>
      <c r="P277" s="31" t="str">
        <f>IF($B277="","",IF($P276="",$B277,MAX($P276,$B277)))</f>
        <v/>
      </c>
      <c r="Q277" s="32" t="str">
        <f>IF($P277="","",$B277/$P277-1)</f>
        <v/>
      </c>
    </row>
    <row r="278">
      <c r="A278" s="11" t="n"/>
      <c r="B278" s="29" t="n"/>
      <c r="K278" s="30" t="str">
        <f>IF($A278="","",EDATE($A278,12*$E$4))</f>
        <v/>
      </c>
      <c r="L278" s="19" t="str">
        <f>IF($K278="","",IF($K278&gt;MAX($A$8:$A$5007),"",IFERROR(MATCH($K278,$A$8:$A$5007,1),"")))</f>
        <v/>
      </c>
      <c r="M278" s="30" t="str">
        <f>IF($L278="","",INDEX($A$8:$A$5007,$L278))</f>
        <v/>
      </c>
      <c r="N278" s="31" t="str">
        <f>IF($L278="","",INDEX($B$8:$B$5007,$L278))</f>
        <v/>
      </c>
      <c r="O278" s="32" t="str">
        <f>IF($M278="","",IF($K278-$M278&gt;7,"",IF($M278&lt;=$A278,"",IF(OR($B278&lt;=0,$N278&lt;=0),"",($N278/$B278)^(365/($M278-$A278))-1))))</f>
        <v/>
      </c>
      <c r="P278" s="31" t="str">
        <f>IF($B278="","",IF($P277="",$B278,MAX($P277,$B278)))</f>
        <v/>
      </c>
      <c r="Q278" s="32" t="str">
        <f>IF($P278="","",$B278/$P278-1)</f>
        <v/>
      </c>
    </row>
    <row r="279">
      <c r="A279" s="11" t="n"/>
      <c r="B279" s="29" t="n"/>
      <c r="K279" s="30" t="str">
        <f>IF($A279="","",EDATE($A279,12*$E$4))</f>
        <v/>
      </c>
      <c r="L279" s="19" t="str">
        <f>IF($K279="","",IF($K279&gt;MAX($A$8:$A$5007),"",IFERROR(MATCH($K279,$A$8:$A$5007,1),"")))</f>
        <v/>
      </c>
      <c r="M279" s="30" t="str">
        <f>IF($L279="","",INDEX($A$8:$A$5007,$L279))</f>
        <v/>
      </c>
      <c r="N279" s="31" t="str">
        <f>IF($L279="","",INDEX($B$8:$B$5007,$L279))</f>
        <v/>
      </c>
      <c r="O279" s="32" t="str">
        <f>IF($M279="","",IF($K279-$M279&gt;7,"",IF($M279&lt;=$A279,"",IF(OR($B279&lt;=0,$N279&lt;=0),"",($N279/$B279)^(365/($M279-$A279))-1))))</f>
        <v/>
      </c>
      <c r="P279" s="31" t="str">
        <f>IF($B279="","",IF($P278="",$B279,MAX($P278,$B279)))</f>
        <v/>
      </c>
      <c r="Q279" s="32" t="str">
        <f>IF($P279="","",$B279/$P279-1)</f>
        <v/>
      </c>
    </row>
    <row r="280">
      <c r="A280" s="11" t="n"/>
      <c r="B280" s="29" t="n"/>
      <c r="K280" s="30" t="str">
        <f>IF($A280="","",EDATE($A280,12*$E$4))</f>
        <v/>
      </c>
      <c r="L280" s="19" t="str">
        <f>IF($K280="","",IF($K280&gt;MAX($A$8:$A$5007),"",IFERROR(MATCH($K280,$A$8:$A$5007,1),"")))</f>
        <v/>
      </c>
      <c r="M280" s="30" t="str">
        <f>IF($L280="","",INDEX($A$8:$A$5007,$L280))</f>
        <v/>
      </c>
      <c r="N280" s="31" t="str">
        <f>IF($L280="","",INDEX($B$8:$B$5007,$L280))</f>
        <v/>
      </c>
      <c r="O280" s="32" t="str">
        <f>IF($M280="","",IF($K280-$M280&gt;7,"",IF($M280&lt;=$A280,"",IF(OR($B280&lt;=0,$N280&lt;=0),"",($N280/$B280)^(365/($M280-$A280))-1))))</f>
        <v/>
      </c>
      <c r="P280" s="31" t="str">
        <f>IF($B280="","",IF($P279="",$B280,MAX($P279,$B280)))</f>
        <v/>
      </c>
      <c r="Q280" s="32" t="str">
        <f>IF($P280="","",$B280/$P280-1)</f>
        <v/>
      </c>
    </row>
    <row r="281">
      <c r="A281" s="11" t="n"/>
      <c r="B281" s="29" t="n"/>
      <c r="K281" s="30" t="str">
        <f>IF($A281="","",EDATE($A281,12*$E$4))</f>
        <v/>
      </c>
      <c r="L281" s="19" t="str">
        <f>IF($K281="","",IF($K281&gt;MAX($A$8:$A$5007),"",IFERROR(MATCH($K281,$A$8:$A$5007,1),"")))</f>
        <v/>
      </c>
      <c r="M281" s="30" t="str">
        <f>IF($L281="","",INDEX($A$8:$A$5007,$L281))</f>
        <v/>
      </c>
      <c r="N281" s="31" t="str">
        <f>IF($L281="","",INDEX($B$8:$B$5007,$L281))</f>
        <v/>
      </c>
      <c r="O281" s="32" t="str">
        <f>IF($M281="","",IF($K281-$M281&gt;7,"",IF($M281&lt;=$A281,"",IF(OR($B281&lt;=0,$N281&lt;=0),"",($N281/$B281)^(365/($M281-$A281))-1))))</f>
        <v/>
      </c>
      <c r="P281" s="31" t="str">
        <f>IF($B281="","",IF($P280="",$B281,MAX($P280,$B281)))</f>
        <v/>
      </c>
      <c r="Q281" s="32" t="str">
        <f>IF($P281="","",$B281/$P281-1)</f>
        <v/>
      </c>
    </row>
    <row r="282">
      <c r="A282" s="11" t="n"/>
      <c r="B282" s="29" t="n"/>
      <c r="K282" s="30" t="str">
        <f>IF($A282="","",EDATE($A282,12*$E$4))</f>
        <v/>
      </c>
      <c r="L282" s="19" t="str">
        <f>IF($K282="","",IF($K282&gt;MAX($A$8:$A$5007),"",IFERROR(MATCH($K282,$A$8:$A$5007,1),"")))</f>
        <v/>
      </c>
      <c r="M282" s="30" t="str">
        <f>IF($L282="","",INDEX($A$8:$A$5007,$L282))</f>
        <v/>
      </c>
      <c r="N282" s="31" t="str">
        <f>IF($L282="","",INDEX($B$8:$B$5007,$L282))</f>
        <v/>
      </c>
      <c r="O282" s="32" t="str">
        <f>IF($M282="","",IF($K282-$M282&gt;7,"",IF($M282&lt;=$A282,"",IF(OR($B282&lt;=0,$N282&lt;=0),"",($N282/$B282)^(365/($M282-$A282))-1))))</f>
        <v/>
      </c>
      <c r="P282" s="31" t="str">
        <f>IF($B282="","",IF($P281="",$B282,MAX($P281,$B282)))</f>
        <v/>
      </c>
      <c r="Q282" s="32" t="str">
        <f>IF($P282="","",$B282/$P282-1)</f>
        <v/>
      </c>
    </row>
    <row r="283">
      <c r="A283" s="11" t="n"/>
      <c r="B283" s="29" t="n"/>
      <c r="K283" s="30" t="str">
        <f>IF($A283="","",EDATE($A283,12*$E$4))</f>
        <v/>
      </c>
      <c r="L283" s="19" t="str">
        <f>IF($K283="","",IF($K283&gt;MAX($A$8:$A$5007),"",IFERROR(MATCH($K283,$A$8:$A$5007,1),"")))</f>
        <v/>
      </c>
      <c r="M283" s="30" t="str">
        <f>IF($L283="","",INDEX($A$8:$A$5007,$L283))</f>
        <v/>
      </c>
      <c r="N283" s="31" t="str">
        <f>IF($L283="","",INDEX($B$8:$B$5007,$L283))</f>
        <v/>
      </c>
      <c r="O283" s="32" t="str">
        <f>IF($M283="","",IF($K283-$M283&gt;7,"",IF($M283&lt;=$A283,"",IF(OR($B283&lt;=0,$N283&lt;=0),"",($N283/$B283)^(365/($M283-$A283))-1))))</f>
        <v/>
      </c>
      <c r="P283" s="31" t="str">
        <f>IF($B283="","",IF($P282="",$B283,MAX($P282,$B283)))</f>
        <v/>
      </c>
      <c r="Q283" s="32" t="str">
        <f>IF($P283="","",$B283/$P283-1)</f>
        <v/>
      </c>
    </row>
    <row r="284">
      <c r="A284" s="11" t="n"/>
      <c r="B284" s="29" t="n"/>
      <c r="K284" s="30" t="str">
        <f>IF($A284="","",EDATE($A284,12*$E$4))</f>
        <v/>
      </c>
      <c r="L284" s="19" t="str">
        <f>IF($K284="","",IF($K284&gt;MAX($A$8:$A$5007),"",IFERROR(MATCH($K284,$A$8:$A$5007,1),"")))</f>
        <v/>
      </c>
      <c r="M284" s="30" t="str">
        <f>IF($L284="","",INDEX($A$8:$A$5007,$L284))</f>
        <v/>
      </c>
      <c r="N284" s="31" t="str">
        <f>IF($L284="","",INDEX($B$8:$B$5007,$L284))</f>
        <v/>
      </c>
      <c r="O284" s="32" t="str">
        <f>IF($M284="","",IF($K284-$M284&gt;7,"",IF($M284&lt;=$A284,"",IF(OR($B284&lt;=0,$N284&lt;=0),"",($N284/$B284)^(365/($M284-$A284))-1))))</f>
        <v/>
      </c>
      <c r="P284" s="31" t="str">
        <f>IF($B284="","",IF($P283="",$B284,MAX($P283,$B284)))</f>
        <v/>
      </c>
      <c r="Q284" s="32" t="str">
        <f>IF($P284="","",$B284/$P284-1)</f>
        <v/>
      </c>
    </row>
    <row r="285">
      <c r="A285" s="11" t="n"/>
      <c r="B285" s="29" t="n"/>
      <c r="K285" s="30" t="str">
        <f>IF($A285="","",EDATE($A285,12*$E$4))</f>
        <v/>
      </c>
      <c r="L285" s="19" t="str">
        <f>IF($K285="","",IF($K285&gt;MAX($A$8:$A$5007),"",IFERROR(MATCH($K285,$A$8:$A$5007,1),"")))</f>
        <v/>
      </c>
      <c r="M285" s="30" t="str">
        <f>IF($L285="","",INDEX($A$8:$A$5007,$L285))</f>
        <v/>
      </c>
      <c r="N285" s="31" t="str">
        <f>IF($L285="","",INDEX($B$8:$B$5007,$L285))</f>
        <v/>
      </c>
      <c r="O285" s="32" t="str">
        <f>IF($M285="","",IF($K285-$M285&gt;7,"",IF($M285&lt;=$A285,"",IF(OR($B285&lt;=0,$N285&lt;=0),"",($N285/$B285)^(365/($M285-$A285))-1))))</f>
        <v/>
      </c>
      <c r="P285" s="31" t="str">
        <f>IF($B285="","",IF($P284="",$B285,MAX($P284,$B285)))</f>
        <v/>
      </c>
      <c r="Q285" s="32" t="str">
        <f>IF($P285="","",$B285/$P285-1)</f>
        <v/>
      </c>
    </row>
    <row r="286">
      <c r="A286" s="11" t="n"/>
      <c r="B286" s="29" t="n"/>
      <c r="K286" s="30" t="str">
        <f>IF($A286="","",EDATE($A286,12*$E$4))</f>
        <v/>
      </c>
      <c r="L286" s="19" t="str">
        <f>IF($K286="","",IF($K286&gt;MAX($A$8:$A$5007),"",IFERROR(MATCH($K286,$A$8:$A$5007,1),"")))</f>
        <v/>
      </c>
      <c r="M286" s="30" t="str">
        <f>IF($L286="","",INDEX($A$8:$A$5007,$L286))</f>
        <v/>
      </c>
      <c r="N286" s="31" t="str">
        <f>IF($L286="","",INDEX($B$8:$B$5007,$L286))</f>
        <v/>
      </c>
      <c r="O286" s="32" t="str">
        <f>IF($M286="","",IF($K286-$M286&gt;7,"",IF($M286&lt;=$A286,"",IF(OR($B286&lt;=0,$N286&lt;=0),"",($N286/$B286)^(365/($M286-$A286))-1))))</f>
        <v/>
      </c>
      <c r="P286" s="31" t="str">
        <f>IF($B286="","",IF($P285="",$B286,MAX($P285,$B286)))</f>
        <v/>
      </c>
      <c r="Q286" s="32" t="str">
        <f>IF($P286="","",$B286/$P286-1)</f>
        <v/>
      </c>
    </row>
    <row r="287">
      <c r="A287" s="11" t="n"/>
      <c r="B287" s="29" t="n"/>
      <c r="K287" s="30" t="str">
        <f>IF($A287="","",EDATE($A287,12*$E$4))</f>
        <v/>
      </c>
      <c r="L287" s="19" t="str">
        <f>IF($K287="","",IF($K287&gt;MAX($A$8:$A$5007),"",IFERROR(MATCH($K287,$A$8:$A$5007,1),"")))</f>
        <v/>
      </c>
      <c r="M287" s="30" t="str">
        <f>IF($L287="","",INDEX($A$8:$A$5007,$L287))</f>
        <v/>
      </c>
      <c r="N287" s="31" t="str">
        <f>IF($L287="","",INDEX($B$8:$B$5007,$L287))</f>
        <v/>
      </c>
      <c r="O287" s="32" t="str">
        <f>IF($M287="","",IF($K287-$M287&gt;7,"",IF($M287&lt;=$A287,"",IF(OR($B287&lt;=0,$N287&lt;=0),"",($N287/$B287)^(365/($M287-$A287))-1))))</f>
        <v/>
      </c>
      <c r="P287" s="31" t="str">
        <f>IF($B287="","",IF($P286="",$B287,MAX($P286,$B287)))</f>
        <v/>
      </c>
      <c r="Q287" s="32" t="str">
        <f>IF($P287="","",$B287/$P287-1)</f>
        <v/>
      </c>
    </row>
    <row r="288">
      <c r="A288" s="11" t="n"/>
      <c r="B288" s="29" t="n"/>
      <c r="K288" s="30" t="str">
        <f>IF($A288="","",EDATE($A288,12*$E$4))</f>
        <v/>
      </c>
      <c r="L288" s="19" t="str">
        <f>IF($K288="","",IF($K288&gt;MAX($A$8:$A$5007),"",IFERROR(MATCH($K288,$A$8:$A$5007,1),"")))</f>
        <v/>
      </c>
      <c r="M288" s="30" t="str">
        <f>IF($L288="","",INDEX($A$8:$A$5007,$L288))</f>
        <v/>
      </c>
      <c r="N288" s="31" t="str">
        <f>IF($L288="","",INDEX($B$8:$B$5007,$L288))</f>
        <v/>
      </c>
      <c r="O288" s="32" t="str">
        <f>IF($M288="","",IF($K288-$M288&gt;7,"",IF($M288&lt;=$A288,"",IF(OR($B288&lt;=0,$N288&lt;=0),"",($N288/$B288)^(365/($M288-$A288))-1))))</f>
        <v/>
      </c>
      <c r="P288" s="31" t="str">
        <f>IF($B288="","",IF($P287="",$B288,MAX($P287,$B288)))</f>
        <v/>
      </c>
      <c r="Q288" s="32" t="str">
        <f>IF($P288="","",$B288/$P288-1)</f>
        <v/>
      </c>
    </row>
    <row r="289">
      <c r="A289" s="11" t="n"/>
      <c r="B289" s="29" t="n"/>
      <c r="K289" s="30" t="str">
        <f>IF($A289="","",EDATE($A289,12*$E$4))</f>
        <v/>
      </c>
      <c r="L289" s="19" t="str">
        <f>IF($K289="","",IF($K289&gt;MAX($A$8:$A$5007),"",IFERROR(MATCH($K289,$A$8:$A$5007,1),"")))</f>
        <v/>
      </c>
      <c r="M289" s="30" t="str">
        <f>IF($L289="","",INDEX($A$8:$A$5007,$L289))</f>
        <v/>
      </c>
      <c r="N289" s="31" t="str">
        <f>IF($L289="","",INDEX($B$8:$B$5007,$L289))</f>
        <v/>
      </c>
      <c r="O289" s="32" t="str">
        <f>IF($M289="","",IF($K289-$M289&gt;7,"",IF($M289&lt;=$A289,"",IF(OR($B289&lt;=0,$N289&lt;=0),"",($N289/$B289)^(365/($M289-$A289))-1))))</f>
        <v/>
      </c>
      <c r="P289" s="31" t="str">
        <f>IF($B289="","",IF($P288="",$B289,MAX($P288,$B289)))</f>
        <v/>
      </c>
      <c r="Q289" s="32" t="str">
        <f>IF($P289="","",$B289/$P289-1)</f>
        <v/>
      </c>
    </row>
    <row r="290">
      <c r="A290" s="11" t="n"/>
      <c r="B290" s="29" t="n"/>
      <c r="K290" s="30" t="str">
        <f>IF($A290="","",EDATE($A290,12*$E$4))</f>
        <v/>
      </c>
      <c r="L290" s="19" t="str">
        <f>IF($K290="","",IF($K290&gt;MAX($A$8:$A$5007),"",IFERROR(MATCH($K290,$A$8:$A$5007,1),"")))</f>
        <v/>
      </c>
      <c r="M290" s="30" t="str">
        <f>IF($L290="","",INDEX($A$8:$A$5007,$L290))</f>
        <v/>
      </c>
      <c r="N290" s="31" t="str">
        <f>IF($L290="","",INDEX($B$8:$B$5007,$L290))</f>
        <v/>
      </c>
      <c r="O290" s="32" t="str">
        <f>IF($M290="","",IF($K290-$M290&gt;7,"",IF($M290&lt;=$A290,"",IF(OR($B290&lt;=0,$N290&lt;=0),"",($N290/$B290)^(365/($M290-$A290))-1))))</f>
        <v/>
      </c>
      <c r="P290" s="31" t="str">
        <f>IF($B290="","",IF($P289="",$B290,MAX($P289,$B290)))</f>
        <v/>
      </c>
      <c r="Q290" s="32" t="str">
        <f>IF($P290="","",$B290/$P290-1)</f>
        <v/>
      </c>
    </row>
    <row r="291">
      <c r="A291" s="11" t="n"/>
      <c r="B291" s="29" t="n"/>
      <c r="K291" s="30" t="str">
        <f>IF($A291="","",EDATE($A291,12*$E$4))</f>
        <v/>
      </c>
      <c r="L291" s="19" t="str">
        <f>IF($K291="","",IF($K291&gt;MAX($A$8:$A$5007),"",IFERROR(MATCH($K291,$A$8:$A$5007,1),"")))</f>
        <v/>
      </c>
      <c r="M291" s="30" t="str">
        <f>IF($L291="","",INDEX($A$8:$A$5007,$L291))</f>
        <v/>
      </c>
      <c r="N291" s="31" t="str">
        <f>IF($L291="","",INDEX($B$8:$B$5007,$L291))</f>
        <v/>
      </c>
      <c r="O291" s="32" t="str">
        <f>IF($M291="","",IF($K291-$M291&gt;7,"",IF($M291&lt;=$A291,"",IF(OR($B291&lt;=0,$N291&lt;=0),"",($N291/$B291)^(365/($M291-$A291))-1))))</f>
        <v/>
      </c>
      <c r="P291" s="31" t="str">
        <f>IF($B291="","",IF($P290="",$B291,MAX($P290,$B291)))</f>
        <v/>
      </c>
      <c r="Q291" s="32" t="str">
        <f>IF($P291="","",$B291/$P291-1)</f>
        <v/>
      </c>
    </row>
    <row r="292">
      <c r="A292" s="11" t="n"/>
      <c r="B292" s="29" t="n"/>
      <c r="K292" s="30" t="str">
        <f>IF($A292="","",EDATE($A292,12*$E$4))</f>
        <v/>
      </c>
      <c r="L292" s="19" t="str">
        <f>IF($K292="","",IF($K292&gt;MAX($A$8:$A$5007),"",IFERROR(MATCH($K292,$A$8:$A$5007,1),"")))</f>
        <v/>
      </c>
      <c r="M292" s="30" t="str">
        <f>IF($L292="","",INDEX($A$8:$A$5007,$L292))</f>
        <v/>
      </c>
      <c r="N292" s="31" t="str">
        <f>IF($L292="","",INDEX($B$8:$B$5007,$L292))</f>
        <v/>
      </c>
      <c r="O292" s="32" t="str">
        <f>IF($M292="","",IF($K292-$M292&gt;7,"",IF($M292&lt;=$A292,"",IF(OR($B292&lt;=0,$N292&lt;=0),"",($N292/$B292)^(365/($M292-$A292))-1))))</f>
        <v/>
      </c>
      <c r="P292" s="31" t="str">
        <f>IF($B292="","",IF($P291="",$B292,MAX($P291,$B292)))</f>
        <v/>
      </c>
      <c r="Q292" s="32" t="str">
        <f>IF($P292="","",$B292/$P292-1)</f>
        <v/>
      </c>
    </row>
    <row r="293">
      <c r="A293" s="11" t="n"/>
      <c r="B293" s="29" t="n"/>
      <c r="K293" s="30" t="str">
        <f>IF($A293="","",EDATE($A293,12*$E$4))</f>
        <v/>
      </c>
      <c r="L293" s="19" t="str">
        <f>IF($K293="","",IF($K293&gt;MAX($A$8:$A$5007),"",IFERROR(MATCH($K293,$A$8:$A$5007,1),"")))</f>
        <v/>
      </c>
      <c r="M293" s="30" t="str">
        <f>IF($L293="","",INDEX($A$8:$A$5007,$L293))</f>
        <v/>
      </c>
      <c r="N293" s="31" t="str">
        <f>IF($L293="","",INDEX($B$8:$B$5007,$L293))</f>
        <v/>
      </c>
      <c r="O293" s="32" t="str">
        <f>IF($M293="","",IF($K293-$M293&gt;7,"",IF($M293&lt;=$A293,"",IF(OR($B293&lt;=0,$N293&lt;=0),"",($N293/$B293)^(365/($M293-$A293))-1))))</f>
        <v/>
      </c>
      <c r="P293" s="31" t="str">
        <f>IF($B293="","",IF($P292="",$B293,MAX($P292,$B293)))</f>
        <v/>
      </c>
      <c r="Q293" s="32" t="str">
        <f>IF($P293="","",$B293/$P293-1)</f>
        <v/>
      </c>
    </row>
    <row r="294">
      <c r="A294" s="11" t="n"/>
      <c r="B294" s="29" t="n"/>
      <c r="K294" s="30" t="str">
        <f>IF($A294="","",EDATE($A294,12*$E$4))</f>
        <v/>
      </c>
      <c r="L294" s="19" t="str">
        <f>IF($K294="","",IF($K294&gt;MAX($A$8:$A$5007),"",IFERROR(MATCH($K294,$A$8:$A$5007,1),"")))</f>
        <v/>
      </c>
      <c r="M294" s="30" t="str">
        <f>IF($L294="","",INDEX($A$8:$A$5007,$L294))</f>
        <v/>
      </c>
      <c r="N294" s="31" t="str">
        <f>IF($L294="","",INDEX($B$8:$B$5007,$L294))</f>
        <v/>
      </c>
      <c r="O294" s="32" t="str">
        <f>IF($M294="","",IF($K294-$M294&gt;7,"",IF($M294&lt;=$A294,"",IF(OR($B294&lt;=0,$N294&lt;=0),"",($N294/$B294)^(365/($M294-$A294))-1))))</f>
        <v/>
      </c>
      <c r="P294" s="31" t="str">
        <f>IF($B294="","",IF($P293="",$B294,MAX($P293,$B294)))</f>
        <v/>
      </c>
      <c r="Q294" s="32" t="str">
        <f>IF($P294="","",$B294/$P294-1)</f>
        <v/>
      </c>
    </row>
    <row r="295">
      <c r="A295" s="11" t="n"/>
      <c r="B295" s="29" t="n"/>
      <c r="K295" s="30" t="str">
        <f>IF($A295="","",EDATE($A295,12*$E$4))</f>
        <v/>
      </c>
      <c r="L295" s="19" t="str">
        <f>IF($K295="","",IF($K295&gt;MAX($A$8:$A$5007),"",IFERROR(MATCH($K295,$A$8:$A$5007,1),"")))</f>
        <v/>
      </c>
      <c r="M295" s="30" t="str">
        <f>IF($L295="","",INDEX($A$8:$A$5007,$L295))</f>
        <v/>
      </c>
      <c r="N295" s="31" t="str">
        <f>IF($L295="","",INDEX($B$8:$B$5007,$L295))</f>
        <v/>
      </c>
      <c r="O295" s="32" t="str">
        <f>IF($M295="","",IF($K295-$M295&gt;7,"",IF($M295&lt;=$A295,"",IF(OR($B295&lt;=0,$N295&lt;=0),"",($N295/$B295)^(365/($M295-$A295))-1))))</f>
        <v/>
      </c>
      <c r="P295" s="31" t="str">
        <f>IF($B295="","",IF($P294="",$B295,MAX($P294,$B295)))</f>
        <v/>
      </c>
      <c r="Q295" s="32" t="str">
        <f>IF($P295="","",$B295/$P295-1)</f>
        <v/>
      </c>
    </row>
    <row r="296">
      <c r="A296" s="11" t="n"/>
      <c r="B296" s="29" t="n"/>
      <c r="K296" s="30" t="str">
        <f>IF($A296="","",EDATE($A296,12*$E$4))</f>
        <v/>
      </c>
      <c r="L296" s="19" t="str">
        <f>IF($K296="","",IF($K296&gt;MAX($A$8:$A$5007),"",IFERROR(MATCH($K296,$A$8:$A$5007,1),"")))</f>
        <v/>
      </c>
      <c r="M296" s="30" t="str">
        <f>IF($L296="","",INDEX($A$8:$A$5007,$L296))</f>
        <v/>
      </c>
      <c r="N296" s="31" t="str">
        <f>IF($L296="","",INDEX($B$8:$B$5007,$L296))</f>
        <v/>
      </c>
      <c r="O296" s="32" t="str">
        <f>IF($M296="","",IF($K296-$M296&gt;7,"",IF($M296&lt;=$A296,"",IF(OR($B296&lt;=0,$N296&lt;=0),"",($N296/$B296)^(365/($M296-$A296))-1))))</f>
        <v/>
      </c>
      <c r="P296" s="31" t="str">
        <f>IF($B296="","",IF($P295="",$B296,MAX($P295,$B296)))</f>
        <v/>
      </c>
      <c r="Q296" s="32" t="str">
        <f>IF($P296="","",$B296/$P296-1)</f>
        <v/>
      </c>
    </row>
    <row r="297">
      <c r="A297" s="11" t="n"/>
      <c r="B297" s="29" t="n"/>
      <c r="K297" s="30" t="str">
        <f>IF($A297="","",EDATE($A297,12*$E$4))</f>
        <v/>
      </c>
      <c r="L297" s="19" t="str">
        <f>IF($K297="","",IF($K297&gt;MAX($A$8:$A$5007),"",IFERROR(MATCH($K297,$A$8:$A$5007,1),"")))</f>
        <v/>
      </c>
      <c r="M297" s="30" t="str">
        <f>IF($L297="","",INDEX($A$8:$A$5007,$L297))</f>
        <v/>
      </c>
      <c r="N297" s="31" t="str">
        <f>IF($L297="","",INDEX($B$8:$B$5007,$L297))</f>
        <v/>
      </c>
      <c r="O297" s="32" t="str">
        <f>IF($M297="","",IF($K297-$M297&gt;7,"",IF($M297&lt;=$A297,"",IF(OR($B297&lt;=0,$N297&lt;=0),"",($N297/$B297)^(365/($M297-$A297))-1))))</f>
        <v/>
      </c>
      <c r="P297" s="31" t="str">
        <f>IF($B297="","",IF($P296="",$B297,MAX($P296,$B297)))</f>
        <v/>
      </c>
      <c r="Q297" s="32" t="str">
        <f>IF($P297="","",$B297/$P297-1)</f>
        <v/>
      </c>
    </row>
    <row r="298">
      <c r="A298" s="11" t="n"/>
      <c r="B298" s="29" t="n"/>
      <c r="K298" s="30" t="str">
        <f>IF($A298="","",EDATE($A298,12*$E$4))</f>
        <v/>
      </c>
      <c r="L298" s="19" t="str">
        <f>IF($K298="","",IF($K298&gt;MAX($A$8:$A$5007),"",IFERROR(MATCH($K298,$A$8:$A$5007,1),"")))</f>
        <v/>
      </c>
      <c r="M298" s="30" t="str">
        <f>IF($L298="","",INDEX($A$8:$A$5007,$L298))</f>
        <v/>
      </c>
      <c r="N298" s="31" t="str">
        <f>IF($L298="","",INDEX($B$8:$B$5007,$L298))</f>
        <v/>
      </c>
      <c r="O298" s="32" t="str">
        <f>IF($M298="","",IF($K298-$M298&gt;7,"",IF($M298&lt;=$A298,"",IF(OR($B298&lt;=0,$N298&lt;=0),"",($N298/$B298)^(365/($M298-$A298))-1))))</f>
        <v/>
      </c>
      <c r="P298" s="31" t="str">
        <f>IF($B298="","",IF($P297="",$B298,MAX($P297,$B298)))</f>
        <v/>
      </c>
      <c r="Q298" s="32" t="str">
        <f>IF($P298="","",$B298/$P298-1)</f>
        <v/>
      </c>
    </row>
    <row r="299">
      <c r="A299" s="11" t="n"/>
      <c r="B299" s="29" t="n"/>
      <c r="K299" s="30" t="str">
        <f>IF($A299="","",EDATE($A299,12*$E$4))</f>
        <v/>
      </c>
      <c r="L299" s="19" t="str">
        <f>IF($K299="","",IF($K299&gt;MAX($A$8:$A$5007),"",IFERROR(MATCH($K299,$A$8:$A$5007,1),"")))</f>
        <v/>
      </c>
      <c r="M299" s="30" t="str">
        <f>IF($L299="","",INDEX($A$8:$A$5007,$L299))</f>
        <v/>
      </c>
      <c r="N299" s="31" t="str">
        <f>IF($L299="","",INDEX($B$8:$B$5007,$L299))</f>
        <v/>
      </c>
      <c r="O299" s="32" t="str">
        <f>IF($M299="","",IF($K299-$M299&gt;7,"",IF($M299&lt;=$A299,"",IF(OR($B299&lt;=0,$N299&lt;=0),"",($N299/$B299)^(365/($M299-$A299))-1))))</f>
        <v/>
      </c>
      <c r="P299" s="31" t="str">
        <f>IF($B299="","",IF($P298="",$B299,MAX($P298,$B299)))</f>
        <v/>
      </c>
      <c r="Q299" s="32" t="str">
        <f>IF($P299="","",$B299/$P299-1)</f>
        <v/>
      </c>
    </row>
    <row r="300">
      <c r="A300" s="11" t="n"/>
      <c r="B300" s="29" t="n"/>
      <c r="K300" s="30" t="str">
        <f>IF($A300="","",EDATE($A300,12*$E$4))</f>
        <v/>
      </c>
      <c r="L300" s="19" t="str">
        <f>IF($K300="","",IF($K300&gt;MAX($A$8:$A$5007),"",IFERROR(MATCH($K300,$A$8:$A$5007,1),"")))</f>
        <v/>
      </c>
      <c r="M300" s="30" t="str">
        <f>IF($L300="","",INDEX($A$8:$A$5007,$L300))</f>
        <v/>
      </c>
      <c r="N300" s="31" t="str">
        <f>IF($L300="","",INDEX($B$8:$B$5007,$L300))</f>
        <v/>
      </c>
      <c r="O300" s="32" t="str">
        <f>IF($M300="","",IF($K300-$M300&gt;7,"",IF($M300&lt;=$A300,"",IF(OR($B300&lt;=0,$N300&lt;=0),"",($N300/$B300)^(365/($M300-$A300))-1))))</f>
        <v/>
      </c>
      <c r="P300" s="31" t="str">
        <f>IF($B300="","",IF($P299="",$B300,MAX($P299,$B300)))</f>
        <v/>
      </c>
      <c r="Q300" s="32" t="str">
        <f>IF($P300="","",$B300/$P300-1)</f>
        <v/>
      </c>
    </row>
    <row r="301">
      <c r="A301" s="11" t="n"/>
      <c r="B301" s="29" t="n"/>
      <c r="K301" s="30" t="str">
        <f>IF($A301="","",EDATE($A301,12*$E$4))</f>
        <v/>
      </c>
      <c r="L301" s="19" t="str">
        <f>IF($K301="","",IF($K301&gt;MAX($A$8:$A$5007),"",IFERROR(MATCH($K301,$A$8:$A$5007,1),"")))</f>
        <v/>
      </c>
      <c r="M301" s="30" t="str">
        <f>IF($L301="","",INDEX($A$8:$A$5007,$L301))</f>
        <v/>
      </c>
      <c r="N301" s="31" t="str">
        <f>IF($L301="","",INDEX($B$8:$B$5007,$L301))</f>
        <v/>
      </c>
      <c r="O301" s="32" t="str">
        <f>IF($M301="","",IF($K301-$M301&gt;7,"",IF($M301&lt;=$A301,"",IF(OR($B301&lt;=0,$N301&lt;=0),"",($N301/$B301)^(365/($M301-$A301))-1))))</f>
        <v/>
      </c>
      <c r="P301" s="31" t="str">
        <f>IF($B301="","",IF($P300="",$B301,MAX($P300,$B301)))</f>
        <v/>
      </c>
      <c r="Q301" s="32" t="str">
        <f>IF($P301="","",$B301/$P301-1)</f>
        <v/>
      </c>
    </row>
    <row r="302">
      <c r="A302" s="11" t="n"/>
      <c r="B302" s="29" t="n"/>
      <c r="K302" s="30" t="str">
        <f>IF($A302="","",EDATE($A302,12*$E$4))</f>
        <v/>
      </c>
      <c r="L302" s="19" t="str">
        <f>IF($K302="","",IF($K302&gt;MAX($A$8:$A$5007),"",IFERROR(MATCH($K302,$A$8:$A$5007,1),"")))</f>
        <v/>
      </c>
      <c r="M302" s="30" t="str">
        <f>IF($L302="","",INDEX($A$8:$A$5007,$L302))</f>
        <v/>
      </c>
      <c r="N302" s="31" t="str">
        <f>IF($L302="","",INDEX($B$8:$B$5007,$L302))</f>
        <v/>
      </c>
      <c r="O302" s="32" t="str">
        <f>IF($M302="","",IF($K302-$M302&gt;7,"",IF($M302&lt;=$A302,"",IF(OR($B302&lt;=0,$N302&lt;=0),"",($N302/$B302)^(365/($M302-$A302))-1))))</f>
        <v/>
      </c>
      <c r="P302" s="31" t="str">
        <f>IF($B302="","",IF($P301="",$B302,MAX($P301,$B302)))</f>
        <v/>
      </c>
      <c r="Q302" s="32" t="str">
        <f>IF($P302="","",$B302/$P302-1)</f>
        <v/>
      </c>
    </row>
    <row r="303">
      <c r="A303" s="11" t="n"/>
      <c r="B303" s="29" t="n"/>
      <c r="K303" s="30" t="str">
        <f>IF($A303="","",EDATE($A303,12*$E$4))</f>
        <v/>
      </c>
      <c r="L303" s="19" t="str">
        <f>IF($K303="","",IF($K303&gt;MAX($A$8:$A$5007),"",IFERROR(MATCH($K303,$A$8:$A$5007,1),"")))</f>
        <v/>
      </c>
      <c r="M303" s="30" t="str">
        <f>IF($L303="","",INDEX($A$8:$A$5007,$L303))</f>
        <v/>
      </c>
      <c r="N303" s="31" t="str">
        <f>IF($L303="","",INDEX($B$8:$B$5007,$L303))</f>
        <v/>
      </c>
      <c r="O303" s="32" t="str">
        <f>IF($M303="","",IF($K303-$M303&gt;7,"",IF($M303&lt;=$A303,"",IF(OR($B303&lt;=0,$N303&lt;=0),"",($N303/$B303)^(365/($M303-$A303))-1))))</f>
        <v/>
      </c>
      <c r="P303" s="31" t="str">
        <f>IF($B303="","",IF($P302="",$B303,MAX($P302,$B303)))</f>
        <v/>
      </c>
      <c r="Q303" s="32" t="str">
        <f>IF($P303="","",$B303/$P303-1)</f>
        <v/>
      </c>
    </row>
    <row r="304">
      <c r="A304" s="11" t="n"/>
      <c r="B304" s="29" t="n"/>
      <c r="K304" s="30" t="str">
        <f>IF($A304="","",EDATE($A304,12*$E$4))</f>
        <v/>
      </c>
      <c r="L304" s="19" t="str">
        <f>IF($K304="","",IF($K304&gt;MAX($A$8:$A$5007),"",IFERROR(MATCH($K304,$A$8:$A$5007,1),"")))</f>
        <v/>
      </c>
      <c r="M304" s="30" t="str">
        <f>IF($L304="","",INDEX($A$8:$A$5007,$L304))</f>
        <v/>
      </c>
      <c r="N304" s="31" t="str">
        <f>IF($L304="","",INDEX($B$8:$B$5007,$L304))</f>
        <v/>
      </c>
      <c r="O304" s="32" t="str">
        <f>IF($M304="","",IF($K304-$M304&gt;7,"",IF($M304&lt;=$A304,"",IF(OR($B304&lt;=0,$N304&lt;=0),"",($N304/$B304)^(365/($M304-$A304))-1))))</f>
        <v/>
      </c>
      <c r="P304" s="31" t="str">
        <f>IF($B304="","",IF($P303="",$B304,MAX($P303,$B304)))</f>
        <v/>
      </c>
      <c r="Q304" s="32" t="str">
        <f>IF($P304="","",$B304/$P304-1)</f>
        <v/>
      </c>
    </row>
    <row r="305">
      <c r="A305" s="11" t="n"/>
      <c r="B305" s="29" t="n"/>
      <c r="K305" s="30" t="str">
        <f>IF($A305="","",EDATE($A305,12*$E$4))</f>
        <v/>
      </c>
      <c r="L305" s="19" t="str">
        <f>IF($K305="","",IF($K305&gt;MAX($A$8:$A$5007),"",IFERROR(MATCH($K305,$A$8:$A$5007,1),"")))</f>
        <v/>
      </c>
      <c r="M305" s="30" t="str">
        <f>IF($L305="","",INDEX($A$8:$A$5007,$L305))</f>
        <v/>
      </c>
      <c r="N305" s="31" t="str">
        <f>IF($L305="","",INDEX($B$8:$B$5007,$L305))</f>
        <v/>
      </c>
      <c r="O305" s="32" t="str">
        <f>IF($M305="","",IF($K305-$M305&gt;7,"",IF($M305&lt;=$A305,"",IF(OR($B305&lt;=0,$N305&lt;=0),"",($N305/$B305)^(365/($M305-$A305))-1))))</f>
        <v/>
      </c>
      <c r="P305" s="31" t="str">
        <f>IF($B305="","",IF($P304="",$B305,MAX($P304,$B305)))</f>
        <v/>
      </c>
      <c r="Q305" s="32" t="str">
        <f>IF($P305="","",$B305/$P305-1)</f>
        <v/>
      </c>
    </row>
    <row r="306">
      <c r="A306" s="11" t="n"/>
      <c r="B306" s="29" t="n"/>
      <c r="K306" s="30" t="str">
        <f>IF($A306="","",EDATE($A306,12*$E$4))</f>
        <v/>
      </c>
      <c r="L306" s="19" t="str">
        <f>IF($K306="","",IF($K306&gt;MAX($A$8:$A$5007),"",IFERROR(MATCH($K306,$A$8:$A$5007,1),"")))</f>
        <v/>
      </c>
      <c r="M306" s="30" t="str">
        <f>IF($L306="","",INDEX($A$8:$A$5007,$L306))</f>
        <v/>
      </c>
      <c r="N306" s="31" t="str">
        <f>IF($L306="","",INDEX($B$8:$B$5007,$L306))</f>
        <v/>
      </c>
      <c r="O306" s="32" t="str">
        <f>IF($M306="","",IF($K306-$M306&gt;7,"",IF($M306&lt;=$A306,"",IF(OR($B306&lt;=0,$N306&lt;=0),"",($N306/$B306)^(365/($M306-$A306))-1))))</f>
        <v/>
      </c>
      <c r="P306" s="31" t="str">
        <f>IF($B306="","",IF($P305="",$B306,MAX($P305,$B306)))</f>
        <v/>
      </c>
      <c r="Q306" s="32" t="str">
        <f>IF($P306="","",$B306/$P306-1)</f>
        <v/>
      </c>
    </row>
    <row r="307">
      <c r="A307" s="11" t="n"/>
      <c r="B307" s="29" t="n"/>
      <c r="K307" s="30" t="str">
        <f>IF($A307="","",EDATE($A307,12*$E$4))</f>
        <v/>
      </c>
      <c r="L307" s="19" t="str">
        <f>IF($K307="","",IF($K307&gt;MAX($A$8:$A$5007),"",IFERROR(MATCH($K307,$A$8:$A$5007,1),"")))</f>
        <v/>
      </c>
      <c r="M307" s="30" t="str">
        <f>IF($L307="","",INDEX($A$8:$A$5007,$L307))</f>
        <v/>
      </c>
      <c r="N307" s="31" t="str">
        <f>IF($L307="","",INDEX($B$8:$B$5007,$L307))</f>
        <v/>
      </c>
      <c r="O307" s="32" t="str">
        <f>IF($M307="","",IF($K307-$M307&gt;7,"",IF($M307&lt;=$A307,"",IF(OR($B307&lt;=0,$N307&lt;=0),"",($N307/$B307)^(365/($M307-$A307))-1))))</f>
        <v/>
      </c>
      <c r="P307" s="31" t="str">
        <f>IF($B307="","",IF($P306="",$B307,MAX($P306,$B307)))</f>
        <v/>
      </c>
      <c r="Q307" s="32" t="str">
        <f>IF($P307="","",$B307/$P307-1)</f>
        <v/>
      </c>
    </row>
    <row r="308">
      <c r="A308" s="11" t="n"/>
      <c r="B308" s="29" t="n"/>
      <c r="K308" s="30" t="str">
        <f>IF($A308="","",EDATE($A308,12*$E$4))</f>
        <v/>
      </c>
      <c r="L308" s="19" t="str">
        <f>IF($K308="","",IF($K308&gt;MAX($A$8:$A$5007),"",IFERROR(MATCH($K308,$A$8:$A$5007,1),"")))</f>
        <v/>
      </c>
      <c r="M308" s="30" t="str">
        <f>IF($L308="","",INDEX($A$8:$A$5007,$L308))</f>
        <v/>
      </c>
      <c r="N308" s="31" t="str">
        <f>IF($L308="","",INDEX($B$8:$B$5007,$L308))</f>
        <v/>
      </c>
      <c r="O308" s="32" t="str">
        <f>IF($M308="","",IF($K308-$M308&gt;7,"",IF($M308&lt;=$A308,"",IF(OR($B308&lt;=0,$N308&lt;=0),"",($N308/$B308)^(365/($M308-$A308))-1))))</f>
        <v/>
      </c>
      <c r="P308" s="31" t="str">
        <f>IF($B308="","",IF($P307="",$B308,MAX($P307,$B308)))</f>
        <v/>
      </c>
      <c r="Q308" s="32" t="str">
        <f>IF($P308="","",$B308/$P308-1)</f>
        <v/>
      </c>
    </row>
    <row r="309">
      <c r="A309" s="11" t="n"/>
      <c r="B309" s="29" t="n"/>
      <c r="K309" s="30" t="str">
        <f>IF($A309="","",EDATE($A309,12*$E$4))</f>
        <v/>
      </c>
      <c r="L309" s="19" t="str">
        <f>IF($K309="","",IF($K309&gt;MAX($A$8:$A$5007),"",IFERROR(MATCH($K309,$A$8:$A$5007,1),"")))</f>
        <v/>
      </c>
      <c r="M309" s="30" t="str">
        <f>IF($L309="","",INDEX($A$8:$A$5007,$L309))</f>
        <v/>
      </c>
      <c r="N309" s="31" t="str">
        <f>IF($L309="","",INDEX($B$8:$B$5007,$L309))</f>
        <v/>
      </c>
      <c r="O309" s="32" t="str">
        <f>IF($M309="","",IF($K309-$M309&gt;7,"",IF($M309&lt;=$A309,"",IF(OR($B309&lt;=0,$N309&lt;=0),"",($N309/$B309)^(365/($M309-$A309))-1))))</f>
        <v/>
      </c>
      <c r="P309" s="31" t="str">
        <f>IF($B309="","",IF($P308="",$B309,MAX($P308,$B309)))</f>
        <v/>
      </c>
      <c r="Q309" s="32" t="str">
        <f>IF($P309="","",$B309/$P309-1)</f>
        <v/>
      </c>
    </row>
    <row r="310">
      <c r="A310" s="11" t="n"/>
      <c r="B310" s="29" t="n"/>
      <c r="K310" s="30" t="str">
        <f>IF($A310="","",EDATE($A310,12*$E$4))</f>
        <v/>
      </c>
      <c r="L310" s="19" t="str">
        <f>IF($K310="","",IF($K310&gt;MAX($A$8:$A$5007),"",IFERROR(MATCH($K310,$A$8:$A$5007,1),"")))</f>
        <v/>
      </c>
      <c r="M310" s="30" t="str">
        <f>IF($L310="","",INDEX($A$8:$A$5007,$L310))</f>
        <v/>
      </c>
      <c r="N310" s="31" t="str">
        <f>IF($L310="","",INDEX($B$8:$B$5007,$L310))</f>
        <v/>
      </c>
      <c r="O310" s="32" t="str">
        <f>IF($M310="","",IF($K310-$M310&gt;7,"",IF($M310&lt;=$A310,"",IF(OR($B310&lt;=0,$N310&lt;=0),"",($N310/$B310)^(365/($M310-$A310))-1))))</f>
        <v/>
      </c>
      <c r="P310" s="31" t="str">
        <f>IF($B310="","",IF($P309="",$B310,MAX($P309,$B310)))</f>
        <v/>
      </c>
      <c r="Q310" s="32" t="str">
        <f>IF($P310="","",$B310/$P310-1)</f>
        <v/>
      </c>
    </row>
    <row r="311">
      <c r="A311" s="11" t="n"/>
      <c r="B311" s="29" t="n"/>
      <c r="K311" s="30" t="str">
        <f>IF($A311="","",EDATE($A311,12*$E$4))</f>
        <v/>
      </c>
      <c r="L311" s="19" t="str">
        <f>IF($K311="","",IF($K311&gt;MAX($A$8:$A$5007),"",IFERROR(MATCH($K311,$A$8:$A$5007,1),"")))</f>
        <v/>
      </c>
      <c r="M311" s="30" t="str">
        <f>IF($L311="","",INDEX($A$8:$A$5007,$L311))</f>
        <v/>
      </c>
      <c r="N311" s="31" t="str">
        <f>IF($L311="","",INDEX($B$8:$B$5007,$L311))</f>
        <v/>
      </c>
      <c r="O311" s="32" t="str">
        <f>IF($M311="","",IF($K311-$M311&gt;7,"",IF($M311&lt;=$A311,"",IF(OR($B311&lt;=0,$N311&lt;=0),"",($N311/$B311)^(365/($M311-$A311))-1))))</f>
        <v/>
      </c>
      <c r="P311" s="31" t="str">
        <f>IF($B311="","",IF($P310="",$B311,MAX($P310,$B311)))</f>
        <v/>
      </c>
      <c r="Q311" s="32" t="str">
        <f>IF($P311="","",$B311/$P311-1)</f>
        <v/>
      </c>
    </row>
    <row r="312">
      <c r="A312" s="11" t="n"/>
      <c r="B312" s="29" t="n"/>
      <c r="K312" s="30" t="str">
        <f>IF($A312="","",EDATE($A312,12*$E$4))</f>
        <v/>
      </c>
      <c r="L312" s="19" t="str">
        <f>IF($K312="","",IF($K312&gt;MAX($A$8:$A$5007),"",IFERROR(MATCH($K312,$A$8:$A$5007,1),"")))</f>
        <v/>
      </c>
      <c r="M312" s="30" t="str">
        <f>IF($L312="","",INDEX($A$8:$A$5007,$L312))</f>
        <v/>
      </c>
      <c r="N312" s="31" t="str">
        <f>IF($L312="","",INDEX($B$8:$B$5007,$L312))</f>
        <v/>
      </c>
      <c r="O312" s="32" t="str">
        <f>IF($M312="","",IF($K312-$M312&gt;7,"",IF($M312&lt;=$A312,"",IF(OR($B312&lt;=0,$N312&lt;=0),"",($N312/$B312)^(365/($M312-$A312))-1))))</f>
        <v/>
      </c>
      <c r="P312" s="31" t="str">
        <f>IF($B312="","",IF($P311="",$B312,MAX($P311,$B312)))</f>
        <v/>
      </c>
      <c r="Q312" s="32" t="str">
        <f>IF($P312="","",$B312/$P312-1)</f>
        <v/>
      </c>
    </row>
    <row r="313">
      <c r="A313" s="11" t="n"/>
      <c r="B313" s="29" t="n"/>
      <c r="K313" s="30" t="str">
        <f>IF($A313="","",EDATE($A313,12*$E$4))</f>
        <v/>
      </c>
      <c r="L313" s="19" t="str">
        <f>IF($K313="","",IF($K313&gt;MAX($A$8:$A$5007),"",IFERROR(MATCH($K313,$A$8:$A$5007,1),"")))</f>
        <v/>
      </c>
      <c r="M313" s="30" t="str">
        <f>IF($L313="","",INDEX($A$8:$A$5007,$L313))</f>
        <v/>
      </c>
      <c r="N313" s="31" t="str">
        <f>IF($L313="","",INDEX($B$8:$B$5007,$L313))</f>
        <v/>
      </c>
      <c r="O313" s="32" t="str">
        <f>IF($M313="","",IF($K313-$M313&gt;7,"",IF($M313&lt;=$A313,"",IF(OR($B313&lt;=0,$N313&lt;=0),"",($N313/$B313)^(365/($M313-$A313))-1))))</f>
        <v/>
      </c>
      <c r="P313" s="31" t="str">
        <f>IF($B313="","",IF($P312="",$B313,MAX($P312,$B313)))</f>
        <v/>
      </c>
      <c r="Q313" s="32" t="str">
        <f>IF($P313="","",$B313/$P313-1)</f>
        <v/>
      </c>
    </row>
    <row r="314">
      <c r="A314" s="11" t="n"/>
      <c r="B314" s="29" t="n"/>
      <c r="K314" s="30" t="str">
        <f>IF($A314="","",EDATE($A314,12*$E$4))</f>
        <v/>
      </c>
      <c r="L314" s="19" t="str">
        <f>IF($K314="","",IF($K314&gt;MAX($A$8:$A$5007),"",IFERROR(MATCH($K314,$A$8:$A$5007,1),"")))</f>
        <v/>
      </c>
      <c r="M314" s="30" t="str">
        <f>IF($L314="","",INDEX($A$8:$A$5007,$L314))</f>
        <v/>
      </c>
      <c r="N314" s="31" t="str">
        <f>IF($L314="","",INDEX($B$8:$B$5007,$L314))</f>
        <v/>
      </c>
      <c r="O314" s="32" t="str">
        <f>IF($M314="","",IF($K314-$M314&gt;7,"",IF($M314&lt;=$A314,"",IF(OR($B314&lt;=0,$N314&lt;=0),"",($N314/$B314)^(365/($M314-$A314))-1))))</f>
        <v/>
      </c>
      <c r="P314" s="31" t="str">
        <f>IF($B314="","",IF($P313="",$B314,MAX($P313,$B314)))</f>
        <v/>
      </c>
      <c r="Q314" s="32" t="str">
        <f>IF($P314="","",$B314/$P314-1)</f>
        <v/>
      </c>
    </row>
    <row r="315">
      <c r="A315" s="11" t="n"/>
      <c r="B315" s="29" t="n"/>
      <c r="K315" s="30" t="str">
        <f>IF($A315="","",EDATE($A315,12*$E$4))</f>
        <v/>
      </c>
      <c r="L315" s="19" t="str">
        <f>IF($K315="","",IF($K315&gt;MAX($A$8:$A$5007),"",IFERROR(MATCH($K315,$A$8:$A$5007,1),"")))</f>
        <v/>
      </c>
      <c r="M315" s="30" t="str">
        <f>IF($L315="","",INDEX($A$8:$A$5007,$L315))</f>
        <v/>
      </c>
      <c r="N315" s="31" t="str">
        <f>IF($L315="","",INDEX($B$8:$B$5007,$L315))</f>
        <v/>
      </c>
      <c r="O315" s="32" t="str">
        <f>IF($M315="","",IF($K315-$M315&gt;7,"",IF($M315&lt;=$A315,"",IF(OR($B315&lt;=0,$N315&lt;=0),"",($N315/$B315)^(365/($M315-$A315))-1))))</f>
        <v/>
      </c>
      <c r="P315" s="31" t="str">
        <f>IF($B315="","",IF($P314="",$B315,MAX($P314,$B315)))</f>
        <v/>
      </c>
      <c r="Q315" s="32" t="str">
        <f>IF($P315="","",$B315/$P315-1)</f>
        <v/>
      </c>
    </row>
    <row r="316">
      <c r="A316" s="11" t="n"/>
      <c r="B316" s="29" t="n"/>
      <c r="K316" s="30" t="str">
        <f>IF($A316="","",EDATE($A316,12*$E$4))</f>
        <v/>
      </c>
      <c r="L316" s="19" t="str">
        <f>IF($K316="","",IF($K316&gt;MAX($A$8:$A$5007),"",IFERROR(MATCH($K316,$A$8:$A$5007,1),"")))</f>
        <v/>
      </c>
      <c r="M316" s="30" t="str">
        <f>IF($L316="","",INDEX($A$8:$A$5007,$L316))</f>
        <v/>
      </c>
      <c r="N316" s="31" t="str">
        <f>IF($L316="","",INDEX($B$8:$B$5007,$L316))</f>
        <v/>
      </c>
      <c r="O316" s="32" t="str">
        <f>IF($M316="","",IF($K316-$M316&gt;7,"",IF($M316&lt;=$A316,"",IF(OR($B316&lt;=0,$N316&lt;=0),"",($N316/$B316)^(365/($M316-$A316))-1))))</f>
        <v/>
      </c>
      <c r="P316" s="31" t="str">
        <f>IF($B316="","",IF($P315="",$B316,MAX($P315,$B316)))</f>
        <v/>
      </c>
      <c r="Q316" s="32" t="str">
        <f>IF($P316="","",$B316/$P316-1)</f>
        <v/>
      </c>
    </row>
    <row r="317">
      <c r="A317" s="11" t="n"/>
      <c r="B317" s="29" t="n"/>
      <c r="K317" s="30" t="str">
        <f>IF($A317="","",EDATE($A317,12*$E$4))</f>
        <v/>
      </c>
      <c r="L317" s="19" t="str">
        <f>IF($K317="","",IF($K317&gt;MAX($A$8:$A$5007),"",IFERROR(MATCH($K317,$A$8:$A$5007,1),"")))</f>
        <v/>
      </c>
      <c r="M317" s="30" t="str">
        <f>IF($L317="","",INDEX($A$8:$A$5007,$L317))</f>
        <v/>
      </c>
      <c r="N317" s="31" t="str">
        <f>IF($L317="","",INDEX($B$8:$B$5007,$L317))</f>
        <v/>
      </c>
      <c r="O317" s="32" t="str">
        <f>IF($M317="","",IF($K317-$M317&gt;7,"",IF($M317&lt;=$A317,"",IF(OR($B317&lt;=0,$N317&lt;=0),"",($N317/$B317)^(365/($M317-$A317))-1))))</f>
        <v/>
      </c>
      <c r="P317" s="31" t="str">
        <f>IF($B317="","",IF($P316="",$B317,MAX($P316,$B317)))</f>
        <v/>
      </c>
      <c r="Q317" s="32" t="str">
        <f>IF($P317="","",$B317/$P317-1)</f>
        <v/>
      </c>
    </row>
    <row r="318">
      <c r="A318" s="11" t="n"/>
      <c r="B318" s="29" t="n"/>
      <c r="K318" s="30" t="str">
        <f>IF($A318="","",EDATE($A318,12*$E$4))</f>
        <v/>
      </c>
      <c r="L318" s="19" t="str">
        <f>IF($K318="","",IF($K318&gt;MAX($A$8:$A$5007),"",IFERROR(MATCH($K318,$A$8:$A$5007,1),"")))</f>
        <v/>
      </c>
      <c r="M318" s="30" t="str">
        <f>IF($L318="","",INDEX($A$8:$A$5007,$L318))</f>
        <v/>
      </c>
      <c r="N318" s="31" t="str">
        <f>IF($L318="","",INDEX($B$8:$B$5007,$L318))</f>
        <v/>
      </c>
      <c r="O318" s="32" t="str">
        <f>IF($M318="","",IF($K318-$M318&gt;7,"",IF($M318&lt;=$A318,"",IF(OR($B318&lt;=0,$N318&lt;=0),"",($N318/$B318)^(365/($M318-$A318))-1))))</f>
        <v/>
      </c>
      <c r="P318" s="31" t="str">
        <f>IF($B318="","",IF($P317="",$B318,MAX($P317,$B318)))</f>
        <v/>
      </c>
      <c r="Q318" s="32" t="str">
        <f>IF($P318="","",$B318/$P318-1)</f>
        <v/>
      </c>
    </row>
    <row r="319">
      <c r="A319" s="11" t="n"/>
      <c r="B319" s="29" t="n"/>
      <c r="K319" s="30" t="str">
        <f>IF($A319="","",EDATE($A319,12*$E$4))</f>
        <v/>
      </c>
      <c r="L319" s="19" t="str">
        <f>IF($K319="","",IF($K319&gt;MAX($A$8:$A$5007),"",IFERROR(MATCH($K319,$A$8:$A$5007,1),"")))</f>
        <v/>
      </c>
      <c r="M319" s="30" t="str">
        <f>IF($L319="","",INDEX($A$8:$A$5007,$L319))</f>
        <v/>
      </c>
      <c r="N319" s="31" t="str">
        <f>IF($L319="","",INDEX($B$8:$B$5007,$L319))</f>
        <v/>
      </c>
      <c r="O319" s="32" t="str">
        <f>IF($M319="","",IF($K319-$M319&gt;7,"",IF($M319&lt;=$A319,"",IF(OR($B319&lt;=0,$N319&lt;=0),"",($N319/$B319)^(365/($M319-$A319))-1))))</f>
        <v/>
      </c>
      <c r="P319" s="31" t="str">
        <f>IF($B319="","",IF($P318="",$B319,MAX($P318,$B319)))</f>
        <v/>
      </c>
      <c r="Q319" s="32" t="str">
        <f>IF($P319="","",$B319/$P319-1)</f>
        <v/>
      </c>
    </row>
    <row r="320">
      <c r="A320" s="11" t="n"/>
      <c r="B320" s="29" t="n"/>
      <c r="K320" s="30" t="str">
        <f>IF($A320="","",EDATE($A320,12*$E$4))</f>
        <v/>
      </c>
      <c r="L320" s="19" t="str">
        <f>IF($K320="","",IF($K320&gt;MAX($A$8:$A$5007),"",IFERROR(MATCH($K320,$A$8:$A$5007,1),"")))</f>
        <v/>
      </c>
      <c r="M320" s="30" t="str">
        <f>IF($L320="","",INDEX($A$8:$A$5007,$L320))</f>
        <v/>
      </c>
      <c r="N320" s="31" t="str">
        <f>IF($L320="","",INDEX($B$8:$B$5007,$L320))</f>
        <v/>
      </c>
      <c r="O320" s="32" t="str">
        <f>IF($M320="","",IF($K320-$M320&gt;7,"",IF($M320&lt;=$A320,"",IF(OR($B320&lt;=0,$N320&lt;=0),"",($N320/$B320)^(365/($M320-$A320))-1))))</f>
        <v/>
      </c>
      <c r="P320" s="31" t="str">
        <f>IF($B320="","",IF($P319="",$B320,MAX($P319,$B320)))</f>
        <v/>
      </c>
      <c r="Q320" s="32" t="str">
        <f>IF($P320="","",$B320/$P320-1)</f>
        <v/>
      </c>
    </row>
    <row r="321">
      <c r="A321" s="11" t="n"/>
      <c r="B321" s="29" t="n"/>
      <c r="K321" s="30" t="str">
        <f>IF($A321="","",EDATE($A321,12*$E$4))</f>
        <v/>
      </c>
      <c r="L321" s="19" t="str">
        <f>IF($K321="","",IF($K321&gt;MAX($A$8:$A$5007),"",IFERROR(MATCH($K321,$A$8:$A$5007,1),"")))</f>
        <v/>
      </c>
      <c r="M321" s="30" t="str">
        <f>IF($L321="","",INDEX($A$8:$A$5007,$L321))</f>
        <v/>
      </c>
      <c r="N321" s="31" t="str">
        <f>IF($L321="","",INDEX($B$8:$B$5007,$L321))</f>
        <v/>
      </c>
      <c r="O321" s="32" t="str">
        <f>IF($M321="","",IF($K321-$M321&gt;7,"",IF($M321&lt;=$A321,"",IF(OR($B321&lt;=0,$N321&lt;=0),"",($N321/$B321)^(365/($M321-$A321))-1))))</f>
        <v/>
      </c>
      <c r="P321" s="31" t="str">
        <f>IF($B321="","",IF($P320="",$B321,MAX($P320,$B321)))</f>
        <v/>
      </c>
      <c r="Q321" s="32" t="str">
        <f>IF($P321="","",$B321/$P321-1)</f>
        <v/>
      </c>
    </row>
    <row r="322">
      <c r="A322" s="11" t="n"/>
      <c r="B322" s="29" t="n"/>
      <c r="K322" s="30" t="str">
        <f>IF($A322="","",EDATE($A322,12*$E$4))</f>
        <v/>
      </c>
      <c r="L322" s="19" t="str">
        <f>IF($K322="","",IF($K322&gt;MAX($A$8:$A$5007),"",IFERROR(MATCH($K322,$A$8:$A$5007,1),"")))</f>
        <v/>
      </c>
      <c r="M322" s="30" t="str">
        <f>IF($L322="","",INDEX($A$8:$A$5007,$L322))</f>
        <v/>
      </c>
      <c r="N322" s="31" t="str">
        <f>IF($L322="","",INDEX($B$8:$B$5007,$L322))</f>
        <v/>
      </c>
      <c r="O322" s="32" t="str">
        <f>IF($M322="","",IF($K322-$M322&gt;7,"",IF($M322&lt;=$A322,"",IF(OR($B322&lt;=0,$N322&lt;=0),"",($N322/$B322)^(365/($M322-$A322))-1))))</f>
        <v/>
      </c>
      <c r="P322" s="31" t="str">
        <f>IF($B322="","",IF($P321="",$B322,MAX($P321,$B322)))</f>
        <v/>
      </c>
      <c r="Q322" s="32" t="str">
        <f>IF($P322="","",$B322/$P322-1)</f>
        <v/>
      </c>
    </row>
    <row r="323">
      <c r="A323" s="11" t="n"/>
      <c r="B323" s="29" t="n"/>
      <c r="K323" s="30" t="str">
        <f>IF($A323="","",EDATE($A323,12*$E$4))</f>
        <v/>
      </c>
      <c r="L323" s="19" t="str">
        <f>IF($K323="","",IF($K323&gt;MAX($A$8:$A$5007),"",IFERROR(MATCH($K323,$A$8:$A$5007,1),"")))</f>
        <v/>
      </c>
      <c r="M323" s="30" t="str">
        <f>IF($L323="","",INDEX($A$8:$A$5007,$L323))</f>
        <v/>
      </c>
      <c r="N323" s="31" t="str">
        <f>IF($L323="","",INDEX($B$8:$B$5007,$L323))</f>
        <v/>
      </c>
      <c r="O323" s="32" t="str">
        <f>IF($M323="","",IF($K323-$M323&gt;7,"",IF($M323&lt;=$A323,"",IF(OR($B323&lt;=0,$N323&lt;=0),"",($N323/$B323)^(365/($M323-$A323))-1))))</f>
        <v/>
      </c>
      <c r="P323" s="31" t="str">
        <f>IF($B323="","",IF($P322="",$B323,MAX($P322,$B323)))</f>
        <v/>
      </c>
      <c r="Q323" s="32" t="str">
        <f>IF($P323="","",$B323/$P323-1)</f>
        <v/>
      </c>
    </row>
    <row r="324">
      <c r="A324" s="11" t="n"/>
      <c r="B324" s="29" t="n"/>
      <c r="K324" s="30" t="str">
        <f>IF($A324="","",EDATE($A324,12*$E$4))</f>
        <v/>
      </c>
      <c r="L324" s="19" t="str">
        <f>IF($K324="","",IF($K324&gt;MAX($A$8:$A$5007),"",IFERROR(MATCH($K324,$A$8:$A$5007,1),"")))</f>
        <v/>
      </c>
      <c r="M324" s="30" t="str">
        <f>IF($L324="","",INDEX($A$8:$A$5007,$L324))</f>
        <v/>
      </c>
      <c r="N324" s="31" t="str">
        <f>IF($L324="","",INDEX($B$8:$B$5007,$L324))</f>
        <v/>
      </c>
      <c r="O324" s="32" t="str">
        <f>IF($M324="","",IF($K324-$M324&gt;7,"",IF($M324&lt;=$A324,"",IF(OR($B324&lt;=0,$N324&lt;=0),"",($N324/$B324)^(365/($M324-$A324))-1))))</f>
        <v/>
      </c>
      <c r="P324" s="31" t="str">
        <f>IF($B324="","",IF($P323="",$B324,MAX($P323,$B324)))</f>
        <v/>
      </c>
      <c r="Q324" s="32" t="str">
        <f>IF($P324="","",$B324/$P324-1)</f>
        <v/>
      </c>
    </row>
    <row r="325">
      <c r="A325" s="11" t="n"/>
      <c r="B325" s="29" t="n"/>
      <c r="K325" s="30" t="str">
        <f>IF($A325="","",EDATE($A325,12*$E$4))</f>
        <v/>
      </c>
      <c r="L325" s="19" t="str">
        <f>IF($K325="","",IF($K325&gt;MAX($A$8:$A$5007),"",IFERROR(MATCH($K325,$A$8:$A$5007,1),"")))</f>
        <v/>
      </c>
      <c r="M325" s="30" t="str">
        <f>IF($L325="","",INDEX($A$8:$A$5007,$L325))</f>
        <v/>
      </c>
      <c r="N325" s="31" t="str">
        <f>IF($L325="","",INDEX($B$8:$B$5007,$L325))</f>
        <v/>
      </c>
      <c r="O325" s="32" t="str">
        <f>IF($M325="","",IF($K325-$M325&gt;7,"",IF($M325&lt;=$A325,"",IF(OR($B325&lt;=0,$N325&lt;=0),"",($N325/$B325)^(365/($M325-$A325))-1))))</f>
        <v/>
      </c>
      <c r="P325" s="31" t="str">
        <f>IF($B325="","",IF($P324="",$B325,MAX($P324,$B325)))</f>
        <v/>
      </c>
      <c r="Q325" s="32" t="str">
        <f>IF($P325="","",$B325/$P325-1)</f>
        <v/>
      </c>
    </row>
    <row r="326">
      <c r="A326" s="11" t="n"/>
      <c r="B326" s="29" t="n"/>
      <c r="K326" s="30" t="str">
        <f>IF($A326="","",EDATE($A326,12*$E$4))</f>
        <v/>
      </c>
      <c r="L326" s="19" t="str">
        <f>IF($K326="","",IF($K326&gt;MAX($A$8:$A$5007),"",IFERROR(MATCH($K326,$A$8:$A$5007,1),"")))</f>
        <v/>
      </c>
      <c r="M326" s="30" t="str">
        <f>IF($L326="","",INDEX($A$8:$A$5007,$L326))</f>
        <v/>
      </c>
      <c r="N326" s="31" t="str">
        <f>IF($L326="","",INDEX($B$8:$B$5007,$L326))</f>
        <v/>
      </c>
      <c r="O326" s="32" t="str">
        <f>IF($M326="","",IF($K326-$M326&gt;7,"",IF($M326&lt;=$A326,"",IF(OR($B326&lt;=0,$N326&lt;=0),"",($N326/$B326)^(365/($M326-$A326))-1))))</f>
        <v/>
      </c>
      <c r="P326" s="31" t="str">
        <f>IF($B326="","",IF($P325="",$B326,MAX($P325,$B326)))</f>
        <v/>
      </c>
      <c r="Q326" s="32" t="str">
        <f>IF($P326="","",$B326/$P326-1)</f>
        <v/>
      </c>
    </row>
    <row r="327">
      <c r="A327" s="11" t="n"/>
      <c r="B327" s="29" t="n"/>
      <c r="K327" s="30" t="str">
        <f>IF($A327="","",EDATE($A327,12*$E$4))</f>
        <v/>
      </c>
      <c r="L327" s="19" t="str">
        <f>IF($K327="","",IF($K327&gt;MAX($A$8:$A$5007),"",IFERROR(MATCH($K327,$A$8:$A$5007,1),"")))</f>
        <v/>
      </c>
      <c r="M327" s="30" t="str">
        <f>IF($L327="","",INDEX($A$8:$A$5007,$L327))</f>
        <v/>
      </c>
      <c r="N327" s="31" t="str">
        <f>IF($L327="","",INDEX($B$8:$B$5007,$L327))</f>
        <v/>
      </c>
      <c r="O327" s="32" t="str">
        <f>IF($M327="","",IF($K327-$M327&gt;7,"",IF($M327&lt;=$A327,"",IF(OR($B327&lt;=0,$N327&lt;=0),"",($N327/$B327)^(365/($M327-$A327))-1))))</f>
        <v/>
      </c>
      <c r="P327" s="31" t="str">
        <f>IF($B327="","",IF($P326="",$B327,MAX($P326,$B327)))</f>
        <v/>
      </c>
      <c r="Q327" s="32" t="str">
        <f>IF($P327="","",$B327/$P327-1)</f>
        <v/>
      </c>
    </row>
    <row r="328">
      <c r="A328" s="11" t="n"/>
      <c r="B328" s="29" t="n"/>
      <c r="K328" s="30" t="str">
        <f>IF($A328="","",EDATE($A328,12*$E$4))</f>
        <v/>
      </c>
      <c r="L328" s="19" t="str">
        <f>IF($K328="","",IF($K328&gt;MAX($A$8:$A$5007),"",IFERROR(MATCH($K328,$A$8:$A$5007,1),"")))</f>
        <v/>
      </c>
      <c r="M328" s="30" t="str">
        <f>IF($L328="","",INDEX($A$8:$A$5007,$L328))</f>
        <v/>
      </c>
      <c r="N328" s="31" t="str">
        <f>IF($L328="","",INDEX($B$8:$B$5007,$L328))</f>
        <v/>
      </c>
      <c r="O328" s="32" t="str">
        <f>IF($M328="","",IF($K328-$M328&gt;7,"",IF($M328&lt;=$A328,"",IF(OR($B328&lt;=0,$N328&lt;=0),"",($N328/$B328)^(365/($M328-$A328))-1))))</f>
        <v/>
      </c>
      <c r="P328" s="31" t="str">
        <f>IF($B328="","",IF($P327="",$B328,MAX($P327,$B328)))</f>
        <v/>
      </c>
      <c r="Q328" s="32" t="str">
        <f>IF($P328="","",$B328/$P328-1)</f>
        <v/>
      </c>
    </row>
    <row r="329">
      <c r="A329" s="11" t="n"/>
      <c r="B329" s="29" t="n"/>
      <c r="K329" s="30" t="str">
        <f>IF($A329="","",EDATE($A329,12*$E$4))</f>
        <v/>
      </c>
      <c r="L329" s="19" t="str">
        <f>IF($K329="","",IF($K329&gt;MAX($A$8:$A$5007),"",IFERROR(MATCH($K329,$A$8:$A$5007,1),"")))</f>
        <v/>
      </c>
      <c r="M329" s="30" t="str">
        <f>IF($L329="","",INDEX($A$8:$A$5007,$L329))</f>
        <v/>
      </c>
      <c r="N329" s="31" t="str">
        <f>IF($L329="","",INDEX($B$8:$B$5007,$L329))</f>
        <v/>
      </c>
      <c r="O329" s="32" t="str">
        <f>IF($M329="","",IF($K329-$M329&gt;7,"",IF($M329&lt;=$A329,"",IF(OR($B329&lt;=0,$N329&lt;=0),"",($N329/$B329)^(365/($M329-$A329))-1))))</f>
        <v/>
      </c>
      <c r="P329" s="31" t="str">
        <f>IF($B329="","",IF($P328="",$B329,MAX($P328,$B329)))</f>
        <v/>
      </c>
      <c r="Q329" s="32" t="str">
        <f>IF($P329="","",$B329/$P329-1)</f>
        <v/>
      </c>
    </row>
    <row r="330">
      <c r="A330" s="11" t="n"/>
      <c r="B330" s="29" t="n"/>
      <c r="K330" s="30" t="str">
        <f>IF($A330="","",EDATE($A330,12*$E$4))</f>
        <v/>
      </c>
      <c r="L330" s="19" t="str">
        <f>IF($K330="","",IF($K330&gt;MAX($A$8:$A$5007),"",IFERROR(MATCH($K330,$A$8:$A$5007,1),"")))</f>
        <v/>
      </c>
      <c r="M330" s="30" t="str">
        <f>IF($L330="","",INDEX($A$8:$A$5007,$L330))</f>
        <v/>
      </c>
      <c r="N330" s="31" t="str">
        <f>IF($L330="","",INDEX($B$8:$B$5007,$L330))</f>
        <v/>
      </c>
      <c r="O330" s="32" t="str">
        <f>IF($M330="","",IF($K330-$M330&gt;7,"",IF($M330&lt;=$A330,"",IF(OR($B330&lt;=0,$N330&lt;=0),"",($N330/$B330)^(365/($M330-$A330))-1))))</f>
        <v/>
      </c>
      <c r="P330" s="31" t="str">
        <f>IF($B330="","",IF($P329="",$B330,MAX($P329,$B330)))</f>
        <v/>
      </c>
      <c r="Q330" s="32" t="str">
        <f>IF($P330="","",$B330/$P330-1)</f>
        <v/>
      </c>
    </row>
    <row r="331">
      <c r="A331" s="11" t="n"/>
      <c r="B331" s="29" t="n"/>
      <c r="K331" s="30" t="str">
        <f>IF($A331="","",EDATE($A331,12*$E$4))</f>
        <v/>
      </c>
      <c r="L331" s="19" t="str">
        <f>IF($K331="","",IF($K331&gt;MAX($A$8:$A$5007),"",IFERROR(MATCH($K331,$A$8:$A$5007,1),"")))</f>
        <v/>
      </c>
      <c r="M331" s="30" t="str">
        <f>IF($L331="","",INDEX($A$8:$A$5007,$L331))</f>
        <v/>
      </c>
      <c r="N331" s="31" t="str">
        <f>IF($L331="","",INDEX($B$8:$B$5007,$L331))</f>
        <v/>
      </c>
      <c r="O331" s="32" t="str">
        <f>IF($M331="","",IF($K331-$M331&gt;7,"",IF($M331&lt;=$A331,"",IF(OR($B331&lt;=0,$N331&lt;=0),"",($N331/$B331)^(365/($M331-$A331))-1))))</f>
        <v/>
      </c>
      <c r="P331" s="31" t="str">
        <f>IF($B331="","",IF($P330="",$B331,MAX($P330,$B331)))</f>
        <v/>
      </c>
      <c r="Q331" s="32" t="str">
        <f>IF($P331="","",$B331/$P331-1)</f>
        <v/>
      </c>
    </row>
    <row r="332">
      <c r="A332" s="11" t="n"/>
      <c r="B332" s="29" t="n"/>
      <c r="K332" s="30" t="str">
        <f>IF($A332="","",EDATE($A332,12*$E$4))</f>
        <v/>
      </c>
      <c r="L332" s="19" t="str">
        <f>IF($K332="","",IF($K332&gt;MAX($A$8:$A$5007),"",IFERROR(MATCH($K332,$A$8:$A$5007,1),"")))</f>
        <v/>
      </c>
      <c r="M332" s="30" t="str">
        <f>IF($L332="","",INDEX($A$8:$A$5007,$L332))</f>
        <v/>
      </c>
      <c r="N332" s="31" t="str">
        <f>IF($L332="","",INDEX($B$8:$B$5007,$L332))</f>
        <v/>
      </c>
      <c r="O332" s="32" t="str">
        <f>IF($M332="","",IF($K332-$M332&gt;7,"",IF($M332&lt;=$A332,"",IF(OR($B332&lt;=0,$N332&lt;=0),"",($N332/$B332)^(365/($M332-$A332))-1))))</f>
        <v/>
      </c>
      <c r="P332" s="31" t="str">
        <f>IF($B332="","",IF($P331="",$B332,MAX($P331,$B332)))</f>
        <v/>
      </c>
      <c r="Q332" s="32" t="str">
        <f>IF($P332="","",$B332/$P332-1)</f>
        <v/>
      </c>
    </row>
    <row r="333">
      <c r="A333" s="11" t="n"/>
      <c r="B333" s="29" t="n"/>
      <c r="K333" s="30" t="str">
        <f>IF($A333="","",EDATE($A333,12*$E$4))</f>
        <v/>
      </c>
      <c r="L333" s="19" t="str">
        <f>IF($K333="","",IF($K333&gt;MAX($A$8:$A$5007),"",IFERROR(MATCH($K333,$A$8:$A$5007,1),"")))</f>
        <v/>
      </c>
      <c r="M333" s="30" t="str">
        <f>IF($L333="","",INDEX($A$8:$A$5007,$L333))</f>
        <v/>
      </c>
      <c r="N333" s="31" t="str">
        <f>IF($L333="","",INDEX($B$8:$B$5007,$L333))</f>
        <v/>
      </c>
      <c r="O333" s="32" t="str">
        <f>IF($M333="","",IF($K333-$M333&gt;7,"",IF($M333&lt;=$A333,"",IF(OR($B333&lt;=0,$N333&lt;=0),"",($N333/$B333)^(365/($M333-$A333))-1))))</f>
        <v/>
      </c>
      <c r="P333" s="31" t="str">
        <f>IF($B333="","",IF($P332="",$B333,MAX($P332,$B333)))</f>
        <v/>
      </c>
      <c r="Q333" s="32" t="str">
        <f>IF($P333="","",$B333/$P333-1)</f>
        <v/>
      </c>
    </row>
    <row r="334">
      <c r="A334" s="11" t="n"/>
      <c r="B334" s="29" t="n"/>
      <c r="K334" s="30" t="str">
        <f>IF($A334="","",EDATE($A334,12*$E$4))</f>
        <v/>
      </c>
      <c r="L334" s="19" t="str">
        <f>IF($K334="","",IF($K334&gt;MAX($A$8:$A$5007),"",IFERROR(MATCH($K334,$A$8:$A$5007,1),"")))</f>
        <v/>
      </c>
      <c r="M334" s="30" t="str">
        <f>IF($L334="","",INDEX($A$8:$A$5007,$L334))</f>
        <v/>
      </c>
      <c r="N334" s="31" t="str">
        <f>IF($L334="","",INDEX($B$8:$B$5007,$L334))</f>
        <v/>
      </c>
      <c r="O334" s="32" t="str">
        <f>IF($M334="","",IF($K334-$M334&gt;7,"",IF($M334&lt;=$A334,"",IF(OR($B334&lt;=0,$N334&lt;=0),"",($N334/$B334)^(365/($M334-$A334))-1))))</f>
        <v/>
      </c>
      <c r="P334" s="31" t="str">
        <f>IF($B334="","",IF($P333="",$B334,MAX($P333,$B334)))</f>
        <v/>
      </c>
      <c r="Q334" s="32" t="str">
        <f>IF($P334="","",$B334/$P334-1)</f>
        <v/>
      </c>
    </row>
    <row r="335">
      <c r="A335" s="11" t="n"/>
      <c r="B335" s="29" t="n"/>
      <c r="K335" s="30" t="str">
        <f>IF($A335="","",EDATE($A335,12*$E$4))</f>
        <v/>
      </c>
      <c r="L335" s="19" t="str">
        <f>IF($K335="","",IF($K335&gt;MAX($A$8:$A$5007),"",IFERROR(MATCH($K335,$A$8:$A$5007,1),"")))</f>
        <v/>
      </c>
      <c r="M335" s="30" t="str">
        <f>IF($L335="","",INDEX($A$8:$A$5007,$L335))</f>
        <v/>
      </c>
      <c r="N335" s="31" t="str">
        <f>IF($L335="","",INDEX($B$8:$B$5007,$L335))</f>
        <v/>
      </c>
      <c r="O335" s="32" t="str">
        <f>IF($M335="","",IF($K335-$M335&gt;7,"",IF($M335&lt;=$A335,"",IF(OR($B335&lt;=0,$N335&lt;=0),"",($N335/$B335)^(365/($M335-$A335))-1))))</f>
        <v/>
      </c>
      <c r="P335" s="31" t="str">
        <f>IF($B335="","",IF($P334="",$B335,MAX($P334,$B335)))</f>
        <v/>
      </c>
      <c r="Q335" s="32" t="str">
        <f>IF($P335="","",$B335/$P335-1)</f>
        <v/>
      </c>
    </row>
    <row r="336">
      <c r="A336" s="11" t="n"/>
      <c r="B336" s="29" t="n"/>
      <c r="K336" s="30" t="str">
        <f>IF($A336="","",EDATE($A336,12*$E$4))</f>
        <v/>
      </c>
      <c r="L336" s="19" t="str">
        <f>IF($K336="","",IF($K336&gt;MAX($A$8:$A$5007),"",IFERROR(MATCH($K336,$A$8:$A$5007,1),"")))</f>
        <v/>
      </c>
      <c r="M336" s="30" t="str">
        <f>IF($L336="","",INDEX($A$8:$A$5007,$L336))</f>
        <v/>
      </c>
      <c r="N336" s="31" t="str">
        <f>IF($L336="","",INDEX($B$8:$B$5007,$L336))</f>
        <v/>
      </c>
      <c r="O336" s="32" t="str">
        <f>IF($M336="","",IF($K336-$M336&gt;7,"",IF($M336&lt;=$A336,"",IF(OR($B336&lt;=0,$N336&lt;=0),"",($N336/$B336)^(365/($M336-$A336))-1))))</f>
        <v/>
      </c>
      <c r="P336" s="31" t="str">
        <f>IF($B336="","",IF($P335="",$B336,MAX($P335,$B336)))</f>
        <v/>
      </c>
      <c r="Q336" s="32" t="str">
        <f>IF($P336="","",$B336/$P336-1)</f>
        <v/>
      </c>
    </row>
    <row r="337">
      <c r="A337" s="11" t="n"/>
      <c r="B337" s="29" t="n"/>
      <c r="K337" s="30" t="str">
        <f>IF($A337="","",EDATE($A337,12*$E$4))</f>
        <v/>
      </c>
      <c r="L337" s="19" t="str">
        <f>IF($K337="","",IF($K337&gt;MAX($A$8:$A$5007),"",IFERROR(MATCH($K337,$A$8:$A$5007,1),"")))</f>
        <v/>
      </c>
      <c r="M337" s="30" t="str">
        <f>IF($L337="","",INDEX($A$8:$A$5007,$L337))</f>
        <v/>
      </c>
      <c r="N337" s="31" t="str">
        <f>IF($L337="","",INDEX($B$8:$B$5007,$L337))</f>
        <v/>
      </c>
      <c r="O337" s="32" t="str">
        <f>IF($M337="","",IF($K337-$M337&gt;7,"",IF($M337&lt;=$A337,"",IF(OR($B337&lt;=0,$N337&lt;=0),"",($N337/$B337)^(365/($M337-$A337))-1))))</f>
        <v/>
      </c>
      <c r="P337" s="31" t="str">
        <f>IF($B337="","",IF($P336="",$B337,MAX($P336,$B337)))</f>
        <v/>
      </c>
      <c r="Q337" s="32" t="str">
        <f>IF($P337="","",$B337/$P337-1)</f>
        <v/>
      </c>
    </row>
    <row r="338">
      <c r="A338" s="11" t="n"/>
      <c r="B338" s="29" t="n"/>
      <c r="K338" s="30" t="str">
        <f>IF($A338="","",EDATE($A338,12*$E$4))</f>
        <v/>
      </c>
      <c r="L338" s="19" t="str">
        <f>IF($K338="","",IF($K338&gt;MAX($A$8:$A$5007),"",IFERROR(MATCH($K338,$A$8:$A$5007,1),"")))</f>
        <v/>
      </c>
      <c r="M338" s="30" t="str">
        <f>IF($L338="","",INDEX($A$8:$A$5007,$L338))</f>
        <v/>
      </c>
      <c r="N338" s="31" t="str">
        <f>IF($L338="","",INDEX($B$8:$B$5007,$L338))</f>
        <v/>
      </c>
      <c r="O338" s="32" t="str">
        <f>IF($M338="","",IF($K338-$M338&gt;7,"",IF($M338&lt;=$A338,"",IF(OR($B338&lt;=0,$N338&lt;=0),"",($N338/$B338)^(365/($M338-$A338))-1))))</f>
        <v/>
      </c>
      <c r="P338" s="31" t="str">
        <f>IF($B338="","",IF($P337="",$B338,MAX($P337,$B338)))</f>
        <v/>
      </c>
      <c r="Q338" s="32" t="str">
        <f>IF($P338="","",$B338/$P338-1)</f>
        <v/>
      </c>
    </row>
    <row r="339">
      <c r="A339" s="11" t="n"/>
      <c r="B339" s="29" t="n"/>
      <c r="K339" s="30" t="str">
        <f>IF($A339="","",EDATE($A339,12*$E$4))</f>
        <v/>
      </c>
      <c r="L339" s="19" t="str">
        <f>IF($K339="","",IF($K339&gt;MAX($A$8:$A$5007),"",IFERROR(MATCH($K339,$A$8:$A$5007,1),"")))</f>
        <v/>
      </c>
      <c r="M339" s="30" t="str">
        <f>IF($L339="","",INDEX($A$8:$A$5007,$L339))</f>
        <v/>
      </c>
      <c r="N339" s="31" t="str">
        <f>IF($L339="","",INDEX($B$8:$B$5007,$L339))</f>
        <v/>
      </c>
      <c r="O339" s="32" t="str">
        <f>IF($M339="","",IF($K339-$M339&gt;7,"",IF($M339&lt;=$A339,"",IF(OR($B339&lt;=0,$N339&lt;=0),"",($N339/$B339)^(365/($M339-$A339))-1))))</f>
        <v/>
      </c>
      <c r="P339" s="31" t="str">
        <f>IF($B339="","",IF($P338="",$B339,MAX($P338,$B339)))</f>
        <v/>
      </c>
      <c r="Q339" s="32" t="str">
        <f>IF($P339="","",$B339/$P339-1)</f>
        <v/>
      </c>
    </row>
    <row r="340">
      <c r="A340" s="11" t="n"/>
      <c r="B340" s="29" t="n"/>
      <c r="K340" s="30" t="str">
        <f>IF($A340="","",EDATE($A340,12*$E$4))</f>
        <v/>
      </c>
      <c r="L340" s="19" t="str">
        <f>IF($K340="","",IF($K340&gt;MAX($A$8:$A$5007),"",IFERROR(MATCH($K340,$A$8:$A$5007,1),"")))</f>
        <v/>
      </c>
      <c r="M340" s="30" t="str">
        <f>IF($L340="","",INDEX($A$8:$A$5007,$L340))</f>
        <v/>
      </c>
      <c r="N340" s="31" t="str">
        <f>IF($L340="","",INDEX($B$8:$B$5007,$L340))</f>
        <v/>
      </c>
      <c r="O340" s="32" t="str">
        <f>IF($M340="","",IF($K340-$M340&gt;7,"",IF($M340&lt;=$A340,"",IF(OR($B340&lt;=0,$N340&lt;=0),"",($N340/$B340)^(365/($M340-$A340))-1))))</f>
        <v/>
      </c>
      <c r="P340" s="31" t="str">
        <f>IF($B340="","",IF($P339="",$B340,MAX($P339,$B340)))</f>
        <v/>
      </c>
      <c r="Q340" s="32" t="str">
        <f>IF($P340="","",$B340/$P340-1)</f>
        <v/>
      </c>
    </row>
    <row r="341">
      <c r="A341" s="11" t="n"/>
      <c r="B341" s="29" t="n"/>
      <c r="K341" s="30" t="str">
        <f>IF($A341="","",EDATE($A341,12*$E$4))</f>
        <v/>
      </c>
      <c r="L341" s="19" t="str">
        <f>IF($K341="","",IF($K341&gt;MAX($A$8:$A$5007),"",IFERROR(MATCH($K341,$A$8:$A$5007,1),"")))</f>
        <v/>
      </c>
      <c r="M341" s="30" t="str">
        <f>IF($L341="","",INDEX($A$8:$A$5007,$L341))</f>
        <v/>
      </c>
      <c r="N341" s="31" t="str">
        <f>IF($L341="","",INDEX($B$8:$B$5007,$L341))</f>
        <v/>
      </c>
      <c r="O341" s="32" t="str">
        <f>IF($M341="","",IF($K341-$M341&gt;7,"",IF($M341&lt;=$A341,"",IF(OR($B341&lt;=0,$N341&lt;=0),"",($N341/$B341)^(365/($M341-$A341))-1))))</f>
        <v/>
      </c>
      <c r="P341" s="31" t="str">
        <f>IF($B341="","",IF($P340="",$B341,MAX($P340,$B341)))</f>
        <v/>
      </c>
      <c r="Q341" s="32" t="str">
        <f>IF($P341="","",$B341/$P341-1)</f>
        <v/>
      </c>
    </row>
    <row r="342">
      <c r="A342" s="11" t="n"/>
      <c r="B342" s="29" t="n"/>
      <c r="K342" s="30" t="str">
        <f>IF($A342="","",EDATE($A342,12*$E$4))</f>
        <v/>
      </c>
      <c r="L342" s="19" t="str">
        <f>IF($K342="","",IF($K342&gt;MAX($A$8:$A$5007),"",IFERROR(MATCH($K342,$A$8:$A$5007,1),"")))</f>
        <v/>
      </c>
      <c r="M342" s="30" t="str">
        <f>IF($L342="","",INDEX($A$8:$A$5007,$L342))</f>
        <v/>
      </c>
      <c r="N342" s="31" t="str">
        <f>IF($L342="","",INDEX($B$8:$B$5007,$L342))</f>
        <v/>
      </c>
      <c r="O342" s="32" t="str">
        <f>IF($M342="","",IF($K342-$M342&gt;7,"",IF($M342&lt;=$A342,"",IF(OR($B342&lt;=0,$N342&lt;=0),"",($N342/$B342)^(365/($M342-$A342))-1))))</f>
        <v/>
      </c>
      <c r="P342" s="31" t="str">
        <f>IF($B342="","",IF($P341="",$B342,MAX($P341,$B342)))</f>
        <v/>
      </c>
      <c r="Q342" s="32" t="str">
        <f>IF($P342="","",$B342/$P342-1)</f>
        <v/>
      </c>
    </row>
    <row r="343">
      <c r="A343" s="11" t="n"/>
      <c r="B343" s="29" t="n"/>
      <c r="K343" s="30" t="str">
        <f>IF($A343="","",EDATE($A343,12*$E$4))</f>
        <v/>
      </c>
      <c r="L343" s="19" t="str">
        <f>IF($K343="","",IF($K343&gt;MAX($A$8:$A$5007),"",IFERROR(MATCH($K343,$A$8:$A$5007,1),"")))</f>
        <v/>
      </c>
      <c r="M343" s="30" t="str">
        <f>IF($L343="","",INDEX($A$8:$A$5007,$L343))</f>
        <v/>
      </c>
      <c r="N343" s="31" t="str">
        <f>IF($L343="","",INDEX($B$8:$B$5007,$L343))</f>
        <v/>
      </c>
      <c r="O343" s="32" t="str">
        <f>IF($M343="","",IF($K343-$M343&gt;7,"",IF($M343&lt;=$A343,"",IF(OR($B343&lt;=0,$N343&lt;=0),"",($N343/$B343)^(365/($M343-$A343))-1))))</f>
        <v/>
      </c>
      <c r="P343" s="31" t="str">
        <f>IF($B343="","",IF($P342="",$B343,MAX($P342,$B343)))</f>
        <v/>
      </c>
      <c r="Q343" s="32" t="str">
        <f>IF($P343="","",$B343/$P343-1)</f>
        <v/>
      </c>
    </row>
    <row r="344">
      <c r="A344" s="11" t="n"/>
      <c r="B344" s="29" t="n"/>
      <c r="K344" s="30" t="str">
        <f>IF($A344="","",EDATE($A344,12*$E$4))</f>
        <v/>
      </c>
      <c r="L344" s="19" t="str">
        <f>IF($K344="","",IF($K344&gt;MAX($A$8:$A$5007),"",IFERROR(MATCH($K344,$A$8:$A$5007,1),"")))</f>
        <v/>
      </c>
      <c r="M344" s="30" t="str">
        <f>IF($L344="","",INDEX($A$8:$A$5007,$L344))</f>
        <v/>
      </c>
      <c r="N344" s="31" t="str">
        <f>IF($L344="","",INDEX($B$8:$B$5007,$L344))</f>
        <v/>
      </c>
      <c r="O344" s="32" t="str">
        <f>IF($M344="","",IF($K344-$M344&gt;7,"",IF($M344&lt;=$A344,"",IF(OR($B344&lt;=0,$N344&lt;=0),"",($N344/$B344)^(365/($M344-$A344))-1))))</f>
        <v/>
      </c>
      <c r="P344" s="31" t="str">
        <f>IF($B344="","",IF($P343="",$B344,MAX($P343,$B344)))</f>
        <v/>
      </c>
      <c r="Q344" s="32" t="str">
        <f>IF($P344="","",$B344/$P344-1)</f>
        <v/>
      </c>
    </row>
    <row r="345">
      <c r="A345" s="11" t="n"/>
      <c r="B345" s="29" t="n"/>
      <c r="K345" s="30" t="str">
        <f>IF($A345="","",EDATE($A345,12*$E$4))</f>
        <v/>
      </c>
      <c r="L345" s="19" t="str">
        <f>IF($K345="","",IF($K345&gt;MAX($A$8:$A$5007),"",IFERROR(MATCH($K345,$A$8:$A$5007,1),"")))</f>
        <v/>
      </c>
      <c r="M345" s="30" t="str">
        <f>IF($L345="","",INDEX($A$8:$A$5007,$L345))</f>
        <v/>
      </c>
      <c r="N345" s="31" t="str">
        <f>IF($L345="","",INDEX($B$8:$B$5007,$L345))</f>
        <v/>
      </c>
      <c r="O345" s="32" t="str">
        <f>IF($M345="","",IF($K345-$M345&gt;7,"",IF($M345&lt;=$A345,"",IF(OR($B345&lt;=0,$N345&lt;=0),"",($N345/$B345)^(365/($M345-$A345))-1))))</f>
        <v/>
      </c>
      <c r="P345" s="31" t="str">
        <f>IF($B345="","",IF($P344="",$B345,MAX($P344,$B345)))</f>
        <v/>
      </c>
      <c r="Q345" s="32" t="str">
        <f>IF($P345="","",$B345/$P345-1)</f>
        <v/>
      </c>
    </row>
    <row r="346">
      <c r="A346" s="11" t="n"/>
      <c r="B346" s="29" t="n"/>
      <c r="K346" s="30" t="str">
        <f>IF($A346="","",EDATE($A346,12*$E$4))</f>
        <v/>
      </c>
      <c r="L346" s="19" t="str">
        <f>IF($K346="","",IF($K346&gt;MAX($A$8:$A$5007),"",IFERROR(MATCH($K346,$A$8:$A$5007,1),"")))</f>
        <v/>
      </c>
      <c r="M346" s="30" t="str">
        <f>IF($L346="","",INDEX($A$8:$A$5007,$L346))</f>
        <v/>
      </c>
      <c r="N346" s="31" t="str">
        <f>IF($L346="","",INDEX($B$8:$B$5007,$L346))</f>
        <v/>
      </c>
      <c r="O346" s="32" t="str">
        <f>IF($M346="","",IF($K346-$M346&gt;7,"",IF($M346&lt;=$A346,"",IF(OR($B346&lt;=0,$N346&lt;=0),"",($N346/$B346)^(365/($M346-$A346))-1))))</f>
        <v/>
      </c>
      <c r="P346" s="31" t="str">
        <f>IF($B346="","",IF($P345="",$B346,MAX($P345,$B346)))</f>
        <v/>
      </c>
      <c r="Q346" s="32" t="str">
        <f>IF($P346="","",$B346/$P346-1)</f>
        <v/>
      </c>
    </row>
    <row r="347">
      <c r="A347" s="11" t="n"/>
      <c r="B347" s="29" t="n"/>
      <c r="K347" s="30" t="str">
        <f>IF($A347="","",EDATE($A347,12*$E$4))</f>
        <v/>
      </c>
      <c r="L347" s="19" t="str">
        <f>IF($K347="","",IF($K347&gt;MAX($A$8:$A$5007),"",IFERROR(MATCH($K347,$A$8:$A$5007,1),"")))</f>
        <v/>
      </c>
      <c r="M347" s="30" t="str">
        <f>IF($L347="","",INDEX($A$8:$A$5007,$L347))</f>
        <v/>
      </c>
      <c r="N347" s="31" t="str">
        <f>IF($L347="","",INDEX($B$8:$B$5007,$L347))</f>
        <v/>
      </c>
      <c r="O347" s="32" t="str">
        <f>IF($M347="","",IF($K347-$M347&gt;7,"",IF($M347&lt;=$A347,"",IF(OR($B347&lt;=0,$N347&lt;=0),"",($N347/$B347)^(365/($M347-$A347))-1))))</f>
        <v/>
      </c>
      <c r="P347" s="31" t="str">
        <f>IF($B347="","",IF($P346="",$B347,MAX($P346,$B347)))</f>
        <v/>
      </c>
      <c r="Q347" s="32" t="str">
        <f>IF($P347="","",$B347/$P347-1)</f>
        <v/>
      </c>
    </row>
    <row r="348">
      <c r="A348" s="11" t="n"/>
      <c r="B348" s="29" t="n"/>
      <c r="K348" s="30" t="str">
        <f>IF($A348="","",EDATE($A348,12*$E$4))</f>
        <v/>
      </c>
      <c r="L348" s="19" t="str">
        <f>IF($K348="","",IF($K348&gt;MAX($A$8:$A$5007),"",IFERROR(MATCH($K348,$A$8:$A$5007,1),"")))</f>
        <v/>
      </c>
      <c r="M348" s="30" t="str">
        <f>IF($L348="","",INDEX($A$8:$A$5007,$L348))</f>
        <v/>
      </c>
      <c r="N348" s="31" t="str">
        <f>IF($L348="","",INDEX($B$8:$B$5007,$L348))</f>
        <v/>
      </c>
      <c r="O348" s="32" t="str">
        <f>IF($M348="","",IF($K348-$M348&gt;7,"",IF($M348&lt;=$A348,"",IF(OR($B348&lt;=0,$N348&lt;=0),"",($N348/$B348)^(365/($M348-$A348))-1))))</f>
        <v/>
      </c>
      <c r="P348" s="31" t="str">
        <f>IF($B348="","",IF($P347="",$B348,MAX($P347,$B348)))</f>
        <v/>
      </c>
      <c r="Q348" s="32" t="str">
        <f>IF($P348="","",$B348/$P348-1)</f>
        <v/>
      </c>
    </row>
    <row r="349">
      <c r="A349" s="11" t="n"/>
      <c r="B349" s="29" t="n"/>
      <c r="K349" s="30" t="str">
        <f>IF($A349="","",EDATE($A349,12*$E$4))</f>
        <v/>
      </c>
      <c r="L349" s="19" t="str">
        <f>IF($K349="","",IF($K349&gt;MAX($A$8:$A$5007),"",IFERROR(MATCH($K349,$A$8:$A$5007,1),"")))</f>
        <v/>
      </c>
      <c r="M349" s="30" t="str">
        <f>IF($L349="","",INDEX($A$8:$A$5007,$L349))</f>
        <v/>
      </c>
      <c r="N349" s="31" t="str">
        <f>IF($L349="","",INDEX($B$8:$B$5007,$L349))</f>
        <v/>
      </c>
      <c r="O349" s="32" t="str">
        <f>IF($M349="","",IF($K349-$M349&gt;7,"",IF($M349&lt;=$A349,"",IF(OR($B349&lt;=0,$N349&lt;=0),"",($N349/$B349)^(365/($M349-$A349))-1))))</f>
        <v/>
      </c>
      <c r="P349" s="31" t="str">
        <f>IF($B349="","",IF($P348="",$B349,MAX($P348,$B349)))</f>
        <v/>
      </c>
      <c r="Q349" s="32" t="str">
        <f>IF($P349="","",$B349/$P349-1)</f>
        <v/>
      </c>
    </row>
    <row r="350">
      <c r="A350" s="11" t="n"/>
      <c r="B350" s="29" t="n"/>
      <c r="K350" s="30" t="str">
        <f>IF($A350="","",EDATE($A350,12*$E$4))</f>
        <v/>
      </c>
      <c r="L350" s="19" t="str">
        <f>IF($K350="","",IF($K350&gt;MAX($A$8:$A$5007),"",IFERROR(MATCH($K350,$A$8:$A$5007,1),"")))</f>
        <v/>
      </c>
      <c r="M350" s="30" t="str">
        <f>IF($L350="","",INDEX($A$8:$A$5007,$L350))</f>
        <v/>
      </c>
      <c r="N350" s="31" t="str">
        <f>IF($L350="","",INDEX($B$8:$B$5007,$L350))</f>
        <v/>
      </c>
      <c r="O350" s="32" t="str">
        <f>IF($M350="","",IF($K350-$M350&gt;7,"",IF($M350&lt;=$A350,"",IF(OR($B350&lt;=0,$N350&lt;=0),"",($N350/$B350)^(365/($M350-$A350))-1))))</f>
        <v/>
      </c>
      <c r="P350" s="31" t="str">
        <f>IF($B350="","",IF($P349="",$B350,MAX($P349,$B350)))</f>
        <v/>
      </c>
      <c r="Q350" s="32" t="str">
        <f>IF($P350="","",$B350/$P350-1)</f>
        <v/>
      </c>
    </row>
    <row r="351">
      <c r="A351" s="11" t="n"/>
      <c r="B351" s="29" t="n"/>
      <c r="K351" s="30" t="str">
        <f>IF($A351="","",EDATE($A351,12*$E$4))</f>
        <v/>
      </c>
      <c r="L351" s="19" t="str">
        <f>IF($K351="","",IF($K351&gt;MAX($A$8:$A$5007),"",IFERROR(MATCH($K351,$A$8:$A$5007,1),"")))</f>
        <v/>
      </c>
      <c r="M351" s="30" t="str">
        <f>IF($L351="","",INDEX($A$8:$A$5007,$L351))</f>
        <v/>
      </c>
      <c r="N351" s="31" t="str">
        <f>IF($L351="","",INDEX($B$8:$B$5007,$L351))</f>
        <v/>
      </c>
      <c r="O351" s="32" t="str">
        <f>IF($M351="","",IF($K351-$M351&gt;7,"",IF($M351&lt;=$A351,"",IF(OR($B351&lt;=0,$N351&lt;=0),"",($N351/$B351)^(365/($M351-$A351))-1))))</f>
        <v/>
      </c>
      <c r="P351" s="31" t="str">
        <f>IF($B351="","",IF($P350="",$B351,MAX($P350,$B351)))</f>
        <v/>
      </c>
      <c r="Q351" s="32" t="str">
        <f>IF($P351="","",$B351/$P351-1)</f>
        <v/>
      </c>
    </row>
    <row r="352">
      <c r="A352" s="11" t="n"/>
      <c r="B352" s="29" t="n"/>
      <c r="K352" s="30" t="str">
        <f>IF($A352="","",EDATE($A352,12*$E$4))</f>
        <v/>
      </c>
      <c r="L352" s="19" t="str">
        <f>IF($K352="","",IF($K352&gt;MAX($A$8:$A$5007),"",IFERROR(MATCH($K352,$A$8:$A$5007,1),"")))</f>
        <v/>
      </c>
      <c r="M352" s="30" t="str">
        <f>IF($L352="","",INDEX($A$8:$A$5007,$L352))</f>
        <v/>
      </c>
      <c r="N352" s="31" t="str">
        <f>IF($L352="","",INDEX($B$8:$B$5007,$L352))</f>
        <v/>
      </c>
      <c r="O352" s="32" t="str">
        <f>IF($M352="","",IF($K352-$M352&gt;7,"",IF($M352&lt;=$A352,"",IF(OR($B352&lt;=0,$N352&lt;=0),"",($N352/$B352)^(365/($M352-$A352))-1))))</f>
        <v/>
      </c>
      <c r="P352" s="31" t="str">
        <f>IF($B352="","",IF($P351="",$B352,MAX($P351,$B352)))</f>
        <v/>
      </c>
      <c r="Q352" s="32" t="str">
        <f>IF($P352="","",$B352/$P352-1)</f>
        <v/>
      </c>
    </row>
    <row r="353">
      <c r="A353" s="11" t="n"/>
      <c r="B353" s="29" t="n"/>
      <c r="K353" s="30" t="str">
        <f>IF($A353="","",EDATE($A353,12*$E$4))</f>
        <v/>
      </c>
      <c r="L353" s="19" t="str">
        <f>IF($K353="","",IF($K353&gt;MAX($A$8:$A$5007),"",IFERROR(MATCH($K353,$A$8:$A$5007,1),"")))</f>
        <v/>
      </c>
      <c r="M353" s="30" t="str">
        <f>IF($L353="","",INDEX($A$8:$A$5007,$L353))</f>
        <v/>
      </c>
      <c r="N353" s="31" t="str">
        <f>IF($L353="","",INDEX($B$8:$B$5007,$L353))</f>
        <v/>
      </c>
      <c r="O353" s="32" t="str">
        <f>IF($M353="","",IF($K353-$M353&gt;7,"",IF($M353&lt;=$A353,"",IF(OR($B353&lt;=0,$N353&lt;=0),"",($N353/$B353)^(365/($M353-$A353))-1))))</f>
        <v/>
      </c>
      <c r="P353" s="31" t="str">
        <f>IF($B353="","",IF($P352="",$B353,MAX($P352,$B353)))</f>
        <v/>
      </c>
      <c r="Q353" s="32" t="str">
        <f>IF($P353="","",$B353/$P353-1)</f>
        <v/>
      </c>
    </row>
    <row r="354">
      <c r="A354" s="11" t="n"/>
      <c r="B354" s="29" t="n"/>
      <c r="K354" s="30" t="str">
        <f>IF($A354="","",EDATE($A354,12*$E$4))</f>
        <v/>
      </c>
      <c r="L354" s="19" t="str">
        <f>IF($K354="","",IF($K354&gt;MAX($A$8:$A$5007),"",IFERROR(MATCH($K354,$A$8:$A$5007,1),"")))</f>
        <v/>
      </c>
      <c r="M354" s="30" t="str">
        <f>IF($L354="","",INDEX($A$8:$A$5007,$L354))</f>
        <v/>
      </c>
      <c r="N354" s="31" t="str">
        <f>IF($L354="","",INDEX($B$8:$B$5007,$L354))</f>
        <v/>
      </c>
      <c r="O354" s="32" t="str">
        <f>IF($M354="","",IF($K354-$M354&gt;7,"",IF($M354&lt;=$A354,"",IF(OR($B354&lt;=0,$N354&lt;=0),"",($N354/$B354)^(365/($M354-$A354))-1))))</f>
        <v/>
      </c>
      <c r="P354" s="31" t="str">
        <f>IF($B354="","",IF($P353="",$B354,MAX($P353,$B354)))</f>
        <v/>
      </c>
      <c r="Q354" s="32" t="str">
        <f>IF($P354="","",$B354/$P354-1)</f>
        <v/>
      </c>
    </row>
    <row r="355">
      <c r="A355" s="11" t="n"/>
      <c r="B355" s="29" t="n"/>
      <c r="K355" s="30" t="str">
        <f>IF($A355="","",EDATE($A355,12*$E$4))</f>
        <v/>
      </c>
      <c r="L355" s="19" t="str">
        <f>IF($K355="","",IF($K355&gt;MAX($A$8:$A$5007),"",IFERROR(MATCH($K355,$A$8:$A$5007,1),"")))</f>
        <v/>
      </c>
      <c r="M355" s="30" t="str">
        <f>IF($L355="","",INDEX($A$8:$A$5007,$L355))</f>
        <v/>
      </c>
      <c r="N355" s="31" t="str">
        <f>IF($L355="","",INDEX($B$8:$B$5007,$L355))</f>
        <v/>
      </c>
      <c r="O355" s="32" t="str">
        <f>IF($M355="","",IF($K355-$M355&gt;7,"",IF($M355&lt;=$A355,"",IF(OR($B355&lt;=0,$N355&lt;=0),"",($N355/$B355)^(365/($M355-$A355))-1))))</f>
        <v/>
      </c>
      <c r="P355" s="31" t="str">
        <f>IF($B355="","",IF($P354="",$B355,MAX($P354,$B355)))</f>
        <v/>
      </c>
      <c r="Q355" s="32" t="str">
        <f>IF($P355="","",$B355/$P355-1)</f>
        <v/>
      </c>
    </row>
    <row r="356">
      <c r="A356" s="11" t="n"/>
      <c r="B356" s="29" t="n"/>
      <c r="K356" s="30" t="str">
        <f>IF($A356="","",EDATE($A356,12*$E$4))</f>
        <v/>
      </c>
      <c r="L356" s="19" t="str">
        <f>IF($K356="","",IF($K356&gt;MAX($A$8:$A$5007),"",IFERROR(MATCH($K356,$A$8:$A$5007,1),"")))</f>
        <v/>
      </c>
      <c r="M356" s="30" t="str">
        <f>IF($L356="","",INDEX($A$8:$A$5007,$L356))</f>
        <v/>
      </c>
      <c r="N356" s="31" t="str">
        <f>IF($L356="","",INDEX($B$8:$B$5007,$L356))</f>
        <v/>
      </c>
      <c r="O356" s="32" t="str">
        <f>IF($M356="","",IF($K356-$M356&gt;7,"",IF($M356&lt;=$A356,"",IF(OR($B356&lt;=0,$N356&lt;=0),"",($N356/$B356)^(365/($M356-$A356))-1))))</f>
        <v/>
      </c>
      <c r="P356" s="31" t="str">
        <f>IF($B356="","",IF($P355="",$B356,MAX($P355,$B356)))</f>
        <v/>
      </c>
      <c r="Q356" s="32" t="str">
        <f>IF($P356="","",$B356/$P356-1)</f>
        <v/>
      </c>
    </row>
    <row r="357">
      <c r="A357" s="11" t="n"/>
      <c r="B357" s="29" t="n"/>
      <c r="K357" s="30" t="str">
        <f>IF($A357="","",EDATE($A357,12*$E$4))</f>
        <v/>
      </c>
      <c r="L357" s="19" t="str">
        <f>IF($K357="","",IF($K357&gt;MAX($A$8:$A$5007),"",IFERROR(MATCH($K357,$A$8:$A$5007,1),"")))</f>
        <v/>
      </c>
      <c r="M357" s="30" t="str">
        <f>IF($L357="","",INDEX($A$8:$A$5007,$L357))</f>
        <v/>
      </c>
      <c r="N357" s="31" t="str">
        <f>IF($L357="","",INDEX($B$8:$B$5007,$L357))</f>
        <v/>
      </c>
      <c r="O357" s="32" t="str">
        <f>IF($M357="","",IF($K357-$M357&gt;7,"",IF($M357&lt;=$A357,"",IF(OR($B357&lt;=0,$N357&lt;=0),"",($N357/$B357)^(365/($M357-$A357))-1))))</f>
        <v/>
      </c>
      <c r="P357" s="31" t="str">
        <f>IF($B357="","",IF($P356="",$B357,MAX($P356,$B357)))</f>
        <v/>
      </c>
      <c r="Q357" s="32" t="str">
        <f>IF($P357="","",$B357/$P357-1)</f>
        <v/>
      </c>
    </row>
    <row r="358">
      <c r="A358" s="11" t="n"/>
      <c r="B358" s="29" t="n"/>
      <c r="K358" s="30" t="str">
        <f>IF($A358="","",EDATE($A358,12*$E$4))</f>
        <v/>
      </c>
      <c r="L358" s="19" t="str">
        <f>IF($K358="","",IF($K358&gt;MAX($A$8:$A$5007),"",IFERROR(MATCH($K358,$A$8:$A$5007,1),"")))</f>
        <v/>
      </c>
      <c r="M358" s="30" t="str">
        <f>IF($L358="","",INDEX($A$8:$A$5007,$L358))</f>
        <v/>
      </c>
      <c r="N358" s="31" t="str">
        <f>IF($L358="","",INDEX($B$8:$B$5007,$L358))</f>
        <v/>
      </c>
      <c r="O358" s="32" t="str">
        <f>IF($M358="","",IF($K358-$M358&gt;7,"",IF($M358&lt;=$A358,"",IF(OR($B358&lt;=0,$N358&lt;=0),"",($N358/$B358)^(365/($M358-$A358))-1))))</f>
        <v/>
      </c>
      <c r="P358" s="31" t="str">
        <f>IF($B358="","",IF($P357="",$B358,MAX($P357,$B358)))</f>
        <v/>
      </c>
      <c r="Q358" s="32" t="str">
        <f>IF($P358="","",$B358/$P358-1)</f>
        <v/>
      </c>
    </row>
    <row r="359">
      <c r="A359" s="11" t="n"/>
      <c r="B359" s="29" t="n"/>
      <c r="K359" s="30" t="str">
        <f>IF($A359="","",EDATE($A359,12*$E$4))</f>
        <v/>
      </c>
      <c r="L359" s="19" t="str">
        <f>IF($K359="","",IF($K359&gt;MAX($A$8:$A$5007),"",IFERROR(MATCH($K359,$A$8:$A$5007,1),"")))</f>
        <v/>
      </c>
      <c r="M359" s="30" t="str">
        <f>IF($L359="","",INDEX($A$8:$A$5007,$L359))</f>
        <v/>
      </c>
      <c r="N359" s="31" t="str">
        <f>IF($L359="","",INDEX($B$8:$B$5007,$L359))</f>
        <v/>
      </c>
      <c r="O359" s="32" t="str">
        <f>IF($M359="","",IF($K359-$M359&gt;7,"",IF($M359&lt;=$A359,"",IF(OR($B359&lt;=0,$N359&lt;=0),"",($N359/$B359)^(365/($M359-$A359))-1))))</f>
        <v/>
      </c>
      <c r="P359" s="31" t="str">
        <f>IF($B359="","",IF($P358="",$B359,MAX($P358,$B359)))</f>
        <v/>
      </c>
      <c r="Q359" s="32" t="str">
        <f>IF($P359="","",$B359/$P359-1)</f>
        <v/>
      </c>
    </row>
    <row r="360">
      <c r="A360" s="11" t="n"/>
      <c r="B360" s="29" t="n"/>
      <c r="K360" s="30" t="str">
        <f>IF($A360="","",EDATE($A360,12*$E$4))</f>
        <v/>
      </c>
      <c r="L360" s="19" t="str">
        <f>IF($K360="","",IF($K360&gt;MAX($A$8:$A$5007),"",IFERROR(MATCH($K360,$A$8:$A$5007,1),"")))</f>
        <v/>
      </c>
      <c r="M360" s="30" t="str">
        <f>IF($L360="","",INDEX($A$8:$A$5007,$L360))</f>
        <v/>
      </c>
      <c r="N360" s="31" t="str">
        <f>IF($L360="","",INDEX($B$8:$B$5007,$L360))</f>
        <v/>
      </c>
      <c r="O360" s="32" t="str">
        <f>IF($M360="","",IF($K360-$M360&gt;7,"",IF($M360&lt;=$A360,"",IF(OR($B360&lt;=0,$N360&lt;=0),"",($N360/$B360)^(365/($M360-$A360))-1))))</f>
        <v/>
      </c>
      <c r="P360" s="31" t="str">
        <f>IF($B360="","",IF($P359="",$B360,MAX($P359,$B360)))</f>
        <v/>
      </c>
      <c r="Q360" s="32" t="str">
        <f>IF($P360="","",$B360/$P360-1)</f>
        <v/>
      </c>
    </row>
    <row r="361">
      <c r="A361" s="11" t="n"/>
      <c r="B361" s="29" t="n"/>
      <c r="K361" s="30" t="str">
        <f>IF($A361="","",EDATE($A361,12*$E$4))</f>
        <v/>
      </c>
      <c r="L361" s="19" t="str">
        <f>IF($K361="","",IF($K361&gt;MAX($A$8:$A$5007),"",IFERROR(MATCH($K361,$A$8:$A$5007,1),"")))</f>
        <v/>
      </c>
      <c r="M361" s="30" t="str">
        <f>IF($L361="","",INDEX($A$8:$A$5007,$L361))</f>
        <v/>
      </c>
      <c r="N361" s="31" t="str">
        <f>IF($L361="","",INDEX($B$8:$B$5007,$L361))</f>
        <v/>
      </c>
      <c r="O361" s="32" t="str">
        <f>IF($M361="","",IF($K361-$M361&gt;7,"",IF($M361&lt;=$A361,"",IF(OR($B361&lt;=0,$N361&lt;=0),"",($N361/$B361)^(365/($M361-$A361))-1))))</f>
        <v/>
      </c>
      <c r="P361" s="31" t="str">
        <f>IF($B361="","",IF($P360="",$B361,MAX($P360,$B361)))</f>
        <v/>
      </c>
      <c r="Q361" s="32" t="str">
        <f>IF($P361="","",$B361/$P361-1)</f>
        <v/>
      </c>
    </row>
    <row r="362">
      <c r="A362" s="11" t="n"/>
      <c r="B362" s="29" t="n"/>
      <c r="K362" s="30" t="str">
        <f>IF($A362="","",EDATE($A362,12*$E$4))</f>
        <v/>
      </c>
      <c r="L362" s="19" t="str">
        <f>IF($K362="","",IF($K362&gt;MAX($A$8:$A$5007),"",IFERROR(MATCH($K362,$A$8:$A$5007,1),"")))</f>
        <v/>
      </c>
      <c r="M362" s="30" t="str">
        <f>IF($L362="","",INDEX($A$8:$A$5007,$L362))</f>
        <v/>
      </c>
      <c r="N362" s="31" t="str">
        <f>IF($L362="","",INDEX($B$8:$B$5007,$L362))</f>
        <v/>
      </c>
      <c r="O362" s="32" t="str">
        <f>IF($M362="","",IF($K362-$M362&gt;7,"",IF($M362&lt;=$A362,"",IF(OR($B362&lt;=0,$N362&lt;=0),"",($N362/$B362)^(365/($M362-$A362))-1))))</f>
        <v/>
      </c>
      <c r="P362" s="31" t="str">
        <f>IF($B362="","",IF($P361="",$B362,MAX($P361,$B362)))</f>
        <v/>
      </c>
      <c r="Q362" s="32" t="str">
        <f>IF($P362="","",$B362/$P362-1)</f>
        <v/>
      </c>
    </row>
    <row r="363">
      <c r="A363" s="11" t="n"/>
      <c r="B363" s="29" t="n"/>
      <c r="K363" s="30" t="str">
        <f>IF($A363="","",EDATE($A363,12*$E$4))</f>
        <v/>
      </c>
      <c r="L363" s="19" t="str">
        <f>IF($K363="","",IF($K363&gt;MAX($A$8:$A$5007),"",IFERROR(MATCH($K363,$A$8:$A$5007,1),"")))</f>
        <v/>
      </c>
      <c r="M363" s="30" t="str">
        <f>IF($L363="","",INDEX($A$8:$A$5007,$L363))</f>
        <v/>
      </c>
      <c r="N363" s="31" t="str">
        <f>IF($L363="","",INDEX($B$8:$B$5007,$L363))</f>
        <v/>
      </c>
      <c r="O363" s="32" t="str">
        <f>IF($M363="","",IF($K363-$M363&gt;7,"",IF($M363&lt;=$A363,"",IF(OR($B363&lt;=0,$N363&lt;=0),"",($N363/$B363)^(365/($M363-$A363))-1))))</f>
        <v/>
      </c>
      <c r="P363" s="31" t="str">
        <f>IF($B363="","",IF($P362="",$B363,MAX($P362,$B363)))</f>
        <v/>
      </c>
      <c r="Q363" s="32" t="str">
        <f>IF($P363="","",$B363/$P363-1)</f>
        <v/>
      </c>
    </row>
    <row r="364">
      <c r="A364" s="11" t="n"/>
      <c r="B364" s="29" t="n"/>
      <c r="K364" s="30" t="str">
        <f>IF($A364="","",EDATE($A364,12*$E$4))</f>
        <v/>
      </c>
      <c r="L364" s="19" t="str">
        <f>IF($K364="","",IF($K364&gt;MAX($A$8:$A$5007),"",IFERROR(MATCH($K364,$A$8:$A$5007,1),"")))</f>
        <v/>
      </c>
      <c r="M364" s="30" t="str">
        <f>IF($L364="","",INDEX($A$8:$A$5007,$L364))</f>
        <v/>
      </c>
      <c r="N364" s="31" t="str">
        <f>IF($L364="","",INDEX($B$8:$B$5007,$L364))</f>
        <v/>
      </c>
      <c r="O364" s="32" t="str">
        <f>IF($M364="","",IF($K364-$M364&gt;7,"",IF($M364&lt;=$A364,"",IF(OR($B364&lt;=0,$N364&lt;=0),"",($N364/$B364)^(365/($M364-$A364))-1))))</f>
        <v/>
      </c>
      <c r="P364" s="31" t="str">
        <f>IF($B364="","",IF($P363="",$B364,MAX($P363,$B364)))</f>
        <v/>
      </c>
      <c r="Q364" s="32" t="str">
        <f>IF($P364="","",$B364/$P364-1)</f>
        <v/>
      </c>
    </row>
    <row r="365">
      <c r="A365" s="11" t="n"/>
      <c r="B365" s="29" t="n"/>
      <c r="K365" s="30" t="str">
        <f>IF($A365="","",EDATE($A365,12*$E$4))</f>
        <v/>
      </c>
      <c r="L365" s="19" t="str">
        <f>IF($K365="","",IF($K365&gt;MAX($A$8:$A$5007),"",IFERROR(MATCH($K365,$A$8:$A$5007,1),"")))</f>
        <v/>
      </c>
      <c r="M365" s="30" t="str">
        <f>IF($L365="","",INDEX($A$8:$A$5007,$L365))</f>
        <v/>
      </c>
      <c r="N365" s="31" t="str">
        <f>IF($L365="","",INDEX($B$8:$B$5007,$L365))</f>
        <v/>
      </c>
      <c r="O365" s="32" t="str">
        <f>IF($M365="","",IF($K365-$M365&gt;7,"",IF($M365&lt;=$A365,"",IF(OR($B365&lt;=0,$N365&lt;=0),"",($N365/$B365)^(365/($M365-$A365))-1))))</f>
        <v/>
      </c>
      <c r="P365" s="31" t="str">
        <f>IF($B365="","",IF($P364="",$B365,MAX($P364,$B365)))</f>
        <v/>
      </c>
      <c r="Q365" s="32" t="str">
        <f>IF($P365="","",$B365/$P365-1)</f>
        <v/>
      </c>
    </row>
    <row r="366">
      <c r="A366" s="11" t="n"/>
      <c r="B366" s="29" t="n"/>
      <c r="K366" s="30" t="str">
        <f>IF($A366="","",EDATE($A366,12*$E$4))</f>
        <v/>
      </c>
      <c r="L366" s="19" t="str">
        <f>IF($K366="","",IF($K366&gt;MAX($A$8:$A$5007),"",IFERROR(MATCH($K366,$A$8:$A$5007,1),"")))</f>
        <v/>
      </c>
      <c r="M366" s="30" t="str">
        <f>IF($L366="","",INDEX($A$8:$A$5007,$L366))</f>
        <v/>
      </c>
      <c r="N366" s="31" t="str">
        <f>IF($L366="","",INDEX($B$8:$B$5007,$L366))</f>
        <v/>
      </c>
      <c r="O366" s="32" t="str">
        <f>IF($M366="","",IF($K366-$M366&gt;7,"",IF($M366&lt;=$A366,"",IF(OR($B366&lt;=0,$N366&lt;=0),"",($N366/$B366)^(365/($M366-$A366))-1))))</f>
        <v/>
      </c>
      <c r="P366" s="31" t="str">
        <f>IF($B366="","",IF($P365="",$B366,MAX($P365,$B366)))</f>
        <v/>
      </c>
      <c r="Q366" s="32" t="str">
        <f>IF($P366="","",$B366/$P366-1)</f>
        <v/>
      </c>
    </row>
    <row r="367">
      <c r="A367" s="11" t="n"/>
      <c r="B367" s="29" t="n"/>
      <c r="K367" s="30" t="str">
        <f>IF($A367="","",EDATE($A367,12*$E$4))</f>
        <v/>
      </c>
      <c r="L367" s="19" t="str">
        <f>IF($K367="","",IF($K367&gt;MAX($A$8:$A$5007),"",IFERROR(MATCH($K367,$A$8:$A$5007,1),"")))</f>
        <v/>
      </c>
      <c r="M367" s="30" t="str">
        <f>IF($L367="","",INDEX($A$8:$A$5007,$L367))</f>
        <v/>
      </c>
      <c r="N367" s="31" t="str">
        <f>IF($L367="","",INDEX($B$8:$B$5007,$L367))</f>
        <v/>
      </c>
      <c r="O367" s="32" t="str">
        <f>IF($M367="","",IF($K367-$M367&gt;7,"",IF($M367&lt;=$A367,"",IF(OR($B367&lt;=0,$N367&lt;=0),"",($N367/$B367)^(365/($M367-$A367))-1))))</f>
        <v/>
      </c>
      <c r="P367" s="31" t="str">
        <f>IF($B367="","",IF($P366="",$B367,MAX($P366,$B367)))</f>
        <v/>
      </c>
      <c r="Q367" s="32" t="str">
        <f>IF($P367="","",$B367/$P367-1)</f>
        <v/>
      </c>
    </row>
    <row r="368">
      <c r="A368" s="11" t="n"/>
      <c r="B368" s="29" t="n"/>
      <c r="K368" s="30" t="str">
        <f>IF($A368="","",EDATE($A368,12*$E$4))</f>
        <v/>
      </c>
      <c r="L368" s="19" t="str">
        <f>IF($K368="","",IF($K368&gt;MAX($A$8:$A$5007),"",IFERROR(MATCH($K368,$A$8:$A$5007,1),"")))</f>
        <v/>
      </c>
      <c r="M368" s="30" t="str">
        <f>IF($L368="","",INDEX($A$8:$A$5007,$L368))</f>
        <v/>
      </c>
      <c r="N368" s="31" t="str">
        <f>IF($L368="","",INDEX($B$8:$B$5007,$L368))</f>
        <v/>
      </c>
      <c r="O368" s="32" t="str">
        <f>IF($M368="","",IF($K368-$M368&gt;7,"",IF($M368&lt;=$A368,"",IF(OR($B368&lt;=0,$N368&lt;=0),"",($N368/$B368)^(365/($M368-$A368))-1))))</f>
        <v/>
      </c>
      <c r="P368" s="31" t="str">
        <f>IF($B368="","",IF($P367="",$B368,MAX($P367,$B368)))</f>
        <v/>
      </c>
      <c r="Q368" s="32" t="str">
        <f>IF($P368="","",$B368/$P368-1)</f>
        <v/>
      </c>
    </row>
    <row r="369">
      <c r="A369" s="11" t="n"/>
      <c r="B369" s="29" t="n"/>
      <c r="K369" s="30" t="str">
        <f>IF($A369="","",EDATE($A369,12*$E$4))</f>
        <v/>
      </c>
      <c r="L369" s="19" t="str">
        <f>IF($K369="","",IF($K369&gt;MAX($A$8:$A$5007),"",IFERROR(MATCH($K369,$A$8:$A$5007,1),"")))</f>
        <v/>
      </c>
      <c r="M369" s="30" t="str">
        <f>IF($L369="","",INDEX($A$8:$A$5007,$L369))</f>
        <v/>
      </c>
      <c r="N369" s="31" t="str">
        <f>IF($L369="","",INDEX($B$8:$B$5007,$L369))</f>
        <v/>
      </c>
      <c r="O369" s="32" t="str">
        <f>IF($M369="","",IF($K369-$M369&gt;7,"",IF($M369&lt;=$A369,"",IF(OR($B369&lt;=0,$N369&lt;=0),"",($N369/$B369)^(365/($M369-$A369))-1))))</f>
        <v/>
      </c>
      <c r="P369" s="31" t="str">
        <f>IF($B369="","",IF($P368="",$B369,MAX($P368,$B369)))</f>
        <v/>
      </c>
      <c r="Q369" s="32" t="str">
        <f>IF($P369="","",$B369/$P369-1)</f>
        <v/>
      </c>
    </row>
    <row r="370">
      <c r="A370" s="11" t="n"/>
      <c r="B370" s="29" t="n"/>
      <c r="K370" s="30" t="str">
        <f>IF($A370="","",EDATE($A370,12*$E$4))</f>
        <v/>
      </c>
      <c r="L370" s="19" t="str">
        <f>IF($K370="","",IF($K370&gt;MAX($A$8:$A$5007),"",IFERROR(MATCH($K370,$A$8:$A$5007,1),"")))</f>
        <v/>
      </c>
      <c r="M370" s="30" t="str">
        <f>IF($L370="","",INDEX($A$8:$A$5007,$L370))</f>
        <v/>
      </c>
      <c r="N370" s="31" t="str">
        <f>IF($L370="","",INDEX($B$8:$B$5007,$L370))</f>
        <v/>
      </c>
      <c r="O370" s="32" t="str">
        <f>IF($M370="","",IF($K370-$M370&gt;7,"",IF($M370&lt;=$A370,"",IF(OR($B370&lt;=0,$N370&lt;=0),"",($N370/$B370)^(365/($M370-$A370))-1))))</f>
        <v/>
      </c>
      <c r="P370" s="31" t="str">
        <f>IF($B370="","",IF($P369="",$B370,MAX($P369,$B370)))</f>
        <v/>
      </c>
      <c r="Q370" s="32" t="str">
        <f>IF($P370="","",$B370/$P370-1)</f>
        <v/>
      </c>
    </row>
    <row r="371">
      <c r="A371" s="11" t="n"/>
      <c r="B371" s="29" t="n"/>
      <c r="K371" s="30" t="str">
        <f>IF($A371="","",EDATE($A371,12*$E$4))</f>
        <v/>
      </c>
      <c r="L371" s="19" t="str">
        <f>IF($K371="","",IF($K371&gt;MAX($A$8:$A$5007),"",IFERROR(MATCH($K371,$A$8:$A$5007,1),"")))</f>
        <v/>
      </c>
      <c r="M371" s="30" t="str">
        <f>IF($L371="","",INDEX($A$8:$A$5007,$L371))</f>
        <v/>
      </c>
      <c r="N371" s="31" t="str">
        <f>IF($L371="","",INDEX($B$8:$B$5007,$L371))</f>
        <v/>
      </c>
      <c r="O371" s="32" t="str">
        <f>IF($M371="","",IF($K371-$M371&gt;7,"",IF($M371&lt;=$A371,"",IF(OR($B371&lt;=0,$N371&lt;=0),"",($N371/$B371)^(365/($M371-$A371))-1))))</f>
        <v/>
      </c>
      <c r="P371" s="31" t="str">
        <f>IF($B371="","",IF($P370="",$B371,MAX($P370,$B371)))</f>
        <v/>
      </c>
      <c r="Q371" s="32" t="str">
        <f>IF($P371="","",$B371/$P371-1)</f>
        <v/>
      </c>
    </row>
    <row r="372">
      <c r="A372" s="11" t="n"/>
      <c r="B372" s="29" t="n"/>
      <c r="K372" s="30" t="str">
        <f>IF($A372="","",EDATE($A372,12*$E$4))</f>
        <v/>
      </c>
      <c r="L372" s="19" t="str">
        <f>IF($K372="","",IF($K372&gt;MAX($A$8:$A$5007),"",IFERROR(MATCH($K372,$A$8:$A$5007,1),"")))</f>
        <v/>
      </c>
      <c r="M372" s="30" t="str">
        <f>IF($L372="","",INDEX($A$8:$A$5007,$L372))</f>
        <v/>
      </c>
      <c r="N372" s="31" t="str">
        <f>IF($L372="","",INDEX($B$8:$B$5007,$L372))</f>
        <v/>
      </c>
      <c r="O372" s="32" t="str">
        <f>IF($M372="","",IF($K372-$M372&gt;7,"",IF($M372&lt;=$A372,"",IF(OR($B372&lt;=0,$N372&lt;=0),"",($N372/$B372)^(365/($M372-$A372))-1))))</f>
        <v/>
      </c>
      <c r="P372" s="31" t="str">
        <f>IF($B372="","",IF($P371="",$B372,MAX($P371,$B372)))</f>
        <v/>
      </c>
      <c r="Q372" s="32" t="str">
        <f>IF($P372="","",$B372/$P372-1)</f>
        <v/>
      </c>
    </row>
    <row r="373">
      <c r="A373" s="11" t="n"/>
      <c r="B373" s="29" t="n"/>
      <c r="K373" s="30" t="str">
        <f>IF($A373="","",EDATE($A373,12*$E$4))</f>
        <v/>
      </c>
      <c r="L373" s="19" t="str">
        <f>IF($K373="","",IF($K373&gt;MAX($A$8:$A$5007),"",IFERROR(MATCH($K373,$A$8:$A$5007,1),"")))</f>
        <v/>
      </c>
      <c r="M373" s="30" t="str">
        <f>IF($L373="","",INDEX($A$8:$A$5007,$L373))</f>
        <v/>
      </c>
      <c r="N373" s="31" t="str">
        <f>IF($L373="","",INDEX($B$8:$B$5007,$L373))</f>
        <v/>
      </c>
      <c r="O373" s="32" t="str">
        <f>IF($M373="","",IF($K373-$M373&gt;7,"",IF($M373&lt;=$A373,"",IF(OR($B373&lt;=0,$N373&lt;=0),"",($N373/$B373)^(365/($M373-$A373))-1))))</f>
        <v/>
      </c>
      <c r="P373" s="31" t="str">
        <f>IF($B373="","",IF($P372="",$B373,MAX($P372,$B373)))</f>
        <v/>
      </c>
      <c r="Q373" s="32" t="str">
        <f>IF($P373="","",$B373/$P373-1)</f>
        <v/>
      </c>
    </row>
    <row r="374">
      <c r="A374" s="11" t="n"/>
      <c r="B374" s="29" t="n"/>
      <c r="K374" s="30" t="str">
        <f>IF($A374="","",EDATE($A374,12*$E$4))</f>
        <v/>
      </c>
      <c r="L374" s="19" t="str">
        <f>IF($K374="","",IF($K374&gt;MAX($A$8:$A$5007),"",IFERROR(MATCH($K374,$A$8:$A$5007,1),"")))</f>
        <v/>
      </c>
      <c r="M374" s="30" t="str">
        <f>IF($L374="","",INDEX($A$8:$A$5007,$L374))</f>
        <v/>
      </c>
      <c r="N374" s="31" t="str">
        <f>IF($L374="","",INDEX($B$8:$B$5007,$L374))</f>
        <v/>
      </c>
      <c r="O374" s="32" t="str">
        <f>IF($M374="","",IF($K374-$M374&gt;7,"",IF($M374&lt;=$A374,"",IF(OR($B374&lt;=0,$N374&lt;=0),"",($N374/$B374)^(365/($M374-$A374))-1))))</f>
        <v/>
      </c>
      <c r="P374" s="31" t="str">
        <f>IF($B374="","",IF($P373="",$B374,MAX($P373,$B374)))</f>
        <v/>
      </c>
      <c r="Q374" s="32" t="str">
        <f>IF($P374="","",$B374/$P374-1)</f>
        <v/>
      </c>
    </row>
    <row r="375">
      <c r="A375" s="11" t="n"/>
      <c r="B375" s="29" t="n"/>
      <c r="K375" s="30" t="str">
        <f>IF($A375="","",EDATE($A375,12*$E$4))</f>
        <v/>
      </c>
      <c r="L375" s="19" t="str">
        <f>IF($K375="","",IF($K375&gt;MAX($A$8:$A$5007),"",IFERROR(MATCH($K375,$A$8:$A$5007,1),"")))</f>
        <v/>
      </c>
      <c r="M375" s="30" t="str">
        <f>IF($L375="","",INDEX($A$8:$A$5007,$L375))</f>
        <v/>
      </c>
      <c r="N375" s="31" t="str">
        <f>IF($L375="","",INDEX($B$8:$B$5007,$L375))</f>
        <v/>
      </c>
      <c r="O375" s="32" t="str">
        <f>IF($M375="","",IF($K375-$M375&gt;7,"",IF($M375&lt;=$A375,"",IF(OR($B375&lt;=0,$N375&lt;=0),"",($N375/$B375)^(365/($M375-$A375))-1))))</f>
        <v/>
      </c>
      <c r="P375" s="31" t="str">
        <f>IF($B375="","",IF($P374="",$B375,MAX($P374,$B375)))</f>
        <v/>
      </c>
      <c r="Q375" s="32" t="str">
        <f>IF($P375="","",$B375/$P375-1)</f>
        <v/>
      </c>
    </row>
    <row r="376">
      <c r="A376" s="11" t="n"/>
      <c r="B376" s="29" t="n"/>
      <c r="K376" s="30" t="str">
        <f>IF($A376="","",EDATE($A376,12*$E$4))</f>
        <v/>
      </c>
      <c r="L376" s="19" t="str">
        <f>IF($K376="","",IF($K376&gt;MAX($A$8:$A$5007),"",IFERROR(MATCH($K376,$A$8:$A$5007,1),"")))</f>
        <v/>
      </c>
      <c r="M376" s="30" t="str">
        <f>IF($L376="","",INDEX($A$8:$A$5007,$L376))</f>
        <v/>
      </c>
      <c r="N376" s="31" t="str">
        <f>IF($L376="","",INDEX($B$8:$B$5007,$L376))</f>
        <v/>
      </c>
      <c r="O376" s="32" t="str">
        <f>IF($M376="","",IF($K376-$M376&gt;7,"",IF($M376&lt;=$A376,"",IF(OR($B376&lt;=0,$N376&lt;=0),"",($N376/$B376)^(365/($M376-$A376))-1))))</f>
        <v/>
      </c>
      <c r="P376" s="31" t="str">
        <f>IF($B376="","",IF($P375="",$B376,MAX($P375,$B376)))</f>
        <v/>
      </c>
      <c r="Q376" s="32" t="str">
        <f>IF($P376="","",$B376/$P376-1)</f>
        <v/>
      </c>
    </row>
    <row r="377">
      <c r="A377" s="11" t="n"/>
      <c r="B377" s="29" t="n"/>
      <c r="K377" s="30" t="str">
        <f>IF($A377="","",EDATE($A377,12*$E$4))</f>
        <v/>
      </c>
      <c r="L377" s="19" t="str">
        <f>IF($K377="","",IF($K377&gt;MAX($A$8:$A$5007),"",IFERROR(MATCH($K377,$A$8:$A$5007,1),"")))</f>
        <v/>
      </c>
      <c r="M377" s="30" t="str">
        <f>IF($L377="","",INDEX($A$8:$A$5007,$L377))</f>
        <v/>
      </c>
      <c r="N377" s="31" t="str">
        <f>IF($L377="","",INDEX($B$8:$B$5007,$L377))</f>
        <v/>
      </c>
      <c r="O377" s="32" t="str">
        <f>IF($M377="","",IF($K377-$M377&gt;7,"",IF($M377&lt;=$A377,"",IF(OR($B377&lt;=0,$N377&lt;=0),"",($N377/$B377)^(365/($M377-$A377))-1))))</f>
        <v/>
      </c>
      <c r="P377" s="31" t="str">
        <f>IF($B377="","",IF($P376="",$B377,MAX($P376,$B377)))</f>
        <v/>
      </c>
      <c r="Q377" s="32" t="str">
        <f>IF($P377="","",$B377/$P377-1)</f>
        <v/>
      </c>
    </row>
    <row r="378">
      <c r="A378" s="11" t="n"/>
      <c r="B378" s="29" t="n"/>
      <c r="K378" s="30" t="str">
        <f>IF($A378="","",EDATE($A378,12*$E$4))</f>
        <v/>
      </c>
      <c r="L378" s="19" t="str">
        <f>IF($K378="","",IF($K378&gt;MAX($A$8:$A$5007),"",IFERROR(MATCH($K378,$A$8:$A$5007,1),"")))</f>
        <v/>
      </c>
      <c r="M378" s="30" t="str">
        <f>IF($L378="","",INDEX($A$8:$A$5007,$L378))</f>
        <v/>
      </c>
      <c r="N378" s="31" t="str">
        <f>IF($L378="","",INDEX($B$8:$B$5007,$L378))</f>
        <v/>
      </c>
      <c r="O378" s="32" t="str">
        <f>IF($M378="","",IF($K378-$M378&gt;7,"",IF($M378&lt;=$A378,"",IF(OR($B378&lt;=0,$N378&lt;=0),"",($N378/$B378)^(365/($M378-$A378))-1))))</f>
        <v/>
      </c>
      <c r="P378" s="31" t="str">
        <f>IF($B378="","",IF($P377="",$B378,MAX($P377,$B378)))</f>
        <v/>
      </c>
      <c r="Q378" s="32" t="str">
        <f>IF($P378="","",$B378/$P378-1)</f>
        <v/>
      </c>
    </row>
    <row r="379">
      <c r="A379" s="11" t="n"/>
      <c r="B379" s="29" t="n"/>
      <c r="K379" s="30" t="str">
        <f>IF($A379="","",EDATE($A379,12*$E$4))</f>
        <v/>
      </c>
      <c r="L379" s="19" t="str">
        <f>IF($K379="","",IF($K379&gt;MAX($A$8:$A$5007),"",IFERROR(MATCH($K379,$A$8:$A$5007,1),"")))</f>
        <v/>
      </c>
      <c r="M379" s="30" t="str">
        <f>IF($L379="","",INDEX($A$8:$A$5007,$L379))</f>
        <v/>
      </c>
      <c r="N379" s="31" t="str">
        <f>IF($L379="","",INDEX($B$8:$B$5007,$L379))</f>
        <v/>
      </c>
      <c r="O379" s="32" t="str">
        <f>IF($M379="","",IF($K379-$M379&gt;7,"",IF($M379&lt;=$A379,"",IF(OR($B379&lt;=0,$N379&lt;=0),"",($N379/$B379)^(365/($M379-$A379))-1))))</f>
        <v/>
      </c>
      <c r="P379" s="31" t="str">
        <f>IF($B379="","",IF($P378="",$B379,MAX($P378,$B379)))</f>
        <v/>
      </c>
      <c r="Q379" s="32" t="str">
        <f>IF($P379="","",$B379/$P379-1)</f>
        <v/>
      </c>
    </row>
    <row r="380">
      <c r="A380" s="11" t="n"/>
      <c r="B380" s="29" t="n"/>
      <c r="K380" s="30" t="str">
        <f>IF($A380="","",EDATE($A380,12*$E$4))</f>
        <v/>
      </c>
      <c r="L380" s="19" t="str">
        <f>IF($K380="","",IF($K380&gt;MAX($A$8:$A$5007),"",IFERROR(MATCH($K380,$A$8:$A$5007,1),"")))</f>
        <v/>
      </c>
      <c r="M380" s="30" t="str">
        <f>IF($L380="","",INDEX($A$8:$A$5007,$L380))</f>
        <v/>
      </c>
      <c r="N380" s="31" t="str">
        <f>IF($L380="","",INDEX($B$8:$B$5007,$L380))</f>
        <v/>
      </c>
      <c r="O380" s="32" t="str">
        <f>IF($M380="","",IF($K380-$M380&gt;7,"",IF($M380&lt;=$A380,"",IF(OR($B380&lt;=0,$N380&lt;=0),"",($N380/$B380)^(365/($M380-$A380))-1))))</f>
        <v/>
      </c>
      <c r="P380" s="31" t="str">
        <f>IF($B380="","",IF($P379="",$B380,MAX($P379,$B380)))</f>
        <v/>
      </c>
      <c r="Q380" s="32" t="str">
        <f>IF($P380="","",$B380/$P380-1)</f>
        <v/>
      </c>
    </row>
    <row r="381">
      <c r="A381" s="11" t="n"/>
      <c r="B381" s="29" t="n"/>
      <c r="K381" s="30" t="str">
        <f>IF($A381="","",EDATE($A381,12*$E$4))</f>
        <v/>
      </c>
      <c r="L381" s="19" t="str">
        <f>IF($K381="","",IF($K381&gt;MAX($A$8:$A$5007),"",IFERROR(MATCH($K381,$A$8:$A$5007,1),"")))</f>
        <v/>
      </c>
      <c r="M381" s="30" t="str">
        <f>IF($L381="","",INDEX($A$8:$A$5007,$L381))</f>
        <v/>
      </c>
      <c r="N381" s="31" t="str">
        <f>IF($L381="","",INDEX($B$8:$B$5007,$L381))</f>
        <v/>
      </c>
      <c r="O381" s="32" t="str">
        <f>IF($M381="","",IF($K381-$M381&gt;7,"",IF($M381&lt;=$A381,"",IF(OR($B381&lt;=0,$N381&lt;=0),"",($N381/$B381)^(365/($M381-$A381))-1))))</f>
        <v/>
      </c>
      <c r="P381" s="31" t="str">
        <f>IF($B381="","",IF($P380="",$B381,MAX($P380,$B381)))</f>
        <v/>
      </c>
      <c r="Q381" s="32" t="str">
        <f>IF($P381="","",$B381/$P381-1)</f>
        <v/>
      </c>
    </row>
    <row r="382">
      <c r="A382" s="11" t="n"/>
      <c r="B382" s="29" t="n"/>
      <c r="K382" s="30" t="str">
        <f>IF($A382="","",EDATE($A382,12*$E$4))</f>
        <v/>
      </c>
      <c r="L382" s="19" t="str">
        <f>IF($K382="","",IF($K382&gt;MAX($A$8:$A$5007),"",IFERROR(MATCH($K382,$A$8:$A$5007,1),"")))</f>
        <v/>
      </c>
      <c r="M382" s="30" t="str">
        <f>IF($L382="","",INDEX($A$8:$A$5007,$L382))</f>
        <v/>
      </c>
      <c r="N382" s="31" t="str">
        <f>IF($L382="","",INDEX($B$8:$B$5007,$L382))</f>
        <v/>
      </c>
      <c r="O382" s="32" t="str">
        <f>IF($M382="","",IF($K382-$M382&gt;7,"",IF($M382&lt;=$A382,"",IF(OR($B382&lt;=0,$N382&lt;=0),"",($N382/$B382)^(365/($M382-$A382))-1))))</f>
        <v/>
      </c>
      <c r="P382" s="31" t="str">
        <f>IF($B382="","",IF($P381="",$B382,MAX($P381,$B382)))</f>
        <v/>
      </c>
      <c r="Q382" s="32" t="str">
        <f>IF($P382="","",$B382/$P382-1)</f>
        <v/>
      </c>
    </row>
    <row r="383">
      <c r="A383" s="11" t="n"/>
      <c r="B383" s="29" t="n"/>
      <c r="K383" s="30" t="str">
        <f>IF($A383="","",EDATE($A383,12*$E$4))</f>
        <v/>
      </c>
      <c r="L383" s="19" t="str">
        <f>IF($K383="","",IF($K383&gt;MAX($A$8:$A$5007),"",IFERROR(MATCH($K383,$A$8:$A$5007,1),"")))</f>
        <v/>
      </c>
      <c r="M383" s="30" t="str">
        <f>IF($L383="","",INDEX($A$8:$A$5007,$L383))</f>
        <v/>
      </c>
      <c r="N383" s="31" t="str">
        <f>IF($L383="","",INDEX($B$8:$B$5007,$L383))</f>
        <v/>
      </c>
      <c r="O383" s="32" t="str">
        <f>IF($M383="","",IF($K383-$M383&gt;7,"",IF($M383&lt;=$A383,"",IF(OR($B383&lt;=0,$N383&lt;=0),"",($N383/$B383)^(365/($M383-$A383))-1))))</f>
        <v/>
      </c>
      <c r="P383" s="31" t="str">
        <f>IF($B383="","",IF($P382="",$B383,MAX($P382,$B383)))</f>
        <v/>
      </c>
      <c r="Q383" s="32" t="str">
        <f>IF($P383="","",$B383/$P383-1)</f>
        <v/>
      </c>
    </row>
    <row r="384">
      <c r="A384" s="11" t="n"/>
      <c r="B384" s="29" t="n"/>
      <c r="K384" s="30" t="str">
        <f>IF($A384="","",EDATE($A384,12*$E$4))</f>
        <v/>
      </c>
      <c r="L384" s="19" t="str">
        <f>IF($K384="","",IF($K384&gt;MAX($A$8:$A$5007),"",IFERROR(MATCH($K384,$A$8:$A$5007,1),"")))</f>
        <v/>
      </c>
      <c r="M384" s="30" t="str">
        <f>IF($L384="","",INDEX($A$8:$A$5007,$L384))</f>
        <v/>
      </c>
      <c r="N384" s="31" t="str">
        <f>IF($L384="","",INDEX($B$8:$B$5007,$L384))</f>
        <v/>
      </c>
      <c r="O384" s="32" t="str">
        <f>IF($M384="","",IF($K384-$M384&gt;7,"",IF($M384&lt;=$A384,"",IF(OR($B384&lt;=0,$N384&lt;=0),"",($N384/$B384)^(365/($M384-$A384))-1))))</f>
        <v/>
      </c>
      <c r="P384" s="31" t="str">
        <f>IF($B384="","",IF($P383="",$B384,MAX($P383,$B384)))</f>
        <v/>
      </c>
      <c r="Q384" s="32" t="str">
        <f>IF($P384="","",$B384/$P384-1)</f>
        <v/>
      </c>
    </row>
    <row r="385">
      <c r="A385" s="11" t="n"/>
      <c r="B385" s="29" t="n"/>
      <c r="K385" s="30" t="str">
        <f>IF($A385="","",EDATE($A385,12*$E$4))</f>
        <v/>
      </c>
      <c r="L385" s="19" t="str">
        <f>IF($K385="","",IF($K385&gt;MAX($A$8:$A$5007),"",IFERROR(MATCH($K385,$A$8:$A$5007,1),"")))</f>
        <v/>
      </c>
      <c r="M385" s="30" t="str">
        <f>IF($L385="","",INDEX($A$8:$A$5007,$L385))</f>
        <v/>
      </c>
      <c r="N385" s="31" t="str">
        <f>IF($L385="","",INDEX($B$8:$B$5007,$L385))</f>
        <v/>
      </c>
      <c r="O385" s="32" t="str">
        <f>IF($M385="","",IF($K385-$M385&gt;7,"",IF($M385&lt;=$A385,"",IF(OR($B385&lt;=0,$N385&lt;=0),"",($N385/$B385)^(365/($M385-$A385))-1))))</f>
        <v/>
      </c>
      <c r="P385" s="31" t="str">
        <f>IF($B385="","",IF($P384="",$B385,MAX($P384,$B385)))</f>
        <v/>
      </c>
      <c r="Q385" s="32" t="str">
        <f>IF($P385="","",$B385/$P385-1)</f>
        <v/>
      </c>
    </row>
    <row r="386">
      <c r="A386" s="11" t="n"/>
      <c r="B386" s="29" t="n"/>
      <c r="K386" s="30" t="str">
        <f>IF($A386="","",EDATE($A386,12*$E$4))</f>
        <v/>
      </c>
      <c r="L386" s="19" t="str">
        <f>IF($K386="","",IF($K386&gt;MAX($A$8:$A$5007),"",IFERROR(MATCH($K386,$A$8:$A$5007,1),"")))</f>
        <v/>
      </c>
      <c r="M386" s="30" t="str">
        <f>IF($L386="","",INDEX($A$8:$A$5007,$L386))</f>
        <v/>
      </c>
      <c r="N386" s="31" t="str">
        <f>IF($L386="","",INDEX($B$8:$B$5007,$L386))</f>
        <v/>
      </c>
      <c r="O386" s="32" t="str">
        <f>IF($M386="","",IF($K386-$M386&gt;7,"",IF($M386&lt;=$A386,"",IF(OR($B386&lt;=0,$N386&lt;=0),"",($N386/$B386)^(365/($M386-$A386))-1))))</f>
        <v/>
      </c>
      <c r="P386" s="31" t="str">
        <f>IF($B386="","",IF($P385="",$B386,MAX($P385,$B386)))</f>
        <v/>
      </c>
      <c r="Q386" s="32" t="str">
        <f>IF($P386="","",$B386/$P386-1)</f>
        <v/>
      </c>
    </row>
    <row r="387">
      <c r="A387" s="11" t="n"/>
      <c r="B387" s="29" t="n"/>
      <c r="K387" s="30" t="str">
        <f>IF($A387="","",EDATE($A387,12*$E$4))</f>
        <v/>
      </c>
      <c r="L387" s="19" t="str">
        <f>IF($K387="","",IF($K387&gt;MAX($A$8:$A$5007),"",IFERROR(MATCH($K387,$A$8:$A$5007,1),"")))</f>
        <v/>
      </c>
      <c r="M387" s="30" t="str">
        <f>IF($L387="","",INDEX($A$8:$A$5007,$L387))</f>
        <v/>
      </c>
      <c r="N387" s="31" t="str">
        <f>IF($L387="","",INDEX($B$8:$B$5007,$L387))</f>
        <v/>
      </c>
      <c r="O387" s="32" t="str">
        <f>IF($M387="","",IF($K387-$M387&gt;7,"",IF($M387&lt;=$A387,"",IF(OR($B387&lt;=0,$N387&lt;=0),"",($N387/$B387)^(365/($M387-$A387))-1))))</f>
        <v/>
      </c>
      <c r="P387" s="31" t="str">
        <f>IF($B387="","",IF($P386="",$B387,MAX($P386,$B387)))</f>
        <v/>
      </c>
      <c r="Q387" s="32" t="str">
        <f>IF($P387="","",$B387/$P387-1)</f>
        <v/>
      </c>
    </row>
    <row r="388">
      <c r="A388" s="11" t="n"/>
      <c r="B388" s="29" t="n"/>
      <c r="K388" s="30" t="str">
        <f>IF($A388="","",EDATE($A388,12*$E$4))</f>
        <v/>
      </c>
      <c r="L388" s="19" t="str">
        <f>IF($K388="","",IF($K388&gt;MAX($A$8:$A$5007),"",IFERROR(MATCH($K388,$A$8:$A$5007,1),"")))</f>
        <v/>
      </c>
      <c r="M388" s="30" t="str">
        <f>IF($L388="","",INDEX($A$8:$A$5007,$L388))</f>
        <v/>
      </c>
      <c r="N388" s="31" t="str">
        <f>IF($L388="","",INDEX($B$8:$B$5007,$L388))</f>
        <v/>
      </c>
      <c r="O388" s="32" t="str">
        <f>IF($M388="","",IF($K388-$M388&gt;7,"",IF($M388&lt;=$A388,"",IF(OR($B388&lt;=0,$N388&lt;=0),"",($N388/$B388)^(365/($M388-$A388))-1))))</f>
        <v/>
      </c>
      <c r="P388" s="31" t="str">
        <f>IF($B388="","",IF($P387="",$B388,MAX($P387,$B388)))</f>
        <v/>
      </c>
      <c r="Q388" s="32" t="str">
        <f>IF($P388="","",$B388/$P388-1)</f>
        <v/>
      </c>
    </row>
    <row r="389">
      <c r="A389" s="11" t="n"/>
      <c r="B389" s="29" t="n"/>
      <c r="K389" s="30" t="str">
        <f>IF($A389="","",EDATE($A389,12*$E$4))</f>
        <v/>
      </c>
      <c r="L389" s="19" t="str">
        <f>IF($K389="","",IF($K389&gt;MAX($A$8:$A$5007),"",IFERROR(MATCH($K389,$A$8:$A$5007,1),"")))</f>
        <v/>
      </c>
      <c r="M389" s="30" t="str">
        <f>IF($L389="","",INDEX($A$8:$A$5007,$L389))</f>
        <v/>
      </c>
      <c r="N389" s="31" t="str">
        <f>IF($L389="","",INDEX($B$8:$B$5007,$L389))</f>
        <v/>
      </c>
      <c r="O389" s="32" t="str">
        <f>IF($M389="","",IF($K389-$M389&gt;7,"",IF($M389&lt;=$A389,"",IF(OR($B389&lt;=0,$N389&lt;=0),"",($N389/$B389)^(365/($M389-$A389))-1))))</f>
        <v/>
      </c>
      <c r="P389" s="31" t="str">
        <f>IF($B389="","",IF($P388="",$B389,MAX($P388,$B389)))</f>
        <v/>
      </c>
      <c r="Q389" s="32" t="str">
        <f>IF($P389="","",$B389/$P389-1)</f>
        <v/>
      </c>
    </row>
    <row r="390">
      <c r="A390" s="11" t="n"/>
      <c r="B390" s="29" t="n"/>
      <c r="K390" s="30" t="str">
        <f>IF($A390="","",EDATE($A390,12*$E$4))</f>
        <v/>
      </c>
      <c r="L390" s="19" t="str">
        <f>IF($K390="","",IF($K390&gt;MAX($A$8:$A$5007),"",IFERROR(MATCH($K390,$A$8:$A$5007,1),"")))</f>
        <v/>
      </c>
      <c r="M390" s="30" t="str">
        <f>IF($L390="","",INDEX($A$8:$A$5007,$L390))</f>
        <v/>
      </c>
      <c r="N390" s="31" t="str">
        <f>IF($L390="","",INDEX($B$8:$B$5007,$L390))</f>
        <v/>
      </c>
      <c r="O390" s="32" t="str">
        <f>IF($M390="","",IF($K390-$M390&gt;7,"",IF($M390&lt;=$A390,"",IF(OR($B390&lt;=0,$N390&lt;=0),"",($N390/$B390)^(365/($M390-$A390))-1))))</f>
        <v/>
      </c>
      <c r="P390" s="31" t="str">
        <f>IF($B390="","",IF($P389="",$B390,MAX($P389,$B390)))</f>
        <v/>
      </c>
      <c r="Q390" s="32" t="str">
        <f>IF($P390="","",$B390/$P390-1)</f>
        <v/>
      </c>
    </row>
    <row r="391">
      <c r="A391" s="11" t="n"/>
      <c r="B391" s="29" t="n"/>
      <c r="K391" s="30" t="str">
        <f>IF($A391="","",EDATE($A391,12*$E$4))</f>
        <v/>
      </c>
      <c r="L391" s="19" t="str">
        <f>IF($K391="","",IF($K391&gt;MAX($A$8:$A$5007),"",IFERROR(MATCH($K391,$A$8:$A$5007,1),"")))</f>
        <v/>
      </c>
      <c r="M391" s="30" t="str">
        <f>IF($L391="","",INDEX($A$8:$A$5007,$L391))</f>
        <v/>
      </c>
      <c r="N391" s="31" t="str">
        <f>IF($L391="","",INDEX($B$8:$B$5007,$L391))</f>
        <v/>
      </c>
      <c r="O391" s="32" t="str">
        <f>IF($M391="","",IF($K391-$M391&gt;7,"",IF($M391&lt;=$A391,"",IF(OR($B391&lt;=0,$N391&lt;=0),"",($N391/$B391)^(365/($M391-$A391))-1))))</f>
        <v/>
      </c>
      <c r="P391" s="31" t="str">
        <f>IF($B391="","",IF($P390="",$B391,MAX($P390,$B391)))</f>
        <v/>
      </c>
      <c r="Q391" s="32" t="str">
        <f>IF($P391="","",$B391/$P391-1)</f>
        <v/>
      </c>
    </row>
    <row r="392">
      <c r="A392" s="11" t="n"/>
      <c r="B392" s="29" t="n"/>
      <c r="K392" s="30" t="str">
        <f>IF($A392="","",EDATE($A392,12*$E$4))</f>
        <v/>
      </c>
      <c r="L392" s="19" t="str">
        <f>IF($K392="","",IF($K392&gt;MAX($A$8:$A$5007),"",IFERROR(MATCH($K392,$A$8:$A$5007,1),"")))</f>
        <v/>
      </c>
      <c r="M392" s="30" t="str">
        <f>IF($L392="","",INDEX($A$8:$A$5007,$L392))</f>
        <v/>
      </c>
      <c r="N392" s="31" t="str">
        <f>IF($L392="","",INDEX($B$8:$B$5007,$L392))</f>
        <v/>
      </c>
      <c r="O392" s="32" t="str">
        <f>IF($M392="","",IF($K392-$M392&gt;7,"",IF($M392&lt;=$A392,"",IF(OR($B392&lt;=0,$N392&lt;=0),"",($N392/$B392)^(365/($M392-$A392))-1))))</f>
        <v/>
      </c>
      <c r="P392" s="31" t="str">
        <f>IF($B392="","",IF($P391="",$B392,MAX($P391,$B392)))</f>
        <v/>
      </c>
      <c r="Q392" s="32" t="str">
        <f>IF($P392="","",$B392/$P392-1)</f>
        <v/>
      </c>
    </row>
    <row r="393">
      <c r="A393" s="11" t="n"/>
      <c r="B393" s="29" t="n"/>
      <c r="K393" s="30" t="str">
        <f>IF($A393="","",EDATE($A393,12*$E$4))</f>
        <v/>
      </c>
      <c r="L393" s="19" t="str">
        <f>IF($K393="","",IF($K393&gt;MAX($A$8:$A$5007),"",IFERROR(MATCH($K393,$A$8:$A$5007,1),"")))</f>
        <v/>
      </c>
      <c r="M393" s="30" t="str">
        <f>IF($L393="","",INDEX($A$8:$A$5007,$L393))</f>
        <v/>
      </c>
      <c r="N393" s="31" t="str">
        <f>IF($L393="","",INDEX($B$8:$B$5007,$L393))</f>
        <v/>
      </c>
      <c r="O393" s="32" t="str">
        <f>IF($M393="","",IF($K393-$M393&gt;7,"",IF($M393&lt;=$A393,"",IF(OR($B393&lt;=0,$N393&lt;=0),"",($N393/$B393)^(365/($M393-$A393))-1))))</f>
        <v/>
      </c>
      <c r="P393" s="31" t="str">
        <f>IF($B393="","",IF($P392="",$B393,MAX($P392,$B393)))</f>
        <v/>
      </c>
      <c r="Q393" s="32" t="str">
        <f>IF($P393="","",$B393/$P393-1)</f>
        <v/>
      </c>
    </row>
    <row r="394">
      <c r="A394" s="11" t="n"/>
      <c r="B394" s="29" t="n"/>
      <c r="K394" s="30" t="str">
        <f>IF($A394="","",EDATE($A394,12*$E$4))</f>
        <v/>
      </c>
      <c r="L394" s="19" t="str">
        <f>IF($K394="","",IF($K394&gt;MAX($A$8:$A$5007),"",IFERROR(MATCH($K394,$A$8:$A$5007,1),"")))</f>
        <v/>
      </c>
      <c r="M394" s="30" t="str">
        <f>IF($L394="","",INDEX($A$8:$A$5007,$L394))</f>
        <v/>
      </c>
      <c r="N394" s="31" t="str">
        <f>IF($L394="","",INDEX($B$8:$B$5007,$L394))</f>
        <v/>
      </c>
      <c r="O394" s="32" t="str">
        <f>IF($M394="","",IF($K394-$M394&gt;7,"",IF($M394&lt;=$A394,"",IF(OR($B394&lt;=0,$N394&lt;=0),"",($N394/$B394)^(365/($M394-$A394))-1))))</f>
        <v/>
      </c>
      <c r="P394" s="31" t="str">
        <f>IF($B394="","",IF($P393="",$B394,MAX($P393,$B394)))</f>
        <v/>
      </c>
      <c r="Q394" s="32" t="str">
        <f>IF($P394="","",$B394/$P394-1)</f>
        <v/>
      </c>
    </row>
    <row r="395">
      <c r="A395" s="11" t="n"/>
      <c r="B395" s="29" t="n"/>
      <c r="K395" s="30" t="str">
        <f>IF($A395="","",EDATE($A395,12*$E$4))</f>
        <v/>
      </c>
      <c r="L395" s="19" t="str">
        <f>IF($K395="","",IF($K395&gt;MAX($A$8:$A$5007),"",IFERROR(MATCH($K395,$A$8:$A$5007,1),"")))</f>
        <v/>
      </c>
      <c r="M395" s="30" t="str">
        <f>IF($L395="","",INDEX($A$8:$A$5007,$L395))</f>
        <v/>
      </c>
      <c r="N395" s="31" t="str">
        <f>IF($L395="","",INDEX($B$8:$B$5007,$L395))</f>
        <v/>
      </c>
      <c r="O395" s="32" t="str">
        <f>IF($M395="","",IF($K395-$M395&gt;7,"",IF($M395&lt;=$A395,"",IF(OR($B395&lt;=0,$N395&lt;=0),"",($N395/$B395)^(365/($M395-$A395))-1))))</f>
        <v/>
      </c>
      <c r="P395" s="31" t="str">
        <f>IF($B395="","",IF($P394="",$B395,MAX($P394,$B395)))</f>
        <v/>
      </c>
      <c r="Q395" s="32" t="str">
        <f>IF($P395="","",$B395/$P395-1)</f>
        <v/>
      </c>
    </row>
    <row r="396">
      <c r="A396" s="11" t="n"/>
      <c r="B396" s="29" t="n"/>
      <c r="K396" s="30" t="str">
        <f>IF($A396="","",EDATE($A396,12*$E$4))</f>
        <v/>
      </c>
      <c r="L396" s="19" t="str">
        <f>IF($K396="","",IF($K396&gt;MAX($A$8:$A$5007),"",IFERROR(MATCH($K396,$A$8:$A$5007,1),"")))</f>
        <v/>
      </c>
      <c r="M396" s="30" t="str">
        <f>IF($L396="","",INDEX($A$8:$A$5007,$L396))</f>
        <v/>
      </c>
      <c r="N396" s="31" t="str">
        <f>IF($L396="","",INDEX($B$8:$B$5007,$L396))</f>
        <v/>
      </c>
      <c r="O396" s="32" t="str">
        <f>IF($M396="","",IF($K396-$M396&gt;7,"",IF($M396&lt;=$A396,"",IF(OR($B396&lt;=0,$N396&lt;=0),"",($N396/$B396)^(365/($M396-$A396))-1))))</f>
        <v/>
      </c>
      <c r="P396" s="31" t="str">
        <f>IF($B396="","",IF($P395="",$B396,MAX($P395,$B396)))</f>
        <v/>
      </c>
      <c r="Q396" s="32" t="str">
        <f>IF($P396="","",$B396/$P396-1)</f>
        <v/>
      </c>
    </row>
    <row r="397">
      <c r="A397" s="11" t="n"/>
      <c r="B397" s="29" t="n"/>
      <c r="K397" s="30" t="str">
        <f>IF($A397="","",EDATE($A397,12*$E$4))</f>
        <v/>
      </c>
      <c r="L397" s="19" t="str">
        <f>IF($K397="","",IF($K397&gt;MAX($A$8:$A$5007),"",IFERROR(MATCH($K397,$A$8:$A$5007,1),"")))</f>
        <v/>
      </c>
      <c r="M397" s="30" t="str">
        <f>IF($L397="","",INDEX($A$8:$A$5007,$L397))</f>
        <v/>
      </c>
      <c r="N397" s="31" t="str">
        <f>IF($L397="","",INDEX($B$8:$B$5007,$L397))</f>
        <v/>
      </c>
      <c r="O397" s="32" t="str">
        <f>IF($M397="","",IF($K397-$M397&gt;7,"",IF($M397&lt;=$A397,"",IF(OR($B397&lt;=0,$N397&lt;=0),"",($N397/$B397)^(365/($M397-$A397))-1))))</f>
        <v/>
      </c>
      <c r="P397" s="31" t="str">
        <f>IF($B397="","",IF($P396="",$B397,MAX($P396,$B397)))</f>
        <v/>
      </c>
      <c r="Q397" s="32" t="str">
        <f>IF($P397="","",$B397/$P397-1)</f>
        <v/>
      </c>
    </row>
    <row r="398">
      <c r="A398" s="11" t="n"/>
      <c r="B398" s="29" t="n"/>
      <c r="K398" s="30" t="str">
        <f>IF($A398="","",EDATE($A398,12*$E$4))</f>
        <v/>
      </c>
      <c r="L398" s="19" t="str">
        <f>IF($K398="","",IF($K398&gt;MAX($A$8:$A$5007),"",IFERROR(MATCH($K398,$A$8:$A$5007,1),"")))</f>
        <v/>
      </c>
      <c r="M398" s="30" t="str">
        <f>IF($L398="","",INDEX($A$8:$A$5007,$L398))</f>
        <v/>
      </c>
      <c r="N398" s="31" t="str">
        <f>IF($L398="","",INDEX($B$8:$B$5007,$L398))</f>
        <v/>
      </c>
      <c r="O398" s="32" t="str">
        <f>IF($M398="","",IF($K398-$M398&gt;7,"",IF($M398&lt;=$A398,"",IF(OR($B398&lt;=0,$N398&lt;=0),"",($N398/$B398)^(365/($M398-$A398))-1))))</f>
        <v/>
      </c>
      <c r="P398" s="31" t="str">
        <f>IF($B398="","",IF($P397="",$B398,MAX($P397,$B398)))</f>
        <v/>
      </c>
      <c r="Q398" s="32" t="str">
        <f>IF($P398="","",$B398/$P398-1)</f>
        <v/>
      </c>
    </row>
    <row r="399">
      <c r="A399" s="11" t="n"/>
      <c r="B399" s="29" t="n"/>
      <c r="K399" s="30" t="str">
        <f>IF($A399="","",EDATE($A399,12*$E$4))</f>
        <v/>
      </c>
      <c r="L399" s="19" t="str">
        <f>IF($K399="","",IF($K399&gt;MAX($A$8:$A$5007),"",IFERROR(MATCH($K399,$A$8:$A$5007,1),"")))</f>
        <v/>
      </c>
      <c r="M399" s="30" t="str">
        <f>IF($L399="","",INDEX($A$8:$A$5007,$L399))</f>
        <v/>
      </c>
      <c r="N399" s="31" t="str">
        <f>IF($L399="","",INDEX($B$8:$B$5007,$L399))</f>
        <v/>
      </c>
      <c r="O399" s="32" t="str">
        <f>IF($M399="","",IF($K399-$M399&gt;7,"",IF($M399&lt;=$A399,"",IF(OR($B399&lt;=0,$N399&lt;=0),"",($N399/$B399)^(365/($M399-$A399))-1))))</f>
        <v/>
      </c>
      <c r="P399" s="31" t="str">
        <f>IF($B399="","",IF($P398="",$B399,MAX($P398,$B399)))</f>
        <v/>
      </c>
      <c r="Q399" s="32" t="str">
        <f>IF($P399="","",$B399/$P399-1)</f>
        <v/>
      </c>
    </row>
    <row r="400">
      <c r="A400" s="11" t="n"/>
      <c r="B400" s="29" t="n"/>
      <c r="K400" s="30" t="str">
        <f>IF($A400="","",EDATE($A400,12*$E$4))</f>
        <v/>
      </c>
      <c r="L400" s="19" t="str">
        <f>IF($K400="","",IF($K400&gt;MAX($A$8:$A$5007),"",IFERROR(MATCH($K400,$A$8:$A$5007,1),"")))</f>
        <v/>
      </c>
      <c r="M400" s="30" t="str">
        <f>IF($L400="","",INDEX($A$8:$A$5007,$L400))</f>
        <v/>
      </c>
      <c r="N400" s="31" t="str">
        <f>IF($L400="","",INDEX($B$8:$B$5007,$L400))</f>
        <v/>
      </c>
      <c r="O400" s="32" t="str">
        <f>IF($M400="","",IF($K400-$M400&gt;7,"",IF($M400&lt;=$A400,"",IF(OR($B400&lt;=0,$N400&lt;=0),"",($N400/$B400)^(365/($M400-$A400))-1))))</f>
        <v/>
      </c>
      <c r="P400" s="31" t="str">
        <f>IF($B400="","",IF($P399="",$B400,MAX($P399,$B400)))</f>
        <v/>
      </c>
      <c r="Q400" s="32" t="str">
        <f>IF($P400="","",$B400/$P400-1)</f>
        <v/>
      </c>
    </row>
    <row r="401">
      <c r="A401" s="11" t="n"/>
      <c r="B401" s="29" t="n"/>
      <c r="K401" s="30" t="str">
        <f>IF($A401="","",EDATE($A401,12*$E$4))</f>
        <v/>
      </c>
      <c r="L401" s="19" t="str">
        <f>IF($K401="","",IF($K401&gt;MAX($A$8:$A$5007),"",IFERROR(MATCH($K401,$A$8:$A$5007,1),"")))</f>
        <v/>
      </c>
      <c r="M401" s="30" t="str">
        <f>IF($L401="","",INDEX($A$8:$A$5007,$L401))</f>
        <v/>
      </c>
      <c r="N401" s="31" t="str">
        <f>IF($L401="","",INDEX($B$8:$B$5007,$L401))</f>
        <v/>
      </c>
      <c r="O401" s="32" t="str">
        <f>IF($M401="","",IF($K401-$M401&gt;7,"",IF($M401&lt;=$A401,"",IF(OR($B401&lt;=0,$N401&lt;=0),"",($N401/$B401)^(365/($M401-$A401))-1))))</f>
        <v/>
      </c>
      <c r="P401" s="31" t="str">
        <f>IF($B401="","",IF($P400="",$B401,MAX($P400,$B401)))</f>
        <v/>
      </c>
      <c r="Q401" s="32" t="str">
        <f>IF($P401="","",$B401/$P401-1)</f>
        <v/>
      </c>
    </row>
    <row r="402">
      <c r="A402" s="11" t="n"/>
      <c r="B402" s="29" t="n"/>
      <c r="K402" s="30" t="str">
        <f>IF($A402="","",EDATE($A402,12*$E$4))</f>
        <v/>
      </c>
      <c r="L402" s="19" t="str">
        <f>IF($K402="","",IF($K402&gt;MAX($A$8:$A$5007),"",IFERROR(MATCH($K402,$A$8:$A$5007,1),"")))</f>
        <v/>
      </c>
      <c r="M402" s="30" t="str">
        <f>IF($L402="","",INDEX($A$8:$A$5007,$L402))</f>
        <v/>
      </c>
      <c r="N402" s="31" t="str">
        <f>IF($L402="","",INDEX($B$8:$B$5007,$L402))</f>
        <v/>
      </c>
      <c r="O402" s="32" t="str">
        <f>IF($M402="","",IF($K402-$M402&gt;7,"",IF($M402&lt;=$A402,"",IF(OR($B402&lt;=0,$N402&lt;=0),"",($N402/$B402)^(365/($M402-$A402))-1))))</f>
        <v/>
      </c>
      <c r="P402" s="31" t="str">
        <f>IF($B402="","",IF($P401="",$B402,MAX($P401,$B402)))</f>
        <v/>
      </c>
      <c r="Q402" s="32" t="str">
        <f>IF($P402="","",$B402/$P402-1)</f>
        <v/>
      </c>
    </row>
    <row r="403">
      <c r="A403" s="11" t="n"/>
      <c r="B403" s="29" t="n"/>
      <c r="K403" s="30" t="str">
        <f>IF($A403="","",EDATE($A403,12*$E$4))</f>
        <v/>
      </c>
      <c r="L403" s="19" t="str">
        <f>IF($K403="","",IF($K403&gt;MAX($A$8:$A$5007),"",IFERROR(MATCH($K403,$A$8:$A$5007,1),"")))</f>
        <v/>
      </c>
      <c r="M403" s="30" t="str">
        <f>IF($L403="","",INDEX($A$8:$A$5007,$L403))</f>
        <v/>
      </c>
      <c r="N403" s="31" t="str">
        <f>IF($L403="","",INDEX($B$8:$B$5007,$L403))</f>
        <v/>
      </c>
      <c r="O403" s="32" t="str">
        <f>IF($M403="","",IF($K403-$M403&gt;7,"",IF($M403&lt;=$A403,"",IF(OR($B403&lt;=0,$N403&lt;=0),"",($N403/$B403)^(365/($M403-$A403))-1))))</f>
        <v/>
      </c>
      <c r="P403" s="31" t="str">
        <f>IF($B403="","",IF($P402="",$B403,MAX($P402,$B403)))</f>
        <v/>
      </c>
      <c r="Q403" s="32" t="str">
        <f>IF($P403="","",$B403/$P403-1)</f>
        <v/>
      </c>
    </row>
    <row r="404">
      <c r="A404" s="11" t="n"/>
      <c r="B404" s="29" t="n"/>
      <c r="K404" s="30" t="str">
        <f>IF($A404="","",EDATE($A404,12*$E$4))</f>
        <v/>
      </c>
      <c r="L404" s="19" t="str">
        <f>IF($K404="","",IF($K404&gt;MAX($A$8:$A$5007),"",IFERROR(MATCH($K404,$A$8:$A$5007,1),"")))</f>
        <v/>
      </c>
      <c r="M404" s="30" t="str">
        <f>IF($L404="","",INDEX($A$8:$A$5007,$L404))</f>
        <v/>
      </c>
      <c r="N404" s="31" t="str">
        <f>IF($L404="","",INDEX($B$8:$B$5007,$L404))</f>
        <v/>
      </c>
      <c r="O404" s="32" t="str">
        <f>IF($M404="","",IF($K404-$M404&gt;7,"",IF($M404&lt;=$A404,"",IF(OR($B404&lt;=0,$N404&lt;=0),"",($N404/$B404)^(365/($M404-$A404))-1))))</f>
        <v/>
      </c>
      <c r="P404" s="31" t="str">
        <f>IF($B404="","",IF($P403="",$B404,MAX($P403,$B404)))</f>
        <v/>
      </c>
      <c r="Q404" s="32" t="str">
        <f>IF($P404="","",$B404/$P404-1)</f>
        <v/>
      </c>
    </row>
    <row r="405">
      <c r="A405" s="11" t="n"/>
      <c r="B405" s="29" t="n"/>
      <c r="K405" s="30" t="str">
        <f>IF($A405="","",EDATE($A405,12*$E$4))</f>
        <v/>
      </c>
      <c r="L405" s="19" t="str">
        <f>IF($K405="","",IF($K405&gt;MAX($A$8:$A$5007),"",IFERROR(MATCH($K405,$A$8:$A$5007,1),"")))</f>
        <v/>
      </c>
      <c r="M405" s="30" t="str">
        <f>IF($L405="","",INDEX($A$8:$A$5007,$L405))</f>
        <v/>
      </c>
      <c r="N405" s="31" t="str">
        <f>IF($L405="","",INDEX($B$8:$B$5007,$L405))</f>
        <v/>
      </c>
      <c r="O405" s="32" t="str">
        <f>IF($M405="","",IF($K405-$M405&gt;7,"",IF($M405&lt;=$A405,"",IF(OR($B405&lt;=0,$N405&lt;=0),"",($N405/$B405)^(365/($M405-$A405))-1))))</f>
        <v/>
      </c>
      <c r="P405" s="31" t="str">
        <f>IF($B405="","",IF($P404="",$B405,MAX($P404,$B405)))</f>
        <v/>
      </c>
      <c r="Q405" s="32" t="str">
        <f>IF($P405="","",$B405/$P405-1)</f>
        <v/>
      </c>
    </row>
    <row r="406">
      <c r="A406" s="11" t="n"/>
      <c r="B406" s="29" t="n"/>
      <c r="K406" s="30" t="str">
        <f>IF($A406="","",EDATE($A406,12*$E$4))</f>
        <v/>
      </c>
      <c r="L406" s="19" t="str">
        <f>IF($K406="","",IF($K406&gt;MAX($A$8:$A$5007),"",IFERROR(MATCH($K406,$A$8:$A$5007,1),"")))</f>
        <v/>
      </c>
      <c r="M406" s="30" t="str">
        <f>IF($L406="","",INDEX($A$8:$A$5007,$L406))</f>
        <v/>
      </c>
      <c r="N406" s="31" t="str">
        <f>IF($L406="","",INDEX($B$8:$B$5007,$L406))</f>
        <v/>
      </c>
      <c r="O406" s="32" t="str">
        <f>IF($M406="","",IF($K406-$M406&gt;7,"",IF($M406&lt;=$A406,"",IF(OR($B406&lt;=0,$N406&lt;=0),"",($N406/$B406)^(365/($M406-$A406))-1))))</f>
        <v/>
      </c>
      <c r="P406" s="31" t="str">
        <f>IF($B406="","",IF($P405="",$B406,MAX($P405,$B406)))</f>
        <v/>
      </c>
      <c r="Q406" s="32" t="str">
        <f>IF($P406="","",$B406/$P406-1)</f>
        <v/>
      </c>
    </row>
    <row r="407">
      <c r="A407" s="11" t="n"/>
      <c r="B407" s="29" t="n"/>
      <c r="K407" s="30" t="str">
        <f>IF($A407="","",EDATE($A407,12*$E$4))</f>
        <v/>
      </c>
      <c r="L407" s="19" t="str">
        <f>IF($K407="","",IF($K407&gt;MAX($A$8:$A$5007),"",IFERROR(MATCH($K407,$A$8:$A$5007,1),"")))</f>
        <v/>
      </c>
      <c r="M407" s="30" t="str">
        <f>IF($L407="","",INDEX($A$8:$A$5007,$L407))</f>
        <v/>
      </c>
      <c r="N407" s="31" t="str">
        <f>IF($L407="","",INDEX($B$8:$B$5007,$L407))</f>
        <v/>
      </c>
      <c r="O407" s="32" t="str">
        <f>IF($M407="","",IF($K407-$M407&gt;7,"",IF($M407&lt;=$A407,"",IF(OR($B407&lt;=0,$N407&lt;=0),"",($N407/$B407)^(365/($M407-$A407))-1))))</f>
        <v/>
      </c>
      <c r="P407" s="31" t="str">
        <f>IF($B407="","",IF($P406="",$B407,MAX($P406,$B407)))</f>
        <v/>
      </c>
      <c r="Q407" s="32" t="str">
        <f>IF($P407="","",$B407/$P407-1)</f>
        <v/>
      </c>
    </row>
    <row r="408">
      <c r="A408" s="11" t="n"/>
      <c r="B408" s="29" t="n"/>
      <c r="K408" s="30" t="str">
        <f>IF($A408="","",EDATE($A408,12*$E$4))</f>
        <v/>
      </c>
      <c r="L408" s="19" t="str">
        <f>IF($K408="","",IF($K408&gt;MAX($A$8:$A$5007),"",IFERROR(MATCH($K408,$A$8:$A$5007,1),"")))</f>
        <v/>
      </c>
      <c r="M408" s="30" t="str">
        <f>IF($L408="","",INDEX($A$8:$A$5007,$L408))</f>
        <v/>
      </c>
      <c r="N408" s="31" t="str">
        <f>IF($L408="","",INDEX($B$8:$B$5007,$L408))</f>
        <v/>
      </c>
      <c r="O408" s="32" t="str">
        <f>IF($M408="","",IF($K408-$M408&gt;7,"",IF($M408&lt;=$A408,"",IF(OR($B408&lt;=0,$N408&lt;=0),"",($N408/$B408)^(365/($M408-$A408))-1))))</f>
        <v/>
      </c>
      <c r="P408" s="31" t="str">
        <f>IF($B408="","",IF($P407="",$B408,MAX($P407,$B408)))</f>
        <v/>
      </c>
      <c r="Q408" s="32" t="str">
        <f>IF($P408="","",$B408/$P408-1)</f>
        <v/>
      </c>
    </row>
    <row r="409">
      <c r="A409" s="11" t="n"/>
      <c r="B409" s="29" t="n"/>
      <c r="K409" s="30" t="str">
        <f>IF($A409="","",EDATE($A409,12*$E$4))</f>
        <v/>
      </c>
      <c r="L409" s="19" t="str">
        <f>IF($K409="","",IF($K409&gt;MAX($A$8:$A$5007),"",IFERROR(MATCH($K409,$A$8:$A$5007,1),"")))</f>
        <v/>
      </c>
      <c r="M409" s="30" t="str">
        <f>IF($L409="","",INDEX($A$8:$A$5007,$L409))</f>
        <v/>
      </c>
      <c r="N409" s="31" t="str">
        <f>IF($L409="","",INDEX($B$8:$B$5007,$L409))</f>
        <v/>
      </c>
      <c r="O409" s="32" t="str">
        <f>IF($M409="","",IF($K409-$M409&gt;7,"",IF($M409&lt;=$A409,"",IF(OR($B409&lt;=0,$N409&lt;=0),"",($N409/$B409)^(365/($M409-$A409))-1))))</f>
        <v/>
      </c>
      <c r="P409" s="31" t="str">
        <f>IF($B409="","",IF($P408="",$B409,MAX($P408,$B409)))</f>
        <v/>
      </c>
      <c r="Q409" s="32" t="str">
        <f>IF($P409="","",$B409/$P409-1)</f>
        <v/>
      </c>
    </row>
    <row r="410">
      <c r="A410" s="11" t="n"/>
      <c r="B410" s="29" t="n"/>
      <c r="K410" s="30" t="str">
        <f>IF($A410="","",EDATE($A410,12*$E$4))</f>
        <v/>
      </c>
      <c r="L410" s="19" t="str">
        <f>IF($K410="","",IF($K410&gt;MAX($A$8:$A$5007),"",IFERROR(MATCH($K410,$A$8:$A$5007,1),"")))</f>
        <v/>
      </c>
      <c r="M410" s="30" t="str">
        <f>IF($L410="","",INDEX($A$8:$A$5007,$L410))</f>
        <v/>
      </c>
      <c r="N410" s="31" t="str">
        <f>IF($L410="","",INDEX($B$8:$B$5007,$L410))</f>
        <v/>
      </c>
      <c r="O410" s="32" t="str">
        <f>IF($M410="","",IF($K410-$M410&gt;7,"",IF($M410&lt;=$A410,"",IF(OR($B410&lt;=0,$N410&lt;=0),"",($N410/$B410)^(365/($M410-$A410))-1))))</f>
        <v/>
      </c>
      <c r="P410" s="31" t="str">
        <f>IF($B410="","",IF($P409="",$B410,MAX($P409,$B410)))</f>
        <v/>
      </c>
      <c r="Q410" s="32" t="str">
        <f>IF($P410="","",$B410/$P410-1)</f>
        <v/>
      </c>
    </row>
    <row r="411">
      <c r="A411" s="11" t="n"/>
      <c r="B411" s="29" t="n"/>
      <c r="K411" s="30" t="str">
        <f>IF($A411="","",EDATE($A411,12*$E$4))</f>
        <v/>
      </c>
      <c r="L411" s="19" t="str">
        <f>IF($K411="","",IF($K411&gt;MAX($A$8:$A$5007),"",IFERROR(MATCH($K411,$A$8:$A$5007,1),"")))</f>
        <v/>
      </c>
      <c r="M411" s="30" t="str">
        <f>IF($L411="","",INDEX($A$8:$A$5007,$L411))</f>
        <v/>
      </c>
      <c r="N411" s="31" t="str">
        <f>IF($L411="","",INDEX($B$8:$B$5007,$L411))</f>
        <v/>
      </c>
      <c r="O411" s="32" t="str">
        <f>IF($M411="","",IF($K411-$M411&gt;7,"",IF($M411&lt;=$A411,"",IF(OR($B411&lt;=0,$N411&lt;=0),"",($N411/$B411)^(365/($M411-$A411))-1))))</f>
        <v/>
      </c>
      <c r="P411" s="31" t="str">
        <f>IF($B411="","",IF($P410="",$B411,MAX($P410,$B411)))</f>
        <v/>
      </c>
      <c r="Q411" s="32" t="str">
        <f>IF($P411="","",$B411/$P411-1)</f>
        <v/>
      </c>
    </row>
    <row r="412">
      <c r="A412" s="11" t="n"/>
      <c r="B412" s="29" t="n"/>
      <c r="K412" s="30" t="str">
        <f>IF($A412="","",EDATE($A412,12*$E$4))</f>
        <v/>
      </c>
      <c r="L412" s="19" t="str">
        <f>IF($K412="","",IF($K412&gt;MAX($A$8:$A$5007),"",IFERROR(MATCH($K412,$A$8:$A$5007,1),"")))</f>
        <v/>
      </c>
      <c r="M412" s="30" t="str">
        <f>IF($L412="","",INDEX($A$8:$A$5007,$L412))</f>
        <v/>
      </c>
      <c r="N412" s="31" t="str">
        <f>IF($L412="","",INDEX($B$8:$B$5007,$L412))</f>
        <v/>
      </c>
      <c r="O412" s="32" t="str">
        <f>IF($M412="","",IF($K412-$M412&gt;7,"",IF($M412&lt;=$A412,"",IF(OR($B412&lt;=0,$N412&lt;=0),"",($N412/$B412)^(365/($M412-$A412))-1))))</f>
        <v/>
      </c>
      <c r="P412" s="31" t="str">
        <f>IF($B412="","",IF($P411="",$B412,MAX($P411,$B412)))</f>
        <v/>
      </c>
      <c r="Q412" s="32" t="str">
        <f>IF($P412="","",$B412/$P412-1)</f>
        <v/>
      </c>
    </row>
    <row r="413">
      <c r="A413" s="11" t="n"/>
      <c r="B413" s="29" t="n"/>
      <c r="K413" s="30" t="str">
        <f>IF($A413="","",EDATE($A413,12*$E$4))</f>
        <v/>
      </c>
      <c r="L413" s="19" t="str">
        <f>IF($K413="","",IF($K413&gt;MAX($A$8:$A$5007),"",IFERROR(MATCH($K413,$A$8:$A$5007,1),"")))</f>
        <v/>
      </c>
      <c r="M413" s="30" t="str">
        <f>IF($L413="","",INDEX($A$8:$A$5007,$L413))</f>
        <v/>
      </c>
      <c r="N413" s="31" t="str">
        <f>IF($L413="","",INDEX($B$8:$B$5007,$L413))</f>
        <v/>
      </c>
      <c r="O413" s="32" t="str">
        <f>IF($M413="","",IF($K413-$M413&gt;7,"",IF($M413&lt;=$A413,"",IF(OR($B413&lt;=0,$N413&lt;=0),"",($N413/$B413)^(365/($M413-$A413))-1))))</f>
        <v/>
      </c>
      <c r="P413" s="31" t="str">
        <f>IF($B413="","",IF($P412="",$B413,MAX($P412,$B413)))</f>
        <v/>
      </c>
      <c r="Q413" s="32" t="str">
        <f>IF($P413="","",$B413/$P413-1)</f>
        <v/>
      </c>
    </row>
    <row r="414">
      <c r="A414" s="11" t="n"/>
      <c r="B414" s="29" t="n"/>
      <c r="K414" s="30" t="str">
        <f>IF($A414="","",EDATE($A414,12*$E$4))</f>
        <v/>
      </c>
      <c r="L414" s="19" t="str">
        <f>IF($K414="","",IF($K414&gt;MAX($A$8:$A$5007),"",IFERROR(MATCH($K414,$A$8:$A$5007,1),"")))</f>
        <v/>
      </c>
      <c r="M414" s="30" t="str">
        <f>IF($L414="","",INDEX($A$8:$A$5007,$L414))</f>
        <v/>
      </c>
      <c r="N414" s="31" t="str">
        <f>IF($L414="","",INDEX($B$8:$B$5007,$L414))</f>
        <v/>
      </c>
      <c r="O414" s="32" t="str">
        <f>IF($M414="","",IF($K414-$M414&gt;7,"",IF($M414&lt;=$A414,"",IF(OR($B414&lt;=0,$N414&lt;=0),"",($N414/$B414)^(365/($M414-$A414))-1))))</f>
        <v/>
      </c>
      <c r="P414" s="31" t="str">
        <f>IF($B414="","",IF($P413="",$B414,MAX($P413,$B414)))</f>
        <v/>
      </c>
      <c r="Q414" s="32" t="str">
        <f>IF($P414="","",$B414/$P414-1)</f>
        <v/>
      </c>
    </row>
    <row r="415">
      <c r="A415" s="11" t="n"/>
      <c r="B415" s="29" t="n"/>
      <c r="K415" s="30" t="str">
        <f>IF($A415="","",EDATE($A415,12*$E$4))</f>
        <v/>
      </c>
      <c r="L415" s="19" t="str">
        <f>IF($K415="","",IF($K415&gt;MAX($A$8:$A$5007),"",IFERROR(MATCH($K415,$A$8:$A$5007,1),"")))</f>
        <v/>
      </c>
      <c r="M415" s="30" t="str">
        <f>IF($L415="","",INDEX($A$8:$A$5007,$L415))</f>
        <v/>
      </c>
      <c r="N415" s="31" t="str">
        <f>IF($L415="","",INDEX($B$8:$B$5007,$L415))</f>
        <v/>
      </c>
      <c r="O415" s="32" t="str">
        <f>IF($M415="","",IF($K415-$M415&gt;7,"",IF($M415&lt;=$A415,"",IF(OR($B415&lt;=0,$N415&lt;=0),"",($N415/$B415)^(365/($M415-$A415))-1))))</f>
        <v/>
      </c>
      <c r="P415" s="31" t="str">
        <f>IF($B415="","",IF($P414="",$B415,MAX($P414,$B415)))</f>
        <v/>
      </c>
      <c r="Q415" s="32" t="str">
        <f>IF($P415="","",$B415/$P415-1)</f>
        <v/>
      </c>
    </row>
    <row r="416">
      <c r="A416" s="11" t="n"/>
      <c r="B416" s="29" t="n"/>
      <c r="K416" s="30" t="str">
        <f>IF($A416="","",EDATE($A416,12*$E$4))</f>
        <v/>
      </c>
      <c r="L416" s="19" t="str">
        <f>IF($K416="","",IF($K416&gt;MAX($A$8:$A$5007),"",IFERROR(MATCH($K416,$A$8:$A$5007,1),"")))</f>
        <v/>
      </c>
      <c r="M416" s="30" t="str">
        <f>IF($L416="","",INDEX($A$8:$A$5007,$L416))</f>
        <v/>
      </c>
      <c r="N416" s="31" t="str">
        <f>IF($L416="","",INDEX($B$8:$B$5007,$L416))</f>
        <v/>
      </c>
      <c r="O416" s="32" t="str">
        <f>IF($M416="","",IF($K416-$M416&gt;7,"",IF($M416&lt;=$A416,"",IF(OR($B416&lt;=0,$N416&lt;=0),"",($N416/$B416)^(365/($M416-$A416))-1))))</f>
        <v/>
      </c>
      <c r="P416" s="31" t="str">
        <f>IF($B416="","",IF($P415="",$B416,MAX($P415,$B416)))</f>
        <v/>
      </c>
      <c r="Q416" s="32" t="str">
        <f>IF($P416="","",$B416/$P416-1)</f>
        <v/>
      </c>
    </row>
    <row r="417">
      <c r="A417" s="11" t="n"/>
      <c r="B417" s="29" t="n"/>
      <c r="K417" s="30" t="str">
        <f>IF($A417="","",EDATE($A417,12*$E$4))</f>
        <v/>
      </c>
      <c r="L417" s="19" t="str">
        <f>IF($K417="","",IF($K417&gt;MAX($A$8:$A$5007),"",IFERROR(MATCH($K417,$A$8:$A$5007,1),"")))</f>
        <v/>
      </c>
      <c r="M417" s="30" t="str">
        <f>IF($L417="","",INDEX($A$8:$A$5007,$L417))</f>
        <v/>
      </c>
      <c r="N417" s="31" t="str">
        <f>IF($L417="","",INDEX($B$8:$B$5007,$L417))</f>
        <v/>
      </c>
      <c r="O417" s="32" t="str">
        <f>IF($M417="","",IF($K417-$M417&gt;7,"",IF($M417&lt;=$A417,"",IF(OR($B417&lt;=0,$N417&lt;=0),"",($N417/$B417)^(365/($M417-$A417))-1))))</f>
        <v/>
      </c>
      <c r="P417" s="31" t="str">
        <f>IF($B417="","",IF($P416="",$B417,MAX($P416,$B417)))</f>
        <v/>
      </c>
      <c r="Q417" s="32" t="str">
        <f>IF($P417="","",$B417/$P417-1)</f>
        <v/>
      </c>
    </row>
    <row r="418">
      <c r="A418" s="11" t="n"/>
      <c r="B418" s="29" t="n"/>
      <c r="K418" s="30" t="str">
        <f>IF($A418="","",EDATE($A418,12*$E$4))</f>
        <v/>
      </c>
      <c r="L418" s="19" t="str">
        <f>IF($K418="","",IF($K418&gt;MAX($A$8:$A$5007),"",IFERROR(MATCH($K418,$A$8:$A$5007,1),"")))</f>
        <v/>
      </c>
      <c r="M418" s="30" t="str">
        <f>IF($L418="","",INDEX($A$8:$A$5007,$L418))</f>
        <v/>
      </c>
      <c r="N418" s="31" t="str">
        <f>IF($L418="","",INDEX($B$8:$B$5007,$L418))</f>
        <v/>
      </c>
      <c r="O418" s="32" t="str">
        <f>IF($M418="","",IF($K418-$M418&gt;7,"",IF($M418&lt;=$A418,"",IF(OR($B418&lt;=0,$N418&lt;=0),"",($N418/$B418)^(365/($M418-$A418))-1))))</f>
        <v/>
      </c>
      <c r="P418" s="31" t="str">
        <f>IF($B418="","",IF($P417="",$B418,MAX($P417,$B418)))</f>
        <v/>
      </c>
      <c r="Q418" s="32" t="str">
        <f>IF($P418="","",$B418/$P418-1)</f>
        <v/>
      </c>
    </row>
    <row r="419">
      <c r="A419" s="11" t="n"/>
      <c r="B419" s="29" t="n"/>
      <c r="K419" s="30" t="str">
        <f>IF($A419="","",EDATE($A419,12*$E$4))</f>
        <v/>
      </c>
      <c r="L419" s="19" t="str">
        <f>IF($K419="","",IF($K419&gt;MAX($A$8:$A$5007),"",IFERROR(MATCH($K419,$A$8:$A$5007,1),"")))</f>
        <v/>
      </c>
      <c r="M419" s="30" t="str">
        <f>IF($L419="","",INDEX($A$8:$A$5007,$L419))</f>
        <v/>
      </c>
      <c r="N419" s="31" t="str">
        <f>IF($L419="","",INDEX($B$8:$B$5007,$L419))</f>
        <v/>
      </c>
      <c r="O419" s="32" t="str">
        <f>IF($M419="","",IF($K419-$M419&gt;7,"",IF($M419&lt;=$A419,"",IF(OR($B419&lt;=0,$N419&lt;=0),"",($N419/$B419)^(365/($M419-$A419))-1))))</f>
        <v/>
      </c>
      <c r="P419" s="31" t="str">
        <f>IF($B419="","",IF($P418="",$B419,MAX($P418,$B419)))</f>
        <v/>
      </c>
      <c r="Q419" s="32" t="str">
        <f>IF($P419="","",$B419/$P419-1)</f>
        <v/>
      </c>
    </row>
    <row r="420">
      <c r="A420" s="11" t="n"/>
      <c r="B420" s="29" t="n"/>
      <c r="K420" s="30" t="str">
        <f>IF($A420="","",EDATE($A420,12*$E$4))</f>
        <v/>
      </c>
      <c r="L420" s="19" t="str">
        <f>IF($K420="","",IF($K420&gt;MAX($A$8:$A$5007),"",IFERROR(MATCH($K420,$A$8:$A$5007,1),"")))</f>
        <v/>
      </c>
      <c r="M420" s="30" t="str">
        <f>IF($L420="","",INDEX($A$8:$A$5007,$L420))</f>
        <v/>
      </c>
      <c r="N420" s="31" t="str">
        <f>IF($L420="","",INDEX($B$8:$B$5007,$L420))</f>
        <v/>
      </c>
      <c r="O420" s="32" t="str">
        <f>IF($M420="","",IF($K420-$M420&gt;7,"",IF($M420&lt;=$A420,"",IF(OR($B420&lt;=0,$N420&lt;=0),"",($N420/$B420)^(365/($M420-$A420))-1))))</f>
        <v/>
      </c>
      <c r="P420" s="31" t="str">
        <f>IF($B420="","",IF($P419="",$B420,MAX($P419,$B420)))</f>
        <v/>
      </c>
      <c r="Q420" s="32" t="str">
        <f>IF($P420="","",$B420/$P420-1)</f>
        <v/>
      </c>
    </row>
    <row r="421">
      <c r="A421" s="11" t="n"/>
      <c r="B421" s="29" t="n"/>
      <c r="K421" s="30" t="str">
        <f>IF($A421="","",EDATE($A421,12*$E$4))</f>
        <v/>
      </c>
      <c r="L421" s="19" t="str">
        <f>IF($K421="","",IF($K421&gt;MAX($A$8:$A$5007),"",IFERROR(MATCH($K421,$A$8:$A$5007,1),"")))</f>
        <v/>
      </c>
      <c r="M421" s="30" t="str">
        <f>IF($L421="","",INDEX($A$8:$A$5007,$L421))</f>
        <v/>
      </c>
      <c r="N421" s="31" t="str">
        <f>IF($L421="","",INDEX($B$8:$B$5007,$L421))</f>
        <v/>
      </c>
      <c r="O421" s="32" t="str">
        <f>IF($M421="","",IF($K421-$M421&gt;7,"",IF($M421&lt;=$A421,"",IF(OR($B421&lt;=0,$N421&lt;=0),"",($N421/$B421)^(365/($M421-$A421))-1))))</f>
        <v/>
      </c>
      <c r="P421" s="31" t="str">
        <f>IF($B421="","",IF($P420="",$B421,MAX($P420,$B421)))</f>
        <v/>
      </c>
      <c r="Q421" s="32" t="str">
        <f>IF($P421="","",$B421/$P421-1)</f>
        <v/>
      </c>
    </row>
    <row r="422">
      <c r="A422" s="11" t="n"/>
      <c r="B422" s="29" t="n"/>
      <c r="K422" s="30" t="str">
        <f>IF($A422="","",EDATE($A422,12*$E$4))</f>
        <v/>
      </c>
      <c r="L422" s="19" t="str">
        <f>IF($K422="","",IF($K422&gt;MAX($A$8:$A$5007),"",IFERROR(MATCH($K422,$A$8:$A$5007,1),"")))</f>
        <v/>
      </c>
      <c r="M422" s="30" t="str">
        <f>IF($L422="","",INDEX($A$8:$A$5007,$L422))</f>
        <v/>
      </c>
      <c r="N422" s="31" t="str">
        <f>IF($L422="","",INDEX($B$8:$B$5007,$L422))</f>
        <v/>
      </c>
      <c r="O422" s="32" t="str">
        <f>IF($M422="","",IF($K422-$M422&gt;7,"",IF($M422&lt;=$A422,"",IF(OR($B422&lt;=0,$N422&lt;=0),"",($N422/$B422)^(365/($M422-$A422))-1))))</f>
        <v/>
      </c>
      <c r="P422" s="31" t="str">
        <f>IF($B422="","",IF($P421="",$B422,MAX($P421,$B422)))</f>
        <v/>
      </c>
      <c r="Q422" s="32" t="str">
        <f>IF($P422="","",$B422/$P422-1)</f>
        <v/>
      </c>
    </row>
    <row r="423">
      <c r="A423" s="11" t="n"/>
      <c r="B423" s="29" t="n"/>
      <c r="K423" s="30" t="str">
        <f>IF($A423="","",EDATE($A423,12*$E$4))</f>
        <v/>
      </c>
      <c r="L423" s="19" t="str">
        <f>IF($K423="","",IF($K423&gt;MAX($A$8:$A$5007),"",IFERROR(MATCH($K423,$A$8:$A$5007,1),"")))</f>
        <v/>
      </c>
      <c r="M423" s="30" t="str">
        <f>IF($L423="","",INDEX($A$8:$A$5007,$L423))</f>
        <v/>
      </c>
      <c r="N423" s="31" t="str">
        <f>IF($L423="","",INDEX($B$8:$B$5007,$L423))</f>
        <v/>
      </c>
      <c r="O423" s="32" t="str">
        <f>IF($M423="","",IF($K423-$M423&gt;7,"",IF($M423&lt;=$A423,"",IF(OR($B423&lt;=0,$N423&lt;=0),"",($N423/$B423)^(365/($M423-$A423))-1))))</f>
        <v/>
      </c>
      <c r="P423" s="31" t="str">
        <f>IF($B423="","",IF($P422="",$B423,MAX($P422,$B423)))</f>
        <v/>
      </c>
      <c r="Q423" s="32" t="str">
        <f>IF($P423="","",$B423/$P423-1)</f>
        <v/>
      </c>
    </row>
    <row r="424">
      <c r="A424" s="11" t="n"/>
      <c r="B424" s="29" t="n"/>
      <c r="K424" s="30" t="str">
        <f>IF($A424="","",EDATE($A424,12*$E$4))</f>
        <v/>
      </c>
      <c r="L424" s="19" t="str">
        <f>IF($K424="","",IF($K424&gt;MAX($A$8:$A$5007),"",IFERROR(MATCH($K424,$A$8:$A$5007,1),"")))</f>
        <v/>
      </c>
      <c r="M424" s="30" t="str">
        <f>IF($L424="","",INDEX($A$8:$A$5007,$L424))</f>
        <v/>
      </c>
      <c r="N424" s="31" t="str">
        <f>IF($L424="","",INDEX($B$8:$B$5007,$L424))</f>
        <v/>
      </c>
      <c r="O424" s="32" t="str">
        <f>IF($M424="","",IF($K424-$M424&gt;7,"",IF($M424&lt;=$A424,"",IF(OR($B424&lt;=0,$N424&lt;=0),"",($N424/$B424)^(365/($M424-$A424))-1))))</f>
        <v/>
      </c>
      <c r="P424" s="31" t="str">
        <f>IF($B424="","",IF($P423="",$B424,MAX($P423,$B424)))</f>
        <v/>
      </c>
      <c r="Q424" s="32" t="str">
        <f>IF($P424="","",$B424/$P424-1)</f>
        <v/>
      </c>
    </row>
    <row r="425">
      <c r="A425" s="11" t="n"/>
      <c r="B425" s="29" t="n"/>
      <c r="K425" s="30" t="str">
        <f>IF($A425="","",EDATE($A425,12*$E$4))</f>
        <v/>
      </c>
      <c r="L425" s="19" t="str">
        <f>IF($K425="","",IF($K425&gt;MAX($A$8:$A$5007),"",IFERROR(MATCH($K425,$A$8:$A$5007,1),"")))</f>
        <v/>
      </c>
      <c r="M425" s="30" t="str">
        <f>IF($L425="","",INDEX($A$8:$A$5007,$L425))</f>
        <v/>
      </c>
      <c r="N425" s="31" t="str">
        <f>IF($L425="","",INDEX($B$8:$B$5007,$L425))</f>
        <v/>
      </c>
      <c r="O425" s="32" t="str">
        <f>IF($M425="","",IF($K425-$M425&gt;7,"",IF($M425&lt;=$A425,"",IF(OR($B425&lt;=0,$N425&lt;=0),"",($N425/$B425)^(365/($M425-$A425))-1))))</f>
        <v/>
      </c>
      <c r="P425" s="31" t="str">
        <f>IF($B425="","",IF($P424="",$B425,MAX($P424,$B425)))</f>
        <v/>
      </c>
      <c r="Q425" s="32" t="str">
        <f>IF($P425="","",$B425/$P425-1)</f>
        <v/>
      </c>
    </row>
    <row r="426">
      <c r="A426" s="11" t="n"/>
      <c r="B426" s="29" t="n"/>
      <c r="K426" s="30" t="str">
        <f>IF($A426="","",EDATE($A426,12*$E$4))</f>
        <v/>
      </c>
      <c r="L426" s="19" t="str">
        <f>IF($K426="","",IF($K426&gt;MAX($A$8:$A$5007),"",IFERROR(MATCH($K426,$A$8:$A$5007,1),"")))</f>
        <v/>
      </c>
      <c r="M426" s="30" t="str">
        <f>IF($L426="","",INDEX($A$8:$A$5007,$L426))</f>
        <v/>
      </c>
      <c r="N426" s="31" t="str">
        <f>IF($L426="","",INDEX($B$8:$B$5007,$L426))</f>
        <v/>
      </c>
      <c r="O426" s="32" t="str">
        <f>IF($M426="","",IF($K426-$M426&gt;7,"",IF($M426&lt;=$A426,"",IF(OR($B426&lt;=0,$N426&lt;=0),"",($N426/$B426)^(365/($M426-$A426))-1))))</f>
        <v/>
      </c>
      <c r="P426" s="31" t="str">
        <f>IF($B426="","",IF($P425="",$B426,MAX($P425,$B426)))</f>
        <v/>
      </c>
      <c r="Q426" s="32" t="str">
        <f>IF($P426="","",$B426/$P426-1)</f>
        <v/>
      </c>
    </row>
    <row r="427">
      <c r="A427" s="11" t="n"/>
      <c r="B427" s="29" t="n"/>
      <c r="K427" s="30" t="str">
        <f>IF($A427="","",EDATE($A427,12*$E$4))</f>
        <v/>
      </c>
      <c r="L427" s="19" t="str">
        <f>IF($K427="","",IF($K427&gt;MAX($A$8:$A$5007),"",IFERROR(MATCH($K427,$A$8:$A$5007,1),"")))</f>
        <v/>
      </c>
      <c r="M427" s="30" t="str">
        <f>IF($L427="","",INDEX($A$8:$A$5007,$L427))</f>
        <v/>
      </c>
      <c r="N427" s="31" t="str">
        <f>IF($L427="","",INDEX($B$8:$B$5007,$L427))</f>
        <v/>
      </c>
      <c r="O427" s="32" t="str">
        <f>IF($M427="","",IF($K427-$M427&gt;7,"",IF($M427&lt;=$A427,"",IF(OR($B427&lt;=0,$N427&lt;=0),"",($N427/$B427)^(365/($M427-$A427))-1))))</f>
        <v/>
      </c>
      <c r="P427" s="31" t="str">
        <f>IF($B427="","",IF($P426="",$B427,MAX($P426,$B427)))</f>
        <v/>
      </c>
      <c r="Q427" s="32" t="str">
        <f>IF($P427="","",$B427/$P427-1)</f>
        <v/>
      </c>
    </row>
    <row r="428">
      <c r="A428" s="11" t="n"/>
      <c r="B428" s="29" t="n"/>
      <c r="K428" s="30" t="str">
        <f>IF($A428="","",EDATE($A428,12*$E$4))</f>
        <v/>
      </c>
      <c r="L428" s="19" t="str">
        <f>IF($K428="","",IF($K428&gt;MAX($A$8:$A$5007),"",IFERROR(MATCH($K428,$A$8:$A$5007,1),"")))</f>
        <v/>
      </c>
      <c r="M428" s="30" t="str">
        <f>IF($L428="","",INDEX($A$8:$A$5007,$L428))</f>
        <v/>
      </c>
      <c r="N428" s="31" t="str">
        <f>IF($L428="","",INDEX($B$8:$B$5007,$L428))</f>
        <v/>
      </c>
      <c r="O428" s="32" t="str">
        <f>IF($M428="","",IF($K428-$M428&gt;7,"",IF($M428&lt;=$A428,"",IF(OR($B428&lt;=0,$N428&lt;=0),"",($N428/$B428)^(365/($M428-$A428))-1))))</f>
        <v/>
      </c>
      <c r="P428" s="31" t="str">
        <f>IF($B428="","",IF($P427="",$B428,MAX($P427,$B428)))</f>
        <v/>
      </c>
      <c r="Q428" s="32" t="str">
        <f>IF($P428="","",$B428/$P428-1)</f>
        <v/>
      </c>
    </row>
    <row r="429">
      <c r="A429" s="11" t="n"/>
      <c r="B429" s="29" t="n"/>
      <c r="K429" s="30" t="str">
        <f>IF($A429="","",EDATE($A429,12*$E$4))</f>
        <v/>
      </c>
      <c r="L429" s="19" t="str">
        <f>IF($K429="","",IF($K429&gt;MAX($A$8:$A$5007),"",IFERROR(MATCH($K429,$A$8:$A$5007,1),"")))</f>
        <v/>
      </c>
      <c r="M429" s="30" t="str">
        <f>IF($L429="","",INDEX($A$8:$A$5007,$L429))</f>
        <v/>
      </c>
      <c r="N429" s="31" t="str">
        <f>IF($L429="","",INDEX($B$8:$B$5007,$L429))</f>
        <v/>
      </c>
      <c r="O429" s="32" t="str">
        <f>IF($M429="","",IF($K429-$M429&gt;7,"",IF($M429&lt;=$A429,"",IF(OR($B429&lt;=0,$N429&lt;=0),"",($N429/$B429)^(365/($M429-$A429))-1))))</f>
        <v/>
      </c>
      <c r="P429" s="31" t="str">
        <f>IF($B429="","",IF($P428="",$B429,MAX($P428,$B429)))</f>
        <v/>
      </c>
      <c r="Q429" s="32" t="str">
        <f>IF($P429="","",$B429/$P429-1)</f>
        <v/>
      </c>
    </row>
    <row r="430">
      <c r="A430" s="11" t="n"/>
      <c r="B430" s="29" t="n"/>
      <c r="K430" s="30" t="str">
        <f>IF($A430="","",EDATE($A430,12*$E$4))</f>
        <v/>
      </c>
      <c r="L430" s="19" t="str">
        <f>IF($K430="","",IF($K430&gt;MAX($A$8:$A$5007),"",IFERROR(MATCH($K430,$A$8:$A$5007,1),"")))</f>
        <v/>
      </c>
      <c r="M430" s="30" t="str">
        <f>IF($L430="","",INDEX($A$8:$A$5007,$L430))</f>
        <v/>
      </c>
      <c r="N430" s="31" t="str">
        <f>IF($L430="","",INDEX($B$8:$B$5007,$L430))</f>
        <v/>
      </c>
      <c r="O430" s="32" t="str">
        <f>IF($M430="","",IF($K430-$M430&gt;7,"",IF($M430&lt;=$A430,"",IF(OR($B430&lt;=0,$N430&lt;=0),"",($N430/$B430)^(365/($M430-$A430))-1))))</f>
        <v/>
      </c>
      <c r="P430" s="31" t="str">
        <f>IF($B430="","",IF($P429="",$B430,MAX($P429,$B430)))</f>
        <v/>
      </c>
      <c r="Q430" s="32" t="str">
        <f>IF($P430="","",$B430/$P430-1)</f>
        <v/>
      </c>
    </row>
    <row r="431">
      <c r="A431" s="11" t="n"/>
      <c r="B431" s="29" t="n"/>
      <c r="K431" s="30" t="str">
        <f>IF($A431="","",EDATE($A431,12*$E$4))</f>
        <v/>
      </c>
      <c r="L431" s="19" t="str">
        <f>IF($K431="","",IF($K431&gt;MAX($A$8:$A$5007),"",IFERROR(MATCH($K431,$A$8:$A$5007,1),"")))</f>
        <v/>
      </c>
      <c r="M431" s="30" t="str">
        <f>IF($L431="","",INDEX($A$8:$A$5007,$L431))</f>
        <v/>
      </c>
      <c r="N431" s="31" t="str">
        <f>IF($L431="","",INDEX($B$8:$B$5007,$L431))</f>
        <v/>
      </c>
      <c r="O431" s="32" t="str">
        <f>IF($M431="","",IF($K431-$M431&gt;7,"",IF($M431&lt;=$A431,"",IF(OR($B431&lt;=0,$N431&lt;=0),"",($N431/$B431)^(365/($M431-$A431))-1))))</f>
        <v/>
      </c>
      <c r="P431" s="31" t="str">
        <f>IF($B431="","",IF($P430="",$B431,MAX($P430,$B431)))</f>
        <v/>
      </c>
      <c r="Q431" s="32" t="str">
        <f>IF($P431="","",$B431/$P431-1)</f>
        <v/>
      </c>
    </row>
    <row r="432">
      <c r="A432" s="11" t="n"/>
      <c r="B432" s="29" t="n"/>
      <c r="K432" s="30" t="str">
        <f>IF($A432="","",EDATE($A432,12*$E$4))</f>
        <v/>
      </c>
      <c r="L432" s="19" t="str">
        <f>IF($K432="","",IF($K432&gt;MAX($A$8:$A$5007),"",IFERROR(MATCH($K432,$A$8:$A$5007,1),"")))</f>
        <v/>
      </c>
      <c r="M432" s="30" t="str">
        <f>IF($L432="","",INDEX($A$8:$A$5007,$L432))</f>
        <v/>
      </c>
      <c r="N432" s="31" t="str">
        <f>IF($L432="","",INDEX($B$8:$B$5007,$L432))</f>
        <v/>
      </c>
      <c r="O432" s="32" t="str">
        <f>IF($M432="","",IF($K432-$M432&gt;7,"",IF($M432&lt;=$A432,"",IF(OR($B432&lt;=0,$N432&lt;=0),"",($N432/$B432)^(365/($M432-$A432))-1))))</f>
        <v/>
      </c>
      <c r="P432" s="31" t="str">
        <f>IF($B432="","",IF($P431="",$B432,MAX($P431,$B432)))</f>
        <v/>
      </c>
      <c r="Q432" s="32" t="str">
        <f>IF($P432="","",$B432/$P432-1)</f>
        <v/>
      </c>
    </row>
    <row r="433">
      <c r="A433" s="11" t="n"/>
      <c r="B433" s="29" t="n"/>
      <c r="K433" s="30" t="str">
        <f>IF($A433="","",EDATE($A433,12*$E$4))</f>
        <v/>
      </c>
      <c r="L433" s="19" t="str">
        <f>IF($K433="","",IF($K433&gt;MAX($A$8:$A$5007),"",IFERROR(MATCH($K433,$A$8:$A$5007,1),"")))</f>
        <v/>
      </c>
      <c r="M433" s="30" t="str">
        <f>IF($L433="","",INDEX($A$8:$A$5007,$L433))</f>
        <v/>
      </c>
      <c r="N433" s="31" t="str">
        <f>IF($L433="","",INDEX($B$8:$B$5007,$L433))</f>
        <v/>
      </c>
      <c r="O433" s="32" t="str">
        <f>IF($M433="","",IF($K433-$M433&gt;7,"",IF($M433&lt;=$A433,"",IF(OR($B433&lt;=0,$N433&lt;=0),"",($N433/$B433)^(365/($M433-$A433))-1))))</f>
        <v/>
      </c>
      <c r="P433" s="31" t="str">
        <f>IF($B433="","",IF($P432="",$B433,MAX($P432,$B433)))</f>
        <v/>
      </c>
      <c r="Q433" s="32" t="str">
        <f>IF($P433="","",$B433/$P433-1)</f>
        <v/>
      </c>
    </row>
    <row r="434">
      <c r="A434" s="11" t="n"/>
      <c r="B434" s="29" t="n"/>
      <c r="K434" s="30" t="str">
        <f>IF($A434="","",EDATE($A434,12*$E$4))</f>
        <v/>
      </c>
      <c r="L434" s="19" t="str">
        <f>IF($K434="","",IF($K434&gt;MAX($A$8:$A$5007),"",IFERROR(MATCH($K434,$A$8:$A$5007,1),"")))</f>
        <v/>
      </c>
      <c r="M434" s="30" t="str">
        <f>IF($L434="","",INDEX($A$8:$A$5007,$L434))</f>
        <v/>
      </c>
      <c r="N434" s="31" t="str">
        <f>IF($L434="","",INDEX($B$8:$B$5007,$L434))</f>
        <v/>
      </c>
      <c r="O434" s="32" t="str">
        <f>IF($M434="","",IF($K434-$M434&gt;7,"",IF($M434&lt;=$A434,"",IF(OR($B434&lt;=0,$N434&lt;=0),"",($N434/$B434)^(365/($M434-$A434))-1))))</f>
        <v/>
      </c>
      <c r="P434" s="31" t="str">
        <f>IF($B434="","",IF($P433="",$B434,MAX($P433,$B434)))</f>
        <v/>
      </c>
      <c r="Q434" s="32" t="str">
        <f>IF($P434="","",$B434/$P434-1)</f>
        <v/>
      </c>
    </row>
    <row r="435">
      <c r="A435" s="11" t="n"/>
      <c r="B435" s="29" t="n"/>
      <c r="K435" s="30" t="str">
        <f>IF($A435="","",EDATE($A435,12*$E$4))</f>
        <v/>
      </c>
      <c r="L435" s="19" t="str">
        <f>IF($K435="","",IF($K435&gt;MAX($A$8:$A$5007),"",IFERROR(MATCH($K435,$A$8:$A$5007,1),"")))</f>
        <v/>
      </c>
      <c r="M435" s="30" t="str">
        <f>IF($L435="","",INDEX($A$8:$A$5007,$L435))</f>
        <v/>
      </c>
      <c r="N435" s="31" t="str">
        <f>IF($L435="","",INDEX($B$8:$B$5007,$L435))</f>
        <v/>
      </c>
      <c r="O435" s="32" t="str">
        <f>IF($M435="","",IF($K435-$M435&gt;7,"",IF($M435&lt;=$A435,"",IF(OR($B435&lt;=0,$N435&lt;=0),"",($N435/$B435)^(365/($M435-$A435))-1))))</f>
        <v/>
      </c>
      <c r="P435" s="31" t="str">
        <f>IF($B435="","",IF($P434="",$B435,MAX($P434,$B435)))</f>
        <v/>
      </c>
      <c r="Q435" s="32" t="str">
        <f>IF($P435="","",$B435/$P435-1)</f>
        <v/>
      </c>
    </row>
    <row r="436">
      <c r="A436" s="11" t="n"/>
      <c r="B436" s="29" t="n"/>
      <c r="K436" s="30" t="str">
        <f>IF($A436="","",EDATE($A436,12*$E$4))</f>
        <v/>
      </c>
      <c r="L436" s="19" t="str">
        <f>IF($K436="","",IF($K436&gt;MAX($A$8:$A$5007),"",IFERROR(MATCH($K436,$A$8:$A$5007,1),"")))</f>
        <v/>
      </c>
      <c r="M436" s="30" t="str">
        <f>IF($L436="","",INDEX($A$8:$A$5007,$L436))</f>
        <v/>
      </c>
      <c r="N436" s="31" t="str">
        <f>IF($L436="","",INDEX($B$8:$B$5007,$L436))</f>
        <v/>
      </c>
      <c r="O436" s="32" t="str">
        <f>IF($M436="","",IF($K436-$M436&gt;7,"",IF($M436&lt;=$A436,"",IF(OR($B436&lt;=0,$N436&lt;=0),"",($N436/$B436)^(365/($M436-$A436))-1))))</f>
        <v/>
      </c>
      <c r="P436" s="31" t="str">
        <f>IF($B436="","",IF($P435="",$B436,MAX($P435,$B436)))</f>
        <v/>
      </c>
      <c r="Q436" s="32" t="str">
        <f>IF($P436="","",$B436/$P436-1)</f>
        <v/>
      </c>
    </row>
    <row r="437">
      <c r="A437" s="11" t="n"/>
      <c r="B437" s="29" t="n"/>
      <c r="K437" s="30" t="str">
        <f>IF($A437="","",EDATE($A437,12*$E$4))</f>
        <v/>
      </c>
      <c r="L437" s="19" t="str">
        <f>IF($K437="","",IF($K437&gt;MAX($A$8:$A$5007),"",IFERROR(MATCH($K437,$A$8:$A$5007,1),"")))</f>
        <v/>
      </c>
      <c r="M437" s="30" t="str">
        <f>IF($L437="","",INDEX($A$8:$A$5007,$L437))</f>
        <v/>
      </c>
      <c r="N437" s="31" t="str">
        <f>IF($L437="","",INDEX($B$8:$B$5007,$L437))</f>
        <v/>
      </c>
      <c r="O437" s="32" t="str">
        <f>IF($M437="","",IF($K437-$M437&gt;7,"",IF($M437&lt;=$A437,"",IF(OR($B437&lt;=0,$N437&lt;=0),"",($N437/$B437)^(365/($M437-$A437))-1))))</f>
        <v/>
      </c>
      <c r="P437" s="31" t="str">
        <f>IF($B437="","",IF($P436="",$B437,MAX($P436,$B437)))</f>
        <v/>
      </c>
      <c r="Q437" s="32" t="str">
        <f>IF($P437="","",$B437/$P437-1)</f>
        <v/>
      </c>
    </row>
    <row r="438">
      <c r="A438" s="11" t="n"/>
      <c r="B438" s="29" t="n"/>
      <c r="K438" s="30" t="str">
        <f>IF($A438="","",EDATE($A438,12*$E$4))</f>
        <v/>
      </c>
      <c r="L438" s="19" t="str">
        <f>IF($K438="","",IF($K438&gt;MAX($A$8:$A$5007),"",IFERROR(MATCH($K438,$A$8:$A$5007,1),"")))</f>
        <v/>
      </c>
      <c r="M438" s="30" t="str">
        <f>IF($L438="","",INDEX($A$8:$A$5007,$L438))</f>
        <v/>
      </c>
      <c r="N438" s="31" t="str">
        <f>IF($L438="","",INDEX($B$8:$B$5007,$L438))</f>
        <v/>
      </c>
      <c r="O438" s="32" t="str">
        <f>IF($M438="","",IF($K438-$M438&gt;7,"",IF($M438&lt;=$A438,"",IF(OR($B438&lt;=0,$N438&lt;=0),"",($N438/$B438)^(365/($M438-$A438))-1))))</f>
        <v/>
      </c>
      <c r="P438" s="31" t="str">
        <f>IF($B438="","",IF($P437="",$B438,MAX($P437,$B438)))</f>
        <v/>
      </c>
      <c r="Q438" s="32" t="str">
        <f>IF($P438="","",$B438/$P438-1)</f>
        <v/>
      </c>
    </row>
    <row r="439">
      <c r="A439" s="11" t="n"/>
      <c r="B439" s="29" t="n"/>
      <c r="K439" s="30" t="str">
        <f>IF($A439="","",EDATE($A439,12*$E$4))</f>
        <v/>
      </c>
      <c r="L439" s="19" t="str">
        <f>IF($K439="","",IF($K439&gt;MAX($A$8:$A$5007),"",IFERROR(MATCH($K439,$A$8:$A$5007,1),"")))</f>
        <v/>
      </c>
      <c r="M439" s="30" t="str">
        <f>IF($L439="","",INDEX($A$8:$A$5007,$L439))</f>
        <v/>
      </c>
      <c r="N439" s="31" t="str">
        <f>IF($L439="","",INDEX($B$8:$B$5007,$L439))</f>
        <v/>
      </c>
      <c r="O439" s="32" t="str">
        <f>IF($M439="","",IF($K439-$M439&gt;7,"",IF($M439&lt;=$A439,"",IF(OR($B439&lt;=0,$N439&lt;=0),"",($N439/$B439)^(365/($M439-$A439))-1))))</f>
        <v/>
      </c>
      <c r="P439" s="31" t="str">
        <f>IF($B439="","",IF($P438="",$B439,MAX($P438,$B439)))</f>
        <v/>
      </c>
      <c r="Q439" s="32" t="str">
        <f>IF($P439="","",$B439/$P439-1)</f>
        <v/>
      </c>
    </row>
    <row r="440">
      <c r="A440" s="11" t="n"/>
      <c r="B440" s="29" t="n"/>
      <c r="K440" s="30" t="str">
        <f>IF($A440="","",EDATE($A440,12*$E$4))</f>
        <v/>
      </c>
      <c r="L440" s="19" t="str">
        <f>IF($K440="","",IF($K440&gt;MAX($A$8:$A$5007),"",IFERROR(MATCH($K440,$A$8:$A$5007,1),"")))</f>
        <v/>
      </c>
      <c r="M440" s="30" t="str">
        <f>IF($L440="","",INDEX($A$8:$A$5007,$L440))</f>
        <v/>
      </c>
      <c r="N440" s="31" t="str">
        <f>IF($L440="","",INDEX($B$8:$B$5007,$L440))</f>
        <v/>
      </c>
      <c r="O440" s="32" t="str">
        <f>IF($M440="","",IF($K440-$M440&gt;7,"",IF($M440&lt;=$A440,"",IF(OR($B440&lt;=0,$N440&lt;=0),"",($N440/$B440)^(365/($M440-$A440))-1))))</f>
        <v/>
      </c>
      <c r="P440" s="31" t="str">
        <f>IF($B440="","",IF($P439="",$B440,MAX($P439,$B440)))</f>
        <v/>
      </c>
      <c r="Q440" s="32" t="str">
        <f>IF($P440="","",$B440/$P440-1)</f>
        <v/>
      </c>
    </row>
    <row r="441">
      <c r="A441" s="11" t="n"/>
      <c r="B441" s="29" t="n"/>
      <c r="K441" s="30" t="str">
        <f>IF($A441="","",EDATE($A441,12*$E$4))</f>
        <v/>
      </c>
      <c r="L441" s="19" t="str">
        <f>IF($K441="","",IF($K441&gt;MAX($A$8:$A$5007),"",IFERROR(MATCH($K441,$A$8:$A$5007,1),"")))</f>
        <v/>
      </c>
      <c r="M441" s="30" t="str">
        <f>IF($L441="","",INDEX($A$8:$A$5007,$L441))</f>
        <v/>
      </c>
      <c r="N441" s="31" t="str">
        <f>IF($L441="","",INDEX($B$8:$B$5007,$L441))</f>
        <v/>
      </c>
      <c r="O441" s="32" t="str">
        <f>IF($M441="","",IF($K441-$M441&gt;7,"",IF($M441&lt;=$A441,"",IF(OR($B441&lt;=0,$N441&lt;=0),"",($N441/$B441)^(365/($M441-$A441))-1))))</f>
        <v/>
      </c>
      <c r="P441" s="31" t="str">
        <f>IF($B441="","",IF($P440="",$B441,MAX($P440,$B441)))</f>
        <v/>
      </c>
      <c r="Q441" s="32" t="str">
        <f>IF($P441="","",$B441/$P441-1)</f>
        <v/>
      </c>
    </row>
    <row r="442">
      <c r="A442" s="11" t="n"/>
      <c r="B442" s="29" t="n"/>
      <c r="K442" s="30" t="str">
        <f>IF($A442="","",EDATE($A442,12*$E$4))</f>
        <v/>
      </c>
      <c r="L442" s="19" t="str">
        <f>IF($K442="","",IF($K442&gt;MAX($A$8:$A$5007),"",IFERROR(MATCH($K442,$A$8:$A$5007,1),"")))</f>
        <v/>
      </c>
      <c r="M442" s="30" t="str">
        <f>IF($L442="","",INDEX($A$8:$A$5007,$L442))</f>
        <v/>
      </c>
      <c r="N442" s="31" t="str">
        <f>IF($L442="","",INDEX($B$8:$B$5007,$L442))</f>
        <v/>
      </c>
      <c r="O442" s="32" t="str">
        <f>IF($M442="","",IF($K442-$M442&gt;7,"",IF($M442&lt;=$A442,"",IF(OR($B442&lt;=0,$N442&lt;=0),"",($N442/$B442)^(365/($M442-$A442))-1))))</f>
        <v/>
      </c>
      <c r="P442" s="31" t="str">
        <f>IF($B442="","",IF($P441="",$B442,MAX($P441,$B442)))</f>
        <v/>
      </c>
      <c r="Q442" s="32" t="str">
        <f>IF($P442="","",$B442/$P442-1)</f>
        <v/>
      </c>
    </row>
    <row r="443">
      <c r="A443" s="11" t="n"/>
      <c r="B443" s="29" t="n"/>
      <c r="K443" s="30" t="str">
        <f>IF($A443="","",EDATE($A443,12*$E$4))</f>
        <v/>
      </c>
      <c r="L443" s="19" t="str">
        <f>IF($K443="","",IF($K443&gt;MAX($A$8:$A$5007),"",IFERROR(MATCH($K443,$A$8:$A$5007,1),"")))</f>
        <v/>
      </c>
      <c r="M443" s="30" t="str">
        <f>IF($L443="","",INDEX($A$8:$A$5007,$L443))</f>
        <v/>
      </c>
      <c r="N443" s="31" t="str">
        <f>IF($L443="","",INDEX($B$8:$B$5007,$L443))</f>
        <v/>
      </c>
      <c r="O443" s="32" t="str">
        <f>IF($M443="","",IF($K443-$M443&gt;7,"",IF($M443&lt;=$A443,"",IF(OR($B443&lt;=0,$N443&lt;=0),"",($N443/$B443)^(365/($M443-$A443))-1))))</f>
        <v/>
      </c>
      <c r="P443" s="31" t="str">
        <f>IF($B443="","",IF($P442="",$B443,MAX($P442,$B443)))</f>
        <v/>
      </c>
      <c r="Q443" s="32" t="str">
        <f>IF($P443="","",$B443/$P443-1)</f>
        <v/>
      </c>
    </row>
    <row r="444">
      <c r="A444" s="11" t="n"/>
      <c r="B444" s="29" t="n"/>
      <c r="K444" s="30" t="str">
        <f>IF($A444="","",EDATE($A444,12*$E$4))</f>
        <v/>
      </c>
      <c r="L444" s="19" t="str">
        <f>IF($K444="","",IF($K444&gt;MAX($A$8:$A$5007),"",IFERROR(MATCH($K444,$A$8:$A$5007,1),"")))</f>
        <v/>
      </c>
      <c r="M444" s="30" t="str">
        <f>IF($L444="","",INDEX($A$8:$A$5007,$L444))</f>
        <v/>
      </c>
      <c r="N444" s="31" t="str">
        <f>IF($L444="","",INDEX($B$8:$B$5007,$L444))</f>
        <v/>
      </c>
      <c r="O444" s="32" t="str">
        <f>IF($M444="","",IF($K444-$M444&gt;7,"",IF($M444&lt;=$A444,"",IF(OR($B444&lt;=0,$N444&lt;=0),"",($N444/$B444)^(365/($M444-$A444))-1))))</f>
        <v/>
      </c>
      <c r="P444" s="31" t="str">
        <f>IF($B444="","",IF($P443="",$B444,MAX($P443,$B444)))</f>
        <v/>
      </c>
      <c r="Q444" s="32" t="str">
        <f>IF($P444="","",$B444/$P444-1)</f>
        <v/>
      </c>
    </row>
    <row r="445">
      <c r="A445" s="11" t="n"/>
      <c r="B445" s="29" t="n"/>
      <c r="K445" s="30" t="str">
        <f>IF($A445="","",EDATE($A445,12*$E$4))</f>
        <v/>
      </c>
      <c r="L445" s="19" t="str">
        <f>IF($K445="","",IF($K445&gt;MAX($A$8:$A$5007),"",IFERROR(MATCH($K445,$A$8:$A$5007,1),"")))</f>
        <v/>
      </c>
      <c r="M445" s="30" t="str">
        <f>IF($L445="","",INDEX($A$8:$A$5007,$L445))</f>
        <v/>
      </c>
      <c r="N445" s="31" t="str">
        <f>IF($L445="","",INDEX($B$8:$B$5007,$L445))</f>
        <v/>
      </c>
      <c r="O445" s="32" t="str">
        <f>IF($M445="","",IF($K445-$M445&gt;7,"",IF($M445&lt;=$A445,"",IF(OR($B445&lt;=0,$N445&lt;=0),"",($N445/$B445)^(365/($M445-$A445))-1))))</f>
        <v/>
      </c>
      <c r="P445" s="31" t="str">
        <f>IF($B445="","",IF($P444="",$B445,MAX($P444,$B445)))</f>
        <v/>
      </c>
      <c r="Q445" s="32" t="str">
        <f>IF($P445="","",$B445/$P445-1)</f>
        <v/>
      </c>
    </row>
    <row r="446">
      <c r="A446" s="11" t="n"/>
      <c r="B446" s="29" t="n"/>
      <c r="K446" s="30" t="str">
        <f>IF($A446="","",EDATE($A446,12*$E$4))</f>
        <v/>
      </c>
      <c r="L446" s="19" t="str">
        <f>IF($K446="","",IF($K446&gt;MAX($A$8:$A$5007),"",IFERROR(MATCH($K446,$A$8:$A$5007,1),"")))</f>
        <v/>
      </c>
      <c r="M446" s="30" t="str">
        <f>IF($L446="","",INDEX($A$8:$A$5007,$L446))</f>
        <v/>
      </c>
      <c r="N446" s="31" t="str">
        <f>IF($L446="","",INDEX($B$8:$B$5007,$L446))</f>
        <v/>
      </c>
      <c r="O446" s="32" t="str">
        <f>IF($M446="","",IF($K446-$M446&gt;7,"",IF($M446&lt;=$A446,"",IF(OR($B446&lt;=0,$N446&lt;=0),"",($N446/$B446)^(365/($M446-$A446))-1))))</f>
        <v/>
      </c>
      <c r="P446" s="31" t="str">
        <f>IF($B446="","",IF($P445="",$B446,MAX($P445,$B446)))</f>
        <v/>
      </c>
      <c r="Q446" s="32" t="str">
        <f>IF($P446="","",$B446/$P446-1)</f>
        <v/>
      </c>
    </row>
    <row r="447">
      <c r="A447" s="11" t="n"/>
      <c r="B447" s="29" t="n"/>
      <c r="K447" s="30" t="str">
        <f>IF($A447="","",EDATE($A447,12*$E$4))</f>
        <v/>
      </c>
      <c r="L447" s="19" t="str">
        <f>IF($K447="","",IF($K447&gt;MAX($A$8:$A$5007),"",IFERROR(MATCH($K447,$A$8:$A$5007,1),"")))</f>
        <v/>
      </c>
      <c r="M447" s="30" t="str">
        <f>IF($L447="","",INDEX($A$8:$A$5007,$L447))</f>
        <v/>
      </c>
      <c r="N447" s="31" t="str">
        <f>IF($L447="","",INDEX($B$8:$B$5007,$L447))</f>
        <v/>
      </c>
      <c r="O447" s="32" t="str">
        <f>IF($M447="","",IF($K447-$M447&gt;7,"",IF($M447&lt;=$A447,"",IF(OR($B447&lt;=0,$N447&lt;=0),"",($N447/$B447)^(365/($M447-$A447))-1))))</f>
        <v/>
      </c>
      <c r="P447" s="31" t="str">
        <f>IF($B447="","",IF($P446="",$B447,MAX($P446,$B447)))</f>
        <v/>
      </c>
      <c r="Q447" s="32" t="str">
        <f>IF($P447="","",$B447/$P447-1)</f>
        <v/>
      </c>
    </row>
    <row r="448">
      <c r="A448" s="11" t="n"/>
      <c r="B448" s="29" t="n"/>
      <c r="K448" s="30" t="str">
        <f>IF($A448="","",EDATE($A448,12*$E$4))</f>
        <v/>
      </c>
      <c r="L448" s="19" t="str">
        <f>IF($K448="","",IF($K448&gt;MAX($A$8:$A$5007),"",IFERROR(MATCH($K448,$A$8:$A$5007,1),"")))</f>
        <v/>
      </c>
      <c r="M448" s="30" t="str">
        <f>IF($L448="","",INDEX($A$8:$A$5007,$L448))</f>
        <v/>
      </c>
      <c r="N448" s="31" t="str">
        <f>IF($L448="","",INDEX($B$8:$B$5007,$L448))</f>
        <v/>
      </c>
      <c r="O448" s="32" t="str">
        <f>IF($M448="","",IF($K448-$M448&gt;7,"",IF($M448&lt;=$A448,"",IF(OR($B448&lt;=0,$N448&lt;=0),"",($N448/$B448)^(365/($M448-$A448))-1))))</f>
        <v/>
      </c>
      <c r="P448" s="31" t="str">
        <f>IF($B448="","",IF($P447="",$B448,MAX($P447,$B448)))</f>
        <v/>
      </c>
      <c r="Q448" s="32" t="str">
        <f>IF($P448="","",$B448/$P448-1)</f>
        <v/>
      </c>
    </row>
    <row r="449">
      <c r="A449" s="11" t="n"/>
      <c r="B449" s="29" t="n"/>
      <c r="K449" s="30" t="str">
        <f>IF($A449="","",EDATE($A449,12*$E$4))</f>
        <v/>
      </c>
      <c r="L449" s="19" t="str">
        <f>IF($K449="","",IF($K449&gt;MAX($A$8:$A$5007),"",IFERROR(MATCH($K449,$A$8:$A$5007,1),"")))</f>
        <v/>
      </c>
      <c r="M449" s="30" t="str">
        <f>IF($L449="","",INDEX($A$8:$A$5007,$L449))</f>
        <v/>
      </c>
      <c r="N449" s="31" t="str">
        <f>IF($L449="","",INDEX($B$8:$B$5007,$L449))</f>
        <v/>
      </c>
      <c r="O449" s="32" t="str">
        <f>IF($M449="","",IF($K449-$M449&gt;7,"",IF($M449&lt;=$A449,"",IF(OR($B449&lt;=0,$N449&lt;=0),"",($N449/$B449)^(365/($M449-$A449))-1))))</f>
        <v/>
      </c>
      <c r="P449" s="31" t="str">
        <f>IF($B449="","",IF($P448="",$B449,MAX($P448,$B449)))</f>
        <v/>
      </c>
      <c r="Q449" s="32" t="str">
        <f>IF($P449="","",$B449/$P449-1)</f>
        <v/>
      </c>
    </row>
    <row r="450">
      <c r="A450" s="11" t="n"/>
      <c r="B450" s="29" t="n"/>
      <c r="K450" s="30" t="str">
        <f>IF($A450="","",EDATE($A450,12*$E$4))</f>
        <v/>
      </c>
      <c r="L450" s="19" t="str">
        <f>IF($K450="","",IF($K450&gt;MAX($A$8:$A$5007),"",IFERROR(MATCH($K450,$A$8:$A$5007,1),"")))</f>
        <v/>
      </c>
      <c r="M450" s="30" t="str">
        <f>IF($L450="","",INDEX($A$8:$A$5007,$L450))</f>
        <v/>
      </c>
      <c r="N450" s="31" t="str">
        <f>IF($L450="","",INDEX($B$8:$B$5007,$L450))</f>
        <v/>
      </c>
      <c r="O450" s="32" t="str">
        <f>IF($M450="","",IF($K450-$M450&gt;7,"",IF($M450&lt;=$A450,"",IF(OR($B450&lt;=0,$N450&lt;=0),"",($N450/$B450)^(365/($M450-$A450))-1))))</f>
        <v/>
      </c>
      <c r="P450" s="31" t="str">
        <f>IF($B450="","",IF($P449="",$B450,MAX($P449,$B450)))</f>
        <v/>
      </c>
      <c r="Q450" s="32" t="str">
        <f>IF($P450="","",$B450/$P450-1)</f>
        <v/>
      </c>
    </row>
    <row r="451">
      <c r="A451" s="11" t="n"/>
      <c r="B451" s="29" t="n"/>
      <c r="K451" s="30" t="str">
        <f>IF($A451="","",EDATE($A451,12*$E$4))</f>
        <v/>
      </c>
      <c r="L451" s="19" t="str">
        <f>IF($K451="","",IF($K451&gt;MAX($A$8:$A$5007),"",IFERROR(MATCH($K451,$A$8:$A$5007,1),"")))</f>
        <v/>
      </c>
      <c r="M451" s="30" t="str">
        <f>IF($L451="","",INDEX($A$8:$A$5007,$L451))</f>
        <v/>
      </c>
      <c r="N451" s="31" t="str">
        <f>IF($L451="","",INDEX($B$8:$B$5007,$L451))</f>
        <v/>
      </c>
      <c r="O451" s="32" t="str">
        <f>IF($M451="","",IF($K451-$M451&gt;7,"",IF($M451&lt;=$A451,"",IF(OR($B451&lt;=0,$N451&lt;=0),"",($N451/$B451)^(365/($M451-$A451))-1))))</f>
        <v/>
      </c>
      <c r="P451" s="31" t="str">
        <f>IF($B451="","",IF($P450="",$B451,MAX($P450,$B451)))</f>
        <v/>
      </c>
      <c r="Q451" s="32" t="str">
        <f>IF($P451="","",$B451/$P451-1)</f>
        <v/>
      </c>
    </row>
    <row r="452">
      <c r="A452" s="11" t="n"/>
      <c r="B452" s="29" t="n"/>
      <c r="K452" s="30" t="str">
        <f>IF($A452="","",EDATE($A452,12*$E$4))</f>
        <v/>
      </c>
      <c r="L452" s="19" t="str">
        <f>IF($K452="","",IF($K452&gt;MAX($A$8:$A$5007),"",IFERROR(MATCH($K452,$A$8:$A$5007,1),"")))</f>
        <v/>
      </c>
      <c r="M452" s="30" t="str">
        <f>IF($L452="","",INDEX($A$8:$A$5007,$L452))</f>
        <v/>
      </c>
      <c r="N452" s="31" t="str">
        <f>IF($L452="","",INDEX($B$8:$B$5007,$L452))</f>
        <v/>
      </c>
      <c r="O452" s="32" t="str">
        <f>IF($M452="","",IF($K452-$M452&gt;7,"",IF($M452&lt;=$A452,"",IF(OR($B452&lt;=0,$N452&lt;=0),"",($N452/$B452)^(365/($M452-$A452))-1))))</f>
        <v/>
      </c>
      <c r="P452" s="31" t="str">
        <f>IF($B452="","",IF($P451="",$B452,MAX($P451,$B452)))</f>
        <v/>
      </c>
      <c r="Q452" s="32" t="str">
        <f>IF($P452="","",$B452/$P452-1)</f>
        <v/>
      </c>
    </row>
    <row r="453">
      <c r="A453" s="11" t="n"/>
      <c r="B453" s="29" t="n"/>
      <c r="K453" s="30" t="str">
        <f>IF($A453="","",EDATE($A453,12*$E$4))</f>
        <v/>
      </c>
      <c r="L453" s="19" t="str">
        <f>IF($K453="","",IF($K453&gt;MAX($A$8:$A$5007),"",IFERROR(MATCH($K453,$A$8:$A$5007,1),"")))</f>
        <v/>
      </c>
      <c r="M453" s="30" t="str">
        <f>IF($L453="","",INDEX($A$8:$A$5007,$L453))</f>
        <v/>
      </c>
      <c r="N453" s="31" t="str">
        <f>IF($L453="","",INDEX($B$8:$B$5007,$L453))</f>
        <v/>
      </c>
      <c r="O453" s="32" t="str">
        <f>IF($M453="","",IF($K453-$M453&gt;7,"",IF($M453&lt;=$A453,"",IF(OR($B453&lt;=0,$N453&lt;=0),"",($N453/$B453)^(365/($M453-$A453))-1))))</f>
        <v/>
      </c>
      <c r="P453" s="31" t="str">
        <f>IF($B453="","",IF($P452="",$B453,MAX($P452,$B453)))</f>
        <v/>
      </c>
      <c r="Q453" s="32" t="str">
        <f>IF($P453="","",$B453/$P453-1)</f>
        <v/>
      </c>
    </row>
    <row r="454">
      <c r="A454" s="11" t="n"/>
      <c r="B454" s="29" t="n"/>
      <c r="K454" s="30" t="str">
        <f>IF($A454="","",EDATE($A454,12*$E$4))</f>
        <v/>
      </c>
      <c r="L454" s="19" t="str">
        <f>IF($K454="","",IF($K454&gt;MAX($A$8:$A$5007),"",IFERROR(MATCH($K454,$A$8:$A$5007,1),"")))</f>
        <v/>
      </c>
      <c r="M454" s="30" t="str">
        <f>IF($L454="","",INDEX($A$8:$A$5007,$L454))</f>
        <v/>
      </c>
      <c r="N454" s="31" t="str">
        <f>IF($L454="","",INDEX($B$8:$B$5007,$L454))</f>
        <v/>
      </c>
      <c r="O454" s="32" t="str">
        <f>IF($M454="","",IF($K454-$M454&gt;7,"",IF($M454&lt;=$A454,"",IF(OR($B454&lt;=0,$N454&lt;=0),"",($N454/$B454)^(365/($M454-$A454))-1))))</f>
        <v/>
      </c>
      <c r="P454" s="31" t="str">
        <f>IF($B454="","",IF($P453="",$B454,MAX($P453,$B454)))</f>
        <v/>
      </c>
      <c r="Q454" s="32" t="str">
        <f>IF($P454="","",$B454/$P454-1)</f>
        <v/>
      </c>
    </row>
    <row r="455">
      <c r="A455" s="11" t="n"/>
      <c r="B455" s="29" t="n"/>
      <c r="K455" s="30" t="str">
        <f>IF($A455="","",EDATE($A455,12*$E$4))</f>
        <v/>
      </c>
      <c r="L455" s="19" t="str">
        <f>IF($K455="","",IF($K455&gt;MAX($A$8:$A$5007),"",IFERROR(MATCH($K455,$A$8:$A$5007,1),"")))</f>
        <v/>
      </c>
      <c r="M455" s="30" t="str">
        <f>IF($L455="","",INDEX($A$8:$A$5007,$L455))</f>
        <v/>
      </c>
      <c r="N455" s="31" t="str">
        <f>IF($L455="","",INDEX($B$8:$B$5007,$L455))</f>
        <v/>
      </c>
      <c r="O455" s="32" t="str">
        <f>IF($M455="","",IF($K455-$M455&gt;7,"",IF($M455&lt;=$A455,"",IF(OR($B455&lt;=0,$N455&lt;=0),"",($N455/$B455)^(365/($M455-$A455))-1))))</f>
        <v/>
      </c>
      <c r="P455" s="31" t="str">
        <f>IF($B455="","",IF($P454="",$B455,MAX($P454,$B455)))</f>
        <v/>
      </c>
      <c r="Q455" s="32" t="str">
        <f>IF($P455="","",$B455/$P455-1)</f>
        <v/>
      </c>
    </row>
    <row r="456">
      <c r="A456" s="11" t="n"/>
      <c r="B456" s="29" t="n"/>
      <c r="K456" s="30" t="str">
        <f>IF($A456="","",EDATE($A456,12*$E$4))</f>
        <v/>
      </c>
      <c r="L456" s="19" t="str">
        <f>IF($K456="","",IF($K456&gt;MAX($A$8:$A$5007),"",IFERROR(MATCH($K456,$A$8:$A$5007,1),"")))</f>
        <v/>
      </c>
      <c r="M456" s="30" t="str">
        <f>IF($L456="","",INDEX($A$8:$A$5007,$L456))</f>
        <v/>
      </c>
      <c r="N456" s="31" t="str">
        <f>IF($L456="","",INDEX($B$8:$B$5007,$L456))</f>
        <v/>
      </c>
      <c r="O456" s="32" t="str">
        <f>IF($M456="","",IF($K456-$M456&gt;7,"",IF($M456&lt;=$A456,"",IF(OR($B456&lt;=0,$N456&lt;=0),"",($N456/$B456)^(365/($M456-$A456))-1))))</f>
        <v/>
      </c>
      <c r="P456" s="31" t="str">
        <f>IF($B456="","",IF($P455="",$B456,MAX($P455,$B456)))</f>
        <v/>
      </c>
      <c r="Q456" s="32" t="str">
        <f>IF($P456="","",$B456/$P456-1)</f>
        <v/>
      </c>
    </row>
    <row r="457">
      <c r="A457" s="11" t="n"/>
      <c r="B457" s="29" t="n"/>
      <c r="K457" s="30" t="str">
        <f>IF($A457="","",EDATE($A457,12*$E$4))</f>
        <v/>
      </c>
      <c r="L457" s="19" t="str">
        <f>IF($K457="","",IF($K457&gt;MAX($A$8:$A$5007),"",IFERROR(MATCH($K457,$A$8:$A$5007,1),"")))</f>
        <v/>
      </c>
      <c r="M457" s="30" t="str">
        <f>IF($L457="","",INDEX($A$8:$A$5007,$L457))</f>
        <v/>
      </c>
      <c r="N457" s="31" t="str">
        <f>IF($L457="","",INDEX($B$8:$B$5007,$L457))</f>
        <v/>
      </c>
      <c r="O457" s="32" t="str">
        <f>IF($M457="","",IF($K457-$M457&gt;7,"",IF($M457&lt;=$A457,"",IF(OR($B457&lt;=0,$N457&lt;=0),"",($N457/$B457)^(365/($M457-$A457))-1))))</f>
        <v/>
      </c>
      <c r="P457" s="31" t="str">
        <f>IF($B457="","",IF($P456="",$B457,MAX($P456,$B457)))</f>
        <v/>
      </c>
      <c r="Q457" s="32" t="str">
        <f>IF($P457="","",$B457/$P457-1)</f>
        <v/>
      </c>
    </row>
    <row r="458">
      <c r="A458" s="11" t="n"/>
      <c r="B458" s="29" t="n"/>
      <c r="K458" s="30" t="str">
        <f>IF($A458="","",EDATE($A458,12*$E$4))</f>
        <v/>
      </c>
      <c r="L458" s="19" t="str">
        <f>IF($K458="","",IF($K458&gt;MAX($A$8:$A$5007),"",IFERROR(MATCH($K458,$A$8:$A$5007,1),"")))</f>
        <v/>
      </c>
      <c r="M458" s="30" t="str">
        <f>IF($L458="","",INDEX($A$8:$A$5007,$L458))</f>
        <v/>
      </c>
      <c r="N458" s="31" t="str">
        <f>IF($L458="","",INDEX($B$8:$B$5007,$L458))</f>
        <v/>
      </c>
      <c r="O458" s="32" t="str">
        <f>IF($M458="","",IF($K458-$M458&gt;7,"",IF($M458&lt;=$A458,"",IF(OR($B458&lt;=0,$N458&lt;=0),"",($N458/$B458)^(365/($M458-$A458))-1))))</f>
        <v/>
      </c>
      <c r="P458" s="31" t="str">
        <f>IF($B458="","",IF($P457="",$B458,MAX($P457,$B458)))</f>
        <v/>
      </c>
      <c r="Q458" s="32" t="str">
        <f>IF($P458="","",$B458/$P458-1)</f>
        <v/>
      </c>
    </row>
    <row r="459">
      <c r="A459" s="11" t="n"/>
      <c r="B459" s="29" t="n"/>
      <c r="K459" s="30" t="str">
        <f>IF($A459="","",EDATE($A459,12*$E$4))</f>
        <v/>
      </c>
      <c r="L459" s="19" t="str">
        <f>IF($K459="","",IF($K459&gt;MAX($A$8:$A$5007),"",IFERROR(MATCH($K459,$A$8:$A$5007,1),"")))</f>
        <v/>
      </c>
      <c r="M459" s="30" t="str">
        <f>IF($L459="","",INDEX($A$8:$A$5007,$L459))</f>
        <v/>
      </c>
      <c r="N459" s="31" t="str">
        <f>IF($L459="","",INDEX($B$8:$B$5007,$L459))</f>
        <v/>
      </c>
      <c r="O459" s="32" t="str">
        <f>IF($M459="","",IF($K459-$M459&gt;7,"",IF($M459&lt;=$A459,"",IF(OR($B459&lt;=0,$N459&lt;=0),"",($N459/$B459)^(365/($M459-$A459))-1))))</f>
        <v/>
      </c>
      <c r="P459" s="31" t="str">
        <f>IF($B459="","",IF($P458="",$B459,MAX($P458,$B459)))</f>
        <v/>
      </c>
      <c r="Q459" s="32" t="str">
        <f>IF($P459="","",$B459/$P459-1)</f>
        <v/>
      </c>
    </row>
    <row r="460">
      <c r="A460" s="11" t="n"/>
      <c r="B460" s="29" t="n"/>
      <c r="K460" s="30" t="str">
        <f>IF($A460="","",EDATE($A460,12*$E$4))</f>
        <v/>
      </c>
      <c r="L460" s="19" t="str">
        <f>IF($K460="","",IF($K460&gt;MAX($A$8:$A$5007),"",IFERROR(MATCH($K460,$A$8:$A$5007,1),"")))</f>
        <v/>
      </c>
      <c r="M460" s="30" t="str">
        <f>IF($L460="","",INDEX($A$8:$A$5007,$L460))</f>
        <v/>
      </c>
      <c r="N460" s="31" t="str">
        <f>IF($L460="","",INDEX($B$8:$B$5007,$L460))</f>
        <v/>
      </c>
      <c r="O460" s="32" t="str">
        <f>IF($M460="","",IF($K460-$M460&gt;7,"",IF($M460&lt;=$A460,"",IF(OR($B460&lt;=0,$N460&lt;=0),"",($N460/$B460)^(365/($M460-$A460))-1))))</f>
        <v/>
      </c>
      <c r="P460" s="31" t="str">
        <f>IF($B460="","",IF($P459="",$B460,MAX($P459,$B460)))</f>
        <v/>
      </c>
      <c r="Q460" s="32" t="str">
        <f>IF($P460="","",$B460/$P460-1)</f>
        <v/>
      </c>
    </row>
    <row r="461">
      <c r="A461" s="11" t="n"/>
      <c r="B461" s="29" t="n"/>
      <c r="K461" s="30" t="str">
        <f>IF($A461="","",EDATE($A461,12*$E$4))</f>
        <v/>
      </c>
      <c r="L461" s="19" t="str">
        <f>IF($K461="","",IF($K461&gt;MAX($A$8:$A$5007),"",IFERROR(MATCH($K461,$A$8:$A$5007,1),"")))</f>
        <v/>
      </c>
      <c r="M461" s="30" t="str">
        <f>IF($L461="","",INDEX($A$8:$A$5007,$L461))</f>
        <v/>
      </c>
      <c r="N461" s="31" t="str">
        <f>IF($L461="","",INDEX($B$8:$B$5007,$L461))</f>
        <v/>
      </c>
      <c r="O461" s="32" t="str">
        <f>IF($M461="","",IF($K461-$M461&gt;7,"",IF($M461&lt;=$A461,"",IF(OR($B461&lt;=0,$N461&lt;=0),"",($N461/$B461)^(365/($M461-$A461))-1))))</f>
        <v/>
      </c>
      <c r="P461" s="31" t="str">
        <f>IF($B461="","",IF($P460="",$B461,MAX($P460,$B461)))</f>
        <v/>
      </c>
      <c r="Q461" s="32" t="str">
        <f>IF($P461="","",$B461/$P461-1)</f>
        <v/>
      </c>
    </row>
    <row r="462">
      <c r="A462" s="11" t="n"/>
      <c r="B462" s="29" t="n"/>
      <c r="K462" s="30" t="str">
        <f>IF($A462="","",EDATE($A462,12*$E$4))</f>
        <v/>
      </c>
      <c r="L462" s="19" t="str">
        <f>IF($K462="","",IF($K462&gt;MAX($A$8:$A$5007),"",IFERROR(MATCH($K462,$A$8:$A$5007,1),"")))</f>
        <v/>
      </c>
      <c r="M462" s="30" t="str">
        <f>IF($L462="","",INDEX($A$8:$A$5007,$L462))</f>
        <v/>
      </c>
      <c r="N462" s="31" t="str">
        <f>IF($L462="","",INDEX($B$8:$B$5007,$L462))</f>
        <v/>
      </c>
      <c r="O462" s="32" t="str">
        <f>IF($M462="","",IF($K462-$M462&gt;7,"",IF($M462&lt;=$A462,"",IF(OR($B462&lt;=0,$N462&lt;=0),"",($N462/$B462)^(365/($M462-$A462))-1))))</f>
        <v/>
      </c>
      <c r="P462" s="31" t="str">
        <f>IF($B462="","",IF($P461="",$B462,MAX($P461,$B462)))</f>
        <v/>
      </c>
      <c r="Q462" s="32" t="str">
        <f>IF($P462="","",$B462/$P462-1)</f>
        <v/>
      </c>
    </row>
    <row r="463">
      <c r="A463" s="11" t="n"/>
      <c r="B463" s="29" t="n"/>
      <c r="K463" s="30" t="str">
        <f>IF($A463="","",EDATE($A463,12*$E$4))</f>
        <v/>
      </c>
      <c r="L463" s="19" t="str">
        <f>IF($K463="","",IF($K463&gt;MAX($A$8:$A$5007),"",IFERROR(MATCH($K463,$A$8:$A$5007,1),"")))</f>
        <v/>
      </c>
      <c r="M463" s="30" t="str">
        <f>IF($L463="","",INDEX($A$8:$A$5007,$L463))</f>
        <v/>
      </c>
      <c r="N463" s="31" t="str">
        <f>IF($L463="","",INDEX($B$8:$B$5007,$L463))</f>
        <v/>
      </c>
      <c r="O463" s="32" t="str">
        <f>IF($M463="","",IF($K463-$M463&gt;7,"",IF($M463&lt;=$A463,"",IF(OR($B463&lt;=0,$N463&lt;=0),"",($N463/$B463)^(365/($M463-$A463))-1))))</f>
        <v/>
      </c>
      <c r="P463" s="31" t="str">
        <f>IF($B463="","",IF($P462="",$B463,MAX($P462,$B463)))</f>
        <v/>
      </c>
      <c r="Q463" s="32" t="str">
        <f>IF($P463="","",$B463/$P463-1)</f>
        <v/>
      </c>
    </row>
    <row r="464">
      <c r="A464" s="11" t="n"/>
      <c r="B464" s="29" t="n"/>
      <c r="K464" s="30" t="str">
        <f>IF($A464="","",EDATE($A464,12*$E$4))</f>
        <v/>
      </c>
      <c r="L464" s="19" t="str">
        <f>IF($K464="","",IF($K464&gt;MAX($A$8:$A$5007),"",IFERROR(MATCH($K464,$A$8:$A$5007,1),"")))</f>
        <v/>
      </c>
      <c r="M464" s="30" t="str">
        <f>IF($L464="","",INDEX($A$8:$A$5007,$L464))</f>
        <v/>
      </c>
      <c r="N464" s="31" t="str">
        <f>IF($L464="","",INDEX($B$8:$B$5007,$L464))</f>
        <v/>
      </c>
      <c r="O464" s="32" t="str">
        <f>IF($M464="","",IF($K464-$M464&gt;7,"",IF($M464&lt;=$A464,"",IF(OR($B464&lt;=0,$N464&lt;=0),"",($N464/$B464)^(365/($M464-$A464))-1))))</f>
        <v/>
      </c>
      <c r="P464" s="31" t="str">
        <f>IF($B464="","",IF($P463="",$B464,MAX($P463,$B464)))</f>
        <v/>
      </c>
      <c r="Q464" s="32" t="str">
        <f>IF($P464="","",$B464/$P464-1)</f>
        <v/>
      </c>
    </row>
    <row r="465">
      <c r="A465" s="11" t="n"/>
      <c r="B465" s="29" t="n"/>
      <c r="K465" s="30" t="str">
        <f>IF($A465="","",EDATE($A465,12*$E$4))</f>
        <v/>
      </c>
      <c r="L465" s="19" t="str">
        <f>IF($K465="","",IF($K465&gt;MAX($A$8:$A$5007),"",IFERROR(MATCH($K465,$A$8:$A$5007,1),"")))</f>
        <v/>
      </c>
      <c r="M465" s="30" t="str">
        <f>IF($L465="","",INDEX($A$8:$A$5007,$L465))</f>
        <v/>
      </c>
      <c r="N465" s="31" t="str">
        <f>IF($L465="","",INDEX($B$8:$B$5007,$L465))</f>
        <v/>
      </c>
      <c r="O465" s="32" t="str">
        <f>IF($M465="","",IF($K465-$M465&gt;7,"",IF($M465&lt;=$A465,"",IF(OR($B465&lt;=0,$N465&lt;=0),"",($N465/$B465)^(365/($M465-$A465))-1))))</f>
        <v/>
      </c>
      <c r="P465" s="31" t="str">
        <f>IF($B465="","",IF($P464="",$B465,MAX($P464,$B465)))</f>
        <v/>
      </c>
      <c r="Q465" s="32" t="str">
        <f>IF($P465="","",$B465/$P465-1)</f>
        <v/>
      </c>
    </row>
    <row r="466">
      <c r="A466" s="11" t="n"/>
      <c r="B466" s="29" t="n"/>
      <c r="K466" s="30" t="str">
        <f>IF($A466="","",EDATE($A466,12*$E$4))</f>
        <v/>
      </c>
      <c r="L466" s="19" t="str">
        <f>IF($K466="","",IF($K466&gt;MAX($A$8:$A$5007),"",IFERROR(MATCH($K466,$A$8:$A$5007,1),"")))</f>
        <v/>
      </c>
      <c r="M466" s="30" t="str">
        <f>IF($L466="","",INDEX($A$8:$A$5007,$L466))</f>
        <v/>
      </c>
      <c r="N466" s="31" t="str">
        <f>IF($L466="","",INDEX($B$8:$B$5007,$L466))</f>
        <v/>
      </c>
      <c r="O466" s="32" t="str">
        <f>IF($M466="","",IF($K466-$M466&gt;7,"",IF($M466&lt;=$A466,"",IF(OR($B466&lt;=0,$N466&lt;=0),"",($N466/$B466)^(365/($M466-$A466))-1))))</f>
        <v/>
      </c>
      <c r="P466" s="31" t="str">
        <f>IF($B466="","",IF($P465="",$B466,MAX($P465,$B466)))</f>
        <v/>
      </c>
      <c r="Q466" s="32" t="str">
        <f>IF($P466="","",$B466/$P466-1)</f>
        <v/>
      </c>
    </row>
    <row r="467">
      <c r="A467" s="11" t="n"/>
      <c r="B467" s="29" t="n"/>
      <c r="K467" s="30" t="str">
        <f>IF($A467="","",EDATE($A467,12*$E$4))</f>
        <v/>
      </c>
      <c r="L467" s="19" t="str">
        <f>IF($K467="","",IF($K467&gt;MAX($A$8:$A$5007),"",IFERROR(MATCH($K467,$A$8:$A$5007,1),"")))</f>
        <v/>
      </c>
      <c r="M467" s="30" t="str">
        <f>IF($L467="","",INDEX($A$8:$A$5007,$L467))</f>
        <v/>
      </c>
      <c r="N467" s="31" t="str">
        <f>IF($L467="","",INDEX($B$8:$B$5007,$L467))</f>
        <v/>
      </c>
      <c r="O467" s="32" t="str">
        <f>IF($M467="","",IF($K467-$M467&gt;7,"",IF($M467&lt;=$A467,"",IF(OR($B467&lt;=0,$N467&lt;=0),"",($N467/$B467)^(365/($M467-$A467))-1))))</f>
        <v/>
      </c>
      <c r="P467" s="31" t="str">
        <f>IF($B467="","",IF($P466="",$B467,MAX($P466,$B467)))</f>
        <v/>
      </c>
      <c r="Q467" s="32" t="str">
        <f>IF($P467="","",$B467/$P467-1)</f>
        <v/>
      </c>
    </row>
    <row r="468">
      <c r="A468" s="11" t="n"/>
      <c r="B468" s="29" t="n"/>
      <c r="K468" s="30" t="str">
        <f>IF($A468="","",EDATE($A468,12*$E$4))</f>
        <v/>
      </c>
      <c r="L468" s="19" t="str">
        <f>IF($K468="","",IF($K468&gt;MAX($A$8:$A$5007),"",IFERROR(MATCH($K468,$A$8:$A$5007,1),"")))</f>
        <v/>
      </c>
      <c r="M468" s="30" t="str">
        <f>IF($L468="","",INDEX($A$8:$A$5007,$L468))</f>
        <v/>
      </c>
      <c r="N468" s="31" t="str">
        <f>IF($L468="","",INDEX($B$8:$B$5007,$L468))</f>
        <v/>
      </c>
      <c r="O468" s="32" t="str">
        <f>IF($M468="","",IF($K468-$M468&gt;7,"",IF($M468&lt;=$A468,"",IF(OR($B468&lt;=0,$N468&lt;=0),"",($N468/$B468)^(365/($M468-$A468))-1))))</f>
        <v/>
      </c>
      <c r="P468" s="31" t="str">
        <f>IF($B468="","",IF($P467="",$B468,MAX($P467,$B468)))</f>
        <v/>
      </c>
      <c r="Q468" s="32" t="str">
        <f>IF($P468="","",$B468/$P468-1)</f>
        <v/>
      </c>
    </row>
    <row r="469">
      <c r="A469" s="11" t="n"/>
      <c r="B469" s="29" t="n"/>
      <c r="K469" s="30" t="str">
        <f>IF($A469="","",EDATE($A469,12*$E$4))</f>
        <v/>
      </c>
      <c r="L469" s="19" t="str">
        <f>IF($K469="","",IF($K469&gt;MAX($A$8:$A$5007),"",IFERROR(MATCH($K469,$A$8:$A$5007,1),"")))</f>
        <v/>
      </c>
      <c r="M469" s="30" t="str">
        <f>IF($L469="","",INDEX($A$8:$A$5007,$L469))</f>
        <v/>
      </c>
      <c r="N469" s="31" t="str">
        <f>IF($L469="","",INDEX($B$8:$B$5007,$L469))</f>
        <v/>
      </c>
      <c r="O469" s="32" t="str">
        <f>IF($M469="","",IF($K469-$M469&gt;7,"",IF($M469&lt;=$A469,"",IF(OR($B469&lt;=0,$N469&lt;=0),"",($N469/$B469)^(365/($M469-$A469))-1))))</f>
        <v/>
      </c>
      <c r="P469" s="31" t="str">
        <f>IF($B469="","",IF($P468="",$B469,MAX($P468,$B469)))</f>
        <v/>
      </c>
      <c r="Q469" s="32" t="str">
        <f>IF($P469="","",$B469/$P469-1)</f>
        <v/>
      </c>
    </row>
    <row r="470">
      <c r="A470" s="11" t="n"/>
      <c r="B470" s="29" t="n"/>
      <c r="K470" s="30" t="str">
        <f>IF($A470="","",EDATE($A470,12*$E$4))</f>
        <v/>
      </c>
      <c r="L470" s="19" t="str">
        <f>IF($K470="","",IF($K470&gt;MAX($A$8:$A$5007),"",IFERROR(MATCH($K470,$A$8:$A$5007,1),"")))</f>
        <v/>
      </c>
      <c r="M470" s="30" t="str">
        <f>IF($L470="","",INDEX($A$8:$A$5007,$L470))</f>
        <v/>
      </c>
      <c r="N470" s="31" t="str">
        <f>IF($L470="","",INDEX($B$8:$B$5007,$L470))</f>
        <v/>
      </c>
      <c r="O470" s="32" t="str">
        <f>IF($M470="","",IF($K470-$M470&gt;7,"",IF($M470&lt;=$A470,"",IF(OR($B470&lt;=0,$N470&lt;=0),"",($N470/$B470)^(365/($M470-$A470))-1))))</f>
        <v/>
      </c>
      <c r="P470" s="31" t="str">
        <f>IF($B470="","",IF($P469="",$B470,MAX($P469,$B470)))</f>
        <v/>
      </c>
      <c r="Q470" s="32" t="str">
        <f>IF($P470="","",$B470/$P470-1)</f>
        <v/>
      </c>
    </row>
    <row r="471">
      <c r="A471" s="11" t="n"/>
      <c r="B471" s="29" t="n"/>
      <c r="K471" s="30" t="str">
        <f>IF($A471="","",EDATE($A471,12*$E$4))</f>
        <v/>
      </c>
      <c r="L471" s="19" t="str">
        <f>IF($K471="","",IF($K471&gt;MAX($A$8:$A$5007),"",IFERROR(MATCH($K471,$A$8:$A$5007,1),"")))</f>
        <v/>
      </c>
      <c r="M471" s="30" t="str">
        <f>IF($L471="","",INDEX($A$8:$A$5007,$L471))</f>
        <v/>
      </c>
      <c r="N471" s="31" t="str">
        <f>IF($L471="","",INDEX($B$8:$B$5007,$L471))</f>
        <v/>
      </c>
      <c r="O471" s="32" t="str">
        <f>IF($M471="","",IF($K471-$M471&gt;7,"",IF($M471&lt;=$A471,"",IF(OR($B471&lt;=0,$N471&lt;=0),"",($N471/$B471)^(365/($M471-$A471))-1))))</f>
        <v/>
      </c>
      <c r="P471" s="31" t="str">
        <f>IF($B471="","",IF($P470="",$B471,MAX($P470,$B471)))</f>
        <v/>
      </c>
      <c r="Q471" s="32" t="str">
        <f>IF($P471="","",$B471/$P471-1)</f>
        <v/>
      </c>
    </row>
    <row r="472">
      <c r="A472" s="11" t="n"/>
      <c r="B472" s="29" t="n"/>
      <c r="K472" s="30" t="str">
        <f>IF($A472="","",EDATE($A472,12*$E$4))</f>
        <v/>
      </c>
      <c r="L472" s="19" t="str">
        <f>IF($K472="","",IF($K472&gt;MAX($A$8:$A$5007),"",IFERROR(MATCH($K472,$A$8:$A$5007,1),"")))</f>
        <v/>
      </c>
      <c r="M472" s="30" t="str">
        <f>IF($L472="","",INDEX($A$8:$A$5007,$L472))</f>
        <v/>
      </c>
      <c r="N472" s="31" t="str">
        <f>IF($L472="","",INDEX($B$8:$B$5007,$L472))</f>
        <v/>
      </c>
      <c r="O472" s="32" t="str">
        <f>IF($M472="","",IF($K472-$M472&gt;7,"",IF($M472&lt;=$A472,"",IF(OR($B472&lt;=0,$N472&lt;=0),"",($N472/$B472)^(365/($M472-$A472))-1))))</f>
        <v/>
      </c>
      <c r="P472" s="31" t="str">
        <f>IF($B472="","",IF($P471="",$B472,MAX($P471,$B472)))</f>
        <v/>
      </c>
      <c r="Q472" s="32" t="str">
        <f>IF($P472="","",$B472/$P472-1)</f>
        <v/>
      </c>
    </row>
    <row r="473">
      <c r="A473" s="11" t="n"/>
      <c r="B473" s="29" t="n"/>
      <c r="K473" s="30" t="str">
        <f>IF($A473="","",EDATE($A473,12*$E$4))</f>
        <v/>
      </c>
      <c r="L473" s="19" t="str">
        <f>IF($K473="","",IF($K473&gt;MAX($A$8:$A$5007),"",IFERROR(MATCH($K473,$A$8:$A$5007,1),"")))</f>
        <v/>
      </c>
      <c r="M473" s="30" t="str">
        <f>IF($L473="","",INDEX($A$8:$A$5007,$L473))</f>
        <v/>
      </c>
      <c r="N473" s="31" t="str">
        <f>IF($L473="","",INDEX($B$8:$B$5007,$L473))</f>
        <v/>
      </c>
      <c r="O473" s="32" t="str">
        <f>IF($M473="","",IF($K473-$M473&gt;7,"",IF($M473&lt;=$A473,"",IF(OR($B473&lt;=0,$N473&lt;=0),"",($N473/$B473)^(365/($M473-$A473))-1))))</f>
        <v/>
      </c>
      <c r="P473" s="31" t="str">
        <f>IF($B473="","",IF($P472="",$B473,MAX($P472,$B473)))</f>
        <v/>
      </c>
      <c r="Q473" s="32" t="str">
        <f>IF($P473="","",$B473/$P473-1)</f>
        <v/>
      </c>
    </row>
    <row r="474">
      <c r="A474" s="11" t="n"/>
      <c r="B474" s="29" t="n"/>
      <c r="K474" s="30" t="str">
        <f>IF($A474="","",EDATE($A474,12*$E$4))</f>
        <v/>
      </c>
      <c r="L474" s="19" t="str">
        <f>IF($K474="","",IF($K474&gt;MAX($A$8:$A$5007),"",IFERROR(MATCH($K474,$A$8:$A$5007,1),"")))</f>
        <v/>
      </c>
      <c r="M474" s="30" t="str">
        <f>IF($L474="","",INDEX($A$8:$A$5007,$L474))</f>
        <v/>
      </c>
      <c r="N474" s="31" t="str">
        <f>IF($L474="","",INDEX($B$8:$B$5007,$L474))</f>
        <v/>
      </c>
      <c r="O474" s="32" t="str">
        <f>IF($M474="","",IF($K474-$M474&gt;7,"",IF($M474&lt;=$A474,"",IF(OR($B474&lt;=0,$N474&lt;=0),"",($N474/$B474)^(365/($M474-$A474))-1))))</f>
        <v/>
      </c>
      <c r="P474" s="31" t="str">
        <f>IF($B474="","",IF($P473="",$B474,MAX($P473,$B474)))</f>
        <v/>
      </c>
      <c r="Q474" s="32" t="str">
        <f>IF($P474="","",$B474/$P474-1)</f>
        <v/>
      </c>
    </row>
    <row r="475">
      <c r="A475" s="11" t="n"/>
      <c r="B475" s="29" t="n"/>
      <c r="K475" s="30" t="str">
        <f>IF($A475="","",EDATE($A475,12*$E$4))</f>
        <v/>
      </c>
      <c r="L475" s="19" t="str">
        <f>IF($K475="","",IF($K475&gt;MAX($A$8:$A$5007),"",IFERROR(MATCH($K475,$A$8:$A$5007,1),"")))</f>
        <v/>
      </c>
      <c r="M475" s="30" t="str">
        <f>IF($L475="","",INDEX($A$8:$A$5007,$L475))</f>
        <v/>
      </c>
      <c r="N475" s="31" t="str">
        <f>IF($L475="","",INDEX($B$8:$B$5007,$L475))</f>
        <v/>
      </c>
      <c r="O475" s="32" t="str">
        <f>IF($M475="","",IF($K475-$M475&gt;7,"",IF($M475&lt;=$A475,"",IF(OR($B475&lt;=0,$N475&lt;=0),"",($N475/$B475)^(365/($M475-$A475))-1))))</f>
        <v/>
      </c>
      <c r="P475" s="31" t="str">
        <f>IF($B475="","",IF($P474="",$B475,MAX($P474,$B475)))</f>
        <v/>
      </c>
      <c r="Q475" s="32" t="str">
        <f>IF($P475="","",$B475/$P475-1)</f>
        <v/>
      </c>
    </row>
    <row r="476">
      <c r="A476" s="11" t="n"/>
      <c r="B476" s="29" t="n"/>
      <c r="K476" s="30" t="str">
        <f>IF($A476="","",EDATE($A476,12*$E$4))</f>
        <v/>
      </c>
      <c r="L476" s="19" t="str">
        <f>IF($K476="","",IF($K476&gt;MAX($A$8:$A$5007),"",IFERROR(MATCH($K476,$A$8:$A$5007,1),"")))</f>
        <v/>
      </c>
      <c r="M476" s="30" t="str">
        <f>IF($L476="","",INDEX($A$8:$A$5007,$L476))</f>
        <v/>
      </c>
      <c r="N476" s="31" t="str">
        <f>IF($L476="","",INDEX($B$8:$B$5007,$L476))</f>
        <v/>
      </c>
      <c r="O476" s="32" t="str">
        <f>IF($M476="","",IF($K476-$M476&gt;7,"",IF($M476&lt;=$A476,"",IF(OR($B476&lt;=0,$N476&lt;=0),"",($N476/$B476)^(365/($M476-$A476))-1))))</f>
        <v/>
      </c>
      <c r="P476" s="31" t="str">
        <f>IF($B476="","",IF($P475="",$B476,MAX($P475,$B476)))</f>
        <v/>
      </c>
      <c r="Q476" s="32" t="str">
        <f>IF($P476="","",$B476/$P476-1)</f>
        <v/>
      </c>
    </row>
    <row r="477">
      <c r="A477" s="11" t="n"/>
      <c r="B477" s="29" t="n"/>
      <c r="K477" s="30" t="str">
        <f>IF($A477="","",EDATE($A477,12*$E$4))</f>
        <v/>
      </c>
      <c r="L477" s="19" t="str">
        <f>IF($K477="","",IF($K477&gt;MAX($A$8:$A$5007),"",IFERROR(MATCH($K477,$A$8:$A$5007,1),"")))</f>
        <v/>
      </c>
      <c r="M477" s="30" t="str">
        <f>IF($L477="","",INDEX($A$8:$A$5007,$L477))</f>
        <v/>
      </c>
      <c r="N477" s="31" t="str">
        <f>IF($L477="","",INDEX($B$8:$B$5007,$L477))</f>
        <v/>
      </c>
      <c r="O477" s="32" t="str">
        <f>IF($M477="","",IF($K477-$M477&gt;7,"",IF($M477&lt;=$A477,"",IF(OR($B477&lt;=0,$N477&lt;=0),"",($N477/$B477)^(365/($M477-$A477))-1))))</f>
        <v/>
      </c>
      <c r="P477" s="31" t="str">
        <f>IF($B477="","",IF($P476="",$B477,MAX($P476,$B477)))</f>
        <v/>
      </c>
      <c r="Q477" s="32" t="str">
        <f>IF($P477="","",$B477/$P477-1)</f>
        <v/>
      </c>
    </row>
    <row r="478">
      <c r="A478" s="11" t="n"/>
      <c r="B478" s="29" t="n"/>
      <c r="K478" s="30" t="str">
        <f>IF($A478="","",EDATE($A478,12*$E$4))</f>
        <v/>
      </c>
      <c r="L478" s="19" t="str">
        <f>IF($K478="","",IF($K478&gt;MAX($A$8:$A$5007),"",IFERROR(MATCH($K478,$A$8:$A$5007,1),"")))</f>
        <v/>
      </c>
      <c r="M478" s="30" t="str">
        <f>IF($L478="","",INDEX($A$8:$A$5007,$L478))</f>
        <v/>
      </c>
      <c r="N478" s="31" t="str">
        <f>IF($L478="","",INDEX($B$8:$B$5007,$L478))</f>
        <v/>
      </c>
      <c r="O478" s="32" t="str">
        <f>IF($M478="","",IF($K478-$M478&gt;7,"",IF($M478&lt;=$A478,"",IF(OR($B478&lt;=0,$N478&lt;=0),"",($N478/$B478)^(365/($M478-$A478))-1))))</f>
        <v/>
      </c>
      <c r="P478" s="31" t="str">
        <f>IF($B478="","",IF($P477="",$B478,MAX($P477,$B478)))</f>
        <v/>
      </c>
      <c r="Q478" s="32" t="str">
        <f>IF($P478="","",$B478/$P478-1)</f>
        <v/>
      </c>
    </row>
    <row r="479">
      <c r="A479" s="11" t="n"/>
      <c r="B479" s="29" t="n"/>
      <c r="K479" s="30" t="str">
        <f>IF($A479="","",EDATE($A479,12*$E$4))</f>
        <v/>
      </c>
      <c r="L479" s="19" t="str">
        <f>IF($K479="","",IF($K479&gt;MAX($A$8:$A$5007),"",IFERROR(MATCH($K479,$A$8:$A$5007,1),"")))</f>
        <v/>
      </c>
      <c r="M479" s="30" t="str">
        <f>IF($L479="","",INDEX($A$8:$A$5007,$L479))</f>
        <v/>
      </c>
      <c r="N479" s="31" t="str">
        <f>IF($L479="","",INDEX($B$8:$B$5007,$L479))</f>
        <v/>
      </c>
      <c r="O479" s="32" t="str">
        <f>IF($M479="","",IF($K479-$M479&gt;7,"",IF($M479&lt;=$A479,"",IF(OR($B479&lt;=0,$N479&lt;=0),"",($N479/$B479)^(365/($M479-$A479))-1))))</f>
        <v/>
      </c>
      <c r="P479" s="31" t="str">
        <f>IF($B479="","",IF($P478="",$B479,MAX($P478,$B479)))</f>
        <v/>
      </c>
      <c r="Q479" s="32" t="str">
        <f>IF($P479="","",$B479/$P479-1)</f>
        <v/>
      </c>
    </row>
    <row r="480">
      <c r="A480" s="11" t="n"/>
      <c r="B480" s="29" t="n"/>
      <c r="K480" s="30" t="str">
        <f>IF($A480="","",EDATE($A480,12*$E$4))</f>
        <v/>
      </c>
      <c r="L480" s="19" t="str">
        <f>IF($K480="","",IF($K480&gt;MAX($A$8:$A$5007),"",IFERROR(MATCH($K480,$A$8:$A$5007,1),"")))</f>
        <v/>
      </c>
      <c r="M480" s="30" t="str">
        <f>IF($L480="","",INDEX($A$8:$A$5007,$L480))</f>
        <v/>
      </c>
      <c r="N480" s="31" t="str">
        <f>IF($L480="","",INDEX($B$8:$B$5007,$L480))</f>
        <v/>
      </c>
      <c r="O480" s="32" t="str">
        <f>IF($M480="","",IF($K480-$M480&gt;7,"",IF($M480&lt;=$A480,"",IF(OR($B480&lt;=0,$N480&lt;=0),"",($N480/$B480)^(365/($M480-$A480))-1))))</f>
        <v/>
      </c>
      <c r="P480" s="31" t="str">
        <f>IF($B480="","",IF($P479="",$B480,MAX($P479,$B480)))</f>
        <v/>
      </c>
      <c r="Q480" s="32" t="str">
        <f>IF($P480="","",$B480/$P480-1)</f>
        <v/>
      </c>
    </row>
    <row r="481">
      <c r="A481" s="11" t="n"/>
      <c r="B481" s="29" t="n"/>
      <c r="K481" s="30" t="str">
        <f>IF($A481="","",EDATE($A481,12*$E$4))</f>
        <v/>
      </c>
      <c r="L481" s="19" t="str">
        <f>IF($K481="","",IF($K481&gt;MAX($A$8:$A$5007),"",IFERROR(MATCH($K481,$A$8:$A$5007,1),"")))</f>
        <v/>
      </c>
      <c r="M481" s="30" t="str">
        <f>IF($L481="","",INDEX($A$8:$A$5007,$L481))</f>
        <v/>
      </c>
      <c r="N481" s="31" t="str">
        <f>IF($L481="","",INDEX($B$8:$B$5007,$L481))</f>
        <v/>
      </c>
      <c r="O481" s="32" t="str">
        <f>IF($M481="","",IF($K481-$M481&gt;7,"",IF($M481&lt;=$A481,"",IF(OR($B481&lt;=0,$N481&lt;=0),"",($N481/$B481)^(365/($M481-$A481))-1))))</f>
        <v/>
      </c>
      <c r="P481" s="31" t="str">
        <f>IF($B481="","",IF($P480="",$B481,MAX($P480,$B481)))</f>
        <v/>
      </c>
      <c r="Q481" s="32" t="str">
        <f>IF($P481="","",$B481/$P481-1)</f>
        <v/>
      </c>
    </row>
    <row r="482">
      <c r="A482" s="11" t="n"/>
      <c r="B482" s="29" t="n"/>
      <c r="K482" s="30" t="str">
        <f>IF($A482="","",EDATE($A482,12*$E$4))</f>
        <v/>
      </c>
      <c r="L482" s="19" t="str">
        <f>IF($K482="","",IF($K482&gt;MAX($A$8:$A$5007),"",IFERROR(MATCH($K482,$A$8:$A$5007,1),"")))</f>
        <v/>
      </c>
      <c r="M482" s="30" t="str">
        <f>IF($L482="","",INDEX($A$8:$A$5007,$L482))</f>
        <v/>
      </c>
      <c r="N482" s="31" t="str">
        <f>IF($L482="","",INDEX($B$8:$B$5007,$L482))</f>
        <v/>
      </c>
      <c r="O482" s="32" t="str">
        <f>IF($M482="","",IF($K482-$M482&gt;7,"",IF($M482&lt;=$A482,"",IF(OR($B482&lt;=0,$N482&lt;=0),"",($N482/$B482)^(365/($M482-$A482))-1))))</f>
        <v/>
      </c>
      <c r="P482" s="31" t="str">
        <f>IF($B482="","",IF($P481="",$B482,MAX($P481,$B482)))</f>
        <v/>
      </c>
      <c r="Q482" s="32" t="str">
        <f>IF($P482="","",$B482/$P482-1)</f>
        <v/>
      </c>
    </row>
    <row r="483">
      <c r="A483" s="11" t="n"/>
      <c r="B483" s="29" t="n"/>
      <c r="K483" s="30" t="str">
        <f>IF($A483="","",EDATE($A483,12*$E$4))</f>
        <v/>
      </c>
      <c r="L483" s="19" t="str">
        <f>IF($K483="","",IF($K483&gt;MAX($A$8:$A$5007),"",IFERROR(MATCH($K483,$A$8:$A$5007,1),"")))</f>
        <v/>
      </c>
      <c r="M483" s="30" t="str">
        <f>IF($L483="","",INDEX($A$8:$A$5007,$L483))</f>
        <v/>
      </c>
      <c r="N483" s="31" t="str">
        <f>IF($L483="","",INDEX($B$8:$B$5007,$L483))</f>
        <v/>
      </c>
      <c r="O483" s="32" t="str">
        <f>IF($M483="","",IF($K483-$M483&gt;7,"",IF($M483&lt;=$A483,"",IF(OR($B483&lt;=0,$N483&lt;=0),"",($N483/$B483)^(365/($M483-$A483))-1))))</f>
        <v/>
      </c>
      <c r="P483" s="31" t="str">
        <f>IF($B483="","",IF($P482="",$B483,MAX($P482,$B483)))</f>
        <v/>
      </c>
      <c r="Q483" s="32" t="str">
        <f>IF($P483="","",$B483/$P483-1)</f>
        <v/>
      </c>
    </row>
    <row r="484">
      <c r="A484" s="11" t="n"/>
      <c r="B484" s="29" t="n"/>
      <c r="K484" s="30" t="str">
        <f>IF($A484="","",EDATE($A484,12*$E$4))</f>
        <v/>
      </c>
      <c r="L484" s="19" t="str">
        <f>IF($K484="","",IF($K484&gt;MAX($A$8:$A$5007),"",IFERROR(MATCH($K484,$A$8:$A$5007,1),"")))</f>
        <v/>
      </c>
      <c r="M484" s="30" t="str">
        <f>IF($L484="","",INDEX($A$8:$A$5007,$L484))</f>
        <v/>
      </c>
      <c r="N484" s="31" t="str">
        <f>IF($L484="","",INDEX($B$8:$B$5007,$L484))</f>
        <v/>
      </c>
      <c r="O484" s="32" t="str">
        <f>IF($M484="","",IF($K484-$M484&gt;7,"",IF($M484&lt;=$A484,"",IF(OR($B484&lt;=0,$N484&lt;=0),"",($N484/$B484)^(365/($M484-$A484))-1))))</f>
        <v/>
      </c>
      <c r="P484" s="31" t="str">
        <f>IF($B484="","",IF($P483="",$B484,MAX($P483,$B484)))</f>
        <v/>
      </c>
      <c r="Q484" s="32" t="str">
        <f>IF($P484="","",$B484/$P484-1)</f>
        <v/>
      </c>
    </row>
    <row r="485">
      <c r="A485" s="11" t="n"/>
      <c r="B485" s="29" t="n"/>
      <c r="K485" s="30" t="str">
        <f>IF($A485="","",EDATE($A485,12*$E$4))</f>
        <v/>
      </c>
      <c r="L485" s="19" t="str">
        <f>IF($K485="","",IF($K485&gt;MAX($A$8:$A$5007),"",IFERROR(MATCH($K485,$A$8:$A$5007,1),"")))</f>
        <v/>
      </c>
      <c r="M485" s="30" t="str">
        <f>IF($L485="","",INDEX($A$8:$A$5007,$L485))</f>
        <v/>
      </c>
      <c r="N485" s="31" t="str">
        <f>IF($L485="","",INDEX($B$8:$B$5007,$L485))</f>
        <v/>
      </c>
      <c r="O485" s="32" t="str">
        <f>IF($M485="","",IF($K485-$M485&gt;7,"",IF($M485&lt;=$A485,"",IF(OR($B485&lt;=0,$N485&lt;=0),"",($N485/$B485)^(365/($M485-$A485))-1))))</f>
        <v/>
      </c>
      <c r="P485" s="31" t="str">
        <f>IF($B485="","",IF($P484="",$B485,MAX($P484,$B485)))</f>
        <v/>
      </c>
      <c r="Q485" s="32" t="str">
        <f>IF($P485="","",$B485/$P485-1)</f>
        <v/>
      </c>
    </row>
    <row r="486">
      <c r="A486" s="11" t="n"/>
      <c r="B486" s="29" t="n"/>
      <c r="K486" s="30" t="str">
        <f>IF($A486="","",EDATE($A486,12*$E$4))</f>
        <v/>
      </c>
      <c r="L486" s="19" t="str">
        <f>IF($K486="","",IF($K486&gt;MAX($A$8:$A$5007),"",IFERROR(MATCH($K486,$A$8:$A$5007,1),"")))</f>
        <v/>
      </c>
      <c r="M486" s="30" t="str">
        <f>IF($L486="","",INDEX($A$8:$A$5007,$L486))</f>
        <v/>
      </c>
      <c r="N486" s="31" t="str">
        <f>IF($L486="","",INDEX($B$8:$B$5007,$L486))</f>
        <v/>
      </c>
      <c r="O486" s="32" t="str">
        <f>IF($M486="","",IF($K486-$M486&gt;7,"",IF($M486&lt;=$A486,"",IF(OR($B486&lt;=0,$N486&lt;=0),"",($N486/$B486)^(365/($M486-$A486))-1))))</f>
        <v/>
      </c>
      <c r="P486" s="31" t="str">
        <f>IF($B486="","",IF($P485="",$B486,MAX($P485,$B486)))</f>
        <v/>
      </c>
      <c r="Q486" s="32" t="str">
        <f>IF($P486="","",$B486/$P486-1)</f>
        <v/>
      </c>
    </row>
    <row r="487">
      <c r="A487" s="11" t="n"/>
      <c r="B487" s="29" t="n"/>
      <c r="K487" s="30" t="str">
        <f>IF($A487="","",EDATE($A487,12*$E$4))</f>
        <v/>
      </c>
      <c r="L487" s="19" t="str">
        <f>IF($K487="","",IF($K487&gt;MAX($A$8:$A$5007),"",IFERROR(MATCH($K487,$A$8:$A$5007,1),"")))</f>
        <v/>
      </c>
      <c r="M487" s="30" t="str">
        <f>IF($L487="","",INDEX($A$8:$A$5007,$L487))</f>
        <v/>
      </c>
      <c r="N487" s="31" t="str">
        <f>IF($L487="","",INDEX($B$8:$B$5007,$L487))</f>
        <v/>
      </c>
      <c r="O487" s="32" t="str">
        <f>IF($M487="","",IF($K487-$M487&gt;7,"",IF($M487&lt;=$A487,"",IF(OR($B487&lt;=0,$N487&lt;=0),"",($N487/$B487)^(365/($M487-$A487))-1))))</f>
        <v/>
      </c>
      <c r="P487" s="31" t="str">
        <f>IF($B487="","",IF($P486="",$B487,MAX($P486,$B487)))</f>
        <v/>
      </c>
      <c r="Q487" s="32" t="str">
        <f>IF($P487="","",$B487/$P487-1)</f>
        <v/>
      </c>
    </row>
    <row r="488">
      <c r="A488" s="11" t="n"/>
      <c r="B488" s="29" t="n"/>
      <c r="K488" s="30" t="str">
        <f>IF($A488="","",EDATE($A488,12*$E$4))</f>
        <v/>
      </c>
      <c r="L488" s="19" t="str">
        <f>IF($K488="","",IF($K488&gt;MAX($A$8:$A$5007),"",IFERROR(MATCH($K488,$A$8:$A$5007,1),"")))</f>
        <v/>
      </c>
      <c r="M488" s="30" t="str">
        <f>IF($L488="","",INDEX($A$8:$A$5007,$L488))</f>
        <v/>
      </c>
      <c r="N488" s="31" t="str">
        <f>IF($L488="","",INDEX($B$8:$B$5007,$L488))</f>
        <v/>
      </c>
      <c r="O488" s="32" t="str">
        <f>IF($M488="","",IF($K488-$M488&gt;7,"",IF($M488&lt;=$A488,"",IF(OR($B488&lt;=0,$N488&lt;=0),"",($N488/$B488)^(365/($M488-$A488))-1))))</f>
        <v/>
      </c>
      <c r="P488" s="31" t="str">
        <f>IF($B488="","",IF($P487="",$B488,MAX($P487,$B488)))</f>
        <v/>
      </c>
      <c r="Q488" s="32" t="str">
        <f>IF($P488="","",$B488/$P488-1)</f>
        <v/>
      </c>
    </row>
    <row r="489">
      <c r="A489" s="11" t="n"/>
      <c r="B489" s="29" t="n"/>
      <c r="K489" s="30" t="str">
        <f>IF($A489="","",EDATE($A489,12*$E$4))</f>
        <v/>
      </c>
      <c r="L489" s="19" t="str">
        <f>IF($K489="","",IF($K489&gt;MAX($A$8:$A$5007),"",IFERROR(MATCH($K489,$A$8:$A$5007,1),"")))</f>
        <v/>
      </c>
      <c r="M489" s="30" t="str">
        <f>IF($L489="","",INDEX($A$8:$A$5007,$L489))</f>
        <v/>
      </c>
      <c r="N489" s="31" t="str">
        <f>IF($L489="","",INDEX($B$8:$B$5007,$L489))</f>
        <v/>
      </c>
      <c r="O489" s="32" t="str">
        <f>IF($M489="","",IF($K489-$M489&gt;7,"",IF($M489&lt;=$A489,"",IF(OR($B489&lt;=0,$N489&lt;=0),"",($N489/$B489)^(365/($M489-$A489))-1))))</f>
        <v/>
      </c>
      <c r="P489" s="31" t="str">
        <f>IF($B489="","",IF($P488="",$B489,MAX($P488,$B489)))</f>
        <v/>
      </c>
      <c r="Q489" s="32" t="str">
        <f>IF($P489="","",$B489/$P489-1)</f>
        <v/>
      </c>
    </row>
    <row r="490">
      <c r="A490" s="11" t="n"/>
      <c r="B490" s="29" t="n"/>
      <c r="K490" s="30" t="str">
        <f>IF($A490="","",EDATE($A490,12*$E$4))</f>
        <v/>
      </c>
      <c r="L490" s="19" t="str">
        <f>IF($K490="","",IF($K490&gt;MAX($A$8:$A$5007),"",IFERROR(MATCH($K490,$A$8:$A$5007,1),"")))</f>
        <v/>
      </c>
      <c r="M490" s="30" t="str">
        <f>IF($L490="","",INDEX($A$8:$A$5007,$L490))</f>
        <v/>
      </c>
      <c r="N490" s="31" t="str">
        <f>IF($L490="","",INDEX($B$8:$B$5007,$L490))</f>
        <v/>
      </c>
      <c r="O490" s="32" t="str">
        <f>IF($M490="","",IF($K490-$M490&gt;7,"",IF($M490&lt;=$A490,"",IF(OR($B490&lt;=0,$N490&lt;=0),"",($N490/$B490)^(365/($M490-$A490))-1))))</f>
        <v/>
      </c>
      <c r="P490" s="31" t="str">
        <f>IF($B490="","",IF($P489="",$B490,MAX($P489,$B490)))</f>
        <v/>
      </c>
      <c r="Q490" s="32" t="str">
        <f>IF($P490="","",$B490/$P490-1)</f>
        <v/>
      </c>
    </row>
    <row r="491">
      <c r="A491" s="11" t="n"/>
      <c r="B491" s="29" t="n"/>
      <c r="K491" s="30" t="str">
        <f>IF($A491="","",EDATE($A491,12*$E$4))</f>
        <v/>
      </c>
      <c r="L491" s="19" t="str">
        <f>IF($K491="","",IF($K491&gt;MAX($A$8:$A$5007),"",IFERROR(MATCH($K491,$A$8:$A$5007,1),"")))</f>
        <v/>
      </c>
      <c r="M491" s="30" t="str">
        <f>IF($L491="","",INDEX($A$8:$A$5007,$L491))</f>
        <v/>
      </c>
      <c r="N491" s="31" t="str">
        <f>IF($L491="","",INDEX($B$8:$B$5007,$L491))</f>
        <v/>
      </c>
      <c r="O491" s="32" t="str">
        <f>IF($M491="","",IF($K491-$M491&gt;7,"",IF($M491&lt;=$A491,"",IF(OR($B491&lt;=0,$N491&lt;=0),"",($N491/$B491)^(365/($M491-$A491))-1))))</f>
        <v/>
      </c>
      <c r="P491" s="31" t="str">
        <f>IF($B491="","",IF($P490="",$B491,MAX($P490,$B491)))</f>
        <v/>
      </c>
      <c r="Q491" s="32" t="str">
        <f>IF($P491="","",$B491/$P491-1)</f>
        <v/>
      </c>
    </row>
    <row r="492">
      <c r="A492" s="11" t="n"/>
      <c r="B492" s="29" t="n"/>
      <c r="K492" s="30" t="str">
        <f>IF($A492="","",EDATE($A492,12*$E$4))</f>
        <v/>
      </c>
      <c r="L492" s="19" t="str">
        <f>IF($K492="","",IF($K492&gt;MAX($A$8:$A$5007),"",IFERROR(MATCH($K492,$A$8:$A$5007,1),"")))</f>
        <v/>
      </c>
      <c r="M492" s="30" t="str">
        <f>IF($L492="","",INDEX($A$8:$A$5007,$L492))</f>
        <v/>
      </c>
      <c r="N492" s="31" t="str">
        <f>IF($L492="","",INDEX($B$8:$B$5007,$L492))</f>
        <v/>
      </c>
      <c r="O492" s="32" t="str">
        <f>IF($M492="","",IF($K492-$M492&gt;7,"",IF($M492&lt;=$A492,"",IF(OR($B492&lt;=0,$N492&lt;=0),"",($N492/$B492)^(365/($M492-$A492))-1))))</f>
        <v/>
      </c>
      <c r="P492" s="31" t="str">
        <f>IF($B492="","",IF($P491="",$B492,MAX($P491,$B492)))</f>
        <v/>
      </c>
      <c r="Q492" s="32" t="str">
        <f>IF($P492="","",$B492/$P492-1)</f>
        <v/>
      </c>
    </row>
    <row r="493">
      <c r="A493" s="11" t="n"/>
      <c r="B493" s="29" t="n"/>
      <c r="K493" s="30" t="str">
        <f>IF($A493="","",EDATE($A493,12*$E$4))</f>
        <v/>
      </c>
      <c r="L493" s="19" t="str">
        <f>IF($K493="","",IF($K493&gt;MAX($A$8:$A$5007),"",IFERROR(MATCH($K493,$A$8:$A$5007,1),"")))</f>
        <v/>
      </c>
      <c r="M493" s="30" t="str">
        <f>IF($L493="","",INDEX($A$8:$A$5007,$L493))</f>
        <v/>
      </c>
      <c r="N493" s="31" t="str">
        <f>IF($L493="","",INDEX($B$8:$B$5007,$L493))</f>
        <v/>
      </c>
      <c r="O493" s="32" t="str">
        <f>IF($M493="","",IF($K493-$M493&gt;7,"",IF($M493&lt;=$A493,"",IF(OR($B493&lt;=0,$N493&lt;=0),"",($N493/$B493)^(365/($M493-$A493))-1))))</f>
        <v/>
      </c>
      <c r="P493" s="31" t="str">
        <f>IF($B493="","",IF($P492="",$B493,MAX($P492,$B493)))</f>
        <v/>
      </c>
      <c r="Q493" s="32" t="str">
        <f>IF($P493="","",$B493/$P493-1)</f>
        <v/>
      </c>
    </row>
    <row r="494">
      <c r="A494" s="11" t="n"/>
      <c r="B494" s="29" t="n"/>
      <c r="K494" s="30" t="str">
        <f>IF($A494="","",EDATE($A494,12*$E$4))</f>
        <v/>
      </c>
      <c r="L494" s="19" t="str">
        <f>IF($K494="","",IF($K494&gt;MAX($A$8:$A$5007),"",IFERROR(MATCH($K494,$A$8:$A$5007,1),"")))</f>
        <v/>
      </c>
      <c r="M494" s="30" t="str">
        <f>IF($L494="","",INDEX($A$8:$A$5007,$L494))</f>
        <v/>
      </c>
      <c r="N494" s="31" t="str">
        <f>IF($L494="","",INDEX($B$8:$B$5007,$L494))</f>
        <v/>
      </c>
      <c r="O494" s="32" t="str">
        <f>IF($M494="","",IF($K494-$M494&gt;7,"",IF($M494&lt;=$A494,"",IF(OR($B494&lt;=0,$N494&lt;=0),"",($N494/$B494)^(365/($M494-$A494))-1))))</f>
        <v/>
      </c>
      <c r="P494" s="31" t="str">
        <f>IF($B494="","",IF($P493="",$B494,MAX($P493,$B494)))</f>
        <v/>
      </c>
      <c r="Q494" s="32" t="str">
        <f>IF($P494="","",$B494/$P494-1)</f>
        <v/>
      </c>
    </row>
    <row r="495">
      <c r="A495" s="11" t="n"/>
      <c r="B495" s="29" t="n"/>
      <c r="K495" s="30" t="str">
        <f>IF($A495="","",EDATE($A495,12*$E$4))</f>
        <v/>
      </c>
      <c r="L495" s="19" t="str">
        <f>IF($K495="","",IF($K495&gt;MAX($A$8:$A$5007),"",IFERROR(MATCH($K495,$A$8:$A$5007,1),"")))</f>
        <v/>
      </c>
      <c r="M495" s="30" t="str">
        <f>IF($L495="","",INDEX($A$8:$A$5007,$L495))</f>
        <v/>
      </c>
      <c r="N495" s="31" t="str">
        <f>IF($L495="","",INDEX($B$8:$B$5007,$L495))</f>
        <v/>
      </c>
      <c r="O495" s="32" t="str">
        <f>IF($M495="","",IF($K495-$M495&gt;7,"",IF($M495&lt;=$A495,"",IF(OR($B495&lt;=0,$N495&lt;=0),"",($N495/$B495)^(365/($M495-$A495))-1))))</f>
        <v/>
      </c>
      <c r="P495" s="31" t="str">
        <f>IF($B495="","",IF($P494="",$B495,MAX($P494,$B495)))</f>
        <v/>
      </c>
      <c r="Q495" s="32" t="str">
        <f>IF($P495="","",$B495/$P495-1)</f>
        <v/>
      </c>
    </row>
    <row r="496">
      <c r="A496" s="11" t="n"/>
      <c r="B496" s="29" t="n"/>
      <c r="K496" s="30" t="str">
        <f>IF($A496="","",EDATE($A496,12*$E$4))</f>
        <v/>
      </c>
      <c r="L496" s="19" t="str">
        <f>IF($K496="","",IF($K496&gt;MAX($A$8:$A$5007),"",IFERROR(MATCH($K496,$A$8:$A$5007,1),"")))</f>
        <v/>
      </c>
      <c r="M496" s="30" t="str">
        <f>IF($L496="","",INDEX($A$8:$A$5007,$L496))</f>
        <v/>
      </c>
      <c r="N496" s="31" t="str">
        <f>IF($L496="","",INDEX($B$8:$B$5007,$L496))</f>
        <v/>
      </c>
      <c r="O496" s="32" t="str">
        <f>IF($M496="","",IF($K496-$M496&gt;7,"",IF($M496&lt;=$A496,"",IF(OR($B496&lt;=0,$N496&lt;=0),"",($N496/$B496)^(365/($M496-$A496))-1))))</f>
        <v/>
      </c>
      <c r="P496" s="31" t="str">
        <f>IF($B496="","",IF($P495="",$B496,MAX($P495,$B496)))</f>
        <v/>
      </c>
      <c r="Q496" s="32" t="str">
        <f>IF($P496="","",$B496/$P496-1)</f>
        <v/>
      </c>
    </row>
    <row r="497">
      <c r="A497" s="11" t="n"/>
      <c r="B497" s="29" t="n"/>
      <c r="K497" s="30" t="str">
        <f>IF($A497="","",EDATE($A497,12*$E$4))</f>
        <v/>
      </c>
      <c r="L497" s="19" t="str">
        <f>IF($K497="","",IF($K497&gt;MAX($A$8:$A$5007),"",IFERROR(MATCH($K497,$A$8:$A$5007,1),"")))</f>
        <v/>
      </c>
      <c r="M497" s="30" t="str">
        <f>IF($L497="","",INDEX($A$8:$A$5007,$L497))</f>
        <v/>
      </c>
      <c r="N497" s="31" t="str">
        <f>IF($L497="","",INDEX($B$8:$B$5007,$L497))</f>
        <v/>
      </c>
      <c r="O497" s="32" t="str">
        <f>IF($M497="","",IF($K497-$M497&gt;7,"",IF($M497&lt;=$A497,"",IF(OR($B497&lt;=0,$N497&lt;=0),"",($N497/$B497)^(365/($M497-$A497))-1))))</f>
        <v/>
      </c>
      <c r="P497" s="31" t="str">
        <f>IF($B497="","",IF($P496="",$B497,MAX($P496,$B497)))</f>
        <v/>
      </c>
      <c r="Q497" s="32" t="str">
        <f>IF($P497="","",$B497/$P497-1)</f>
        <v/>
      </c>
    </row>
    <row r="498">
      <c r="A498" s="11" t="n"/>
      <c r="B498" s="29" t="n"/>
      <c r="K498" s="30" t="str">
        <f>IF($A498="","",EDATE($A498,12*$E$4))</f>
        <v/>
      </c>
      <c r="L498" s="19" t="str">
        <f>IF($K498="","",IF($K498&gt;MAX($A$8:$A$5007),"",IFERROR(MATCH($K498,$A$8:$A$5007,1),"")))</f>
        <v/>
      </c>
      <c r="M498" s="30" t="str">
        <f>IF($L498="","",INDEX($A$8:$A$5007,$L498))</f>
        <v/>
      </c>
      <c r="N498" s="31" t="str">
        <f>IF($L498="","",INDEX($B$8:$B$5007,$L498))</f>
        <v/>
      </c>
      <c r="O498" s="32" t="str">
        <f>IF($M498="","",IF($K498-$M498&gt;7,"",IF($M498&lt;=$A498,"",IF(OR($B498&lt;=0,$N498&lt;=0),"",($N498/$B498)^(365/($M498-$A498))-1))))</f>
        <v/>
      </c>
      <c r="P498" s="31" t="str">
        <f>IF($B498="","",IF($P497="",$B498,MAX($P497,$B498)))</f>
        <v/>
      </c>
      <c r="Q498" s="32" t="str">
        <f>IF($P498="","",$B498/$P498-1)</f>
        <v/>
      </c>
    </row>
    <row r="499">
      <c r="A499" s="11" t="n"/>
      <c r="B499" s="29" t="n"/>
      <c r="K499" s="30" t="str">
        <f>IF($A499="","",EDATE($A499,12*$E$4))</f>
        <v/>
      </c>
      <c r="L499" s="19" t="str">
        <f>IF($K499="","",IF($K499&gt;MAX($A$8:$A$5007),"",IFERROR(MATCH($K499,$A$8:$A$5007,1),"")))</f>
        <v/>
      </c>
      <c r="M499" s="30" t="str">
        <f>IF($L499="","",INDEX($A$8:$A$5007,$L499))</f>
        <v/>
      </c>
      <c r="N499" s="31" t="str">
        <f>IF($L499="","",INDEX($B$8:$B$5007,$L499))</f>
        <v/>
      </c>
      <c r="O499" s="32" t="str">
        <f>IF($M499="","",IF($K499-$M499&gt;7,"",IF($M499&lt;=$A499,"",IF(OR($B499&lt;=0,$N499&lt;=0),"",($N499/$B499)^(365/($M499-$A499))-1))))</f>
        <v/>
      </c>
      <c r="P499" s="31" t="str">
        <f>IF($B499="","",IF($P498="",$B499,MAX($P498,$B499)))</f>
        <v/>
      </c>
      <c r="Q499" s="32" t="str">
        <f>IF($P499="","",$B499/$P499-1)</f>
        <v/>
      </c>
    </row>
    <row r="500">
      <c r="A500" s="11" t="n"/>
      <c r="B500" s="29" t="n"/>
      <c r="K500" s="30" t="str">
        <f>IF($A500="","",EDATE($A500,12*$E$4))</f>
        <v/>
      </c>
      <c r="L500" s="19" t="str">
        <f>IF($K500="","",IF($K500&gt;MAX($A$8:$A$5007),"",IFERROR(MATCH($K500,$A$8:$A$5007,1),"")))</f>
        <v/>
      </c>
      <c r="M500" s="30" t="str">
        <f>IF($L500="","",INDEX($A$8:$A$5007,$L500))</f>
        <v/>
      </c>
      <c r="N500" s="31" t="str">
        <f>IF($L500="","",INDEX($B$8:$B$5007,$L500))</f>
        <v/>
      </c>
      <c r="O500" s="32" t="str">
        <f>IF($M500="","",IF($K500-$M500&gt;7,"",IF($M500&lt;=$A500,"",IF(OR($B500&lt;=0,$N500&lt;=0),"",($N500/$B500)^(365/($M500-$A500))-1))))</f>
        <v/>
      </c>
      <c r="P500" s="31" t="str">
        <f>IF($B500="","",IF($P499="",$B500,MAX($P499,$B500)))</f>
        <v/>
      </c>
      <c r="Q500" s="32" t="str">
        <f>IF($P500="","",$B500/$P500-1)</f>
        <v/>
      </c>
    </row>
    <row r="501">
      <c r="A501" s="11" t="n"/>
      <c r="B501" s="29" t="n"/>
      <c r="K501" s="30" t="str">
        <f>IF($A501="","",EDATE($A501,12*$E$4))</f>
        <v/>
      </c>
      <c r="L501" s="19" t="str">
        <f>IF($K501="","",IF($K501&gt;MAX($A$8:$A$5007),"",IFERROR(MATCH($K501,$A$8:$A$5007,1),"")))</f>
        <v/>
      </c>
      <c r="M501" s="30" t="str">
        <f>IF($L501="","",INDEX($A$8:$A$5007,$L501))</f>
        <v/>
      </c>
      <c r="N501" s="31" t="str">
        <f>IF($L501="","",INDEX($B$8:$B$5007,$L501))</f>
        <v/>
      </c>
      <c r="O501" s="32" t="str">
        <f>IF($M501="","",IF($K501-$M501&gt;7,"",IF($M501&lt;=$A501,"",IF(OR($B501&lt;=0,$N501&lt;=0),"",($N501/$B501)^(365/($M501-$A501))-1))))</f>
        <v/>
      </c>
      <c r="P501" s="31" t="str">
        <f>IF($B501="","",IF($P500="",$B501,MAX($P500,$B501)))</f>
        <v/>
      </c>
      <c r="Q501" s="32" t="str">
        <f>IF($P501="","",$B501/$P501-1)</f>
        <v/>
      </c>
    </row>
    <row r="502">
      <c r="A502" s="11" t="n"/>
      <c r="B502" s="29" t="n"/>
      <c r="K502" s="30" t="str">
        <f>IF($A502="","",EDATE($A502,12*$E$4))</f>
        <v/>
      </c>
      <c r="L502" s="19" t="str">
        <f>IF($K502="","",IF($K502&gt;MAX($A$8:$A$5007),"",IFERROR(MATCH($K502,$A$8:$A$5007,1),"")))</f>
        <v/>
      </c>
      <c r="M502" s="30" t="str">
        <f>IF($L502="","",INDEX($A$8:$A$5007,$L502))</f>
        <v/>
      </c>
      <c r="N502" s="31" t="str">
        <f>IF($L502="","",INDEX($B$8:$B$5007,$L502))</f>
        <v/>
      </c>
      <c r="O502" s="32" t="str">
        <f>IF($M502="","",IF($K502-$M502&gt;7,"",IF($M502&lt;=$A502,"",IF(OR($B502&lt;=0,$N502&lt;=0),"",($N502/$B502)^(365/($M502-$A502))-1))))</f>
        <v/>
      </c>
      <c r="P502" s="31" t="str">
        <f>IF($B502="","",IF($P501="",$B502,MAX($P501,$B502)))</f>
        <v/>
      </c>
      <c r="Q502" s="32" t="str">
        <f>IF($P502="","",$B502/$P502-1)</f>
        <v/>
      </c>
    </row>
    <row r="503">
      <c r="A503" s="11" t="n"/>
      <c r="B503" s="29" t="n"/>
      <c r="K503" s="30" t="str">
        <f>IF($A503="","",EDATE($A503,12*$E$4))</f>
        <v/>
      </c>
      <c r="L503" s="19" t="str">
        <f>IF($K503="","",IF($K503&gt;MAX($A$8:$A$5007),"",IFERROR(MATCH($K503,$A$8:$A$5007,1),"")))</f>
        <v/>
      </c>
      <c r="M503" s="30" t="str">
        <f>IF($L503="","",INDEX($A$8:$A$5007,$L503))</f>
        <v/>
      </c>
      <c r="N503" s="31" t="str">
        <f>IF($L503="","",INDEX($B$8:$B$5007,$L503))</f>
        <v/>
      </c>
      <c r="O503" s="32" t="str">
        <f>IF($M503="","",IF($K503-$M503&gt;7,"",IF($M503&lt;=$A503,"",IF(OR($B503&lt;=0,$N503&lt;=0),"",($N503/$B503)^(365/($M503-$A503))-1))))</f>
        <v/>
      </c>
      <c r="P503" s="31" t="str">
        <f>IF($B503="","",IF($P502="",$B503,MAX($P502,$B503)))</f>
        <v/>
      </c>
      <c r="Q503" s="32" t="str">
        <f>IF($P503="","",$B503/$P503-1)</f>
        <v/>
      </c>
    </row>
    <row r="504">
      <c r="A504" s="11" t="n"/>
      <c r="B504" s="29" t="n"/>
      <c r="K504" s="30" t="str">
        <f>IF($A504="","",EDATE($A504,12*$E$4))</f>
        <v/>
      </c>
      <c r="L504" s="19" t="str">
        <f>IF($K504="","",IF($K504&gt;MAX($A$8:$A$5007),"",IFERROR(MATCH($K504,$A$8:$A$5007,1),"")))</f>
        <v/>
      </c>
      <c r="M504" s="30" t="str">
        <f>IF($L504="","",INDEX($A$8:$A$5007,$L504))</f>
        <v/>
      </c>
      <c r="N504" s="31" t="str">
        <f>IF($L504="","",INDEX($B$8:$B$5007,$L504))</f>
        <v/>
      </c>
      <c r="O504" s="32" t="str">
        <f>IF($M504="","",IF($K504-$M504&gt;7,"",IF($M504&lt;=$A504,"",IF(OR($B504&lt;=0,$N504&lt;=0),"",($N504/$B504)^(365/($M504-$A504))-1))))</f>
        <v/>
      </c>
      <c r="P504" s="31" t="str">
        <f>IF($B504="","",IF($P503="",$B504,MAX($P503,$B504)))</f>
        <v/>
      </c>
      <c r="Q504" s="32" t="str">
        <f>IF($P504="","",$B504/$P504-1)</f>
        <v/>
      </c>
    </row>
    <row r="505">
      <c r="A505" s="11" t="n"/>
      <c r="B505" s="29" t="n"/>
      <c r="K505" s="30" t="str">
        <f>IF($A505="","",EDATE($A505,12*$E$4))</f>
        <v/>
      </c>
      <c r="L505" s="19" t="str">
        <f>IF($K505="","",IF($K505&gt;MAX($A$8:$A$5007),"",IFERROR(MATCH($K505,$A$8:$A$5007,1),"")))</f>
        <v/>
      </c>
      <c r="M505" s="30" t="str">
        <f>IF($L505="","",INDEX($A$8:$A$5007,$L505))</f>
        <v/>
      </c>
      <c r="N505" s="31" t="str">
        <f>IF($L505="","",INDEX($B$8:$B$5007,$L505))</f>
        <v/>
      </c>
      <c r="O505" s="32" t="str">
        <f>IF($M505="","",IF($K505-$M505&gt;7,"",IF($M505&lt;=$A505,"",IF(OR($B505&lt;=0,$N505&lt;=0),"",($N505/$B505)^(365/($M505-$A505))-1))))</f>
        <v/>
      </c>
      <c r="P505" s="31" t="str">
        <f>IF($B505="","",IF($P504="",$B505,MAX($P504,$B505)))</f>
        <v/>
      </c>
      <c r="Q505" s="32" t="str">
        <f>IF($P505="","",$B505/$P505-1)</f>
        <v/>
      </c>
    </row>
    <row r="506">
      <c r="A506" s="11" t="n"/>
      <c r="B506" s="29" t="n"/>
      <c r="K506" s="30" t="str">
        <f>IF($A506="","",EDATE($A506,12*$E$4))</f>
        <v/>
      </c>
      <c r="L506" s="19" t="str">
        <f>IF($K506="","",IF($K506&gt;MAX($A$8:$A$5007),"",IFERROR(MATCH($K506,$A$8:$A$5007,1),"")))</f>
        <v/>
      </c>
      <c r="M506" s="30" t="str">
        <f>IF($L506="","",INDEX($A$8:$A$5007,$L506))</f>
        <v/>
      </c>
      <c r="N506" s="31" t="str">
        <f>IF($L506="","",INDEX($B$8:$B$5007,$L506))</f>
        <v/>
      </c>
      <c r="O506" s="32" t="str">
        <f>IF($M506="","",IF($K506-$M506&gt;7,"",IF($M506&lt;=$A506,"",IF(OR($B506&lt;=0,$N506&lt;=0),"",($N506/$B506)^(365/($M506-$A506))-1))))</f>
        <v/>
      </c>
      <c r="P506" s="31" t="str">
        <f>IF($B506="","",IF($P505="",$B506,MAX($P505,$B506)))</f>
        <v/>
      </c>
      <c r="Q506" s="32" t="str">
        <f>IF($P506="","",$B506/$P506-1)</f>
        <v/>
      </c>
    </row>
    <row r="507">
      <c r="A507" s="11" t="n"/>
      <c r="B507" s="29" t="n"/>
      <c r="K507" s="30" t="str">
        <f>IF($A507="","",EDATE($A507,12*$E$4))</f>
        <v/>
      </c>
      <c r="L507" s="19" t="str">
        <f>IF($K507="","",IF($K507&gt;MAX($A$8:$A$5007),"",IFERROR(MATCH($K507,$A$8:$A$5007,1),"")))</f>
        <v/>
      </c>
      <c r="M507" s="30" t="str">
        <f>IF($L507="","",INDEX($A$8:$A$5007,$L507))</f>
        <v/>
      </c>
      <c r="N507" s="31" t="str">
        <f>IF($L507="","",INDEX($B$8:$B$5007,$L507))</f>
        <v/>
      </c>
      <c r="O507" s="32" t="str">
        <f>IF($M507="","",IF($K507-$M507&gt;7,"",IF($M507&lt;=$A507,"",IF(OR($B507&lt;=0,$N507&lt;=0),"",($N507/$B507)^(365/($M507-$A507))-1))))</f>
        <v/>
      </c>
      <c r="P507" s="31" t="str">
        <f>IF($B507="","",IF($P506="",$B507,MAX($P506,$B507)))</f>
        <v/>
      </c>
      <c r="Q507" s="32" t="str">
        <f>IF($P507="","",$B507/$P507-1)</f>
        <v/>
      </c>
    </row>
    <row r="508">
      <c r="A508" s="11" t="n"/>
      <c r="B508" s="29" t="n"/>
      <c r="K508" s="30" t="str">
        <f>IF($A508="","",EDATE($A508,12*$E$4))</f>
        <v/>
      </c>
      <c r="L508" s="19" t="str">
        <f>IF($K508="","",IF($K508&gt;MAX($A$8:$A$5007),"",IFERROR(MATCH($K508,$A$8:$A$5007,1),"")))</f>
        <v/>
      </c>
      <c r="M508" s="30" t="str">
        <f>IF($L508="","",INDEX($A$8:$A$5007,$L508))</f>
        <v/>
      </c>
      <c r="N508" s="31" t="str">
        <f>IF($L508="","",INDEX($B$8:$B$5007,$L508))</f>
        <v/>
      </c>
      <c r="O508" s="32" t="str">
        <f>IF($M508="","",IF($K508-$M508&gt;7,"",IF($M508&lt;=$A508,"",IF(OR($B508&lt;=0,$N508&lt;=0),"",($N508/$B508)^(365/($M508-$A508))-1))))</f>
        <v/>
      </c>
      <c r="P508" s="31" t="str">
        <f>IF($B508="","",IF($P507="",$B508,MAX($P507,$B508)))</f>
        <v/>
      </c>
      <c r="Q508" s="32" t="str">
        <f>IF($P508="","",$B508/$P508-1)</f>
        <v/>
      </c>
    </row>
    <row r="509">
      <c r="A509" s="11" t="n"/>
      <c r="B509" s="29" t="n"/>
      <c r="K509" s="30" t="str">
        <f>IF($A509="","",EDATE($A509,12*$E$4))</f>
        <v/>
      </c>
      <c r="L509" s="19" t="str">
        <f>IF($K509="","",IF($K509&gt;MAX($A$8:$A$5007),"",IFERROR(MATCH($K509,$A$8:$A$5007,1),"")))</f>
        <v/>
      </c>
      <c r="M509" s="30" t="str">
        <f>IF($L509="","",INDEX($A$8:$A$5007,$L509))</f>
        <v/>
      </c>
      <c r="N509" s="31" t="str">
        <f>IF($L509="","",INDEX($B$8:$B$5007,$L509))</f>
        <v/>
      </c>
      <c r="O509" s="32" t="str">
        <f>IF($M509="","",IF($K509-$M509&gt;7,"",IF($M509&lt;=$A509,"",IF(OR($B509&lt;=0,$N509&lt;=0),"",($N509/$B509)^(365/($M509-$A509))-1))))</f>
        <v/>
      </c>
      <c r="P509" s="31" t="str">
        <f>IF($B509="","",IF($P508="",$B509,MAX($P508,$B509)))</f>
        <v/>
      </c>
      <c r="Q509" s="32" t="str">
        <f>IF($P509="","",$B509/$P509-1)</f>
        <v/>
      </c>
    </row>
    <row r="510">
      <c r="A510" s="11" t="n"/>
      <c r="B510" s="29" t="n"/>
      <c r="K510" s="30" t="str">
        <f>IF($A510="","",EDATE($A510,12*$E$4))</f>
        <v/>
      </c>
      <c r="L510" s="19" t="str">
        <f>IF($K510="","",IF($K510&gt;MAX($A$8:$A$5007),"",IFERROR(MATCH($K510,$A$8:$A$5007,1),"")))</f>
        <v/>
      </c>
      <c r="M510" s="30" t="str">
        <f>IF($L510="","",INDEX($A$8:$A$5007,$L510))</f>
        <v/>
      </c>
      <c r="N510" s="31" t="str">
        <f>IF($L510="","",INDEX($B$8:$B$5007,$L510))</f>
        <v/>
      </c>
      <c r="O510" s="32" t="str">
        <f>IF($M510="","",IF($K510-$M510&gt;7,"",IF($M510&lt;=$A510,"",IF(OR($B510&lt;=0,$N510&lt;=0),"",($N510/$B510)^(365/($M510-$A510))-1))))</f>
        <v/>
      </c>
      <c r="P510" s="31" t="str">
        <f>IF($B510="","",IF($P509="",$B510,MAX($P509,$B510)))</f>
        <v/>
      </c>
      <c r="Q510" s="32" t="str">
        <f>IF($P510="","",$B510/$P510-1)</f>
        <v/>
      </c>
    </row>
    <row r="511">
      <c r="A511" s="11" t="n"/>
      <c r="B511" s="29" t="n"/>
      <c r="K511" s="30" t="str">
        <f>IF($A511="","",EDATE($A511,12*$E$4))</f>
        <v/>
      </c>
      <c r="L511" s="19" t="str">
        <f>IF($K511="","",IF($K511&gt;MAX($A$8:$A$5007),"",IFERROR(MATCH($K511,$A$8:$A$5007,1),"")))</f>
        <v/>
      </c>
      <c r="M511" s="30" t="str">
        <f>IF($L511="","",INDEX($A$8:$A$5007,$L511))</f>
        <v/>
      </c>
      <c r="N511" s="31" t="str">
        <f>IF($L511="","",INDEX($B$8:$B$5007,$L511))</f>
        <v/>
      </c>
      <c r="O511" s="32" t="str">
        <f>IF($M511="","",IF($K511-$M511&gt;7,"",IF($M511&lt;=$A511,"",IF(OR($B511&lt;=0,$N511&lt;=0),"",($N511/$B511)^(365/($M511-$A511))-1))))</f>
        <v/>
      </c>
      <c r="P511" s="31" t="str">
        <f>IF($B511="","",IF($P510="",$B511,MAX($P510,$B511)))</f>
        <v/>
      </c>
      <c r="Q511" s="32" t="str">
        <f>IF($P511="","",$B511/$P511-1)</f>
        <v/>
      </c>
    </row>
    <row r="512">
      <c r="A512" s="11" t="n"/>
      <c r="B512" s="29" t="n"/>
      <c r="K512" s="30" t="str">
        <f>IF($A512="","",EDATE($A512,12*$E$4))</f>
        <v/>
      </c>
      <c r="L512" s="19" t="str">
        <f>IF($K512="","",IF($K512&gt;MAX($A$8:$A$5007),"",IFERROR(MATCH($K512,$A$8:$A$5007,1),"")))</f>
        <v/>
      </c>
      <c r="M512" s="30" t="str">
        <f>IF($L512="","",INDEX($A$8:$A$5007,$L512))</f>
        <v/>
      </c>
      <c r="N512" s="31" t="str">
        <f>IF($L512="","",INDEX($B$8:$B$5007,$L512))</f>
        <v/>
      </c>
      <c r="O512" s="32" t="str">
        <f>IF($M512="","",IF($K512-$M512&gt;7,"",IF($M512&lt;=$A512,"",IF(OR($B512&lt;=0,$N512&lt;=0),"",($N512/$B512)^(365/($M512-$A512))-1))))</f>
        <v/>
      </c>
      <c r="P512" s="31" t="str">
        <f>IF($B512="","",IF($P511="",$B512,MAX($P511,$B512)))</f>
        <v/>
      </c>
      <c r="Q512" s="32" t="str">
        <f>IF($P512="","",$B512/$P512-1)</f>
        <v/>
      </c>
    </row>
    <row r="513">
      <c r="A513" s="11" t="n"/>
      <c r="B513" s="29" t="n"/>
      <c r="K513" s="30" t="str">
        <f>IF($A513="","",EDATE($A513,12*$E$4))</f>
        <v/>
      </c>
      <c r="L513" s="19" t="str">
        <f>IF($K513="","",IF($K513&gt;MAX($A$8:$A$5007),"",IFERROR(MATCH($K513,$A$8:$A$5007,1),"")))</f>
        <v/>
      </c>
      <c r="M513" s="30" t="str">
        <f>IF($L513="","",INDEX($A$8:$A$5007,$L513))</f>
        <v/>
      </c>
      <c r="N513" s="31" t="str">
        <f>IF($L513="","",INDEX($B$8:$B$5007,$L513))</f>
        <v/>
      </c>
      <c r="O513" s="32" t="str">
        <f>IF($M513="","",IF($K513-$M513&gt;7,"",IF($M513&lt;=$A513,"",IF(OR($B513&lt;=0,$N513&lt;=0),"",($N513/$B513)^(365/($M513-$A513))-1))))</f>
        <v/>
      </c>
      <c r="P513" s="31" t="str">
        <f>IF($B513="","",IF($P512="",$B513,MAX($P512,$B513)))</f>
        <v/>
      </c>
      <c r="Q513" s="32" t="str">
        <f>IF($P513="","",$B513/$P513-1)</f>
        <v/>
      </c>
    </row>
    <row r="514">
      <c r="A514" s="11" t="n"/>
      <c r="B514" s="29" t="n"/>
      <c r="K514" s="30" t="str">
        <f>IF($A514="","",EDATE($A514,12*$E$4))</f>
        <v/>
      </c>
      <c r="L514" s="19" t="str">
        <f>IF($K514="","",IF($K514&gt;MAX($A$8:$A$5007),"",IFERROR(MATCH($K514,$A$8:$A$5007,1),"")))</f>
        <v/>
      </c>
      <c r="M514" s="30" t="str">
        <f>IF($L514="","",INDEX($A$8:$A$5007,$L514))</f>
        <v/>
      </c>
      <c r="N514" s="31" t="str">
        <f>IF($L514="","",INDEX($B$8:$B$5007,$L514))</f>
        <v/>
      </c>
      <c r="O514" s="32" t="str">
        <f>IF($M514="","",IF($K514-$M514&gt;7,"",IF($M514&lt;=$A514,"",IF(OR($B514&lt;=0,$N514&lt;=0),"",($N514/$B514)^(365/($M514-$A514))-1))))</f>
        <v/>
      </c>
      <c r="P514" s="31" t="str">
        <f>IF($B514="","",IF($P513="",$B514,MAX($P513,$B514)))</f>
        <v/>
      </c>
      <c r="Q514" s="32" t="str">
        <f>IF($P514="","",$B514/$P514-1)</f>
        <v/>
      </c>
    </row>
    <row r="515">
      <c r="A515" s="11" t="n"/>
      <c r="B515" s="29" t="n"/>
      <c r="K515" s="30" t="str">
        <f>IF($A515="","",EDATE($A515,12*$E$4))</f>
        <v/>
      </c>
      <c r="L515" s="19" t="str">
        <f>IF($K515="","",IF($K515&gt;MAX($A$8:$A$5007),"",IFERROR(MATCH($K515,$A$8:$A$5007,1),"")))</f>
        <v/>
      </c>
      <c r="M515" s="30" t="str">
        <f>IF($L515="","",INDEX($A$8:$A$5007,$L515))</f>
        <v/>
      </c>
      <c r="N515" s="31" t="str">
        <f>IF($L515="","",INDEX($B$8:$B$5007,$L515))</f>
        <v/>
      </c>
      <c r="O515" s="32" t="str">
        <f>IF($M515="","",IF($K515-$M515&gt;7,"",IF($M515&lt;=$A515,"",IF(OR($B515&lt;=0,$N515&lt;=0),"",($N515/$B515)^(365/($M515-$A515))-1))))</f>
        <v/>
      </c>
      <c r="P515" s="31" t="str">
        <f>IF($B515="","",IF($P514="",$B515,MAX($P514,$B515)))</f>
        <v/>
      </c>
      <c r="Q515" s="32" t="str">
        <f>IF($P515="","",$B515/$P515-1)</f>
        <v/>
      </c>
    </row>
    <row r="516">
      <c r="A516" s="11" t="n"/>
      <c r="B516" s="29" t="n"/>
      <c r="K516" s="30" t="str">
        <f>IF($A516="","",EDATE($A516,12*$E$4))</f>
        <v/>
      </c>
      <c r="L516" s="19" t="str">
        <f>IF($K516="","",IF($K516&gt;MAX($A$8:$A$5007),"",IFERROR(MATCH($K516,$A$8:$A$5007,1),"")))</f>
        <v/>
      </c>
      <c r="M516" s="30" t="str">
        <f>IF($L516="","",INDEX($A$8:$A$5007,$L516))</f>
        <v/>
      </c>
      <c r="N516" s="31" t="str">
        <f>IF($L516="","",INDEX($B$8:$B$5007,$L516))</f>
        <v/>
      </c>
      <c r="O516" s="32" t="str">
        <f>IF($M516="","",IF($K516-$M516&gt;7,"",IF($M516&lt;=$A516,"",IF(OR($B516&lt;=0,$N516&lt;=0),"",($N516/$B516)^(365/($M516-$A516))-1))))</f>
        <v/>
      </c>
      <c r="P516" s="31" t="str">
        <f>IF($B516="","",IF($P515="",$B516,MAX($P515,$B516)))</f>
        <v/>
      </c>
      <c r="Q516" s="32" t="str">
        <f>IF($P516="","",$B516/$P516-1)</f>
        <v/>
      </c>
    </row>
    <row r="517">
      <c r="A517" s="11" t="n"/>
      <c r="B517" s="29" t="n"/>
      <c r="K517" s="30" t="str">
        <f>IF($A517="","",EDATE($A517,12*$E$4))</f>
        <v/>
      </c>
      <c r="L517" s="19" t="str">
        <f>IF($K517="","",IF($K517&gt;MAX($A$8:$A$5007),"",IFERROR(MATCH($K517,$A$8:$A$5007,1),"")))</f>
        <v/>
      </c>
      <c r="M517" s="30" t="str">
        <f>IF($L517="","",INDEX($A$8:$A$5007,$L517))</f>
        <v/>
      </c>
      <c r="N517" s="31" t="str">
        <f>IF($L517="","",INDEX($B$8:$B$5007,$L517))</f>
        <v/>
      </c>
      <c r="O517" s="32" t="str">
        <f>IF($M517="","",IF($K517-$M517&gt;7,"",IF($M517&lt;=$A517,"",IF(OR($B517&lt;=0,$N517&lt;=0),"",($N517/$B517)^(365/($M517-$A517))-1))))</f>
        <v/>
      </c>
      <c r="P517" s="31" t="str">
        <f>IF($B517="","",IF($P516="",$B517,MAX($P516,$B517)))</f>
        <v/>
      </c>
      <c r="Q517" s="32" t="str">
        <f>IF($P517="","",$B517/$P517-1)</f>
        <v/>
      </c>
    </row>
    <row r="518">
      <c r="A518" s="11" t="n"/>
      <c r="B518" s="29" t="n"/>
      <c r="K518" s="30" t="str">
        <f>IF($A518="","",EDATE($A518,12*$E$4))</f>
        <v/>
      </c>
      <c r="L518" s="19" t="str">
        <f>IF($K518="","",IF($K518&gt;MAX($A$8:$A$5007),"",IFERROR(MATCH($K518,$A$8:$A$5007,1),"")))</f>
        <v/>
      </c>
      <c r="M518" s="30" t="str">
        <f>IF($L518="","",INDEX($A$8:$A$5007,$L518))</f>
        <v/>
      </c>
      <c r="N518" s="31" t="str">
        <f>IF($L518="","",INDEX($B$8:$B$5007,$L518))</f>
        <v/>
      </c>
      <c r="O518" s="32" t="str">
        <f>IF($M518="","",IF($K518-$M518&gt;7,"",IF($M518&lt;=$A518,"",IF(OR($B518&lt;=0,$N518&lt;=0),"",($N518/$B518)^(365/($M518-$A518))-1))))</f>
        <v/>
      </c>
      <c r="P518" s="31" t="str">
        <f>IF($B518="","",IF($P517="",$B518,MAX($P517,$B518)))</f>
        <v/>
      </c>
      <c r="Q518" s="32" t="str">
        <f>IF($P518="","",$B518/$P518-1)</f>
        <v/>
      </c>
    </row>
    <row r="519">
      <c r="A519" s="11" t="n"/>
      <c r="B519" s="29" t="n"/>
      <c r="K519" s="30" t="str">
        <f>IF($A519="","",EDATE($A519,12*$E$4))</f>
        <v/>
      </c>
      <c r="L519" s="19" t="str">
        <f>IF($K519="","",IF($K519&gt;MAX($A$8:$A$5007),"",IFERROR(MATCH($K519,$A$8:$A$5007,1),"")))</f>
        <v/>
      </c>
      <c r="M519" s="30" t="str">
        <f>IF($L519="","",INDEX($A$8:$A$5007,$L519))</f>
        <v/>
      </c>
      <c r="N519" s="31" t="str">
        <f>IF($L519="","",INDEX($B$8:$B$5007,$L519))</f>
        <v/>
      </c>
      <c r="O519" s="32" t="str">
        <f>IF($M519="","",IF($K519-$M519&gt;7,"",IF($M519&lt;=$A519,"",IF(OR($B519&lt;=0,$N519&lt;=0),"",($N519/$B519)^(365/($M519-$A519))-1))))</f>
        <v/>
      </c>
      <c r="P519" s="31" t="str">
        <f>IF($B519="","",IF($P518="",$B519,MAX($P518,$B519)))</f>
        <v/>
      </c>
      <c r="Q519" s="32" t="str">
        <f>IF($P519="","",$B519/$P519-1)</f>
        <v/>
      </c>
    </row>
    <row r="520">
      <c r="A520" s="11" t="n"/>
      <c r="B520" s="29" t="n"/>
      <c r="K520" s="30" t="str">
        <f>IF($A520="","",EDATE($A520,12*$E$4))</f>
        <v/>
      </c>
      <c r="L520" s="19" t="str">
        <f>IF($K520="","",IF($K520&gt;MAX($A$8:$A$5007),"",IFERROR(MATCH($K520,$A$8:$A$5007,1),"")))</f>
        <v/>
      </c>
      <c r="M520" s="30" t="str">
        <f>IF($L520="","",INDEX($A$8:$A$5007,$L520))</f>
        <v/>
      </c>
      <c r="N520" s="31" t="str">
        <f>IF($L520="","",INDEX($B$8:$B$5007,$L520))</f>
        <v/>
      </c>
      <c r="O520" s="32" t="str">
        <f>IF($M520="","",IF($K520-$M520&gt;7,"",IF($M520&lt;=$A520,"",IF(OR($B520&lt;=0,$N520&lt;=0),"",($N520/$B520)^(365/($M520-$A520))-1))))</f>
        <v/>
      </c>
      <c r="P520" s="31" t="str">
        <f>IF($B520="","",IF($P519="",$B520,MAX($P519,$B520)))</f>
        <v/>
      </c>
      <c r="Q520" s="32" t="str">
        <f>IF($P520="","",$B520/$P520-1)</f>
        <v/>
      </c>
    </row>
    <row r="521">
      <c r="A521" s="11" t="n"/>
      <c r="B521" s="29" t="n"/>
      <c r="K521" s="30" t="str">
        <f>IF($A521="","",EDATE($A521,12*$E$4))</f>
        <v/>
      </c>
      <c r="L521" s="19" t="str">
        <f>IF($K521="","",IF($K521&gt;MAX($A$8:$A$5007),"",IFERROR(MATCH($K521,$A$8:$A$5007,1),"")))</f>
        <v/>
      </c>
      <c r="M521" s="30" t="str">
        <f>IF($L521="","",INDEX($A$8:$A$5007,$L521))</f>
        <v/>
      </c>
      <c r="N521" s="31" t="str">
        <f>IF($L521="","",INDEX($B$8:$B$5007,$L521))</f>
        <v/>
      </c>
      <c r="O521" s="32" t="str">
        <f>IF($M521="","",IF($K521-$M521&gt;7,"",IF($M521&lt;=$A521,"",IF(OR($B521&lt;=0,$N521&lt;=0),"",($N521/$B521)^(365/($M521-$A521))-1))))</f>
        <v/>
      </c>
      <c r="P521" s="31" t="str">
        <f>IF($B521="","",IF($P520="",$B521,MAX($P520,$B521)))</f>
        <v/>
      </c>
      <c r="Q521" s="32" t="str">
        <f>IF($P521="","",$B521/$P521-1)</f>
        <v/>
      </c>
    </row>
    <row r="522">
      <c r="A522" s="11" t="n"/>
      <c r="B522" s="29" t="n"/>
      <c r="K522" s="30" t="str">
        <f>IF($A522="","",EDATE($A522,12*$E$4))</f>
        <v/>
      </c>
      <c r="L522" s="19" t="str">
        <f>IF($K522="","",IF($K522&gt;MAX($A$8:$A$5007),"",IFERROR(MATCH($K522,$A$8:$A$5007,1),"")))</f>
        <v/>
      </c>
      <c r="M522" s="30" t="str">
        <f>IF($L522="","",INDEX($A$8:$A$5007,$L522))</f>
        <v/>
      </c>
      <c r="N522" s="31" t="str">
        <f>IF($L522="","",INDEX($B$8:$B$5007,$L522))</f>
        <v/>
      </c>
      <c r="O522" s="32" t="str">
        <f>IF($M522="","",IF($K522-$M522&gt;7,"",IF($M522&lt;=$A522,"",IF(OR($B522&lt;=0,$N522&lt;=0),"",($N522/$B522)^(365/($M522-$A522))-1))))</f>
        <v/>
      </c>
      <c r="P522" s="31" t="str">
        <f>IF($B522="","",IF($P521="",$B522,MAX($P521,$B522)))</f>
        <v/>
      </c>
      <c r="Q522" s="32" t="str">
        <f>IF($P522="","",$B522/$P522-1)</f>
        <v/>
      </c>
    </row>
    <row r="523">
      <c r="A523" s="11" t="n"/>
      <c r="B523" s="29" t="n"/>
      <c r="K523" s="30" t="str">
        <f>IF($A523="","",EDATE($A523,12*$E$4))</f>
        <v/>
      </c>
      <c r="L523" s="19" t="str">
        <f>IF($K523="","",IF($K523&gt;MAX($A$8:$A$5007),"",IFERROR(MATCH($K523,$A$8:$A$5007,1),"")))</f>
        <v/>
      </c>
      <c r="M523" s="30" t="str">
        <f>IF($L523="","",INDEX($A$8:$A$5007,$L523))</f>
        <v/>
      </c>
      <c r="N523" s="31" t="str">
        <f>IF($L523="","",INDEX($B$8:$B$5007,$L523))</f>
        <v/>
      </c>
      <c r="O523" s="32" t="str">
        <f>IF($M523="","",IF($K523-$M523&gt;7,"",IF($M523&lt;=$A523,"",IF(OR($B523&lt;=0,$N523&lt;=0),"",($N523/$B523)^(365/($M523-$A523))-1))))</f>
        <v/>
      </c>
      <c r="P523" s="31" t="str">
        <f>IF($B523="","",IF($P522="",$B523,MAX($P522,$B523)))</f>
        <v/>
      </c>
      <c r="Q523" s="32" t="str">
        <f>IF($P523="","",$B523/$P523-1)</f>
        <v/>
      </c>
    </row>
    <row r="524">
      <c r="A524" s="11" t="n"/>
      <c r="B524" s="29" t="n"/>
      <c r="K524" s="30" t="str">
        <f>IF($A524="","",EDATE($A524,12*$E$4))</f>
        <v/>
      </c>
      <c r="L524" s="19" t="str">
        <f>IF($K524="","",IF($K524&gt;MAX($A$8:$A$5007),"",IFERROR(MATCH($K524,$A$8:$A$5007,1),"")))</f>
        <v/>
      </c>
      <c r="M524" s="30" t="str">
        <f>IF($L524="","",INDEX($A$8:$A$5007,$L524))</f>
        <v/>
      </c>
      <c r="N524" s="31" t="str">
        <f>IF($L524="","",INDEX($B$8:$B$5007,$L524))</f>
        <v/>
      </c>
      <c r="O524" s="32" t="str">
        <f>IF($M524="","",IF($K524-$M524&gt;7,"",IF($M524&lt;=$A524,"",IF(OR($B524&lt;=0,$N524&lt;=0),"",($N524/$B524)^(365/($M524-$A524))-1))))</f>
        <v/>
      </c>
      <c r="P524" s="31" t="str">
        <f>IF($B524="","",IF($P523="",$B524,MAX($P523,$B524)))</f>
        <v/>
      </c>
      <c r="Q524" s="32" t="str">
        <f>IF($P524="","",$B524/$P524-1)</f>
        <v/>
      </c>
    </row>
    <row r="525">
      <c r="A525" s="11" t="n"/>
      <c r="B525" s="29" t="n"/>
      <c r="K525" s="30" t="str">
        <f>IF($A525="","",EDATE($A525,12*$E$4))</f>
        <v/>
      </c>
      <c r="L525" s="19" t="str">
        <f>IF($K525="","",IF($K525&gt;MAX($A$8:$A$5007),"",IFERROR(MATCH($K525,$A$8:$A$5007,1),"")))</f>
        <v/>
      </c>
      <c r="M525" s="30" t="str">
        <f>IF($L525="","",INDEX($A$8:$A$5007,$L525))</f>
        <v/>
      </c>
      <c r="N525" s="31" t="str">
        <f>IF($L525="","",INDEX($B$8:$B$5007,$L525))</f>
        <v/>
      </c>
      <c r="O525" s="32" t="str">
        <f>IF($M525="","",IF($K525-$M525&gt;7,"",IF($M525&lt;=$A525,"",IF(OR($B525&lt;=0,$N525&lt;=0),"",($N525/$B525)^(365/($M525-$A525))-1))))</f>
        <v/>
      </c>
      <c r="P525" s="31" t="str">
        <f>IF($B525="","",IF($P524="",$B525,MAX($P524,$B525)))</f>
        <v/>
      </c>
      <c r="Q525" s="32" t="str">
        <f>IF($P525="","",$B525/$P525-1)</f>
        <v/>
      </c>
    </row>
    <row r="526">
      <c r="A526" s="11" t="n"/>
      <c r="B526" s="29" t="n"/>
      <c r="K526" s="30" t="str">
        <f>IF($A526="","",EDATE($A526,12*$E$4))</f>
        <v/>
      </c>
      <c r="L526" s="19" t="str">
        <f>IF($K526="","",IF($K526&gt;MAX($A$8:$A$5007),"",IFERROR(MATCH($K526,$A$8:$A$5007,1),"")))</f>
        <v/>
      </c>
      <c r="M526" s="30" t="str">
        <f>IF($L526="","",INDEX($A$8:$A$5007,$L526))</f>
        <v/>
      </c>
      <c r="N526" s="31" t="str">
        <f>IF($L526="","",INDEX($B$8:$B$5007,$L526))</f>
        <v/>
      </c>
      <c r="O526" s="32" t="str">
        <f>IF($M526="","",IF($K526-$M526&gt;7,"",IF($M526&lt;=$A526,"",IF(OR($B526&lt;=0,$N526&lt;=0),"",($N526/$B526)^(365/($M526-$A526))-1))))</f>
        <v/>
      </c>
      <c r="P526" s="31" t="str">
        <f>IF($B526="","",IF($P525="",$B526,MAX($P525,$B526)))</f>
        <v/>
      </c>
      <c r="Q526" s="32" t="str">
        <f>IF($P526="","",$B526/$P526-1)</f>
        <v/>
      </c>
    </row>
    <row r="527">
      <c r="A527" s="11" t="n"/>
      <c r="B527" s="29" t="n"/>
      <c r="K527" s="30" t="str">
        <f>IF($A527="","",EDATE($A527,12*$E$4))</f>
        <v/>
      </c>
      <c r="L527" s="19" t="str">
        <f>IF($K527="","",IF($K527&gt;MAX($A$8:$A$5007),"",IFERROR(MATCH($K527,$A$8:$A$5007,1),"")))</f>
        <v/>
      </c>
      <c r="M527" s="30" t="str">
        <f>IF($L527="","",INDEX($A$8:$A$5007,$L527))</f>
        <v/>
      </c>
      <c r="N527" s="31" t="str">
        <f>IF($L527="","",INDEX($B$8:$B$5007,$L527))</f>
        <v/>
      </c>
      <c r="O527" s="32" t="str">
        <f>IF($M527="","",IF($K527-$M527&gt;7,"",IF($M527&lt;=$A527,"",IF(OR($B527&lt;=0,$N527&lt;=0),"",($N527/$B527)^(365/($M527-$A527))-1))))</f>
        <v/>
      </c>
      <c r="P527" s="31" t="str">
        <f>IF($B527="","",IF($P526="",$B527,MAX($P526,$B527)))</f>
        <v/>
      </c>
      <c r="Q527" s="32" t="str">
        <f>IF($P527="","",$B527/$P527-1)</f>
        <v/>
      </c>
    </row>
    <row r="528">
      <c r="A528" s="11" t="n"/>
      <c r="B528" s="29" t="n"/>
      <c r="K528" s="30" t="str">
        <f>IF($A528="","",EDATE($A528,12*$E$4))</f>
        <v/>
      </c>
      <c r="L528" s="19" t="str">
        <f>IF($K528="","",IF($K528&gt;MAX($A$8:$A$5007),"",IFERROR(MATCH($K528,$A$8:$A$5007,1),"")))</f>
        <v/>
      </c>
      <c r="M528" s="30" t="str">
        <f>IF($L528="","",INDEX($A$8:$A$5007,$L528))</f>
        <v/>
      </c>
      <c r="N528" s="31" t="str">
        <f>IF($L528="","",INDEX($B$8:$B$5007,$L528))</f>
        <v/>
      </c>
      <c r="O528" s="32" t="str">
        <f>IF($M528="","",IF($K528-$M528&gt;7,"",IF($M528&lt;=$A528,"",IF(OR($B528&lt;=0,$N528&lt;=0),"",($N528/$B528)^(365/($M528-$A528))-1))))</f>
        <v/>
      </c>
      <c r="P528" s="31" t="str">
        <f>IF($B528="","",IF($P527="",$B528,MAX($P527,$B528)))</f>
        <v/>
      </c>
      <c r="Q528" s="32" t="str">
        <f>IF($P528="","",$B528/$P528-1)</f>
        <v/>
      </c>
    </row>
    <row r="529">
      <c r="A529" s="11" t="n"/>
      <c r="B529" s="29" t="n"/>
      <c r="K529" s="30" t="str">
        <f>IF($A529="","",EDATE($A529,12*$E$4))</f>
        <v/>
      </c>
      <c r="L529" s="19" t="str">
        <f>IF($K529="","",IF($K529&gt;MAX($A$8:$A$5007),"",IFERROR(MATCH($K529,$A$8:$A$5007,1),"")))</f>
        <v/>
      </c>
      <c r="M529" s="30" t="str">
        <f>IF($L529="","",INDEX($A$8:$A$5007,$L529))</f>
        <v/>
      </c>
      <c r="N529" s="31" t="str">
        <f>IF($L529="","",INDEX($B$8:$B$5007,$L529))</f>
        <v/>
      </c>
      <c r="O529" s="32" t="str">
        <f>IF($M529="","",IF($K529-$M529&gt;7,"",IF($M529&lt;=$A529,"",IF(OR($B529&lt;=0,$N529&lt;=0),"",($N529/$B529)^(365/($M529-$A529))-1))))</f>
        <v/>
      </c>
      <c r="P529" s="31" t="str">
        <f>IF($B529="","",IF($P528="",$B529,MAX($P528,$B529)))</f>
        <v/>
      </c>
      <c r="Q529" s="32" t="str">
        <f>IF($P529="","",$B529/$P529-1)</f>
        <v/>
      </c>
    </row>
    <row r="530">
      <c r="A530" s="11" t="n"/>
      <c r="B530" s="29" t="n"/>
      <c r="K530" s="30" t="str">
        <f>IF($A530="","",EDATE($A530,12*$E$4))</f>
        <v/>
      </c>
      <c r="L530" s="19" t="str">
        <f>IF($K530="","",IF($K530&gt;MAX($A$8:$A$5007),"",IFERROR(MATCH($K530,$A$8:$A$5007,1),"")))</f>
        <v/>
      </c>
      <c r="M530" s="30" t="str">
        <f>IF($L530="","",INDEX($A$8:$A$5007,$L530))</f>
        <v/>
      </c>
      <c r="N530" s="31" t="str">
        <f>IF($L530="","",INDEX($B$8:$B$5007,$L530))</f>
        <v/>
      </c>
      <c r="O530" s="32" t="str">
        <f>IF($M530="","",IF($K530-$M530&gt;7,"",IF($M530&lt;=$A530,"",IF(OR($B530&lt;=0,$N530&lt;=0),"",($N530/$B530)^(365/($M530-$A530))-1))))</f>
        <v/>
      </c>
      <c r="P530" s="31" t="str">
        <f>IF($B530="","",IF($P529="",$B530,MAX($P529,$B530)))</f>
        <v/>
      </c>
      <c r="Q530" s="32" t="str">
        <f>IF($P530="","",$B530/$P530-1)</f>
        <v/>
      </c>
    </row>
    <row r="531">
      <c r="A531" s="11" t="n"/>
      <c r="B531" s="29" t="n"/>
      <c r="K531" s="30" t="str">
        <f>IF($A531="","",EDATE($A531,12*$E$4))</f>
        <v/>
      </c>
      <c r="L531" s="19" t="str">
        <f>IF($K531="","",IF($K531&gt;MAX($A$8:$A$5007),"",IFERROR(MATCH($K531,$A$8:$A$5007,1),"")))</f>
        <v/>
      </c>
      <c r="M531" s="30" t="str">
        <f>IF($L531="","",INDEX($A$8:$A$5007,$L531))</f>
        <v/>
      </c>
      <c r="N531" s="31" t="str">
        <f>IF($L531="","",INDEX($B$8:$B$5007,$L531))</f>
        <v/>
      </c>
      <c r="O531" s="32" t="str">
        <f>IF($M531="","",IF($K531-$M531&gt;7,"",IF($M531&lt;=$A531,"",IF(OR($B531&lt;=0,$N531&lt;=0),"",($N531/$B531)^(365/($M531-$A531))-1))))</f>
        <v/>
      </c>
      <c r="P531" s="31" t="str">
        <f>IF($B531="","",IF($P530="",$B531,MAX($P530,$B531)))</f>
        <v/>
      </c>
      <c r="Q531" s="32" t="str">
        <f>IF($P531="","",$B531/$P531-1)</f>
        <v/>
      </c>
    </row>
    <row r="532">
      <c r="A532" s="11" t="n"/>
      <c r="B532" s="29" t="n"/>
      <c r="K532" s="30" t="str">
        <f>IF($A532="","",EDATE($A532,12*$E$4))</f>
        <v/>
      </c>
      <c r="L532" s="19" t="str">
        <f>IF($K532="","",IF($K532&gt;MAX($A$8:$A$5007),"",IFERROR(MATCH($K532,$A$8:$A$5007,1),"")))</f>
        <v/>
      </c>
      <c r="M532" s="30" t="str">
        <f>IF($L532="","",INDEX($A$8:$A$5007,$L532))</f>
        <v/>
      </c>
      <c r="N532" s="31" t="str">
        <f>IF($L532="","",INDEX($B$8:$B$5007,$L532))</f>
        <v/>
      </c>
      <c r="O532" s="32" t="str">
        <f>IF($M532="","",IF($K532-$M532&gt;7,"",IF($M532&lt;=$A532,"",IF(OR($B532&lt;=0,$N532&lt;=0),"",($N532/$B532)^(365/($M532-$A532))-1))))</f>
        <v/>
      </c>
      <c r="P532" s="31" t="str">
        <f>IF($B532="","",IF($P531="",$B532,MAX($P531,$B532)))</f>
        <v/>
      </c>
      <c r="Q532" s="32" t="str">
        <f>IF($P532="","",$B532/$P532-1)</f>
        <v/>
      </c>
    </row>
    <row r="533">
      <c r="A533" s="11" t="n"/>
      <c r="B533" s="29" t="n"/>
      <c r="K533" s="30" t="str">
        <f>IF($A533="","",EDATE($A533,12*$E$4))</f>
        <v/>
      </c>
      <c r="L533" s="19" t="str">
        <f>IF($K533="","",IF($K533&gt;MAX($A$8:$A$5007),"",IFERROR(MATCH($K533,$A$8:$A$5007,1),"")))</f>
        <v/>
      </c>
      <c r="M533" s="30" t="str">
        <f>IF($L533="","",INDEX($A$8:$A$5007,$L533))</f>
        <v/>
      </c>
      <c r="N533" s="31" t="str">
        <f>IF($L533="","",INDEX($B$8:$B$5007,$L533))</f>
        <v/>
      </c>
      <c r="O533" s="32" t="str">
        <f>IF($M533="","",IF($K533-$M533&gt;7,"",IF($M533&lt;=$A533,"",IF(OR($B533&lt;=0,$N533&lt;=0),"",($N533/$B533)^(365/($M533-$A533))-1))))</f>
        <v/>
      </c>
      <c r="P533" s="31" t="str">
        <f>IF($B533="","",IF($P532="",$B533,MAX($P532,$B533)))</f>
        <v/>
      </c>
      <c r="Q533" s="32" t="str">
        <f>IF($P533="","",$B533/$P533-1)</f>
        <v/>
      </c>
    </row>
    <row r="534">
      <c r="A534" s="11" t="n"/>
      <c r="B534" s="29" t="n"/>
      <c r="K534" s="30" t="str">
        <f>IF($A534="","",EDATE($A534,12*$E$4))</f>
        <v/>
      </c>
      <c r="L534" s="19" t="str">
        <f>IF($K534="","",IF($K534&gt;MAX($A$8:$A$5007),"",IFERROR(MATCH($K534,$A$8:$A$5007,1),"")))</f>
        <v/>
      </c>
      <c r="M534" s="30" t="str">
        <f>IF($L534="","",INDEX($A$8:$A$5007,$L534))</f>
        <v/>
      </c>
      <c r="N534" s="31" t="str">
        <f>IF($L534="","",INDEX($B$8:$B$5007,$L534))</f>
        <v/>
      </c>
      <c r="O534" s="32" t="str">
        <f>IF($M534="","",IF($K534-$M534&gt;7,"",IF($M534&lt;=$A534,"",IF(OR($B534&lt;=0,$N534&lt;=0),"",($N534/$B534)^(365/($M534-$A534))-1))))</f>
        <v/>
      </c>
      <c r="P534" s="31" t="str">
        <f>IF($B534="","",IF($P533="",$B534,MAX($P533,$B534)))</f>
        <v/>
      </c>
      <c r="Q534" s="32" t="str">
        <f>IF($P534="","",$B534/$P534-1)</f>
        <v/>
      </c>
    </row>
    <row r="535">
      <c r="A535" s="11" t="n"/>
      <c r="B535" s="29" t="n"/>
      <c r="K535" s="30" t="str">
        <f>IF($A535="","",EDATE($A535,12*$E$4))</f>
        <v/>
      </c>
      <c r="L535" s="19" t="str">
        <f>IF($K535="","",IF($K535&gt;MAX($A$8:$A$5007),"",IFERROR(MATCH($K535,$A$8:$A$5007,1),"")))</f>
        <v/>
      </c>
      <c r="M535" s="30" t="str">
        <f>IF($L535="","",INDEX($A$8:$A$5007,$L535))</f>
        <v/>
      </c>
      <c r="N535" s="31" t="str">
        <f>IF($L535="","",INDEX($B$8:$B$5007,$L535))</f>
        <v/>
      </c>
      <c r="O535" s="32" t="str">
        <f>IF($M535="","",IF($K535-$M535&gt;7,"",IF($M535&lt;=$A535,"",IF(OR($B535&lt;=0,$N535&lt;=0),"",($N535/$B535)^(365/($M535-$A535))-1))))</f>
        <v/>
      </c>
      <c r="P535" s="31" t="str">
        <f>IF($B535="","",IF($P534="",$B535,MAX($P534,$B535)))</f>
        <v/>
      </c>
      <c r="Q535" s="32" t="str">
        <f>IF($P535="","",$B535/$P535-1)</f>
        <v/>
      </c>
    </row>
    <row r="536">
      <c r="A536" s="11" t="n"/>
      <c r="B536" s="29" t="n"/>
      <c r="K536" s="30" t="str">
        <f>IF($A536="","",EDATE($A536,12*$E$4))</f>
        <v/>
      </c>
      <c r="L536" s="19" t="str">
        <f>IF($K536="","",IF($K536&gt;MAX($A$8:$A$5007),"",IFERROR(MATCH($K536,$A$8:$A$5007,1),"")))</f>
        <v/>
      </c>
      <c r="M536" s="30" t="str">
        <f>IF($L536="","",INDEX($A$8:$A$5007,$L536))</f>
        <v/>
      </c>
      <c r="N536" s="31" t="str">
        <f>IF($L536="","",INDEX($B$8:$B$5007,$L536))</f>
        <v/>
      </c>
      <c r="O536" s="32" t="str">
        <f>IF($M536="","",IF($K536-$M536&gt;7,"",IF($M536&lt;=$A536,"",IF(OR($B536&lt;=0,$N536&lt;=0),"",($N536/$B536)^(365/($M536-$A536))-1))))</f>
        <v/>
      </c>
      <c r="P536" s="31" t="str">
        <f>IF($B536="","",IF($P535="",$B536,MAX($P535,$B536)))</f>
        <v/>
      </c>
      <c r="Q536" s="32" t="str">
        <f>IF($P536="","",$B536/$P536-1)</f>
        <v/>
      </c>
    </row>
    <row r="537">
      <c r="A537" s="11" t="n"/>
      <c r="B537" s="29" t="n"/>
      <c r="K537" s="30" t="str">
        <f>IF($A537="","",EDATE($A537,12*$E$4))</f>
        <v/>
      </c>
      <c r="L537" s="19" t="str">
        <f>IF($K537="","",IF($K537&gt;MAX($A$8:$A$5007),"",IFERROR(MATCH($K537,$A$8:$A$5007,1),"")))</f>
        <v/>
      </c>
      <c r="M537" s="30" t="str">
        <f>IF($L537="","",INDEX($A$8:$A$5007,$L537))</f>
        <v/>
      </c>
      <c r="N537" s="31" t="str">
        <f>IF($L537="","",INDEX($B$8:$B$5007,$L537))</f>
        <v/>
      </c>
      <c r="O537" s="32" t="str">
        <f>IF($M537="","",IF($K537-$M537&gt;7,"",IF($M537&lt;=$A537,"",IF(OR($B537&lt;=0,$N537&lt;=0),"",($N537/$B537)^(365/($M537-$A537))-1))))</f>
        <v/>
      </c>
      <c r="P537" s="31" t="str">
        <f>IF($B537="","",IF($P536="",$B537,MAX($P536,$B537)))</f>
        <v/>
      </c>
      <c r="Q537" s="32" t="str">
        <f>IF($P537="","",$B537/$P537-1)</f>
        <v/>
      </c>
    </row>
    <row r="538">
      <c r="A538" s="11" t="n"/>
      <c r="B538" s="29" t="n"/>
      <c r="K538" s="30" t="str">
        <f>IF($A538="","",EDATE($A538,12*$E$4))</f>
        <v/>
      </c>
      <c r="L538" s="19" t="str">
        <f>IF($K538="","",IF($K538&gt;MAX($A$8:$A$5007),"",IFERROR(MATCH($K538,$A$8:$A$5007,1),"")))</f>
        <v/>
      </c>
      <c r="M538" s="30" t="str">
        <f>IF($L538="","",INDEX($A$8:$A$5007,$L538))</f>
        <v/>
      </c>
      <c r="N538" s="31" t="str">
        <f>IF($L538="","",INDEX($B$8:$B$5007,$L538))</f>
        <v/>
      </c>
      <c r="O538" s="32" t="str">
        <f>IF($M538="","",IF($K538-$M538&gt;7,"",IF($M538&lt;=$A538,"",IF(OR($B538&lt;=0,$N538&lt;=0),"",($N538/$B538)^(365/($M538-$A538))-1))))</f>
        <v/>
      </c>
      <c r="P538" s="31" t="str">
        <f>IF($B538="","",IF($P537="",$B538,MAX($P537,$B538)))</f>
        <v/>
      </c>
      <c r="Q538" s="32" t="str">
        <f>IF($P538="","",$B538/$P538-1)</f>
        <v/>
      </c>
    </row>
    <row r="539">
      <c r="A539" s="11" t="n"/>
      <c r="B539" s="29" t="n"/>
      <c r="K539" s="30" t="str">
        <f>IF($A539="","",EDATE($A539,12*$E$4))</f>
        <v/>
      </c>
      <c r="L539" s="19" t="str">
        <f>IF($K539="","",IF($K539&gt;MAX($A$8:$A$5007),"",IFERROR(MATCH($K539,$A$8:$A$5007,1),"")))</f>
        <v/>
      </c>
      <c r="M539" s="30" t="str">
        <f>IF($L539="","",INDEX($A$8:$A$5007,$L539))</f>
        <v/>
      </c>
      <c r="N539" s="31" t="str">
        <f>IF($L539="","",INDEX($B$8:$B$5007,$L539))</f>
        <v/>
      </c>
      <c r="O539" s="32" t="str">
        <f>IF($M539="","",IF($K539-$M539&gt;7,"",IF($M539&lt;=$A539,"",IF(OR($B539&lt;=0,$N539&lt;=0),"",($N539/$B539)^(365/($M539-$A539))-1))))</f>
        <v/>
      </c>
      <c r="P539" s="31" t="str">
        <f>IF($B539="","",IF($P538="",$B539,MAX($P538,$B539)))</f>
        <v/>
      </c>
      <c r="Q539" s="32" t="str">
        <f>IF($P539="","",$B539/$P539-1)</f>
        <v/>
      </c>
    </row>
    <row r="540">
      <c r="A540" s="11" t="n"/>
      <c r="B540" s="29" t="n"/>
      <c r="K540" s="30" t="str">
        <f>IF($A540="","",EDATE($A540,12*$E$4))</f>
        <v/>
      </c>
      <c r="L540" s="19" t="str">
        <f>IF($K540="","",IF($K540&gt;MAX($A$8:$A$5007),"",IFERROR(MATCH($K540,$A$8:$A$5007,1),"")))</f>
        <v/>
      </c>
      <c r="M540" s="30" t="str">
        <f>IF($L540="","",INDEX($A$8:$A$5007,$L540))</f>
        <v/>
      </c>
      <c r="N540" s="31" t="str">
        <f>IF($L540="","",INDEX($B$8:$B$5007,$L540))</f>
        <v/>
      </c>
      <c r="O540" s="32" t="str">
        <f>IF($M540="","",IF($K540-$M540&gt;7,"",IF($M540&lt;=$A540,"",IF(OR($B540&lt;=0,$N540&lt;=0),"",($N540/$B540)^(365/($M540-$A540))-1))))</f>
        <v/>
      </c>
      <c r="P540" s="31" t="str">
        <f>IF($B540="","",IF($P539="",$B540,MAX($P539,$B540)))</f>
        <v/>
      </c>
      <c r="Q540" s="32" t="str">
        <f>IF($P540="","",$B540/$P540-1)</f>
        <v/>
      </c>
    </row>
    <row r="541">
      <c r="A541" s="11" t="n"/>
      <c r="B541" s="29" t="n"/>
      <c r="K541" s="30" t="str">
        <f>IF($A541="","",EDATE($A541,12*$E$4))</f>
        <v/>
      </c>
      <c r="L541" s="19" t="str">
        <f>IF($K541="","",IF($K541&gt;MAX($A$8:$A$5007),"",IFERROR(MATCH($K541,$A$8:$A$5007,1),"")))</f>
        <v/>
      </c>
      <c r="M541" s="30" t="str">
        <f>IF($L541="","",INDEX($A$8:$A$5007,$L541))</f>
        <v/>
      </c>
      <c r="N541" s="31" t="str">
        <f>IF($L541="","",INDEX($B$8:$B$5007,$L541))</f>
        <v/>
      </c>
      <c r="O541" s="32" t="str">
        <f>IF($M541="","",IF($K541-$M541&gt;7,"",IF($M541&lt;=$A541,"",IF(OR($B541&lt;=0,$N541&lt;=0),"",($N541/$B541)^(365/($M541-$A541))-1))))</f>
        <v/>
      </c>
      <c r="P541" s="31" t="str">
        <f>IF($B541="","",IF($P540="",$B541,MAX($P540,$B541)))</f>
        <v/>
      </c>
      <c r="Q541" s="32" t="str">
        <f>IF($P541="","",$B541/$P541-1)</f>
        <v/>
      </c>
    </row>
    <row r="542">
      <c r="A542" s="11" t="n"/>
      <c r="B542" s="29" t="n"/>
      <c r="K542" s="30" t="str">
        <f>IF($A542="","",EDATE($A542,12*$E$4))</f>
        <v/>
      </c>
      <c r="L542" s="19" t="str">
        <f>IF($K542="","",IF($K542&gt;MAX($A$8:$A$5007),"",IFERROR(MATCH($K542,$A$8:$A$5007,1),"")))</f>
        <v/>
      </c>
      <c r="M542" s="30" t="str">
        <f>IF($L542="","",INDEX($A$8:$A$5007,$L542))</f>
        <v/>
      </c>
      <c r="N542" s="31" t="str">
        <f>IF($L542="","",INDEX($B$8:$B$5007,$L542))</f>
        <v/>
      </c>
      <c r="O542" s="32" t="str">
        <f>IF($M542="","",IF($K542-$M542&gt;7,"",IF($M542&lt;=$A542,"",IF(OR($B542&lt;=0,$N542&lt;=0),"",($N542/$B542)^(365/($M542-$A542))-1))))</f>
        <v/>
      </c>
      <c r="P542" s="31" t="str">
        <f>IF($B542="","",IF($P541="",$B542,MAX($P541,$B542)))</f>
        <v/>
      </c>
      <c r="Q542" s="32" t="str">
        <f>IF($P542="","",$B542/$P542-1)</f>
        <v/>
      </c>
    </row>
    <row r="543">
      <c r="A543" s="11" t="n"/>
      <c r="B543" s="29" t="n"/>
      <c r="K543" s="30" t="str">
        <f>IF($A543="","",EDATE($A543,12*$E$4))</f>
        <v/>
      </c>
      <c r="L543" s="19" t="str">
        <f>IF($K543="","",IF($K543&gt;MAX($A$8:$A$5007),"",IFERROR(MATCH($K543,$A$8:$A$5007,1),"")))</f>
        <v/>
      </c>
      <c r="M543" s="30" t="str">
        <f>IF($L543="","",INDEX($A$8:$A$5007,$L543))</f>
        <v/>
      </c>
      <c r="N543" s="31" t="str">
        <f>IF($L543="","",INDEX($B$8:$B$5007,$L543))</f>
        <v/>
      </c>
      <c r="O543" s="32" t="str">
        <f>IF($M543="","",IF($K543-$M543&gt;7,"",IF($M543&lt;=$A543,"",IF(OR($B543&lt;=0,$N543&lt;=0),"",($N543/$B543)^(365/($M543-$A543))-1))))</f>
        <v/>
      </c>
      <c r="P543" s="31" t="str">
        <f>IF($B543="","",IF($P542="",$B543,MAX($P542,$B543)))</f>
        <v/>
      </c>
      <c r="Q543" s="32" t="str">
        <f>IF($P543="","",$B543/$P543-1)</f>
        <v/>
      </c>
    </row>
    <row r="544">
      <c r="A544" s="11" t="n"/>
      <c r="B544" s="29" t="n"/>
      <c r="K544" s="30" t="str">
        <f>IF($A544="","",EDATE($A544,12*$E$4))</f>
        <v/>
      </c>
      <c r="L544" s="19" t="str">
        <f>IF($K544="","",IF($K544&gt;MAX($A$8:$A$5007),"",IFERROR(MATCH($K544,$A$8:$A$5007,1),"")))</f>
        <v/>
      </c>
      <c r="M544" s="30" t="str">
        <f>IF($L544="","",INDEX($A$8:$A$5007,$L544))</f>
        <v/>
      </c>
      <c r="N544" s="31" t="str">
        <f>IF($L544="","",INDEX($B$8:$B$5007,$L544))</f>
        <v/>
      </c>
      <c r="O544" s="32" t="str">
        <f>IF($M544="","",IF($K544-$M544&gt;7,"",IF($M544&lt;=$A544,"",IF(OR($B544&lt;=0,$N544&lt;=0),"",($N544/$B544)^(365/($M544-$A544))-1))))</f>
        <v/>
      </c>
      <c r="P544" s="31" t="str">
        <f>IF($B544="","",IF($P543="",$B544,MAX($P543,$B544)))</f>
        <v/>
      </c>
      <c r="Q544" s="32" t="str">
        <f>IF($P544="","",$B544/$P544-1)</f>
        <v/>
      </c>
    </row>
    <row r="545">
      <c r="A545" s="11" t="n"/>
      <c r="B545" s="29" t="n"/>
      <c r="K545" s="30" t="str">
        <f>IF($A545="","",EDATE($A545,12*$E$4))</f>
        <v/>
      </c>
      <c r="L545" s="19" t="str">
        <f>IF($K545="","",IF($K545&gt;MAX($A$8:$A$5007),"",IFERROR(MATCH($K545,$A$8:$A$5007,1),"")))</f>
        <v/>
      </c>
      <c r="M545" s="30" t="str">
        <f>IF($L545="","",INDEX($A$8:$A$5007,$L545))</f>
        <v/>
      </c>
      <c r="N545" s="31" t="str">
        <f>IF($L545="","",INDEX($B$8:$B$5007,$L545))</f>
        <v/>
      </c>
      <c r="O545" s="32" t="str">
        <f>IF($M545="","",IF($K545-$M545&gt;7,"",IF($M545&lt;=$A545,"",IF(OR($B545&lt;=0,$N545&lt;=0),"",($N545/$B545)^(365/($M545-$A545))-1))))</f>
        <v/>
      </c>
      <c r="P545" s="31" t="str">
        <f>IF($B545="","",IF($P544="",$B545,MAX($P544,$B545)))</f>
        <v/>
      </c>
      <c r="Q545" s="32" t="str">
        <f>IF($P545="","",$B545/$P545-1)</f>
        <v/>
      </c>
    </row>
    <row r="546">
      <c r="A546" s="11" t="n"/>
      <c r="B546" s="29" t="n"/>
      <c r="K546" s="30" t="str">
        <f>IF($A546="","",EDATE($A546,12*$E$4))</f>
        <v/>
      </c>
      <c r="L546" s="19" t="str">
        <f>IF($K546="","",IF($K546&gt;MAX($A$8:$A$5007),"",IFERROR(MATCH($K546,$A$8:$A$5007,1),"")))</f>
        <v/>
      </c>
      <c r="M546" s="30" t="str">
        <f>IF($L546="","",INDEX($A$8:$A$5007,$L546))</f>
        <v/>
      </c>
      <c r="N546" s="31" t="str">
        <f>IF($L546="","",INDEX($B$8:$B$5007,$L546))</f>
        <v/>
      </c>
      <c r="O546" s="32" t="str">
        <f>IF($M546="","",IF($K546-$M546&gt;7,"",IF($M546&lt;=$A546,"",IF(OR($B546&lt;=0,$N546&lt;=0),"",($N546/$B546)^(365/($M546-$A546))-1))))</f>
        <v/>
      </c>
      <c r="P546" s="31" t="str">
        <f>IF($B546="","",IF($P545="",$B546,MAX($P545,$B546)))</f>
        <v/>
      </c>
      <c r="Q546" s="32" t="str">
        <f>IF($P546="","",$B546/$P546-1)</f>
        <v/>
      </c>
    </row>
    <row r="547">
      <c r="A547" s="11" t="n"/>
      <c r="B547" s="29" t="n"/>
      <c r="K547" s="30" t="str">
        <f>IF($A547="","",EDATE($A547,12*$E$4))</f>
        <v/>
      </c>
      <c r="L547" s="19" t="str">
        <f>IF($K547="","",IF($K547&gt;MAX($A$8:$A$5007),"",IFERROR(MATCH($K547,$A$8:$A$5007,1),"")))</f>
        <v/>
      </c>
      <c r="M547" s="30" t="str">
        <f>IF($L547="","",INDEX($A$8:$A$5007,$L547))</f>
        <v/>
      </c>
      <c r="N547" s="31" t="str">
        <f>IF($L547="","",INDEX($B$8:$B$5007,$L547))</f>
        <v/>
      </c>
      <c r="O547" s="32" t="str">
        <f>IF($M547="","",IF($K547-$M547&gt;7,"",IF($M547&lt;=$A547,"",IF(OR($B547&lt;=0,$N547&lt;=0),"",($N547/$B547)^(365/($M547-$A547))-1))))</f>
        <v/>
      </c>
      <c r="P547" s="31" t="str">
        <f>IF($B547="","",IF($P546="",$B547,MAX($P546,$B547)))</f>
        <v/>
      </c>
      <c r="Q547" s="32" t="str">
        <f>IF($P547="","",$B547/$P547-1)</f>
        <v/>
      </c>
    </row>
    <row r="548">
      <c r="A548" s="11" t="n"/>
      <c r="B548" s="29" t="n"/>
      <c r="K548" s="30" t="str">
        <f>IF($A548="","",EDATE($A548,12*$E$4))</f>
        <v/>
      </c>
      <c r="L548" s="19" t="str">
        <f>IF($K548="","",IF($K548&gt;MAX($A$8:$A$5007),"",IFERROR(MATCH($K548,$A$8:$A$5007,1),"")))</f>
        <v/>
      </c>
      <c r="M548" s="30" t="str">
        <f>IF($L548="","",INDEX($A$8:$A$5007,$L548))</f>
        <v/>
      </c>
      <c r="N548" s="31" t="str">
        <f>IF($L548="","",INDEX($B$8:$B$5007,$L548))</f>
        <v/>
      </c>
      <c r="O548" s="32" t="str">
        <f>IF($M548="","",IF($K548-$M548&gt;7,"",IF($M548&lt;=$A548,"",IF(OR($B548&lt;=0,$N548&lt;=0),"",($N548/$B548)^(365/($M548-$A548))-1))))</f>
        <v/>
      </c>
      <c r="P548" s="31" t="str">
        <f>IF($B548="","",IF($P547="",$B548,MAX($P547,$B548)))</f>
        <v/>
      </c>
      <c r="Q548" s="32" t="str">
        <f>IF($P548="","",$B548/$P548-1)</f>
        <v/>
      </c>
    </row>
    <row r="549">
      <c r="A549" s="11" t="n"/>
      <c r="B549" s="29" t="n"/>
      <c r="K549" s="30" t="str">
        <f>IF($A549="","",EDATE($A549,12*$E$4))</f>
        <v/>
      </c>
      <c r="L549" s="19" t="str">
        <f>IF($K549="","",IF($K549&gt;MAX($A$8:$A$5007),"",IFERROR(MATCH($K549,$A$8:$A$5007,1),"")))</f>
        <v/>
      </c>
      <c r="M549" s="30" t="str">
        <f>IF($L549="","",INDEX($A$8:$A$5007,$L549))</f>
        <v/>
      </c>
      <c r="N549" s="31" t="str">
        <f>IF($L549="","",INDEX($B$8:$B$5007,$L549))</f>
        <v/>
      </c>
      <c r="O549" s="32" t="str">
        <f>IF($M549="","",IF($K549-$M549&gt;7,"",IF($M549&lt;=$A549,"",IF(OR($B549&lt;=0,$N549&lt;=0),"",($N549/$B549)^(365/($M549-$A549))-1))))</f>
        <v/>
      </c>
      <c r="P549" s="31" t="str">
        <f>IF($B549="","",IF($P548="",$B549,MAX($P548,$B549)))</f>
        <v/>
      </c>
      <c r="Q549" s="32" t="str">
        <f>IF($P549="","",$B549/$P549-1)</f>
        <v/>
      </c>
    </row>
    <row r="550">
      <c r="A550" s="11" t="n"/>
      <c r="B550" s="29" t="n"/>
      <c r="K550" s="30" t="str">
        <f>IF($A550="","",EDATE($A550,12*$E$4))</f>
        <v/>
      </c>
      <c r="L550" s="19" t="str">
        <f>IF($K550="","",IF($K550&gt;MAX($A$8:$A$5007),"",IFERROR(MATCH($K550,$A$8:$A$5007,1),"")))</f>
        <v/>
      </c>
      <c r="M550" s="30" t="str">
        <f>IF($L550="","",INDEX($A$8:$A$5007,$L550))</f>
        <v/>
      </c>
      <c r="N550" s="31" t="str">
        <f>IF($L550="","",INDEX($B$8:$B$5007,$L550))</f>
        <v/>
      </c>
      <c r="O550" s="32" t="str">
        <f>IF($M550="","",IF($K550-$M550&gt;7,"",IF($M550&lt;=$A550,"",IF(OR($B550&lt;=0,$N550&lt;=0),"",($N550/$B550)^(365/($M550-$A550))-1))))</f>
        <v/>
      </c>
      <c r="P550" s="31" t="str">
        <f>IF($B550="","",IF($P549="",$B550,MAX($P549,$B550)))</f>
        <v/>
      </c>
      <c r="Q550" s="32" t="str">
        <f>IF($P550="","",$B550/$P550-1)</f>
        <v/>
      </c>
    </row>
    <row r="551">
      <c r="A551" s="11" t="n"/>
      <c r="B551" s="29" t="n"/>
      <c r="K551" s="30" t="str">
        <f>IF($A551="","",EDATE($A551,12*$E$4))</f>
        <v/>
      </c>
      <c r="L551" s="19" t="str">
        <f>IF($K551="","",IF($K551&gt;MAX($A$8:$A$5007),"",IFERROR(MATCH($K551,$A$8:$A$5007,1),"")))</f>
        <v/>
      </c>
      <c r="M551" s="30" t="str">
        <f>IF($L551="","",INDEX($A$8:$A$5007,$L551))</f>
        <v/>
      </c>
      <c r="N551" s="31" t="str">
        <f>IF($L551="","",INDEX($B$8:$B$5007,$L551))</f>
        <v/>
      </c>
      <c r="O551" s="32" t="str">
        <f>IF($M551="","",IF($K551-$M551&gt;7,"",IF($M551&lt;=$A551,"",IF(OR($B551&lt;=0,$N551&lt;=0),"",($N551/$B551)^(365/($M551-$A551))-1))))</f>
        <v/>
      </c>
      <c r="P551" s="31" t="str">
        <f>IF($B551="","",IF($P550="",$B551,MAX($P550,$B551)))</f>
        <v/>
      </c>
      <c r="Q551" s="32" t="str">
        <f>IF($P551="","",$B551/$P551-1)</f>
        <v/>
      </c>
    </row>
    <row r="552">
      <c r="A552" s="11" t="n"/>
      <c r="B552" s="29" t="n"/>
      <c r="K552" s="30" t="str">
        <f>IF($A552="","",EDATE($A552,12*$E$4))</f>
        <v/>
      </c>
      <c r="L552" s="19" t="str">
        <f>IF($K552="","",IF($K552&gt;MAX($A$8:$A$5007),"",IFERROR(MATCH($K552,$A$8:$A$5007,1),"")))</f>
        <v/>
      </c>
      <c r="M552" s="30" t="str">
        <f>IF($L552="","",INDEX($A$8:$A$5007,$L552))</f>
        <v/>
      </c>
      <c r="N552" s="31" t="str">
        <f>IF($L552="","",INDEX($B$8:$B$5007,$L552))</f>
        <v/>
      </c>
      <c r="O552" s="32" t="str">
        <f>IF($M552="","",IF($K552-$M552&gt;7,"",IF($M552&lt;=$A552,"",IF(OR($B552&lt;=0,$N552&lt;=0),"",($N552/$B552)^(365/($M552-$A552))-1))))</f>
        <v/>
      </c>
      <c r="P552" s="31" t="str">
        <f>IF($B552="","",IF($P551="",$B552,MAX($P551,$B552)))</f>
        <v/>
      </c>
      <c r="Q552" s="32" t="str">
        <f>IF($P552="","",$B552/$P552-1)</f>
        <v/>
      </c>
    </row>
    <row r="553">
      <c r="A553" s="11" t="n"/>
      <c r="B553" s="29" t="n"/>
      <c r="K553" s="30" t="str">
        <f>IF($A553="","",EDATE($A553,12*$E$4))</f>
        <v/>
      </c>
      <c r="L553" s="19" t="str">
        <f>IF($K553="","",IF($K553&gt;MAX($A$8:$A$5007),"",IFERROR(MATCH($K553,$A$8:$A$5007,1),"")))</f>
        <v/>
      </c>
      <c r="M553" s="30" t="str">
        <f>IF($L553="","",INDEX($A$8:$A$5007,$L553))</f>
        <v/>
      </c>
      <c r="N553" s="31" t="str">
        <f>IF($L553="","",INDEX($B$8:$B$5007,$L553))</f>
        <v/>
      </c>
      <c r="O553" s="32" t="str">
        <f>IF($M553="","",IF($K553-$M553&gt;7,"",IF($M553&lt;=$A553,"",IF(OR($B553&lt;=0,$N553&lt;=0),"",($N553/$B553)^(365/($M553-$A553))-1))))</f>
        <v/>
      </c>
      <c r="P553" s="31" t="str">
        <f>IF($B553="","",IF($P552="",$B553,MAX($P552,$B553)))</f>
        <v/>
      </c>
      <c r="Q553" s="32" t="str">
        <f>IF($P553="","",$B553/$P553-1)</f>
        <v/>
      </c>
    </row>
    <row r="554">
      <c r="A554" s="11" t="n"/>
      <c r="B554" s="29" t="n"/>
      <c r="K554" s="30" t="str">
        <f>IF($A554="","",EDATE($A554,12*$E$4))</f>
        <v/>
      </c>
      <c r="L554" s="19" t="str">
        <f>IF($K554="","",IF($K554&gt;MAX($A$8:$A$5007),"",IFERROR(MATCH($K554,$A$8:$A$5007,1),"")))</f>
        <v/>
      </c>
      <c r="M554" s="30" t="str">
        <f>IF($L554="","",INDEX($A$8:$A$5007,$L554))</f>
        <v/>
      </c>
      <c r="N554" s="31" t="str">
        <f>IF($L554="","",INDEX($B$8:$B$5007,$L554))</f>
        <v/>
      </c>
      <c r="O554" s="32" t="str">
        <f>IF($M554="","",IF($K554-$M554&gt;7,"",IF($M554&lt;=$A554,"",IF(OR($B554&lt;=0,$N554&lt;=0),"",($N554/$B554)^(365/($M554-$A554))-1))))</f>
        <v/>
      </c>
      <c r="P554" s="31" t="str">
        <f>IF($B554="","",IF($P553="",$B554,MAX($P553,$B554)))</f>
        <v/>
      </c>
      <c r="Q554" s="32" t="str">
        <f>IF($P554="","",$B554/$P554-1)</f>
        <v/>
      </c>
    </row>
    <row r="555">
      <c r="A555" s="11" t="n"/>
      <c r="B555" s="29" t="n"/>
      <c r="K555" s="30" t="str">
        <f>IF($A555="","",EDATE($A555,12*$E$4))</f>
        <v/>
      </c>
      <c r="L555" s="19" t="str">
        <f>IF($K555="","",IF($K555&gt;MAX($A$8:$A$5007),"",IFERROR(MATCH($K555,$A$8:$A$5007,1),"")))</f>
        <v/>
      </c>
      <c r="M555" s="30" t="str">
        <f>IF($L555="","",INDEX($A$8:$A$5007,$L555))</f>
        <v/>
      </c>
      <c r="N555" s="31" t="str">
        <f>IF($L555="","",INDEX($B$8:$B$5007,$L555))</f>
        <v/>
      </c>
      <c r="O555" s="32" t="str">
        <f>IF($M555="","",IF($K555-$M555&gt;7,"",IF($M555&lt;=$A555,"",IF(OR($B555&lt;=0,$N555&lt;=0),"",($N555/$B555)^(365/($M555-$A555))-1))))</f>
        <v/>
      </c>
      <c r="P555" s="31" t="str">
        <f>IF($B555="","",IF($P554="",$B555,MAX($P554,$B555)))</f>
        <v/>
      </c>
      <c r="Q555" s="32" t="str">
        <f>IF($P555="","",$B555/$P555-1)</f>
        <v/>
      </c>
    </row>
    <row r="556">
      <c r="A556" s="11" t="n"/>
      <c r="B556" s="29" t="n"/>
      <c r="K556" s="30" t="str">
        <f>IF($A556="","",EDATE($A556,12*$E$4))</f>
        <v/>
      </c>
      <c r="L556" s="19" t="str">
        <f>IF($K556="","",IF($K556&gt;MAX($A$8:$A$5007),"",IFERROR(MATCH($K556,$A$8:$A$5007,1),"")))</f>
        <v/>
      </c>
      <c r="M556" s="30" t="str">
        <f>IF($L556="","",INDEX($A$8:$A$5007,$L556))</f>
        <v/>
      </c>
      <c r="N556" s="31" t="str">
        <f>IF($L556="","",INDEX($B$8:$B$5007,$L556))</f>
        <v/>
      </c>
      <c r="O556" s="32" t="str">
        <f>IF($M556="","",IF($K556-$M556&gt;7,"",IF($M556&lt;=$A556,"",IF(OR($B556&lt;=0,$N556&lt;=0),"",($N556/$B556)^(365/($M556-$A556))-1))))</f>
        <v/>
      </c>
      <c r="P556" s="31" t="str">
        <f>IF($B556="","",IF($P555="",$B556,MAX($P555,$B556)))</f>
        <v/>
      </c>
      <c r="Q556" s="32" t="str">
        <f>IF($P556="","",$B556/$P556-1)</f>
        <v/>
      </c>
    </row>
    <row r="557">
      <c r="A557" s="11" t="n"/>
      <c r="B557" s="29" t="n"/>
      <c r="K557" s="30" t="str">
        <f>IF($A557="","",EDATE($A557,12*$E$4))</f>
        <v/>
      </c>
      <c r="L557" s="19" t="str">
        <f>IF($K557="","",IF($K557&gt;MAX($A$8:$A$5007),"",IFERROR(MATCH($K557,$A$8:$A$5007,1),"")))</f>
        <v/>
      </c>
      <c r="M557" s="30" t="str">
        <f>IF($L557="","",INDEX($A$8:$A$5007,$L557))</f>
        <v/>
      </c>
      <c r="N557" s="31" t="str">
        <f>IF($L557="","",INDEX($B$8:$B$5007,$L557))</f>
        <v/>
      </c>
      <c r="O557" s="32" t="str">
        <f>IF($M557="","",IF($K557-$M557&gt;7,"",IF($M557&lt;=$A557,"",IF(OR($B557&lt;=0,$N557&lt;=0),"",($N557/$B557)^(365/($M557-$A557))-1))))</f>
        <v/>
      </c>
      <c r="P557" s="31" t="str">
        <f>IF($B557="","",IF($P556="",$B557,MAX($P556,$B557)))</f>
        <v/>
      </c>
      <c r="Q557" s="32" t="str">
        <f>IF($P557="","",$B557/$P557-1)</f>
        <v/>
      </c>
    </row>
    <row r="558">
      <c r="A558" s="11" t="n"/>
      <c r="B558" s="29" t="n"/>
      <c r="K558" s="30" t="str">
        <f>IF($A558="","",EDATE($A558,12*$E$4))</f>
        <v/>
      </c>
      <c r="L558" s="19" t="str">
        <f>IF($K558="","",IF($K558&gt;MAX($A$8:$A$5007),"",IFERROR(MATCH($K558,$A$8:$A$5007,1),"")))</f>
        <v/>
      </c>
      <c r="M558" s="30" t="str">
        <f>IF($L558="","",INDEX($A$8:$A$5007,$L558))</f>
        <v/>
      </c>
      <c r="N558" s="31" t="str">
        <f>IF($L558="","",INDEX($B$8:$B$5007,$L558))</f>
        <v/>
      </c>
      <c r="O558" s="32" t="str">
        <f>IF($M558="","",IF($K558-$M558&gt;7,"",IF($M558&lt;=$A558,"",IF(OR($B558&lt;=0,$N558&lt;=0),"",($N558/$B558)^(365/($M558-$A558))-1))))</f>
        <v/>
      </c>
      <c r="P558" s="31" t="str">
        <f>IF($B558="","",IF($P557="",$B558,MAX($P557,$B558)))</f>
        <v/>
      </c>
      <c r="Q558" s="32" t="str">
        <f>IF($P558="","",$B558/$P558-1)</f>
        <v/>
      </c>
    </row>
    <row r="559">
      <c r="A559" s="11" t="n"/>
      <c r="B559" s="29" t="n"/>
      <c r="K559" s="30" t="str">
        <f>IF($A559="","",EDATE($A559,12*$E$4))</f>
        <v/>
      </c>
      <c r="L559" s="19" t="str">
        <f>IF($K559="","",IF($K559&gt;MAX($A$8:$A$5007),"",IFERROR(MATCH($K559,$A$8:$A$5007,1),"")))</f>
        <v/>
      </c>
      <c r="M559" s="30" t="str">
        <f>IF($L559="","",INDEX($A$8:$A$5007,$L559))</f>
        <v/>
      </c>
      <c r="N559" s="31" t="str">
        <f>IF($L559="","",INDEX($B$8:$B$5007,$L559))</f>
        <v/>
      </c>
      <c r="O559" s="32" t="str">
        <f>IF($M559="","",IF($K559-$M559&gt;7,"",IF($M559&lt;=$A559,"",IF(OR($B559&lt;=0,$N559&lt;=0),"",($N559/$B559)^(365/($M559-$A559))-1))))</f>
        <v/>
      </c>
      <c r="P559" s="31" t="str">
        <f>IF($B559="","",IF($P558="",$B559,MAX($P558,$B559)))</f>
        <v/>
      </c>
      <c r="Q559" s="32" t="str">
        <f>IF($P559="","",$B559/$P559-1)</f>
        <v/>
      </c>
    </row>
    <row r="560">
      <c r="A560" s="11" t="n"/>
      <c r="B560" s="29" t="n"/>
      <c r="K560" s="30" t="str">
        <f>IF($A560="","",EDATE($A560,12*$E$4))</f>
        <v/>
      </c>
      <c r="L560" s="19" t="str">
        <f>IF($K560="","",IF($K560&gt;MAX($A$8:$A$5007),"",IFERROR(MATCH($K560,$A$8:$A$5007,1),"")))</f>
        <v/>
      </c>
      <c r="M560" s="30" t="str">
        <f>IF($L560="","",INDEX($A$8:$A$5007,$L560))</f>
        <v/>
      </c>
      <c r="N560" s="31" t="str">
        <f>IF($L560="","",INDEX($B$8:$B$5007,$L560))</f>
        <v/>
      </c>
      <c r="O560" s="32" t="str">
        <f>IF($M560="","",IF($K560-$M560&gt;7,"",IF($M560&lt;=$A560,"",IF(OR($B560&lt;=0,$N560&lt;=0),"",($N560/$B560)^(365/($M560-$A560))-1))))</f>
        <v/>
      </c>
      <c r="P560" s="31" t="str">
        <f>IF($B560="","",IF($P559="",$B560,MAX($P559,$B560)))</f>
        <v/>
      </c>
      <c r="Q560" s="32" t="str">
        <f>IF($P560="","",$B560/$P560-1)</f>
        <v/>
      </c>
    </row>
    <row r="561">
      <c r="A561" s="11" t="n"/>
      <c r="B561" s="29" t="n"/>
      <c r="K561" s="30" t="str">
        <f>IF($A561="","",EDATE($A561,12*$E$4))</f>
        <v/>
      </c>
      <c r="L561" s="19" t="str">
        <f>IF($K561="","",IF($K561&gt;MAX($A$8:$A$5007),"",IFERROR(MATCH($K561,$A$8:$A$5007,1),"")))</f>
        <v/>
      </c>
      <c r="M561" s="30" t="str">
        <f>IF($L561="","",INDEX($A$8:$A$5007,$L561))</f>
        <v/>
      </c>
      <c r="N561" s="31" t="str">
        <f>IF($L561="","",INDEX($B$8:$B$5007,$L561))</f>
        <v/>
      </c>
      <c r="O561" s="32" t="str">
        <f>IF($M561="","",IF($K561-$M561&gt;7,"",IF($M561&lt;=$A561,"",IF(OR($B561&lt;=0,$N561&lt;=0),"",($N561/$B561)^(365/($M561-$A561))-1))))</f>
        <v/>
      </c>
      <c r="P561" s="31" t="str">
        <f>IF($B561="","",IF($P560="",$B561,MAX($P560,$B561)))</f>
        <v/>
      </c>
      <c r="Q561" s="32" t="str">
        <f>IF($P561="","",$B561/$P561-1)</f>
        <v/>
      </c>
    </row>
    <row r="562">
      <c r="A562" s="11" t="n"/>
      <c r="B562" s="29" t="n"/>
      <c r="K562" s="30" t="str">
        <f>IF($A562="","",EDATE($A562,12*$E$4))</f>
        <v/>
      </c>
      <c r="L562" s="19" t="str">
        <f>IF($K562="","",IF($K562&gt;MAX($A$8:$A$5007),"",IFERROR(MATCH($K562,$A$8:$A$5007,1),"")))</f>
        <v/>
      </c>
      <c r="M562" s="30" t="str">
        <f>IF($L562="","",INDEX($A$8:$A$5007,$L562))</f>
        <v/>
      </c>
      <c r="N562" s="31" t="str">
        <f>IF($L562="","",INDEX($B$8:$B$5007,$L562))</f>
        <v/>
      </c>
      <c r="O562" s="32" t="str">
        <f>IF($M562="","",IF($K562-$M562&gt;7,"",IF($M562&lt;=$A562,"",IF(OR($B562&lt;=0,$N562&lt;=0),"",($N562/$B562)^(365/($M562-$A562))-1))))</f>
        <v/>
      </c>
      <c r="P562" s="31" t="str">
        <f>IF($B562="","",IF($P561="",$B562,MAX($P561,$B562)))</f>
        <v/>
      </c>
      <c r="Q562" s="32" t="str">
        <f>IF($P562="","",$B562/$P562-1)</f>
        <v/>
      </c>
    </row>
    <row r="563">
      <c r="A563" s="11" t="n"/>
      <c r="B563" s="29" t="n"/>
      <c r="K563" s="30" t="str">
        <f>IF($A563="","",EDATE($A563,12*$E$4))</f>
        <v/>
      </c>
      <c r="L563" s="19" t="str">
        <f>IF($K563="","",IF($K563&gt;MAX($A$8:$A$5007),"",IFERROR(MATCH($K563,$A$8:$A$5007,1),"")))</f>
        <v/>
      </c>
      <c r="M563" s="30" t="str">
        <f>IF($L563="","",INDEX($A$8:$A$5007,$L563))</f>
        <v/>
      </c>
      <c r="N563" s="31" t="str">
        <f>IF($L563="","",INDEX($B$8:$B$5007,$L563))</f>
        <v/>
      </c>
      <c r="O563" s="32" t="str">
        <f>IF($M563="","",IF($K563-$M563&gt;7,"",IF($M563&lt;=$A563,"",IF(OR($B563&lt;=0,$N563&lt;=0),"",($N563/$B563)^(365/($M563-$A563))-1))))</f>
        <v/>
      </c>
      <c r="P563" s="31" t="str">
        <f>IF($B563="","",IF($P562="",$B563,MAX($P562,$B563)))</f>
        <v/>
      </c>
      <c r="Q563" s="32" t="str">
        <f>IF($P563="","",$B563/$P563-1)</f>
        <v/>
      </c>
    </row>
    <row r="564">
      <c r="A564" s="11" t="n"/>
      <c r="B564" s="29" t="n"/>
      <c r="K564" s="30" t="str">
        <f>IF($A564="","",EDATE($A564,12*$E$4))</f>
        <v/>
      </c>
      <c r="L564" s="19" t="str">
        <f>IF($K564="","",IF($K564&gt;MAX($A$8:$A$5007),"",IFERROR(MATCH($K564,$A$8:$A$5007,1),"")))</f>
        <v/>
      </c>
      <c r="M564" s="30" t="str">
        <f>IF($L564="","",INDEX($A$8:$A$5007,$L564))</f>
        <v/>
      </c>
      <c r="N564" s="31" t="str">
        <f>IF($L564="","",INDEX($B$8:$B$5007,$L564))</f>
        <v/>
      </c>
      <c r="O564" s="32" t="str">
        <f>IF($M564="","",IF($K564-$M564&gt;7,"",IF($M564&lt;=$A564,"",IF(OR($B564&lt;=0,$N564&lt;=0),"",($N564/$B564)^(365/($M564-$A564))-1))))</f>
        <v/>
      </c>
      <c r="P564" s="31" t="str">
        <f>IF($B564="","",IF($P563="",$B564,MAX($P563,$B564)))</f>
        <v/>
      </c>
      <c r="Q564" s="32" t="str">
        <f>IF($P564="","",$B564/$P564-1)</f>
        <v/>
      </c>
    </row>
    <row r="565">
      <c r="A565" s="11" t="n"/>
      <c r="B565" s="29" t="n"/>
      <c r="K565" s="30" t="str">
        <f>IF($A565="","",EDATE($A565,12*$E$4))</f>
        <v/>
      </c>
      <c r="L565" s="19" t="str">
        <f>IF($K565="","",IF($K565&gt;MAX($A$8:$A$5007),"",IFERROR(MATCH($K565,$A$8:$A$5007,1),"")))</f>
        <v/>
      </c>
      <c r="M565" s="30" t="str">
        <f>IF($L565="","",INDEX($A$8:$A$5007,$L565))</f>
        <v/>
      </c>
      <c r="N565" s="31" t="str">
        <f>IF($L565="","",INDEX($B$8:$B$5007,$L565))</f>
        <v/>
      </c>
      <c r="O565" s="32" t="str">
        <f>IF($M565="","",IF($K565-$M565&gt;7,"",IF($M565&lt;=$A565,"",IF(OR($B565&lt;=0,$N565&lt;=0),"",($N565/$B565)^(365/($M565-$A565))-1))))</f>
        <v/>
      </c>
      <c r="P565" s="31" t="str">
        <f>IF($B565="","",IF($P564="",$B565,MAX($P564,$B565)))</f>
        <v/>
      </c>
      <c r="Q565" s="32" t="str">
        <f>IF($P565="","",$B565/$P565-1)</f>
        <v/>
      </c>
    </row>
    <row r="566">
      <c r="A566" s="11" t="n"/>
      <c r="B566" s="29" t="n"/>
      <c r="K566" s="30" t="str">
        <f>IF($A566="","",EDATE($A566,12*$E$4))</f>
        <v/>
      </c>
      <c r="L566" s="19" t="str">
        <f>IF($K566="","",IF($K566&gt;MAX($A$8:$A$5007),"",IFERROR(MATCH($K566,$A$8:$A$5007,1),"")))</f>
        <v/>
      </c>
      <c r="M566" s="30" t="str">
        <f>IF($L566="","",INDEX($A$8:$A$5007,$L566))</f>
        <v/>
      </c>
      <c r="N566" s="31" t="str">
        <f>IF($L566="","",INDEX($B$8:$B$5007,$L566))</f>
        <v/>
      </c>
      <c r="O566" s="32" t="str">
        <f>IF($M566="","",IF($K566-$M566&gt;7,"",IF($M566&lt;=$A566,"",IF(OR($B566&lt;=0,$N566&lt;=0),"",($N566/$B566)^(365/($M566-$A566))-1))))</f>
        <v/>
      </c>
      <c r="P566" s="31" t="str">
        <f>IF($B566="","",IF($P565="",$B566,MAX($P565,$B566)))</f>
        <v/>
      </c>
      <c r="Q566" s="32" t="str">
        <f>IF($P566="","",$B566/$P566-1)</f>
        <v/>
      </c>
    </row>
    <row r="567">
      <c r="A567" s="11" t="n"/>
      <c r="B567" s="29" t="n"/>
      <c r="K567" s="30" t="str">
        <f>IF($A567="","",EDATE($A567,12*$E$4))</f>
        <v/>
      </c>
      <c r="L567" s="19" t="str">
        <f>IF($K567="","",IF($K567&gt;MAX($A$8:$A$5007),"",IFERROR(MATCH($K567,$A$8:$A$5007,1),"")))</f>
        <v/>
      </c>
      <c r="M567" s="30" t="str">
        <f>IF($L567="","",INDEX($A$8:$A$5007,$L567))</f>
        <v/>
      </c>
      <c r="N567" s="31" t="str">
        <f>IF($L567="","",INDEX($B$8:$B$5007,$L567))</f>
        <v/>
      </c>
      <c r="O567" s="32" t="str">
        <f>IF($M567="","",IF($K567-$M567&gt;7,"",IF($M567&lt;=$A567,"",IF(OR($B567&lt;=0,$N567&lt;=0),"",($N567/$B567)^(365/($M567-$A567))-1))))</f>
        <v/>
      </c>
      <c r="P567" s="31" t="str">
        <f>IF($B567="","",IF($P566="",$B567,MAX($P566,$B567)))</f>
        <v/>
      </c>
      <c r="Q567" s="32" t="str">
        <f>IF($P567="","",$B567/$P567-1)</f>
        <v/>
      </c>
    </row>
    <row r="568">
      <c r="A568" s="11" t="n"/>
      <c r="B568" s="29" t="n"/>
      <c r="K568" s="30" t="str">
        <f>IF($A568="","",EDATE($A568,12*$E$4))</f>
        <v/>
      </c>
      <c r="L568" s="19" t="str">
        <f>IF($K568="","",IF($K568&gt;MAX($A$8:$A$5007),"",IFERROR(MATCH($K568,$A$8:$A$5007,1),"")))</f>
        <v/>
      </c>
      <c r="M568" s="30" t="str">
        <f>IF($L568="","",INDEX($A$8:$A$5007,$L568))</f>
        <v/>
      </c>
      <c r="N568" s="31" t="str">
        <f>IF($L568="","",INDEX($B$8:$B$5007,$L568))</f>
        <v/>
      </c>
      <c r="O568" s="32" t="str">
        <f>IF($M568="","",IF($K568-$M568&gt;7,"",IF($M568&lt;=$A568,"",IF(OR($B568&lt;=0,$N568&lt;=0),"",($N568/$B568)^(365/($M568-$A568))-1))))</f>
        <v/>
      </c>
      <c r="P568" s="31" t="str">
        <f>IF($B568="","",IF($P567="",$B568,MAX($P567,$B568)))</f>
        <v/>
      </c>
      <c r="Q568" s="32" t="str">
        <f>IF($P568="","",$B568/$P568-1)</f>
        <v/>
      </c>
    </row>
    <row r="569">
      <c r="A569" s="11" t="n"/>
      <c r="B569" s="29" t="n"/>
      <c r="K569" s="30" t="str">
        <f>IF($A569="","",EDATE($A569,12*$E$4))</f>
        <v/>
      </c>
      <c r="L569" s="19" t="str">
        <f>IF($K569="","",IF($K569&gt;MAX($A$8:$A$5007),"",IFERROR(MATCH($K569,$A$8:$A$5007,1),"")))</f>
        <v/>
      </c>
      <c r="M569" s="30" t="str">
        <f>IF($L569="","",INDEX($A$8:$A$5007,$L569))</f>
        <v/>
      </c>
      <c r="N569" s="31" t="str">
        <f>IF($L569="","",INDEX($B$8:$B$5007,$L569))</f>
        <v/>
      </c>
      <c r="O569" s="32" t="str">
        <f>IF($M569="","",IF($K569-$M569&gt;7,"",IF($M569&lt;=$A569,"",IF(OR($B569&lt;=0,$N569&lt;=0),"",($N569/$B569)^(365/($M569-$A569))-1))))</f>
        <v/>
      </c>
      <c r="P569" s="31" t="str">
        <f>IF($B569="","",IF($P568="",$B569,MAX($P568,$B569)))</f>
        <v/>
      </c>
      <c r="Q569" s="32" t="str">
        <f>IF($P569="","",$B569/$P569-1)</f>
        <v/>
      </c>
    </row>
    <row r="570">
      <c r="A570" s="11" t="n"/>
      <c r="B570" s="29" t="n"/>
      <c r="K570" s="30" t="str">
        <f>IF($A570="","",EDATE($A570,12*$E$4))</f>
        <v/>
      </c>
      <c r="L570" s="19" t="str">
        <f>IF($K570="","",IF($K570&gt;MAX($A$8:$A$5007),"",IFERROR(MATCH($K570,$A$8:$A$5007,1),"")))</f>
        <v/>
      </c>
      <c r="M570" s="30" t="str">
        <f>IF($L570="","",INDEX($A$8:$A$5007,$L570))</f>
        <v/>
      </c>
      <c r="N570" s="31" t="str">
        <f>IF($L570="","",INDEX($B$8:$B$5007,$L570))</f>
        <v/>
      </c>
      <c r="O570" s="32" t="str">
        <f>IF($M570="","",IF($K570-$M570&gt;7,"",IF($M570&lt;=$A570,"",IF(OR($B570&lt;=0,$N570&lt;=0),"",($N570/$B570)^(365/($M570-$A570))-1))))</f>
        <v/>
      </c>
      <c r="P570" s="31" t="str">
        <f>IF($B570="","",IF($P569="",$B570,MAX($P569,$B570)))</f>
        <v/>
      </c>
      <c r="Q570" s="32" t="str">
        <f>IF($P570="","",$B570/$P570-1)</f>
        <v/>
      </c>
    </row>
    <row r="571">
      <c r="A571" s="11" t="n"/>
      <c r="B571" s="29" t="n"/>
      <c r="K571" s="30" t="str">
        <f>IF($A571="","",EDATE($A571,12*$E$4))</f>
        <v/>
      </c>
      <c r="L571" s="19" t="str">
        <f>IF($K571="","",IF($K571&gt;MAX($A$8:$A$5007),"",IFERROR(MATCH($K571,$A$8:$A$5007,1),"")))</f>
        <v/>
      </c>
      <c r="M571" s="30" t="str">
        <f>IF($L571="","",INDEX($A$8:$A$5007,$L571))</f>
        <v/>
      </c>
      <c r="N571" s="31" t="str">
        <f>IF($L571="","",INDEX($B$8:$B$5007,$L571))</f>
        <v/>
      </c>
      <c r="O571" s="32" t="str">
        <f>IF($M571="","",IF($K571-$M571&gt;7,"",IF($M571&lt;=$A571,"",IF(OR($B571&lt;=0,$N571&lt;=0),"",($N571/$B571)^(365/($M571-$A571))-1))))</f>
        <v/>
      </c>
      <c r="P571" s="31" t="str">
        <f>IF($B571="","",IF($P570="",$B571,MAX($P570,$B571)))</f>
        <v/>
      </c>
      <c r="Q571" s="32" t="str">
        <f>IF($P571="","",$B571/$P571-1)</f>
        <v/>
      </c>
    </row>
    <row r="572">
      <c r="A572" s="11" t="n"/>
      <c r="B572" s="29" t="n"/>
      <c r="K572" s="30" t="str">
        <f>IF($A572="","",EDATE($A572,12*$E$4))</f>
        <v/>
      </c>
      <c r="L572" s="19" t="str">
        <f>IF($K572="","",IF($K572&gt;MAX($A$8:$A$5007),"",IFERROR(MATCH($K572,$A$8:$A$5007,1),"")))</f>
        <v/>
      </c>
      <c r="M572" s="30" t="str">
        <f>IF($L572="","",INDEX($A$8:$A$5007,$L572))</f>
        <v/>
      </c>
      <c r="N572" s="31" t="str">
        <f>IF($L572="","",INDEX($B$8:$B$5007,$L572))</f>
        <v/>
      </c>
      <c r="O572" s="32" t="str">
        <f>IF($M572="","",IF($K572-$M572&gt;7,"",IF($M572&lt;=$A572,"",IF(OR($B572&lt;=0,$N572&lt;=0),"",($N572/$B572)^(365/($M572-$A572))-1))))</f>
        <v/>
      </c>
      <c r="P572" s="31" t="str">
        <f>IF($B572="","",IF($P571="",$B572,MAX($P571,$B572)))</f>
        <v/>
      </c>
      <c r="Q572" s="32" t="str">
        <f>IF($P572="","",$B572/$P572-1)</f>
        <v/>
      </c>
    </row>
    <row r="573">
      <c r="A573" s="11" t="n"/>
      <c r="B573" s="29" t="n"/>
      <c r="K573" s="30" t="str">
        <f>IF($A573="","",EDATE($A573,12*$E$4))</f>
        <v/>
      </c>
      <c r="L573" s="19" t="str">
        <f>IF($K573="","",IF($K573&gt;MAX($A$8:$A$5007),"",IFERROR(MATCH($K573,$A$8:$A$5007,1),"")))</f>
        <v/>
      </c>
      <c r="M573" s="30" t="str">
        <f>IF($L573="","",INDEX($A$8:$A$5007,$L573))</f>
        <v/>
      </c>
      <c r="N573" s="31" t="str">
        <f>IF($L573="","",INDEX($B$8:$B$5007,$L573))</f>
        <v/>
      </c>
      <c r="O573" s="32" t="str">
        <f>IF($M573="","",IF($K573-$M573&gt;7,"",IF($M573&lt;=$A573,"",IF(OR($B573&lt;=0,$N573&lt;=0),"",($N573/$B573)^(365/($M573-$A573))-1))))</f>
        <v/>
      </c>
      <c r="P573" s="31" t="str">
        <f>IF($B573="","",IF($P572="",$B573,MAX($P572,$B573)))</f>
        <v/>
      </c>
      <c r="Q573" s="32" t="str">
        <f>IF($P573="","",$B573/$P573-1)</f>
        <v/>
      </c>
    </row>
    <row r="574">
      <c r="A574" s="11" t="n"/>
      <c r="B574" s="29" t="n"/>
      <c r="K574" s="30" t="str">
        <f>IF($A574="","",EDATE($A574,12*$E$4))</f>
        <v/>
      </c>
      <c r="L574" s="19" t="str">
        <f>IF($K574="","",IF($K574&gt;MAX($A$8:$A$5007),"",IFERROR(MATCH($K574,$A$8:$A$5007,1),"")))</f>
        <v/>
      </c>
      <c r="M574" s="30" t="str">
        <f>IF($L574="","",INDEX($A$8:$A$5007,$L574))</f>
        <v/>
      </c>
      <c r="N574" s="31" t="str">
        <f>IF($L574="","",INDEX($B$8:$B$5007,$L574))</f>
        <v/>
      </c>
      <c r="O574" s="32" t="str">
        <f>IF($M574="","",IF($K574-$M574&gt;7,"",IF($M574&lt;=$A574,"",IF(OR($B574&lt;=0,$N574&lt;=0),"",($N574/$B574)^(365/($M574-$A574))-1))))</f>
        <v/>
      </c>
      <c r="P574" s="31" t="str">
        <f>IF($B574="","",IF($P573="",$B574,MAX($P573,$B574)))</f>
        <v/>
      </c>
      <c r="Q574" s="32" t="str">
        <f>IF($P574="","",$B574/$P574-1)</f>
        <v/>
      </c>
    </row>
    <row r="575">
      <c r="A575" s="11" t="n"/>
      <c r="B575" s="29" t="n"/>
      <c r="K575" s="30" t="str">
        <f>IF($A575="","",EDATE($A575,12*$E$4))</f>
        <v/>
      </c>
      <c r="L575" s="19" t="str">
        <f>IF($K575="","",IF($K575&gt;MAX($A$8:$A$5007),"",IFERROR(MATCH($K575,$A$8:$A$5007,1),"")))</f>
        <v/>
      </c>
      <c r="M575" s="30" t="str">
        <f>IF($L575="","",INDEX($A$8:$A$5007,$L575))</f>
        <v/>
      </c>
      <c r="N575" s="31" t="str">
        <f>IF($L575="","",INDEX($B$8:$B$5007,$L575))</f>
        <v/>
      </c>
      <c r="O575" s="32" t="str">
        <f>IF($M575="","",IF($K575-$M575&gt;7,"",IF($M575&lt;=$A575,"",IF(OR($B575&lt;=0,$N575&lt;=0),"",($N575/$B575)^(365/($M575-$A575))-1))))</f>
        <v/>
      </c>
      <c r="P575" s="31" t="str">
        <f>IF($B575="","",IF($P574="",$B575,MAX($P574,$B575)))</f>
        <v/>
      </c>
      <c r="Q575" s="32" t="str">
        <f>IF($P575="","",$B575/$P575-1)</f>
        <v/>
      </c>
    </row>
    <row r="576">
      <c r="A576" s="11" t="n"/>
      <c r="B576" s="29" t="n"/>
      <c r="K576" s="30" t="str">
        <f>IF($A576="","",EDATE($A576,12*$E$4))</f>
        <v/>
      </c>
      <c r="L576" s="19" t="str">
        <f>IF($K576="","",IF($K576&gt;MAX($A$8:$A$5007),"",IFERROR(MATCH($K576,$A$8:$A$5007,1),"")))</f>
        <v/>
      </c>
      <c r="M576" s="30" t="str">
        <f>IF($L576="","",INDEX($A$8:$A$5007,$L576))</f>
        <v/>
      </c>
      <c r="N576" s="31" t="str">
        <f>IF($L576="","",INDEX($B$8:$B$5007,$L576))</f>
        <v/>
      </c>
      <c r="O576" s="32" t="str">
        <f>IF($M576="","",IF($K576-$M576&gt;7,"",IF($M576&lt;=$A576,"",IF(OR($B576&lt;=0,$N576&lt;=0),"",($N576/$B576)^(365/($M576-$A576))-1))))</f>
        <v/>
      </c>
      <c r="P576" s="31" t="str">
        <f>IF($B576="","",IF($P575="",$B576,MAX($P575,$B576)))</f>
        <v/>
      </c>
      <c r="Q576" s="32" t="str">
        <f>IF($P576="","",$B576/$P576-1)</f>
        <v/>
      </c>
    </row>
    <row r="577">
      <c r="A577" s="11" t="n"/>
      <c r="B577" s="29" t="n"/>
      <c r="K577" s="30" t="str">
        <f>IF($A577="","",EDATE($A577,12*$E$4))</f>
        <v/>
      </c>
      <c r="L577" s="19" t="str">
        <f>IF($K577="","",IF($K577&gt;MAX($A$8:$A$5007),"",IFERROR(MATCH($K577,$A$8:$A$5007,1),"")))</f>
        <v/>
      </c>
      <c r="M577" s="30" t="str">
        <f>IF($L577="","",INDEX($A$8:$A$5007,$L577))</f>
        <v/>
      </c>
      <c r="N577" s="31" t="str">
        <f>IF($L577="","",INDEX($B$8:$B$5007,$L577))</f>
        <v/>
      </c>
      <c r="O577" s="32" t="str">
        <f>IF($M577="","",IF($K577-$M577&gt;7,"",IF($M577&lt;=$A577,"",IF(OR($B577&lt;=0,$N577&lt;=0),"",($N577/$B577)^(365/($M577-$A577))-1))))</f>
        <v/>
      </c>
      <c r="P577" s="31" t="str">
        <f>IF($B577="","",IF($P576="",$B577,MAX($P576,$B577)))</f>
        <v/>
      </c>
      <c r="Q577" s="32" t="str">
        <f>IF($P577="","",$B577/$P577-1)</f>
        <v/>
      </c>
    </row>
    <row r="578">
      <c r="A578" s="11" t="n"/>
      <c r="B578" s="29" t="n"/>
      <c r="K578" s="30" t="str">
        <f>IF($A578="","",EDATE($A578,12*$E$4))</f>
        <v/>
      </c>
      <c r="L578" s="19" t="str">
        <f>IF($K578="","",IF($K578&gt;MAX($A$8:$A$5007),"",IFERROR(MATCH($K578,$A$8:$A$5007,1),"")))</f>
        <v/>
      </c>
      <c r="M578" s="30" t="str">
        <f>IF($L578="","",INDEX($A$8:$A$5007,$L578))</f>
        <v/>
      </c>
      <c r="N578" s="31" t="str">
        <f>IF($L578="","",INDEX($B$8:$B$5007,$L578))</f>
        <v/>
      </c>
      <c r="O578" s="32" t="str">
        <f>IF($M578="","",IF($K578-$M578&gt;7,"",IF($M578&lt;=$A578,"",IF(OR($B578&lt;=0,$N578&lt;=0),"",($N578/$B578)^(365/($M578-$A578))-1))))</f>
        <v/>
      </c>
      <c r="P578" s="31" t="str">
        <f>IF($B578="","",IF($P577="",$B578,MAX($P577,$B578)))</f>
        <v/>
      </c>
      <c r="Q578" s="32" t="str">
        <f>IF($P578="","",$B578/$P578-1)</f>
        <v/>
      </c>
    </row>
    <row r="579">
      <c r="A579" s="11" t="n"/>
      <c r="B579" s="29" t="n"/>
      <c r="K579" s="30" t="str">
        <f>IF($A579="","",EDATE($A579,12*$E$4))</f>
        <v/>
      </c>
      <c r="L579" s="19" t="str">
        <f>IF($K579="","",IF($K579&gt;MAX($A$8:$A$5007),"",IFERROR(MATCH($K579,$A$8:$A$5007,1),"")))</f>
        <v/>
      </c>
      <c r="M579" s="30" t="str">
        <f>IF($L579="","",INDEX($A$8:$A$5007,$L579))</f>
        <v/>
      </c>
      <c r="N579" s="31" t="str">
        <f>IF($L579="","",INDEX($B$8:$B$5007,$L579))</f>
        <v/>
      </c>
      <c r="O579" s="32" t="str">
        <f>IF($M579="","",IF($K579-$M579&gt;7,"",IF($M579&lt;=$A579,"",IF(OR($B579&lt;=0,$N579&lt;=0),"",($N579/$B579)^(365/($M579-$A579))-1))))</f>
        <v/>
      </c>
      <c r="P579" s="31" t="str">
        <f>IF($B579="","",IF($P578="",$B579,MAX($P578,$B579)))</f>
        <v/>
      </c>
      <c r="Q579" s="32" t="str">
        <f>IF($P579="","",$B579/$P579-1)</f>
        <v/>
      </c>
    </row>
    <row r="580">
      <c r="A580" s="11" t="n"/>
      <c r="B580" s="29" t="n"/>
      <c r="K580" s="30" t="str">
        <f>IF($A580="","",EDATE($A580,12*$E$4))</f>
        <v/>
      </c>
      <c r="L580" s="19" t="str">
        <f>IF($K580="","",IF($K580&gt;MAX($A$8:$A$5007),"",IFERROR(MATCH($K580,$A$8:$A$5007,1),"")))</f>
        <v/>
      </c>
      <c r="M580" s="30" t="str">
        <f>IF($L580="","",INDEX($A$8:$A$5007,$L580))</f>
        <v/>
      </c>
      <c r="N580" s="31" t="str">
        <f>IF($L580="","",INDEX($B$8:$B$5007,$L580))</f>
        <v/>
      </c>
      <c r="O580" s="32" t="str">
        <f>IF($M580="","",IF($K580-$M580&gt;7,"",IF($M580&lt;=$A580,"",IF(OR($B580&lt;=0,$N580&lt;=0),"",($N580/$B580)^(365/($M580-$A580))-1))))</f>
        <v/>
      </c>
      <c r="P580" s="31" t="str">
        <f>IF($B580="","",IF($P579="",$B580,MAX($P579,$B580)))</f>
        <v/>
      </c>
      <c r="Q580" s="32" t="str">
        <f>IF($P580="","",$B580/$P580-1)</f>
        <v/>
      </c>
    </row>
    <row r="581">
      <c r="A581" s="11" t="n"/>
      <c r="B581" s="29" t="n"/>
      <c r="K581" s="30" t="str">
        <f>IF($A581="","",EDATE($A581,12*$E$4))</f>
        <v/>
      </c>
      <c r="L581" s="19" t="str">
        <f>IF($K581="","",IF($K581&gt;MAX($A$8:$A$5007),"",IFERROR(MATCH($K581,$A$8:$A$5007,1),"")))</f>
        <v/>
      </c>
      <c r="M581" s="30" t="str">
        <f>IF($L581="","",INDEX($A$8:$A$5007,$L581))</f>
        <v/>
      </c>
      <c r="N581" s="31" t="str">
        <f>IF($L581="","",INDEX($B$8:$B$5007,$L581))</f>
        <v/>
      </c>
      <c r="O581" s="32" t="str">
        <f>IF($M581="","",IF($K581-$M581&gt;7,"",IF($M581&lt;=$A581,"",IF(OR($B581&lt;=0,$N581&lt;=0),"",($N581/$B581)^(365/($M581-$A581))-1))))</f>
        <v/>
      </c>
      <c r="P581" s="31" t="str">
        <f>IF($B581="","",IF($P580="",$B581,MAX($P580,$B581)))</f>
        <v/>
      </c>
      <c r="Q581" s="32" t="str">
        <f>IF($P581="","",$B581/$P581-1)</f>
        <v/>
      </c>
    </row>
    <row r="582">
      <c r="A582" s="11" t="n"/>
      <c r="B582" s="29" t="n"/>
      <c r="K582" s="30" t="str">
        <f>IF($A582="","",EDATE($A582,12*$E$4))</f>
        <v/>
      </c>
      <c r="L582" s="19" t="str">
        <f>IF($K582="","",IF($K582&gt;MAX($A$8:$A$5007),"",IFERROR(MATCH($K582,$A$8:$A$5007,1),"")))</f>
        <v/>
      </c>
      <c r="M582" s="30" t="str">
        <f>IF($L582="","",INDEX($A$8:$A$5007,$L582))</f>
        <v/>
      </c>
      <c r="N582" s="31" t="str">
        <f>IF($L582="","",INDEX($B$8:$B$5007,$L582))</f>
        <v/>
      </c>
      <c r="O582" s="32" t="str">
        <f>IF($M582="","",IF($K582-$M582&gt;7,"",IF($M582&lt;=$A582,"",IF(OR($B582&lt;=0,$N582&lt;=0),"",($N582/$B582)^(365/($M582-$A582))-1))))</f>
        <v/>
      </c>
      <c r="P582" s="31" t="str">
        <f>IF($B582="","",IF($P581="",$B582,MAX($P581,$B582)))</f>
        <v/>
      </c>
      <c r="Q582" s="32" t="str">
        <f>IF($P582="","",$B582/$P582-1)</f>
        <v/>
      </c>
    </row>
    <row r="583">
      <c r="A583" s="11" t="n"/>
      <c r="B583" s="29" t="n"/>
      <c r="K583" s="30" t="str">
        <f>IF($A583="","",EDATE($A583,12*$E$4))</f>
        <v/>
      </c>
      <c r="L583" s="19" t="str">
        <f>IF($K583="","",IF($K583&gt;MAX($A$8:$A$5007),"",IFERROR(MATCH($K583,$A$8:$A$5007,1),"")))</f>
        <v/>
      </c>
      <c r="M583" s="30" t="str">
        <f>IF($L583="","",INDEX($A$8:$A$5007,$L583))</f>
        <v/>
      </c>
      <c r="N583" s="31" t="str">
        <f>IF($L583="","",INDEX($B$8:$B$5007,$L583))</f>
        <v/>
      </c>
      <c r="O583" s="32" t="str">
        <f>IF($M583="","",IF($K583-$M583&gt;7,"",IF($M583&lt;=$A583,"",IF(OR($B583&lt;=0,$N583&lt;=0),"",($N583/$B583)^(365/($M583-$A583))-1))))</f>
        <v/>
      </c>
      <c r="P583" s="31" t="str">
        <f>IF($B583="","",IF($P582="",$B583,MAX($P582,$B583)))</f>
        <v/>
      </c>
      <c r="Q583" s="32" t="str">
        <f>IF($P583="","",$B583/$P583-1)</f>
        <v/>
      </c>
    </row>
    <row r="584">
      <c r="A584" s="11" t="n"/>
      <c r="B584" s="29" t="n"/>
      <c r="K584" s="30" t="str">
        <f>IF($A584="","",EDATE($A584,12*$E$4))</f>
        <v/>
      </c>
      <c r="L584" s="19" t="str">
        <f>IF($K584="","",IF($K584&gt;MAX($A$8:$A$5007),"",IFERROR(MATCH($K584,$A$8:$A$5007,1),"")))</f>
        <v/>
      </c>
      <c r="M584" s="30" t="str">
        <f>IF($L584="","",INDEX($A$8:$A$5007,$L584))</f>
        <v/>
      </c>
      <c r="N584" s="31" t="str">
        <f>IF($L584="","",INDEX($B$8:$B$5007,$L584))</f>
        <v/>
      </c>
      <c r="O584" s="32" t="str">
        <f>IF($M584="","",IF($K584-$M584&gt;7,"",IF($M584&lt;=$A584,"",IF(OR($B584&lt;=0,$N584&lt;=0),"",($N584/$B584)^(365/($M584-$A584))-1))))</f>
        <v/>
      </c>
      <c r="P584" s="31" t="str">
        <f>IF($B584="","",IF($P583="",$B584,MAX($P583,$B584)))</f>
        <v/>
      </c>
      <c r="Q584" s="32" t="str">
        <f>IF($P584="","",$B584/$P584-1)</f>
        <v/>
      </c>
    </row>
    <row r="585">
      <c r="A585" s="11" t="n"/>
      <c r="B585" s="29" t="n"/>
      <c r="K585" s="30" t="str">
        <f>IF($A585="","",EDATE($A585,12*$E$4))</f>
        <v/>
      </c>
      <c r="L585" s="19" t="str">
        <f>IF($K585="","",IF($K585&gt;MAX($A$8:$A$5007),"",IFERROR(MATCH($K585,$A$8:$A$5007,1),"")))</f>
        <v/>
      </c>
      <c r="M585" s="30" t="str">
        <f>IF($L585="","",INDEX($A$8:$A$5007,$L585))</f>
        <v/>
      </c>
      <c r="N585" s="31" t="str">
        <f>IF($L585="","",INDEX($B$8:$B$5007,$L585))</f>
        <v/>
      </c>
      <c r="O585" s="32" t="str">
        <f>IF($M585="","",IF($K585-$M585&gt;7,"",IF($M585&lt;=$A585,"",IF(OR($B585&lt;=0,$N585&lt;=0),"",($N585/$B585)^(365/($M585-$A585))-1))))</f>
        <v/>
      </c>
      <c r="P585" s="31" t="str">
        <f>IF($B585="","",IF($P584="",$B585,MAX($P584,$B585)))</f>
        <v/>
      </c>
      <c r="Q585" s="32" t="str">
        <f>IF($P585="","",$B585/$P585-1)</f>
        <v/>
      </c>
    </row>
    <row r="586">
      <c r="A586" s="11" t="n"/>
      <c r="B586" s="29" t="n"/>
      <c r="K586" s="30" t="str">
        <f>IF($A586="","",EDATE($A586,12*$E$4))</f>
        <v/>
      </c>
      <c r="L586" s="19" t="str">
        <f>IF($K586="","",IF($K586&gt;MAX($A$8:$A$5007),"",IFERROR(MATCH($K586,$A$8:$A$5007,1),"")))</f>
        <v/>
      </c>
      <c r="M586" s="30" t="str">
        <f>IF($L586="","",INDEX($A$8:$A$5007,$L586))</f>
        <v/>
      </c>
      <c r="N586" s="31" t="str">
        <f>IF($L586="","",INDEX($B$8:$B$5007,$L586))</f>
        <v/>
      </c>
      <c r="O586" s="32" t="str">
        <f>IF($M586="","",IF($K586-$M586&gt;7,"",IF($M586&lt;=$A586,"",IF(OR($B586&lt;=0,$N586&lt;=0),"",($N586/$B586)^(365/($M586-$A586))-1))))</f>
        <v/>
      </c>
      <c r="P586" s="31" t="str">
        <f>IF($B586="","",IF($P585="",$B586,MAX($P585,$B586)))</f>
        <v/>
      </c>
      <c r="Q586" s="32" t="str">
        <f>IF($P586="","",$B586/$P586-1)</f>
        <v/>
      </c>
    </row>
    <row r="587">
      <c r="A587" s="11" t="n"/>
      <c r="B587" s="29" t="n"/>
      <c r="K587" s="30" t="str">
        <f>IF($A587="","",EDATE($A587,12*$E$4))</f>
        <v/>
      </c>
      <c r="L587" s="19" t="str">
        <f>IF($K587="","",IF($K587&gt;MAX($A$8:$A$5007),"",IFERROR(MATCH($K587,$A$8:$A$5007,1),"")))</f>
        <v/>
      </c>
      <c r="M587" s="30" t="str">
        <f>IF($L587="","",INDEX($A$8:$A$5007,$L587))</f>
        <v/>
      </c>
      <c r="N587" s="31" t="str">
        <f>IF($L587="","",INDEX($B$8:$B$5007,$L587))</f>
        <v/>
      </c>
      <c r="O587" s="32" t="str">
        <f>IF($M587="","",IF($K587-$M587&gt;7,"",IF($M587&lt;=$A587,"",IF(OR($B587&lt;=0,$N587&lt;=0),"",($N587/$B587)^(365/($M587-$A587))-1))))</f>
        <v/>
      </c>
      <c r="P587" s="31" t="str">
        <f>IF($B587="","",IF($P586="",$B587,MAX($P586,$B587)))</f>
        <v/>
      </c>
      <c r="Q587" s="32" t="str">
        <f>IF($P587="","",$B587/$P587-1)</f>
        <v/>
      </c>
    </row>
    <row r="588">
      <c r="A588" s="11" t="n"/>
      <c r="B588" s="29" t="n"/>
      <c r="K588" s="30" t="str">
        <f>IF($A588="","",EDATE($A588,12*$E$4))</f>
        <v/>
      </c>
      <c r="L588" s="19" t="str">
        <f>IF($K588="","",IF($K588&gt;MAX($A$8:$A$5007),"",IFERROR(MATCH($K588,$A$8:$A$5007,1),"")))</f>
        <v/>
      </c>
      <c r="M588" s="30" t="str">
        <f>IF($L588="","",INDEX($A$8:$A$5007,$L588))</f>
        <v/>
      </c>
      <c r="N588" s="31" t="str">
        <f>IF($L588="","",INDEX($B$8:$B$5007,$L588))</f>
        <v/>
      </c>
      <c r="O588" s="32" t="str">
        <f>IF($M588="","",IF($K588-$M588&gt;7,"",IF($M588&lt;=$A588,"",IF(OR($B588&lt;=0,$N588&lt;=0),"",($N588/$B588)^(365/($M588-$A588))-1))))</f>
        <v/>
      </c>
      <c r="P588" s="31" t="str">
        <f>IF($B588="","",IF($P587="",$B588,MAX($P587,$B588)))</f>
        <v/>
      </c>
      <c r="Q588" s="32" t="str">
        <f>IF($P588="","",$B588/$P588-1)</f>
        <v/>
      </c>
    </row>
    <row r="589">
      <c r="A589" s="11" t="n"/>
      <c r="B589" s="29" t="n"/>
      <c r="K589" s="30" t="str">
        <f>IF($A589="","",EDATE($A589,12*$E$4))</f>
        <v/>
      </c>
      <c r="L589" s="19" t="str">
        <f>IF($K589="","",IF($K589&gt;MAX($A$8:$A$5007),"",IFERROR(MATCH($K589,$A$8:$A$5007,1),"")))</f>
        <v/>
      </c>
      <c r="M589" s="30" t="str">
        <f>IF($L589="","",INDEX($A$8:$A$5007,$L589))</f>
        <v/>
      </c>
      <c r="N589" s="31" t="str">
        <f>IF($L589="","",INDEX($B$8:$B$5007,$L589))</f>
        <v/>
      </c>
      <c r="O589" s="32" t="str">
        <f>IF($M589="","",IF($K589-$M589&gt;7,"",IF($M589&lt;=$A589,"",IF(OR($B589&lt;=0,$N589&lt;=0),"",($N589/$B589)^(365/($M589-$A589))-1))))</f>
        <v/>
      </c>
      <c r="P589" s="31" t="str">
        <f>IF($B589="","",IF($P588="",$B589,MAX($P588,$B589)))</f>
        <v/>
      </c>
      <c r="Q589" s="32" t="str">
        <f>IF($P589="","",$B589/$P589-1)</f>
        <v/>
      </c>
    </row>
    <row r="590">
      <c r="A590" s="11" t="n"/>
      <c r="B590" s="29" t="n"/>
      <c r="K590" s="30" t="str">
        <f>IF($A590="","",EDATE($A590,12*$E$4))</f>
        <v/>
      </c>
      <c r="L590" s="19" t="str">
        <f>IF($K590="","",IF($K590&gt;MAX($A$8:$A$5007),"",IFERROR(MATCH($K590,$A$8:$A$5007,1),"")))</f>
        <v/>
      </c>
      <c r="M590" s="30" t="str">
        <f>IF($L590="","",INDEX($A$8:$A$5007,$L590))</f>
        <v/>
      </c>
      <c r="N590" s="31" t="str">
        <f>IF($L590="","",INDEX($B$8:$B$5007,$L590))</f>
        <v/>
      </c>
      <c r="O590" s="32" t="str">
        <f>IF($M590="","",IF($K590-$M590&gt;7,"",IF($M590&lt;=$A590,"",IF(OR($B590&lt;=0,$N590&lt;=0),"",($N590/$B590)^(365/($M590-$A590))-1))))</f>
        <v/>
      </c>
      <c r="P590" s="31" t="str">
        <f>IF($B590="","",IF($P589="",$B590,MAX($P589,$B590)))</f>
        <v/>
      </c>
      <c r="Q590" s="32" t="str">
        <f>IF($P590="","",$B590/$P590-1)</f>
        <v/>
      </c>
    </row>
    <row r="591">
      <c r="A591" s="11" t="n"/>
      <c r="B591" s="29" t="n"/>
      <c r="K591" s="30" t="str">
        <f>IF($A591="","",EDATE($A591,12*$E$4))</f>
        <v/>
      </c>
      <c r="L591" s="19" t="str">
        <f>IF($K591="","",IF($K591&gt;MAX($A$8:$A$5007),"",IFERROR(MATCH($K591,$A$8:$A$5007,1),"")))</f>
        <v/>
      </c>
      <c r="M591" s="30" t="str">
        <f>IF($L591="","",INDEX($A$8:$A$5007,$L591))</f>
        <v/>
      </c>
      <c r="N591" s="31" t="str">
        <f>IF($L591="","",INDEX($B$8:$B$5007,$L591))</f>
        <v/>
      </c>
      <c r="O591" s="32" t="str">
        <f>IF($M591="","",IF($K591-$M591&gt;7,"",IF($M591&lt;=$A591,"",IF(OR($B591&lt;=0,$N591&lt;=0),"",($N591/$B591)^(365/($M591-$A591))-1))))</f>
        <v/>
      </c>
      <c r="P591" s="31" t="str">
        <f>IF($B591="","",IF($P590="",$B591,MAX($P590,$B591)))</f>
        <v/>
      </c>
      <c r="Q591" s="32" t="str">
        <f>IF($P591="","",$B591/$P591-1)</f>
        <v/>
      </c>
    </row>
    <row r="592">
      <c r="A592" s="11" t="n"/>
      <c r="B592" s="29" t="n"/>
      <c r="K592" s="30" t="str">
        <f>IF($A592="","",EDATE($A592,12*$E$4))</f>
        <v/>
      </c>
      <c r="L592" s="19" t="str">
        <f>IF($K592="","",IF($K592&gt;MAX($A$8:$A$5007),"",IFERROR(MATCH($K592,$A$8:$A$5007,1),"")))</f>
        <v/>
      </c>
      <c r="M592" s="30" t="str">
        <f>IF($L592="","",INDEX($A$8:$A$5007,$L592))</f>
        <v/>
      </c>
      <c r="N592" s="31" t="str">
        <f>IF($L592="","",INDEX($B$8:$B$5007,$L592))</f>
        <v/>
      </c>
      <c r="O592" s="32" t="str">
        <f>IF($M592="","",IF($K592-$M592&gt;7,"",IF($M592&lt;=$A592,"",IF(OR($B592&lt;=0,$N592&lt;=0),"",($N592/$B592)^(365/($M592-$A592))-1))))</f>
        <v/>
      </c>
      <c r="P592" s="31" t="str">
        <f>IF($B592="","",IF($P591="",$B592,MAX($P591,$B592)))</f>
        <v/>
      </c>
      <c r="Q592" s="32" t="str">
        <f>IF($P592="","",$B592/$P592-1)</f>
        <v/>
      </c>
    </row>
    <row r="593">
      <c r="A593" s="11" t="n"/>
      <c r="B593" s="29" t="n"/>
      <c r="K593" s="30" t="str">
        <f>IF($A593="","",EDATE($A593,12*$E$4))</f>
        <v/>
      </c>
      <c r="L593" s="19" t="str">
        <f>IF($K593="","",IF($K593&gt;MAX($A$8:$A$5007),"",IFERROR(MATCH($K593,$A$8:$A$5007,1),"")))</f>
        <v/>
      </c>
      <c r="M593" s="30" t="str">
        <f>IF($L593="","",INDEX($A$8:$A$5007,$L593))</f>
        <v/>
      </c>
      <c r="N593" s="31" t="str">
        <f>IF($L593="","",INDEX($B$8:$B$5007,$L593))</f>
        <v/>
      </c>
      <c r="O593" s="32" t="str">
        <f>IF($M593="","",IF($K593-$M593&gt;7,"",IF($M593&lt;=$A593,"",IF(OR($B593&lt;=0,$N593&lt;=0),"",($N593/$B593)^(365/($M593-$A593))-1))))</f>
        <v/>
      </c>
      <c r="P593" s="31" t="str">
        <f>IF($B593="","",IF($P592="",$B593,MAX($P592,$B593)))</f>
        <v/>
      </c>
      <c r="Q593" s="32" t="str">
        <f>IF($P593="","",$B593/$P593-1)</f>
        <v/>
      </c>
    </row>
    <row r="594">
      <c r="A594" s="11" t="n"/>
      <c r="B594" s="29" t="n"/>
      <c r="K594" s="30" t="str">
        <f>IF($A594="","",EDATE($A594,12*$E$4))</f>
        <v/>
      </c>
      <c r="L594" s="19" t="str">
        <f>IF($K594="","",IF($K594&gt;MAX($A$8:$A$5007),"",IFERROR(MATCH($K594,$A$8:$A$5007,1),"")))</f>
        <v/>
      </c>
      <c r="M594" s="30" t="str">
        <f>IF($L594="","",INDEX($A$8:$A$5007,$L594))</f>
        <v/>
      </c>
      <c r="N594" s="31" t="str">
        <f>IF($L594="","",INDEX($B$8:$B$5007,$L594))</f>
        <v/>
      </c>
      <c r="O594" s="32" t="str">
        <f>IF($M594="","",IF($K594-$M594&gt;7,"",IF($M594&lt;=$A594,"",IF(OR($B594&lt;=0,$N594&lt;=0),"",($N594/$B594)^(365/($M594-$A594))-1))))</f>
        <v/>
      </c>
      <c r="P594" s="31" t="str">
        <f>IF($B594="","",IF($P593="",$B594,MAX($P593,$B594)))</f>
        <v/>
      </c>
      <c r="Q594" s="32" t="str">
        <f>IF($P594="","",$B594/$P594-1)</f>
        <v/>
      </c>
    </row>
    <row r="595">
      <c r="A595" s="11" t="n"/>
      <c r="B595" s="29" t="n"/>
      <c r="K595" s="30" t="str">
        <f>IF($A595="","",EDATE($A595,12*$E$4))</f>
        <v/>
      </c>
      <c r="L595" s="19" t="str">
        <f>IF($K595="","",IF($K595&gt;MAX($A$8:$A$5007),"",IFERROR(MATCH($K595,$A$8:$A$5007,1),"")))</f>
        <v/>
      </c>
      <c r="M595" s="30" t="str">
        <f>IF($L595="","",INDEX($A$8:$A$5007,$L595))</f>
        <v/>
      </c>
      <c r="N595" s="31" t="str">
        <f>IF($L595="","",INDEX($B$8:$B$5007,$L595))</f>
        <v/>
      </c>
      <c r="O595" s="32" t="str">
        <f>IF($M595="","",IF($K595-$M595&gt;7,"",IF($M595&lt;=$A595,"",IF(OR($B595&lt;=0,$N595&lt;=0),"",($N595/$B595)^(365/($M595-$A595))-1))))</f>
        <v/>
      </c>
      <c r="P595" s="31" t="str">
        <f>IF($B595="","",IF($P594="",$B595,MAX($P594,$B595)))</f>
        <v/>
      </c>
      <c r="Q595" s="32" t="str">
        <f>IF($P595="","",$B595/$P595-1)</f>
        <v/>
      </c>
    </row>
    <row r="596">
      <c r="A596" s="11" t="n"/>
      <c r="B596" s="29" t="n"/>
      <c r="K596" s="30" t="str">
        <f>IF($A596="","",EDATE($A596,12*$E$4))</f>
        <v/>
      </c>
      <c r="L596" s="19" t="str">
        <f>IF($K596="","",IF($K596&gt;MAX($A$8:$A$5007),"",IFERROR(MATCH($K596,$A$8:$A$5007,1),"")))</f>
        <v/>
      </c>
      <c r="M596" s="30" t="str">
        <f>IF($L596="","",INDEX($A$8:$A$5007,$L596))</f>
        <v/>
      </c>
      <c r="N596" s="31" t="str">
        <f>IF($L596="","",INDEX($B$8:$B$5007,$L596))</f>
        <v/>
      </c>
      <c r="O596" s="32" t="str">
        <f>IF($M596="","",IF($K596-$M596&gt;7,"",IF($M596&lt;=$A596,"",IF(OR($B596&lt;=0,$N596&lt;=0),"",($N596/$B596)^(365/($M596-$A596))-1))))</f>
        <v/>
      </c>
      <c r="P596" s="31" t="str">
        <f>IF($B596="","",IF($P595="",$B596,MAX($P595,$B596)))</f>
        <v/>
      </c>
      <c r="Q596" s="32" t="str">
        <f>IF($P596="","",$B596/$P596-1)</f>
        <v/>
      </c>
    </row>
    <row r="597">
      <c r="A597" s="11" t="n"/>
      <c r="B597" s="29" t="n"/>
      <c r="K597" s="30" t="str">
        <f>IF($A597="","",EDATE($A597,12*$E$4))</f>
        <v/>
      </c>
      <c r="L597" s="19" t="str">
        <f>IF($K597="","",IF($K597&gt;MAX($A$8:$A$5007),"",IFERROR(MATCH($K597,$A$8:$A$5007,1),"")))</f>
        <v/>
      </c>
      <c r="M597" s="30" t="str">
        <f>IF($L597="","",INDEX($A$8:$A$5007,$L597))</f>
        <v/>
      </c>
      <c r="N597" s="31" t="str">
        <f>IF($L597="","",INDEX($B$8:$B$5007,$L597))</f>
        <v/>
      </c>
      <c r="O597" s="32" t="str">
        <f>IF($M597="","",IF($K597-$M597&gt;7,"",IF($M597&lt;=$A597,"",IF(OR($B597&lt;=0,$N597&lt;=0),"",($N597/$B597)^(365/($M597-$A597))-1))))</f>
        <v/>
      </c>
      <c r="P597" s="31" t="str">
        <f>IF($B597="","",IF($P596="",$B597,MAX($P596,$B597)))</f>
        <v/>
      </c>
      <c r="Q597" s="32" t="str">
        <f>IF($P597="","",$B597/$P597-1)</f>
        <v/>
      </c>
    </row>
    <row r="598">
      <c r="A598" s="11" t="n"/>
      <c r="B598" s="29" t="n"/>
      <c r="K598" s="30" t="str">
        <f>IF($A598="","",EDATE($A598,12*$E$4))</f>
        <v/>
      </c>
      <c r="L598" s="19" t="str">
        <f>IF($K598="","",IF($K598&gt;MAX($A$8:$A$5007),"",IFERROR(MATCH($K598,$A$8:$A$5007,1),"")))</f>
        <v/>
      </c>
      <c r="M598" s="30" t="str">
        <f>IF($L598="","",INDEX($A$8:$A$5007,$L598))</f>
        <v/>
      </c>
      <c r="N598" s="31" t="str">
        <f>IF($L598="","",INDEX($B$8:$B$5007,$L598))</f>
        <v/>
      </c>
      <c r="O598" s="32" t="str">
        <f>IF($M598="","",IF($K598-$M598&gt;7,"",IF($M598&lt;=$A598,"",IF(OR($B598&lt;=0,$N598&lt;=0),"",($N598/$B598)^(365/($M598-$A598))-1))))</f>
        <v/>
      </c>
      <c r="P598" s="31" t="str">
        <f>IF($B598="","",IF($P597="",$B598,MAX($P597,$B598)))</f>
        <v/>
      </c>
      <c r="Q598" s="32" t="str">
        <f>IF($P598="","",$B598/$P598-1)</f>
        <v/>
      </c>
    </row>
    <row r="599">
      <c r="A599" s="11" t="n"/>
      <c r="B599" s="29" t="n"/>
      <c r="K599" s="30" t="str">
        <f>IF($A599="","",EDATE($A599,12*$E$4))</f>
        <v/>
      </c>
      <c r="L599" s="19" t="str">
        <f>IF($K599="","",IF($K599&gt;MAX($A$8:$A$5007),"",IFERROR(MATCH($K599,$A$8:$A$5007,1),"")))</f>
        <v/>
      </c>
      <c r="M599" s="30" t="str">
        <f>IF($L599="","",INDEX($A$8:$A$5007,$L599))</f>
        <v/>
      </c>
      <c r="N599" s="31" t="str">
        <f>IF($L599="","",INDEX($B$8:$B$5007,$L599))</f>
        <v/>
      </c>
      <c r="O599" s="32" t="str">
        <f>IF($M599="","",IF($K599-$M599&gt;7,"",IF($M599&lt;=$A599,"",IF(OR($B599&lt;=0,$N599&lt;=0),"",($N599/$B599)^(365/($M599-$A599))-1))))</f>
        <v/>
      </c>
      <c r="P599" s="31" t="str">
        <f>IF($B599="","",IF($P598="",$B599,MAX($P598,$B599)))</f>
        <v/>
      </c>
      <c r="Q599" s="32" t="str">
        <f>IF($P599="","",$B599/$P599-1)</f>
        <v/>
      </c>
    </row>
    <row r="600">
      <c r="A600" s="11" t="n"/>
      <c r="B600" s="29" t="n"/>
      <c r="K600" s="30" t="str">
        <f>IF($A600="","",EDATE($A600,12*$E$4))</f>
        <v/>
      </c>
      <c r="L600" s="19" t="str">
        <f>IF($K600="","",IF($K600&gt;MAX($A$8:$A$5007),"",IFERROR(MATCH($K600,$A$8:$A$5007,1),"")))</f>
        <v/>
      </c>
      <c r="M600" s="30" t="str">
        <f>IF($L600="","",INDEX($A$8:$A$5007,$L600))</f>
        <v/>
      </c>
      <c r="N600" s="31" t="str">
        <f>IF($L600="","",INDEX($B$8:$B$5007,$L600))</f>
        <v/>
      </c>
      <c r="O600" s="32" t="str">
        <f>IF($M600="","",IF($K600-$M600&gt;7,"",IF($M600&lt;=$A600,"",IF(OR($B600&lt;=0,$N600&lt;=0),"",($N600/$B600)^(365/($M600-$A600))-1))))</f>
        <v/>
      </c>
      <c r="P600" s="31" t="str">
        <f>IF($B600="","",IF($P599="",$B600,MAX($P599,$B600)))</f>
        <v/>
      </c>
      <c r="Q600" s="32" t="str">
        <f>IF($P600="","",$B600/$P600-1)</f>
        <v/>
      </c>
    </row>
    <row r="601">
      <c r="A601" s="11" t="n"/>
      <c r="B601" s="29" t="n"/>
      <c r="K601" s="30" t="str">
        <f>IF($A601="","",EDATE($A601,12*$E$4))</f>
        <v/>
      </c>
      <c r="L601" s="19" t="str">
        <f>IF($K601="","",IF($K601&gt;MAX($A$8:$A$5007),"",IFERROR(MATCH($K601,$A$8:$A$5007,1),"")))</f>
        <v/>
      </c>
      <c r="M601" s="30" t="str">
        <f>IF($L601="","",INDEX($A$8:$A$5007,$L601))</f>
        <v/>
      </c>
      <c r="N601" s="31" t="str">
        <f>IF($L601="","",INDEX($B$8:$B$5007,$L601))</f>
        <v/>
      </c>
      <c r="O601" s="32" t="str">
        <f>IF($M601="","",IF($K601-$M601&gt;7,"",IF($M601&lt;=$A601,"",IF(OR($B601&lt;=0,$N601&lt;=0),"",($N601/$B601)^(365/($M601-$A601))-1))))</f>
        <v/>
      </c>
      <c r="P601" s="31" t="str">
        <f>IF($B601="","",IF($P600="",$B601,MAX($P600,$B601)))</f>
        <v/>
      </c>
      <c r="Q601" s="32" t="str">
        <f>IF($P601="","",$B601/$P601-1)</f>
        <v/>
      </c>
    </row>
    <row r="602">
      <c r="A602" s="11" t="n"/>
      <c r="B602" s="29" t="n"/>
      <c r="K602" s="30" t="str">
        <f>IF($A602="","",EDATE($A602,12*$E$4))</f>
        <v/>
      </c>
      <c r="L602" s="19" t="str">
        <f>IF($K602="","",IF($K602&gt;MAX($A$8:$A$5007),"",IFERROR(MATCH($K602,$A$8:$A$5007,1),"")))</f>
        <v/>
      </c>
      <c r="M602" s="30" t="str">
        <f>IF($L602="","",INDEX($A$8:$A$5007,$L602))</f>
        <v/>
      </c>
      <c r="N602" s="31" t="str">
        <f>IF($L602="","",INDEX($B$8:$B$5007,$L602))</f>
        <v/>
      </c>
      <c r="O602" s="32" t="str">
        <f>IF($M602="","",IF($K602-$M602&gt;7,"",IF($M602&lt;=$A602,"",IF(OR($B602&lt;=0,$N602&lt;=0),"",($N602/$B602)^(365/($M602-$A602))-1))))</f>
        <v/>
      </c>
      <c r="P602" s="31" t="str">
        <f>IF($B602="","",IF($P601="",$B602,MAX($P601,$B602)))</f>
        <v/>
      </c>
      <c r="Q602" s="32" t="str">
        <f>IF($P602="","",$B602/$P602-1)</f>
        <v/>
      </c>
    </row>
    <row r="603">
      <c r="A603" s="11" t="n"/>
      <c r="B603" s="29" t="n"/>
      <c r="K603" s="30" t="str">
        <f>IF($A603="","",EDATE($A603,12*$E$4))</f>
        <v/>
      </c>
      <c r="L603" s="19" t="str">
        <f>IF($K603="","",IF($K603&gt;MAX($A$8:$A$5007),"",IFERROR(MATCH($K603,$A$8:$A$5007,1),"")))</f>
        <v/>
      </c>
      <c r="M603" s="30" t="str">
        <f>IF($L603="","",INDEX($A$8:$A$5007,$L603))</f>
        <v/>
      </c>
      <c r="N603" s="31" t="str">
        <f>IF($L603="","",INDEX($B$8:$B$5007,$L603))</f>
        <v/>
      </c>
      <c r="O603" s="32" t="str">
        <f>IF($M603="","",IF($K603-$M603&gt;7,"",IF($M603&lt;=$A603,"",IF(OR($B603&lt;=0,$N603&lt;=0),"",($N603/$B603)^(365/($M603-$A603))-1))))</f>
        <v/>
      </c>
      <c r="P603" s="31" t="str">
        <f>IF($B603="","",IF($P602="",$B603,MAX($P602,$B603)))</f>
        <v/>
      </c>
      <c r="Q603" s="32" t="str">
        <f>IF($P603="","",$B603/$P603-1)</f>
        <v/>
      </c>
    </row>
    <row r="604">
      <c r="A604" s="11" t="n"/>
      <c r="B604" s="29" t="n"/>
      <c r="K604" s="30" t="str">
        <f>IF($A604="","",EDATE($A604,12*$E$4))</f>
        <v/>
      </c>
      <c r="L604" s="19" t="str">
        <f>IF($K604="","",IF($K604&gt;MAX($A$8:$A$5007),"",IFERROR(MATCH($K604,$A$8:$A$5007,1),"")))</f>
        <v/>
      </c>
      <c r="M604" s="30" t="str">
        <f>IF($L604="","",INDEX($A$8:$A$5007,$L604))</f>
        <v/>
      </c>
      <c r="N604" s="31" t="str">
        <f>IF($L604="","",INDEX($B$8:$B$5007,$L604))</f>
        <v/>
      </c>
      <c r="O604" s="32" t="str">
        <f>IF($M604="","",IF($K604-$M604&gt;7,"",IF($M604&lt;=$A604,"",IF(OR($B604&lt;=0,$N604&lt;=0),"",($N604/$B604)^(365/($M604-$A604))-1))))</f>
        <v/>
      </c>
      <c r="P604" s="31" t="str">
        <f>IF($B604="","",IF($P603="",$B604,MAX($P603,$B604)))</f>
        <v/>
      </c>
      <c r="Q604" s="32" t="str">
        <f>IF($P604="","",$B604/$P604-1)</f>
        <v/>
      </c>
    </row>
    <row r="605">
      <c r="A605" s="11" t="n"/>
      <c r="B605" s="29" t="n"/>
      <c r="K605" s="30" t="str">
        <f>IF($A605="","",EDATE($A605,12*$E$4))</f>
        <v/>
      </c>
      <c r="L605" s="19" t="str">
        <f>IF($K605="","",IF($K605&gt;MAX($A$8:$A$5007),"",IFERROR(MATCH($K605,$A$8:$A$5007,1),"")))</f>
        <v/>
      </c>
      <c r="M605" s="30" t="str">
        <f>IF($L605="","",INDEX($A$8:$A$5007,$L605))</f>
        <v/>
      </c>
      <c r="N605" s="31" t="str">
        <f>IF($L605="","",INDEX($B$8:$B$5007,$L605))</f>
        <v/>
      </c>
      <c r="O605" s="32" t="str">
        <f>IF($M605="","",IF($K605-$M605&gt;7,"",IF($M605&lt;=$A605,"",IF(OR($B605&lt;=0,$N605&lt;=0),"",($N605/$B605)^(365/($M605-$A605))-1))))</f>
        <v/>
      </c>
      <c r="P605" s="31" t="str">
        <f>IF($B605="","",IF($P604="",$B605,MAX($P604,$B605)))</f>
        <v/>
      </c>
      <c r="Q605" s="32" t="str">
        <f>IF($P605="","",$B605/$P605-1)</f>
        <v/>
      </c>
    </row>
    <row r="606">
      <c r="A606" s="11" t="n"/>
      <c r="B606" s="29" t="n"/>
      <c r="K606" s="30" t="str">
        <f>IF($A606="","",EDATE($A606,12*$E$4))</f>
        <v/>
      </c>
      <c r="L606" s="19" t="str">
        <f>IF($K606="","",IF($K606&gt;MAX($A$8:$A$5007),"",IFERROR(MATCH($K606,$A$8:$A$5007,1),"")))</f>
        <v/>
      </c>
      <c r="M606" s="30" t="str">
        <f>IF($L606="","",INDEX($A$8:$A$5007,$L606))</f>
        <v/>
      </c>
      <c r="N606" s="31" t="str">
        <f>IF($L606="","",INDEX($B$8:$B$5007,$L606))</f>
        <v/>
      </c>
      <c r="O606" s="32" t="str">
        <f>IF($M606="","",IF($K606-$M606&gt;7,"",IF($M606&lt;=$A606,"",IF(OR($B606&lt;=0,$N606&lt;=0),"",($N606/$B606)^(365/($M606-$A606))-1))))</f>
        <v/>
      </c>
      <c r="P606" s="31" t="str">
        <f>IF($B606="","",IF($P605="",$B606,MAX($P605,$B606)))</f>
        <v/>
      </c>
      <c r="Q606" s="32" t="str">
        <f>IF($P606="","",$B606/$P606-1)</f>
        <v/>
      </c>
    </row>
    <row r="607">
      <c r="A607" s="11" t="n"/>
      <c r="B607" s="29" t="n"/>
      <c r="K607" s="30" t="str">
        <f>IF($A607="","",EDATE($A607,12*$E$4))</f>
        <v/>
      </c>
      <c r="L607" s="19" t="str">
        <f>IF($K607="","",IF($K607&gt;MAX($A$8:$A$5007),"",IFERROR(MATCH($K607,$A$8:$A$5007,1),"")))</f>
        <v/>
      </c>
      <c r="M607" s="30" t="str">
        <f>IF($L607="","",INDEX($A$8:$A$5007,$L607))</f>
        <v/>
      </c>
      <c r="N607" s="31" t="str">
        <f>IF($L607="","",INDEX($B$8:$B$5007,$L607))</f>
        <v/>
      </c>
      <c r="O607" s="32" t="str">
        <f>IF($M607="","",IF($K607-$M607&gt;7,"",IF($M607&lt;=$A607,"",IF(OR($B607&lt;=0,$N607&lt;=0),"",($N607/$B607)^(365/($M607-$A607))-1))))</f>
        <v/>
      </c>
      <c r="P607" s="31" t="str">
        <f>IF($B607="","",IF($P606="",$B607,MAX($P606,$B607)))</f>
        <v/>
      </c>
      <c r="Q607" s="32" t="str">
        <f>IF($P607="","",$B607/$P607-1)</f>
        <v/>
      </c>
    </row>
    <row r="608">
      <c r="A608" s="11" t="n"/>
      <c r="B608" s="29" t="n"/>
      <c r="K608" s="30" t="str">
        <f>IF($A608="","",EDATE($A608,12*$E$4))</f>
        <v/>
      </c>
      <c r="L608" s="19" t="str">
        <f>IF($K608="","",IF($K608&gt;MAX($A$8:$A$5007),"",IFERROR(MATCH($K608,$A$8:$A$5007,1),"")))</f>
        <v/>
      </c>
      <c r="M608" s="30" t="str">
        <f>IF($L608="","",INDEX($A$8:$A$5007,$L608))</f>
        <v/>
      </c>
      <c r="N608" s="31" t="str">
        <f>IF($L608="","",INDEX($B$8:$B$5007,$L608))</f>
        <v/>
      </c>
      <c r="O608" s="32" t="str">
        <f>IF($M608="","",IF($K608-$M608&gt;7,"",IF($M608&lt;=$A608,"",IF(OR($B608&lt;=0,$N608&lt;=0),"",($N608/$B608)^(365/($M608-$A608))-1))))</f>
        <v/>
      </c>
      <c r="P608" s="31" t="str">
        <f>IF($B608="","",IF($P607="",$B608,MAX($P607,$B608)))</f>
        <v/>
      </c>
      <c r="Q608" s="32" t="str">
        <f>IF($P608="","",$B608/$P608-1)</f>
        <v/>
      </c>
    </row>
    <row r="609">
      <c r="A609" s="11" t="n"/>
      <c r="B609" s="29" t="n"/>
      <c r="K609" s="30" t="str">
        <f>IF($A609="","",EDATE($A609,12*$E$4))</f>
        <v/>
      </c>
      <c r="L609" s="19" t="str">
        <f>IF($K609="","",IF($K609&gt;MAX($A$8:$A$5007),"",IFERROR(MATCH($K609,$A$8:$A$5007,1),"")))</f>
        <v/>
      </c>
      <c r="M609" s="30" t="str">
        <f>IF($L609="","",INDEX($A$8:$A$5007,$L609))</f>
        <v/>
      </c>
      <c r="N609" s="31" t="str">
        <f>IF($L609="","",INDEX($B$8:$B$5007,$L609))</f>
        <v/>
      </c>
      <c r="O609" s="32" t="str">
        <f>IF($M609="","",IF($K609-$M609&gt;7,"",IF($M609&lt;=$A609,"",IF(OR($B609&lt;=0,$N609&lt;=0),"",($N609/$B609)^(365/($M609-$A609))-1))))</f>
        <v/>
      </c>
      <c r="P609" s="31" t="str">
        <f>IF($B609="","",IF($P608="",$B609,MAX($P608,$B609)))</f>
        <v/>
      </c>
      <c r="Q609" s="32" t="str">
        <f>IF($P609="","",$B609/$P609-1)</f>
        <v/>
      </c>
    </row>
    <row r="610">
      <c r="A610" s="11" t="n"/>
      <c r="B610" s="29" t="n"/>
      <c r="K610" s="30" t="str">
        <f>IF($A610="","",EDATE($A610,12*$E$4))</f>
        <v/>
      </c>
      <c r="L610" s="19" t="str">
        <f>IF($K610="","",IF($K610&gt;MAX($A$8:$A$5007),"",IFERROR(MATCH($K610,$A$8:$A$5007,1),"")))</f>
        <v/>
      </c>
      <c r="M610" s="30" t="str">
        <f>IF($L610="","",INDEX($A$8:$A$5007,$L610))</f>
        <v/>
      </c>
      <c r="N610" s="31" t="str">
        <f>IF($L610="","",INDEX($B$8:$B$5007,$L610))</f>
        <v/>
      </c>
      <c r="O610" s="32" t="str">
        <f>IF($M610="","",IF($K610-$M610&gt;7,"",IF($M610&lt;=$A610,"",IF(OR($B610&lt;=0,$N610&lt;=0),"",($N610/$B610)^(365/($M610-$A610))-1))))</f>
        <v/>
      </c>
      <c r="P610" s="31" t="str">
        <f>IF($B610="","",IF($P609="",$B610,MAX($P609,$B610)))</f>
        <v/>
      </c>
      <c r="Q610" s="32" t="str">
        <f>IF($P610="","",$B610/$P610-1)</f>
        <v/>
      </c>
    </row>
    <row r="611">
      <c r="A611" s="11" t="n"/>
      <c r="B611" s="29" t="n"/>
      <c r="K611" s="30" t="str">
        <f>IF($A611="","",EDATE($A611,12*$E$4))</f>
        <v/>
      </c>
      <c r="L611" s="19" t="str">
        <f>IF($K611="","",IF($K611&gt;MAX($A$8:$A$5007),"",IFERROR(MATCH($K611,$A$8:$A$5007,1),"")))</f>
        <v/>
      </c>
      <c r="M611" s="30" t="str">
        <f>IF($L611="","",INDEX($A$8:$A$5007,$L611))</f>
        <v/>
      </c>
      <c r="N611" s="31" t="str">
        <f>IF($L611="","",INDEX($B$8:$B$5007,$L611))</f>
        <v/>
      </c>
      <c r="O611" s="32" t="str">
        <f>IF($M611="","",IF($K611-$M611&gt;7,"",IF($M611&lt;=$A611,"",IF(OR($B611&lt;=0,$N611&lt;=0),"",($N611/$B611)^(365/($M611-$A611))-1))))</f>
        <v/>
      </c>
      <c r="P611" s="31" t="str">
        <f>IF($B611="","",IF($P610="",$B611,MAX($P610,$B611)))</f>
        <v/>
      </c>
      <c r="Q611" s="32" t="str">
        <f>IF($P611="","",$B611/$P611-1)</f>
        <v/>
      </c>
    </row>
    <row r="612">
      <c r="A612" s="11" t="n"/>
      <c r="B612" s="29" t="n"/>
      <c r="K612" s="30" t="str">
        <f>IF($A612="","",EDATE($A612,12*$E$4))</f>
        <v/>
      </c>
      <c r="L612" s="19" t="str">
        <f>IF($K612="","",IF($K612&gt;MAX($A$8:$A$5007),"",IFERROR(MATCH($K612,$A$8:$A$5007,1),"")))</f>
        <v/>
      </c>
      <c r="M612" s="30" t="str">
        <f>IF($L612="","",INDEX($A$8:$A$5007,$L612))</f>
        <v/>
      </c>
      <c r="N612" s="31" t="str">
        <f>IF($L612="","",INDEX($B$8:$B$5007,$L612))</f>
        <v/>
      </c>
      <c r="O612" s="32" t="str">
        <f>IF($M612="","",IF($K612-$M612&gt;7,"",IF($M612&lt;=$A612,"",IF(OR($B612&lt;=0,$N612&lt;=0),"",($N612/$B612)^(365/($M612-$A612))-1))))</f>
        <v/>
      </c>
      <c r="P612" s="31" t="str">
        <f>IF($B612="","",IF($P611="",$B612,MAX($P611,$B612)))</f>
        <v/>
      </c>
      <c r="Q612" s="32" t="str">
        <f>IF($P612="","",$B612/$P612-1)</f>
        <v/>
      </c>
    </row>
    <row r="613">
      <c r="A613" s="11" t="n"/>
      <c r="B613" s="29" t="n"/>
      <c r="K613" s="30" t="str">
        <f>IF($A613="","",EDATE($A613,12*$E$4))</f>
        <v/>
      </c>
      <c r="L613" s="19" t="str">
        <f>IF($K613="","",IF($K613&gt;MAX($A$8:$A$5007),"",IFERROR(MATCH($K613,$A$8:$A$5007,1),"")))</f>
        <v/>
      </c>
      <c r="M613" s="30" t="str">
        <f>IF($L613="","",INDEX($A$8:$A$5007,$L613))</f>
        <v/>
      </c>
      <c r="N613" s="31" t="str">
        <f>IF($L613="","",INDEX($B$8:$B$5007,$L613))</f>
        <v/>
      </c>
      <c r="O613" s="32" t="str">
        <f>IF($M613="","",IF($K613-$M613&gt;7,"",IF($M613&lt;=$A613,"",IF(OR($B613&lt;=0,$N613&lt;=0),"",($N613/$B613)^(365/($M613-$A613))-1))))</f>
        <v/>
      </c>
      <c r="P613" s="31" t="str">
        <f>IF($B613="","",IF($P612="",$B613,MAX($P612,$B613)))</f>
        <v/>
      </c>
      <c r="Q613" s="32" t="str">
        <f>IF($P613="","",$B613/$P613-1)</f>
        <v/>
      </c>
    </row>
    <row r="614">
      <c r="A614" s="11" t="n"/>
      <c r="B614" s="29" t="n"/>
      <c r="K614" s="30" t="str">
        <f>IF($A614="","",EDATE($A614,12*$E$4))</f>
        <v/>
      </c>
      <c r="L614" s="19" t="str">
        <f>IF($K614="","",IF($K614&gt;MAX($A$8:$A$5007),"",IFERROR(MATCH($K614,$A$8:$A$5007,1),"")))</f>
        <v/>
      </c>
      <c r="M614" s="30" t="str">
        <f>IF($L614="","",INDEX($A$8:$A$5007,$L614))</f>
        <v/>
      </c>
      <c r="N614" s="31" t="str">
        <f>IF($L614="","",INDEX($B$8:$B$5007,$L614))</f>
        <v/>
      </c>
      <c r="O614" s="32" t="str">
        <f>IF($M614="","",IF($K614-$M614&gt;7,"",IF($M614&lt;=$A614,"",IF(OR($B614&lt;=0,$N614&lt;=0),"",($N614/$B614)^(365/($M614-$A614))-1))))</f>
        <v/>
      </c>
      <c r="P614" s="31" t="str">
        <f>IF($B614="","",IF($P613="",$B614,MAX($P613,$B614)))</f>
        <v/>
      </c>
      <c r="Q614" s="32" t="str">
        <f>IF($P614="","",$B614/$P614-1)</f>
        <v/>
      </c>
    </row>
    <row r="615">
      <c r="A615" s="11" t="n"/>
      <c r="B615" s="29" t="n"/>
      <c r="K615" s="30" t="str">
        <f>IF($A615="","",EDATE($A615,12*$E$4))</f>
        <v/>
      </c>
      <c r="L615" s="19" t="str">
        <f>IF($K615="","",IF($K615&gt;MAX($A$8:$A$5007),"",IFERROR(MATCH($K615,$A$8:$A$5007,1),"")))</f>
        <v/>
      </c>
      <c r="M615" s="30" t="str">
        <f>IF($L615="","",INDEX($A$8:$A$5007,$L615))</f>
        <v/>
      </c>
      <c r="N615" s="31" t="str">
        <f>IF($L615="","",INDEX($B$8:$B$5007,$L615))</f>
        <v/>
      </c>
      <c r="O615" s="32" t="str">
        <f>IF($M615="","",IF($K615-$M615&gt;7,"",IF($M615&lt;=$A615,"",IF(OR($B615&lt;=0,$N615&lt;=0),"",($N615/$B615)^(365/($M615-$A615))-1))))</f>
        <v/>
      </c>
      <c r="P615" s="31" t="str">
        <f>IF($B615="","",IF($P614="",$B615,MAX($P614,$B615)))</f>
        <v/>
      </c>
      <c r="Q615" s="32" t="str">
        <f>IF($P615="","",$B615/$P615-1)</f>
        <v/>
      </c>
    </row>
    <row r="616">
      <c r="A616" s="11" t="n"/>
      <c r="B616" s="29" t="n"/>
      <c r="K616" s="30" t="str">
        <f>IF($A616="","",EDATE($A616,12*$E$4))</f>
        <v/>
      </c>
      <c r="L616" s="19" t="str">
        <f>IF($K616="","",IF($K616&gt;MAX($A$8:$A$5007),"",IFERROR(MATCH($K616,$A$8:$A$5007,1),"")))</f>
        <v/>
      </c>
      <c r="M616" s="30" t="str">
        <f>IF($L616="","",INDEX($A$8:$A$5007,$L616))</f>
        <v/>
      </c>
      <c r="N616" s="31" t="str">
        <f>IF($L616="","",INDEX($B$8:$B$5007,$L616))</f>
        <v/>
      </c>
      <c r="O616" s="32" t="str">
        <f>IF($M616="","",IF($K616-$M616&gt;7,"",IF($M616&lt;=$A616,"",IF(OR($B616&lt;=0,$N616&lt;=0),"",($N616/$B616)^(365/($M616-$A616))-1))))</f>
        <v/>
      </c>
      <c r="P616" s="31" t="str">
        <f>IF($B616="","",IF($P615="",$B616,MAX($P615,$B616)))</f>
        <v/>
      </c>
      <c r="Q616" s="32" t="str">
        <f>IF($P616="","",$B616/$P616-1)</f>
        <v/>
      </c>
    </row>
    <row r="617">
      <c r="A617" s="11" t="n"/>
      <c r="B617" s="29" t="n"/>
      <c r="K617" s="30" t="str">
        <f>IF($A617="","",EDATE($A617,12*$E$4))</f>
        <v/>
      </c>
      <c r="L617" s="19" t="str">
        <f>IF($K617="","",IF($K617&gt;MAX($A$8:$A$5007),"",IFERROR(MATCH($K617,$A$8:$A$5007,1),"")))</f>
        <v/>
      </c>
      <c r="M617" s="30" t="str">
        <f>IF($L617="","",INDEX($A$8:$A$5007,$L617))</f>
        <v/>
      </c>
      <c r="N617" s="31" t="str">
        <f>IF($L617="","",INDEX($B$8:$B$5007,$L617))</f>
        <v/>
      </c>
      <c r="O617" s="32" t="str">
        <f>IF($M617="","",IF($K617-$M617&gt;7,"",IF($M617&lt;=$A617,"",IF(OR($B617&lt;=0,$N617&lt;=0),"",($N617/$B617)^(365/($M617-$A617))-1))))</f>
        <v/>
      </c>
      <c r="P617" s="31" t="str">
        <f>IF($B617="","",IF($P616="",$B617,MAX($P616,$B617)))</f>
        <v/>
      </c>
      <c r="Q617" s="32" t="str">
        <f>IF($P617="","",$B617/$P617-1)</f>
        <v/>
      </c>
    </row>
    <row r="618">
      <c r="A618" s="11" t="n"/>
      <c r="B618" s="29" t="n"/>
      <c r="K618" s="30" t="str">
        <f>IF($A618="","",EDATE($A618,12*$E$4))</f>
        <v/>
      </c>
      <c r="L618" s="19" t="str">
        <f>IF($K618="","",IF($K618&gt;MAX($A$8:$A$5007),"",IFERROR(MATCH($K618,$A$8:$A$5007,1),"")))</f>
        <v/>
      </c>
      <c r="M618" s="30" t="str">
        <f>IF($L618="","",INDEX($A$8:$A$5007,$L618))</f>
        <v/>
      </c>
      <c r="N618" s="31" t="str">
        <f>IF($L618="","",INDEX($B$8:$B$5007,$L618))</f>
        <v/>
      </c>
      <c r="O618" s="32" t="str">
        <f>IF($M618="","",IF($K618-$M618&gt;7,"",IF($M618&lt;=$A618,"",IF(OR($B618&lt;=0,$N618&lt;=0),"",($N618/$B618)^(365/($M618-$A618))-1))))</f>
        <v/>
      </c>
      <c r="P618" s="31" t="str">
        <f>IF($B618="","",IF($P617="",$B618,MAX($P617,$B618)))</f>
        <v/>
      </c>
      <c r="Q618" s="32" t="str">
        <f>IF($P618="","",$B618/$P618-1)</f>
        <v/>
      </c>
    </row>
    <row r="619">
      <c r="A619" s="11" t="n"/>
      <c r="B619" s="29" t="n"/>
      <c r="K619" s="30" t="str">
        <f>IF($A619="","",EDATE($A619,12*$E$4))</f>
        <v/>
      </c>
      <c r="L619" s="19" t="str">
        <f>IF($K619="","",IF($K619&gt;MAX($A$8:$A$5007),"",IFERROR(MATCH($K619,$A$8:$A$5007,1),"")))</f>
        <v/>
      </c>
      <c r="M619" s="30" t="str">
        <f>IF($L619="","",INDEX($A$8:$A$5007,$L619))</f>
        <v/>
      </c>
      <c r="N619" s="31" t="str">
        <f>IF($L619="","",INDEX($B$8:$B$5007,$L619))</f>
        <v/>
      </c>
      <c r="O619" s="32" t="str">
        <f>IF($M619="","",IF($K619-$M619&gt;7,"",IF($M619&lt;=$A619,"",IF(OR($B619&lt;=0,$N619&lt;=0),"",($N619/$B619)^(365/($M619-$A619))-1))))</f>
        <v/>
      </c>
      <c r="P619" s="31" t="str">
        <f>IF($B619="","",IF($P618="",$B619,MAX($P618,$B619)))</f>
        <v/>
      </c>
      <c r="Q619" s="32" t="str">
        <f>IF($P619="","",$B619/$P619-1)</f>
        <v/>
      </c>
    </row>
    <row r="620">
      <c r="A620" s="11" t="n"/>
      <c r="B620" s="29" t="n"/>
      <c r="K620" s="30" t="str">
        <f>IF($A620="","",EDATE($A620,12*$E$4))</f>
        <v/>
      </c>
      <c r="L620" s="19" t="str">
        <f>IF($K620="","",IF($K620&gt;MAX($A$8:$A$5007),"",IFERROR(MATCH($K620,$A$8:$A$5007,1),"")))</f>
        <v/>
      </c>
      <c r="M620" s="30" t="str">
        <f>IF($L620="","",INDEX($A$8:$A$5007,$L620))</f>
        <v/>
      </c>
      <c r="N620" s="31" t="str">
        <f>IF($L620="","",INDEX($B$8:$B$5007,$L620))</f>
        <v/>
      </c>
      <c r="O620" s="32" t="str">
        <f>IF($M620="","",IF($K620-$M620&gt;7,"",IF($M620&lt;=$A620,"",IF(OR($B620&lt;=0,$N620&lt;=0),"",($N620/$B620)^(365/($M620-$A620))-1))))</f>
        <v/>
      </c>
      <c r="P620" s="31" t="str">
        <f>IF($B620="","",IF($P619="",$B620,MAX($P619,$B620)))</f>
        <v/>
      </c>
      <c r="Q620" s="32" t="str">
        <f>IF($P620="","",$B620/$P620-1)</f>
        <v/>
      </c>
    </row>
    <row r="621">
      <c r="A621" s="11" t="n"/>
      <c r="B621" s="29" t="n"/>
      <c r="K621" s="30" t="str">
        <f>IF($A621="","",EDATE($A621,12*$E$4))</f>
        <v/>
      </c>
      <c r="L621" s="19" t="str">
        <f>IF($K621="","",IF($K621&gt;MAX($A$8:$A$5007),"",IFERROR(MATCH($K621,$A$8:$A$5007,1),"")))</f>
        <v/>
      </c>
      <c r="M621" s="30" t="str">
        <f>IF($L621="","",INDEX($A$8:$A$5007,$L621))</f>
        <v/>
      </c>
      <c r="N621" s="31" t="str">
        <f>IF($L621="","",INDEX($B$8:$B$5007,$L621))</f>
        <v/>
      </c>
      <c r="O621" s="32" t="str">
        <f>IF($M621="","",IF($K621-$M621&gt;7,"",IF($M621&lt;=$A621,"",IF(OR($B621&lt;=0,$N621&lt;=0),"",($N621/$B621)^(365/($M621-$A621))-1))))</f>
        <v/>
      </c>
      <c r="P621" s="31" t="str">
        <f>IF($B621="","",IF($P620="",$B621,MAX($P620,$B621)))</f>
        <v/>
      </c>
      <c r="Q621" s="32" t="str">
        <f>IF($P621="","",$B621/$P621-1)</f>
        <v/>
      </c>
    </row>
    <row r="622">
      <c r="A622" s="11" t="n"/>
      <c r="B622" s="29" t="n"/>
      <c r="K622" s="30" t="str">
        <f>IF($A622="","",EDATE($A622,12*$E$4))</f>
        <v/>
      </c>
      <c r="L622" s="19" t="str">
        <f>IF($K622="","",IF($K622&gt;MAX($A$8:$A$5007),"",IFERROR(MATCH($K622,$A$8:$A$5007,1),"")))</f>
        <v/>
      </c>
      <c r="M622" s="30" t="str">
        <f>IF($L622="","",INDEX($A$8:$A$5007,$L622))</f>
        <v/>
      </c>
      <c r="N622" s="31" t="str">
        <f>IF($L622="","",INDEX($B$8:$B$5007,$L622))</f>
        <v/>
      </c>
      <c r="O622" s="32" t="str">
        <f>IF($M622="","",IF($K622-$M622&gt;7,"",IF($M622&lt;=$A622,"",IF(OR($B622&lt;=0,$N622&lt;=0),"",($N622/$B622)^(365/($M622-$A622))-1))))</f>
        <v/>
      </c>
      <c r="P622" s="31" t="str">
        <f>IF($B622="","",IF($P621="",$B622,MAX($P621,$B622)))</f>
        <v/>
      </c>
      <c r="Q622" s="32" t="str">
        <f>IF($P622="","",$B622/$P622-1)</f>
        <v/>
      </c>
    </row>
    <row r="623">
      <c r="A623" s="11" t="n"/>
      <c r="B623" s="29" t="n"/>
      <c r="K623" s="30" t="str">
        <f>IF($A623="","",EDATE($A623,12*$E$4))</f>
        <v/>
      </c>
      <c r="L623" s="19" t="str">
        <f>IF($K623="","",IF($K623&gt;MAX($A$8:$A$5007),"",IFERROR(MATCH($K623,$A$8:$A$5007,1),"")))</f>
        <v/>
      </c>
      <c r="M623" s="30" t="str">
        <f>IF($L623="","",INDEX($A$8:$A$5007,$L623))</f>
        <v/>
      </c>
      <c r="N623" s="31" t="str">
        <f>IF($L623="","",INDEX($B$8:$B$5007,$L623))</f>
        <v/>
      </c>
      <c r="O623" s="32" t="str">
        <f>IF($M623="","",IF($K623-$M623&gt;7,"",IF($M623&lt;=$A623,"",IF(OR($B623&lt;=0,$N623&lt;=0),"",($N623/$B623)^(365/($M623-$A623))-1))))</f>
        <v/>
      </c>
      <c r="P623" s="31" t="str">
        <f>IF($B623="","",IF($P622="",$B623,MAX($P622,$B623)))</f>
        <v/>
      </c>
      <c r="Q623" s="32" t="str">
        <f>IF($P623="","",$B623/$P623-1)</f>
        <v/>
      </c>
    </row>
    <row r="624">
      <c r="A624" s="11" t="n"/>
      <c r="B624" s="29" t="n"/>
      <c r="K624" s="30" t="str">
        <f>IF($A624="","",EDATE($A624,12*$E$4))</f>
        <v/>
      </c>
      <c r="L624" s="19" t="str">
        <f>IF($K624="","",IF($K624&gt;MAX($A$8:$A$5007),"",IFERROR(MATCH($K624,$A$8:$A$5007,1),"")))</f>
        <v/>
      </c>
      <c r="M624" s="30" t="str">
        <f>IF($L624="","",INDEX($A$8:$A$5007,$L624))</f>
        <v/>
      </c>
      <c r="N624" s="31" t="str">
        <f>IF($L624="","",INDEX($B$8:$B$5007,$L624))</f>
        <v/>
      </c>
      <c r="O624" s="32" t="str">
        <f>IF($M624="","",IF($K624-$M624&gt;7,"",IF($M624&lt;=$A624,"",IF(OR($B624&lt;=0,$N624&lt;=0),"",($N624/$B624)^(365/($M624-$A624))-1))))</f>
        <v/>
      </c>
      <c r="P624" s="31" t="str">
        <f>IF($B624="","",IF($P623="",$B624,MAX($P623,$B624)))</f>
        <v/>
      </c>
      <c r="Q624" s="32" t="str">
        <f>IF($P624="","",$B624/$P624-1)</f>
        <v/>
      </c>
    </row>
    <row r="625">
      <c r="A625" s="11" t="n"/>
      <c r="B625" s="29" t="n"/>
      <c r="K625" s="30" t="str">
        <f>IF($A625="","",EDATE($A625,12*$E$4))</f>
        <v/>
      </c>
      <c r="L625" s="19" t="str">
        <f>IF($K625="","",IF($K625&gt;MAX($A$8:$A$5007),"",IFERROR(MATCH($K625,$A$8:$A$5007,1),"")))</f>
        <v/>
      </c>
      <c r="M625" s="30" t="str">
        <f>IF($L625="","",INDEX($A$8:$A$5007,$L625))</f>
        <v/>
      </c>
      <c r="N625" s="31" t="str">
        <f>IF($L625="","",INDEX($B$8:$B$5007,$L625))</f>
        <v/>
      </c>
      <c r="O625" s="32" t="str">
        <f>IF($M625="","",IF($K625-$M625&gt;7,"",IF($M625&lt;=$A625,"",IF(OR($B625&lt;=0,$N625&lt;=0),"",($N625/$B625)^(365/($M625-$A625))-1))))</f>
        <v/>
      </c>
      <c r="P625" s="31" t="str">
        <f>IF($B625="","",IF($P624="",$B625,MAX($P624,$B625)))</f>
        <v/>
      </c>
      <c r="Q625" s="32" t="str">
        <f>IF($P625="","",$B625/$P625-1)</f>
        <v/>
      </c>
    </row>
    <row r="626">
      <c r="A626" s="11" t="n"/>
      <c r="B626" s="29" t="n"/>
      <c r="K626" s="30" t="str">
        <f>IF($A626="","",EDATE($A626,12*$E$4))</f>
        <v/>
      </c>
      <c r="L626" s="19" t="str">
        <f>IF($K626="","",IF($K626&gt;MAX($A$8:$A$5007),"",IFERROR(MATCH($K626,$A$8:$A$5007,1),"")))</f>
        <v/>
      </c>
      <c r="M626" s="30" t="str">
        <f>IF($L626="","",INDEX($A$8:$A$5007,$L626))</f>
        <v/>
      </c>
      <c r="N626" s="31" t="str">
        <f>IF($L626="","",INDEX($B$8:$B$5007,$L626))</f>
        <v/>
      </c>
      <c r="O626" s="32" t="str">
        <f>IF($M626="","",IF($K626-$M626&gt;7,"",IF($M626&lt;=$A626,"",IF(OR($B626&lt;=0,$N626&lt;=0),"",($N626/$B626)^(365/($M626-$A626))-1))))</f>
        <v/>
      </c>
      <c r="P626" s="31" t="str">
        <f>IF($B626="","",IF($P625="",$B626,MAX($P625,$B626)))</f>
        <v/>
      </c>
      <c r="Q626" s="32" t="str">
        <f>IF($P626="","",$B626/$P626-1)</f>
        <v/>
      </c>
    </row>
    <row r="627">
      <c r="A627" s="11" t="n"/>
      <c r="B627" s="29" t="n"/>
      <c r="K627" s="30" t="str">
        <f>IF($A627="","",EDATE($A627,12*$E$4))</f>
        <v/>
      </c>
      <c r="L627" s="19" t="str">
        <f>IF($K627="","",IF($K627&gt;MAX($A$8:$A$5007),"",IFERROR(MATCH($K627,$A$8:$A$5007,1),"")))</f>
        <v/>
      </c>
      <c r="M627" s="30" t="str">
        <f>IF($L627="","",INDEX($A$8:$A$5007,$L627))</f>
        <v/>
      </c>
      <c r="N627" s="31" t="str">
        <f>IF($L627="","",INDEX($B$8:$B$5007,$L627))</f>
        <v/>
      </c>
      <c r="O627" s="32" t="str">
        <f>IF($M627="","",IF($K627-$M627&gt;7,"",IF($M627&lt;=$A627,"",IF(OR($B627&lt;=0,$N627&lt;=0),"",($N627/$B627)^(365/($M627-$A627))-1))))</f>
        <v/>
      </c>
      <c r="P627" s="31" t="str">
        <f>IF($B627="","",IF($P626="",$B627,MAX($P626,$B627)))</f>
        <v/>
      </c>
      <c r="Q627" s="32" t="str">
        <f>IF($P627="","",$B627/$P627-1)</f>
        <v/>
      </c>
    </row>
    <row r="628">
      <c r="A628" s="11" t="n"/>
      <c r="B628" s="29" t="n"/>
      <c r="K628" s="30" t="str">
        <f>IF($A628="","",EDATE($A628,12*$E$4))</f>
        <v/>
      </c>
      <c r="L628" s="19" t="str">
        <f>IF($K628="","",IF($K628&gt;MAX($A$8:$A$5007),"",IFERROR(MATCH($K628,$A$8:$A$5007,1),"")))</f>
        <v/>
      </c>
      <c r="M628" s="30" t="str">
        <f>IF($L628="","",INDEX($A$8:$A$5007,$L628))</f>
        <v/>
      </c>
      <c r="N628" s="31" t="str">
        <f>IF($L628="","",INDEX($B$8:$B$5007,$L628))</f>
        <v/>
      </c>
      <c r="O628" s="32" t="str">
        <f>IF($M628="","",IF($K628-$M628&gt;7,"",IF($M628&lt;=$A628,"",IF(OR($B628&lt;=0,$N628&lt;=0),"",($N628/$B628)^(365/($M628-$A628))-1))))</f>
        <v/>
      </c>
      <c r="P628" s="31" t="str">
        <f>IF($B628="","",IF($P627="",$B628,MAX($P627,$B628)))</f>
        <v/>
      </c>
      <c r="Q628" s="32" t="str">
        <f>IF($P628="","",$B628/$P628-1)</f>
        <v/>
      </c>
    </row>
    <row r="629">
      <c r="A629" s="11" t="n"/>
      <c r="B629" s="29" t="n"/>
      <c r="K629" s="30" t="str">
        <f>IF($A629="","",EDATE($A629,12*$E$4))</f>
        <v/>
      </c>
      <c r="L629" s="19" t="str">
        <f>IF($K629="","",IF($K629&gt;MAX($A$8:$A$5007),"",IFERROR(MATCH($K629,$A$8:$A$5007,1),"")))</f>
        <v/>
      </c>
      <c r="M629" s="30" t="str">
        <f>IF($L629="","",INDEX($A$8:$A$5007,$L629))</f>
        <v/>
      </c>
      <c r="N629" s="31" t="str">
        <f>IF($L629="","",INDEX($B$8:$B$5007,$L629))</f>
        <v/>
      </c>
      <c r="O629" s="32" t="str">
        <f>IF($M629="","",IF($K629-$M629&gt;7,"",IF($M629&lt;=$A629,"",IF(OR($B629&lt;=0,$N629&lt;=0),"",($N629/$B629)^(365/($M629-$A629))-1))))</f>
        <v/>
      </c>
      <c r="P629" s="31" t="str">
        <f>IF($B629="","",IF($P628="",$B629,MAX($P628,$B629)))</f>
        <v/>
      </c>
      <c r="Q629" s="32" t="str">
        <f>IF($P629="","",$B629/$P629-1)</f>
        <v/>
      </c>
    </row>
    <row r="630">
      <c r="A630" s="11" t="n"/>
      <c r="B630" s="29" t="n"/>
      <c r="K630" s="30" t="str">
        <f>IF($A630="","",EDATE($A630,12*$E$4))</f>
        <v/>
      </c>
      <c r="L630" s="19" t="str">
        <f>IF($K630="","",IF($K630&gt;MAX($A$8:$A$5007),"",IFERROR(MATCH($K630,$A$8:$A$5007,1),"")))</f>
        <v/>
      </c>
      <c r="M630" s="30" t="str">
        <f>IF($L630="","",INDEX($A$8:$A$5007,$L630))</f>
        <v/>
      </c>
      <c r="N630" s="31" t="str">
        <f>IF($L630="","",INDEX($B$8:$B$5007,$L630))</f>
        <v/>
      </c>
      <c r="O630" s="32" t="str">
        <f>IF($M630="","",IF($K630-$M630&gt;7,"",IF($M630&lt;=$A630,"",IF(OR($B630&lt;=0,$N630&lt;=0),"",($N630/$B630)^(365/($M630-$A630))-1))))</f>
        <v/>
      </c>
      <c r="P630" s="31" t="str">
        <f>IF($B630="","",IF($P629="",$B630,MAX($P629,$B630)))</f>
        <v/>
      </c>
      <c r="Q630" s="32" t="str">
        <f>IF($P630="","",$B630/$P630-1)</f>
        <v/>
      </c>
    </row>
    <row r="631">
      <c r="A631" s="11" t="n"/>
      <c r="B631" s="29" t="n"/>
      <c r="K631" s="30" t="str">
        <f>IF($A631="","",EDATE($A631,12*$E$4))</f>
        <v/>
      </c>
      <c r="L631" s="19" t="str">
        <f>IF($K631="","",IF($K631&gt;MAX($A$8:$A$5007),"",IFERROR(MATCH($K631,$A$8:$A$5007,1),"")))</f>
        <v/>
      </c>
      <c r="M631" s="30" t="str">
        <f>IF($L631="","",INDEX($A$8:$A$5007,$L631))</f>
        <v/>
      </c>
      <c r="N631" s="31" t="str">
        <f>IF($L631="","",INDEX($B$8:$B$5007,$L631))</f>
        <v/>
      </c>
      <c r="O631" s="32" t="str">
        <f>IF($M631="","",IF($K631-$M631&gt;7,"",IF($M631&lt;=$A631,"",IF(OR($B631&lt;=0,$N631&lt;=0),"",($N631/$B631)^(365/($M631-$A631))-1))))</f>
        <v/>
      </c>
      <c r="P631" s="31" t="str">
        <f>IF($B631="","",IF($P630="",$B631,MAX($P630,$B631)))</f>
        <v/>
      </c>
      <c r="Q631" s="32" t="str">
        <f>IF($P631="","",$B631/$P631-1)</f>
        <v/>
      </c>
    </row>
    <row r="632">
      <c r="A632" s="11" t="n"/>
      <c r="B632" s="29" t="n"/>
      <c r="K632" s="30" t="str">
        <f>IF($A632="","",EDATE($A632,12*$E$4))</f>
        <v/>
      </c>
      <c r="L632" s="19" t="str">
        <f>IF($K632="","",IF($K632&gt;MAX($A$8:$A$5007),"",IFERROR(MATCH($K632,$A$8:$A$5007,1),"")))</f>
        <v/>
      </c>
      <c r="M632" s="30" t="str">
        <f>IF($L632="","",INDEX($A$8:$A$5007,$L632))</f>
        <v/>
      </c>
      <c r="N632" s="31" t="str">
        <f>IF($L632="","",INDEX($B$8:$B$5007,$L632))</f>
        <v/>
      </c>
      <c r="O632" s="32" t="str">
        <f>IF($M632="","",IF($K632-$M632&gt;7,"",IF($M632&lt;=$A632,"",IF(OR($B632&lt;=0,$N632&lt;=0),"",($N632/$B632)^(365/($M632-$A632))-1))))</f>
        <v/>
      </c>
      <c r="P632" s="31" t="str">
        <f>IF($B632="","",IF($P631="",$B632,MAX($P631,$B632)))</f>
        <v/>
      </c>
      <c r="Q632" s="32" t="str">
        <f>IF($P632="","",$B632/$P632-1)</f>
        <v/>
      </c>
    </row>
    <row r="633">
      <c r="A633" s="11" t="n"/>
      <c r="B633" s="29" t="n"/>
      <c r="K633" s="30" t="str">
        <f>IF($A633="","",EDATE($A633,12*$E$4))</f>
        <v/>
      </c>
      <c r="L633" s="19" t="str">
        <f>IF($K633="","",IF($K633&gt;MAX($A$8:$A$5007),"",IFERROR(MATCH($K633,$A$8:$A$5007,1),"")))</f>
        <v/>
      </c>
      <c r="M633" s="30" t="str">
        <f>IF($L633="","",INDEX($A$8:$A$5007,$L633))</f>
        <v/>
      </c>
      <c r="N633" s="31" t="str">
        <f>IF($L633="","",INDEX($B$8:$B$5007,$L633))</f>
        <v/>
      </c>
      <c r="O633" s="32" t="str">
        <f>IF($M633="","",IF($K633-$M633&gt;7,"",IF($M633&lt;=$A633,"",IF(OR($B633&lt;=0,$N633&lt;=0),"",($N633/$B633)^(365/($M633-$A633))-1))))</f>
        <v/>
      </c>
      <c r="P633" s="31" t="str">
        <f>IF($B633="","",IF($P632="",$B633,MAX($P632,$B633)))</f>
        <v/>
      </c>
      <c r="Q633" s="32" t="str">
        <f>IF($P633="","",$B633/$P633-1)</f>
        <v/>
      </c>
    </row>
    <row r="634">
      <c r="A634" s="11" t="n"/>
      <c r="B634" s="29" t="n"/>
      <c r="K634" s="30" t="str">
        <f>IF($A634="","",EDATE($A634,12*$E$4))</f>
        <v/>
      </c>
      <c r="L634" s="19" t="str">
        <f>IF($K634="","",IF($K634&gt;MAX($A$8:$A$5007),"",IFERROR(MATCH($K634,$A$8:$A$5007,1),"")))</f>
        <v/>
      </c>
      <c r="M634" s="30" t="str">
        <f>IF($L634="","",INDEX($A$8:$A$5007,$L634))</f>
        <v/>
      </c>
      <c r="N634" s="31" t="str">
        <f>IF($L634="","",INDEX($B$8:$B$5007,$L634))</f>
        <v/>
      </c>
      <c r="O634" s="32" t="str">
        <f>IF($M634="","",IF($K634-$M634&gt;7,"",IF($M634&lt;=$A634,"",IF(OR($B634&lt;=0,$N634&lt;=0),"",($N634/$B634)^(365/($M634-$A634))-1))))</f>
        <v/>
      </c>
      <c r="P634" s="31" t="str">
        <f>IF($B634="","",IF($P633="",$B634,MAX($P633,$B634)))</f>
        <v/>
      </c>
      <c r="Q634" s="32" t="str">
        <f>IF($P634="","",$B634/$P634-1)</f>
        <v/>
      </c>
    </row>
    <row r="635">
      <c r="A635" s="11" t="n"/>
      <c r="B635" s="29" t="n"/>
      <c r="K635" s="30" t="str">
        <f>IF($A635="","",EDATE($A635,12*$E$4))</f>
        <v/>
      </c>
      <c r="L635" s="19" t="str">
        <f>IF($K635="","",IF($K635&gt;MAX($A$8:$A$5007),"",IFERROR(MATCH($K635,$A$8:$A$5007,1),"")))</f>
        <v/>
      </c>
      <c r="M635" s="30" t="str">
        <f>IF($L635="","",INDEX($A$8:$A$5007,$L635))</f>
        <v/>
      </c>
      <c r="N635" s="31" t="str">
        <f>IF($L635="","",INDEX($B$8:$B$5007,$L635))</f>
        <v/>
      </c>
      <c r="O635" s="32" t="str">
        <f>IF($M635="","",IF($K635-$M635&gt;7,"",IF($M635&lt;=$A635,"",IF(OR($B635&lt;=0,$N635&lt;=0),"",($N635/$B635)^(365/($M635-$A635))-1))))</f>
        <v/>
      </c>
      <c r="P635" s="31" t="str">
        <f>IF($B635="","",IF($P634="",$B635,MAX($P634,$B635)))</f>
        <v/>
      </c>
      <c r="Q635" s="32" t="str">
        <f>IF($P635="","",$B635/$P635-1)</f>
        <v/>
      </c>
    </row>
    <row r="636">
      <c r="A636" s="11" t="n"/>
      <c r="B636" s="29" t="n"/>
      <c r="K636" s="30" t="str">
        <f>IF($A636="","",EDATE($A636,12*$E$4))</f>
        <v/>
      </c>
      <c r="L636" s="19" t="str">
        <f>IF($K636="","",IF($K636&gt;MAX($A$8:$A$5007),"",IFERROR(MATCH($K636,$A$8:$A$5007,1),"")))</f>
        <v/>
      </c>
      <c r="M636" s="30" t="str">
        <f>IF($L636="","",INDEX($A$8:$A$5007,$L636))</f>
        <v/>
      </c>
      <c r="N636" s="31" t="str">
        <f>IF($L636="","",INDEX($B$8:$B$5007,$L636))</f>
        <v/>
      </c>
      <c r="O636" s="32" t="str">
        <f>IF($M636="","",IF($K636-$M636&gt;7,"",IF($M636&lt;=$A636,"",IF(OR($B636&lt;=0,$N636&lt;=0),"",($N636/$B636)^(365/($M636-$A636))-1))))</f>
        <v/>
      </c>
      <c r="P636" s="31" t="str">
        <f>IF($B636="","",IF($P635="",$B636,MAX($P635,$B636)))</f>
        <v/>
      </c>
      <c r="Q636" s="32" t="str">
        <f>IF($P636="","",$B636/$P636-1)</f>
        <v/>
      </c>
    </row>
    <row r="637">
      <c r="A637" s="11" t="n"/>
      <c r="B637" s="29" t="n"/>
      <c r="K637" s="30" t="str">
        <f>IF($A637="","",EDATE($A637,12*$E$4))</f>
        <v/>
      </c>
      <c r="L637" s="19" t="str">
        <f>IF($K637="","",IF($K637&gt;MAX($A$8:$A$5007),"",IFERROR(MATCH($K637,$A$8:$A$5007,1),"")))</f>
        <v/>
      </c>
      <c r="M637" s="30" t="str">
        <f>IF($L637="","",INDEX($A$8:$A$5007,$L637))</f>
        <v/>
      </c>
      <c r="N637" s="31" t="str">
        <f>IF($L637="","",INDEX($B$8:$B$5007,$L637))</f>
        <v/>
      </c>
      <c r="O637" s="32" t="str">
        <f>IF($M637="","",IF($K637-$M637&gt;7,"",IF($M637&lt;=$A637,"",IF(OR($B637&lt;=0,$N637&lt;=0),"",($N637/$B637)^(365/($M637-$A637))-1))))</f>
        <v/>
      </c>
      <c r="P637" s="31" t="str">
        <f>IF($B637="","",IF($P636="",$B637,MAX($P636,$B637)))</f>
        <v/>
      </c>
      <c r="Q637" s="32" t="str">
        <f>IF($P637="","",$B637/$P637-1)</f>
        <v/>
      </c>
    </row>
    <row r="638">
      <c r="A638" s="11" t="n"/>
      <c r="B638" s="29" t="n"/>
      <c r="K638" s="30" t="str">
        <f>IF($A638="","",EDATE($A638,12*$E$4))</f>
        <v/>
      </c>
      <c r="L638" s="19" t="str">
        <f>IF($K638="","",IF($K638&gt;MAX($A$8:$A$5007),"",IFERROR(MATCH($K638,$A$8:$A$5007,1),"")))</f>
        <v/>
      </c>
      <c r="M638" s="30" t="str">
        <f>IF($L638="","",INDEX($A$8:$A$5007,$L638))</f>
        <v/>
      </c>
      <c r="N638" s="31" t="str">
        <f>IF($L638="","",INDEX($B$8:$B$5007,$L638))</f>
        <v/>
      </c>
      <c r="O638" s="32" t="str">
        <f>IF($M638="","",IF($K638-$M638&gt;7,"",IF($M638&lt;=$A638,"",IF(OR($B638&lt;=0,$N638&lt;=0),"",($N638/$B638)^(365/($M638-$A638))-1))))</f>
        <v/>
      </c>
      <c r="P638" s="31" t="str">
        <f>IF($B638="","",IF($P637="",$B638,MAX($P637,$B638)))</f>
        <v/>
      </c>
      <c r="Q638" s="32" t="str">
        <f>IF($P638="","",$B638/$P638-1)</f>
        <v/>
      </c>
    </row>
    <row r="639">
      <c r="A639" s="11" t="n"/>
      <c r="B639" s="29" t="n"/>
      <c r="K639" s="30" t="str">
        <f>IF($A639="","",EDATE($A639,12*$E$4))</f>
        <v/>
      </c>
      <c r="L639" s="19" t="str">
        <f>IF($K639="","",IF($K639&gt;MAX($A$8:$A$5007),"",IFERROR(MATCH($K639,$A$8:$A$5007,1),"")))</f>
        <v/>
      </c>
      <c r="M639" s="30" t="str">
        <f>IF($L639="","",INDEX($A$8:$A$5007,$L639))</f>
        <v/>
      </c>
      <c r="N639" s="31" t="str">
        <f>IF($L639="","",INDEX($B$8:$B$5007,$L639))</f>
        <v/>
      </c>
      <c r="O639" s="32" t="str">
        <f>IF($M639="","",IF($K639-$M639&gt;7,"",IF($M639&lt;=$A639,"",IF(OR($B639&lt;=0,$N639&lt;=0),"",($N639/$B639)^(365/($M639-$A639))-1))))</f>
        <v/>
      </c>
      <c r="P639" s="31" t="str">
        <f>IF($B639="","",IF($P638="",$B639,MAX($P638,$B639)))</f>
        <v/>
      </c>
      <c r="Q639" s="32" t="str">
        <f>IF($P639="","",$B639/$P639-1)</f>
        <v/>
      </c>
    </row>
    <row r="640">
      <c r="A640" s="11" t="n"/>
      <c r="B640" s="29" t="n"/>
      <c r="K640" s="30" t="str">
        <f>IF($A640="","",EDATE($A640,12*$E$4))</f>
        <v/>
      </c>
      <c r="L640" s="19" t="str">
        <f>IF($K640="","",IF($K640&gt;MAX($A$8:$A$5007),"",IFERROR(MATCH($K640,$A$8:$A$5007,1),"")))</f>
        <v/>
      </c>
      <c r="M640" s="30" t="str">
        <f>IF($L640="","",INDEX($A$8:$A$5007,$L640))</f>
        <v/>
      </c>
      <c r="N640" s="31" t="str">
        <f>IF($L640="","",INDEX($B$8:$B$5007,$L640))</f>
        <v/>
      </c>
      <c r="O640" s="32" t="str">
        <f>IF($M640="","",IF($K640-$M640&gt;7,"",IF($M640&lt;=$A640,"",IF(OR($B640&lt;=0,$N640&lt;=0),"",($N640/$B640)^(365/($M640-$A640))-1))))</f>
        <v/>
      </c>
      <c r="P640" s="31" t="str">
        <f>IF($B640="","",IF($P639="",$B640,MAX($P639,$B640)))</f>
        <v/>
      </c>
      <c r="Q640" s="32" t="str">
        <f>IF($P640="","",$B640/$P640-1)</f>
        <v/>
      </c>
    </row>
    <row r="641">
      <c r="A641" s="11" t="n"/>
      <c r="B641" s="29" t="n"/>
      <c r="K641" s="30" t="str">
        <f>IF($A641="","",EDATE($A641,12*$E$4))</f>
        <v/>
      </c>
      <c r="L641" s="19" t="str">
        <f>IF($K641="","",IF($K641&gt;MAX($A$8:$A$5007),"",IFERROR(MATCH($K641,$A$8:$A$5007,1),"")))</f>
        <v/>
      </c>
      <c r="M641" s="30" t="str">
        <f>IF($L641="","",INDEX($A$8:$A$5007,$L641))</f>
        <v/>
      </c>
      <c r="N641" s="31" t="str">
        <f>IF($L641="","",INDEX($B$8:$B$5007,$L641))</f>
        <v/>
      </c>
      <c r="O641" s="32" t="str">
        <f>IF($M641="","",IF($K641-$M641&gt;7,"",IF($M641&lt;=$A641,"",IF(OR($B641&lt;=0,$N641&lt;=0),"",($N641/$B641)^(365/($M641-$A641))-1))))</f>
        <v/>
      </c>
      <c r="P641" s="31" t="str">
        <f>IF($B641="","",IF($P640="",$B641,MAX($P640,$B641)))</f>
        <v/>
      </c>
      <c r="Q641" s="32" t="str">
        <f>IF($P641="","",$B641/$P641-1)</f>
        <v/>
      </c>
    </row>
    <row r="642">
      <c r="A642" s="11" t="n"/>
      <c r="B642" s="29" t="n"/>
      <c r="K642" s="30" t="str">
        <f>IF($A642="","",EDATE($A642,12*$E$4))</f>
        <v/>
      </c>
      <c r="L642" s="19" t="str">
        <f>IF($K642="","",IF($K642&gt;MAX($A$8:$A$5007),"",IFERROR(MATCH($K642,$A$8:$A$5007,1),"")))</f>
        <v/>
      </c>
      <c r="M642" s="30" t="str">
        <f>IF($L642="","",INDEX($A$8:$A$5007,$L642))</f>
        <v/>
      </c>
      <c r="N642" s="31" t="str">
        <f>IF($L642="","",INDEX($B$8:$B$5007,$L642))</f>
        <v/>
      </c>
      <c r="O642" s="32" t="str">
        <f>IF($M642="","",IF($K642-$M642&gt;7,"",IF($M642&lt;=$A642,"",IF(OR($B642&lt;=0,$N642&lt;=0),"",($N642/$B642)^(365/($M642-$A642))-1))))</f>
        <v/>
      </c>
      <c r="P642" s="31" t="str">
        <f>IF($B642="","",IF($P641="",$B642,MAX($P641,$B642)))</f>
        <v/>
      </c>
      <c r="Q642" s="32" t="str">
        <f>IF($P642="","",$B642/$P642-1)</f>
        <v/>
      </c>
    </row>
    <row r="643">
      <c r="A643" s="11" t="n"/>
      <c r="B643" s="29" t="n"/>
      <c r="K643" s="30" t="str">
        <f>IF($A643="","",EDATE($A643,12*$E$4))</f>
        <v/>
      </c>
      <c r="L643" s="19" t="str">
        <f>IF($K643="","",IF($K643&gt;MAX($A$8:$A$5007),"",IFERROR(MATCH($K643,$A$8:$A$5007,1),"")))</f>
        <v/>
      </c>
      <c r="M643" s="30" t="str">
        <f>IF($L643="","",INDEX($A$8:$A$5007,$L643))</f>
        <v/>
      </c>
      <c r="N643" s="31" t="str">
        <f>IF($L643="","",INDEX($B$8:$B$5007,$L643))</f>
        <v/>
      </c>
      <c r="O643" s="32" t="str">
        <f>IF($M643="","",IF($K643-$M643&gt;7,"",IF($M643&lt;=$A643,"",IF(OR($B643&lt;=0,$N643&lt;=0),"",($N643/$B643)^(365/($M643-$A643))-1))))</f>
        <v/>
      </c>
      <c r="P643" s="31" t="str">
        <f>IF($B643="","",IF($P642="",$B643,MAX($P642,$B643)))</f>
        <v/>
      </c>
      <c r="Q643" s="32" t="str">
        <f>IF($P643="","",$B643/$P643-1)</f>
        <v/>
      </c>
    </row>
    <row r="644">
      <c r="A644" s="11" t="n"/>
      <c r="B644" s="29" t="n"/>
      <c r="K644" s="30" t="str">
        <f>IF($A644="","",EDATE($A644,12*$E$4))</f>
        <v/>
      </c>
      <c r="L644" s="19" t="str">
        <f>IF($K644="","",IF($K644&gt;MAX($A$8:$A$5007),"",IFERROR(MATCH($K644,$A$8:$A$5007,1),"")))</f>
        <v/>
      </c>
      <c r="M644" s="30" t="str">
        <f>IF($L644="","",INDEX($A$8:$A$5007,$L644))</f>
        <v/>
      </c>
      <c r="N644" s="31" t="str">
        <f>IF($L644="","",INDEX($B$8:$B$5007,$L644))</f>
        <v/>
      </c>
      <c r="O644" s="32" t="str">
        <f>IF($M644="","",IF($K644-$M644&gt;7,"",IF($M644&lt;=$A644,"",IF(OR($B644&lt;=0,$N644&lt;=0),"",($N644/$B644)^(365/($M644-$A644))-1))))</f>
        <v/>
      </c>
      <c r="P644" s="31" t="str">
        <f>IF($B644="","",IF($P643="",$B644,MAX($P643,$B644)))</f>
        <v/>
      </c>
      <c r="Q644" s="32" t="str">
        <f>IF($P644="","",$B644/$P644-1)</f>
        <v/>
      </c>
    </row>
    <row r="645">
      <c r="A645" s="11" t="n"/>
      <c r="B645" s="29" t="n"/>
      <c r="K645" s="30" t="str">
        <f>IF($A645="","",EDATE($A645,12*$E$4))</f>
        <v/>
      </c>
      <c r="L645" s="19" t="str">
        <f>IF($K645="","",IF($K645&gt;MAX($A$8:$A$5007),"",IFERROR(MATCH($K645,$A$8:$A$5007,1),"")))</f>
        <v/>
      </c>
      <c r="M645" s="30" t="str">
        <f>IF($L645="","",INDEX($A$8:$A$5007,$L645))</f>
        <v/>
      </c>
      <c r="N645" s="31" t="str">
        <f>IF($L645="","",INDEX($B$8:$B$5007,$L645))</f>
        <v/>
      </c>
      <c r="O645" s="32" t="str">
        <f>IF($M645="","",IF($K645-$M645&gt;7,"",IF($M645&lt;=$A645,"",IF(OR($B645&lt;=0,$N645&lt;=0),"",($N645/$B645)^(365/($M645-$A645))-1))))</f>
        <v/>
      </c>
      <c r="P645" s="31" t="str">
        <f>IF($B645="","",IF($P644="",$B645,MAX($P644,$B645)))</f>
        <v/>
      </c>
      <c r="Q645" s="32" t="str">
        <f>IF($P645="","",$B645/$P645-1)</f>
        <v/>
      </c>
    </row>
    <row r="646">
      <c r="A646" s="11" t="n"/>
      <c r="B646" s="29" t="n"/>
      <c r="K646" s="30" t="str">
        <f>IF($A646="","",EDATE($A646,12*$E$4))</f>
        <v/>
      </c>
      <c r="L646" s="19" t="str">
        <f>IF($K646="","",IF($K646&gt;MAX($A$8:$A$5007),"",IFERROR(MATCH($K646,$A$8:$A$5007,1),"")))</f>
        <v/>
      </c>
      <c r="M646" s="30" t="str">
        <f>IF($L646="","",INDEX($A$8:$A$5007,$L646))</f>
        <v/>
      </c>
      <c r="N646" s="31" t="str">
        <f>IF($L646="","",INDEX($B$8:$B$5007,$L646))</f>
        <v/>
      </c>
      <c r="O646" s="32" t="str">
        <f>IF($M646="","",IF($K646-$M646&gt;7,"",IF($M646&lt;=$A646,"",IF(OR($B646&lt;=0,$N646&lt;=0),"",($N646/$B646)^(365/($M646-$A646))-1))))</f>
        <v/>
      </c>
      <c r="P646" s="31" t="str">
        <f>IF($B646="","",IF($P645="",$B646,MAX($P645,$B646)))</f>
        <v/>
      </c>
      <c r="Q646" s="32" t="str">
        <f>IF($P646="","",$B646/$P646-1)</f>
        <v/>
      </c>
    </row>
    <row r="647">
      <c r="A647" s="11" t="n"/>
      <c r="B647" s="29" t="n"/>
      <c r="K647" s="30" t="str">
        <f>IF($A647="","",EDATE($A647,12*$E$4))</f>
        <v/>
      </c>
      <c r="L647" s="19" t="str">
        <f>IF($K647="","",IF($K647&gt;MAX($A$8:$A$5007),"",IFERROR(MATCH($K647,$A$8:$A$5007,1),"")))</f>
        <v/>
      </c>
      <c r="M647" s="30" t="str">
        <f>IF($L647="","",INDEX($A$8:$A$5007,$L647))</f>
        <v/>
      </c>
      <c r="N647" s="31" t="str">
        <f>IF($L647="","",INDEX($B$8:$B$5007,$L647))</f>
        <v/>
      </c>
      <c r="O647" s="32" t="str">
        <f>IF($M647="","",IF($K647-$M647&gt;7,"",IF($M647&lt;=$A647,"",IF(OR($B647&lt;=0,$N647&lt;=0),"",($N647/$B647)^(365/($M647-$A647))-1))))</f>
        <v/>
      </c>
      <c r="P647" s="31" t="str">
        <f>IF($B647="","",IF($P646="",$B647,MAX($P646,$B647)))</f>
        <v/>
      </c>
      <c r="Q647" s="32" t="str">
        <f>IF($P647="","",$B647/$P647-1)</f>
        <v/>
      </c>
    </row>
    <row r="648">
      <c r="A648" s="11" t="n"/>
      <c r="B648" s="29" t="n"/>
      <c r="K648" s="30" t="str">
        <f>IF($A648="","",EDATE($A648,12*$E$4))</f>
        <v/>
      </c>
      <c r="L648" s="19" t="str">
        <f>IF($K648="","",IF($K648&gt;MAX($A$8:$A$5007),"",IFERROR(MATCH($K648,$A$8:$A$5007,1),"")))</f>
        <v/>
      </c>
      <c r="M648" s="30" t="str">
        <f>IF($L648="","",INDEX($A$8:$A$5007,$L648))</f>
        <v/>
      </c>
      <c r="N648" s="31" t="str">
        <f>IF($L648="","",INDEX($B$8:$B$5007,$L648))</f>
        <v/>
      </c>
      <c r="O648" s="32" t="str">
        <f>IF($M648="","",IF($K648-$M648&gt;7,"",IF($M648&lt;=$A648,"",IF(OR($B648&lt;=0,$N648&lt;=0),"",($N648/$B648)^(365/($M648-$A648))-1))))</f>
        <v/>
      </c>
      <c r="P648" s="31" t="str">
        <f>IF($B648="","",IF($P647="",$B648,MAX($P647,$B648)))</f>
        <v/>
      </c>
      <c r="Q648" s="32" t="str">
        <f>IF($P648="","",$B648/$P648-1)</f>
        <v/>
      </c>
    </row>
    <row r="649">
      <c r="A649" s="11" t="n"/>
      <c r="B649" s="29" t="n"/>
      <c r="K649" s="30" t="str">
        <f>IF($A649="","",EDATE($A649,12*$E$4))</f>
        <v/>
      </c>
      <c r="L649" s="19" t="str">
        <f>IF($K649="","",IF($K649&gt;MAX($A$8:$A$5007),"",IFERROR(MATCH($K649,$A$8:$A$5007,1),"")))</f>
        <v/>
      </c>
      <c r="M649" s="30" t="str">
        <f>IF($L649="","",INDEX($A$8:$A$5007,$L649))</f>
        <v/>
      </c>
      <c r="N649" s="31" t="str">
        <f>IF($L649="","",INDEX($B$8:$B$5007,$L649))</f>
        <v/>
      </c>
      <c r="O649" s="32" t="str">
        <f>IF($M649="","",IF($K649-$M649&gt;7,"",IF($M649&lt;=$A649,"",IF(OR($B649&lt;=0,$N649&lt;=0),"",($N649/$B649)^(365/($M649-$A649))-1))))</f>
        <v/>
      </c>
      <c r="P649" s="31" t="str">
        <f>IF($B649="","",IF($P648="",$B649,MAX($P648,$B649)))</f>
        <v/>
      </c>
      <c r="Q649" s="32" t="str">
        <f>IF($P649="","",$B649/$P649-1)</f>
        <v/>
      </c>
    </row>
    <row r="650">
      <c r="A650" s="11" t="n"/>
      <c r="B650" s="29" t="n"/>
      <c r="K650" s="30" t="str">
        <f>IF($A650="","",EDATE($A650,12*$E$4))</f>
        <v/>
      </c>
      <c r="L650" s="19" t="str">
        <f>IF($K650="","",IF($K650&gt;MAX($A$8:$A$5007),"",IFERROR(MATCH($K650,$A$8:$A$5007,1),"")))</f>
        <v/>
      </c>
      <c r="M650" s="30" t="str">
        <f>IF($L650="","",INDEX($A$8:$A$5007,$L650))</f>
        <v/>
      </c>
      <c r="N650" s="31" t="str">
        <f>IF($L650="","",INDEX($B$8:$B$5007,$L650))</f>
        <v/>
      </c>
      <c r="O650" s="32" t="str">
        <f>IF($M650="","",IF($K650-$M650&gt;7,"",IF($M650&lt;=$A650,"",IF(OR($B650&lt;=0,$N650&lt;=0),"",($N650/$B650)^(365/($M650-$A650))-1))))</f>
        <v/>
      </c>
      <c r="P650" s="31" t="str">
        <f>IF($B650="","",IF($P649="",$B650,MAX($P649,$B650)))</f>
        <v/>
      </c>
      <c r="Q650" s="32" t="str">
        <f>IF($P650="","",$B650/$P650-1)</f>
        <v/>
      </c>
    </row>
    <row r="651">
      <c r="A651" s="11" t="n"/>
      <c r="B651" s="29" t="n"/>
      <c r="K651" s="30" t="str">
        <f>IF($A651="","",EDATE($A651,12*$E$4))</f>
        <v/>
      </c>
      <c r="L651" s="19" t="str">
        <f>IF($K651="","",IF($K651&gt;MAX($A$8:$A$5007),"",IFERROR(MATCH($K651,$A$8:$A$5007,1),"")))</f>
        <v/>
      </c>
      <c r="M651" s="30" t="str">
        <f>IF($L651="","",INDEX($A$8:$A$5007,$L651))</f>
        <v/>
      </c>
      <c r="N651" s="31" t="str">
        <f>IF($L651="","",INDEX($B$8:$B$5007,$L651))</f>
        <v/>
      </c>
      <c r="O651" s="32" t="str">
        <f>IF($M651="","",IF($K651-$M651&gt;7,"",IF($M651&lt;=$A651,"",IF(OR($B651&lt;=0,$N651&lt;=0),"",($N651/$B651)^(365/($M651-$A651))-1))))</f>
        <v/>
      </c>
      <c r="P651" s="31" t="str">
        <f>IF($B651="","",IF($P650="",$B651,MAX($P650,$B651)))</f>
        <v/>
      </c>
      <c r="Q651" s="32" t="str">
        <f>IF($P651="","",$B651/$P651-1)</f>
        <v/>
      </c>
    </row>
    <row r="652">
      <c r="A652" s="11" t="n"/>
      <c r="B652" s="29" t="n"/>
      <c r="K652" s="30" t="str">
        <f>IF($A652="","",EDATE($A652,12*$E$4))</f>
        <v/>
      </c>
      <c r="L652" s="19" t="str">
        <f>IF($K652="","",IF($K652&gt;MAX($A$8:$A$5007),"",IFERROR(MATCH($K652,$A$8:$A$5007,1),"")))</f>
        <v/>
      </c>
      <c r="M652" s="30" t="str">
        <f>IF($L652="","",INDEX($A$8:$A$5007,$L652))</f>
        <v/>
      </c>
      <c r="N652" s="31" t="str">
        <f>IF($L652="","",INDEX($B$8:$B$5007,$L652))</f>
        <v/>
      </c>
      <c r="O652" s="32" t="str">
        <f>IF($M652="","",IF($K652-$M652&gt;7,"",IF($M652&lt;=$A652,"",IF(OR($B652&lt;=0,$N652&lt;=0),"",($N652/$B652)^(365/($M652-$A652))-1))))</f>
        <v/>
      </c>
      <c r="P652" s="31" t="str">
        <f>IF($B652="","",IF($P651="",$B652,MAX($P651,$B652)))</f>
        <v/>
      </c>
      <c r="Q652" s="32" t="str">
        <f>IF($P652="","",$B652/$P652-1)</f>
        <v/>
      </c>
    </row>
    <row r="653">
      <c r="A653" s="11" t="n"/>
      <c r="B653" s="29" t="n"/>
      <c r="K653" s="30" t="str">
        <f>IF($A653="","",EDATE($A653,12*$E$4))</f>
        <v/>
      </c>
      <c r="L653" s="19" t="str">
        <f>IF($K653="","",IF($K653&gt;MAX($A$8:$A$5007),"",IFERROR(MATCH($K653,$A$8:$A$5007,1),"")))</f>
        <v/>
      </c>
      <c r="M653" s="30" t="str">
        <f>IF($L653="","",INDEX($A$8:$A$5007,$L653))</f>
        <v/>
      </c>
      <c r="N653" s="31" t="str">
        <f>IF($L653="","",INDEX($B$8:$B$5007,$L653))</f>
        <v/>
      </c>
      <c r="O653" s="32" t="str">
        <f>IF($M653="","",IF($K653-$M653&gt;7,"",IF($M653&lt;=$A653,"",IF(OR($B653&lt;=0,$N653&lt;=0),"",($N653/$B653)^(365/($M653-$A653))-1))))</f>
        <v/>
      </c>
      <c r="P653" s="31" t="str">
        <f>IF($B653="","",IF($P652="",$B653,MAX($P652,$B653)))</f>
        <v/>
      </c>
      <c r="Q653" s="32" t="str">
        <f>IF($P653="","",$B653/$P653-1)</f>
        <v/>
      </c>
    </row>
    <row r="654">
      <c r="A654" s="11" t="n"/>
      <c r="B654" s="29" t="n"/>
      <c r="K654" s="30" t="str">
        <f>IF($A654="","",EDATE($A654,12*$E$4))</f>
        <v/>
      </c>
      <c r="L654" s="19" t="str">
        <f>IF($K654="","",IF($K654&gt;MAX($A$8:$A$5007),"",IFERROR(MATCH($K654,$A$8:$A$5007,1),"")))</f>
        <v/>
      </c>
      <c r="M654" s="30" t="str">
        <f>IF($L654="","",INDEX($A$8:$A$5007,$L654))</f>
        <v/>
      </c>
      <c r="N654" s="31" t="str">
        <f>IF($L654="","",INDEX($B$8:$B$5007,$L654))</f>
        <v/>
      </c>
      <c r="O654" s="32" t="str">
        <f>IF($M654="","",IF($K654-$M654&gt;7,"",IF($M654&lt;=$A654,"",IF(OR($B654&lt;=0,$N654&lt;=0),"",($N654/$B654)^(365/($M654-$A654))-1))))</f>
        <v/>
      </c>
      <c r="P654" s="31" t="str">
        <f>IF($B654="","",IF($P653="",$B654,MAX($P653,$B654)))</f>
        <v/>
      </c>
      <c r="Q654" s="32" t="str">
        <f>IF($P654="","",$B654/$P654-1)</f>
        <v/>
      </c>
    </row>
    <row r="655">
      <c r="A655" s="11" t="n"/>
      <c r="B655" s="29" t="n"/>
      <c r="K655" s="30" t="str">
        <f>IF($A655="","",EDATE($A655,12*$E$4))</f>
        <v/>
      </c>
      <c r="L655" s="19" t="str">
        <f>IF($K655="","",IF($K655&gt;MAX($A$8:$A$5007),"",IFERROR(MATCH($K655,$A$8:$A$5007,1),"")))</f>
        <v/>
      </c>
      <c r="M655" s="30" t="str">
        <f>IF($L655="","",INDEX($A$8:$A$5007,$L655))</f>
        <v/>
      </c>
      <c r="N655" s="31" t="str">
        <f>IF($L655="","",INDEX($B$8:$B$5007,$L655))</f>
        <v/>
      </c>
      <c r="O655" s="32" t="str">
        <f>IF($M655="","",IF($K655-$M655&gt;7,"",IF($M655&lt;=$A655,"",IF(OR($B655&lt;=0,$N655&lt;=0),"",($N655/$B655)^(365/($M655-$A655))-1))))</f>
        <v/>
      </c>
      <c r="P655" s="31" t="str">
        <f>IF($B655="","",IF($P654="",$B655,MAX($P654,$B655)))</f>
        <v/>
      </c>
      <c r="Q655" s="32" t="str">
        <f>IF($P655="","",$B655/$P655-1)</f>
        <v/>
      </c>
    </row>
    <row r="656">
      <c r="A656" s="11" t="n"/>
      <c r="B656" s="29" t="n"/>
      <c r="K656" s="30" t="str">
        <f>IF($A656="","",EDATE($A656,12*$E$4))</f>
        <v/>
      </c>
      <c r="L656" s="19" t="str">
        <f>IF($K656="","",IF($K656&gt;MAX($A$8:$A$5007),"",IFERROR(MATCH($K656,$A$8:$A$5007,1),"")))</f>
        <v/>
      </c>
      <c r="M656" s="30" t="str">
        <f>IF($L656="","",INDEX($A$8:$A$5007,$L656))</f>
        <v/>
      </c>
      <c r="N656" s="31" t="str">
        <f>IF($L656="","",INDEX($B$8:$B$5007,$L656))</f>
        <v/>
      </c>
      <c r="O656" s="32" t="str">
        <f>IF($M656="","",IF($K656-$M656&gt;7,"",IF($M656&lt;=$A656,"",IF(OR($B656&lt;=0,$N656&lt;=0),"",($N656/$B656)^(365/($M656-$A656))-1))))</f>
        <v/>
      </c>
      <c r="P656" s="31" t="str">
        <f>IF($B656="","",IF($P655="",$B656,MAX($P655,$B656)))</f>
        <v/>
      </c>
      <c r="Q656" s="32" t="str">
        <f>IF($P656="","",$B656/$P656-1)</f>
        <v/>
      </c>
    </row>
    <row r="657">
      <c r="A657" s="11" t="n"/>
      <c r="B657" s="29" t="n"/>
      <c r="K657" s="30" t="str">
        <f>IF($A657="","",EDATE($A657,12*$E$4))</f>
        <v/>
      </c>
      <c r="L657" s="19" t="str">
        <f>IF($K657="","",IF($K657&gt;MAX($A$8:$A$5007),"",IFERROR(MATCH($K657,$A$8:$A$5007,1),"")))</f>
        <v/>
      </c>
      <c r="M657" s="30" t="str">
        <f>IF($L657="","",INDEX($A$8:$A$5007,$L657))</f>
        <v/>
      </c>
      <c r="N657" s="31" t="str">
        <f>IF($L657="","",INDEX($B$8:$B$5007,$L657))</f>
        <v/>
      </c>
      <c r="O657" s="32" t="str">
        <f>IF($M657="","",IF($K657-$M657&gt;7,"",IF($M657&lt;=$A657,"",IF(OR($B657&lt;=0,$N657&lt;=0),"",($N657/$B657)^(365/($M657-$A657))-1))))</f>
        <v/>
      </c>
      <c r="P657" s="31" t="str">
        <f>IF($B657="","",IF($P656="",$B657,MAX($P656,$B657)))</f>
        <v/>
      </c>
      <c r="Q657" s="32" t="str">
        <f>IF($P657="","",$B657/$P657-1)</f>
        <v/>
      </c>
    </row>
    <row r="658">
      <c r="A658" s="11" t="n"/>
      <c r="B658" s="29" t="n"/>
      <c r="K658" s="30" t="str">
        <f>IF($A658="","",EDATE($A658,12*$E$4))</f>
        <v/>
      </c>
      <c r="L658" s="19" t="str">
        <f>IF($K658="","",IF($K658&gt;MAX($A$8:$A$5007),"",IFERROR(MATCH($K658,$A$8:$A$5007,1),"")))</f>
        <v/>
      </c>
      <c r="M658" s="30" t="str">
        <f>IF($L658="","",INDEX($A$8:$A$5007,$L658))</f>
        <v/>
      </c>
      <c r="N658" s="31" t="str">
        <f>IF($L658="","",INDEX($B$8:$B$5007,$L658))</f>
        <v/>
      </c>
      <c r="O658" s="32" t="str">
        <f>IF($M658="","",IF($K658-$M658&gt;7,"",IF($M658&lt;=$A658,"",IF(OR($B658&lt;=0,$N658&lt;=0),"",($N658/$B658)^(365/($M658-$A658))-1))))</f>
        <v/>
      </c>
      <c r="P658" s="31" t="str">
        <f>IF($B658="","",IF($P657="",$B658,MAX($P657,$B658)))</f>
        <v/>
      </c>
      <c r="Q658" s="32" t="str">
        <f>IF($P658="","",$B658/$P658-1)</f>
        <v/>
      </c>
    </row>
    <row r="659">
      <c r="A659" s="11" t="n"/>
      <c r="B659" s="29" t="n"/>
      <c r="K659" s="30" t="str">
        <f>IF($A659="","",EDATE($A659,12*$E$4))</f>
        <v/>
      </c>
      <c r="L659" s="19" t="str">
        <f>IF($K659="","",IF($K659&gt;MAX($A$8:$A$5007),"",IFERROR(MATCH($K659,$A$8:$A$5007,1),"")))</f>
        <v/>
      </c>
      <c r="M659" s="30" t="str">
        <f>IF($L659="","",INDEX($A$8:$A$5007,$L659))</f>
        <v/>
      </c>
      <c r="N659" s="31" t="str">
        <f>IF($L659="","",INDEX($B$8:$B$5007,$L659))</f>
        <v/>
      </c>
      <c r="O659" s="32" t="str">
        <f>IF($M659="","",IF($K659-$M659&gt;7,"",IF($M659&lt;=$A659,"",IF(OR($B659&lt;=0,$N659&lt;=0),"",($N659/$B659)^(365/($M659-$A659))-1))))</f>
        <v/>
      </c>
      <c r="P659" s="31" t="str">
        <f>IF($B659="","",IF($P658="",$B659,MAX($P658,$B659)))</f>
        <v/>
      </c>
      <c r="Q659" s="32" t="str">
        <f>IF($P659="","",$B659/$P659-1)</f>
        <v/>
      </c>
    </row>
    <row r="660">
      <c r="A660" s="11" t="n"/>
      <c r="B660" s="29" t="n"/>
      <c r="K660" s="30" t="str">
        <f>IF($A660="","",EDATE($A660,12*$E$4))</f>
        <v/>
      </c>
      <c r="L660" s="19" t="str">
        <f>IF($K660="","",IF($K660&gt;MAX($A$8:$A$5007),"",IFERROR(MATCH($K660,$A$8:$A$5007,1),"")))</f>
        <v/>
      </c>
      <c r="M660" s="30" t="str">
        <f>IF($L660="","",INDEX($A$8:$A$5007,$L660))</f>
        <v/>
      </c>
      <c r="N660" s="31" t="str">
        <f>IF($L660="","",INDEX($B$8:$B$5007,$L660))</f>
        <v/>
      </c>
      <c r="O660" s="32" t="str">
        <f>IF($M660="","",IF($K660-$M660&gt;7,"",IF($M660&lt;=$A660,"",IF(OR($B660&lt;=0,$N660&lt;=0),"",($N660/$B660)^(365/($M660-$A660))-1))))</f>
        <v/>
      </c>
      <c r="P660" s="31" t="str">
        <f>IF($B660="","",IF($P659="",$B660,MAX($P659,$B660)))</f>
        <v/>
      </c>
      <c r="Q660" s="32" t="str">
        <f>IF($P660="","",$B660/$P660-1)</f>
        <v/>
      </c>
    </row>
    <row r="661">
      <c r="A661" s="11" t="n"/>
      <c r="B661" s="29" t="n"/>
      <c r="K661" s="30" t="str">
        <f>IF($A661="","",EDATE($A661,12*$E$4))</f>
        <v/>
      </c>
      <c r="L661" s="19" t="str">
        <f>IF($K661="","",IF($K661&gt;MAX($A$8:$A$5007),"",IFERROR(MATCH($K661,$A$8:$A$5007,1),"")))</f>
        <v/>
      </c>
      <c r="M661" s="30" t="str">
        <f>IF($L661="","",INDEX($A$8:$A$5007,$L661))</f>
        <v/>
      </c>
      <c r="N661" s="31" t="str">
        <f>IF($L661="","",INDEX($B$8:$B$5007,$L661))</f>
        <v/>
      </c>
      <c r="O661" s="32" t="str">
        <f>IF($M661="","",IF($K661-$M661&gt;7,"",IF($M661&lt;=$A661,"",IF(OR($B661&lt;=0,$N661&lt;=0),"",($N661/$B661)^(365/($M661-$A661))-1))))</f>
        <v/>
      </c>
      <c r="P661" s="31" t="str">
        <f>IF($B661="","",IF($P660="",$B661,MAX($P660,$B661)))</f>
        <v/>
      </c>
      <c r="Q661" s="32" t="str">
        <f>IF($P661="","",$B661/$P661-1)</f>
        <v/>
      </c>
    </row>
    <row r="662">
      <c r="A662" s="11" t="n"/>
      <c r="B662" s="29" t="n"/>
      <c r="K662" s="30" t="str">
        <f>IF($A662="","",EDATE($A662,12*$E$4))</f>
        <v/>
      </c>
      <c r="L662" s="19" t="str">
        <f>IF($K662="","",IF($K662&gt;MAX($A$8:$A$5007),"",IFERROR(MATCH($K662,$A$8:$A$5007,1),"")))</f>
        <v/>
      </c>
      <c r="M662" s="30" t="str">
        <f>IF($L662="","",INDEX($A$8:$A$5007,$L662))</f>
        <v/>
      </c>
      <c r="N662" s="31" t="str">
        <f>IF($L662="","",INDEX($B$8:$B$5007,$L662))</f>
        <v/>
      </c>
      <c r="O662" s="32" t="str">
        <f>IF($M662="","",IF($K662-$M662&gt;7,"",IF($M662&lt;=$A662,"",IF(OR($B662&lt;=0,$N662&lt;=0),"",($N662/$B662)^(365/($M662-$A662))-1))))</f>
        <v/>
      </c>
      <c r="P662" s="31" t="str">
        <f>IF($B662="","",IF($P661="",$B662,MAX($P661,$B662)))</f>
        <v/>
      </c>
      <c r="Q662" s="32" t="str">
        <f>IF($P662="","",$B662/$P662-1)</f>
        <v/>
      </c>
    </row>
    <row r="663">
      <c r="A663" s="11" t="n"/>
      <c r="B663" s="29" t="n"/>
      <c r="K663" s="30" t="str">
        <f>IF($A663="","",EDATE($A663,12*$E$4))</f>
        <v/>
      </c>
      <c r="L663" s="19" t="str">
        <f>IF($K663="","",IF($K663&gt;MAX($A$8:$A$5007),"",IFERROR(MATCH($K663,$A$8:$A$5007,1),"")))</f>
        <v/>
      </c>
      <c r="M663" s="30" t="str">
        <f>IF($L663="","",INDEX($A$8:$A$5007,$L663))</f>
        <v/>
      </c>
      <c r="N663" s="31" t="str">
        <f>IF($L663="","",INDEX($B$8:$B$5007,$L663))</f>
        <v/>
      </c>
      <c r="O663" s="32" t="str">
        <f>IF($M663="","",IF($K663-$M663&gt;7,"",IF($M663&lt;=$A663,"",IF(OR($B663&lt;=0,$N663&lt;=0),"",($N663/$B663)^(365/($M663-$A663))-1))))</f>
        <v/>
      </c>
      <c r="P663" s="31" t="str">
        <f>IF($B663="","",IF($P662="",$B663,MAX($P662,$B663)))</f>
        <v/>
      </c>
      <c r="Q663" s="32" t="str">
        <f>IF($P663="","",$B663/$P663-1)</f>
        <v/>
      </c>
    </row>
    <row r="664">
      <c r="A664" s="11" t="n"/>
      <c r="B664" s="29" t="n"/>
      <c r="K664" s="30" t="str">
        <f>IF($A664="","",EDATE($A664,12*$E$4))</f>
        <v/>
      </c>
      <c r="L664" s="19" t="str">
        <f>IF($K664="","",IF($K664&gt;MAX($A$8:$A$5007),"",IFERROR(MATCH($K664,$A$8:$A$5007,1),"")))</f>
        <v/>
      </c>
      <c r="M664" s="30" t="str">
        <f>IF($L664="","",INDEX($A$8:$A$5007,$L664))</f>
        <v/>
      </c>
      <c r="N664" s="31" t="str">
        <f>IF($L664="","",INDEX($B$8:$B$5007,$L664))</f>
        <v/>
      </c>
      <c r="O664" s="32" t="str">
        <f>IF($M664="","",IF($K664-$M664&gt;7,"",IF($M664&lt;=$A664,"",IF(OR($B664&lt;=0,$N664&lt;=0),"",($N664/$B664)^(365/($M664-$A664))-1))))</f>
        <v/>
      </c>
      <c r="P664" s="31" t="str">
        <f>IF($B664="","",IF($P663="",$B664,MAX($P663,$B664)))</f>
        <v/>
      </c>
      <c r="Q664" s="32" t="str">
        <f>IF($P664="","",$B664/$P664-1)</f>
        <v/>
      </c>
    </row>
    <row r="665">
      <c r="A665" s="11" t="n"/>
      <c r="B665" s="29" t="n"/>
      <c r="K665" s="30" t="str">
        <f>IF($A665="","",EDATE($A665,12*$E$4))</f>
        <v/>
      </c>
      <c r="L665" s="19" t="str">
        <f>IF($K665="","",IF($K665&gt;MAX($A$8:$A$5007),"",IFERROR(MATCH($K665,$A$8:$A$5007,1),"")))</f>
        <v/>
      </c>
      <c r="M665" s="30" t="str">
        <f>IF($L665="","",INDEX($A$8:$A$5007,$L665))</f>
        <v/>
      </c>
      <c r="N665" s="31" t="str">
        <f>IF($L665="","",INDEX($B$8:$B$5007,$L665))</f>
        <v/>
      </c>
      <c r="O665" s="32" t="str">
        <f>IF($M665="","",IF($K665-$M665&gt;7,"",IF($M665&lt;=$A665,"",IF(OR($B665&lt;=0,$N665&lt;=0),"",($N665/$B665)^(365/($M665-$A665))-1))))</f>
        <v/>
      </c>
      <c r="P665" s="31" t="str">
        <f>IF($B665="","",IF($P664="",$B665,MAX($P664,$B665)))</f>
        <v/>
      </c>
      <c r="Q665" s="32" t="str">
        <f>IF($P665="","",$B665/$P665-1)</f>
        <v/>
      </c>
    </row>
    <row r="666">
      <c r="A666" s="11" t="n"/>
      <c r="B666" s="29" t="n"/>
      <c r="K666" s="30" t="str">
        <f>IF($A666="","",EDATE($A666,12*$E$4))</f>
        <v/>
      </c>
      <c r="L666" s="19" t="str">
        <f>IF($K666="","",IF($K666&gt;MAX($A$8:$A$5007),"",IFERROR(MATCH($K666,$A$8:$A$5007,1),"")))</f>
        <v/>
      </c>
      <c r="M666" s="30" t="str">
        <f>IF($L666="","",INDEX($A$8:$A$5007,$L666))</f>
        <v/>
      </c>
      <c r="N666" s="31" t="str">
        <f>IF($L666="","",INDEX($B$8:$B$5007,$L666))</f>
        <v/>
      </c>
      <c r="O666" s="32" t="str">
        <f>IF($M666="","",IF($K666-$M666&gt;7,"",IF($M666&lt;=$A666,"",IF(OR($B666&lt;=0,$N666&lt;=0),"",($N666/$B666)^(365/($M666-$A666))-1))))</f>
        <v/>
      </c>
      <c r="P666" s="31" t="str">
        <f>IF($B666="","",IF($P665="",$B666,MAX($P665,$B666)))</f>
        <v/>
      </c>
      <c r="Q666" s="32" t="str">
        <f>IF($P666="","",$B666/$P666-1)</f>
        <v/>
      </c>
    </row>
    <row r="667">
      <c r="A667" s="11" t="n"/>
      <c r="B667" s="29" t="n"/>
      <c r="K667" s="30" t="str">
        <f>IF($A667="","",EDATE($A667,12*$E$4))</f>
        <v/>
      </c>
      <c r="L667" s="19" t="str">
        <f>IF($K667="","",IF($K667&gt;MAX($A$8:$A$5007),"",IFERROR(MATCH($K667,$A$8:$A$5007,1),"")))</f>
        <v/>
      </c>
      <c r="M667" s="30" t="str">
        <f>IF($L667="","",INDEX($A$8:$A$5007,$L667))</f>
        <v/>
      </c>
      <c r="N667" s="31" t="str">
        <f>IF($L667="","",INDEX($B$8:$B$5007,$L667))</f>
        <v/>
      </c>
      <c r="O667" s="32" t="str">
        <f>IF($M667="","",IF($K667-$M667&gt;7,"",IF($M667&lt;=$A667,"",IF(OR($B667&lt;=0,$N667&lt;=0),"",($N667/$B667)^(365/($M667-$A667))-1))))</f>
        <v/>
      </c>
      <c r="P667" s="31" t="str">
        <f>IF($B667="","",IF($P666="",$B667,MAX($P666,$B667)))</f>
        <v/>
      </c>
      <c r="Q667" s="32" t="str">
        <f>IF($P667="","",$B667/$P667-1)</f>
        <v/>
      </c>
    </row>
    <row r="668">
      <c r="A668" s="11" t="n"/>
      <c r="B668" s="29" t="n"/>
      <c r="K668" s="30" t="str">
        <f>IF($A668="","",EDATE($A668,12*$E$4))</f>
        <v/>
      </c>
      <c r="L668" s="19" t="str">
        <f>IF($K668="","",IF($K668&gt;MAX($A$8:$A$5007),"",IFERROR(MATCH($K668,$A$8:$A$5007,1),"")))</f>
        <v/>
      </c>
      <c r="M668" s="30" t="str">
        <f>IF($L668="","",INDEX($A$8:$A$5007,$L668))</f>
        <v/>
      </c>
      <c r="N668" s="31" t="str">
        <f>IF($L668="","",INDEX($B$8:$B$5007,$L668))</f>
        <v/>
      </c>
      <c r="O668" s="32" t="str">
        <f>IF($M668="","",IF($K668-$M668&gt;7,"",IF($M668&lt;=$A668,"",IF(OR($B668&lt;=0,$N668&lt;=0),"",($N668/$B668)^(365/($M668-$A668))-1))))</f>
        <v/>
      </c>
      <c r="P668" s="31" t="str">
        <f>IF($B668="","",IF($P667="",$B668,MAX($P667,$B668)))</f>
        <v/>
      </c>
      <c r="Q668" s="32" t="str">
        <f>IF($P668="","",$B668/$P668-1)</f>
        <v/>
      </c>
    </row>
    <row r="669">
      <c r="A669" s="11" t="n"/>
      <c r="B669" s="29" t="n"/>
      <c r="K669" s="30" t="str">
        <f>IF($A669="","",EDATE($A669,12*$E$4))</f>
        <v/>
      </c>
      <c r="L669" s="19" t="str">
        <f>IF($K669="","",IF($K669&gt;MAX($A$8:$A$5007),"",IFERROR(MATCH($K669,$A$8:$A$5007,1),"")))</f>
        <v/>
      </c>
      <c r="M669" s="30" t="str">
        <f>IF($L669="","",INDEX($A$8:$A$5007,$L669))</f>
        <v/>
      </c>
      <c r="N669" s="31" t="str">
        <f>IF($L669="","",INDEX($B$8:$B$5007,$L669))</f>
        <v/>
      </c>
      <c r="O669" s="32" t="str">
        <f>IF($M669="","",IF($K669-$M669&gt;7,"",IF($M669&lt;=$A669,"",IF(OR($B669&lt;=0,$N669&lt;=0),"",($N669/$B669)^(365/($M669-$A669))-1))))</f>
        <v/>
      </c>
      <c r="P669" s="31" t="str">
        <f>IF($B669="","",IF($P668="",$B669,MAX($P668,$B669)))</f>
        <v/>
      </c>
      <c r="Q669" s="32" t="str">
        <f>IF($P669="","",$B669/$P669-1)</f>
        <v/>
      </c>
    </row>
    <row r="670">
      <c r="A670" s="11" t="n"/>
      <c r="B670" s="29" t="n"/>
      <c r="K670" s="30" t="str">
        <f>IF($A670="","",EDATE($A670,12*$E$4))</f>
        <v/>
      </c>
      <c r="L670" s="19" t="str">
        <f>IF($K670="","",IF($K670&gt;MAX($A$8:$A$5007),"",IFERROR(MATCH($K670,$A$8:$A$5007,1),"")))</f>
        <v/>
      </c>
      <c r="M670" s="30" t="str">
        <f>IF($L670="","",INDEX($A$8:$A$5007,$L670))</f>
        <v/>
      </c>
      <c r="N670" s="31" t="str">
        <f>IF($L670="","",INDEX($B$8:$B$5007,$L670))</f>
        <v/>
      </c>
      <c r="O670" s="32" t="str">
        <f>IF($M670="","",IF($K670-$M670&gt;7,"",IF($M670&lt;=$A670,"",IF(OR($B670&lt;=0,$N670&lt;=0),"",($N670/$B670)^(365/($M670-$A670))-1))))</f>
        <v/>
      </c>
      <c r="P670" s="31" t="str">
        <f>IF($B670="","",IF($P669="",$B670,MAX($P669,$B670)))</f>
        <v/>
      </c>
      <c r="Q670" s="32" t="str">
        <f>IF($P670="","",$B670/$P670-1)</f>
        <v/>
      </c>
    </row>
    <row r="671">
      <c r="A671" s="11" t="n"/>
      <c r="B671" s="29" t="n"/>
      <c r="K671" s="30" t="str">
        <f>IF($A671="","",EDATE($A671,12*$E$4))</f>
        <v/>
      </c>
      <c r="L671" s="19" t="str">
        <f>IF($K671="","",IF($K671&gt;MAX($A$8:$A$5007),"",IFERROR(MATCH($K671,$A$8:$A$5007,1),"")))</f>
        <v/>
      </c>
      <c r="M671" s="30" t="str">
        <f>IF($L671="","",INDEX($A$8:$A$5007,$L671))</f>
        <v/>
      </c>
      <c r="N671" s="31" t="str">
        <f>IF($L671="","",INDEX($B$8:$B$5007,$L671))</f>
        <v/>
      </c>
      <c r="O671" s="32" t="str">
        <f>IF($M671="","",IF($K671-$M671&gt;7,"",IF($M671&lt;=$A671,"",IF(OR($B671&lt;=0,$N671&lt;=0),"",($N671/$B671)^(365/($M671-$A671))-1))))</f>
        <v/>
      </c>
      <c r="P671" s="31" t="str">
        <f>IF($B671="","",IF($P670="",$B671,MAX($P670,$B671)))</f>
        <v/>
      </c>
      <c r="Q671" s="32" t="str">
        <f>IF($P671="","",$B671/$P671-1)</f>
        <v/>
      </c>
    </row>
    <row r="672">
      <c r="A672" s="11" t="n"/>
      <c r="B672" s="29" t="n"/>
      <c r="K672" s="30" t="str">
        <f>IF($A672="","",EDATE($A672,12*$E$4))</f>
        <v/>
      </c>
      <c r="L672" s="19" t="str">
        <f>IF($K672="","",IF($K672&gt;MAX($A$8:$A$5007),"",IFERROR(MATCH($K672,$A$8:$A$5007,1),"")))</f>
        <v/>
      </c>
      <c r="M672" s="30" t="str">
        <f>IF($L672="","",INDEX($A$8:$A$5007,$L672))</f>
        <v/>
      </c>
      <c r="N672" s="31" t="str">
        <f>IF($L672="","",INDEX($B$8:$B$5007,$L672))</f>
        <v/>
      </c>
      <c r="O672" s="32" t="str">
        <f>IF($M672="","",IF($K672-$M672&gt;7,"",IF($M672&lt;=$A672,"",IF(OR($B672&lt;=0,$N672&lt;=0),"",($N672/$B672)^(365/($M672-$A672))-1))))</f>
        <v/>
      </c>
      <c r="P672" s="31" t="str">
        <f>IF($B672="","",IF($P671="",$B672,MAX($P671,$B672)))</f>
        <v/>
      </c>
      <c r="Q672" s="32" t="str">
        <f>IF($P672="","",$B672/$P672-1)</f>
        <v/>
      </c>
    </row>
    <row r="673">
      <c r="A673" s="11" t="n"/>
      <c r="B673" s="29" t="n"/>
      <c r="K673" s="30" t="str">
        <f>IF($A673="","",EDATE($A673,12*$E$4))</f>
        <v/>
      </c>
      <c r="L673" s="19" t="str">
        <f>IF($K673="","",IF($K673&gt;MAX($A$8:$A$5007),"",IFERROR(MATCH($K673,$A$8:$A$5007,1),"")))</f>
        <v/>
      </c>
      <c r="M673" s="30" t="str">
        <f>IF($L673="","",INDEX($A$8:$A$5007,$L673))</f>
        <v/>
      </c>
      <c r="N673" s="31" t="str">
        <f>IF($L673="","",INDEX($B$8:$B$5007,$L673))</f>
        <v/>
      </c>
      <c r="O673" s="32" t="str">
        <f>IF($M673="","",IF($K673-$M673&gt;7,"",IF($M673&lt;=$A673,"",IF(OR($B673&lt;=0,$N673&lt;=0),"",($N673/$B673)^(365/($M673-$A673))-1))))</f>
        <v/>
      </c>
      <c r="P673" s="31" t="str">
        <f>IF($B673="","",IF($P672="",$B673,MAX($P672,$B673)))</f>
        <v/>
      </c>
      <c r="Q673" s="32" t="str">
        <f>IF($P673="","",$B673/$P673-1)</f>
        <v/>
      </c>
    </row>
    <row r="674">
      <c r="A674" s="11" t="n"/>
      <c r="B674" s="29" t="n"/>
      <c r="K674" s="30" t="str">
        <f>IF($A674="","",EDATE($A674,12*$E$4))</f>
        <v/>
      </c>
      <c r="L674" s="19" t="str">
        <f>IF($K674="","",IF($K674&gt;MAX($A$8:$A$5007),"",IFERROR(MATCH($K674,$A$8:$A$5007,1),"")))</f>
        <v/>
      </c>
      <c r="M674" s="30" t="str">
        <f>IF($L674="","",INDEX($A$8:$A$5007,$L674))</f>
        <v/>
      </c>
      <c r="N674" s="31" t="str">
        <f>IF($L674="","",INDEX($B$8:$B$5007,$L674))</f>
        <v/>
      </c>
      <c r="O674" s="32" t="str">
        <f>IF($M674="","",IF($K674-$M674&gt;7,"",IF($M674&lt;=$A674,"",IF(OR($B674&lt;=0,$N674&lt;=0),"",($N674/$B674)^(365/($M674-$A674))-1))))</f>
        <v/>
      </c>
      <c r="P674" s="31" t="str">
        <f>IF($B674="","",IF($P673="",$B674,MAX($P673,$B674)))</f>
        <v/>
      </c>
      <c r="Q674" s="32" t="str">
        <f>IF($P674="","",$B674/$P674-1)</f>
        <v/>
      </c>
    </row>
    <row r="675">
      <c r="A675" s="11" t="n"/>
      <c r="B675" s="29" t="n"/>
      <c r="K675" s="30" t="str">
        <f>IF($A675="","",EDATE($A675,12*$E$4))</f>
        <v/>
      </c>
      <c r="L675" s="19" t="str">
        <f>IF($K675="","",IF($K675&gt;MAX($A$8:$A$5007),"",IFERROR(MATCH($K675,$A$8:$A$5007,1),"")))</f>
        <v/>
      </c>
      <c r="M675" s="30" t="str">
        <f>IF($L675="","",INDEX($A$8:$A$5007,$L675))</f>
        <v/>
      </c>
      <c r="N675" s="31" t="str">
        <f>IF($L675="","",INDEX($B$8:$B$5007,$L675))</f>
        <v/>
      </c>
      <c r="O675" s="32" t="str">
        <f>IF($M675="","",IF($K675-$M675&gt;7,"",IF($M675&lt;=$A675,"",IF(OR($B675&lt;=0,$N675&lt;=0),"",($N675/$B675)^(365/($M675-$A675))-1))))</f>
        <v/>
      </c>
      <c r="P675" s="31" t="str">
        <f>IF($B675="","",IF($P674="",$B675,MAX($P674,$B675)))</f>
        <v/>
      </c>
      <c r="Q675" s="32" t="str">
        <f>IF($P675="","",$B675/$P675-1)</f>
        <v/>
      </c>
    </row>
    <row r="676">
      <c r="A676" s="11" t="n"/>
      <c r="B676" s="29" t="n"/>
      <c r="K676" s="30" t="str">
        <f>IF($A676="","",EDATE($A676,12*$E$4))</f>
        <v/>
      </c>
      <c r="L676" s="19" t="str">
        <f>IF($K676="","",IF($K676&gt;MAX($A$8:$A$5007),"",IFERROR(MATCH($K676,$A$8:$A$5007,1),"")))</f>
        <v/>
      </c>
      <c r="M676" s="30" t="str">
        <f>IF($L676="","",INDEX($A$8:$A$5007,$L676))</f>
        <v/>
      </c>
      <c r="N676" s="31" t="str">
        <f>IF($L676="","",INDEX($B$8:$B$5007,$L676))</f>
        <v/>
      </c>
      <c r="O676" s="32" t="str">
        <f>IF($M676="","",IF($K676-$M676&gt;7,"",IF($M676&lt;=$A676,"",IF(OR($B676&lt;=0,$N676&lt;=0),"",($N676/$B676)^(365/($M676-$A676))-1))))</f>
        <v/>
      </c>
      <c r="P676" s="31" t="str">
        <f>IF($B676="","",IF($P675="",$B676,MAX($P675,$B676)))</f>
        <v/>
      </c>
      <c r="Q676" s="32" t="str">
        <f>IF($P676="","",$B676/$P676-1)</f>
        <v/>
      </c>
    </row>
    <row r="677">
      <c r="A677" s="11" t="n"/>
      <c r="B677" s="29" t="n"/>
      <c r="K677" s="30" t="str">
        <f>IF($A677="","",EDATE($A677,12*$E$4))</f>
        <v/>
      </c>
      <c r="L677" s="19" t="str">
        <f>IF($K677="","",IF($K677&gt;MAX($A$8:$A$5007),"",IFERROR(MATCH($K677,$A$8:$A$5007,1),"")))</f>
        <v/>
      </c>
      <c r="M677" s="30" t="str">
        <f>IF($L677="","",INDEX($A$8:$A$5007,$L677))</f>
        <v/>
      </c>
      <c r="N677" s="31" t="str">
        <f>IF($L677="","",INDEX($B$8:$B$5007,$L677))</f>
        <v/>
      </c>
      <c r="O677" s="32" t="str">
        <f>IF($M677="","",IF($K677-$M677&gt;7,"",IF($M677&lt;=$A677,"",IF(OR($B677&lt;=0,$N677&lt;=0),"",($N677/$B677)^(365/($M677-$A677))-1))))</f>
        <v/>
      </c>
      <c r="P677" s="31" t="str">
        <f>IF($B677="","",IF($P676="",$B677,MAX($P676,$B677)))</f>
        <v/>
      </c>
      <c r="Q677" s="32" t="str">
        <f>IF($P677="","",$B677/$P677-1)</f>
        <v/>
      </c>
    </row>
    <row r="678">
      <c r="A678" s="11" t="n"/>
      <c r="B678" s="29" t="n"/>
      <c r="K678" s="30" t="str">
        <f>IF($A678="","",EDATE($A678,12*$E$4))</f>
        <v/>
      </c>
      <c r="L678" s="19" t="str">
        <f>IF($K678="","",IF($K678&gt;MAX($A$8:$A$5007),"",IFERROR(MATCH($K678,$A$8:$A$5007,1),"")))</f>
        <v/>
      </c>
      <c r="M678" s="30" t="str">
        <f>IF($L678="","",INDEX($A$8:$A$5007,$L678))</f>
        <v/>
      </c>
      <c r="N678" s="31" t="str">
        <f>IF($L678="","",INDEX($B$8:$B$5007,$L678))</f>
        <v/>
      </c>
      <c r="O678" s="32" t="str">
        <f>IF($M678="","",IF($K678-$M678&gt;7,"",IF($M678&lt;=$A678,"",IF(OR($B678&lt;=0,$N678&lt;=0),"",($N678/$B678)^(365/($M678-$A678))-1))))</f>
        <v/>
      </c>
      <c r="P678" s="31" t="str">
        <f>IF($B678="","",IF($P677="",$B678,MAX($P677,$B678)))</f>
        <v/>
      </c>
      <c r="Q678" s="32" t="str">
        <f>IF($P678="","",$B678/$P678-1)</f>
        <v/>
      </c>
    </row>
    <row r="679">
      <c r="A679" s="11" t="n"/>
      <c r="B679" s="29" t="n"/>
      <c r="K679" s="30" t="str">
        <f>IF($A679="","",EDATE($A679,12*$E$4))</f>
        <v/>
      </c>
      <c r="L679" s="19" t="str">
        <f>IF($K679="","",IF($K679&gt;MAX($A$8:$A$5007),"",IFERROR(MATCH($K679,$A$8:$A$5007,1),"")))</f>
        <v/>
      </c>
      <c r="M679" s="30" t="str">
        <f>IF($L679="","",INDEX($A$8:$A$5007,$L679))</f>
        <v/>
      </c>
      <c r="N679" s="31" t="str">
        <f>IF($L679="","",INDEX($B$8:$B$5007,$L679))</f>
        <v/>
      </c>
      <c r="O679" s="32" t="str">
        <f>IF($M679="","",IF($K679-$M679&gt;7,"",IF($M679&lt;=$A679,"",IF(OR($B679&lt;=0,$N679&lt;=0),"",($N679/$B679)^(365/($M679-$A679))-1))))</f>
        <v/>
      </c>
      <c r="P679" s="31" t="str">
        <f>IF($B679="","",IF($P678="",$B679,MAX($P678,$B679)))</f>
        <v/>
      </c>
      <c r="Q679" s="32" t="str">
        <f>IF($P679="","",$B679/$P679-1)</f>
        <v/>
      </c>
    </row>
    <row r="680">
      <c r="A680" s="11" t="n"/>
      <c r="B680" s="29" t="n"/>
      <c r="K680" s="30" t="str">
        <f>IF($A680="","",EDATE($A680,12*$E$4))</f>
        <v/>
      </c>
      <c r="L680" s="19" t="str">
        <f>IF($K680="","",IF($K680&gt;MAX($A$8:$A$5007),"",IFERROR(MATCH($K680,$A$8:$A$5007,1),"")))</f>
        <v/>
      </c>
      <c r="M680" s="30" t="str">
        <f>IF($L680="","",INDEX($A$8:$A$5007,$L680))</f>
        <v/>
      </c>
      <c r="N680" s="31" t="str">
        <f>IF($L680="","",INDEX($B$8:$B$5007,$L680))</f>
        <v/>
      </c>
      <c r="O680" s="32" t="str">
        <f>IF($M680="","",IF($K680-$M680&gt;7,"",IF($M680&lt;=$A680,"",IF(OR($B680&lt;=0,$N680&lt;=0),"",($N680/$B680)^(365/($M680-$A680))-1))))</f>
        <v/>
      </c>
      <c r="P680" s="31" t="str">
        <f>IF($B680="","",IF($P679="",$B680,MAX($P679,$B680)))</f>
        <v/>
      </c>
      <c r="Q680" s="32" t="str">
        <f>IF($P680="","",$B680/$P680-1)</f>
        <v/>
      </c>
    </row>
    <row r="681">
      <c r="A681" s="11" t="n"/>
      <c r="B681" s="29" t="n"/>
      <c r="K681" s="30" t="str">
        <f>IF($A681="","",EDATE($A681,12*$E$4))</f>
        <v/>
      </c>
      <c r="L681" s="19" t="str">
        <f>IF($K681="","",IF($K681&gt;MAX($A$8:$A$5007),"",IFERROR(MATCH($K681,$A$8:$A$5007,1),"")))</f>
        <v/>
      </c>
      <c r="M681" s="30" t="str">
        <f>IF($L681="","",INDEX($A$8:$A$5007,$L681))</f>
        <v/>
      </c>
      <c r="N681" s="31" t="str">
        <f>IF($L681="","",INDEX($B$8:$B$5007,$L681))</f>
        <v/>
      </c>
      <c r="O681" s="32" t="str">
        <f>IF($M681="","",IF($K681-$M681&gt;7,"",IF($M681&lt;=$A681,"",IF(OR($B681&lt;=0,$N681&lt;=0),"",($N681/$B681)^(365/($M681-$A681))-1))))</f>
        <v/>
      </c>
      <c r="P681" s="31" t="str">
        <f>IF($B681="","",IF($P680="",$B681,MAX($P680,$B681)))</f>
        <v/>
      </c>
      <c r="Q681" s="32" t="str">
        <f>IF($P681="","",$B681/$P681-1)</f>
        <v/>
      </c>
    </row>
    <row r="682">
      <c r="A682" s="11" t="n"/>
      <c r="B682" s="29" t="n"/>
      <c r="K682" s="30" t="str">
        <f>IF($A682="","",EDATE($A682,12*$E$4))</f>
        <v/>
      </c>
      <c r="L682" s="19" t="str">
        <f>IF($K682="","",IF($K682&gt;MAX($A$8:$A$5007),"",IFERROR(MATCH($K682,$A$8:$A$5007,1),"")))</f>
        <v/>
      </c>
      <c r="M682" s="30" t="str">
        <f>IF($L682="","",INDEX($A$8:$A$5007,$L682))</f>
        <v/>
      </c>
      <c r="N682" s="31" t="str">
        <f>IF($L682="","",INDEX($B$8:$B$5007,$L682))</f>
        <v/>
      </c>
      <c r="O682" s="32" t="str">
        <f>IF($M682="","",IF($K682-$M682&gt;7,"",IF($M682&lt;=$A682,"",IF(OR($B682&lt;=0,$N682&lt;=0),"",($N682/$B682)^(365/($M682-$A682))-1))))</f>
        <v/>
      </c>
      <c r="P682" s="31" t="str">
        <f>IF($B682="","",IF($P681="",$B682,MAX($P681,$B682)))</f>
        <v/>
      </c>
      <c r="Q682" s="32" t="str">
        <f>IF($P682="","",$B682/$P682-1)</f>
        <v/>
      </c>
    </row>
    <row r="683">
      <c r="A683" s="11" t="n"/>
      <c r="B683" s="29" t="n"/>
      <c r="K683" s="30" t="str">
        <f>IF($A683="","",EDATE($A683,12*$E$4))</f>
        <v/>
      </c>
      <c r="L683" s="19" t="str">
        <f>IF($K683="","",IF($K683&gt;MAX($A$8:$A$5007),"",IFERROR(MATCH($K683,$A$8:$A$5007,1),"")))</f>
        <v/>
      </c>
      <c r="M683" s="30" t="str">
        <f>IF($L683="","",INDEX($A$8:$A$5007,$L683))</f>
        <v/>
      </c>
      <c r="N683" s="31" t="str">
        <f>IF($L683="","",INDEX($B$8:$B$5007,$L683))</f>
        <v/>
      </c>
      <c r="O683" s="32" t="str">
        <f>IF($M683="","",IF($K683-$M683&gt;7,"",IF($M683&lt;=$A683,"",IF(OR($B683&lt;=0,$N683&lt;=0),"",($N683/$B683)^(365/($M683-$A683))-1))))</f>
        <v/>
      </c>
      <c r="P683" s="31" t="str">
        <f>IF($B683="","",IF($P682="",$B683,MAX($P682,$B683)))</f>
        <v/>
      </c>
      <c r="Q683" s="32" t="str">
        <f>IF($P683="","",$B683/$P683-1)</f>
        <v/>
      </c>
    </row>
    <row r="684">
      <c r="A684" s="11" t="n"/>
      <c r="B684" s="29" t="n"/>
      <c r="K684" s="30" t="str">
        <f>IF($A684="","",EDATE($A684,12*$E$4))</f>
        <v/>
      </c>
      <c r="L684" s="19" t="str">
        <f>IF($K684="","",IF($K684&gt;MAX($A$8:$A$5007),"",IFERROR(MATCH($K684,$A$8:$A$5007,1),"")))</f>
        <v/>
      </c>
      <c r="M684" s="30" t="str">
        <f>IF($L684="","",INDEX($A$8:$A$5007,$L684))</f>
        <v/>
      </c>
      <c r="N684" s="31" t="str">
        <f>IF($L684="","",INDEX($B$8:$B$5007,$L684))</f>
        <v/>
      </c>
      <c r="O684" s="32" t="str">
        <f>IF($M684="","",IF($K684-$M684&gt;7,"",IF($M684&lt;=$A684,"",IF(OR($B684&lt;=0,$N684&lt;=0),"",($N684/$B684)^(365/($M684-$A684))-1))))</f>
        <v/>
      </c>
      <c r="P684" s="31" t="str">
        <f>IF($B684="","",IF($P683="",$B684,MAX($P683,$B684)))</f>
        <v/>
      </c>
      <c r="Q684" s="32" t="str">
        <f>IF($P684="","",$B684/$P684-1)</f>
        <v/>
      </c>
    </row>
    <row r="685">
      <c r="A685" s="11" t="n"/>
      <c r="B685" s="29" t="n"/>
      <c r="K685" s="30" t="str">
        <f>IF($A685="","",EDATE($A685,12*$E$4))</f>
        <v/>
      </c>
      <c r="L685" s="19" t="str">
        <f>IF($K685="","",IF($K685&gt;MAX($A$8:$A$5007),"",IFERROR(MATCH($K685,$A$8:$A$5007,1),"")))</f>
        <v/>
      </c>
      <c r="M685" s="30" t="str">
        <f>IF($L685="","",INDEX($A$8:$A$5007,$L685))</f>
        <v/>
      </c>
      <c r="N685" s="31" t="str">
        <f>IF($L685="","",INDEX($B$8:$B$5007,$L685))</f>
        <v/>
      </c>
      <c r="O685" s="32" t="str">
        <f>IF($M685="","",IF($K685-$M685&gt;7,"",IF($M685&lt;=$A685,"",IF(OR($B685&lt;=0,$N685&lt;=0),"",($N685/$B685)^(365/($M685-$A685))-1))))</f>
        <v/>
      </c>
      <c r="P685" s="31" t="str">
        <f>IF($B685="","",IF($P684="",$B685,MAX($P684,$B685)))</f>
        <v/>
      </c>
      <c r="Q685" s="32" t="str">
        <f>IF($P685="","",$B685/$P685-1)</f>
        <v/>
      </c>
    </row>
    <row r="686">
      <c r="A686" s="11" t="n"/>
      <c r="B686" s="29" t="n"/>
      <c r="K686" s="30" t="str">
        <f>IF($A686="","",EDATE($A686,12*$E$4))</f>
        <v/>
      </c>
      <c r="L686" s="19" t="str">
        <f>IF($K686="","",IF($K686&gt;MAX($A$8:$A$5007),"",IFERROR(MATCH($K686,$A$8:$A$5007,1),"")))</f>
        <v/>
      </c>
      <c r="M686" s="30" t="str">
        <f>IF($L686="","",INDEX($A$8:$A$5007,$L686))</f>
        <v/>
      </c>
      <c r="N686" s="31" t="str">
        <f>IF($L686="","",INDEX($B$8:$B$5007,$L686))</f>
        <v/>
      </c>
      <c r="O686" s="32" t="str">
        <f>IF($M686="","",IF($K686-$M686&gt;7,"",IF($M686&lt;=$A686,"",IF(OR($B686&lt;=0,$N686&lt;=0),"",($N686/$B686)^(365/($M686-$A686))-1))))</f>
        <v/>
      </c>
      <c r="P686" s="31" t="str">
        <f>IF($B686="","",IF($P685="",$B686,MAX($P685,$B686)))</f>
        <v/>
      </c>
      <c r="Q686" s="32" t="str">
        <f>IF($P686="","",$B686/$P686-1)</f>
        <v/>
      </c>
    </row>
    <row r="687">
      <c r="A687" s="11" t="n"/>
      <c r="B687" s="29" t="n"/>
      <c r="K687" s="30" t="str">
        <f>IF($A687="","",EDATE($A687,12*$E$4))</f>
        <v/>
      </c>
      <c r="L687" s="19" t="str">
        <f>IF($K687="","",IF($K687&gt;MAX($A$8:$A$5007),"",IFERROR(MATCH($K687,$A$8:$A$5007,1),"")))</f>
        <v/>
      </c>
      <c r="M687" s="30" t="str">
        <f>IF($L687="","",INDEX($A$8:$A$5007,$L687))</f>
        <v/>
      </c>
      <c r="N687" s="31" t="str">
        <f>IF($L687="","",INDEX($B$8:$B$5007,$L687))</f>
        <v/>
      </c>
      <c r="O687" s="32" t="str">
        <f>IF($M687="","",IF($K687-$M687&gt;7,"",IF($M687&lt;=$A687,"",IF(OR($B687&lt;=0,$N687&lt;=0),"",($N687/$B687)^(365/($M687-$A687))-1))))</f>
        <v/>
      </c>
      <c r="P687" s="31" t="str">
        <f>IF($B687="","",IF($P686="",$B687,MAX($P686,$B687)))</f>
        <v/>
      </c>
      <c r="Q687" s="32" t="str">
        <f>IF($P687="","",$B687/$P687-1)</f>
        <v/>
      </c>
    </row>
    <row r="688">
      <c r="A688" s="11" t="n"/>
      <c r="B688" s="29" t="n"/>
      <c r="K688" s="30" t="str">
        <f>IF($A688="","",EDATE($A688,12*$E$4))</f>
        <v/>
      </c>
      <c r="L688" s="19" t="str">
        <f>IF($K688="","",IF($K688&gt;MAX($A$8:$A$5007),"",IFERROR(MATCH($K688,$A$8:$A$5007,1),"")))</f>
        <v/>
      </c>
      <c r="M688" s="30" t="str">
        <f>IF($L688="","",INDEX($A$8:$A$5007,$L688))</f>
        <v/>
      </c>
      <c r="N688" s="31" t="str">
        <f>IF($L688="","",INDEX($B$8:$B$5007,$L688))</f>
        <v/>
      </c>
      <c r="O688" s="32" t="str">
        <f>IF($M688="","",IF($K688-$M688&gt;7,"",IF($M688&lt;=$A688,"",IF(OR($B688&lt;=0,$N688&lt;=0),"",($N688/$B688)^(365/($M688-$A688))-1))))</f>
        <v/>
      </c>
      <c r="P688" s="31" t="str">
        <f>IF($B688="","",IF($P687="",$B688,MAX($P687,$B688)))</f>
        <v/>
      </c>
      <c r="Q688" s="32" t="str">
        <f>IF($P688="","",$B688/$P688-1)</f>
        <v/>
      </c>
    </row>
    <row r="689">
      <c r="A689" s="11" t="n"/>
      <c r="B689" s="29" t="n"/>
      <c r="K689" s="30" t="str">
        <f>IF($A689="","",EDATE($A689,12*$E$4))</f>
        <v/>
      </c>
      <c r="L689" s="19" t="str">
        <f>IF($K689="","",IF($K689&gt;MAX($A$8:$A$5007),"",IFERROR(MATCH($K689,$A$8:$A$5007,1),"")))</f>
        <v/>
      </c>
      <c r="M689" s="30" t="str">
        <f>IF($L689="","",INDEX($A$8:$A$5007,$L689))</f>
        <v/>
      </c>
      <c r="N689" s="31" t="str">
        <f>IF($L689="","",INDEX($B$8:$B$5007,$L689))</f>
        <v/>
      </c>
      <c r="O689" s="32" t="str">
        <f>IF($M689="","",IF($K689-$M689&gt;7,"",IF($M689&lt;=$A689,"",IF(OR($B689&lt;=0,$N689&lt;=0),"",($N689/$B689)^(365/($M689-$A689))-1))))</f>
        <v/>
      </c>
      <c r="P689" s="31" t="str">
        <f>IF($B689="","",IF($P688="",$B689,MAX($P688,$B689)))</f>
        <v/>
      </c>
      <c r="Q689" s="32" t="str">
        <f>IF($P689="","",$B689/$P689-1)</f>
        <v/>
      </c>
    </row>
    <row r="690">
      <c r="A690" s="11" t="n"/>
      <c r="B690" s="29" t="n"/>
      <c r="K690" s="30" t="str">
        <f>IF($A690="","",EDATE($A690,12*$E$4))</f>
        <v/>
      </c>
      <c r="L690" s="19" t="str">
        <f>IF($K690="","",IF($K690&gt;MAX($A$8:$A$5007),"",IFERROR(MATCH($K690,$A$8:$A$5007,1),"")))</f>
        <v/>
      </c>
      <c r="M690" s="30" t="str">
        <f>IF($L690="","",INDEX($A$8:$A$5007,$L690))</f>
        <v/>
      </c>
      <c r="N690" s="31" t="str">
        <f>IF($L690="","",INDEX($B$8:$B$5007,$L690))</f>
        <v/>
      </c>
      <c r="O690" s="32" t="str">
        <f>IF($M690="","",IF($K690-$M690&gt;7,"",IF($M690&lt;=$A690,"",IF(OR($B690&lt;=0,$N690&lt;=0),"",($N690/$B690)^(365/($M690-$A690))-1))))</f>
        <v/>
      </c>
      <c r="P690" s="31" t="str">
        <f>IF($B690="","",IF($P689="",$B690,MAX($P689,$B690)))</f>
        <v/>
      </c>
      <c r="Q690" s="32" t="str">
        <f>IF($P690="","",$B690/$P690-1)</f>
        <v/>
      </c>
    </row>
    <row r="691">
      <c r="A691" s="11" t="n"/>
      <c r="B691" s="29" t="n"/>
      <c r="K691" s="30" t="str">
        <f>IF($A691="","",EDATE($A691,12*$E$4))</f>
        <v/>
      </c>
      <c r="L691" s="19" t="str">
        <f>IF($K691="","",IF($K691&gt;MAX($A$8:$A$5007),"",IFERROR(MATCH($K691,$A$8:$A$5007,1),"")))</f>
        <v/>
      </c>
      <c r="M691" s="30" t="str">
        <f>IF($L691="","",INDEX($A$8:$A$5007,$L691))</f>
        <v/>
      </c>
      <c r="N691" s="31" t="str">
        <f>IF($L691="","",INDEX($B$8:$B$5007,$L691))</f>
        <v/>
      </c>
      <c r="O691" s="32" t="str">
        <f>IF($M691="","",IF($K691-$M691&gt;7,"",IF($M691&lt;=$A691,"",IF(OR($B691&lt;=0,$N691&lt;=0),"",($N691/$B691)^(365/($M691-$A691))-1))))</f>
        <v/>
      </c>
      <c r="P691" s="31" t="str">
        <f>IF($B691="","",IF($P690="",$B691,MAX($P690,$B691)))</f>
        <v/>
      </c>
      <c r="Q691" s="32" t="str">
        <f>IF($P691="","",$B691/$P691-1)</f>
        <v/>
      </c>
    </row>
    <row r="692">
      <c r="A692" s="11" t="n"/>
      <c r="B692" s="29" t="n"/>
      <c r="K692" s="30" t="str">
        <f>IF($A692="","",EDATE($A692,12*$E$4))</f>
        <v/>
      </c>
      <c r="L692" s="19" t="str">
        <f>IF($K692="","",IF($K692&gt;MAX($A$8:$A$5007),"",IFERROR(MATCH($K692,$A$8:$A$5007,1),"")))</f>
        <v/>
      </c>
      <c r="M692" s="30" t="str">
        <f>IF($L692="","",INDEX($A$8:$A$5007,$L692))</f>
        <v/>
      </c>
      <c r="N692" s="31" t="str">
        <f>IF($L692="","",INDEX($B$8:$B$5007,$L692))</f>
        <v/>
      </c>
      <c r="O692" s="32" t="str">
        <f>IF($M692="","",IF($K692-$M692&gt;7,"",IF($M692&lt;=$A692,"",IF(OR($B692&lt;=0,$N692&lt;=0),"",($N692/$B692)^(365/($M692-$A692))-1))))</f>
        <v/>
      </c>
      <c r="P692" s="31" t="str">
        <f>IF($B692="","",IF($P691="",$B692,MAX($P691,$B692)))</f>
        <v/>
      </c>
      <c r="Q692" s="32" t="str">
        <f>IF($P692="","",$B692/$P692-1)</f>
        <v/>
      </c>
    </row>
    <row r="693">
      <c r="A693" s="11" t="n"/>
      <c r="B693" s="29" t="n"/>
      <c r="K693" s="30" t="str">
        <f>IF($A693="","",EDATE($A693,12*$E$4))</f>
        <v/>
      </c>
      <c r="L693" s="19" t="str">
        <f>IF($K693="","",IF($K693&gt;MAX($A$8:$A$5007),"",IFERROR(MATCH($K693,$A$8:$A$5007,1),"")))</f>
        <v/>
      </c>
      <c r="M693" s="30" t="str">
        <f>IF($L693="","",INDEX($A$8:$A$5007,$L693))</f>
        <v/>
      </c>
      <c r="N693" s="31" t="str">
        <f>IF($L693="","",INDEX($B$8:$B$5007,$L693))</f>
        <v/>
      </c>
      <c r="O693" s="32" t="str">
        <f>IF($M693="","",IF($K693-$M693&gt;7,"",IF($M693&lt;=$A693,"",IF(OR($B693&lt;=0,$N693&lt;=0),"",($N693/$B693)^(365/($M693-$A693))-1))))</f>
        <v/>
      </c>
      <c r="P693" s="31" t="str">
        <f>IF($B693="","",IF($P692="",$B693,MAX($P692,$B693)))</f>
        <v/>
      </c>
      <c r="Q693" s="32" t="str">
        <f>IF($P693="","",$B693/$P693-1)</f>
        <v/>
      </c>
    </row>
    <row r="694">
      <c r="A694" s="11" t="n"/>
      <c r="B694" s="29" t="n"/>
      <c r="K694" s="30" t="str">
        <f>IF($A694="","",EDATE($A694,12*$E$4))</f>
        <v/>
      </c>
      <c r="L694" s="19" t="str">
        <f>IF($K694="","",IF($K694&gt;MAX($A$8:$A$5007),"",IFERROR(MATCH($K694,$A$8:$A$5007,1),"")))</f>
        <v/>
      </c>
      <c r="M694" s="30" t="str">
        <f>IF($L694="","",INDEX($A$8:$A$5007,$L694))</f>
        <v/>
      </c>
      <c r="N694" s="31" t="str">
        <f>IF($L694="","",INDEX($B$8:$B$5007,$L694))</f>
        <v/>
      </c>
      <c r="O694" s="32" t="str">
        <f>IF($M694="","",IF($K694-$M694&gt;7,"",IF($M694&lt;=$A694,"",IF(OR($B694&lt;=0,$N694&lt;=0),"",($N694/$B694)^(365/($M694-$A694))-1))))</f>
        <v/>
      </c>
      <c r="P694" s="31" t="str">
        <f>IF($B694="","",IF($P693="",$B694,MAX($P693,$B694)))</f>
        <v/>
      </c>
      <c r="Q694" s="32" t="str">
        <f>IF($P694="","",$B694/$P694-1)</f>
        <v/>
      </c>
    </row>
    <row r="695">
      <c r="A695" s="11" t="n"/>
      <c r="B695" s="29" t="n"/>
      <c r="K695" s="30" t="str">
        <f>IF($A695="","",EDATE($A695,12*$E$4))</f>
        <v/>
      </c>
      <c r="L695" s="19" t="str">
        <f>IF($K695="","",IF($K695&gt;MAX($A$8:$A$5007),"",IFERROR(MATCH($K695,$A$8:$A$5007,1),"")))</f>
        <v/>
      </c>
      <c r="M695" s="30" t="str">
        <f>IF($L695="","",INDEX($A$8:$A$5007,$L695))</f>
        <v/>
      </c>
      <c r="N695" s="31" t="str">
        <f>IF($L695="","",INDEX($B$8:$B$5007,$L695))</f>
        <v/>
      </c>
      <c r="O695" s="32" t="str">
        <f>IF($M695="","",IF($K695-$M695&gt;7,"",IF($M695&lt;=$A695,"",IF(OR($B695&lt;=0,$N695&lt;=0),"",($N695/$B695)^(365/($M695-$A695))-1))))</f>
        <v/>
      </c>
      <c r="P695" s="31" t="str">
        <f>IF($B695="","",IF($P694="",$B695,MAX($P694,$B695)))</f>
        <v/>
      </c>
      <c r="Q695" s="32" t="str">
        <f>IF($P695="","",$B695/$P695-1)</f>
        <v/>
      </c>
    </row>
    <row r="696">
      <c r="A696" s="11" t="n"/>
      <c r="B696" s="29" t="n"/>
      <c r="K696" s="30" t="str">
        <f>IF($A696="","",EDATE($A696,12*$E$4))</f>
        <v/>
      </c>
      <c r="L696" s="19" t="str">
        <f>IF($K696="","",IF($K696&gt;MAX($A$8:$A$5007),"",IFERROR(MATCH($K696,$A$8:$A$5007,1),"")))</f>
        <v/>
      </c>
      <c r="M696" s="30" t="str">
        <f>IF($L696="","",INDEX($A$8:$A$5007,$L696))</f>
        <v/>
      </c>
      <c r="N696" s="31" t="str">
        <f>IF($L696="","",INDEX($B$8:$B$5007,$L696))</f>
        <v/>
      </c>
      <c r="O696" s="32" t="str">
        <f>IF($M696="","",IF($K696-$M696&gt;7,"",IF($M696&lt;=$A696,"",IF(OR($B696&lt;=0,$N696&lt;=0),"",($N696/$B696)^(365/($M696-$A696))-1))))</f>
        <v/>
      </c>
      <c r="P696" s="31" t="str">
        <f>IF($B696="","",IF($P695="",$B696,MAX($P695,$B696)))</f>
        <v/>
      </c>
      <c r="Q696" s="32" t="str">
        <f>IF($P696="","",$B696/$P696-1)</f>
        <v/>
      </c>
    </row>
    <row r="697">
      <c r="A697" s="11" t="n"/>
      <c r="B697" s="29" t="n"/>
      <c r="K697" s="30" t="str">
        <f>IF($A697="","",EDATE($A697,12*$E$4))</f>
        <v/>
      </c>
      <c r="L697" s="19" t="str">
        <f>IF($K697="","",IF($K697&gt;MAX($A$8:$A$5007),"",IFERROR(MATCH($K697,$A$8:$A$5007,1),"")))</f>
        <v/>
      </c>
      <c r="M697" s="30" t="str">
        <f>IF($L697="","",INDEX($A$8:$A$5007,$L697))</f>
        <v/>
      </c>
      <c r="N697" s="31" t="str">
        <f>IF($L697="","",INDEX($B$8:$B$5007,$L697))</f>
        <v/>
      </c>
      <c r="O697" s="32" t="str">
        <f>IF($M697="","",IF($K697-$M697&gt;7,"",IF($M697&lt;=$A697,"",IF(OR($B697&lt;=0,$N697&lt;=0),"",($N697/$B697)^(365/($M697-$A697))-1))))</f>
        <v/>
      </c>
      <c r="P697" s="31" t="str">
        <f>IF($B697="","",IF($P696="",$B697,MAX($P696,$B697)))</f>
        <v/>
      </c>
      <c r="Q697" s="32" t="str">
        <f>IF($P697="","",$B697/$P697-1)</f>
        <v/>
      </c>
    </row>
    <row r="698">
      <c r="A698" s="11" t="n"/>
      <c r="B698" s="29" t="n"/>
      <c r="K698" s="30" t="str">
        <f>IF($A698="","",EDATE($A698,12*$E$4))</f>
        <v/>
      </c>
      <c r="L698" s="19" t="str">
        <f>IF($K698="","",IF($K698&gt;MAX($A$8:$A$5007),"",IFERROR(MATCH($K698,$A$8:$A$5007,1),"")))</f>
        <v/>
      </c>
      <c r="M698" s="30" t="str">
        <f>IF($L698="","",INDEX($A$8:$A$5007,$L698))</f>
        <v/>
      </c>
      <c r="N698" s="31" t="str">
        <f>IF($L698="","",INDEX($B$8:$B$5007,$L698))</f>
        <v/>
      </c>
      <c r="O698" s="32" t="str">
        <f>IF($M698="","",IF($K698-$M698&gt;7,"",IF($M698&lt;=$A698,"",IF(OR($B698&lt;=0,$N698&lt;=0),"",($N698/$B698)^(365/($M698-$A698))-1))))</f>
        <v/>
      </c>
      <c r="P698" s="31" t="str">
        <f>IF($B698="","",IF($P697="",$B698,MAX($P697,$B698)))</f>
        <v/>
      </c>
      <c r="Q698" s="32" t="str">
        <f>IF($P698="","",$B698/$P698-1)</f>
        <v/>
      </c>
    </row>
    <row r="699">
      <c r="A699" s="11" t="n"/>
      <c r="B699" s="29" t="n"/>
      <c r="K699" s="30" t="str">
        <f>IF($A699="","",EDATE($A699,12*$E$4))</f>
        <v/>
      </c>
      <c r="L699" s="19" t="str">
        <f>IF($K699="","",IF($K699&gt;MAX($A$8:$A$5007),"",IFERROR(MATCH($K699,$A$8:$A$5007,1),"")))</f>
        <v/>
      </c>
      <c r="M699" s="30" t="str">
        <f>IF($L699="","",INDEX($A$8:$A$5007,$L699))</f>
        <v/>
      </c>
      <c r="N699" s="31" t="str">
        <f>IF($L699="","",INDEX($B$8:$B$5007,$L699))</f>
        <v/>
      </c>
      <c r="O699" s="32" t="str">
        <f>IF($M699="","",IF($K699-$M699&gt;7,"",IF($M699&lt;=$A699,"",IF(OR($B699&lt;=0,$N699&lt;=0),"",($N699/$B699)^(365/($M699-$A699))-1))))</f>
        <v/>
      </c>
      <c r="P699" s="31" t="str">
        <f>IF($B699="","",IF($P698="",$B699,MAX($P698,$B699)))</f>
        <v/>
      </c>
      <c r="Q699" s="32" t="str">
        <f>IF($P699="","",$B699/$P699-1)</f>
        <v/>
      </c>
    </row>
    <row r="700">
      <c r="A700" s="11" t="n"/>
      <c r="B700" s="29" t="n"/>
      <c r="K700" s="30" t="str">
        <f>IF($A700="","",EDATE($A700,12*$E$4))</f>
        <v/>
      </c>
      <c r="L700" s="19" t="str">
        <f>IF($K700="","",IF($K700&gt;MAX($A$8:$A$5007),"",IFERROR(MATCH($K700,$A$8:$A$5007,1),"")))</f>
        <v/>
      </c>
      <c r="M700" s="30" t="str">
        <f>IF($L700="","",INDEX($A$8:$A$5007,$L700))</f>
        <v/>
      </c>
      <c r="N700" s="31" t="str">
        <f>IF($L700="","",INDEX($B$8:$B$5007,$L700))</f>
        <v/>
      </c>
      <c r="O700" s="32" t="str">
        <f>IF($M700="","",IF($K700-$M700&gt;7,"",IF($M700&lt;=$A700,"",IF(OR($B700&lt;=0,$N700&lt;=0),"",($N700/$B700)^(365/($M700-$A700))-1))))</f>
        <v/>
      </c>
      <c r="P700" s="31" t="str">
        <f>IF($B700="","",IF($P699="",$B700,MAX($P699,$B700)))</f>
        <v/>
      </c>
      <c r="Q700" s="32" t="str">
        <f>IF($P700="","",$B700/$P700-1)</f>
        <v/>
      </c>
    </row>
    <row r="701">
      <c r="A701" s="11" t="n"/>
      <c r="B701" s="29" t="n"/>
      <c r="K701" s="30" t="str">
        <f>IF($A701="","",EDATE($A701,12*$E$4))</f>
        <v/>
      </c>
      <c r="L701" s="19" t="str">
        <f>IF($K701="","",IF($K701&gt;MAX($A$8:$A$5007),"",IFERROR(MATCH($K701,$A$8:$A$5007,1),"")))</f>
        <v/>
      </c>
      <c r="M701" s="30" t="str">
        <f>IF($L701="","",INDEX($A$8:$A$5007,$L701))</f>
        <v/>
      </c>
      <c r="N701" s="31" t="str">
        <f>IF($L701="","",INDEX($B$8:$B$5007,$L701))</f>
        <v/>
      </c>
      <c r="O701" s="32" t="str">
        <f>IF($M701="","",IF($K701-$M701&gt;7,"",IF($M701&lt;=$A701,"",IF(OR($B701&lt;=0,$N701&lt;=0),"",($N701/$B701)^(365/($M701-$A701))-1))))</f>
        <v/>
      </c>
      <c r="P701" s="31" t="str">
        <f>IF($B701="","",IF($P700="",$B701,MAX($P700,$B701)))</f>
        <v/>
      </c>
      <c r="Q701" s="32" t="str">
        <f>IF($P701="","",$B701/$P701-1)</f>
        <v/>
      </c>
    </row>
    <row r="702">
      <c r="A702" s="11" t="n"/>
      <c r="B702" s="29" t="n"/>
      <c r="K702" s="30" t="str">
        <f>IF($A702="","",EDATE($A702,12*$E$4))</f>
        <v/>
      </c>
      <c r="L702" s="19" t="str">
        <f>IF($K702="","",IF($K702&gt;MAX($A$8:$A$5007),"",IFERROR(MATCH($K702,$A$8:$A$5007,1),"")))</f>
        <v/>
      </c>
      <c r="M702" s="30" t="str">
        <f>IF($L702="","",INDEX($A$8:$A$5007,$L702))</f>
        <v/>
      </c>
      <c r="N702" s="31" t="str">
        <f>IF($L702="","",INDEX($B$8:$B$5007,$L702))</f>
        <v/>
      </c>
      <c r="O702" s="32" t="str">
        <f>IF($M702="","",IF($K702-$M702&gt;7,"",IF($M702&lt;=$A702,"",IF(OR($B702&lt;=0,$N702&lt;=0),"",($N702/$B702)^(365/($M702-$A702))-1))))</f>
        <v/>
      </c>
      <c r="P702" s="31" t="str">
        <f>IF($B702="","",IF($P701="",$B702,MAX($P701,$B702)))</f>
        <v/>
      </c>
      <c r="Q702" s="32" t="str">
        <f>IF($P702="","",$B702/$P702-1)</f>
        <v/>
      </c>
    </row>
    <row r="703">
      <c r="A703" s="11" t="n"/>
      <c r="B703" s="29" t="n"/>
      <c r="K703" s="30" t="str">
        <f>IF($A703="","",EDATE($A703,12*$E$4))</f>
        <v/>
      </c>
      <c r="L703" s="19" t="str">
        <f>IF($K703="","",IF($K703&gt;MAX($A$8:$A$5007),"",IFERROR(MATCH($K703,$A$8:$A$5007,1),"")))</f>
        <v/>
      </c>
      <c r="M703" s="30" t="str">
        <f>IF($L703="","",INDEX($A$8:$A$5007,$L703))</f>
        <v/>
      </c>
      <c r="N703" s="31" t="str">
        <f>IF($L703="","",INDEX($B$8:$B$5007,$L703))</f>
        <v/>
      </c>
      <c r="O703" s="32" t="str">
        <f>IF($M703="","",IF($K703-$M703&gt;7,"",IF($M703&lt;=$A703,"",IF(OR($B703&lt;=0,$N703&lt;=0),"",($N703/$B703)^(365/($M703-$A703))-1))))</f>
        <v/>
      </c>
      <c r="P703" s="31" t="str">
        <f>IF($B703="","",IF($P702="",$B703,MAX($P702,$B703)))</f>
        <v/>
      </c>
      <c r="Q703" s="32" t="str">
        <f>IF($P703="","",$B703/$P703-1)</f>
        <v/>
      </c>
    </row>
    <row r="704">
      <c r="A704" s="11" t="n"/>
      <c r="B704" s="29" t="n"/>
      <c r="K704" s="30" t="str">
        <f>IF($A704="","",EDATE($A704,12*$E$4))</f>
        <v/>
      </c>
      <c r="L704" s="19" t="str">
        <f>IF($K704="","",IF($K704&gt;MAX($A$8:$A$5007),"",IFERROR(MATCH($K704,$A$8:$A$5007,1),"")))</f>
        <v/>
      </c>
      <c r="M704" s="30" t="str">
        <f>IF($L704="","",INDEX($A$8:$A$5007,$L704))</f>
        <v/>
      </c>
      <c r="N704" s="31" t="str">
        <f>IF($L704="","",INDEX($B$8:$B$5007,$L704))</f>
        <v/>
      </c>
      <c r="O704" s="32" t="str">
        <f>IF($M704="","",IF($K704-$M704&gt;7,"",IF($M704&lt;=$A704,"",IF(OR($B704&lt;=0,$N704&lt;=0),"",($N704/$B704)^(365/($M704-$A704))-1))))</f>
        <v/>
      </c>
      <c r="P704" s="31" t="str">
        <f>IF($B704="","",IF($P703="",$B704,MAX($P703,$B704)))</f>
        <v/>
      </c>
      <c r="Q704" s="32" t="str">
        <f>IF($P704="","",$B704/$P704-1)</f>
        <v/>
      </c>
    </row>
    <row r="705">
      <c r="A705" s="11" t="n"/>
      <c r="B705" s="29" t="n"/>
      <c r="K705" s="30" t="str">
        <f>IF($A705="","",EDATE($A705,12*$E$4))</f>
        <v/>
      </c>
      <c r="L705" s="19" t="str">
        <f>IF($K705="","",IF($K705&gt;MAX($A$8:$A$5007),"",IFERROR(MATCH($K705,$A$8:$A$5007,1),"")))</f>
        <v/>
      </c>
      <c r="M705" s="30" t="str">
        <f>IF($L705="","",INDEX($A$8:$A$5007,$L705))</f>
        <v/>
      </c>
      <c r="N705" s="31" t="str">
        <f>IF($L705="","",INDEX($B$8:$B$5007,$L705))</f>
        <v/>
      </c>
      <c r="O705" s="32" t="str">
        <f>IF($M705="","",IF($K705-$M705&gt;7,"",IF($M705&lt;=$A705,"",IF(OR($B705&lt;=0,$N705&lt;=0),"",($N705/$B705)^(365/($M705-$A705))-1))))</f>
        <v/>
      </c>
      <c r="P705" s="31" t="str">
        <f>IF($B705="","",IF($P704="",$B705,MAX($P704,$B705)))</f>
        <v/>
      </c>
      <c r="Q705" s="32" t="str">
        <f>IF($P705="","",$B705/$P705-1)</f>
        <v/>
      </c>
    </row>
    <row r="706">
      <c r="A706" s="11" t="n"/>
      <c r="B706" s="29" t="n"/>
      <c r="K706" s="30" t="str">
        <f>IF($A706="","",EDATE($A706,12*$E$4))</f>
        <v/>
      </c>
      <c r="L706" s="19" t="str">
        <f>IF($K706="","",IF($K706&gt;MAX($A$8:$A$5007),"",IFERROR(MATCH($K706,$A$8:$A$5007,1),"")))</f>
        <v/>
      </c>
      <c r="M706" s="30" t="str">
        <f>IF($L706="","",INDEX($A$8:$A$5007,$L706))</f>
        <v/>
      </c>
      <c r="N706" s="31" t="str">
        <f>IF($L706="","",INDEX($B$8:$B$5007,$L706))</f>
        <v/>
      </c>
      <c r="O706" s="32" t="str">
        <f>IF($M706="","",IF($K706-$M706&gt;7,"",IF($M706&lt;=$A706,"",IF(OR($B706&lt;=0,$N706&lt;=0),"",($N706/$B706)^(365/($M706-$A706))-1))))</f>
        <v/>
      </c>
      <c r="P706" s="31" t="str">
        <f>IF($B706="","",IF($P705="",$B706,MAX($P705,$B706)))</f>
        <v/>
      </c>
      <c r="Q706" s="32" t="str">
        <f>IF($P706="","",$B706/$P706-1)</f>
        <v/>
      </c>
    </row>
    <row r="707">
      <c r="A707" s="11" t="n"/>
      <c r="B707" s="29" t="n"/>
      <c r="K707" s="30" t="str">
        <f>IF($A707="","",EDATE($A707,12*$E$4))</f>
        <v/>
      </c>
      <c r="L707" s="19" t="str">
        <f>IF($K707="","",IF($K707&gt;MAX($A$8:$A$5007),"",IFERROR(MATCH($K707,$A$8:$A$5007,1),"")))</f>
        <v/>
      </c>
      <c r="M707" s="30" t="str">
        <f>IF($L707="","",INDEX($A$8:$A$5007,$L707))</f>
        <v/>
      </c>
      <c r="N707" s="31" t="str">
        <f>IF($L707="","",INDEX($B$8:$B$5007,$L707))</f>
        <v/>
      </c>
      <c r="O707" s="32" t="str">
        <f>IF($M707="","",IF($K707-$M707&gt;7,"",IF($M707&lt;=$A707,"",IF(OR($B707&lt;=0,$N707&lt;=0),"",($N707/$B707)^(365/($M707-$A707))-1))))</f>
        <v/>
      </c>
      <c r="P707" s="31" t="str">
        <f>IF($B707="","",IF($P706="",$B707,MAX($P706,$B707)))</f>
        <v/>
      </c>
      <c r="Q707" s="32" t="str">
        <f>IF($P707="","",$B707/$P707-1)</f>
        <v/>
      </c>
    </row>
    <row r="708">
      <c r="A708" s="11" t="n"/>
      <c r="B708" s="29" t="n"/>
      <c r="K708" s="30" t="str">
        <f>IF($A708="","",EDATE($A708,12*$E$4))</f>
        <v/>
      </c>
      <c r="L708" s="19" t="str">
        <f>IF($K708="","",IF($K708&gt;MAX($A$8:$A$5007),"",IFERROR(MATCH($K708,$A$8:$A$5007,1),"")))</f>
        <v/>
      </c>
      <c r="M708" s="30" t="str">
        <f>IF($L708="","",INDEX($A$8:$A$5007,$L708))</f>
        <v/>
      </c>
      <c r="N708" s="31" t="str">
        <f>IF($L708="","",INDEX($B$8:$B$5007,$L708))</f>
        <v/>
      </c>
      <c r="O708" s="32" t="str">
        <f>IF($M708="","",IF($K708-$M708&gt;7,"",IF($M708&lt;=$A708,"",IF(OR($B708&lt;=0,$N708&lt;=0),"",($N708/$B708)^(365/($M708-$A708))-1))))</f>
        <v/>
      </c>
      <c r="P708" s="31" t="str">
        <f>IF($B708="","",IF($P707="",$B708,MAX($P707,$B708)))</f>
        <v/>
      </c>
      <c r="Q708" s="32" t="str">
        <f>IF($P708="","",$B708/$P708-1)</f>
        <v/>
      </c>
    </row>
    <row r="709">
      <c r="A709" s="11" t="n"/>
      <c r="B709" s="29" t="n"/>
      <c r="K709" s="30" t="str">
        <f>IF($A709="","",EDATE($A709,12*$E$4))</f>
        <v/>
      </c>
      <c r="L709" s="19" t="str">
        <f>IF($K709="","",IF($K709&gt;MAX($A$8:$A$5007),"",IFERROR(MATCH($K709,$A$8:$A$5007,1),"")))</f>
        <v/>
      </c>
      <c r="M709" s="30" t="str">
        <f>IF($L709="","",INDEX($A$8:$A$5007,$L709))</f>
        <v/>
      </c>
      <c r="N709" s="31" t="str">
        <f>IF($L709="","",INDEX($B$8:$B$5007,$L709))</f>
        <v/>
      </c>
      <c r="O709" s="32" t="str">
        <f>IF($M709="","",IF($K709-$M709&gt;7,"",IF($M709&lt;=$A709,"",IF(OR($B709&lt;=0,$N709&lt;=0),"",($N709/$B709)^(365/($M709-$A709))-1))))</f>
        <v/>
      </c>
      <c r="P709" s="31" t="str">
        <f>IF($B709="","",IF($P708="",$B709,MAX($P708,$B709)))</f>
        <v/>
      </c>
      <c r="Q709" s="32" t="str">
        <f>IF($P709="","",$B709/$P709-1)</f>
        <v/>
      </c>
    </row>
    <row r="710">
      <c r="A710" s="11" t="n"/>
      <c r="B710" s="29" t="n"/>
      <c r="K710" s="30" t="str">
        <f>IF($A710="","",EDATE($A710,12*$E$4))</f>
        <v/>
      </c>
      <c r="L710" s="19" t="str">
        <f>IF($K710="","",IF($K710&gt;MAX($A$8:$A$5007),"",IFERROR(MATCH($K710,$A$8:$A$5007,1),"")))</f>
        <v/>
      </c>
      <c r="M710" s="30" t="str">
        <f>IF($L710="","",INDEX($A$8:$A$5007,$L710))</f>
        <v/>
      </c>
      <c r="N710" s="31" t="str">
        <f>IF($L710="","",INDEX($B$8:$B$5007,$L710))</f>
        <v/>
      </c>
      <c r="O710" s="32" t="str">
        <f>IF($M710="","",IF($K710-$M710&gt;7,"",IF($M710&lt;=$A710,"",IF(OR($B710&lt;=0,$N710&lt;=0),"",($N710/$B710)^(365/($M710-$A710))-1))))</f>
        <v/>
      </c>
      <c r="P710" s="31" t="str">
        <f>IF($B710="","",IF($P709="",$B710,MAX($P709,$B710)))</f>
        <v/>
      </c>
      <c r="Q710" s="32" t="str">
        <f>IF($P710="","",$B710/$P710-1)</f>
        <v/>
      </c>
    </row>
    <row r="711">
      <c r="A711" s="11" t="n"/>
      <c r="B711" s="29" t="n"/>
      <c r="K711" s="30" t="str">
        <f>IF($A711="","",EDATE($A711,12*$E$4))</f>
        <v/>
      </c>
      <c r="L711" s="19" t="str">
        <f>IF($K711="","",IF($K711&gt;MAX($A$8:$A$5007),"",IFERROR(MATCH($K711,$A$8:$A$5007,1),"")))</f>
        <v/>
      </c>
      <c r="M711" s="30" t="str">
        <f>IF($L711="","",INDEX($A$8:$A$5007,$L711))</f>
        <v/>
      </c>
      <c r="N711" s="31" t="str">
        <f>IF($L711="","",INDEX($B$8:$B$5007,$L711))</f>
        <v/>
      </c>
      <c r="O711" s="32" t="str">
        <f>IF($M711="","",IF($K711-$M711&gt;7,"",IF($M711&lt;=$A711,"",IF(OR($B711&lt;=0,$N711&lt;=0),"",($N711/$B711)^(365/($M711-$A711))-1))))</f>
        <v/>
      </c>
      <c r="P711" s="31" t="str">
        <f>IF($B711="","",IF($P710="",$B711,MAX($P710,$B711)))</f>
        <v/>
      </c>
      <c r="Q711" s="32" t="str">
        <f>IF($P711="","",$B711/$P711-1)</f>
        <v/>
      </c>
    </row>
    <row r="712">
      <c r="A712" s="11" t="n"/>
      <c r="B712" s="29" t="n"/>
      <c r="K712" s="30" t="str">
        <f>IF($A712="","",EDATE($A712,12*$E$4))</f>
        <v/>
      </c>
      <c r="L712" s="19" t="str">
        <f>IF($K712="","",IF($K712&gt;MAX($A$8:$A$5007),"",IFERROR(MATCH($K712,$A$8:$A$5007,1),"")))</f>
        <v/>
      </c>
      <c r="M712" s="30" t="str">
        <f>IF($L712="","",INDEX($A$8:$A$5007,$L712))</f>
        <v/>
      </c>
      <c r="N712" s="31" t="str">
        <f>IF($L712="","",INDEX($B$8:$B$5007,$L712))</f>
        <v/>
      </c>
      <c r="O712" s="32" t="str">
        <f>IF($M712="","",IF($K712-$M712&gt;7,"",IF($M712&lt;=$A712,"",IF(OR($B712&lt;=0,$N712&lt;=0),"",($N712/$B712)^(365/($M712-$A712))-1))))</f>
        <v/>
      </c>
      <c r="P712" s="31" t="str">
        <f>IF($B712="","",IF($P711="",$B712,MAX($P711,$B712)))</f>
        <v/>
      </c>
      <c r="Q712" s="32" t="str">
        <f>IF($P712="","",$B712/$P712-1)</f>
        <v/>
      </c>
    </row>
    <row r="713">
      <c r="A713" s="11" t="n"/>
      <c r="B713" s="29" t="n"/>
      <c r="K713" s="30" t="str">
        <f>IF($A713="","",EDATE($A713,12*$E$4))</f>
        <v/>
      </c>
      <c r="L713" s="19" t="str">
        <f>IF($K713="","",IF($K713&gt;MAX($A$8:$A$5007),"",IFERROR(MATCH($K713,$A$8:$A$5007,1),"")))</f>
        <v/>
      </c>
      <c r="M713" s="30" t="str">
        <f>IF($L713="","",INDEX($A$8:$A$5007,$L713))</f>
        <v/>
      </c>
      <c r="N713" s="31" t="str">
        <f>IF($L713="","",INDEX($B$8:$B$5007,$L713))</f>
        <v/>
      </c>
      <c r="O713" s="32" t="str">
        <f>IF($M713="","",IF($K713-$M713&gt;7,"",IF($M713&lt;=$A713,"",IF(OR($B713&lt;=0,$N713&lt;=0),"",($N713/$B713)^(365/($M713-$A713))-1))))</f>
        <v/>
      </c>
      <c r="P713" s="31" t="str">
        <f>IF($B713="","",IF($P712="",$B713,MAX($P712,$B713)))</f>
        <v/>
      </c>
      <c r="Q713" s="32" t="str">
        <f>IF($P713="","",$B713/$P713-1)</f>
        <v/>
      </c>
    </row>
    <row r="714">
      <c r="A714" s="11" t="n"/>
      <c r="B714" s="29" t="n"/>
      <c r="K714" s="30" t="str">
        <f>IF($A714="","",EDATE($A714,12*$E$4))</f>
        <v/>
      </c>
      <c r="L714" s="19" t="str">
        <f>IF($K714="","",IF($K714&gt;MAX($A$8:$A$5007),"",IFERROR(MATCH($K714,$A$8:$A$5007,1),"")))</f>
        <v/>
      </c>
      <c r="M714" s="30" t="str">
        <f>IF($L714="","",INDEX($A$8:$A$5007,$L714))</f>
        <v/>
      </c>
      <c r="N714" s="31" t="str">
        <f>IF($L714="","",INDEX($B$8:$B$5007,$L714))</f>
        <v/>
      </c>
      <c r="O714" s="32" t="str">
        <f>IF($M714="","",IF($K714-$M714&gt;7,"",IF($M714&lt;=$A714,"",IF(OR($B714&lt;=0,$N714&lt;=0),"",($N714/$B714)^(365/($M714-$A714))-1))))</f>
        <v/>
      </c>
      <c r="P714" s="31" t="str">
        <f>IF($B714="","",IF($P713="",$B714,MAX($P713,$B714)))</f>
        <v/>
      </c>
      <c r="Q714" s="32" t="str">
        <f>IF($P714="","",$B714/$P714-1)</f>
        <v/>
      </c>
    </row>
    <row r="715">
      <c r="A715" s="11" t="n"/>
      <c r="B715" s="29" t="n"/>
      <c r="K715" s="30" t="str">
        <f>IF($A715="","",EDATE($A715,12*$E$4))</f>
        <v/>
      </c>
      <c r="L715" s="19" t="str">
        <f>IF($K715="","",IF($K715&gt;MAX($A$8:$A$5007),"",IFERROR(MATCH($K715,$A$8:$A$5007,1),"")))</f>
        <v/>
      </c>
      <c r="M715" s="30" t="str">
        <f>IF($L715="","",INDEX($A$8:$A$5007,$L715))</f>
        <v/>
      </c>
      <c r="N715" s="31" t="str">
        <f>IF($L715="","",INDEX($B$8:$B$5007,$L715))</f>
        <v/>
      </c>
      <c r="O715" s="32" t="str">
        <f>IF($M715="","",IF($K715-$M715&gt;7,"",IF($M715&lt;=$A715,"",IF(OR($B715&lt;=0,$N715&lt;=0),"",($N715/$B715)^(365/($M715-$A715))-1))))</f>
        <v/>
      </c>
      <c r="P715" s="31" t="str">
        <f>IF($B715="","",IF($P714="",$B715,MAX($P714,$B715)))</f>
        <v/>
      </c>
      <c r="Q715" s="32" t="str">
        <f>IF($P715="","",$B715/$P715-1)</f>
        <v/>
      </c>
    </row>
    <row r="716">
      <c r="A716" s="11" t="n"/>
      <c r="B716" s="29" t="n"/>
      <c r="K716" s="30" t="str">
        <f>IF($A716="","",EDATE($A716,12*$E$4))</f>
        <v/>
      </c>
      <c r="L716" s="19" t="str">
        <f>IF($K716="","",IF($K716&gt;MAX($A$8:$A$5007),"",IFERROR(MATCH($K716,$A$8:$A$5007,1),"")))</f>
        <v/>
      </c>
      <c r="M716" s="30" t="str">
        <f>IF($L716="","",INDEX($A$8:$A$5007,$L716))</f>
        <v/>
      </c>
      <c r="N716" s="31" t="str">
        <f>IF($L716="","",INDEX($B$8:$B$5007,$L716))</f>
        <v/>
      </c>
      <c r="O716" s="32" t="str">
        <f>IF($M716="","",IF($K716-$M716&gt;7,"",IF($M716&lt;=$A716,"",IF(OR($B716&lt;=0,$N716&lt;=0),"",($N716/$B716)^(365/($M716-$A716))-1))))</f>
        <v/>
      </c>
      <c r="P716" s="31" t="str">
        <f>IF($B716="","",IF($P715="",$B716,MAX($P715,$B716)))</f>
        <v/>
      </c>
      <c r="Q716" s="32" t="str">
        <f>IF($P716="","",$B716/$P716-1)</f>
        <v/>
      </c>
    </row>
    <row r="717">
      <c r="A717" s="11" t="n"/>
      <c r="B717" s="29" t="n"/>
      <c r="K717" s="30" t="str">
        <f>IF($A717="","",EDATE($A717,12*$E$4))</f>
        <v/>
      </c>
      <c r="L717" s="19" t="str">
        <f>IF($K717="","",IF($K717&gt;MAX($A$8:$A$5007),"",IFERROR(MATCH($K717,$A$8:$A$5007,1),"")))</f>
        <v/>
      </c>
      <c r="M717" s="30" t="str">
        <f>IF($L717="","",INDEX($A$8:$A$5007,$L717))</f>
        <v/>
      </c>
      <c r="N717" s="31" t="str">
        <f>IF($L717="","",INDEX($B$8:$B$5007,$L717))</f>
        <v/>
      </c>
      <c r="O717" s="32" t="str">
        <f>IF($M717="","",IF($K717-$M717&gt;7,"",IF($M717&lt;=$A717,"",IF(OR($B717&lt;=0,$N717&lt;=0),"",($N717/$B717)^(365/($M717-$A717))-1))))</f>
        <v/>
      </c>
      <c r="P717" s="31" t="str">
        <f>IF($B717="","",IF($P716="",$B717,MAX($P716,$B717)))</f>
        <v/>
      </c>
      <c r="Q717" s="32" t="str">
        <f>IF($P717="","",$B717/$P717-1)</f>
        <v/>
      </c>
    </row>
    <row r="718">
      <c r="A718" s="11" t="n"/>
      <c r="B718" s="29" t="n"/>
      <c r="K718" s="30" t="str">
        <f>IF($A718="","",EDATE($A718,12*$E$4))</f>
        <v/>
      </c>
      <c r="L718" s="19" t="str">
        <f>IF($K718="","",IF($K718&gt;MAX($A$8:$A$5007),"",IFERROR(MATCH($K718,$A$8:$A$5007,1),"")))</f>
        <v/>
      </c>
      <c r="M718" s="30" t="str">
        <f>IF($L718="","",INDEX($A$8:$A$5007,$L718))</f>
        <v/>
      </c>
      <c r="N718" s="31" t="str">
        <f>IF($L718="","",INDEX($B$8:$B$5007,$L718))</f>
        <v/>
      </c>
      <c r="O718" s="32" t="str">
        <f>IF($M718="","",IF($K718-$M718&gt;7,"",IF($M718&lt;=$A718,"",IF(OR($B718&lt;=0,$N718&lt;=0),"",($N718/$B718)^(365/($M718-$A718))-1))))</f>
        <v/>
      </c>
      <c r="P718" s="31" t="str">
        <f>IF($B718="","",IF($P717="",$B718,MAX($P717,$B718)))</f>
        <v/>
      </c>
      <c r="Q718" s="32" t="str">
        <f>IF($P718="","",$B718/$P718-1)</f>
        <v/>
      </c>
    </row>
    <row r="719">
      <c r="A719" s="11" t="n"/>
      <c r="B719" s="29" t="n"/>
      <c r="K719" s="30" t="str">
        <f>IF($A719="","",EDATE($A719,12*$E$4))</f>
        <v/>
      </c>
      <c r="L719" s="19" t="str">
        <f>IF($K719="","",IF($K719&gt;MAX($A$8:$A$5007),"",IFERROR(MATCH($K719,$A$8:$A$5007,1),"")))</f>
        <v/>
      </c>
      <c r="M719" s="30" t="str">
        <f>IF($L719="","",INDEX($A$8:$A$5007,$L719))</f>
        <v/>
      </c>
      <c r="N719" s="31" t="str">
        <f>IF($L719="","",INDEX($B$8:$B$5007,$L719))</f>
        <v/>
      </c>
      <c r="O719" s="32" t="str">
        <f>IF($M719="","",IF($K719-$M719&gt;7,"",IF($M719&lt;=$A719,"",IF(OR($B719&lt;=0,$N719&lt;=0),"",($N719/$B719)^(365/($M719-$A719))-1))))</f>
        <v/>
      </c>
      <c r="P719" s="31" t="str">
        <f>IF($B719="","",IF($P718="",$B719,MAX($P718,$B719)))</f>
        <v/>
      </c>
      <c r="Q719" s="32" t="str">
        <f>IF($P719="","",$B719/$P719-1)</f>
        <v/>
      </c>
    </row>
    <row r="720">
      <c r="A720" s="11" t="n"/>
      <c r="B720" s="29" t="n"/>
      <c r="K720" s="30" t="str">
        <f>IF($A720="","",EDATE($A720,12*$E$4))</f>
        <v/>
      </c>
      <c r="L720" s="19" t="str">
        <f>IF($K720="","",IF($K720&gt;MAX($A$8:$A$5007),"",IFERROR(MATCH($K720,$A$8:$A$5007,1),"")))</f>
        <v/>
      </c>
      <c r="M720" s="30" t="str">
        <f>IF($L720="","",INDEX($A$8:$A$5007,$L720))</f>
        <v/>
      </c>
      <c r="N720" s="31" t="str">
        <f>IF($L720="","",INDEX($B$8:$B$5007,$L720))</f>
        <v/>
      </c>
      <c r="O720" s="32" t="str">
        <f>IF($M720="","",IF($K720-$M720&gt;7,"",IF($M720&lt;=$A720,"",IF(OR($B720&lt;=0,$N720&lt;=0),"",($N720/$B720)^(365/($M720-$A720))-1))))</f>
        <v/>
      </c>
      <c r="P720" s="31" t="str">
        <f>IF($B720="","",IF($P719="",$B720,MAX($P719,$B720)))</f>
        <v/>
      </c>
      <c r="Q720" s="32" t="str">
        <f>IF($P720="","",$B720/$P720-1)</f>
        <v/>
      </c>
    </row>
    <row r="721">
      <c r="A721" s="11" t="n"/>
      <c r="B721" s="29" t="n"/>
      <c r="K721" s="30" t="str">
        <f>IF($A721="","",EDATE($A721,12*$E$4))</f>
        <v/>
      </c>
      <c r="L721" s="19" t="str">
        <f>IF($K721="","",IF($K721&gt;MAX($A$8:$A$5007),"",IFERROR(MATCH($K721,$A$8:$A$5007,1),"")))</f>
        <v/>
      </c>
      <c r="M721" s="30" t="str">
        <f>IF($L721="","",INDEX($A$8:$A$5007,$L721))</f>
        <v/>
      </c>
      <c r="N721" s="31" t="str">
        <f>IF($L721="","",INDEX($B$8:$B$5007,$L721))</f>
        <v/>
      </c>
      <c r="O721" s="32" t="str">
        <f>IF($M721="","",IF($K721-$M721&gt;7,"",IF($M721&lt;=$A721,"",IF(OR($B721&lt;=0,$N721&lt;=0),"",($N721/$B721)^(365/($M721-$A721))-1))))</f>
        <v/>
      </c>
      <c r="P721" s="31" t="str">
        <f>IF($B721="","",IF($P720="",$B721,MAX($P720,$B721)))</f>
        <v/>
      </c>
      <c r="Q721" s="32" t="str">
        <f>IF($P721="","",$B721/$P721-1)</f>
        <v/>
      </c>
    </row>
    <row r="722">
      <c r="A722" s="11" t="n"/>
      <c r="B722" s="29" t="n"/>
      <c r="K722" s="30" t="str">
        <f>IF($A722="","",EDATE($A722,12*$E$4))</f>
        <v/>
      </c>
      <c r="L722" s="19" t="str">
        <f>IF($K722="","",IF($K722&gt;MAX($A$8:$A$5007),"",IFERROR(MATCH($K722,$A$8:$A$5007,1),"")))</f>
        <v/>
      </c>
      <c r="M722" s="30" t="str">
        <f>IF($L722="","",INDEX($A$8:$A$5007,$L722))</f>
        <v/>
      </c>
      <c r="N722" s="31" t="str">
        <f>IF($L722="","",INDEX($B$8:$B$5007,$L722))</f>
        <v/>
      </c>
      <c r="O722" s="32" t="str">
        <f>IF($M722="","",IF($K722-$M722&gt;7,"",IF($M722&lt;=$A722,"",IF(OR($B722&lt;=0,$N722&lt;=0),"",($N722/$B722)^(365/($M722-$A722))-1))))</f>
        <v/>
      </c>
      <c r="P722" s="31" t="str">
        <f>IF($B722="","",IF($P721="",$B722,MAX($P721,$B722)))</f>
        <v/>
      </c>
      <c r="Q722" s="32" t="str">
        <f>IF($P722="","",$B722/$P722-1)</f>
        <v/>
      </c>
    </row>
    <row r="723">
      <c r="A723" s="11" t="n"/>
      <c r="B723" s="29" t="n"/>
      <c r="K723" s="30" t="str">
        <f>IF($A723="","",EDATE($A723,12*$E$4))</f>
        <v/>
      </c>
      <c r="L723" s="19" t="str">
        <f>IF($K723="","",IF($K723&gt;MAX($A$8:$A$5007),"",IFERROR(MATCH($K723,$A$8:$A$5007,1),"")))</f>
        <v/>
      </c>
      <c r="M723" s="30" t="str">
        <f>IF($L723="","",INDEX($A$8:$A$5007,$L723))</f>
        <v/>
      </c>
      <c r="N723" s="31" t="str">
        <f>IF($L723="","",INDEX($B$8:$B$5007,$L723))</f>
        <v/>
      </c>
      <c r="O723" s="32" t="str">
        <f>IF($M723="","",IF($K723-$M723&gt;7,"",IF($M723&lt;=$A723,"",IF(OR($B723&lt;=0,$N723&lt;=0),"",($N723/$B723)^(365/($M723-$A723))-1))))</f>
        <v/>
      </c>
      <c r="P723" s="31" t="str">
        <f>IF($B723="","",IF($P722="",$B723,MAX($P722,$B723)))</f>
        <v/>
      </c>
      <c r="Q723" s="32" t="str">
        <f>IF($P723="","",$B723/$P723-1)</f>
        <v/>
      </c>
    </row>
    <row r="724">
      <c r="A724" s="11" t="n"/>
      <c r="B724" s="29" t="n"/>
      <c r="K724" s="30" t="str">
        <f>IF($A724="","",EDATE($A724,12*$E$4))</f>
        <v/>
      </c>
      <c r="L724" s="19" t="str">
        <f>IF($K724="","",IF($K724&gt;MAX($A$8:$A$5007),"",IFERROR(MATCH($K724,$A$8:$A$5007,1),"")))</f>
        <v/>
      </c>
      <c r="M724" s="30" t="str">
        <f>IF($L724="","",INDEX($A$8:$A$5007,$L724))</f>
        <v/>
      </c>
      <c r="N724" s="31" t="str">
        <f>IF($L724="","",INDEX($B$8:$B$5007,$L724))</f>
        <v/>
      </c>
      <c r="O724" s="32" t="str">
        <f>IF($M724="","",IF($K724-$M724&gt;7,"",IF($M724&lt;=$A724,"",IF(OR($B724&lt;=0,$N724&lt;=0),"",($N724/$B724)^(365/($M724-$A724))-1))))</f>
        <v/>
      </c>
      <c r="P724" s="31" t="str">
        <f>IF($B724="","",IF($P723="",$B724,MAX($P723,$B724)))</f>
        <v/>
      </c>
      <c r="Q724" s="32" t="str">
        <f>IF($P724="","",$B724/$P724-1)</f>
        <v/>
      </c>
    </row>
    <row r="725">
      <c r="A725" s="11" t="n"/>
      <c r="B725" s="29" t="n"/>
      <c r="K725" s="30" t="str">
        <f>IF($A725="","",EDATE($A725,12*$E$4))</f>
        <v/>
      </c>
      <c r="L725" s="19" t="str">
        <f>IF($K725="","",IF($K725&gt;MAX($A$8:$A$5007),"",IFERROR(MATCH($K725,$A$8:$A$5007,1),"")))</f>
        <v/>
      </c>
      <c r="M725" s="30" t="str">
        <f>IF($L725="","",INDEX($A$8:$A$5007,$L725))</f>
        <v/>
      </c>
      <c r="N725" s="31" t="str">
        <f>IF($L725="","",INDEX($B$8:$B$5007,$L725))</f>
        <v/>
      </c>
      <c r="O725" s="32" t="str">
        <f>IF($M725="","",IF($K725-$M725&gt;7,"",IF($M725&lt;=$A725,"",IF(OR($B725&lt;=0,$N725&lt;=0),"",($N725/$B725)^(365/($M725-$A725))-1))))</f>
        <v/>
      </c>
      <c r="P725" s="31" t="str">
        <f>IF($B725="","",IF($P724="",$B725,MAX($P724,$B725)))</f>
        <v/>
      </c>
      <c r="Q725" s="32" t="str">
        <f>IF($P725="","",$B725/$P725-1)</f>
        <v/>
      </c>
    </row>
    <row r="726">
      <c r="A726" s="11" t="n"/>
      <c r="B726" s="29" t="n"/>
      <c r="K726" s="30" t="str">
        <f>IF($A726="","",EDATE($A726,12*$E$4))</f>
        <v/>
      </c>
      <c r="L726" s="19" t="str">
        <f>IF($K726="","",IF($K726&gt;MAX($A$8:$A$5007),"",IFERROR(MATCH($K726,$A$8:$A$5007,1),"")))</f>
        <v/>
      </c>
      <c r="M726" s="30" t="str">
        <f>IF($L726="","",INDEX($A$8:$A$5007,$L726))</f>
        <v/>
      </c>
      <c r="N726" s="31" t="str">
        <f>IF($L726="","",INDEX($B$8:$B$5007,$L726))</f>
        <v/>
      </c>
      <c r="O726" s="32" t="str">
        <f>IF($M726="","",IF($K726-$M726&gt;7,"",IF($M726&lt;=$A726,"",IF(OR($B726&lt;=0,$N726&lt;=0),"",($N726/$B726)^(365/($M726-$A726))-1))))</f>
        <v/>
      </c>
      <c r="P726" s="31" t="str">
        <f>IF($B726="","",IF($P725="",$B726,MAX($P725,$B726)))</f>
        <v/>
      </c>
      <c r="Q726" s="32" t="str">
        <f>IF($P726="","",$B726/$P726-1)</f>
        <v/>
      </c>
    </row>
    <row r="727">
      <c r="A727" s="11" t="n"/>
      <c r="B727" s="29" t="n"/>
      <c r="K727" s="30" t="str">
        <f>IF($A727="","",EDATE($A727,12*$E$4))</f>
        <v/>
      </c>
      <c r="L727" s="19" t="str">
        <f>IF($K727="","",IF($K727&gt;MAX($A$8:$A$5007),"",IFERROR(MATCH($K727,$A$8:$A$5007,1),"")))</f>
        <v/>
      </c>
      <c r="M727" s="30" t="str">
        <f>IF($L727="","",INDEX($A$8:$A$5007,$L727))</f>
        <v/>
      </c>
      <c r="N727" s="31" t="str">
        <f>IF($L727="","",INDEX($B$8:$B$5007,$L727))</f>
        <v/>
      </c>
      <c r="O727" s="32" t="str">
        <f>IF($M727="","",IF($K727-$M727&gt;7,"",IF($M727&lt;=$A727,"",IF(OR($B727&lt;=0,$N727&lt;=0),"",($N727/$B727)^(365/($M727-$A727))-1))))</f>
        <v/>
      </c>
      <c r="P727" s="31" t="str">
        <f>IF($B727="","",IF($P726="",$B727,MAX($P726,$B727)))</f>
        <v/>
      </c>
      <c r="Q727" s="32" t="str">
        <f>IF($P727="","",$B727/$P727-1)</f>
        <v/>
      </c>
    </row>
    <row r="728">
      <c r="A728" s="11" t="n"/>
      <c r="B728" s="29" t="n"/>
      <c r="K728" s="30" t="str">
        <f>IF($A728="","",EDATE($A728,12*$E$4))</f>
        <v/>
      </c>
      <c r="L728" s="19" t="str">
        <f>IF($K728="","",IF($K728&gt;MAX($A$8:$A$5007),"",IFERROR(MATCH($K728,$A$8:$A$5007,1),"")))</f>
        <v/>
      </c>
      <c r="M728" s="30" t="str">
        <f>IF($L728="","",INDEX($A$8:$A$5007,$L728))</f>
        <v/>
      </c>
      <c r="N728" s="31" t="str">
        <f>IF($L728="","",INDEX($B$8:$B$5007,$L728))</f>
        <v/>
      </c>
      <c r="O728" s="32" t="str">
        <f>IF($M728="","",IF($K728-$M728&gt;7,"",IF($M728&lt;=$A728,"",IF(OR($B728&lt;=0,$N728&lt;=0),"",($N728/$B728)^(365/($M728-$A728))-1))))</f>
        <v/>
      </c>
      <c r="P728" s="31" t="str">
        <f>IF($B728="","",IF($P727="",$B728,MAX($P727,$B728)))</f>
        <v/>
      </c>
      <c r="Q728" s="32" t="str">
        <f>IF($P728="","",$B728/$P728-1)</f>
        <v/>
      </c>
    </row>
    <row r="729">
      <c r="A729" s="11" t="n"/>
      <c r="B729" s="29" t="n"/>
      <c r="K729" s="30" t="str">
        <f>IF($A729="","",EDATE($A729,12*$E$4))</f>
        <v/>
      </c>
      <c r="L729" s="19" t="str">
        <f>IF($K729="","",IF($K729&gt;MAX($A$8:$A$5007),"",IFERROR(MATCH($K729,$A$8:$A$5007,1),"")))</f>
        <v/>
      </c>
      <c r="M729" s="30" t="str">
        <f>IF($L729="","",INDEX($A$8:$A$5007,$L729))</f>
        <v/>
      </c>
      <c r="N729" s="31" t="str">
        <f>IF($L729="","",INDEX($B$8:$B$5007,$L729))</f>
        <v/>
      </c>
      <c r="O729" s="32" t="str">
        <f>IF($M729="","",IF($K729-$M729&gt;7,"",IF($M729&lt;=$A729,"",IF(OR($B729&lt;=0,$N729&lt;=0),"",($N729/$B729)^(365/($M729-$A729))-1))))</f>
        <v/>
      </c>
      <c r="P729" s="31" t="str">
        <f>IF($B729="","",IF($P728="",$B729,MAX($P728,$B729)))</f>
        <v/>
      </c>
      <c r="Q729" s="32" t="str">
        <f>IF($P729="","",$B729/$P729-1)</f>
        <v/>
      </c>
    </row>
    <row r="730">
      <c r="A730" s="11" t="n"/>
      <c r="B730" s="29" t="n"/>
      <c r="K730" s="30" t="str">
        <f>IF($A730="","",EDATE($A730,12*$E$4))</f>
        <v/>
      </c>
      <c r="L730" s="19" t="str">
        <f>IF($K730="","",IF($K730&gt;MAX($A$8:$A$5007),"",IFERROR(MATCH($K730,$A$8:$A$5007,1),"")))</f>
        <v/>
      </c>
      <c r="M730" s="30" t="str">
        <f>IF($L730="","",INDEX($A$8:$A$5007,$L730))</f>
        <v/>
      </c>
      <c r="N730" s="31" t="str">
        <f>IF($L730="","",INDEX($B$8:$B$5007,$L730))</f>
        <v/>
      </c>
      <c r="O730" s="32" t="str">
        <f>IF($M730="","",IF($K730-$M730&gt;7,"",IF($M730&lt;=$A730,"",IF(OR($B730&lt;=0,$N730&lt;=0),"",($N730/$B730)^(365/($M730-$A730))-1))))</f>
        <v/>
      </c>
      <c r="P730" s="31" t="str">
        <f>IF($B730="","",IF($P729="",$B730,MAX($P729,$B730)))</f>
        <v/>
      </c>
      <c r="Q730" s="32" t="str">
        <f>IF($P730="","",$B730/$P730-1)</f>
        <v/>
      </c>
    </row>
    <row r="731">
      <c r="A731" s="11" t="n"/>
      <c r="B731" s="29" t="n"/>
      <c r="K731" s="30" t="str">
        <f>IF($A731="","",EDATE($A731,12*$E$4))</f>
        <v/>
      </c>
      <c r="L731" s="19" t="str">
        <f>IF($K731="","",IF($K731&gt;MAX($A$8:$A$5007),"",IFERROR(MATCH($K731,$A$8:$A$5007,1),"")))</f>
        <v/>
      </c>
      <c r="M731" s="30" t="str">
        <f>IF($L731="","",INDEX($A$8:$A$5007,$L731))</f>
        <v/>
      </c>
      <c r="N731" s="31" t="str">
        <f>IF($L731="","",INDEX($B$8:$B$5007,$L731))</f>
        <v/>
      </c>
      <c r="O731" s="32" t="str">
        <f>IF($M731="","",IF($K731-$M731&gt;7,"",IF($M731&lt;=$A731,"",IF(OR($B731&lt;=0,$N731&lt;=0),"",($N731/$B731)^(365/($M731-$A731))-1))))</f>
        <v/>
      </c>
      <c r="P731" s="31" t="str">
        <f>IF($B731="","",IF($P730="",$B731,MAX($P730,$B731)))</f>
        <v/>
      </c>
      <c r="Q731" s="32" t="str">
        <f>IF($P731="","",$B731/$P731-1)</f>
        <v/>
      </c>
    </row>
    <row r="732">
      <c r="A732" s="11" t="n"/>
      <c r="B732" s="29" t="n"/>
      <c r="K732" s="30" t="str">
        <f>IF($A732="","",EDATE($A732,12*$E$4))</f>
        <v/>
      </c>
      <c r="L732" s="19" t="str">
        <f>IF($K732="","",IF($K732&gt;MAX($A$8:$A$5007),"",IFERROR(MATCH($K732,$A$8:$A$5007,1),"")))</f>
        <v/>
      </c>
      <c r="M732" s="30" t="str">
        <f>IF($L732="","",INDEX($A$8:$A$5007,$L732))</f>
        <v/>
      </c>
      <c r="N732" s="31" t="str">
        <f>IF($L732="","",INDEX($B$8:$B$5007,$L732))</f>
        <v/>
      </c>
      <c r="O732" s="32" t="str">
        <f>IF($M732="","",IF($K732-$M732&gt;7,"",IF($M732&lt;=$A732,"",IF(OR($B732&lt;=0,$N732&lt;=0),"",($N732/$B732)^(365/($M732-$A732))-1))))</f>
        <v/>
      </c>
      <c r="P732" s="31" t="str">
        <f>IF($B732="","",IF($P731="",$B732,MAX($P731,$B732)))</f>
        <v/>
      </c>
      <c r="Q732" s="32" t="str">
        <f>IF($P732="","",$B732/$P732-1)</f>
        <v/>
      </c>
    </row>
    <row r="733">
      <c r="A733" s="11" t="n"/>
      <c r="B733" s="29" t="n"/>
      <c r="K733" s="30" t="str">
        <f>IF($A733="","",EDATE($A733,12*$E$4))</f>
        <v/>
      </c>
      <c r="L733" s="19" t="str">
        <f>IF($K733="","",IF($K733&gt;MAX($A$8:$A$5007),"",IFERROR(MATCH($K733,$A$8:$A$5007,1),"")))</f>
        <v/>
      </c>
      <c r="M733" s="30" t="str">
        <f>IF($L733="","",INDEX($A$8:$A$5007,$L733))</f>
        <v/>
      </c>
      <c r="N733" s="31" t="str">
        <f>IF($L733="","",INDEX($B$8:$B$5007,$L733))</f>
        <v/>
      </c>
      <c r="O733" s="32" t="str">
        <f>IF($M733="","",IF($K733-$M733&gt;7,"",IF($M733&lt;=$A733,"",IF(OR($B733&lt;=0,$N733&lt;=0),"",($N733/$B733)^(365/($M733-$A733))-1))))</f>
        <v/>
      </c>
      <c r="P733" s="31" t="str">
        <f>IF($B733="","",IF($P732="",$B733,MAX($P732,$B733)))</f>
        <v/>
      </c>
      <c r="Q733" s="32" t="str">
        <f>IF($P733="","",$B733/$P733-1)</f>
        <v/>
      </c>
    </row>
    <row r="734">
      <c r="A734" s="11" t="n"/>
      <c r="B734" s="29" t="n"/>
      <c r="K734" s="30" t="str">
        <f>IF($A734="","",EDATE($A734,12*$E$4))</f>
        <v/>
      </c>
      <c r="L734" s="19" t="str">
        <f>IF($K734="","",IF($K734&gt;MAX($A$8:$A$5007),"",IFERROR(MATCH($K734,$A$8:$A$5007,1),"")))</f>
        <v/>
      </c>
      <c r="M734" s="30" t="str">
        <f>IF($L734="","",INDEX($A$8:$A$5007,$L734))</f>
        <v/>
      </c>
      <c r="N734" s="31" t="str">
        <f>IF($L734="","",INDEX($B$8:$B$5007,$L734))</f>
        <v/>
      </c>
      <c r="O734" s="32" t="str">
        <f>IF($M734="","",IF($K734-$M734&gt;7,"",IF($M734&lt;=$A734,"",IF(OR($B734&lt;=0,$N734&lt;=0),"",($N734/$B734)^(365/($M734-$A734))-1))))</f>
        <v/>
      </c>
      <c r="P734" s="31" t="str">
        <f>IF($B734="","",IF($P733="",$B734,MAX($P733,$B734)))</f>
        <v/>
      </c>
      <c r="Q734" s="32" t="str">
        <f>IF($P734="","",$B734/$P734-1)</f>
        <v/>
      </c>
    </row>
    <row r="735">
      <c r="A735" s="11" t="n"/>
      <c r="B735" s="29" t="n"/>
      <c r="K735" s="30" t="str">
        <f>IF($A735="","",EDATE($A735,12*$E$4))</f>
        <v/>
      </c>
      <c r="L735" s="19" t="str">
        <f>IF($K735="","",IF($K735&gt;MAX($A$8:$A$5007),"",IFERROR(MATCH($K735,$A$8:$A$5007,1),"")))</f>
        <v/>
      </c>
      <c r="M735" s="30" t="str">
        <f>IF($L735="","",INDEX($A$8:$A$5007,$L735))</f>
        <v/>
      </c>
      <c r="N735" s="31" t="str">
        <f>IF($L735="","",INDEX($B$8:$B$5007,$L735))</f>
        <v/>
      </c>
      <c r="O735" s="32" t="str">
        <f>IF($M735="","",IF($K735-$M735&gt;7,"",IF($M735&lt;=$A735,"",IF(OR($B735&lt;=0,$N735&lt;=0),"",($N735/$B735)^(365/($M735-$A735))-1))))</f>
        <v/>
      </c>
      <c r="P735" s="31" t="str">
        <f>IF($B735="","",IF($P734="",$B735,MAX($P734,$B735)))</f>
        <v/>
      </c>
      <c r="Q735" s="32" t="str">
        <f>IF($P735="","",$B735/$P735-1)</f>
        <v/>
      </c>
    </row>
    <row r="736">
      <c r="A736" s="11" t="n"/>
      <c r="B736" s="29" t="n"/>
      <c r="K736" s="30" t="str">
        <f>IF($A736="","",EDATE($A736,12*$E$4))</f>
        <v/>
      </c>
      <c r="L736" s="19" t="str">
        <f>IF($K736="","",IF($K736&gt;MAX($A$8:$A$5007),"",IFERROR(MATCH($K736,$A$8:$A$5007,1),"")))</f>
        <v/>
      </c>
      <c r="M736" s="30" t="str">
        <f>IF($L736="","",INDEX($A$8:$A$5007,$L736))</f>
        <v/>
      </c>
      <c r="N736" s="31" t="str">
        <f>IF($L736="","",INDEX($B$8:$B$5007,$L736))</f>
        <v/>
      </c>
      <c r="O736" s="32" t="str">
        <f>IF($M736="","",IF($K736-$M736&gt;7,"",IF($M736&lt;=$A736,"",IF(OR($B736&lt;=0,$N736&lt;=0),"",($N736/$B736)^(365/($M736-$A736))-1))))</f>
        <v/>
      </c>
      <c r="P736" s="31" t="str">
        <f>IF($B736="","",IF($P735="",$B736,MAX($P735,$B736)))</f>
        <v/>
      </c>
      <c r="Q736" s="32" t="str">
        <f>IF($P736="","",$B736/$P736-1)</f>
        <v/>
      </c>
    </row>
    <row r="737">
      <c r="A737" s="11" t="n"/>
      <c r="B737" s="29" t="n"/>
      <c r="K737" s="30" t="str">
        <f>IF($A737="","",EDATE($A737,12*$E$4))</f>
        <v/>
      </c>
      <c r="L737" s="19" t="str">
        <f>IF($K737="","",IF($K737&gt;MAX($A$8:$A$5007),"",IFERROR(MATCH($K737,$A$8:$A$5007,1),"")))</f>
        <v/>
      </c>
      <c r="M737" s="30" t="str">
        <f>IF($L737="","",INDEX($A$8:$A$5007,$L737))</f>
        <v/>
      </c>
      <c r="N737" s="31" t="str">
        <f>IF($L737="","",INDEX($B$8:$B$5007,$L737))</f>
        <v/>
      </c>
      <c r="O737" s="32" t="str">
        <f>IF($M737="","",IF($K737-$M737&gt;7,"",IF($M737&lt;=$A737,"",IF(OR($B737&lt;=0,$N737&lt;=0),"",($N737/$B737)^(365/($M737-$A737))-1))))</f>
        <v/>
      </c>
      <c r="P737" s="31" t="str">
        <f>IF($B737="","",IF($P736="",$B737,MAX($P736,$B737)))</f>
        <v/>
      </c>
      <c r="Q737" s="32" t="str">
        <f>IF($P737="","",$B737/$P737-1)</f>
        <v/>
      </c>
    </row>
    <row r="738">
      <c r="A738" s="11" t="n"/>
      <c r="B738" s="29" t="n"/>
      <c r="K738" s="30" t="str">
        <f>IF($A738="","",EDATE($A738,12*$E$4))</f>
        <v/>
      </c>
      <c r="L738" s="19" t="str">
        <f>IF($K738="","",IF($K738&gt;MAX($A$8:$A$5007),"",IFERROR(MATCH($K738,$A$8:$A$5007,1),"")))</f>
        <v/>
      </c>
      <c r="M738" s="30" t="str">
        <f>IF($L738="","",INDEX($A$8:$A$5007,$L738))</f>
        <v/>
      </c>
      <c r="N738" s="31" t="str">
        <f>IF($L738="","",INDEX($B$8:$B$5007,$L738))</f>
        <v/>
      </c>
      <c r="O738" s="32" t="str">
        <f>IF($M738="","",IF($K738-$M738&gt;7,"",IF($M738&lt;=$A738,"",IF(OR($B738&lt;=0,$N738&lt;=0),"",($N738/$B738)^(365/($M738-$A738))-1))))</f>
        <v/>
      </c>
      <c r="P738" s="31" t="str">
        <f>IF($B738="","",IF($P737="",$B738,MAX($P737,$B738)))</f>
        <v/>
      </c>
      <c r="Q738" s="32" t="str">
        <f>IF($P738="","",$B738/$P738-1)</f>
        <v/>
      </c>
    </row>
    <row r="739">
      <c r="A739" s="11" t="n"/>
      <c r="B739" s="29" t="n"/>
      <c r="K739" s="30" t="str">
        <f>IF($A739="","",EDATE($A739,12*$E$4))</f>
        <v/>
      </c>
      <c r="L739" s="19" t="str">
        <f>IF($K739="","",IF($K739&gt;MAX($A$8:$A$5007),"",IFERROR(MATCH($K739,$A$8:$A$5007,1),"")))</f>
        <v/>
      </c>
      <c r="M739" s="30" t="str">
        <f>IF($L739="","",INDEX($A$8:$A$5007,$L739))</f>
        <v/>
      </c>
      <c r="N739" s="31" t="str">
        <f>IF($L739="","",INDEX($B$8:$B$5007,$L739))</f>
        <v/>
      </c>
      <c r="O739" s="32" t="str">
        <f>IF($M739="","",IF($K739-$M739&gt;7,"",IF($M739&lt;=$A739,"",IF(OR($B739&lt;=0,$N739&lt;=0),"",($N739/$B739)^(365/($M739-$A739))-1))))</f>
        <v/>
      </c>
      <c r="P739" s="31" t="str">
        <f>IF($B739="","",IF($P738="",$B739,MAX($P738,$B739)))</f>
        <v/>
      </c>
      <c r="Q739" s="32" t="str">
        <f>IF($P739="","",$B739/$P739-1)</f>
        <v/>
      </c>
    </row>
    <row r="740">
      <c r="A740" s="11" t="n"/>
      <c r="B740" s="29" t="n"/>
      <c r="K740" s="30" t="str">
        <f>IF($A740="","",EDATE($A740,12*$E$4))</f>
        <v/>
      </c>
      <c r="L740" s="19" t="str">
        <f>IF($K740="","",IF($K740&gt;MAX($A$8:$A$5007),"",IFERROR(MATCH($K740,$A$8:$A$5007,1),"")))</f>
        <v/>
      </c>
      <c r="M740" s="30" t="str">
        <f>IF($L740="","",INDEX($A$8:$A$5007,$L740))</f>
        <v/>
      </c>
      <c r="N740" s="31" t="str">
        <f>IF($L740="","",INDEX($B$8:$B$5007,$L740))</f>
        <v/>
      </c>
      <c r="O740" s="32" t="str">
        <f>IF($M740="","",IF($K740-$M740&gt;7,"",IF($M740&lt;=$A740,"",IF(OR($B740&lt;=0,$N740&lt;=0),"",($N740/$B740)^(365/($M740-$A740))-1))))</f>
        <v/>
      </c>
      <c r="P740" s="31" t="str">
        <f>IF($B740="","",IF($P739="",$B740,MAX($P739,$B740)))</f>
        <v/>
      </c>
      <c r="Q740" s="32" t="str">
        <f>IF($P740="","",$B740/$P740-1)</f>
        <v/>
      </c>
    </row>
    <row r="741">
      <c r="A741" s="11" t="n"/>
      <c r="B741" s="29" t="n"/>
      <c r="K741" s="30" t="str">
        <f>IF($A741="","",EDATE($A741,12*$E$4))</f>
        <v/>
      </c>
      <c r="L741" s="19" t="str">
        <f>IF($K741="","",IF($K741&gt;MAX($A$8:$A$5007),"",IFERROR(MATCH($K741,$A$8:$A$5007,1),"")))</f>
        <v/>
      </c>
      <c r="M741" s="30" t="str">
        <f>IF($L741="","",INDEX($A$8:$A$5007,$L741))</f>
        <v/>
      </c>
      <c r="N741" s="31" t="str">
        <f>IF($L741="","",INDEX($B$8:$B$5007,$L741))</f>
        <v/>
      </c>
      <c r="O741" s="32" t="str">
        <f>IF($M741="","",IF($K741-$M741&gt;7,"",IF($M741&lt;=$A741,"",IF(OR($B741&lt;=0,$N741&lt;=0),"",($N741/$B741)^(365/($M741-$A741))-1))))</f>
        <v/>
      </c>
      <c r="P741" s="31" t="str">
        <f>IF($B741="","",IF($P740="",$B741,MAX($P740,$B741)))</f>
        <v/>
      </c>
      <c r="Q741" s="32" t="str">
        <f>IF($P741="","",$B741/$P741-1)</f>
        <v/>
      </c>
    </row>
    <row r="742">
      <c r="A742" s="11" t="n"/>
      <c r="B742" s="29" t="n"/>
      <c r="K742" s="30" t="str">
        <f>IF($A742="","",EDATE($A742,12*$E$4))</f>
        <v/>
      </c>
      <c r="L742" s="19" t="str">
        <f>IF($K742="","",IF($K742&gt;MAX($A$8:$A$5007),"",IFERROR(MATCH($K742,$A$8:$A$5007,1),"")))</f>
        <v/>
      </c>
      <c r="M742" s="30" t="str">
        <f>IF($L742="","",INDEX($A$8:$A$5007,$L742))</f>
        <v/>
      </c>
      <c r="N742" s="31" t="str">
        <f>IF($L742="","",INDEX($B$8:$B$5007,$L742))</f>
        <v/>
      </c>
      <c r="O742" s="32" t="str">
        <f>IF($M742="","",IF($K742-$M742&gt;7,"",IF($M742&lt;=$A742,"",IF(OR($B742&lt;=0,$N742&lt;=0),"",($N742/$B742)^(365/($M742-$A742))-1))))</f>
        <v/>
      </c>
      <c r="P742" s="31" t="str">
        <f>IF($B742="","",IF($P741="",$B742,MAX($P741,$B742)))</f>
        <v/>
      </c>
      <c r="Q742" s="32" t="str">
        <f>IF($P742="","",$B742/$P742-1)</f>
        <v/>
      </c>
    </row>
    <row r="743">
      <c r="A743" s="11" t="n"/>
      <c r="B743" s="29" t="n"/>
      <c r="K743" s="30" t="str">
        <f>IF($A743="","",EDATE($A743,12*$E$4))</f>
        <v/>
      </c>
      <c r="L743" s="19" t="str">
        <f>IF($K743="","",IF($K743&gt;MAX($A$8:$A$5007),"",IFERROR(MATCH($K743,$A$8:$A$5007,1),"")))</f>
        <v/>
      </c>
      <c r="M743" s="30" t="str">
        <f>IF($L743="","",INDEX($A$8:$A$5007,$L743))</f>
        <v/>
      </c>
      <c r="N743" s="31" t="str">
        <f>IF($L743="","",INDEX($B$8:$B$5007,$L743))</f>
        <v/>
      </c>
      <c r="O743" s="32" t="str">
        <f>IF($M743="","",IF($K743-$M743&gt;7,"",IF($M743&lt;=$A743,"",IF(OR($B743&lt;=0,$N743&lt;=0),"",($N743/$B743)^(365/($M743-$A743))-1))))</f>
        <v/>
      </c>
      <c r="P743" s="31" t="str">
        <f>IF($B743="","",IF($P742="",$B743,MAX($P742,$B743)))</f>
        <v/>
      </c>
      <c r="Q743" s="32" t="str">
        <f>IF($P743="","",$B743/$P743-1)</f>
        <v/>
      </c>
    </row>
    <row r="744">
      <c r="A744" s="11" t="n"/>
      <c r="B744" s="29" t="n"/>
      <c r="K744" s="30" t="str">
        <f>IF($A744="","",EDATE($A744,12*$E$4))</f>
        <v/>
      </c>
      <c r="L744" s="19" t="str">
        <f>IF($K744="","",IF($K744&gt;MAX($A$8:$A$5007),"",IFERROR(MATCH($K744,$A$8:$A$5007,1),"")))</f>
        <v/>
      </c>
      <c r="M744" s="30" t="str">
        <f>IF($L744="","",INDEX($A$8:$A$5007,$L744))</f>
        <v/>
      </c>
      <c r="N744" s="31" t="str">
        <f>IF($L744="","",INDEX($B$8:$B$5007,$L744))</f>
        <v/>
      </c>
      <c r="O744" s="32" t="str">
        <f>IF($M744="","",IF($K744-$M744&gt;7,"",IF($M744&lt;=$A744,"",IF(OR($B744&lt;=0,$N744&lt;=0),"",($N744/$B744)^(365/($M744-$A744))-1))))</f>
        <v/>
      </c>
      <c r="P744" s="31" t="str">
        <f>IF($B744="","",IF($P743="",$B744,MAX($P743,$B744)))</f>
        <v/>
      </c>
      <c r="Q744" s="32" t="str">
        <f>IF($P744="","",$B744/$P744-1)</f>
        <v/>
      </c>
    </row>
    <row r="745">
      <c r="A745" s="11" t="n"/>
      <c r="B745" s="29" t="n"/>
      <c r="K745" s="30" t="str">
        <f>IF($A745="","",EDATE($A745,12*$E$4))</f>
        <v/>
      </c>
      <c r="L745" s="19" t="str">
        <f>IF($K745="","",IF($K745&gt;MAX($A$8:$A$5007),"",IFERROR(MATCH($K745,$A$8:$A$5007,1),"")))</f>
        <v/>
      </c>
      <c r="M745" s="30" t="str">
        <f>IF($L745="","",INDEX($A$8:$A$5007,$L745))</f>
        <v/>
      </c>
      <c r="N745" s="31" t="str">
        <f>IF($L745="","",INDEX($B$8:$B$5007,$L745))</f>
        <v/>
      </c>
      <c r="O745" s="32" t="str">
        <f>IF($M745="","",IF($K745-$M745&gt;7,"",IF($M745&lt;=$A745,"",IF(OR($B745&lt;=0,$N745&lt;=0),"",($N745/$B745)^(365/($M745-$A745))-1))))</f>
        <v/>
      </c>
      <c r="P745" s="31" t="str">
        <f>IF($B745="","",IF($P744="",$B745,MAX($P744,$B745)))</f>
        <v/>
      </c>
      <c r="Q745" s="32" t="str">
        <f>IF($P745="","",$B745/$P745-1)</f>
        <v/>
      </c>
    </row>
    <row r="746">
      <c r="A746" s="11" t="n"/>
      <c r="B746" s="29" t="n"/>
      <c r="K746" s="30" t="str">
        <f>IF($A746="","",EDATE($A746,12*$E$4))</f>
        <v/>
      </c>
      <c r="L746" s="19" t="str">
        <f>IF($K746="","",IF($K746&gt;MAX($A$8:$A$5007),"",IFERROR(MATCH($K746,$A$8:$A$5007,1),"")))</f>
        <v/>
      </c>
      <c r="M746" s="30" t="str">
        <f>IF($L746="","",INDEX($A$8:$A$5007,$L746))</f>
        <v/>
      </c>
      <c r="N746" s="31" t="str">
        <f>IF($L746="","",INDEX($B$8:$B$5007,$L746))</f>
        <v/>
      </c>
      <c r="O746" s="32" t="str">
        <f>IF($M746="","",IF($K746-$M746&gt;7,"",IF($M746&lt;=$A746,"",IF(OR($B746&lt;=0,$N746&lt;=0),"",($N746/$B746)^(365/($M746-$A746))-1))))</f>
        <v/>
      </c>
      <c r="P746" s="31" t="str">
        <f>IF($B746="","",IF($P745="",$B746,MAX($P745,$B746)))</f>
        <v/>
      </c>
      <c r="Q746" s="32" t="str">
        <f>IF($P746="","",$B746/$P746-1)</f>
        <v/>
      </c>
    </row>
    <row r="747">
      <c r="A747" s="11" t="n"/>
      <c r="B747" s="29" t="n"/>
      <c r="K747" s="30" t="str">
        <f>IF($A747="","",EDATE($A747,12*$E$4))</f>
        <v/>
      </c>
      <c r="L747" s="19" t="str">
        <f>IF($K747="","",IF($K747&gt;MAX($A$8:$A$5007),"",IFERROR(MATCH($K747,$A$8:$A$5007,1),"")))</f>
        <v/>
      </c>
      <c r="M747" s="30" t="str">
        <f>IF($L747="","",INDEX($A$8:$A$5007,$L747))</f>
        <v/>
      </c>
      <c r="N747" s="31" t="str">
        <f>IF($L747="","",INDEX($B$8:$B$5007,$L747))</f>
        <v/>
      </c>
      <c r="O747" s="32" t="str">
        <f>IF($M747="","",IF($K747-$M747&gt;7,"",IF($M747&lt;=$A747,"",IF(OR($B747&lt;=0,$N747&lt;=0),"",($N747/$B747)^(365/($M747-$A747))-1))))</f>
        <v/>
      </c>
      <c r="P747" s="31" t="str">
        <f>IF($B747="","",IF($P746="",$B747,MAX($P746,$B747)))</f>
        <v/>
      </c>
      <c r="Q747" s="32" t="str">
        <f>IF($P747="","",$B747/$P747-1)</f>
        <v/>
      </c>
    </row>
    <row r="748">
      <c r="A748" s="11" t="n"/>
      <c r="B748" s="29" t="n"/>
      <c r="K748" s="30" t="str">
        <f>IF($A748="","",EDATE($A748,12*$E$4))</f>
        <v/>
      </c>
      <c r="L748" s="19" t="str">
        <f>IF($K748="","",IF($K748&gt;MAX($A$8:$A$5007),"",IFERROR(MATCH($K748,$A$8:$A$5007,1),"")))</f>
        <v/>
      </c>
      <c r="M748" s="30" t="str">
        <f>IF($L748="","",INDEX($A$8:$A$5007,$L748))</f>
        <v/>
      </c>
      <c r="N748" s="31" t="str">
        <f>IF($L748="","",INDEX($B$8:$B$5007,$L748))</f>
        <v/>
      </c>
      <c r="O748" s="32" t="str">
        <f>IF($M748="","",IF($K748-$M748&gt;7,"",IF($M748&lt;=$A748,"",IF(OR($B748&lt;=0,$N748&lt;=0),"",($N748/$B748)^(365/($M748-$A748))-1))))</f>
        <v/>
      </c>
      <c r="P748" s="31" t="str">
        <f>IF($B748="","",IF($P747="",$B748,MAX($P747,$B748)))</f>
        <v/>
      </c>
      <c r="Q748" s="32" t="str">
        <f>IF($P748="","",$B748/$P748-1)</f>
        <v/>
      </c>
    </row>
    <row r="749">
      <c r="A749" s="11" t="n"/>
      <c r="B749" s="29" t="n"/>
      <c r="K749" s="30" t="str">
        <f>IF($A749="","",EDATE($A749,12*$E$4))</f>
        <v/>
      </c>
      <c r="L749" s="19" t="str">
        <f>IF($K749="","",IF($K749&gt;MAX($A$8:$A$5007),"",IFERROR(MATCH($K749,$A$8:$A$5007,1),"")))</f>
        <v/>
      </c>
      <c r="M749" s="30" t="str">
        <f>IF($L749="","",INDEX($A$8:$A$5007,$L749))</f>
        <v/>
      </c>
      <c r="N749" s="31" t="str">
        <f>IF($L749="","",INDEX($B$8:$B$5007,$L749))</f>
        <v/>
      </c>
      <c r="O749" s="32" t="str">
        <f>IF($M749="","",IF($K749-$M749&gt;7,"",IF($M749&lt;=$A749,"",IF(OR($B749&lt;=0,$N749&lt;=0),"",($N749/$B749)^(365/($M749-$A749))-1))))</f>
        <v/>
      </c>
      <c r="P749" s="31" t="str">
        <f>IF($B749="","",IF($P748="",$B749,MAX($P748,$B749)))</f>
        <v/>
      </c>
      <c r="Q749" s="32" t="str">
        <f>IF($P749="","",$B749/$P749-1)</f>
        <v/>
      </c>
    </row>
    <row r="750">
      <c r="A750" s="11" t="n"/>
      <c r="B750" s="29" t="n"/>
      <c r="K750" s="30" t="str">
        <f>IF($A750="","",EDATE($A750,12*$E$4))</f>
        <v/>
      </c>
      <c r="L750" s="19" t="str">
        <f>IF($K750="","",IF($K750&gt;MAX($A$8:$A$5007),"",IFERROR(MATCH($K750,$A$8:$A$5007,1),"")))</f>
        <v/>
      </c>
      <c r="M750" s="30" t="str">
        <f>IF($L750="","",INDEX($A$8:$A$5007,$L750))</f>
        <v/>
      </c>
      <c r="N750" s="31" t="str">
        <f>IF($L750="","",INDEX($B$8:$B$5007,$L750))</f>
        <v/>
      </c>
      <c r="O750" s="32" t="str">
        <f>IF($M750="","",IF($K750-$M750&gt;7,"",IF($M750&lt;=$A750,"",IF(OR($B750&lt;=0,$N750&lt;=0),"",($N750/$B750)^(365/($M750-$A750))-1))))</f>
        <v/>
      </c>
      <c r="P750" s="31" t="str">
        <f>IF($B750="","",IF($P749="",$B750,MAX($P749,$B750)))</f>
        <v/>
      </c>
      <c r="Q750" s="32" t="str">
        <f>IF($P750="","",$B750/$P750-1)</f>
        <v/>
      </c>
    </row>
    <row r="751">
      <c r="A751" s="11" t="n"/>
      <c r="B751" s="29" t="n"/>
      <c r="K751" s="30" t="str">
        <f>IF($A751="","",EDATE($A751,12*$E$4))</f>
        <v/>
      </c>
      <c r="L751" s="19" t="str">
        <f>IF($K751="","",IF($K751&gt;MAX($A$8:$A$5007),"",IFERROR(MATCH($K751,$A$8:$A$5007,1),"")))</f>
        <v/>
      </c>
      <c r="M751" s="30" t="str">
        <f>IF($L751="","",INDEX($A$8:$A$5007,$L751))</f>
        <v/>
      </c>
      <c r="N751" s="31" t="str">
        <f>IF($L751="","",INDEX($B$8:$B$5007,$L751))</f>
        <v/>
      </c>
      <c r="O751" s="32" t="str">
        <f>IF($M751="","",IF($K751-$M751&gt;7,"",IF($M751&lt;=$A751,"",IF(OR($B751&lt;=0,$N751&lt;=0),"",($N751/$B751)^(365/($M751-$A751))-1))))</f>
        <v/>
      </c>
      <c r="P751" s="31" t="str">
        <f>IF($B751="","",IF($P750="",$B751,MAX($P750,$B751)))</f>
        <v/>
      </c>
      <c r="Q751" s="32" t="str">
        <f>IF($P751="","",$B751/$P751-1)</f>
        <v/>
      </c>
    </row>
    <row r="752">
      <c r="A752" s="11" t="n"/>
      <c r="B752" s="29" t="n"/>
      <c r="K752" s="30" t="str">
        <f>IF($A752="","",EDATE($A752,12*$E$4))</f>
        <v/>
      </c>
      <c r="L752" s="19" t="str">
        <f>IF($K752="","",IF($K752&gt;MAX($A$8:$A$5007),"",IFERROR(MATCH($K752,$A$8:$A$5007,1),"")))</f>
        <v/>
      </c>
      <c r="M752" s="30" t="str">
        <f>IF($L752="","",INDEX($A$8:$A$5007,$L752))</f>
        <v/>
      </c>
      <c r="N752" s="31" t="str">
        <f>IF($L752="","",INDEX($B$8:$B$5007,$L752))</f>
        <v/>
      </c>
      <c r="O752" s="32" t="str">
        <f>IF($M752="","",IF($K752-$M752&gt;7,"",IF($M752&lt;=$A752,"",IF(OR($B752&lt;=0,$N752&lt;=0),"",($N752/$B752)^(365/($M752-$A752))-1))))</f>
        <v/>
      </c>
      <c r="P752" s="31" t="str">
        <f>IF($B752="","",IF($P751="",$B752,MAX($P751,$B752)))</f>
        <v/>
      </c>
      <c r="Q752" s="32" t="str">
        <f>IF($P752="","",$B752/$P752-1)</f>
        <v/>
      </c>
    </row>
    <row r="753">
      <c r="A753" s="11" t="n"/>
      <c r="B753" s="29" t="n"/>
      <c r="K753" s="30" t="str">
        <f>IF($A753="","",EDATE($A753,12*$E$4))</f>
        <v/>
      </c>
      <c r="L753" s="19" t="str">
        <f>IF($K753="","",IF($K753&gt;MAX($A$8:$A$5007),"",IFERROR(MATCH($K753,$A$8:$A$5007,1),"")))</f>
        <v/>
      </c>
      <c r="M753" s="30" t="str">
        <f>IF($L753="","",INDEX($A$8:$A$5007,$L753))</f>
        <v/>
      </c>
      <c r="N753" s="31" t="str">
        <f>IF($L753="","",INDEX($B$8:$B$5007,$L753))</f>
        <v/>
      </c>
      <c r="O753" s="32" t="str">
        <f>IF($M753="","",IF($K753-$M753&gt;7,"",IF($M753&lt;=$A753,"",IF(OR($B753&lt;=0,$N753&lt;=0),"",($N753/$B753)^(365/($M753-$A753))-1))))</f>
        <v/>
      </c>
      <c r="P753" s="31" t="str">
        <f>IF($B753="","",IF($P752="",$B753,MAX($P752,$B753)))</f>
        <v/>
      </c>
      <c r="Q753" s="32" t="str">
        <f>IF($P753="","",$B753/$P753-1)</f>
        <v/>
      </c>
    </row>
    <row r="754">
      <c r="A754" s="11" t="n"/>
      <c r="B754" s="29" t="n"/>
      <c r="K754" s="30" t="str">
        <f>IF($A754="","",EDATE($A754,12*$E$4))</f>
        <v/>
      </c>
      <c r="L754" s="19" t="str">
        <f>IF($K754="","",IF($K754&gt;MAX($A$8:$A$5007),"",IFERROR(MATCH($K754,$A$8:$A$5007,1),"")))</f>
        <v/>
      </c>
      <c r="M754" s="30" t="str">
        <f>IF($L754="","",INDEX($A$8:$A$5007,$L754))</f>
        <v/>
      </c>
      <c r="N754" s="31" t="str">
        <f>IF($L754="","",INDEX($B$8:$B$5007,$L754))</f>
        <v/>
      </c>
      <c r="O754" s="32" t="str">
        <f>IF($M754="","",IF($K754-$M754&gt;7,"",IF($M754&lt;=$A754,"",IF(OR($B754&lt;=0,$N754&lt;=0),"",($N754/$B754)^(365/($M754-$A754))-1))))</f>
        <v/>
      </c>
      <c r="P754" s="31" t="str">
        <f>IF($B754="","",IF($P753="",$B754,MAX($P753,$B754)))</f>
        <v/>
      </c>
      <c r="Q754" s="32" t="str">
        <f>IF($P754="","",$B754/$P754-1)</f>
        <v/>
      </c>
    </row>
    <row r="755">
      <c r="A755" s="11" t="n"/>
      <c r="B755" s="29" t="n"/>
      <c r="K755" s="30" t="str">
        <f>IF($A755="","",EDATE($A755,12*$E$4))</f>
        <v/>
      </c>
      <c r="L755" s="19" t="str">
        <f>IF($K755="","",IF($K755&gt;MAX($A$8:$A$5007),"",IFERROR(MATCH($K755,$A$8:$A$5007,1),"")))</f>
        <v/>
      </c>
      <c r="M755" s="30" t="str">
        <f>IF($L755="","",INDEX($A$8:$A$5007,$L755))</f>
        <v/>
      </c>
      <c r="N755" s="31" t="str">
        <f>IF($L755="","",INDEX($B$8:$B$5007,$L755))</f>
        <v/>
      </c>
      <c r="O755" s="32" t="str">
        <f>IF($M755="","",IF($K755-$M755&gt;7,"",IF($M755&lt;=$A755,"",IF(OR($B755&lt;=0,$N755&lt;=0),"",($N755/$B755)^(365/($M755-$A755))-1))))</f>
        <v/>
      </c>
      <c r="P755" s="31" t="str">
        <f>IF($B755="","",IF($P754="",$B755,MAX($P754,$B755)))</f>
        <v/>
      </c>
      <c r="Q755" s="32" t="str">
        <f>IF($P755="","",$B755/$P755-1)</f>
        <v/>
      </c>
    </row>
    <row r="756">
      <c r="A756" s="11" t="n"/>
      <c r="B756" s="29" t="n"/>
      <c r="K756" s="30" t="str">
        <f>IF($A756="","",EDATE($A756,12*$E$4))</f>
        <v/>
      </c>
      <c r="L756" s="19" t="str">
        <f>IF($K756="","",IF($K756&gt;MAX($A$8:$A$5007),"",IFERROR(MATCH($K756,$A$8:$A$5007,1),"")))</f>
        <v/>
      </c>
      <c r="M756" s="30" t="str">
        <f>IF($L756="","",INDEX($A$8:$A$5007,$L756))</f>
        <v/>
      </c>
      <c r="N756" s="31" t="str">
        <f>IF($L756="","",INDEX($B$8:$B$5007,$L756))</f>
        <v/>
      </c>
      <c r="O756" s="32" t="str">
        <f>IF($M756="","",IF($K756-$M756&gt;7,"",IF($M756&lt;=$A756,"",IF(OR($B756&lt;=0,$N756&lt;=0),"",($N756/$B756)^(365/($M756-$A756))-1))))</f>
        <v/>
      </c>
      <c r="P756" s="31" t="str">
        <f>IF($B756="","",IF($P755="",$B756,MAX($P755,$B756)))</f>
        <v/>
      </c>
      <c r="Q756" s="32" t="str">
        <f>IF($P756="","",$B756/$P756-1)</f>
        <v/>
      </c>
    </row>
    <row r="757">
      <c r="A757" s="11" t="n"/>
      <c r="B757" s="29" t="n"/>
      <c r="K757" s="30" t="str">
        <f>IF($A757="","",EDATE($A757,12*$E$4))</f>
        <v/>
      </c>
      <c r="L757" s="19" t="str">
        <f>IF($K757="","",IF($K757&gt;MAX($A$8:$A$5007),"",IFERROR(MATCH($K757,$A$8:$A$5007,1),"")))</f>
        <v/>
      </c>
      <c r="M757" s="30" t="str">
        <f>IF($L757="","",INDEX($A$8:$A$5007,$L757))</f>
        <v/>
      </c>
      <c r="N757" s="31" t="str">
        <f>IF($L757="","",INDEX($B$8:$B$5007,$L757))</f>
        <v/>
      </c>
      <c r="O757" s="32" t="str">
        <f>IF($M757="","",IF($K757-$M757&gt;7,"",IF($M757&lt;=$A757,"",IF(OR($B757&lt;=0,$N757&lt;=0),"",($N757/$B757)^(365/($M757-$A757))-1))))</f>
        <v/>
      </c>
      <c r="P757" s="31" t="str">
        <f>IF($B757="","",IF($P756="",$B757,MAX($P756,$B757)))</f>
        <v/>
      </c>
      <c r="Q757" s="32" t="str">
        <f>IF($P757="","",$B757/$P757-1)</f>
        <v/>
      </c>
    </row>
    <row r="758">
      <c r="A758" s="11" t="n"/>
      <c r="B758" s="29" t="n"/>
      <c r="K758" s="30" t="str">
        <f>IF($A758="","",EDATE($A758,12*$E$4))</f>
        <v/>
      </c>
      <c r="L758" s="19" t="str">
        <f>IF($K758="","",IF($K758&gt;MAX($A$8:$A$5007),"",IFERROR(MATCH($K758,$A$8:$A$5007,1),"")))</f>
        <v/>
      </c>
      <c r="M758" s="30" t="str">
        <f>IF($L758="","",INDEX($A$8:$A$5007,$L758))</f>
        <v/>
      </c>
      <c r="N758" s="31" t="str">
        <f>IF($L758="","",INDEX($B$8:$B$5007,$L758))</f>
        <v/>
      </c>
      <c r="O758" s="32" t="str">
        <f>IF($M758="","",IF($K758-$M758&gt;7,"",IF($M758&lt;=$A758,"",IF(OR($B758&lt;=0,$N758&lt;=0),"",($N758/$B758)^(365/($M758-$A758))-1))))</f>
        <v/>
      </c>
      <c r="P758" s="31" t="str">
        <f>IF($B758="","",IF($P757="",$B758,MAX($P757,$B758)))</f>
        <v/>
      </c>
      <c r="Q758" s="32" t="str">
        <f>IF($P758="","",$B758/$P758-1)</f>
        <v/>
      </c>
    </row>
    <row r="759">
      <c r="A759" s="11" t="n"/>
      <c r="B759" s="29" t="n"/>
      <c r="K759" s="30" t="str">
        <f>IF($A759="","",EDATE($A759,12*$E$4))</f>
        <v/>
      </c>
      <c r="L759" s="19" t="str">
        <f>IF($K759="","",IF($K759&gt;MAX($A$8:$A$5007),"",IFERROR(MATCH($K759,$A$8:$A$5007,1),"")))</f>
        <v/>
      </c>
      <c r="M759" s="30" t="str">
        <f>IF($L759="","",INDEX($A$8:$A$5007,$L759))</f>
        <v/>
      </c>
      <c r="N759" s="31" t="str">
        <f>IF($L759="","",INDEX($B$8:$B$5007,$L759))</f>
        <v/>
      </c>
      <c r="O759" s="32" t="str">
        <f>IF($M759="","",IF($K759-$M759&gt;7,"",IF($M759&lt;=$A759,"",IF(OR($B759&lt;=0,$N759&lt;=0),"",($N759/$B759)^(365/($M759-$A759))-1))))</f>
        <v/>
      </c>
      <c r="P759" s="31" t="str">
        <f>IF($B759="","",IF($P758="",$B759,MAX($P758,$B759)))</f>
        <v/>
      </c>
      <c r="Q759" s="32" t="str">
        <f>IF($P759="","",$B759/$P759-1)</f>
        <v/>
      </c>
    </row>
    <row r="760">
      <c r="A760" s="11" t="n"/>
      <c r="B760" s="29" t="n"/>
      <c r="K760" s="30" t="str">
        <f>IF($A760="","",EDATE($A760,12*$E$4))</f>
        <v/>
      </c>
      <c r="L760" s="19" t="str">
        <f>IF($K760="","",IF($K760&gt;MAX($A$8:$A$5007),"",IFERROR(MATCH($K760,$A$8:$A$5007,1),"")))</f>
        <v/>
      </c>
      <c r="M760" s="30" t="str">
        <f>IF($L760="","",INDEX($A$8:$A$5007,$L760))</f>
        <v/>
      </c>
      <c r="N760" s="31" t="str">
        <f>IF($L760="","",INDEX($B$8:$B$5007,$L760))</f>
        <v/>
      </c>
      <c r="O760" s="32" t="str">
        <f>IF($M760="","",IF($K760-$M760&gt;7,"",IF($M760&lt;=$A760,"",IF(OR($B760&lt;=0,$N760&lt;=0),"",($N760/$B760)^(365/($M760-$A760))-1))))</f>
        <v/>
      </c>
      <c r="P760" s="31" t="str">
        <f>IF($B760="","",IF($P759="",$B760,MAX($P759,$B760)))</f>
        <v/>
      </c>
      <c r="Q760" s="32" t="str">
        <f>IF($P760="","",$B760/$P760-1)</f>
        <v/>
      </c>
    </row>
    <row r="761">
      <c r="A761" s="11" t="n"/>
      <c r="B761" s="29" t="n"/>
      <c r="K761" s="30" t="str">
        <f>IF($A761="","",EDATE($A761,12*$E$4))</f>
        <v/>
      </c>
      <c r="L761" s="19" t="str">
        <f>IF($K761="","",IF($K761&gt;MAX($A$8:$A$5007),"",IFERROR(MATCH($K761,$A$8:$A$5007,1),"")))</f>
        <v/>
      </c>
      <c r="M761" s="30" t="str">
        <f>IF($L761="","",INDEX($A$8:$A$5007,$L761))</f>
        <v/>
      </c>
      <c r="N761" s="31" t="str">
        <f>IF($L761="","",INDEX($B$8:$B$5007,$L761))</f>
        <v/>
      </c>
      <c r="O761" s="32" t="str">
        <f>IF($M761="","",IF($K761-$M761&gt;7,"",IF($M761&lt;=$A761,"",IF(OR($B761&lt;=0,$N761&lt;=0),"",($N761/$B761)^(365/($M761-$A761))-1))))</f>
        <v/>
      </c>
      <c r="P761" s="31" t="str">
        <f>IF($B761="","",IF($P760="",$B761,MAX($P760,$B761)))</f>
        <v/>
      </c>
      <c r="Q761" s="32" t="str">
        <f>IF($P761="","",$B761/$P761-1)</f>
        <v/>
      </c>
    </row>
    <row r="762">
      <c r="A762" s="11" t="n"/>
      <c r="B762" s="29" t="n"/>
      <c r="K762" s="30" t="str">
        <f>IF($A762="","",EDATE($A762,12*$E$4))</f>
        <v/>
      </c>
      <c r="L762" s="19" t="str">
        <f>IF($K762="","",IF($K762&gt;MAX($A$8:$A$5007),"",IFERROR(MATCH($K762,$A$8:$A$5007,1),"")))</f>
        <v/>
      </c>
      <c r="M762" s="30" t="str">
        <f>IF($L762="","",INDEX($A$8:$A$5007,$L762))</f>
        <v/>
      </c>
      <c r="N762" s="31" t="str">
        <f>IF($L762="","",INDEX($B$8:$B$5007,$L762))</f>
        <v/>
      </c>
      <c r="O762" s="32" t="str">
        <f>IF($M762="","",IF($K762-$M762&gt;7,"",IF($M762&lt;=$A762,"",IF(OR($B762&lt;=0,$N762&lt;=0),"",($N762/$B762)^(365/($M762-$A762))-1))))</f>
        <v/>
      </c>
      <c r="P762" s="31" t="str">
        <f>IF($B762="","",IF($P761="",$B762,MAX($P761,$B762)))</f>
        <v/>
      </c>
      <c r="Q762" s="32" t="str">
        <f>IF($P762="","",$B762/$P762-1)</f>
        <v/>
      </c>
    </row>
    <row r="763">
      <c r="A763" s="11" t="n"/>
      <c r="B763" s="29" t="n"/>
      <c r="K763" s="30" t="str">
        <f>IF($A763="","",EDATE($A763,12*$E$4))</f>
        <v/>
      </c>
      <c r="L763" s="19" t="str">
        <f>IF($K763="","",IF($K763&gt;MAX($A$8:$A$5007),"",IFERROR(MATCH($K763,$A$8:$A$5007,1),"")))</f>
        <v/>
      </c>
      <c r="M763" s="30" t="str">
        <f>IF($L763="","",INDEX($A$8:$A$5007,$L763))</f>
        <v/>
      </c>
      <c r="N763" s="31" t="str">
        <f>IF($L763="","",INDEX($B$8:$B$5007,$L763))</f>
        <v/>
      </c>
      <c r="O763" s="32" t="str">
        <f>IF($M763="","",IF($K763-$M763&gt;7,"",IF($M763&lt;=$A763,"",IF(OR($B763&lt;=0,$N763&lt;=0),"",($N763/$B763)^(365/($M763-$A763))-1))))</f>
        <v/>
      </c>
      <c r="P763" s="31" t="str">
        <f>IF($B763="","",IF($P762="",$B763,MAX($P762,$B763)))</f>
        <v/>
      </c>
      <c r="Q763" s="32" t="str">
        <f>IF($P763="","",$B763/$P763-1)</f>
        <v/>
      </c>
    </row>
    <row r="764">
      <c r="A764" s="11" t="n"/>
      <c r="B764" s="29" t="n"/>
      <c r="K764" s="30" t="str">
        <f>IF($A764="","",EDATE($A764,12*$E$4))</f>
        <v/>
      </c>
      <c r="L764" s="19" t="str">
        <f>IF($K764="","",IF($K764&gt;MAX($A$8:$A$5007),"",IFERROR(MATCH($K764,$A$8:$A$5007,1),"")))</f>
        <v/>
      </c>
      <c r="M764" s="30" t="str">
        <f>IF($L764="","",INDEX($A$8:$A$5007,$L764))</f>
        <v/>
      </c>
      <c r="N764" s="31" t="str">
        <f>IF($L764="","",INDEX($B$8:$B$5007,$L764))</f>
        <v/>
      </c>
      <c r="O764" s="32" t="str">
        <f>IF($M764="","",IF($K764-$M764&gt;7,"",IF($M764&lt;=$A764,"",IF(OR($B764&lt;=0,$N764&lt;=0),"",($N764/$B764)^(365/($M764-$A764))-1))))</f>
        <v/>
      </c>
      <c r="P764" s="31" t="str">
        <f>IF($B764="","",IF($P763="",$B764,MAX($P763,$B764)))</f>
        <v/>
      </c>
      <c r="Q764" s="32" t="str">
        <f>IF($P764="","",$B764/$P764-1)</f>
        <v/>
      </c>
    </row>
    <row r="765">
      <c r="A765" s="11" t="n"/>
      <c r="B765" s="29" t="n"/>
      <c r="K765" s="30" t="str">
        <f>IF($A765="","",EDATE($A765,12*$E$4))</f>
        <v/>
      </c>
      <c r="L765" s="19" t="str">
        <f>IF($K765="","",IF($K765&gt;MAX($A$8:$A$5007),"",IFERROR(MATCH($K765,$A$8:$A$5007,1),"")))</f>
        <v/>
      </c>
      <c r="M765" s="30" t="str">
        <f>IF($L765="","",INDEX($A$8:$A$5007,$L765))</f>
        <v/>
      </c>
      <c r="N765" s="31" t="str">
        <f>IF($L765="","",INDEX($B$8:$B$5007,$L765))</f>
        <v/>
      </c>
      <c r="O765" s="32" t="str">
        <f>IF($M765="","",IF($K765-$M765&gt;7,"",IF($M765&lt;=$A765,"",IF(OR($B765&lt;=0,$N765&lt;=0),"",($N765/$B765)^(365/($M765-$A765))-1))))</f>
        <v/>
      </c>
      <c r="P765" s="31" t="str">
        <f>IF($B765="","",IF($P764="",$B765,MAX($P764,$B765)))</f>
        <v/>
      </c>
      <c r="Q765" s="32" t="str">
        <f>IF($P765="","",$B765/$P765-1)</f>
        <v/>
      </c>
    </row>
    <row r="766">
      <c r="A766" s="11" t="n"/>
      <c r="B766" s="29" t="n"/>
      <c r="K766" s="30" t="str">
        <f>IF($A766="","",EDATE($A766,12*$E$4))</f>
        <v/>
      </c>
      <c r="L766" s="19" t="str">
        <f>IF($K766="","",IF($K766&gt;MAX($A$8:$A$5007),"",IFERROR(MATCH($K766,$A$8:$A$5007,1),"")))</f>
        <v/>
      </c>
      <c r="M766" s="30" t="str">
        <f>IF($L766="","",INDEX($A$8:$A$5007,$L766))</f>
        <v/>
      </c>
      <c r="N766" s="31" t="str">
        <f>IF($L766="","",INDEX($B$8:$B$5007,$L766))</f>
        <v/>
      </c>
      <c r="O766" s="32" t="str">
        <f>IF($M766="","",IF($K766-$M766&gt;7,"",IF($M766&lt;=$A766,"",IF(OR($B766&lt;=0,$N766&lt;=0),"",($N766/$B766)^(365/($M766-$A766))-1))))</f>
        <v/>
      </c>
      <c r="P766" s="31" t="str">
        <f>IF($B766="","",IF($P765="",$B766,MAX($P765,$B766)))</f>
        <v/>
      </c>
      <c r="Q766" s="32" t="str">
        <f>IF($P766="","",$B766/$P766-1)</f>
        <v/>
      </c>
    </row>
    <row r="767">
      <c r="A767" s="11" t="n"/>
      <c r="B767" s="29" t="n"/>
      <c r="K767" s="30" t="str">
        <f>IF($A767="","",EDATE($A767,12*$E$4))</f>
        <v/>
      </c>
      <c r="L767" s="19" t="str">
        <f>IF($K767="","",IF($K767&gt;MAX($A$8:$A$5007),"",IFERROR(MATCH($K767,$A$8:$A$5007,1),"")))</f>
        <v/>
      </c>
      <c r="M767" s="30" t="str">
        <f>IF($L767="","",INDEX($A$8:$A$5007,$L767))</f>
        <v/>
      </c>
      <c r="N767" s="31" t="str">
        <f>IF($L767="","",INDEX($B$8:$B$5007,$L767))</f>
        <v/>
      </c>
      <c r="O767" s="32" t="str">
        <f>IF($M767="","",IF($K767-$M767&gt;7,"",IF($M767&lt;=$A767,"",IF(OR($B767&lt;=0,$N767&lt;=0),"",($N767/$B767)^(365/($M767-$A767))-1))))</f>
        <v/>
      </c>
      <c r="P767" s="31" t="str">
        <f>IF($B767="","",IF($P766="",$B767,MAX($P766,$B767)))</f>
        <v/>
      </c>
      <c r="Q767" s="32" t="str">
        <f>IF($P767="","",$B767/$P767-1)</f>
        <v/>
      </c>
    </row>
    <row r="768">
      <c r="A768" s="11" t="n"/>
      <c r="B768" s="29" t="n"/>
      <c r="K768" s="30" t="str">
        <f>IF($A768="","",EDATE($A768,12*$E$4))</f>
        <v/>
      </c>
      <c r="L768" s="19" t="str">
        <f>IF($K768="","",IF($K768&gt;MAX($A$8:$A$5007),"",IFERROR(MATCH($K768,$A$8:$A$5007,1),"")))</f>
        <v/>
      </c>
      <c r="M768" s="30" t="str">
        <f>IF($L768="","",INDEX($A$8:$A$5007,$L768))</f>
        <v/>
      </c>
      <c r="N768" s="31" t="str">
        <f>IF($L768="","",INDEX($B$8:$B$5007,$L768))</f>
        <v/>
      </c>
      <c r="O768" s="32" t="str">
        <f>IF($M768="","",IF($K768-$M768&gt;7,"",IF($M768&lt;=$A768,"",IF(OR($B768&lt;=0,$N768&lt;=0),"",($N768/$B768)^(365/($M768-$A768))-1))))</f>
        <v/>
      </c>
      <c r="P768" s="31" t="str">
        <f>IF($B768="","",IF($P767="",$B768,MAX($P767,$B768)))</f>
        <v/>
      </c>
      <c r="Q768" s="32" t="str">
        <f>IF($P768="","",$B768/$P768-1)</f>
        <v/>
      </c>
    </row>
    <row r="769">
      <c r="A769" s="11" t="n"/>
      <c r="B769" s="29" t="n"/>
      <c r="K769" s="30" t="str">
        <f>IF($A769="","",EDATE($A769,12*$E$4))</f>
        <v/>
      </c>
      <c r="L769" s="19" t="str">
        <f>IF($K769="","",IF($K769&gt;MAX($A$8:$A$5007),"",IFERROR(MATCH($K769,$A$8:$A$5007,1),"")))</f>
        <v/>
      </c>
      <c r="M769" s="30" t="str">
        <f>IF($L769="","",INDEX($A$8:$A$5007,$L769))</f>
        <v/>
      </c>
      <c r="N769" s="31" t="str">
        <f>IF($L769="","",INDEX($B$8:$B$5007,$L769))</f>
        <v/>
      </c>
      <c r="O769" s="32" t="str">
        <f>IF($M769="","",IF($K769-$M769&gt;7,"",IF($M769&lt;=$A769,"",IF(OR($B769&lt;=0,$N769&lt;=0),"",($N769/$B769)^(365/($M769-$A769))-1))))</f>
        <v/>
      </c>
      <c r="P769" s="31" t="str">
        <f>IF($B769="","",IF($P768="",$B769,MAX($P768,$B769)))</f>
        <v/>
      </c>
      <c r="Q769" s="32" t="str">
        <f>IF($P769="","",$B769/$P769-1)</f>
        <v/>
      </c>
    </row>
    <row r="770">
      <c r="A770" s="11" t="n"/>
      <c r="B770" s="29" t="n"/>
      <c r="K770" s="30" t="str">
        <f>IF($A770="","",EDATE($A770,12*$E$4))</f>
        <v/>
      </c>
      <c r="L770" s="19" t="str">
        <f>IF($K770="","",IF($K770&gt;MAX($A$8:$A$5007),"",IFERROR(MATCH($K770,$A$8:$A$5007,1),"")))</f>
        <v/>
      </c>
      <c r="M770" s="30" t="str">
        <f>IF($L770="","",INDEX($A$8:$A$5007,$L770))</f>
        <v/>
      </c>
      <c r="N770" s="31" t="str">
        <f>IF($L770="","",INDEX($B$8:$B$5007,$L770))</f>
        <v/>
      </c>
      <c r="O770" s="32" t="str">
        <f>IF($M770="","",IF($K770-$M770&gt;7,"",IF($M770&lt;=$A770,"",IF(OR($B770&lt;=0,$N770&lt;=0),"",($N770/$B770)^(365/($M770-$A770))-1))))</f>
        <v/>
      </c>
      <c r="P770" s="31" t="str">
        <f>IF($B770="","",IF($P769="",$B770,MAX($P769,$B770)))</f>
        <v/>
      </c>
      <c r="Q770" s="32" t="str">
        <f>IF($P770="","",$B770/$P770-1)</f>
        <v/>
      </c>
    </row>
    <row r="771">
      <c r="A771" s="11" t="n"/>
      <c r="B771" s="29" t="n"/>
      <c r="K771" s="30" t="str">
        <f>IF($A771="","",EDATE($A771,12*$E$4))</f>
        <v/>
      </c>
      <c r="L771" s="19" t="str">
        <f>IF($K771="","",IF($K771&gt;MAX($A$8:$A$5007),"",IFERROR(MATCH($K771,$A$8:$A$5007,1),"")))</f>
        <v/>
      </c>
      <c r="M771" s="30" t="str">
        <f>IF($L771="","",INDEX($A$8:$A$5007,$L771))</f>
        <v/>
      </c>
      <c r="N771" s="31" t="str">
        <f>IF($L771="","",INDEX($B$8:$B$5007,$L771))</f>
        <v/>
      </c>
      <c r="O771" s="32" t="str">
        <f>IF($M771="","",IF($K771-$M771&gt;7,"",IF($M771&lt;=$A771,"",IF(OR($B771&lt;=0,$N771&lt;=0),"",($N771/$B771)^(365/($M771-$A771))-1))))</f>
        <v/>
      </c>
      <c r="P771" s="31" t="str">
        <f>IF($B771="","",IF($P770="",$B771,MAX($P770,$B771)))</f>
        <v/>
      </c>
      <c r="Q771" s="32" t="str">
        <f>IF($P771="","",$B771/$P771-1)</f>
        <v/>
      </c>
    </row>
    <row r="772">
      <c r="A772" s="11" t="n"/>
      <c r="B772" s="29" t="n"/>
      <c r="K772" s="30" t="str">
        <f>IF($A772="","",EDATE($A772,12*$E$4))</f>
        <v/>
      </c>
      <c r="L772" s="19" t="str">
        <f>IF($K772="","",IF($K772&gt;MAX($A$8:$A$5007),"",IFERROR(MATCH($K772,$A$8:$A$5007,1),"")))</f>
        <v/>
      </c>
      <c r="M772" s="30" t="str">
        <f>IF($L772="","",INDEX($A$8:$A$5007,$L772))</f>
        <v/>
      </c>
      <c r="N772" s="31" t="str">
        <f>IF($L772="","",INDEX($B$8:$B$5007,$L772))</f>
        <v/>
      </c>
      <c r="O772" s="32" t="str">
        <f>IF($M772="","",IF($K772-$M772&gt;7,"",IF($M772&lt;=$A772,"",IF(OR($B772&lt;=0,$N772&lt;=0),"",($N772/$B772)^(365/($M772-$A772))-1))))</f>
        <v/>
      </c>
      <c r="P772" s="31" t="str">
        <f>IF($B772="","",IF($P771="",$B772,MAX($P771,$B772)))</f>
        <v/>
      </c>
      <c r="Q772" s="32" t="str">
        <f>IF($P772="","",$B772/$P772-1)</f>
        <v/>
      </c>
    </row>
    <row r="773">
      <c r="A773" s="11" t="n"/>
      <c r="B773" s="29" t="n"/>
      <c r="K773" s="30" t="str">
        <f>IF($A773="","",EDATE($A773,12*$E$4))</f>
        <v/>
      </c>
      <c r="L773" s="19" t="str">
        <f>IF($K773="","",IF($K773&gt;MAX($A$8:$A$5007),"",IFERROR(MATCH($K773,$A$8:$A$5007,1),"")))</f>
        <v/>
      </c>
      <c r="M773" s="30" t="str">
        <f>IF($L773="","",INDEX($A$8:$A$5007,$L773))</f>
        <v/>
      </c>
      <c r="N773" s="31" t="str">
        <f>IF($L773="","",INDEX($B$8:$B$5007,$L773))</f>
        <v/>
      </c>
      <c r="O773" s="32" t="str">
        <f>IF($M773="","",IF($K773-$M773&gt;7,"",IF($M773&lt;=$A773,"",IF(OR($B773&lt;=0,$N773&lt;=0),"",($N773/$B773)^(365/($M773-$A773))-1))))</f>
        <v/>
      </c>
      <c r="P773" s="31" t="str">
        <f>IF($B773="","",IF($P772="",$B773,MAX($P772,$B773)))</f>
        <v/>
      </c>
      <c r="Q773" s="32" t="str">
        <f>IF($P773="","",$B773/$P773-1)</f>
        <v/>
      </c>
    </row>
    <row r="774">
      <c r="A774" s="11" t="n"/>
      <c r="B774" s="29" t="n"/>
      <c r="K774" s="30" t="str">
        <f>IF($A774="","",EDATE($A774,12*$E$4))</f>
        <v/>
      </c>
      <c r="L774" s="19" t="str">
        <f>IF($K774="","",IF($K774&gt;MAX($A$8:$A$5007),"",IFERROR(MATCH($K774,$A$8:$A$5007,1),"")))</f>
        <v/>
      </c>
      <c r="M774" s="30" t="str">
        <f>IF($L774="","",INDEX($A$8:$A$5007,$L774))</f>
        <v/>
      </c>
      <c r="N774" s="31" t="str">
        <f>IF($L774="","",INDEX($B$8:$B$5007,$L774))</f>
        <v/>
      </c>
      <c r="O774" s="32" t="str">
        <f>IF($M774="","",IF($K774-$M774&gt;7,"",IF($M774&lt;=$A774,"",IF(OR($B774&lt;=0,$N774&lt;=0),"",($N774/$B774)^(365/($M774-$A774))-1))))</f>
        <v/>
      </c>
      <c r="P774" s="31" t="str">
        <f>IF($B774="","",IF($P773="",$B774,MAX($P773,$B774)))</f>
        <v/>
      </c>
      <c r="Q774" s="32" t="str">
        <f>IF($P774="","",$B774/$P774-1)</f>
        <v/>
      </c>
    </row>
    <row r="775">
      <c r="A775" s="11" t="n"/>
      <c r="B775" s="29" t="n"/>
      <c r="K775" s="30" t="str">
        <f>IF($A775="","",EDATE($A775,12*$E$4))</f>
        <v/>
      </c>
      <c r="L775" s="19" t="str">
        <f>IF($K775="","",IF($K775&gt;MAX($A$8:$A$5007),"",IFERROR(MATCH($K775,$A$8:$A$5007,1),"")))</f>
        <v/>
      </c>
      <c r="M775" s="30" t="str">
        <f>IF($L775="","",INDEX($A$8:$A$5007,$L775))</f>
        <v/>
      </c>
      <c r="N775" s="31" t="str">
        <f>IF($L775="","",INDEX($B$8:$B$5007,$L775))</f>
        <v/>
      </c>
      <c r="O775" s="32" t="str">
        <f>IF($M775="","",IF($K775-$M775&gt;7,"",IF($M775&lt;=$A775,"",IF(OR($B775&lt;=0,$N775&lt;=0),"",($N775/$B775)^(365/($M775-$A775))-1))))</f>
        <v/>
      </c>
      <c r="P775" s="31" t="str">
        <f>IF($B775="","",IF($P774="",$B775,MAX($P774,$B775)))</f>
        <v/>
      </c>
      <c r="Q775" s="32" t="str">
        <f>IF($P775="","",$B775/$P775-1)</f>
        <v/>
      </c>
    </row>
    <row r="776">
      <c r="A776" s="11" t="n"/>
      <c r="B776" s="29" t="n"/>
      <c r="K776" s="30" t="str">
        <f>IF($A776="","",EDATE($A776,12*$E$4))</f>
        <v/>
      </c>
      <c r="L776" s="19" t="str">
        <f>IF($K776="","",IF($K776&gt;MAX($A$8:$A$5007),"",IFERROR(MATCH($K776,$A$8:$A$5007,1),"")))</f>
        <v/>
      </c>
      <c r="M776" s="30" t="str">
        <f>IF($L776="","",INDEX($A$8:$A$5007,$L776))</f>
        <v/>
      </c>
      <c r="N776" s="31" t="str">
        <f>IF($L776="","",INDEX($B$8:$B$5007,$L776))</f>
        <v/>
      </c>
      <c r="O776" s="32" t="str">
        <f>IF($M776="","",IF($K776-$M776&gt;7,"",IF($M776&lt;=$A776,"",IF(OR($B776&lt;=0,$N776&lt;=0),"",($N776/$B776)^(365/($M776-$A776))-1))))</f>
        <v/>
      </c>
      <c r="P776" s="31" t="str">
        <f>IF($B776="","",IF($P775="",$B776,MAX($P775,$B776)))</f>
        <v/>
      </c>
      <c r="Q776" s="32" t="str">
        <f>IF($P776="","",$B776/$P776-1)</f>
        <v/>
      </c>
    </row>
    <row r="777">
      <c r="A777" s="11" t="n"/>
      <c r="B777" s="29" t="n"/>
      <c r="K777" s="30" t="str">
        <f>IF($A777="","",EDATE($A777,12*$E$4))</f>
        <v/>
      </c>
      <c r="L777" s="19" t="str">
        <f>IF($K777="","",IF($K777&gt;MAX($A$8:$A$5007),"",IFERROR(MATCH($K777,$A$8:$A$5007,1),"")))</f>
        <v/>
      </c>
      <c r="M777" s="30" t="str">
        <f>IF($L777="","",INDEX($A$8:$A$5007,$L777))</f>
        <v/>
      </c>
      <c r="N777" s="31" t="str">
        <f>IF($L777="","",INDEX($B$8:$B$5007,$L777))</f>
        <v/>
      </c>
      <c r="O777" s="32" t="str">
        <f>IF($M777="","",IF($K777-$M777&gt;7,"",IF($M777&lt;=$A777,"",IF(OR($B777&lt;=0,$N777&lt;=0),"",($N777/$B777)^(365/($M777-$A777))-1))))</f>
        <v/>
      </c>
      <c r="P777" s="31" t="str">
        <f>IF($B777="","",IF($P776="",$B777,MAX($P776,$B777)))</f>
        <v/>
      </c>
      <c r="Q777" s="32" t="str">
        <f>IF($P777="","",$B777/$P777-1)</f>
        <v/>
      </c>
    </row>
    <row r="778">
      <c r="A778" s="11" t="n"/>
      <c r="B778" s="29" t="n"/>
      <c r="K778" s="30" t="str">
        <f>IF($A778="","",EDATE($A778,12*$E$4))</f>
        <v/>
      </c>
      <c r="L778" s="19" t="str">
        <f>IF($K778="","",IF($K778&gt;MAX($A$8:$A$5007),"",IFERROR(MATCH($K778,$A$8:$A$5007,1),"")))</f>
        <v/>
      </c>
      <c r="M778" s="30" t="str">
        <f>IF($L778="","",INDEX($A$8:$A$5007,$L778))</f>
        <v/>
      </c>
      <c r="N778" s="31" t="str">
        <f>IF($L778="","",INDEX($B$8:$B$5007,$L778))</f>
        <v/>
      </c>
      <c r="O778" s="32" t="str">
        <f>IF($M778="","",IF($K778-$M778&gt;7,"",IF($M778&lt;=$A778,"",IF(OR($B778&lt;=0,$N778&lt;=0),"",($N778/$B778)^(365/($M778-$A778))-1))))</f>
        <v/>
      </c>
      <c r="P778" s="31" t="str">
        <f>IF($B778="","",IF($P777="",$B778,MAX($P777,$B778)))</f>
        <v/>
      </c>
      <c r="Q778" s="32" t="str">
        <f>IF($P778="","",$B778/$P778-1)</f>
        <v/>
      </c>
    </row>
    <row r="779">
      <c r="A779" s="11" t="n"/>
      <c r="B779" s="29" t="n"/>
      <c r="K779" s="30" t="str">
        <f>IF($A779="","",EDATE($A779,12*$E$4))</f>
        <v/>
      </c>
      <c r="L779" s="19" t="str">
        <f>IF($K779="","",IF($K779&gt;MAX($A$8:$A$5007),"",IFERROR(MATCH($K779,$A$8:$A$5007,1),"")))</f>
        <v/>
      </c>
      <c r="M779" s="30" t="str">
        <f>IF($L779="","",INDEX($A$8:$A$5007,$L779))</f>
        <v/>
      </c>
      <c r="N779" s="31" t="str">
        <f>IF($L779="","",INDEX($B$8:$B$5007,$L779))</f>
        <v/>
      </c>
      <c r="O779" s="32" t="str">
        <f>IF($M779="","",IF($K779-$M779&gt;7,"",IF($M779&lt;=$A779,"",IF(OR($B779&lt;=0,$N779&lt;=0),"",($N779/$B779)^(365/($M779-$A779))-1))))</f>
        <v/>
      </c>
      <c r="P779" s="31" t="str">
        <f>IF($B779="","",IF($P778="",$B779,MAX($P778,$B779)))</f>
        <v/>
      </c>
      <c r="Q779" s="32" t="str">
        <f>IF($P779="","",$B779/$P779-1)</f>
        <v/>
      </c>
    </row>
    <row r="780">
      <c r="A780" s="11" t="n"/>
      <c r="B780" s="29" t="n"/>
      <c r="K780" s="30" t="str">
        <f>IF($A780="","",EDATE($A780,12*$E$4))</f>
        <v/>
      </c>
      <c r="L780" s="19" t="str">
        <f>IF($K780="","",IF($K780&gt;MAX($A$8:$A$5007),"",IFERROR(MATCH($K780,$A$8:$A$5007,1),"")))</f>
        <v/>
      </c>
      <c r="M780" s="30" t="str">
        <f>IF($L780="","",INDEX($A$8:$A$5007,$L780))</f>
        <v/>
      </c>
      <c r="N780" s="31" t="str">
        <f>IF($L780="","",INDEX($B$8:$B$5007,$L780))</f>
        <v/>
      </c>
      <c r="O780" s="32" t="str">
        <f>IF($M780="","",IF($K780-$M780&gt;7,"",IF($M780&lt;=$A780,"",IF(OR($B780&lt;=0,$N780&lt;=0),"",($N780/$B780)^(365/($M780-$A780))-1))))</f>
        <v/>
      </c>
      <c r="P780" s="31" t="str">
        <f>IF($B780="","",IF($P779="",$B780,MAX($P779,$B780)))</f>
        <v/>
      </c>
      <c r="Q780" s="32" t="str">
        <f>IF($P780="","",$B780/$P780-1)</f>
        <v/>
      </c>
    </row>
    <row r="781">
      <c r="A781" s="11" t="n"/>
      <c r="B781" s="29" t="n"/>
      <c r="K781" s="30" t="str">
        <f>IF($A781="","",EDATE($A781,12*$E$4))</f>
        <v/>
      </c>
      <c r="L781" s="19" t="str">
        <f>IF($K781="","",IF($K781&gt;MAX($A$8:$A$5007),"",IFERROR(MATCH($K781,$A$8:$A$5007,1),"")))</f>
        <v/>
      </c>
      <c r="M781" s="30" t="str">
        <f>IF($L781="","",INDEX($A$8:$A$5007,$L781))</f>
        <v/>
      </c>
      <c r="N781" s="31" t="str">
        <f>IF($L781="","",INDEX($B$8:$B$5007,$L781))</f>
        <v/>
      </c>
      <c r="O781" s="32" t="str">
        <f>IF($M781="","",IF($K781-$M781&gt;7,"",IF($M781&lt;=$A781,"",IF(OR($B781&lt;=0,$N781&lt;=0),"",($N781/$B781)^(365/($M781-$A781))-1))))</f>
        <v/>
      </c>
      <c r="P781" s="31" t="str">
        <f>IF($B781="","",IF($P780="",$B781,MAX($P780,$B781)))</f>
        <v/>
      </c>
      <c r="Q781" s="32" t="str">
        <f>IF($P781="","",$B781/$P781-1)</f>
        <v/>
      </c>
    </row>
    <row r="782">
      <c r="A782" s="11" t="n"/>
      <c r="B782" s="29" t="n"/>
      <c r="K782" s="30" t="str">
        <f>IF($A782="","",EDATE($A782,12*$E$4))</f>
        <v/>
      </c>
      <c r="L782" s="19" t="str">
        <f>IF($K782="","",IF($K782&gt;MAX($A$8:$A$5007),"",IFERROR(MATCH($K782,$A$8:$A$5007,1),"")))</f>
        <v/>
      </c>
      <c r="M782" s="30" t="str">
        <f>IF($L782="","",INDEX($A$8:$A$5007,$L782))</f>
        <v/>
      </c>
      <c r="N782" s="31" t="str">
        <f>IF($L782="","",INDEX($B$8:$B$5007,$L782))</f>
        <v/>
      </c>
      <c r="O782" s="32" t="str">
        <f>IF($M782="","",IF($K782-$M782&gt;7,"",IF($M782&lt;=$A782,"",IF(OR($B782&lt;=0,$N782&lt;=0),"",($N782/$B782)^(365/($M782-$A782))-1))))</f>
        <v/>
      </c>
      <c r="P782" s="31" t="str">
        <f>IF($B782="","",IF($P781="",$B782,MAX($P781,$B782)))</f>
        <v/>
      </c>
      <c r="Q782" s="32" t="str">
        <f>IF($P782="","",$B782/$P782-1)</f>
        <v/>
      </c>
    </row>
    <row r="783">
      <c r="A783" s="11" t="n"/>
      <c r="B783" s="29" t="n"/>
      <c r="K783" s="30" t="str">
        <f>IF($A783="","",EDATE($A783,12*$E$4))</f>
        <v/>
      </c>
      <c r="L783" s="19" t="str">
        <f>IF($K783="","",IF($K783&gt;MAX($A$8:$A$5007),"",IFERROR(MATCH($K783,$A$8:$A$5007,1),"")))</f>
        <v/>
      </c>
      <c r="M783" s="30" t="str">
        <f>IF($L783="","",INDEX($A$8:$A$5007,$L783))</f>
        <v/>
      </c>
      <c r="N783" s="31" t="str">
        <f>IF($L783="","",INDEX($B$8:$B$5007,$L783))</f>
        <v/>
      </c>
      <c r="O783" s="32" t="str">
        <f>IF($M783="","",IF($K783-$M783&gt;7,"",IF($M783&lt;=$A783,"",IF(OR($B783&lt;=0,$N783&lt;=0),"",($N783/$B783)^(365/($M783-$A783))-1))))</f>
        <v/>
      </c>
      <c r="P783" s="31" t="str">
        <f>IF($B783="","",IF($P782="",$B783,MAX($P782,$B783)))</f>
        <v/>
      </c>
      <c r="Q783" s="32" t="str">
        <f>IF($P783="","",$B783/$P783-1)</f>
        <v/>
      </c>
    </row>
    <row r="784">
      <c r="A784" s="11" t="n"/>
      <c r="B784" s="29" t="n"/>
      <c r="K784" s="30" t="str">
        <f>IF($A784="","",EDATE($A784,12*$E$4))</f>
        <v/>
      </c>
      <c r="L784" s="19" t="str">
        <f>IF($K784="","",IF($K784&gt;MAX($A$8:$A$5007),"",IFERROR(MATCH($K784,$A$8:$A$5007,1),"")))</f>
        <v/>
      </c>
      <c r="M784" s="30" t="str">
        <f>IF($L784="","",INDEX($A$8:$A$5007,$L784))</f>
        <v/>
      </c>
      <c r="N784" s="31" t="str">
        <f>IF($L784="","",INDEX($B$8:$B$5007,$L784))</f>
        <v/>
      </c>
      <c r="O784" s="32" t="str">
        <f>IF($M784="","",IF($K784-$M784&gt;7,"",IF($M784&lt;=$A784,"",IF(OR($B784&lt;=0,$N784&lt;=0),"",($N784/$B784)^(365/($M784-$A784))-1))))</f>
        <v/>
      </c>
      <c r="P784" s="31" t="str">
        <f>IF($B784="","",IF($P783="",$B784,MAX($P783,$B784)))</f>
        <v/>
      </c>
      <c r="Q784" s="32" t="str">
        <f>IF($P784="","",$B784/$P784-1)</f>
        <v/>
      </c>
    </row>
    <row r="785">
      <c r="A785" s="11" t="n"/>
      <c r="B785" s="29" t="n"/>
      <c r="K785" s="30" t="str">
        <f>IF($A785="","",EDATE($A785,12*$E$4))</f>
        <v/>
      </c>
      <c r="L785" s="19" t="str">
        <f>IF($K785="","",IF($K785&gt;MAX($A$8:$A$5007),"",IFERROR(MATCH($K785,$A$8:$A$5007,1),"")))</f>
        <v/>
      </c>
      <c r="M785" s="30" t="str">
        <f>IF($L785="","",INDEX($A$8:$A$5007,$L785))</f>
        <v/>
      </c>
      <c r="N785" s="31" t="str">
        <f>IF($L785="","",INDEX($B$8:$B$5007,$L785))</f>
        <v/>
      </c>
      <c r="O785" s="32" t="str">
        <f>IF($M785="","",IF($K785-$M785&gt;7,"",IF($M785&lt;=$A785,"",IF(OR($B785&lt;=0,$N785&lt;=0),"",($N785/$B785)^(365/($M785-$A785))-1))))</f>
        <v/>
      </c>
      <c r="P785" s="31" t="str">
        <f>IF($B785="","",IF($P784="",$B785,MAX($P784,$B785)))</f>
        <v/>
      </c>
      <c r="Q785" s="32" t="str">
        <f>IF($P785="","",$B785/$P785-1)</f>
        <v/>
      </c>
    </row>
    <row r="786">
      <c r="A786" s="11" t="n"/>
      <c r="B786" s="29" t="n"/>
      <c r="K786" s="30" t="str">
        <f>IF($A786="","",EDATE($A786,12*$E$4))</f>
        <v/>
      </c>
      <c r="L786" s="19" t="str">
        <f>IF($K786="","",IF($K786&gt;MAX($A$8:$A$5007),"",IFERROR(MATCH($K786,$A$8:$A$5007,1),"")))</f>
        <v/>
      </c>
      <c r="M786" s="30" t="str">
        <f>IF($L786="","",INDEX($A$8:$A$5007,$L786))</f>
        <v/>
      </c>
      <c r="N786" s="31" t="str">
        <f>IF($L786="","",INDEX($B$8:$B$5007,$L786))</f>
        <v/>
      </c>
      <c r="O786" s="32" t="str">
        <f>IF($M786="","",IF($K786-$M786&gt;7,"",IF($M786&lt;=$A786,"",IF(OR($B786&lt;=0,$N786&lt;=0),"",($N786/$B786)^(365/($M786-$A786))-1))))</f>
        <v/>
      </c>
      <c r="P786" s="31" t="str">
        <f>IF($B786="","",IF($P785="",$B786,MAX($P785,$B786)))</f>
        <v/>
      </c>
      <c r="Q786" s="32" t="str">
        <f>IF($P786="","",$B786/$P786-1)</f>
        <v/>
      </c>
    </row>
    <row r="787">
      <c r="A787" s="11" t="n"/>
      <c r="B787" s="29" t="n"/>
      <c r="K787" s="30" t="str">
        <f>IF($A787="","",EDATE($A787,12*$E$4))</f>
        <v/>
      </c>
      <c r="L787" s="19" t="str">
        <f>IF($K787="","",IF($K787&gt;MAX($A$8:$A$5007),"",IFERROR(MATCH($K787,$A$8:$A$5007,1),"")))</f>
        <v/>
      </c>
      <c r="M787" s="30" t="str">
        <f>IF($L787="","",INDEX($A$8:$A$5007,$L787))</f>
        <v/>
      </c>
      <c r="N787" s="31" t="str">
        <f>IF($L787="","",INDEX($B$8:$B$5007,$L787))</f>
        <v/>
      </c>
      <c r="O787" s="32" t="str">
        <f>IF($M787="","",IF($K787-$M787&gt;7,"",IF($M787&lt;=$A787,"",IF(OR($B787&lt;=0,$N787&lt;=0),"",($N787/$B787)^(365/($M787-$A787))-1))))</f>
        <v/>
      </c>
      <c r="P787" s="31" t="str">
        <f>IF($B787="","",IF($P786="",$B787,MAX($P786,$B787)))</f>
        <v/>
      </c>
      <c r="Q787" s="32" t="str">
        <f>IF($P787="","",$B787/$P787-1)</f>
        <v/>
      </c>
    </row>
    <row r="788">
      <c r="A788" s="11" t="n"/>
      <c r="B788" s="29" t="n"/>
      <c r="K788" s="30" t="str">
        <f>IF($A788="","",EDATE($A788,12*$E$4))</f>
        <v/>
      </c>
      <c r="L788" s="19" t="str">
        <f>IF($K788="","",IF($K788&gt;MAX($A$8:$A$5007),"",IFERROR(MATCH($K788,$A$8:$A$5007,1),"")))</f>
        <v/>
      </c>
      <c r="M788" s="30" t="str">
        <f>IF($L788="","",INDEX($A$8:$A$5007,$L788))</f>
        <v/>
      </c>
      <c r="N788" s="31" t="str">
        <f>IF($L788="","",INDEX($B$8:$B$5007,$L788))</f>
        <v/>
      </c>
      <c r="O788" s="32" t="str">
        <f>IF($M788="","",IF($K788-$M788&gt;7,"",IF($M788&lt;=$A788,"",IF(OR($B788&lt;=0,$N788&lt;=0),"",($N788/$B788)^(365/($M788-$A788))-1))))</f>
        <v/>
      </c>
      <c r="P788" s="31" t="str">
        <f>IF($B788="","",IF($P787="",$B788,MAX($P787,$B788)))</f>
        <v/>
      </c>
      <c r="Q788" s="32" t="str">
        <f>IF($P788="","",$B788/$P788-1)</f>
        <v/>
      </c>
    </row>
    <row r="789">
      <c r="A789" s="11" t="n"/>
      <c r="B789" s="29" t="n"/>
      <c r="K789" s="30" t="str">
        <f>IF($A789="","",EDATE($A789,12*$E$4))</f>
        <v/>
      </c>
      <c r="L789" s="19" t="str">
        <f>IF($K789="","",IF($K789&gt;MAX($A$8:$A$5007),"",IFERROR(MATCH($K789,$A$8:$A$5007,1),"")))</f>
        <v/>
      </c>
      <c r="M789" s="30" t="str">
        <f>IF($L789="","",INDEX($A$8:$A$5007,$L789))</f>
        <v/>
      </c>
      <c r="N789" s="31" t="str">
        <f>IF($L789="","",INDEX($B$8:$B$5007,$L789))</f>
        <v/>
      </c>
      <c r="O789" s="32" t="str">
        <f>IF($M789="","",IF($K789-$M789&gt;7,"",IF($M789&lt;=$A789,"",IF(OR($B789&lt;=0,$N789&lt;=0),"",($N789/$B789)^(365/($M789-$A789))-1))))</f>
        <v/>
      </c>
      <c r="P789" s="31" t="str">
        <f>IF($B789="","",IF($P788="",$B789,MAX($P788,$B789)))</f>
        <v/>
      </c>
      <c r="Q789" s="32" t="str">
        <f>IF($P789="","",$B789/$P789-1)</f>
        <v/>
      </c>
    </row>
    <row r="790">
      <c r="A790" s="11" t="n"/>
      <c r="B790" s="29" t="n"/>
      <c r="K790" s="30" t="str">
        <f>IF($A790="","",EDATE($A790,12*$E$4))</f>
        <v/>
      </c>
      <c r="L790" s="19" t="str">
        <f>IF($K790="","",IF($K790&gt;MAX($A$8:$A$5007),"",IFERROR(MATCH($K790,$A$8:$A$5007,1),"")))</f>
        <v/>
      </c>
      <c r="M790" s="30" t="str">
        <f>IF($L790="","",INDEX($A$8:$A$5007,$L790))</f>
        <v/>
      </c>
      <c r="N790" s="31" t="str">
        <f>IF($L790="","",INDEX($B$8:$B$5007,$L790))</f>
        <v/>
      </c>
      <c r="O790" s="32" t="str">
        <f>IF($M790="","",IF($K790-$M790&gt;7,"",IF($M790&lt;=$A790,"",IF(OR($B790&lt;=0,$N790&lt;=0),"",($N790/$B790)^(365/($M790-$A790))-1))))</f>
        <v/>
      </c>
      <c r="P790" s="31" t="str">
        <f>IF($B790="","",IF($P789="",$B790,MAX($P789,$B790)))</f>
        <v/>
      </c>
      <c r="Q790" s="32" t="str">
        <f>IF($P790="","",$B790/$P790-1)</f>
        <v/>
      </c>
    </row>
    <row r="791">
      <c r="A791" s="11" t="n"/>
      <c r="B791" s="29" t="n"/>
      <c r="K791" s="30" t="str">
        <f>IF($A791="","",EDATE($A791,12*$E$4))</f>
        <v/>
      </c>
      <c r="L791" s="19" t="str">
        <f>IF($K791="","",IF($K791&gt;MAX($A$8:$A$5007),"",IFERROR(MATCH($K791,$A$8:$A$5007,1),"")))</f>
        <v/>
      </c>
      <c r="M791" s="30" t="str">
        <f>IF($L791="","",INDEX($A$8:$A$5007,$L791))</f>
        <v/>
      </c>
      <c r="N791" s="31" t="str">
        <f>IF($L791="","",INDEX($B$8:$B$5007,$L791))</f>
        <v/>
      </c>
      <c r="O791" s="32" t="str">
        <f>IF($M791="","",IF($K791-$M791&gt;7,"",IF($M791&lt;=$A791,"",IF(OR($B791&lt;=0,$N791&lt;=0),"",($N791/$B791)^(365/($M791-$A791))-1))))</f>
        <v/>
      </c>
      <c r="P791" s="31" t="str">
        <f>IF($B791="","",IF($P790="",$B791,MAX($P790,$B791)))</f>
        <v/>
      </c>
      <c r="Q791" s="32" t="str">
        <f>IF($P791="","",$B791/$P791-1)</f>
        <v/>
      </c>
    </row>
    <row r="792">
      <c r="A792" s="11" t="n"/>
      <c r="B792" s="29" t="n"/>
      <c r="K792" s="30" t="str">
        <f>IF($A792="","",EDATE($A792,12*$E$4))</f>
        <v/>
      </c>
      <c r="L792" s="19" t="str">
        <f>IF($K792="","",IF($K792&gt;MAX($A$8:$A$5007),"",IFERROR(MATCH($K792,$A$8:$A$5007,1),"")))</f>
        <v/>
      </c>
      <c r="M792" s="30" t="str">
        <f>IF($L792="","",INDEX($A$8:$A$5007,$L792))</f>
        <v/>
      </c>
      <c r="N792" s="31" t="str">
        <f>IF($L792="","",INDEX($B$8:$B$5007,$L792))</f>
        <v/>
      </c>
      <c r="O792" s="32" t="str">
        <f>IF($M792="","",IF($K792-$M792&gt;7,"",IF($M792&lt;=$A792,"",IF(OR($B792&lt;=0,$N792&lt;=0),"",($N792/$B792)^(365/($M792-$A792))-1))))</f>
        <v/>
      </c>
      <c r="P792" s="31" t="str">
        <f>IF($B792="","",IF($P791="",$B792,MAX($P791,$B792)))</f>
        <v/>
      </c>
      <c r="Q792" s="32" t="str">
        <f>IF($P792="","",$B792/$P792-1)</f>
        <v/>
      </c>
    </row>
    <row r="793">
      <c r="A793" s="11" t="n"/>
      <c r="B793" s="29" t="n"/>
      <c r="K793" s="30" t="str">
        <f>IF($A793="","",EDATE($A793,12*$E$4))</f>
        <v/>
      </c>
      <c r="L793" s="19" t="str">
        <f>IF($K793="","",IF($K793&gt;MAX($A$8:$A$5007),"",IFERROR(MATCH($K793,$A$8:$A$5007,1),"")))</f>
        <v/>
      </c>
      <c r="M793" s="30" t="str">
        <f>IF($L793="","",INDEX($A$8:$A$5007,$L793))</f>
        <v/>
      </c>
      <c r="N793" s="31" t="str">
        <f>IF($L793="","",INDEX($B$8:$B$5007,$L793))</f>
        <v/>
      </c>
      <c r="O793" s="32" t="str">
        <f>IF($M793="","",IF($K793-$M793&gt;7,"",IF($M793&lt;=$A793,"",IF(OR($B793&lt;=0,$N793&lt;=0),"",($N793/$B793)^(365/($M793-$A793))-1))))</f>
        <v/>
      </c>
      <c r="P793" s="31" t="str">
        <f>IF($B793="","",IF($P792="",$B793,MAX($P792,$B793)))</f>
        <v/>
      </c>
      <c r="Q793" s="32" t="str">
        <f>IF($P793="","",$B793/$P793-1)</f>
        <v/>
      </c>
    </row>
    <row r="794">
      <c r="A794" s="11" t="n"/>
      <c r="B794" s="29" t="n"/>
      <c r="K794" s="30" t="str">
        <f>IF($A794="","",EDATE($A794,12*$E$4))</f>
        <v/>
      </c>
      <c r="L794" s="19" t="str">
        <f>IF($K794="","",IF($K794&gt;MAX($A$8:$A$5007),"",IFERROR(MATCH($K794,$A$8:$A$5007,1),"")))</f>
        <v/>
      </c>
      <c r="M794" s="30" t="str">
        <f>IF($L794="","",INDEX($A$8:$A$5007,$L794))</f>
        <v/>
      </c>
      <c r="N794" s="31" t="str">
        <f>IF($L794="","",INDEX($B$8:$B$5007,$L794))</f>
        <v/>
      </c>
      <c r="O794" s="32" t="str">
        <f>IF($M794="","",IF($K794-$M794&gt;7,"",IF($M794&lt;=$A794,"",IF(OR($B794&lt;=0,$N794&lt;=0),"",($N794/$B794)^(365/($M794-$A794))-1))))</f>
        <v/>
      </c>
      <c r="P794" s="31" t="str">
        <f>IF($B794="","",IF($P793="",$B794,MAX($P793,$B794)))</f>
        <v/>
      </c>
      <c r="Q794" s="32" t="str">
        <f>IF($P794="","",$B794/$P794-1)</f>
        <v/>
      </c>
    </row>
    <row r="795">
      <c r="A795" s="11" t="n"/>
      <c r="B795" s="29" t="n"/>
      <c r="K795" s="30" t="str">
        <f>IF($A795="","",EDATE($A795,12*$E$4))</f>
        <v/>
      </c>
      <c r="L795" s="19" t="str">
        <f>IF($K795="","",IF($K795&gt;MAX($A$8:$A$5007),"",IFERROR(MATCH($K795,$A$8:$A$5007,1),"")))</f>
        <v/>
      </c>
      <c r="M795" s="30" t="str">
        <f>IF($L795="","",INDEX($A$8:$A$5007,$L795))</f>
        <v/>
      </c>
      <c r="N795" s="31" t="str">
        <f>IF($L795="","",INDEX($B$8:$B$5007,$L795))</f>
        <v/>
      </c>
      <c r="O795" s="32" t="str">
        <f>IF($M795="","",IF($K795-$M795&gt;7,"",IF($M795&lt;=$A795,"",IF(OR($B795&lt;=0,$N795&lt;=0),"",($N795/$B795)^(365/($M795-$A795))-1))))</f>
        <v/>
      </c>
      <c r="P795" s="31" t="str">
        <f>IF($B795="","",IF($P794="",$B795,MAX($P794,$B795)))</f>
        <v/>
      </c>
      <c r="Q795" s="32" t="str">
        <f>IF($P795="","",$B795/$P795-1)</f>
        <v/>
      </c>
    </row>
    <row r="796">
      <c r="A796" s="11" t="n"/>
      <c r="B796" s="29" t="n"/>
      <c r="K796" s="30" t="str">
        <f>IF($A796="","",EDATE($A796,12*$E$4))</f>
        <v/>
      </c>
      <c r="L796" s="19" t="str">
        <f>IF($K796="","",IF($K796&gt;MAX($A$8:$A$5007),"",IFERROR(MATCH($K796,$A$8:$A$5007,1),"")))</f>
        <v/>
      </c>
      <c r="M796" s="30" t="str">
        <f>IF($L796="","",INDEX($A$8:$A$5007,$L796))</f>
        <v/>
      </c>
      <c r="N796" s="31" t="str">
        <f>IF($L796="","",INDEX($B$8:$B$5007,$L796))</f>
        <v/>
      </c>
      <c r="O796" s="32" t="str">
        <f>IF($M796="","",IF($K796-$M796&gt;7,"",IF($M796&lt;=$A796,"",IF(OR($B796&lt;=0,$N796&lt;=0),"",($N796/$B796)^(365/($M796-$A796))-1))))</f>
        <v/>
      </c>
      <c r="P796" s="31" t="str">
        <f>IF($B796="","",IF($P795="",$B796,MAX($P795,$B796)))</f>
        <v/>
      </c>
      <c r="Q796" s="32" t="str">
        <f>IF($P796="","",$B796/$P796-1)</f>
        <v/>
      </c>
    </row>
    <row r="797">
      <c r="A797" s="11" t="n"/>
      <c r="B797" s="29" t="n"/>
      <c r="K797" s="30" t="str">
        <f>IF($A797="","",EDATE($A797,12*$E$4))</f>
        <v/>
      </c>
      <c r="L797" s="19" t="str">
        <f>IF($K797="","",IF($K797&gt;MAX($A$8:$A$5007),"",IFERROR(MATCH($K797,$A$8:$A$5007,1),"")))</f>
        <v/>
      </c>
      <c r="M797" s="30" t="str">
        <f>IF($L797="","",INDEX($A$8:$A$5007,$L797))</f>
        <v/>
      </c>
      <c r="N797" s="31" t="str">
        <f>IF($L797="","",INDEX($B$8:$B$5007,$L797))</f>
        <v/>
      </c>
      <c r="O797" s="32" t="str">
        <f>IF($M797="","",IF($K797-$M797&gt;7,"",IF($M797&lt;=$A797,"",IF(OR($B797&lt;=0,$N797&lt;=0),"",($N797/$B797)^(365/($M797-$A797))-1))))</f>
        <v/>
      </c>
      <c r="P797" s="31" t="str">
        <f>IF($B797="","",IF($P796="",$B797,MAX($P796,$B797)))</f>
        <v/>
      </c>
      <c r="Q797" s="32" t="str">
        <f>IF($P797="","",$B797/$P797-1)</f>
        <v/>
      </c>
    </row>
    <row r="798">
      <c r="A798" s="11" t="n"/>
      <c r="B798" s="29" t="n"/>
      <c r="K798" s="30" t="str">
        <f>IF($A798="","",EDATE($A798,12*$E$4))</f>
        <v/>
      </c>
      <c r="L798" s="19" t="str">
        <f>IF($K798="","",IF($K798&gt;MAX($A$8:$A$5007),"",IFERROR(MATCH($K798,$A$8:$A$5007,1),"")))</f>
        <v/>
      </c>
      <c r="M798" s="30" t="str">
        <f>IF($L798="","",INDEX($A$8:$A$5007,$L798))</f>
        <v/>
      </c>
      <c r="N798" s="31" t="str">
        <f>IF($L798="","",INDEX($B$8:$B$5007,$L798))</f>
        <v/>
      </c>
      <c r="O798" s="32" t="str">
        <f>IF($M798="","",IF($K798-$M798&gt;7,"",IF($M798&lt;=$A798,"",IF(OR($B798&lt;=0,$N798&lt;=0),"",($N798/$B798)^(365/($M798-$A798))-1))))</f>
        <v/>
      </c>
      <c r="P798" s="31" t="str">
        <f>IF($B798="","",IF($P797="",$B798,MAX($P797,$B798)))</f>
        <v/>
      </c>
      <c r="Q798" s="32" t="str">
        <f>IF($P798="","",$B798/$P798-1)</f>
        <v/>
      </c>
    </row>
    <row r="799">
      <c r="A799" s="11" t="n"/>
      <c r="B799" s="29" t="n"/>
      <c r="K799" s="30" t="str">
        <f>IF($A799="","",EDATE($A799,12*$E$4))</f>
        <v/>
      </c>
      <c r="L799" s="19" t="str">
        <f>IF($K799="","",IF($K799&gt;MAX($A$8:$A$5007),"",IFERROR(MATCH($K799,$A$8:$A$5007,1),"")))</f>
        <v/>
      </c>
      <c r="M799" s="30" t="str">
        <f>IF($L799="","",INDEX($A$8:$A$5007,$L799))</f>
        <v/>
      </c>
      <c r="N799" s="31" t="str">
        <f>IF($L799="","",INDEX($B$8:$B$5007,$L799))</f>
        <v/>
      </c>
      <c r="O799" s="32" t="str">
        <f>IF($M799="","",IF($K799-$M799&gt;7,"",IF($M799&lt;=$A799,"",IF(OR($B799&lt;=0,$N799&lt;=0),"",($N799/$B799)^(365/($M799-$A799))-1))))</f>
        <v/>
      </c>
      <c r="P799" s="31" t="str">
        <f>IF($B799="","",IF($P798="",$B799,MAX($P798,$B799)))</f>
        <v/>
      </c>
      <c r="Q799" s="32" t="str">
        <f>IF($P799="","",$B799/$P799-1)</f>
        <v/>
      </c>
    </row>
    <row r="800">
      <c r="A800" s="11" t="n"/>
      <c r="B800" s="29" t="n"/>
      <c r="K800" s="30" t="str">
        <f>IF($A800="","",EDATE($A800,12*$E$4))</f>
        <v/>
      </c>
      <c r="L800" s="19" t="str">
        <f>IF($K800="","",IF($K800&gt;MAX($A$8:$A$5007),"",IFERROR(MATCH($K800,$A$8:$A$5007,1),"")))</f>
        <v/>
      </c>
      <c r="M800" s="30" t="str">
        <f>IF($L800="","",INDEX($A$8:$A$5007,$L800))</f>
        <v/>
      </c>
      <c r="N800" s="31" t="str">
        <f>IF($L800="","",INDEX($B$8:$B$5007,$L800))</f>
        <v/>
      </c>
      <c r="O800" s="32" t="str">
        <f>IF($M800="","",IF($K800-$M800&gt;7,"",IF($M800&lt;=$A800,"",IF(OR($B800&lt;=0,$N800&lt;=0),"",($N800/$B800)^(365/($M800-$A800))-1))))</f>
        <v/>
      </c>
      <c r="P800" s="31" t="str">
        <f>IF($B800="","",IF($P799="",$B800,MAX($P799,$B800)))</f>
        <v/>
      </c>
      <c r="Q800" s="32" t="str">
        <f>IF($P800="","",$B800/$P800-1)</f>
        <v/>
      </c>
    </row>
    <row r="801">
      <c r="A801" s="11" t="n"/>
      <c r="B801" s="29" t="n"/>
      <c r="K801" s="30" t="str">
        <f>IF($A801="","",EDATE($A801,12*$E$4))</f>
        <v/>
      </c>
      <c r="L801" s="19" t="str">
        <f>IF($K801="","",IF($K801&gt;MAX($A$8:$A$5007),"",IFERROR(MATCH($K801,$A$8:$A$5007,1),"")))</f>
        <v/>
      </c>
      <c r="M801" s="30" t="str">
        <f>IF($L801="","",INDEX($A$8:$A$5007,$L801))</f>
        <v/>
      </c>
      <c r="N801" s="31" t="str">
        <f>IF($L801="","",INDEX($B$8:$B$5007,$L801))</f>
        <v/>
      </c>
      <c r="O801" s="32" t="str">
        <f>IF($M801="","",IF($K801-$M801&gt;7,"",IF($M801&lt;=$A801,"",IF(OR($B801&lt;=0,$N801&lt;=0),"",($N801/$B801)^(365/($M801-$A801))-1))))</f>
        <v/>
      </c>
      <c r="P801" s="31" t="str">
        <f>IF($B801="","",IF($P800="",$B801,MAX($P800,$B801)))</f>
        <v/>
      </c>
      <c r="Q801" s="32" t="str">
        <f>IF($P801="","",$B801/$P801-1)</f>
        <v/>
      </c>
    </row>
    <row r="802">
      <c r="A802" s="11" t="n"/>
      <c r="B802" s="29" t="n"/>
      <c r="K802" s="30" t="str">
        <f>IF($A802="","",EDATE($A802,12*$E$4))</f>
        <v/>
      </c>
      <c r="L802" s="19" t="str">
        <f>IF($K802="","",IF($K802&gt;MAX($A$8:$A$5007),"",IFERROR(MATCH($K802,$A$8:$A$5007,1),"")))</f>
        <v/>
      </c>
      <c r="M802" s="30" t="str">
        <f>IF($L802="","",INDEX($A$8:$A$5007,$L802))</f>
        <v/>
      </c>
      <c r="N802" s="31" t="str">
        <f>IF($L802="","",INDEX($B$8:$B$5007,$L802))</f>
        <v/>
      </c>
      <c r="O802" s="32" t="str">
        <f>IF($M802="","",IF($K802-$M802&gt;7,"",IF($M802&lt;=$A802,"",IF(OR($B802&lt;=0,$N802&lt;=0),"",($N802/$B802)^(365/($M802-$A802))-1))))</f>
        <v/>
      </c>
      <c r="P802" s="31" t="str">
        <f>IF($B802="","",IF($P801="",$B802,MAX($P801,$B802)))</f>
        <v/>
      </c>
      <c r="Q802" s="32" t="str">
        <f>IF($P802="","",$B802/$P802-1)</f>
        <v/>
      </c>
    </row>
    <row r="803">
      <c r="A803" s="11" t="n"/>
      <c r="B803" s="29" t="n"/>
      <c r="K803" s="30" t="str">
        <f>IF($A803="","",EDATE($A803,12*$E$4))</f>
        <v/>
      </c>
      <c r="L803" s="19" t="str">
        <f>IF($K803="","",IF($K803&gt;MAX($A$8:$A$5007),"",IFERROR(MATCH($K803,$A$8:$A$5007,1),"")))</f>
        <v/>
      </c>
      <c r="M803" s="30" t="str">
        <f>IF($L803="","",INDEX($A$8:$A$5007,$L803))</f>
        <v/>
      </c>
      <c r="N803" s="31" t="str">
        <f>IF($L803="","",INDEX($B$8:$B$5007,$L803))</f>
        <v/>
      </c>
      <c r="O803" s="32" t="str">
        <f>IF($M803="","",IF($K803-$M803&gt;7,"",IF($M803&lt;=$A803,"",IF(OR($B803&lt;=0,$N803&lt;=0),"",($N803/$B803)^(365/($M803-$A803))-1))))</f>
        <v/>
      </c>
      <c r="P803" s="31" t="str">
        <f>IF($B803="","",IF($P802="",$B803,MAX($P802,$B803)))</f>
        <v/>
      </c>
      <c r="Q803" s="32" t="str">
        <f>IF($P803="","",$B803/$P803-1)</f>
        <v/>
      </c>
    </row>
    <row r="804">
      <c r="A804" s="11" t="n"/>
      <c r="B804" s="29" t="n"/>
      <c r="K804" s="30" t="str">
        <f>IF($A804="","",EDATE($A804,12*$E$4))</f>
        <v/>
      </c>
      <c r="L804" s="19" t="str">
        <f>IF($K804="","",IF($K804&gt;MAX($A$8:$A$5007),"",IFERROR(MATCH($K804,$A$8:$A$5007,1),"")))</f>
        <v/>
      </c>
      <c r="M804" s="30" t="str">
        <f>IF($L804="","",INDEX($A$8:$A$5007,$L804))</f>
        <v/>
      </c>
      <c r="N804" s="31" t="str">
        <f>IF($L804="","",INDEX($B$8:$B$5007,$L804))</f>
        <v/>
      </c>
      <c r="O804" s="32" t="str">
        <f>IF($M804="","",IF($K804-$M804&gt;7,"",IF($M804&lt;=$A804,"",IF(OR($B804&lt;=0,$N804&lt;=0),"",($N804/$B804)^(365/($M804-$A804))-1))))</f>
        <v/>
      </c>
      <c r="P804" s="31" t="str">
        <f>IF($B804="","",IF($P803="",$B804,MAX($P803,$B804)))</f>
        <v/>
      </c>
      <c r="Q804" s="32" t="str">
        <f>IF($P804="","",$B804/$P804-1)</f>
        <v/>
      </c>
    </row>
    <row r="805">
      <c r="A805" s="11" t="n"/>
      <c r="B805" s="29" t="n"/>
      <c r="K805" s="30" t="str">
        <f>IF($A805="","",EDATE($A805,12*$E$4))</f>
        <v/>
      </c>
      <c r="L805" s="19" t="str">
        <f>IF($K805="","",IF($K805&gt;MAX($A$8:$A$5007),"",IFERROR(MATCH($K805,$A$8:$A$5007,1),"")))</f>
        <v/>
      </c>
      <c r="M805" s="30" t="str">
        <f>IF($L805="","",INDEX($A$8:$A$5007,$L805))</f>
        <v/>
      </c>
      <c r="N805" s="31" t="str">
        <f>IF($L805="","",INDEX($B$8:$B$5007,$L805))</f>
        <v/>
      </c>
      <c r="O805" s="32" t="str">
        <f>IF($M805="","",IF($K805-$M805&gt;7,"",IF($M805&lt;=$A805,"",IF(OR($B805&lt;=0,$N805&lt;=0),"",($N805/$B805)^(365/($M805-$A805))-1))))</f>
        <v/>
      </c>
      <c r="P805" s="31" t="str">
        <f>IF($B805="","",IF($P804="",$B805,MAX($P804,$B805)))</f>
        <v/>
      </c>
      <c r="Q805" s="32" t="str">
        <f>IF($P805="","",$B805/$P805-1)</f>
        <v/>
      </c>
    </row>
    <row r="806">
      <c r="A806" s="11" t="n"/>
      <c r="B806" s="29" t="n"/>
      <c r="K806" s="30" t="str">
        <f>IF($A806="","",EDATE($A806,12*$E$4))</f>
        <v/>
      </c>
      <c r="L806" s="19" t="str">
        <f>IF($K806="","",IF($K806&gt;MAX($A$8:$A$5007),"",IFERROR(MATCH($K806,$A$8:$A$5007,1),"")))</f>
        <v/>
      </c>
      <c r="M806" s="30" t="str">
        <f>IF($L806="","",INDEX($A$8:$A$5007,$L806))</f>
        <v/>
      </c>
      <c r="N806" s="31" t="str">
        <f>IF($L806="","",INDEX($B$8:$B$5007,$L806))</f>
        <v/>
      </c>
      <c r="O806" s="32" t="str">
        <f>IF($M806="","",IF($K806-$M806&gt;7,"",IF($M806&lt;=$A806,"",IF(OR($B806&lt;=0,$N806&lt;=0),"",($N806/$B806)^(365/($M806-$A806))-1))))</f>
        <v/>
      </c>
      <c r="P806" s="31" t="str">
        <f>IF($B806="","",IF($P805="",$B806,MAX($P805,$B806)))</f>
        <v/>
      </c>
      <c r="Q806" s="32" t="str">
        <f>IF($P806="","",$B806/$P806-1)</f>
        <v/>
      </c>
    </row>
    <row r="807">
      <c r="A807" s="11" t="n"/>
      <c r="B807" s="29" t="n"/>
      <c r="K807" s="30" t="str">
        <f>IF($A807="","",EDATE($A807,12*$E$4))</f>
        <v/>
      </c>
      <c r="L807" s="19" t="str">
        <f>IF($K807="","",IF($K807&gt;MAX($A$8:$A$5007),"",IFERROR(MATCH($K807,$A$8:$A$5007,1),"")))</f>
        <v/>
      </c>
      <c r="M807" s="30" t="str">
        <f>IF($L807="","",INDEX($A$8:$A$5007,$L807))</f>
        <v/>
      </c>
      <c r="N807" s="31" t="str">
        <f>IF($L807="","",INDEX($B$8:$B$5007,$L807))</f>
        <v/>
      </c>
      <c r="O807" s="32" t="str">
        <f>IF($M807="","",IF($K807-$M807&gt;7,"",IF($M807&lt;=$A807,"",IF(OR($B807&lt;=0,$N807&lt;=0),"",($N807/$B807)^(365/($M807-$A807))-1))))</f>
        <v/>
      </c>
      <c r="P807" s="31" t="str">
        <f>IF($B807="","",IF($P806="",$B807,MAX($P806,$B807)))</f>
        <v/>
      </c>
      <c r="Q807" s="32" t="str">
        <f>IF($P807="","",$B807/$P807-1)</f>
        <v/>
      </c>
    </row>
    <row r="808">
      <c r="A808" s="11" t="n"/>
      <c r="B808" s="29" t="n"/>
      <c r="K808" s="30" t="str">
        <f>IF($A808="","",EDATE($A808,12*$E$4))</f>
        <v/>
      </c>
      <c r="L808" s="19" t="str">
        <f>IF($K808="","",IF($K808&gt;MAX($A$8:$A$5007),"",IFERROR(MATCH($K808,$A$8:$A$5007,1),"")))</f>
        <v/>
      </c>
      <c r="M808" s="30" t="str">
        <f>IF($L808="","",INDEX($A$8:$A$5007,$L808))</f>
        <v/>
      </c>
      <c r="N808" s="31" t="str">
        <f>IF($L808="","",INDEX($B$8:$B$5007,$L808))</f>
        <v/>
      </c>
      <c r="O808" s="32" t="str">
        <f>IF($M808="","",IF($K808-$M808&gt;7,"",IF($M808&lt;=$A808,"",IF(OR($B808&lt;=0,$N808&lt;=0),"",($N808/$B808)^(365/($M808-$A808))-1))))</f>
        <v/>
      </c>
      <c r="P808" s="31" t="str">
        <f>IF($B808="","",IF($P807="",$B808,MAX($P807,$B808)))</f>
        <v/>
      </c>
      <c r="Q808" s="32" t="str">
        <f>IF($P808="","",$B808/$P808-1)</f>
        <v/>
      </c>
    </row>
    <row r="809">
      <c r="A809" s="11" t="n"/>
      <c r="B809" s="29" t="n"/>
      <c r="K809" s="30" t="str">
        <f>IF($A809="","",EDATE($A809,12*$E$4))</f>
        <v/>
      </c>
      <c r="L809" s="19" t="str">
        <f>IF($K809="","",IF($K809&gt;MAX($A$8:$A$5007),"",IFERROR(MATCH($K809,$A$8:$A$5007,1),"")))</f>
        <v/>
      </c>
      <c r="M809" s="30" t="str">
        <f>IF($L809="","",INDEX($A$8:$A$5007,$L809))</f>
        <v/>
      </c>
      <c r="N809" s="31" t="str">
        <f>IF($L809="","",INDEX($B$8:$B$5007,$L809))</f>
        <v/>
      </c>
      <c r="O809" s="32" t="str">
        <f>IF($M809="","",IF($K809-$M809&gt;7,"",IF($M809&lt;=$A809,"",IF(OR($B809&lt;=0,$N809&lt;=0),"",($N809/$B809)^(365/($M809-$A809))-1))))</f>
        <v/>
      </c>
      <c r="P809" s="31" t="str">
        <f>IF($B809="","",IF($P808="",$B809,MAX($P808,$B809)))</f>
        <v/>
      </c>
      <c r="Q809" s="32" t="str">
        <f>IF($P809="","",$B809/$P809-1)</f>
        <v/>
      </c>
    </row>
    <row r="810">
      <c r="A810" s="11" t="n"/>
      <c r="B810" s="29" t="n"/>
      <c r="K810" s="30" t="str">
        <f>IF($A810="","",EDATE($A810,12*$E$4))</f>
        <v/>
      </c>
      <c r="L810" s="19" t="str">
        <f>IF($K810="","",IF($K810&gt;MAX($A$8:$A$5007),"",IFERROR(MATCH($K810,$A$8:$A$5007,1),"")))</f>
        <v/>
      </c>
      <c r="M810" s="30" t="str">
        <f>IF($L810="","",INDEX($A$8:$A$5007,$L810))</f>
        <v/>
      </c>
      <c r="N810" s="31" t="str">
        <f>IF($L810="","",INDEX($B$8:$B$5007,$L810))</f>
        <v/>
      </c>
      <c r="O810" s="32" t="str">
        <f>IF($M810="","",IF($K810-$M810&gt;7,"",IF($M810&lt;=$A810,"",IF(OR($B810&lt;=0,$N810&lt;=0),"",($N810/$B810)^(365/($M810-$A810))-1))))</f>
        <v/>
      </c>
      <c r="P810" s="31" t="str">
        <f>IF($B810="","",IF($P809="",$B810,MAX($P809,$B810)))</f>
        <v/>
      </c>
      <c r="Q810" s="32" t="str">
        <f>IF($P810="","",$B810/$P810-1)</f>
        <v/>
      </c>
    </row>
    <row r="811">
      <c r="A811" s="11" t="n"/>
      <c r="B811" s="29" t="n"/>
      <c r="K811" s="30" t="str">
        <f>IF($A811="","",EDATE($A811,12*$E$4))</f>
        <v/>
      </c>
      <c r="L811" s="19" t="str">
        <f>IF($K811="","",IF($K811&gt;MAX($A$8:$A$5007),"",IFERROR(MATCH($K811,$A$8:$A$5007,1),"")))</f>
        <v/>
      </c>
      <c r="M811" s="30" t="str">
        <f>IF($L811="","",INDEX($A$8:$A$5007,$L811))</f>
        <v/>
      </c>
      <c r="N811" s="31" t="str">
        <f>IF($L811="","",INDEX($B$8:$B$5007,$L811))</f>
        <v/>
      </c>
      <c r="O811" s="32" t="str">
        <f>IF($M811="","",IF($K811-$M811&gt;7,"",IF($M811&lt;=$A811,"",IF(OR($B811&lt;=0,$N811&lt;=0),"",($N811/$B811)^(365/($M811-$A811))-1))))</f>
        <v/>
      </c>
      <c r="P811" s="31" t="str">
        <f>IF($B811="","",IF($P810="",$B811,MAX($P810,$B811)))</f>
        <v/>
      </c>
      <c r="Q811" s="32" t="str">
        <f>IF($P811="","",$B811/$P811-1)</f>
        <v/>
      </c>
    </row>
    <row r="812">
      <c r="A812" s="11" t="n"/>
      <c r="B812" s="29" t="n"/>
      <c r="K812" s="30" t="str">
        <f>IF($A812="","",EDATE($A812,12*$E$4))</f>
        <v/>
      </c>
      <c r="L812" s="19" t="str">
        <f>IF($K812="","",IF($K812&gt;MAX($A$8:$A$5007),"",IFERROR(MATCH($K812,$A$8:$A$5007,1),"")))</f>
        <v/>
      </c>
      <c r="M812" s="30" t="str">
        <f>IF($L812="","",INDEX($A$8:$A$5007,$L812))</f>
        <v/>
      </c>
      <c r="N812" s="31" t="str">
        <f>IF($L812="","",INDEX($B$8:$B$5007,$L812))</f>
        <v/>
      </c>
      <c r="O812" s="32" t="str">
        <f>IF($M812="","",IF($K812-$M812&gt;7,"",IF($M812&lt;=$A812,"",IF(OR($B812&lt;=0,$N812&lt;=0),"",($N812/$B812)^(365/($M812-$A812))-1))))</f>
        <v/>
      </c>
      <c r="P812" s="31" t="str">
        <f>IF($B812="","",IF($P811="",$B812,MAX($P811,$B812)))</f>
        <v/>
      </c>
      <c r="Q812" s="32" t="str">
        <f>IF($P812="","",$B812/$P812-1)</f>
        <v/>
      </c>
    </row>
    <row r="813">
      <c r="A813" s="11" t="n"/>
      <c r="B813" s="29" t="n"/>
      <c r="K813" s="30" t="str">
        <f>IF($A813="","",EDATE($A813,12*$E$4))</f>
        <v/>
      </c>
      <c r="L813" s="19" t="str">
        <f>IF($K813="","",IF($K813&gt;MAX($A$8:$A$5007),"",IFERROR(MATCH($K813,$A$8:$A$5007,1),"")))</f>
        <v/>
      </c>
      <c r="M813" s="30" t="str">
        <f>IF($L813="","",INDEX($A$8:$A$5007,$L813))</f>
        <v/>
      </c>
      <c r="N813" s="31" t="str">
        <f>IF($L813="","",INDEX($B$8:$B$5007,$L813))</f>
        <v/>
      </c>
      <c r="O813" s="32" t="str">
        <f>IF($M813="","",IF($K813-$M813&gt;7,"",IF($M813&lt;=$A813,"",IF(OR($B813&lt;=0,$N813&lt;=0),"",($N813/$B813)^(365/($M813-$A813))-1))))</f>
        <v/>
      </c>
      <c r="P813" s="31" t="str">
        <f>IF($B813="","",IF($P812="",$B813,MAX($P812,$B813)))</f>
        <v/>
      </c>
      <c r="Q813" s="32" t="str">
        <f>IF($P813="","",$B813/$P813-1)</f>
        <v/>
      </c>
    </row>
    <row r="814">
      <c r="A814" s="11" t="n"/>
      <c r="B814" s="29" t="n"/>
      <c r="K814" s="30" t="str">
        <f>IF($A814="","",EDATE($A814,12*$E$4))</f>
        <v/>
      </c>
      <c r="L814" s="19" t="str">
        <f>IF($K814="","",IF($K814&gt;MAX($A$8:$A$5007),"",IFERROR(MATCH($K814,$A$8:$A$5007,1),"")))</f>
        <v/>
      </c>
      <c r="M814" s="30" t="str">
        <f>IF($L814="","",INDEX($A$8:$A$5007,$L814))</f>
        <v/>
      </c>
      <c r="N814" s="31" t="str">
        <f>IF($L814="","",INDEX($B$8:$B$5007,$L814))</f>
        <v/>
      </c>
      <c r="O814" s="32" t="str">
        <f>IF($M814="","",IF($K814-$M814&gt;7,"",IF($M814&lt;=$A814,"",IF(OR($B814&lt;=0,$N814&lt;=0),"",($N814/$B814)^(365/($M814-$A814))-1))))</f>
        <v/>
      </c>
      <c r="P814" s="31" t="str">
        <f>IF($B814="","",IF($P813="",$B814,MAX($P813,$B814)))</f>
        <v/>
      </c>
      <c r="Q814" s="32" t="str">
        <f>IF($P814="","",$B814/$P814-1)</f>
        <v/>
      </c>
    </row>
    <row r="815">
      <c r="A815" s="11" t="n"/>
      <c r="B815" s="29" t="n"/>
      <c r="K815" s="30" t="str">
        <f>IF($A815="","",EDATE($A815,12*$E$4))</f>
        <v/>
      </c>
      <c r="L815" s="19" t="str">
        <f>IF($K815="","",IF($K815&gt;MAX($A$8:$A$5007),"",IFERROR(MATCH($K815,$A$8:$A$5007,1),"")))</f>
        <v/>
      </c>
      <c r="M815" s="30" t="str">
        <f>IF($L815="","",INDEX($A$8:$A$5007,$L815))</f>
        <v/>
      </c>
      <c r="N815" s="31" t="str">
        <f>IF($L815="","",INDEX($B$8:$B$5007,$L815))</f>
        <v/>
      </c>
      <c r="O815" s="32" t="str">
        <f>IF($M815="","",IF($K815-$M815&gt;7,"",IF($M815&lt;=$A815,"",IF(OR($B815&lt;=0,$N815&lt;=0),"",($N815/$B815)^(365/($M815-$A815))-1))))</f>
        <v/>
      </c>
      <c r="P815" s="31" t="str">
        <f>IF($B815="","",IF($P814="",$B815,MAX($P814,$B815)))</f>
        <v/>
      </c>
      <c r="Q815" s="32" t="str">
        <f>IF($P815="","",$B815/$P815-1)</f>
        <v/>
      </c>
    </row>
    <row r="816">
      <c r="A816" s="11" t="n"/>
      <c r="B816" s="29" t="n"/>
      <c r="K816" s="30" t="str">
        <f>IF($A816="","",EDATE($A816,12*$E$4))</f>
        <v/>
      </c>
      <c r="L816" s="19" t="str">
        <f>IF($K816="","",IF($K816&gt;MAX($A$8:$A$5007),"",IFERROR(MATCH($K816,$A$8:$A$5007,1),"")))</f>
        <v/>
      </c>
      <c r="M816" s="30" t="str">
        <f>IF($L816="","",INDEX($A$8:$A$5007,$L816))</f>
        <v/>
      </c>
      <c r="N816" s="31" t="str">
        <f>IF($L816="","",INDEX($B$8:$B$5007,$L816))</f>
        <v/>
      </c>
      <c r="O816" s="32" t="str">
        <f>IF($M816="","",IF($K816-$M816&gt;7,"",IF($M816&lt;=$A816,"",IF(OR($B816&lt;=0,$N816&lt;=0),"",($N816/$B816)^(365/($M816-$A816))-1))))</f>
        <v/>
      </c>
      <c r="P816" s="31" t="str">
        <f>IF($B816="","",IF($P815="",$B816,MAX($P815,$B816)))</f>
        <v/>
      </c>
      <c r="Q816" s="32" t="str">
        <f>IF($P816="","",$B816/$P816-1)</f>
        <v/>
      </c>
    </row>
    <row r="817">
      <c r="A817" s="11" t="n"/>
      <c r="B817" s="29" t="n"/>
      <c r="K817" s="30" t="str">
        <f>IF($A817="","",EDATE($A817,12*$E$4))</f>
        <v/>
      </c>
      <c r="L817" s="19" t="str">
        <f>IF($K817="","",IF($K817&gt;MAX($A$8:$A$5007),"",IFERROR(MATCH($K817,$A$8:$A$5007,1),"")))</f>
        <v/>
      </c>
      <c r="M817" s="30" t="str">
        <f>IF($L817="","",INDEX($A$8:$A$5007,$L817))</f>
        <v/>
      </c>
      <c r="N817" s="31" t="str">
        <f>IF($L817="","",INDEX($B$8:$B$5007,$L817))</f>
        <v/>
      </c>
      <c r="O817" s="32" t="str">
        <f>IF($M817="","",IF($K817-$M817&gt;7,"",IF($M817&lt;=$A817,"",IF(OR($B817&lt;=0,$N817&lt;=0),"",($N817/$B817)^(365/($M817-$A817))-1))))</f>
        <v/>
      </c>
      <c r="P817" s="31" t="str">
        <f>IF($B817="","",IF($P816="",$B817,MAX($P816,$B817)))</f>
        <v/>
      </c>
      <c r="Q817" s="32" t="str">
        <f>IF($P817="","",$B817/$P817-1)</f>
        <v/>
      </c>
    </row>
    <row r="818">
      <c r="A818" s="11" t="n"/>
      <c r="B818" s="29" t="n"/>
      <c r="K818" s="30" t="str">
        <f>IF($A818="","",EDATE($A818,12*$E$4))</f>
        <v/>
      </c>
      <c r="L818" s="19" t="str">
        <f>IF($K818="","",IF($K818&gt;MAX($A$8:$A$5007),"",IFERROR(MATCH($K818,$A$8:$A$5007,1),"")))</f>
        <v/>
      </c>
      <c r="M818" s="30" t="str">
        <f>IF($L818="","",INDEX($A$8:$A$5007,$L818))</f>
        <v/>
      </c>
      <c r="N818" s="31" t="str">
        <f>IF($L818="","",INDEX($B$8:$B$5007,$L818))</f>
        <v/>
      </c>
      <c r="O818" s="32" t="str">
        <f>IF($M818="","",IF($K818-$M818&gt;7,"",IF($M818&lt;=$A818,"",IF(OR($B818&lt;=0,$N818&lt;=0),"",($N818/$B818)^(365/($M818-$A818))-1))))</f>
        <v/>
      </c>
      <c r="P818" s="31" t="str">
        <f>IF($B818="","",IF($P817="",$B818,MAX($P817,$B818)))</f>
        <v/>
      </c>
      <c r="Q818" s="32" t="str">
        <f>IF($P818="","",$B818/$P818-1)</f>
        <v/>
      </c>
    </row>
    <row r="819">
      <c r="A819" s="11" t="n"/>
      <c r="B819" s="29" t="n"/>
      <c r="K819" s="30" t="str">
        <f>IF($A819="","",EDATE($A819,12*$E$4))</f>
        <v/>
      </c>
      <c r="L819" s="19" t="str">
        <f>IF($K819="","",IF($K819&gt;MAX($A$8:$A$5007),"",IFERROR(MATCH($K819,$A$8:$A$5007,1),"")))</f>
        <v/>
      </c>
      <c r="M819" s="30" t="str">
        <f>IF($L819="","",INDEX($A$8:$A$5007,$L819))</f>
        <v/>
      </c>
      <c r="N819" s="31" t="str">
        <f>IF($L819="","",INDEX($B$8:$B$5007,$L819))</f>
        <v/>
      </c>
      <c r="O819" s="32" t="str">
        <f>IF($M819="","",IF($K819-$M819&gt;7,"",IF($M819&lt;=$A819,"",IF(OR($B819&lt;=0,$N819&lt;=0),"",($N819/$B819)^(365/($M819-$A819))-1))))</f>
        <v/>
      </c>
      <c r="P819" s="31" t="str">
        <f>IF($B819="","",IF($P818="",$B819,MAX($P818,$B819)))</f>
        <v/>
      </c>
      <c r="Q819" s="32" t="str">
        <f>IF($P819="","",$B819/$P819-1)</f>
        <v/>
      </c>
    </row>
    <row r="820">
      <c r="A820" s="11" t="n"/>
      <c r="B820" s="29" t="n"/>
      <c r="K820" s="30" t="str">
        <f>IF($A820="","",EDATE($A820,12*$E$4))</f>
        <v/>
      </c>
      <c r="L820" s="19" t="str">
        <f>IF($K820="","",IF($K820&gt;MAX($A$8:$A$5007),"",IFERROR(MATCH($K820,$A$8:$A$5007,1),"")))</f>
        <v/>
      </c>
      <c r="M820" s="30" t="str">
        <f>IF($L820="","",INDEX($A$8:$A$5007,$L820))</f>
        <v/>
      </c>
      <c r="N820" s="31" t="str">
        <f>IF($L820="","",INDEX($B$8:$B$5007,$L820))</f>
        <v/>
      </c>
      <c r="O820" s="32" t="str">
        <f>IF($M820="","",IF($K820-$M820&gt;7,"",IF($M820&lt;=$A820,"",IF(OR($B820&lt;=0,$N820&lt;=0),"",($N820/$B820)^(365/($M820-$A820))-1))))</f>
        <v/>
      </c>
      <c r="P820" s="31" t="str">
        <f>IF($B820="","",IF($P819="",$B820,MAX($P819,$B820)))</f>
        <v/>
      </c>
      <c r="Q820" s="32" t="str">
        <f>IF($P820="","",$B820/$P820-1)</f>
        <v/>
      </c>
    </row>
    <row r="821">
      <c r="A821" s="11" t="n"/>
      <c r="B821" s="29" t="n"/>
      <c r="K821" s="30" t="str">
        <f>IF($A821="","",EDATE($A821,12*$E$4))</f>
        <v/>
      </c>
      <c r="L821" s="19" t="str">
        <f>IF($K821="","",IF($K821&gt;MAX($A$8:$A$5007),"",IFERROR(MATCH($K821,$A$8:$A$5007,1),"")))</f>
        <v/>
      </c>
      <c r="M821" s="30" t="str">
        <f>IF($L821="","",INDEX($A$8:$A$5007,$L821))</f>
        <v/>
      </c>
      <c r="N821" s="31" t="str">
        <f>IF($L821="","",INDEX($B$8:$B$5007,$L821))</f>
        <v/>
      </c>
      <c r="O821" s="32" t="str">
        <f>IF($M821="","",IF($K821-$M821&gt;7,"",IF($M821&lt;=$A821,"",IF(OR($B821&lt;=0,$N821&lt;=0),"",($N821/$B821)^(365/($M821-$A821))-1))))</f>
        <v/>
      </c>
      <c r="P821" s="31" t="str">
        <f>IF($B821="","",IF($P820="",$B821,MAX($P820,$B821)))</f>
        <v/>
      </c>
      <c r="Q821" s="32" t="str">
        <f>IF($P821="","",$B821/$P821-1)</f>
        <v/>
      </c>
    </row>
    <row r="822">
      <c r="A822" s="11" t="n"/>
      <c r="B822" s="29" t="n"/>
      <c r="K822" s="30" t="str">
        <f>IF($A822="","",EDATE($A822,12*$E$4))</f>
        <v/>
      </c>
      <c r="L822" s="19" t="str">
        <f>IF($K822="","",IF($K822&gt;MAX($A$8:$A$5007),"",IFERROR(MATCH($K822,$A$8:$A$5007,1),"")))</f>
        <v/>
      </c>
      <c r="M822" s="30" t="str">
        <f>IF($L822="","",INDEX($A$8:$A$5007,$L822))</f>
        <v/>
      </c>
      <c r="N822" s="31" t="str">
        <f>IF($L822="","",INDEX($B$8:$B$5007,$L822))</f>
        <v/>
      </c>
      <c r="O822" s="32" t="str">
        <f>IF($M822="","",IF($K822-$M822&gt;7,"",IF($M822&lt;=$A822,"",IF(OR($B822&lt;=0,$N822&lt;=0),"",($N822/$B822)^(365/($M822-$A822))-1))))</f>
        <v/>
      </c>
      <c r="P822" s="31" t="str">
        <f>IF($B822="","",IF($P821="",$B822,MAX($P821,$B822)))</f>
        <v/>
      </c>
      <c r="Q822" s="32" t="str">
        <f>IF($P822="","",$B822/$P822-1)</f>
        <v/>
      </c>
    </row>
    <row r="823">
      <c r="A823" s="11" t="n"/>
      <c r="B823" s="29" t="n"/>
      <c r="K823" s="30" t="str">
        <f>IF($A823="","",EDATE($A823,12*$E$4))</f>
        <v/>
      </c>
      <c r="L823" s="19" t="str">
        <f>IF($K823="","",IF($K823&gt;MAX($A$8:$A$5007),"",IFERROR(MATCH($K823,$A$8:$A$5007,1),"")))</f>
        <v/>
      </c>
      <c r="M823" s="30" t="str">
        <f>IF($L823="","",INDEX($A$8:$A$5007,$L823))</f>
        <v/>
      </c>
      <c r="N823" s="31" t="str">
        <f>IF($L823="","",INDEX($B$8:$B$5007,$L823))</f>
        <v/>
      </c>
      <c r="O823" s="32" t="str">
        <f>IF($M823="","",IF($K823-$M823&gt;7,"",IF($M823&lt;=$A823,"",IF(OR($B823&lt;=0,$N823&lt;=0),"",($N823/$B823)^(365/($M823-$A823))-1))))</f>
        <v/>
      </c>
      <c r="P823" s="31" t="str">
        <f>IF($B823="","",IF($P822="",$B823,MAX($P822,$B823)))</f>
        <v/>
      </c>
      <c r="Q823" s="32" t="str">
        <f>IF($P823="","",$B823/$P823-1)</f>
        <v/>
      </c>
    </row>
    <row r="824">
      <c r="A824" s="11" t="n"/>
      <c r="B824" s="29" t="n"/>
      <c r="K824" s="30" t="str">
        <f>IF($A824="","",EDATE($A824,12*$E$4))</f>
        <v/>
      </c>
      <c r="L824" s="19" t="str">
        <f>IF($K824="","",IF($K824&gt;MAX($A$8:$A$5007),"",IFERROR(MATCH($K824,$A$8:$A$5007,1),"")))</f>
        <v/>
      </c>
      <c r="M824" s="30" t="str">
        <f>IF($L824="","",INDEX($A$8:$A$5007,$L824))</f>
        <v/>
      </c>
      <c r="N824" s="31" t="str">
        <f>IF($L824="","",INDEX($B$8:$B$5007,$L824))</f>
        <v/>
      </c>
      <c r="O824" s="32" t="str">
        <f>IF($M824="","",IF($K824-$M824&gt;7,"",IF($M824&lt;=$A824,"",IF(OR($B824&lt;=0,$N824&lt;=0),"",($N824/$B824)^(365/($M824-$A824))-1))))</f>
        <v/>
      </c>
      <c r="P824" s="31" t="str">
        <f>IF($B824="","",IF($P823="",$B824,MAX($P823,$B824)))</f>
        <v/>
      </c>
      <c r="Q824" s="32" t="str">
        <f>IF($P824="","",$B824/$P824-1)</f>
        <v/>
      </c>
    </row>
    <row r="825">
      <c r="A825" s="11" t="n"/>
      <c r="B825" s="29" t="n"/>
      <c r="K825" s="30" t="str">
        <f>IF($A825="","",EDATE($A825,12*$E$4))</f>
        <v/>
      </c>
      <c r="L825" s="19" t="str">
        <f>IF($K825="","",IF($K825&gt;MAX($A$8:$A$5007),"",IFERROR(MATCH($K825,$A$8:$A$5007,1),"")))</f>
        <v/>
      </c>
      <c r="M825" s="30" t="str">
        <f>IF($L825="","",INDEX($A$8:$A$5007,$L825))</f>
        <v/>
      </c>
      <c r="N825" s="31" t="str">
        <f>IF($L825="","",INDEX($B$8:$B$5007,$L825))</f>
        <v/>
      </c>
      <c r="O825" s="32" t="str">
        <f>IF($M825="","",IF($K825-$M825&gt;7,"",IF($M825&lt;=$A825,"",IF(OR($B825&lt;=0,$N825&lt;=0),"",($N825/$B825)^(365/($M825-$A825))-1))))</f>
        <v/>
      </c>
      <c r="P825" s="31" t="str">
        <f>IF($B825="","",IF($P824="",$B825,MAX($P824,$B825)))</f>
        <v/>
      </c>
      <c r="Q825" s="32" t="str">
        <f>IF($P825="","",$B825/$P825-1)</f>
        <v/>
      </c>
    </row>
    <row r="826">
      <c r="A826" s="11" t="n"/>
      <c r="B826" s="29" t="n"/>
      <c r="K826" s="30" t="str">
        <f>IF($A826="","",EDATE($A826,12*$E$4))</f>
        <v/>
      </c>
      <c r="L826" s="19" t="str">
        <f>IF($K826="","",IF($K826&gt;MAX($A$8:$A$5007),"",IFERROR(MATCH($K826,$A$8:$A$5007,1),"")))</f>
        <v/>
      </c>
      <c r="M826" s="30" t="str">
        <f>IF($L826="","",INDEX($A$8:$A$5007,$L826))</f>
        <v/>
      </c>
      <c r="N826" s="31" t="str">
        <f>IF($L826="","",INDEX($B$8:$B$5007,$L826))</f>
        <v/>
      </c>
      <c r="O826" s="32" t="str">
        <f>IF($M826="","",IF($K826-$M826&gt;7,"",IF($M826&lt;=$A826,"",IF(OR($B826&lt;=0,$N826&lt;=0),"",($N826/$B826)^(365/($M826-$A826))-1))))</f>
        <v/>
      </c>
      <c r="P826" s="31" t="str">
        <f>IF($B826="","",IF($P825="",$B826,MAX($P825,$B826)))</f>
        <v/>
      </c>
      <c r="Q826" s="32" t="str">
        <f>IF($P826="","",$B826/$P826-1)</f>
        <v/>
      </c>
    </row>
    <row r="827">
      <c r="A827" s="11" t="n"/>
      <c r="B827" s="29" t="n"/>
      <c r="K827" s="30" t="str">
        <f>IF($A827="","",EDATE($A827,12*$E$4))</f>
        <v/>
      </c>
      <c r="L827" s="19" t="str">
        <f>IF($K827="","",IF($K827&gt;MAX($A$8:$A$5007),"",IFERROR(MATCH($K827,$A$8:$A$5007,1),"")))</f>
        <v/>
      </c>
      <c r="M827" s="30" t="str">
        <f>IF($L827="","",INDEX($A$8:$A$5007,$L827))</f>
        <v/>
      </c>
      <c r="N827" s="31" t="str">
        <f>IF($L827="","",INDEX($B$8:$B$5007,$L827))</f>
        <v/>
      </c>
      <c r="O827" s="32" t="str">
        <f>IF($M827="","",IF($K827-$M827&gt;7,"",IF($M827&lt;=$A827,"",IF(OR($B827&lt;=0,$N827&lt;=0),"",($N827/$B827)^(365/($M827-$A827))-1))))</f>
        <v/>
      </c>
      <c r="P827" s="31" t="str">
        <f>IF($B827="","",IF($P826="",$B827,MAX($P826,$B827)))</f>
        <v/>
      </c>
      <c r="Q827" s="32" t="str">
        <f>IF($P827="","",$B827/$P827-1)</f>
        <v/>
      </c>
    </row>
    <row r="828">
      <c r="A828" s="11" t="n"/>
      <c r="B828" s="29" t="n"/>
      <c r="K828" s="30" t="str">
        <f>IF($A828="","",EDATE($A828,12*$E$4))</f>
        <v/>
      </c>
      <c r="L828" s="19" t="str">
        <f>IF($K828="","",IF($K828&gt;MAX($A$8:$A$5007),"",IFERROR(MATCH($K828,$A$8:$A$5007,1),"")))</f>
        <v/>
      </c>
      <c r="M828" s="30" t="str">
        <f>IF($L828="","",INDEX($A$8:$A$5007,$L828))</f>
        <v/>
      </c>
      <c r="N828" s="31" t="str">
        <f>IF($L828="","",INDEX($B$8:$B$5007,$L828))</f>
        <v/>
      </c>
      <c r="O828" s="32" t="str">
        <f>IF($M828="","",IF($K828-$M828&gt;7,"",IF($M828&lt;=$A828,"",IF(OR($B828&lt;=0,$N828&lt;=0),"",($N828/$B828)^(365/($M828-$A828))-1))))</f>
        <v/>
      </c>
      <c r="P828" s="31" t="str">
        <f>IF($B828="","",IF($P827="",$B828,MAX($P827,$B828)))</f>
        <v/>
      </c>
      <c r="Q828" s="32" t="str">
        <f>IF($P828="","",$B828/$P828-1)</f>
        <v/>
      </c>
    </row>
    <row r="829">
      <c r="A829" s="11" t="n"/>
      <c r="B829" s="29" t="n"/>
      <c r="K829" s="30" t="str">
        <f>IF($A829="","",EDATE($A829,12*$E$4))</f>
        <v/>
      </c>
      <c r="L829" s="19" t="str">
        <f>IF($K829="","",IF($K829&gt;MAX($A$8:$A$5007),"",IFERROR(MATCH($K829,$A$8:$A$5007,1),"")))</f>
        <v/>
      </c>
      <c r="M829" s="30" t="str">
        <f>IF($L829="","",INDEX($A$8:$A$5007,$L829))</f>
        <v/>
      </c>
      <c r="N829" s="31" t="str">
        <f>IF($L829="","",INDEX($B$8:$B$5007,$L829))</f>
        <v/>
      </c>
      <c r="O829" s="32" t="str">
        <f>IF($M829="","",IF($K829-$M829&gt;7,"",IF($M829&lt;=$A829,"",IF(OR($B829&lt;=0,$N829&lt;=0),"",($N829/$B829)^(365/($M829-$A829))-1))))</f>
        <v/>
      </c>
      <c r="P829" s="31" t="str">
        <f>IF($B829="","",IF($P828="",$B829,MAX($P828,$B829)))</f>
        <v/>
      </c>
      <c r="Q829" s="32" t="str">
        <f>IF($P829="","",$B829/$P829-1)</f>
        <v/>
      </c>
    </row>
    <row r="830">
      <c r="A830" s="11" t="n"/>
      <c r="B830" s="29" t="n"/>
      <c r="K830" s="30" t="str">
        <f>IF($A830="","",EDATE($A830,12*$E$4))</f>
        <v/>
      </c>
      <c r="L830" s="19" t="str">
        <f>IF($K830="","",IF($K830&gt;MAX($A$8:$A$5007),"",IFERROR(MATCH($K830,$A$8:$A$5007,1),"")))</f>
        <v/>
      </c>
      <c r="M830" s="30" t="str">
        <f>IF($L830="","",INDEX($A$8:$A$5007,$L830))</f>
        <v/>
      </c>
      <c r="N830" s="31" t="str">
        <f>IF($L830="","",INDEX($B$8:$B$5007,$L830))</f>
        <v/>
      </c>
      <c r="O830" s="32" t="str">
        <f>IF($M830="","",IF($K830-$M830&gt;7,"",IF($M830&lt;=$A830,"",IF(OR($B830&lt;=0,$N830&lt;=0),"",($N830/$B830)^(365/($M830-$A830))-1))))</f>
        <v/>
      </c>
      <c r="P830" s="31" t="str">
        <f>IF($B830="","",IF($P829="",$B830,MAX($P829,$B830)))</f>
        <v/>
      </c>
      <c r="Q830" s="32" t="str">
        <f>IF($P830="","",$B830/$P830-1)</f>
        <v/>
      </c>
    </row>
    <row r="831">
      <c r="A831" s="11" t="n"/>
      <c r="B831" s="29" t="n"/>
      <c r="K831" s="30" t="str">
        <f>IF($A831="","",EDATE($A831,12*$E$4))</f>
        <v/>
      </c>
      <c r="L831" s="19" t="str">
        <f>IF($K831="","",IF($K831&gt;MAX($A$8:$A$5007),"",IFERROR(MATCH($K831,$A$8:$A$5007,1),"")))</f>
        <v/>
      </c>
      <c r="M831" s="30" t="str">
        <f>IF($L831="","",INDEX($A$8:$A$5007,$L831))</f>
        <v/>
      </c>
      <c r="N831" s="31" t="str">
        <f>IF($L831="","",INDEX($B$8:$B$5007,$L831))</f>
        <v/>
      </c>
      <c r="O831" s="32" t="str">
        <f>IF($M831="","",IF($K831-$M831&gt;7,"",IF($M831&lt;=$A831,"",IF(OR($B831&lt;=0,$N831&lt;=0),"",($N831/$B831)^(365/($M831-$A831))-1))))</f>
        <v/>
      </c>
      <c r="P831" s="31" t="str">
        <f>IF($B831="","",IF($P830="",$B831,MAX($P830,$B831)))</f>
        <v/>
      </c>
      <c r="Q831" s="32" t="str">
        <f>IF($P831="","",$B831/$P831-1)</f>
        <v/>
      </c>
    </row>
    <row r="832">
      <c r="A832" s="11" t="n"/>
      <c r="B832" s="29" t="n"/>
      <c r="K832" s="30" t="str">
        <f>IF($A832="","",EDATE($A832,12*$E$4))</f>
        <v/>
      </c>
      <c r="L832" s="19" t="str">
        <f>IF($K832="","",IF($K832&gt;MAX($A$8:$A$5007),"",IFERROR(MATCH($K832,$A$8:$A$5007,1),"")))</f>
        <v/>
      </c>
      <c r="M832" s="30" t="str">
        <f>IF($L832="","",INDEX($A$8:$A$5007,$L832))</f>
        <v/>
      </c>
      <c r="N832" s="31" t="str">
        <f>IF($L832="","",INDEX($B$8:$B$5007,$L832))</f>
        <v/>
      </c>
      <c r="O832" s="32" t="str">
        <f>IF($M832="","",IF($K832-$M832&gt;7,"",IF($M832&lt;=$A832,"",IF(OR($B832&lt;=0,$N832&lt;=0),"",($N832/$B832)^(365/($M832-$A832))-1))))</f>
        <v/>
      </c>
      <c r="P832" s="31" t="str">
        <f>IF($B832="","",IF($P831="",$B832,MAX($P831,$B832)))</f>
        <v/>
      </c>
      <c r="Q832" s="32" t="str">
        <f>IF($P832="","",$B832/$P832-1)</f>
        <v/>
      </c>
    </row>
    <row r="833">
      <c r="A833" s="11" t="n"/>
      <c r="B833" s="29" t="n"/>
      <c r="K833" s="30" t="str">
        <f>IF($A833="","",EDATE($A833,12*$E$4))</f>
        <v/>
      </c>
      <c r="L833" s="19" t="str">
        <f>IF($K833="","",IF($K833&gt;MAX($A$8:$A$5007),"",IFERROR(MATCH($K833,$A$8:$A$5007,1),"")))</f>
        <v/>
      </c>
      <c r="M833" s="30" t="str">
        <f>IF($L833="","",INDEX($A$8:$A$5007,$L833))</f>
        <v/>
      </c>
      <c r="N833" s="31" t="str">
        <f>IF($L833="","",INDEX($B$8:$B$5007,$L833))</f>
        <v/>
      </c>
      <c r="O833" s="32" t="str">
        <f>IF($M833="","",IF($K833-$M833&gt;7,"",IF($M833&lt;=$A833,"",IF(OR($B833&lt;=0,$N833&lt;=0),"",($N833/$B833)^(365/($M833-$A833))-1))))</f>
        <v/>
      </c>
      <c r="P833" s="31" t="str">
        <f>IF($B833="","",IF($P832="",$B833,MAX($P832,$B833)))</f>
        <v/>
      </c>
      <c r="Q833" s="32" t="str">
        <f>IF($P833="","",$B833/$P833-1)</f>
        <v/>
      </c>
    </row>
    <row r="834">
      <c r="A834" s="11" t="n"/>
      <c r="B834" s="29" t="n"/>
      <c r="K834" s="30" t="str">
        <f>IF($A834="","",EDATE($A834,12*$E$4))</f>
        <v/>
      </c>
      <c r="L834" s="19" t="str">
        <f>IF($K834="","",IF($K834&gt;MAX($A$8:$A$5007),"",IFERROR(MATCH($K834,$A$8:$A$5007,1),"")))</f>
        <v/>
      </c>
      <c r="M834" s="30" t="str">
        <f>IF($L834="","",INDEX($A$8:$A$5007,$L834))</f>
        <v/>
      </c>
      <c r="N834" s="31" t="str">
        <f>IF($L834="","",INDEX($B$8:$B$5007,$L834))</f>
        <v/>
      </c>
      <c r="O834" s="32" t="str">
        <f>IF($M834="","",IF($K834-$M834&gt;7,"",IF($M834&lt;=$A834,"",IF(OR($B834&lt;=0,$N834&lt;=0),"",($N834/$B834)^(365/($M834-$A834))-1))))</f>
        <v/>
      </c>
      <c r="P834" s="31" t="str">
        <f>IF($B834="","",IF($P833="",$B834,MAX($P833,$B834)))</f>
        <v/>
      </c>
      <c r="Q834" s="32" t="str">
        <f>IF($P834="","",$B834/$P834-1)</f>
        <v/>
      </c>
    </row>
    <row r="835">
      <c r="A835" s="11" t="n"/>
      <c r="B835" s="29" t="n"/>
      <c r="K835" s="30" t="str">
        <f>IF($A835="","",EDATE($A835,12*$E$4))</f>
        <v/>
      </c>
      <c r="L835" s="19" t="str">
        <f>IF($K835="","",IF($K835&gt;MAX($A$8:$A$5007),"",IFERROR(MATCH($K835,$A$8:$A$5007,1),"")))</f>
        <v/>
      </c>
      <c r="M835" s="30" t="str">
        <f>IF($L835="","",INDEX($A$8:$A$5007,$L835))</f>
        <v/>
      </c>
      <c r="N835" s="31" t="str">
        <f>IF($L835="","",INDEX($B$8:$B$5007,$L835))</f>
        <v/>
      </c>
      <c r="O835" s="32" t="str">
        <f>IF($M835="","",IF($K835-$M835&gt;7,"",IF($M835&lt;=$A835,"",IF(OR($B835&lt;=0,$N835&lt;=0),"",($N835/$B835)^(365/($M835-$A835))-1))))</f>
        <v/>
      </c>
      <c r="P835" s="31" t="str">
        <f>IF($B835="","",IF($P834="",$B835,MAX($P834,$B835)))</f>
        <v/>
      </c>
      <c r="Q835" s="32" t="str">
        <f>IF($P835="","",$B835/$P835-1)</f>
        <v/>
      </c>
    </row>
    <row r="836">
      <c r="A836" s="11" t="n"/>
      <c r="B836" s="29" t="n"/>
      <c r="K836" s="30" t="str">
        <f>IF($A836="","",EDATE($A836,12*$E$4))</f>
        <v/>
      </c>
      <c r="L836" s="19" t="str">
        <f>IF($K836="","",IF($K836&gt;MAX($A$8:$A$5007),"",IFERROR(MATCH($K836,$A$8:$A$5007,1),"")))</f>
        <v/>
      </c>
      <c r="M836" s="30" t="str">
        <f>IF($L836="","",INDEX($A$8:$A$5007,$L836))</f>
        <v/>
      </c>
      <c r="N836" s="31" t="str">
        <f>IF($L836="","",INDEX($B$8:$B$5007,$L836))</f>
        <v/>
      </c>
      <c r="O836" s="32" t="str">
        <f>IF($M836="","",IF($K836-$M836&gt;7,"",IF($M836&lt;=$A836,"",IF(OR($B836&lt;=0,$N836&lt;=0),"",($N836/$B836)^(365/($M836-$A836))-1))))</f>
        <v/>
      </c>
      <c r="P836" s="31" t="str">
        <f>IF($B836="","",IF($P835="",$B836,MAX($P835,$B836)))</f>
        <v/>
      </c>
      <c r="Q836" s="32" t="str">
        <f>IF($P836="","",$B836/$P836-1)</f>
        <v/>
      </c>
    </row>
    <row r="837">
      <c r="A837" s="11" t="n"/>
      <c r="B837" s="29" t="n"/>
      <c r="K837" s="30" t="str">
        <f>IF($A837="","",EDATE($A837,12*$E$4))</f>
        <v/>
      </c>
      <c r="L837" s="19" t="str">
        <f>IF($K837="","",IF($K837&gt;MAX($A$8:$A$5007),"",IFERROR(MATCH($K837,$A$8:$A$5007,1),"")))</f>
        <v/>
      </c>
      <c r="M837" s="30" t="str">
        <f>IF($L837="","",INDEX($A$8:$A$5007,$L837))</f>
        <v/>
      </c>
      <c r="N837" s="31" t="str">
        <f>IF($L837="","",INDEX($B$8:$B$5007,$L837))</f>
        <v/>
      </c>
      <c r="O837" s="32" t="str">
        <f>IF($M837="","",IF($K837-$M837&gt;7,"",IF($M837&lt;=$A837,"",IF(OR($B837&lt;=0,$N837&lt;=0),"",($N837/$B837)^(365/($M837-$A837))-1))))</f>
        <v/>
      </c>
      <c r="P837" s="31" t="str">
        <f>IF($B837="","",IF($P836="",$B837,MAX($P836,$B837)))</f>
        <v/>
      </c>
      <c r="Q837" s="32" t="str">
        <f>IF($P837="","",$B837/$P837-1)</f>
        <v/>
      </c>
    </row>
    <row r="838">
      <c r="A838" s="11" t="n"/>
      <c r="B838" s="29" t="n"/>
      <c r="K838" s="30" t="str">
        <f>IF($A838="","",EDATE($A838,12*$E$4))</f>
        <v/>
      </c>
      <c r="L838" s="19" t="str">
        <f>IF($K838="","",IF($K838&gt;MAX($A$8:$A$5007),"",IFERROR(MATCH($K838,$A$8:$A$5007,1),"")))</f>
        <v/>
      </c>
      <c r="M838" s="30" t="str">
        <f>IF($L838="","",INDEX($A$8:$A$5007,$L838))</f>
        <v/>
      </c>
      <c r="N838" s="31" t="str">
        <f>IF($L838="","",INDEX($B$8:$B$5007,$L838))</f>
        <v/>
      </c>
      <c r="O838" s="32" t="str">
        <f>IF($M838="","",IF($K838-$M838&gt;7,"",IF($M838&lt;=$A838,"",IF(OR($B838&lt;=0,$N838&lt;=0),"",($N838/$B838)^(365/($M838-$A838))-1))))</f>
        <v/>
      </c>
      <c r="P838" s="31" t="str">
        <f>IF($B838="","",IF($P837="",$B838,MAX($P837,$B838)))</f>
        <v/>
      </c>
      <c r="Q838" s="32" t="str">
        <f>IF($P838="","",$B838/$P838-1)</f>
        <v/>
      </c>
    </row>
    <row r="839">
      <c r="A839" s="11" t="n"/>
      <c r="B839" s="29" t="n"/>
      <c r="K839" s="30" t="str">
        <f>IF($A839="","",EDATE($A839,12*$E$4))</f>
        <v/>
      </c>
      <c r="L839" s="19" t="str">
        <f>IF($K839="","",IF($K839&gt;MAX($A$8:$A$5007),"",IFERROR(MATCH($K839,$A$8:$A$5007,1),"")))</f>
        <v/>
      </c>
      <c r="M839" s="30" t="str">
        <f>IF($L839="","",INDEX($A$8:$A$5007,$L839))</f>
        <v/>
      </c>
      <c r="N839" s="31" t="str">
        <f>IF($L839="","",INDEX($B$8:$B$5007,$L839))</f>
        <v/>
      </c>
      <c r="O839" s="32" t="str">
        <f>IF($M839="","",IF($K839-$M839&gt;7,"",IF($M839&lt;=$A839,"",IF(OR($B839&lt;=0,$N839&lt;=0),"",($N839/$B839)^(365/($M839-$A839))-1))))</f>
        <v/>
      </c>
      <c r="P839" s="31" t="str">
        <f>IF($B839="","",IF($P838="",$B839,MAX($P838,$B839)))</f>
        <v/>
      </c>
      <c r="Q839" s="32" t="str">
        <f>IF($P839="","",$B839/$P839-1)</f>
        <v/>
      </c>
    </row>
    <row r="840">
      <c r="A840" s="11" t="n"/>
      <c r="B840" s="29" t="n"/>
      <c r="K840" s="30" t="str">
        <f>IF($A840="","",EDATE($A840,12*$E$4))</f>
        <v/>
      </c>
      <c r="L840" s="19" t="str">
        <f>IF($K840="","",IF($K840&gt;MAX($A$8:$A$5007),"",IFERROR(MATCH($K840,$A$8:$A$5007,1),"")))</f>
        <v/>
      </c>
      <c r="M840" s="30" t="str">
        <f>IF($L840="","",INDEX($A$8:$A$5007,$L840))</f>
        <v/>
      </c>
      <c r="N840" s="31" t="str">
        <f>IF($L840="","",INDEX($B$8:$B$5007,$L840))</f>
        <v/>
      </c>
      <c r="O840" s="32" t="str">
        <f>IF($M840="","",IF($K840-$M840&gt;7,"",IF($M840&lt;=$A840,"",IF(OR($B840&lt;=0,$N840&lt;=0),"",($N840/$B840)^(365/($M840-$A840))-1))))</f>
        <v/>
      </c>
      <c r="P840" s="31" t="str">
        <f>IF($B840="","",IF($P839="",$B840,MAX($P839,$B840)))</f>
        <v/>
      </c>
      <c r="Q840" s="32" t="str">
        <f>IF($P840="","",$B840/$P840-1)</f>
        <v/>
      </c>
    </row>
    <row r="841">
      <c r="A841" s="11" t="n"/>
      <c r="B841" s="29" t="n"/>
      <c r="K841" s="30" t="str">
        <f>IF($A841="","",EDATE($A841,12*$E$4))</f>
        <v/>
      </c>
      <c r="L841" s="19" t="str">
        <f>IF($K841="","",IF($K841&gt;MAX($A$8:$A$5007),"",IFERROR(MATCH($K841,$A$8:$A$5007,1),"")))</f>
        <v/>
      </c>
      <c r="M841" s="30" t="str">
        <f>IF($L841="","",INDEX($A$8:$A$5007,$L841))</f>
        <v/>
      </c>
      <c r="N841" s="31" t="str">
        <f>IF($L841="","",INDEX($B$8:$B$5007,$L841))</f>
        <v/>
      </c>
      <c r="O841" s="32" t="str">
        <f>IF($M841="","",IF($K841-$M841&gt;7,"",IF($M841&lt;=$A841,"",IF(OR($B841&lt;=0,$N841&lt;=0),"",($N841/$B841)^(365/($M841-$A841))-1))))</f>
        <v/>
      </c>
      <c r="P841" s="31" t="str">
        <f>IF($B841="","",IF($P840="",$B841,MAX($P840,$B841)))</f>
        <v/>
      </c>
      <c r="Q841" s="32" t="str">
        <f>IF($P841="","",$B841/$P841-1)</f>
        <v/>
      </c>
    </row>
    <row r="842">
      <c r="A842" s="11" t="n"/>
      <c r="B842" s="29" t="n"/>
      <c r="K842" s="30" t="str">
        <f>IF($A842="","",EDATE($A842,12*$E$4))</f>
        <v/>
      </c>
      <c r="L842" s="19" t="str">
        <f>IF($K842="","",IF($K842&gt;MAX($A$8:$A$5007),"",IFERROR(MATCH($K842,$A$8:$A$5007,1),"")))</f>
        <v/>
      </c>
      <c r="M842" s="30" t="str">
        <f>IF($L842="","",INDEX($A$8:$A$5007,$L842))</f>
        <v/>
      </c>
      <c r="N842" s="31" t="str">
        <f>IF($L842="","",INDEX($B$8:$B$5007,$L842))</f>
        <v/>
      </c>
      <c r="O842" s="32" t="str">
        <f>IF($M842="","",IF($K842-$M842&gt;7,"",IF($M842&lt;=$A842,"",IF(OR($B842&lt;=0,$N842&lt;=0),"",($N842/$B842)^(365/($M842-$A842))-1))))</f>
        <v/>
      </c>
      <c r="P842" s="31" t="str">
        <f>IF($B842="","",IF($P841="",$B842,MAX($P841,$B842)))</f>
        <v/>
      </c>
      <c r="Q842" s="32" t="str">
        <f>IF($P842="","",$B842/$P842-1)</f>
        <v/>
      </c>
    </row>
    <row r="843">
      <c r="A843" s="11" t="n"/>
      <c r="B843" s="29" t="n"/>
      <c r="K843" s="30" t="str">
        <f>IF($A843="","",EDATE($A843,12*$E$4))</f>
        <v/>
      </c>
      <c r="L843" s="19" t="str">
        <f>IF($K843="","",IF($K843&gt;MAX($A$8:$A$5007),"",IFERROR(MATCH($K843,$A$8:$A$5007,1),"")))</f>
        <v/>
      </c>
      <c r="M843" s="30" t="str">
        <f>IF($L843="","",INDEX($A$8:$A$5007,$L843))</f>
        <v/>
      </c>
      <c r="N843" s="31" t="str">
        <f>IF($L843="","",INDEX($B$8:$B$5007,$L843))</f>
        <v/>
      </c>
      <c r="O843" s="32" t="str">
        <f>IF($M843="","",IF($K843-$M843&gt;7,"",IF($M843&lt;=$A843,"",IF(OR($B843&lt;=0,$N843&lt;=0),"",($N843/$B843)^(365/($M843-$A843))-1))))</f>
        <v/>
      </c>
      <c r="P843" s="31" t="str">
        <f>IF($B843="","",IF($P842="",$B843,MAX($P842,$B843)))</f>
        <v/>
      </c>
      <c r="Q843" s="32" t="str">
        <f>IF($P843="","",$B843/$P843-1)</f>
        <v/>
      </c>
    </row>
    <row r="844">
      <c r="A844" s="11" t="n"/>
      <c r="B844" s="29" t="n"/>
      <c r="K844" s="30" t="str">
        <f>IF($A844="","",EDATE($A844,12*$E$4))</f>
        <v/>
      </c>
      <c r="L844" s="19" t="str">
        <f>IF($K844="","",IF($K844&gt;MAX($A$8:$A$5007),"",IFERROR(MATCH($K844,$A$8:$A$5007,1),"")))</f>
        <v/>
      </c>
      <c r="M844" s="30" t="str">
        <f>IF($L844="","",INDEX($A$8:$A$5007,$L844))</f>
        <v/>
      </c>
      <c r="N844" s="31" t="str">
        <f>IF($L844="","",INDEX($B$8:$B$5007,$L844))</f>
        <v/>
      </c>
      <c r="O844" s="32" t="str">
        <f>IF($M844="","",IF($K844-$M844&gt;7,"",IF($M844&lt;=$A844,"",IF(OR($B844&lt;=0,$N844&lt;=0),"",($N844/$B844)^(365/($M844-$A844))-1))))</f>
        <v/>
      </c>
      <c r="P844" s="31" t="str">
        <f>IF($B844="","",IF($P843="",$B844,MAX($P843,$B844)))</f>
        <v/>
      </c>
      <c r="Q844" s="32" t="str">
        <f>IF($P844="","",$B844/$P844-1)</f>
        <v/>
      </c>
    </row>
    <row r="845">
      <c r="A845" s="11" t="n"/>
      <c r="B845" s="29" t="n"/>
      <c r="K845" s="30" t="str">
        <f>IF($A845="","",EDATE($A845,12*$E$4))</f>
        <v/>
      </c>
      <c r="L845" s="19" t="str">
        <f>IF($K845="","",IF($K845&gt;MAX($A$8:$A$5007),"",IFERROR(MATCH($K845,$A$8:$A$5007,1),"")))</f>
        <v/>
      </c>
      <c r="M845" s="30" t="str">
        <f>IF($L845="","",INDEX($A$8:$A$5007,$L845))</f>
        <v/>
      </c>
      <c r="N845" s="31" t="str">
        <f>IF($L845="","",INDEX($B$8:$B$5007,$L845))</f>
        <v/>
      </c>
      <c r="O845" s="32" t="str">
        <f>IF($M845="","",IF($K845-$M845&gt;7,"",IF($M845&lt;=$A845,"",IF(OR($B845&lt;=0,$N845&lt;=0),"",($N845/$B845)^(365/($M845-$A845))-1))))</f>
        <v/>
      </c>
      <c r="P845" s="31" t="str">
        <f>IF($B845="","",IF($P844="",$B845,MAX($P844,$B845)))</f>
        <v/>
      </c>
      <c r="Q845" s="32" t="str">
        <f>IF($P845="","",$B845/$P845-1)</f>
        <v/>
      </c>
    </row>
    <row r="846">
      <c r="A846" s="11" t="n"/>
      <c r="B846" s="29" t="n"/>
      <c r="K846" s="30" t="str">
        <f>IF($A846="","",EDATE($A846,12*$E$4))</f>
        <v/>
      </c>
      <c r="L846" s="19" t="str">
        <f>IF($K846="","",IF($K846&gt;MAX($A$8:$A$5007),"",IFERROR(MATCH($K846,$A$8:$A$5007,1),"")))</f>
        <v/>
      </c>
      <c r="M846" s="30" t="str">
        <f>IF($L846="","",INDEX($A$8:$A$5007,$L846))</f>
        <v/>
      </c>
      <c r="N846" s="31" t="str">
        <f>IF($L846="","",INDEX($B$8:$B$5007,$L846))</f>
        <v/>
      </c>
      <c r="O846" s="32" t="str">
        <f>IF($M846="","",IF($K846-$M846&gt;7,"",IF($M846&lt;=$A846,"",IF(OR($B846&lt;=0,$N846&lt;=0),"",($N846/$B846)^(365/($M846-$A846))-1))))</f>
        <v/>
      </c>
      <c r="P846" s="31" t="str">
        <f>IF($B846="","",IF($P845="",$B846,MAX($P845,$B846)))</f>
        <v/>
      </c>
      <c r="Q846" s="32" t="str">
        <f>IF($P846="","",$B846/$P846-1)</f>
        <v/>
      </c>
    </row>
    <row r="847">
      <c r="A847" s="11" t="n"/>
      <c r="B847" s="29" t="n"/>
      <c r="K847" s="30" t="str">
        <f>IF($A847="","",EDATE($A847,12*$E$4))</f>
        <v/>
      </c>
      <c r="L847" s="19" t="str">
        <f>IF($K847="","",IF($K847&gt;MAX($A$8:$A$5007),"",IFERROR(MATCH($K847,$A$8:$A$5007,1),"")))</f>
        <v/>
      </c>
      <c r="M847" s="30" t="str">
        <f>IF($L847="","",INDEX($A$8:$A$5007,$L847))</f>
        <v/>
      </c>
      <c r="N847" s="31" t="str">
        <f>IF($L847="","",INDEX($B$8:$B$5007,$L847))</f>
        <v/>
      </c>
      <c r="O847" s="32" t="str">
        <f>IF($M847="","",IF($K847-$M847&gt;7,"",IF($M847&lt;=$A847,"",IF(OR($B847&lt;=0,$N847&lt;=0),"",($N847/$B847)^(365/($M847-$A847))-1))))</f>
        <v/>
      </c>
      <c r="P847" s="31" t="str">
        <f>IF($B847="","",IF($P846="",$B847,MAX($P846,$B847)))</f>
        <v/>
      </c>
      <c r="Q847" s="32" t="str">
        <f>IF($P847="","",$B847/$P847-1)</f>
        <v/>
      </c>
    </row>
    <row r="848">
      <c r="A848" s="11" t="n"/>
      <c r="B848" s="29" t="n"/>
      <c r="K848" s="30" t="str">
        <f>IF($A848="","",EDATE($A848,12*$E$4))</f>
        <v/>
      </c>
      <c r="L848" s="19" t="str">
        <f>IF($K848="","",IF($K848&gt;MAX($A$8:$A$5007),"",IFERROR(MATCH($K848,$A$8:$A$5007,1),"")))</f>
        <v/>
      </c>
      <c r="M848" s="30" t="str">
        <f>IF($L848="","",INDEX($A$8:$A$5007,$L848))</f>
        <v/>
      </c>
      <c r="N848" s="31" t="str">
        <f>IF($L848="","",INDEX($B$8:$B$5007,$L848))</f>
        <v/>
      </c>
      <c r="O848" s="32" t="str">
        <f>IF($M848="","",IF($K848-$M848&gt;7,"",IF($M848&lt;=$A848,"",IF(OR($B848&lt;=0,$N848&lt;=0),"",($N848/$B848)^(365/($M848-$A848))-1))))</f>
        <v/>
      </c>
      <c r="P848" s="31" t="str">
        <f>IF($B848="","",IF($P847="",$B848,MAX($P847,$B848)))</f>
        <v/>
      </c>
      <c r="Q848" s="32" t="str">
        <f>IF($P848="","",$B848/$P848-1)</f>
        <v/>
      </c>
    </row>
    <row r="849">
      <c r="A849" s="11" t="n"/>
      <c r="B849" s="29" t="n"/>
      <c r="K849" s="30" t="str">
        <f>IF($A849="","",EDATE($A849,12*$E$4))</f>
        <v/>
      </c>
      <c r="L849" s="19" t="str">
        <f>IF($K849="","",IF($K849&gt;MAX($A$8:$A$5007),"",IFERROR(MATCH($K849,$A$8:$A$5007,1),"")))</f>
        <v/>
      </c>
      <c r="M849" s="30" t="str">
        <f>IF($L849="","",INDEX($A$8:$A$5007,$L849))</f>
        <v/>
      </c>
      <c r="N849" s="31" t="str">
        <f>IF($L849="","",INDEX($B$8:$B$5007,$L849))</f>
        <v/>
      </c>
      <c r="O849" s="32" t="str">
        <f>IF($M849="","",IF($K849-$M849&gt;7,"",IF($M849&lt;=$A849,"",IF(OR($B849&lt;=0,$N849&lt;=0),"",($N849/$B849)^(365/($M849-$A849))-1))))</f>
        <v/>
      </c>
      <c r="P849" s="31" t="str">
        <f>IF($B849="","",IF($P848="",$B849,MAX($P848,$B849)))</f>
        <v/>
      </c>
      <c r="Q849" s="32" t="str">
        <f>IF($P849="","",$B849/$P849-1)</f>
        <v/>
      </c>
    </row>
    <row r="850">
      <c r="A850" s="11" t="n"/>
      <c r="B850" s="29" t="n"/>
      <c r="K850" s="30" t="str">
        <f>IF($A850="","",EDATE($A850,12*$E$4))</f>
        <v/>
      </c>
      <c r="L850" s="19" t="str">
        <f>IF($K850="","",IF($K850&gt;MAX($A$8:$A$5007),"",IFERROR(MATCH($K850,$A$8:$A$5007,1),"")))</f>
        <v/>
      </c>
      <c r="M850" s="30" t="str">
        <f>IF($L850="","",INDEX($A$8:$A$5007,$L850))</f>
        <v/>
      </c>
      <c r="N850" s="31" t="str">
        <f>IF($L850="","",INDEX($B$8:$B$5007,$L850))</f>
        <v/>
      </c>
      <c r="O850" s="32" t="str">
        <f>IF($M850="","",IF($K850-$M850&gt;7,"",IF($M850&lt;=$A850,"",IF(OR($B850&lt;=0,$N850&lt;=0),"",($N850/$B850)^(365/($M850-$A850))-1))))</f>
        <v/>
      </c>
      <c r="P850" s="31" t="str">
        <f>IF($B850="","",IF($P849="",$B850,MAX($P849,$B850)))</f>
        <v/>
      </c>
      <c r="Q850" s="32" t="str">
        <f>IF($P850="","",$B850/$P850-1)</f>
        <v/>
      </c>
    </row>
    <row r="851">
      <c r="A851" s="11" t="n"/>
      <c r="B851" s="29" t="n"/>
      <c r="K851" s="30" t="str">
        <f>IF($A851="","",EDATE($A851,12*$E$4))</f>
        <v/>
      </c>
      <c r="L851" s="19" t="str">
        <f>IF($K851="","",IF($K851&gt;MAX($A$8:$A$5007),"",IFERROR(MATCH($K851,$A$8:$A$5007,1),"")))</f>
        <v/>
      </c>
      <c r="M851" s="30" t="str">
        <f>IF($L851="","",INDEX($A$8:$A$5007,$L851))</f>
        <v/>
      </c>
      <c r="N851" s="31" t="str">
        <f>IF($L851="","",INDEX($B$8:$B$5007,$L851))</f>
        <v/>
      </c>
      <c r="O851" s="32" t="str">
        <f>IF($M851="","",IF($K851-$M851&gt;7,"",IF($M851&lt;=$A851,"",IF(OR($B851&lt;=0,$N851&lt;=0),"",($N851/$B851)^(365/($M851-$A851))-1))))</f>
        <v/>
      </c>
      <c r="P851" s="31" t="str">
        <f>IF($B851="","",IF($P850="",$B851,MAX($P850,$B851)))</f>
        <v/>
      </c>
      <c r="Q851" s="32" t="str">
        <f>IF($P851="","",$B851/$P851-1)</f>
        <v/>
      </c>
    </row>
    <row r="852">
      <c r="A852" s="11" t="n"/>
      <c r="B852" s="29" t="n"/>
      <c r="K852" s="30" t="str">
        <f>IF($A852="","",EDATE($A852,12*$E$4))</f>
        <v/>
      </c>
      <c r="L852" s="19" t="str">
        <f>IF($K852="","",IF($K852&gt;MAX($A$8:$A$5007),"",IFERROR(MATCH($K852,$A$8:$A$5007,1),"")))</f>
        <v/>
      </c>
      <c r="M852" s="30" t="str">
        <f>IF($L852="","",INDEX($A$8:$A$5007,$L852))</f>
        <v/>
      </c>
      <c r="N852" s="31" t="str">
        <f>IF($L852="","",INDEX($B$8:$B$5007,$L852))</f>
        <v/>
      </c>
      <c r="O852" s="32" t="str">
        <f>IF($M852="","",IF($K852-$M852&gt;7,"",IF($M852&lt;=$A852,"",IF(OR($B852&lt;=0,$N852&lt;=0),"",($N852/$B852)^(365/($M852-$A852))-1))))</f>
        <v/>
      </c>
      <c r="P852" s="31" t="str">
        <f>IF($B852="","",IF($P851="",$B852,MAX($P851,$B852)))</f>
        <v/>
      </c>
      <c r="Q852" s="32" t="str">
        <f>IF($P852="","",$B852/$P852-1)</f>
        <v/>
      </c>
    </row>
    <row r="853">
      <c r="A853" s="11" t="n"/>
      <c r="B853" s="29" t="n"/>
      <c r="K853" s="30" t="str">
        <f>IF($A853="","",EDATE($A853,12*$E$4))</f>
        <v/>
      </c>
      <c r="L853" s="19" t="str">
        <f>IF($K853="","",IF($K853&gt;MAX($A$8:$A$5007),"",IFERROR(MATCH($K853,$A$8:$A$5007,1),"")))</f>
        <v/>
      </c>
      <c r="M853" s="30" t="str">
        <f>IF($L853="","",INDEX($A$8:$A$5007,$L853))</f>
        <v/>
      </c>
      <c r="N853" s="31" t="str">
        <f>IF($L853="","",INDEX($B$8:$B$5007,$L853))</f>
        <v/>
      </c>
      <c r="O853" s="32" t="str">
        <f>IF($M853="","",IF($K853-$M853&gt;7,"",IF($M853&lt;=$A853,"",IF(OR($B853&lt;=0,$N853&lt;=0),"",($N853/$B853)^(365/($M853-$A853))-1))))</f>
        <v/>
      </c>
      <c r="P853" s="31" t="str">
        <f>IF($B853="","",IF($P852="",$B853,MAX($P852,$B853)))</f>
        <v/>
      </c>
      <c r="Q853" s="32" t="str">
        <f>IF($P853="","",$B853/$P853-1)</f>
        <v/>
      </c>
    </row>
    <row r="854">
      <c r="A854" s="11" t="n"/>
      <c r="B854" s="29" t="n"/>
      <c r="K854" s="30" t="str">
        <f>IF($A854="","",EDATE($A854,12*$E$4))</f>
        <v/>
      </c>
      <c r="L854" s="19" t="str">
        <f>IF($K854="","",IF($K854&gt;MAX($A$8:$A$5007),"",IFERROR(MATCH($K854,$A$8:$A$5007,1),"")))</f>
        <v/>
      </c>
      <c r="M854" s="30" t="str">
        <f>IF($L854="","",INDEX($A$8:$A$5007,$L854))</f>
        <v/>
      </c>
      <c r="N854" s="31" t="str">
        <f>IF($L854="","",INDEX($B$8:$B$5007,$L854))</f>
        <v/>
      </c>
      <c r="O854" s="32" t="str">
        <f>IF($M854="","",IF($K854-$M854&gt;7,"",IF($M854&lt;=$A854,"",IF(OR($B854&lt;=0,$N854&lt;=0),"",($N854/$B854)^(365/($M854-$A854))-1))))</f>
        <v/>
      </c>
      <c r="P854" s="31" t="str">
        <f>IF($B854="","",IF($P853="",$B854,MAX($P853,$B854)))</f>
        <v/>
      </c>
      <c r="Q854" s="32" t="str">
        <f>IF($P854="","",$B854/$P854-1)</f>
        <v/>
      </c>
    </row>
    <row r="855">
      <c r="A855" s="11" t="n"/>
      <c r="B855" s="29" t="n"/>
      <c r="K855" s="30" t="str">
        <f>IF($A855="","",EDATE($A855,12*$E$4))</f>
        <v/>
      </c>
      <c r="L855" s="19" t="str">
        <f>IF($K855="","",IF($K855&gt;MAX($A$8:$A$5007),"",IFERROR(MATCH($K855,$A$8:$A$5007,1),"")))</f>
        <v/>
      </c>
      <c r="M855" s="30" t="str">
        <f>IF($L855="","",INDEX($A$8:$A$5007,$L855))</f>
        <v/>
      </c>
      <c r="N855" s="31" t="str">
        <f>IF($L855="","",INDEX($B$8:$B$5007,$L855))</f>
        <v/>
      </c>
      <c r="O855" s="32" t="str">
        <f>IF($M855="","",IF($K855-$M855&gt;7,"",IF($M855&lt;=$A855,"",IF(OR($B855&lt;=0,$N855&lt;=0),"",($N855/$B855)^(365/($M855-$A855))-1))))</f>
        <v/>
      </c>
      <c r="P855" s="31" t="str">
        <f>IF($B855="","",IF($P854="",$B855,MAX($P854,$B855)))</f>
        <v/>
      </c>
      <c r="Q855" s="32" t="str">
        <f>IF($P855="","",$B855/$P855-1)</f>
        <v/>
      </c>
    </row>
    <row r="856">
      <c r="A856" s="11" t="n"/>
      <c r="B856" s="29" t="n"/>
      <c r="K856" s="30" t="str">
        <f>IF($A856="","",EDATE($A856,12*$E$4))</f>
        <v/>
      </c>
      <c r="L856" s="19" t="str">
        <f>IF($K856="","",IF($K856&gt;MAX($A$8:$A$5007),"",IFERROR(MATCH($K856,$A$8:$A$5007,1),"")))</f>
        <v/>
      </c>
      <c r="M856" s="30" t="str">
        <f>IF($L856="","",INDEX($A$8:$A$5007,$L856))</f>
        <v/>
      </c>
      <c r="N856" s="31" t="str">
        <f>IF($L856="","",INDEX($B$8:$B$5007,$L856))</f>
        <v/>
      </c>
      <c r="O856" s="32" t="str">
        <f>IF($M856="","",IF($K856-$M856&gt;7,"",IF($M856&lt;=$A856,"",IF(OR($B856&lt;=0,$N856&lt;=0),"",($N856/$B856)^(365/($M856-$A856))-1))))</f>
        <v/>
      </c>
      <c r="P856" s="31" t="str">
        <f>IF($B856="","",IF($P855="",$B856,MAX($P855,$B856)))</f>
        <v/>
      </c>
      <c r="Q856" s="32" t="str">
        <f>IF($P856="","",$B856/$P856-1)</f>
        <v/>
      </c>
    </row>
    <row r="857">
      <c r="A857" s="11" t="n"/>
      <c r="B857" s="29" t="n"/>
      <c r="K857" s="30" t="str">
        <f>IF($A857="","",EDATE($A857,12*$E$4))</f>
        <v/>
      </c>
      <c r="L857" s="19" t="str">
        <f>IF($K857="","",IF($K857&gt;MAX($A$8:$A$5007),"",IFERROR(MATCH($K857,$A$8:$A$5007,1),"")))</f>
        <v/>
      </c>
      <c r="M857" s="30" t="str">
        <f>IF($L857="","",INDEX($A$8:$A$5007,$L857))</f>
        <v/>
      </c>
      <c r="N857" s="31" t="str">
        <f>IF($L857="","",INDEX($B$8:$B$5007,$L857))</f>
        <v/>
      </c>
      <c r="O857" s="32" t="str">
        <f>IF($M857="","",IF($K857-$M857&gt;7,"",IF($M857&lt;=$A857,"",IF(OR($B857&lt;=0,$N857&lt;=0),"",($N857/$B857)^(365/($M857-$A857))-1))))</f>
        <v/>
      </c>
      <c r="P857" s="31" t="str">
        <f>IF($B857="","",IF($P856="",$B857,MAX($P856,$B857)))</f>
        <v/>
      </c>
      <c r="Q857" s="32" t="str">
        <f>IF($P857="","",$B857/$P857-1)</f>
        <v/>
      </c>
    </row>
    <row r="858">
      <c r="A858" s="11" t="n"/>
      <c r="B858" s="29" t="n"/>
      <c r="K858" s="30" t="str">
        <f>IF($A858="","",EDATE($A858,12*$E$4))</f>
        <v/>
      </c>
      <c r="L858" s="19" t="str">
        <f>IF($K858="","",IF($K858&gt;MAX($A$8:$A$5007),"",IFERROR(MATCH($K858,$A$8:$A$5007,1),"")))</f>
        <v/>
      </c>
      <c r="M858" s="30" t="str">
        <f>IF($L858="","",INDEX($A$8:$A$5007,$L858))</f>
        <v/>
      </c>
      <c r="N858" s="31" t="str">
        <f>IF($L858="","",INDEX($B$8:$B$5007,$L858))</f>
        <v/>
      </c>
      <c r="O858" s="32" t="str">
        <f>IF($M858="","",IF($K858-$M858&gt;7,"",IF($M858&lt;=$A858,"",IF(OR($B858&lt;=0,$N858&lt;=0),"",($N858/$B858)^(365/($M858-$A858))-1))))</f>
        <v/>
      </c>
      <c r="P858" s="31" t="str">
        <f>IF($B858="","",IF($P857="",$B858,MAX($P857,$B858)))</f>
        <v/>
      </c>
      <c r="Q858" s="32" t="str">
        <f>IF($P858="","",$B858/$P858-1)</f>
        <v/>
      </c>
    </row>
    <row r="859">
      <c r="A859" s="11" t="n"/>
      <c r="B859" s="29" t="n"/>
      <c r="K859" s="30" t="str">
        <f>IF($A859="","",EDATE($A859,12*$E$4))</f>
        <v/>
      </c>
      <c r="L859" s="19" t="str">
        <f>IF($K859="","",IF($K859&gt;MAX($A$8:$A$5007),"",IFERROR(MATCH($K859,$A$8:$A$5007,1),"")))</f>
        <v/>
      </c>
      <c r="M859" s="30" t="str">
        <f>IF($L859="","",INDEX($A$8:$A$5007,$L859))</f>
        <v/>
      </c>
      <c r="N859" s="31" t="str">
        <f>IF($L859="","",INDEX($B$8:$B$5007,$L859))</f>
        <v/>
      </c>
      <c r="O859" s="32" t="str">
        <f>IF($M859="","",IF($K859-$M859&gt;7,"",IF($M859&lt;=$A859,"",IF(OR($B859&lt;=0,$N859&lt;=0),"",($N859/$B859)^(365/($M859-$A859))-1))))</f>
        <v/>
      </c>
      <c r="P859" s="31" t="str">
        <f>IF($B859="","",IF($P858="",$B859,MAX($P858,$B859)))</f>
        <v/>
      </c>
      <c r="Q859" s="32" t="str">
        <f>IF($P859="","",$B859/$P859-1)</f>
        <v/>
      </c>
    </row>
    <row r="860">
      <c r="A860" s="11" t="n"/>
      <c r="B860" s="29" t="n"/>
      <c r="K860" s="30" t="str">
        <f>IF($A860="","",EDATE($A860,12*$E$4))</f>
        <v/>
      </c>
      <c r="L860" s="19" t="str">
        <f>IF($K860="","",IF($K860&gt;MAX($A$8:$A$5007),"",IFERROR(MATCH($K860,$A$8:$A$5007,1),"")))</f>
        <v/>
      </c>
      <c r="M860" s="30" t="str">
        <f>IF($L860="","",INDEX($A$8:$A$5007,$L860))</f>
        <v/>
      </c>
      <c r="N860" s="31" t="str">
        <f>IF($L860="","",INDEX($B$8:$B$5007,$L860))</f>
        <v/>
      </c>
      <c r="O860" s="32" t="str">
        <f>IF($M860="","",IF($K860-$M860&gt;7,"",IF($M860&lt;=$A860,"",IF(OR($B860&lt;=0,$N860&lt;=0),"",($N860/$B860)^(365/($M860-$A860))-1))))</f>
        <v/>
      </c>
      <c r="P860" s="31" t="str">
        <f>IF($B860="","",IF($P859="",$B860,MAX($P859,$B860)))</f>
        <v/>
      </c>
      <c r="Q860" s="32" t="str">
        <f>IF($P860="","",$B860/$P860-1)</f>
        <v/>
      </c>
    </row>
    <row r="861">
      <c r="A861" s="11" t="n"/>
      <c r="B861" s="29" t="n"/>
      <c r="K861" s="30" t="str">
        <f>IF($A861="","",EDATE($A861,12*$E$4))</f>
        <v/>
      </c>
      <c r="L861" s="19" t="str">
        <f>IF($K861="","",IF($K861&gt;MAX($A$8:$A$5007),"",IFERROR(MATCH($K861,$A$8:$A$5007,1),"")))</f>
        <v/>
      </c>
      <c r="M861" s="30" t="str">
        <f>IF($L861="","",INDEX($A$8:$A$5007,$L861))</f>
        <v/>
      </c>
      <c r="N861" s="31" t="str">
        <f>IF($L861="","",INDEX($B$8:$B$5007,$L861))</f>
        <v/>
      </c>
      <c r="O861" s="32" t="str">
        <f>IF($M861="","",IF($K861-$M861&gt;7,"",IF($M861&lt;=$A861,"",IF(OR($B861&lt;=0,$N861&lt;=0),"",($N861/$B861)^(365/($M861-$A861))-1))))</f>
        <v/>
      </c>
      <c r="P861" s="31" t="str">
        <f>IF($B861="","",IF($P860="",$B861,MAX($P860,$B861)))</f>
        <v/>
      </c>
      <c r="Q861" s="32" t="str">
        <f>IF($P861="","",$B861/$P861-1)</f>
        <v/>
      </c>
    </row>
    <row r="862">
      <c r="A862" s="11" t="n"/>
      <c r="B862" s="29" t="n"/>
      <c r="K862" s="30" t="str">
        <f>IF($A862="","",EDATE($A862,12*$E$4))</f>
        <v/>
      </c>
      <c r="L862" s="19" t="str">
        <f>IF($K862="","",IF($K862&gt;MAX($A$8:$A$5007),"",IFERROR(MATCH($K862,$A$8:$A$5007,1),"")))</f>
        <v/>
      </c>
      <c r="M862" s="30" t="str">
        <f>IF($L862="","",INDEX($A$8:$A$5007,$L862))</f>
        <v/>
      </c>
      <c r="N862" s="31" t="str">
        <f>IF($L862="","",INDEX($B$8:$B$5007,$L862))</f>
        <v/>
      </c>
      <c r="O862" s="32" t="str">
        <f>IF($M862="","",IF($K862-$M862&gt;7,"",IF($M862&lt;=$A862,"",IF(OR($B862&lt;=0,$N862&lt;=0),"",($N862/$B862)^(365/($M862-$A862))-1))))</f>
        <v/>
      </c>
      <c r="P862" s="31" t="str">
        <f>IF($B862="","",IF($P861="",$B862,MAX($P861,$B862)))</f>
        <v/>
      </c>
      <c r="Q862" s="32" t="str">
        <f>IF($P862="","",$B862/$P862-1)</f>
        <v/>
      </c>
    </row>
    <row r="863">
      <c r="A863" s="11" t="n"/>
      <c r="B863" s="29" t="n"/>
      <c r="K863" s="30" t="str">
        <f>IF($A863="","",EDATE($A863,12*$E$4))</f>
        <v/>
      </c>
      <c r="L863" s="19" t="str">
        <f>IF($K863="","",IF($K863&gt;MAX($A$8:$A$5007),"",IFERROR(MATCH($K863,$A$8:$A$5007,1),"")))</f>
        <v/>
      </c>
      <c r="M863" s="30" t="str">
        <f>IF($L863="","",INDEX($A$8:$A$5007,$L863))</f>
        <v/>
      </c>
      <c r="N863" s="31" t="str">
        <f>IF($L863="","",INDEX($B$8:$B$5007,$L863))</f>
        <v/>
      </c>
      <c r="O863" s="32" t="str">
        <f>IF($M863="","",IF($K863-$M863&gt;7,"",IF($M863&lt;=$A863,"",IF(OR($B863&lt;=0,$N863&lt;=0),"",($N863/$B863)^(365/($M863-$A863))-1))))</f>
        <v/>
      </c>
      <c r="P863" s="31" t="str">
        <f>IF($B863="","",IF($P862="",$B863,MAX($P862,$B863)))</f>
        <v/>
      </c>
      <c r="Q863" s="32" t="str">
        <f>IF($P863="","",$B863/$P863-1)</f>
        <v/>
      </c>
    </row>
    <row r="864">
      <c r="A864" s="11" t="n"/>
      <c r="B864" s="29" t="n"/>
      <c r="K864" s="30" t="str">
        <f>IF($A864="","",EDATE($A864,12*$E$4))</f>
        <v/>
      </c>
      <c r="L864" s="19" t="str">
        <f>IF($K864="","",IF($K864&gt;MAX($A$8:$A$5007),"",IFERROR(MATCH($K864,$A$8:$A$5007,1),"")))</f>
        <v/>
      </c>
      <c r="M864" s="30" t="str">
        <f>IF($L864="","",INDEX($A$8:$A$5007,$L864))</f>
        <v/>
      </c>
      <c r="N864" s="31" t="str">
        <f>IF($L864="","",INDEX($B$8:$B$5007,$L864))</f>
        <v/>
      </c>
      <c r="O864" s="32" t="str">
        <f>IF($M864="","",IF($K864-$M864&gt;7,"",IF($M864&lt;=$A864,"",IF(OR($B864&lt;=0,$N864&lt;=0),"",($N864/$B864)^(365/($M864-$A864))-1))))</f>
        <v/>
      </c>
      <c r="P864" s="31" t="str">
        <f>IF($B864="","",IF($P863="",$B864,MAX($P863,$B864)))</f>
        <v/>
      </c>
      <c r="Q864" s="32" t="str">
        <f>IF($P864="","",$B864/$P864-1)</f>
        <v/>
      </c>
    </row>
    <row r="865">
      <c r="A865" s="11" t="n"/>
      <c r="B865" s="29" t="n"/>
      <c r="K865" s="30" t="str">
        <f>IF($A865="","",EDATE($A865,12*$E$4))</f>
        <v/>
      </c>
      <c r="L865" s="19" t="str">
        <f>IF($K865="","",IF($K865&gt;MAX($A$8:$A$5007),"",IFERROR(MATCH($K865,$A$8:$A$5007,1),"")))</f>
        <v/>
      </c>
      <c r="M865" s="30" t="str">
        <f>IF($L865="","",INDEX($A$8:$A$5007,$L865))</f>
        <v/>
      </c>
      <c r="N865" s="31" t="str">
        <f>IF($L865="","",INDEX($B$8:$B$5007,$L865))</f>
        <v/>
      </c>
      <c r="O865" s="32" t="str">
        <f>IF($M865="","",IF($K865-$M865&gt;7,"",IF($M865&lt;=$A865,"",IF(OR($B865&lt;=0,$N865&lt;=0),"",($N865/$B865)^(365/($M865-$A865))-1))))</f>
        <v/>
      </c>
      <c r="P865" s="31" t="str">
        <f>IF($B865="","",IF($P864="",$B865,MAX($P864,$B865)))</f>
        <v/>
      </c>
      <c r="Q865" s="32" t="str">
        <f>IF($P865="","",$B865/$P865-1)</f>
        <v/>
      </c>
    </row>
    <row r="866">
      <c r="A866" s="11" t="n"/>
      <c r="B866" s="29" t="n"/>
      <c r="K866" s="30" t="str">
        <f>IF($A866="","",EDATE($A866,12*$E$4))</f>
        <v/>
      </c>
      <c r="L866" s="19" t="str">
        <f>IF($K866="","",IF($K866&gt;MAX($A$8:$A$5007),"",IFERROR(MATCH($K866,$A$8:$A$5007,1),"")))</f>
        <v/>
      </c>
      <c r="M866" s="30" t="str">
        <f>IF($L866="","",INDEX($A$8:$A$5007,$L866))</f>
        <v/>
      </c>
      <c r="N866" s="31" t="str">
        <f>IF($L866="","",INDEX($B$8:$B$5007,$L866))</f>
        <v/>
      </c>
      <c r="O866" s="32" t="str">
        <f>IF($M866="","",IF($K866-$M866&gt;7,"",IF($M866&lt;=$A866,"",IF(OR($B866&lt;=0,$N866&lt;=0),"",($N866/$B866)^(365/($M866-$A866))-1))))</f>
        <v/>
      </c>
      <c r="P866" s="31" t="str">
        <f>IF($B866="","",IF($P865="",$B866,MAX($P865,$B866)))</f>
        <v/>
      </c>
      <c r="Q866" s="32" t="str">
        <f>IF($P866="","",$B866/$P866-1)</f>
        <v/>
      </c>
    </row>
    <row r="867">
      <c r="A867" s="11" t="n"/>
      <c r="B867" s="29" t="n"/>
      <c r="K867" s="30" t="str">
        <f>IF($A867="","",EDATE($A867,12*$E$4))</f>
        <v/>
      </c>
      <c r="L867" s="19" t="str">
        <f>IF($K867="","",IF($K867&gt;MAX($A$8:$A$5007),"",IFERROR(MATCH($K867,$A$8:$A$5007,1),"")))</f>
        <v/>
      </c>
      <c r="M867" s="30" t="str">
        <f>IF($L867="","",INDEX($A$8:$A$5007,$L867))</f>
        <v/>
      </c>
      <c r="N867" s="31" t="str">
        <f>IF($L867="","",INDEX($B$8:$B$5007,$L867))</f>
        <v/>
      </c>
      <c r="O867" s="32" t="str">
        <f>IF($M867="","",IF($K867-$M867&gt;7,"",IF($M867&lt;=$A867,"",IF(OR($B867&lt;=0,$N867&lt;=0),"",($N867/$B867)^(365/($M867-$A867))-1))))</f>
        <v/>
      </c>
      <c r="P867" s="31" t="str">
        <f>IF($B867="","",IF($P866="",$B867,MAX($P866,$B867)))</f>
        <v/>
      </c>
      <c r="Q867" s="32" t="str">
        <f>IF($P867="","",$B867/$P867-1)</f>
        <v/>
      </c>
    </row>
    <row r="868">
      <c r="A868" s="11" t="n"/>
      <c r="B868" s="29" t="n"/>
      <c r="K868" s="30" t="str">
        <f>IF($A868="","",EDATE($A868,12*$E$4))</f>
        <v/>
      </c>
      <c r="L868" s="19" t="str">
        <f>IF($K868="","",IF($K868&gt;MAX($A$8:$A$5007),"",IFERROR(MATCH($K868,$A$8:$A$5007,1),"")))</f>
        <v/>
      </c>
      <c r="M868" s="30" t="str">
        <f>IF($L868="","",INDEX($A$8:$A$5007,$L868))</f>
        <v/>
      </c>
      <c r="N868" s="31" t="str">
        <f>IF($L868="","",INDEX($B$8:$B$5007,$L868))</f>
        <v/>
      </c>
      <c r="O868" s="32" t="str">
        <f>IF($M868="","",IF($K868-$M868&gt;7,"",IF($M868&lt;=$A868,"",IF(OR($B868&lt;=0,$N868&lt;=0),"",($N868/$B868)^(365/($M868-$A868))-1))))</f>
        <v/>
      </c>
      <c r="P868" s="31" t="str">
        <f>IF($B868="","",IF($P867="",$B868,MAX($P867,$B868)))</f>
        <v/>
      </c>
      <c r="Q868" s="32" t="str">
        <f>IF($P868="","",$B868/$P868-1)</f>
        <v/>
      </c>
    </row>
    <row r="869">
      <c r="A869" s="11" t="n"/>
      <c r="B869" s="29" t="n"/>
      <c r="K869" s="30" t="str">
        <f>IF($A869="","",EDATE($A869,12*$E$4))</f>
        <v/>
      </c>
      <c r="L869" s="19" t="str">
        <f>IF($K869="","",IF($K869&gt;MAX($A$8:$A$5007),"",IFERROR(MATCH($K869,$A$8:$A$5007,1),"")))</f>
        <v/>
      </c>
      <c r="M869" s="30" t="str">
        <f>IF($L869="","",INDEX($A$8:$A$5007,$L869))</f>
        <v/>
      </c>
      <c r="N869" s="31" t="str">
        <f>IF($L869="","",INDEX($B$8:$B$5007,$L869))</f>
        <v/>
      </c>
      <c r="O869" s="32" t="str">
        <f>IF($M869="","",IF($K869-$M869&gt;7,"",IF($M869&lt;=$A869,"",IF(OR($B869&lt;=0,$N869&lt;=0),"",($N869/$B869)^(365/($M869-$A869))-1))))</f>
        <v/>
      </c>
      <c r="P869" s="31" t="str">
        <f>IF($B869="","",IF($P868="",$B869,MAX($P868,$B869)))</f>
        <v/>
      </c>
      <c r="Q869" s="32" t="str">
        <f>IF($P869="","",$B869/$P869-1)</f>
        <v/>
      </c>
    </row>
    <row r="870">
      <c r="A870" s="11" t="n"/>
      <c r="B870" s="29" t="n"/>
      <c r="K870" s="30" t="str">
        <f>IF($A870="","",EDATE($A870,12*$E$4))</f>
        <v/>
      </c>
      <c r="L870" s="19" t="str">
        <f>IF($K870="","",IF($K870&gt;MAX($A$8:$A$5007),"",IFERROR(MATCH($K870,$A$8:$A$5007,1),"")))</f>
        <v/>
      </c>
      <c r="M870" s="30" t="str">
        <f>IF($L870="","",INDEX($A$8:$A$5007,$L870))</f>
        <v/>
      </c>
      <c r="N870" s="31" t="str">
        <f>IF($L870="","",INDEX($B$8:$B$5007,$L870))</f>
        <v/>
      </c>
      <c r="O870" s="32" t="str">
        <f>IF($M870="","",IF($K870-$M870&gt;7,"",IF($M870&lt;=$A870,"",IF(OR($B870&lt;=0,$N870&lt;=0),"",($N870/$B870)^(365/($M870-$A870))-1))))</f>
        <v/>
      </c>
      <c r="P870" s="31" t="str">
        <f>IF($B870="","",IF($P869="",$B870,MAX($P869,$B870)))</f>
        <v/>
      </c>
      <c r="Q870" s="32" t="str">
        <f>IF($P870="","",$B870/$P870-1)</f>
        <v/>
      </c>
    </row>
    <row r="871">
      <c r="A871" s="11" t="n"/>
      <c r="B871" s="29" t="n"/>
      <c r="K871" s="30" t="str">
        <f>IF($A871="","",EDATE($A871,12*$E$4))</f>
        <v/>
      </c>
      <c r="L871" s="19" t="str">
        <f>IF($K871="","",IF($K871&gt;MAX($A$8:$A$5007),"",IFERROR(MATCH($K871,$A$8:$A$5007,1),"")))</f>
        <v/>
      </c>
      <c r="M871" s="30" t="str">
        <f>IF($L871="","",INDEX($A$8:$A$5007,$L871))</f>
        <v/>
      </c>
      <c r="N871" s="31" t="str">
        <f>IF($L871="","",INDEX($B$8:$B$5007,$L871))</f>
        <v/>
      </c>
      <c r="O871" s="32" t="str">
        <f>IF($M871="","",IF($K871-$M871&gt;7,"",IF($M871&lt;=$A871,"",IF(OR($B871&lt;=0,$N871&lt;=0),"",($N871/$B871)^(365/($M871-$A871))-1))))</f>
        <v/>
      </c>
      <c r="P871" s="31" t="str">
        <f>IF($B871="","",IF($P870="",$B871,MAX($P870,$B871)))</f>
        <v/>
      </c>
      <c r="Q871" s="32" t="str">
        <f>IF($P871="","",$B871/$P871-1)</f>
        <v/>
      </c>
    </row>
    <row r="872">
      <c r="A872" s="11" t="n"/>
      <c r="B872" s="29" t="n"/>
      <c r="K872" s="30" t="str">
        <f>IF($A872="","",EDATE($A872,12*$E$4))</f>
        <v/>
      </c>
      <c r="L872" s="19" t="str">
        <f>IF($K872="","",IF($K872&gt;MAX($A$8:$A$5007),"",IFERROR(MATCH($K872,$A$8:$A$5007,1),"")))</f>
        <v/>
      </c>
      <c r="M872" s="30" t="str">
        <f>IF($L872="","",INDEX($A$8:$A$5007,$L872))</f>
        <v/>
      </c>
      <c r="N872" s="31" t="str">
        <f>IF($L872="","",INDEX($B$8:$B$5007,$L872))</f>
        <v/>
      </c>
      <c r="O872" s="32" t="str">
        <f>IF($M872="","",IF($K872-$M872&gt;7,"",IF($M872&lt;=$A872,"",IF(OR($B872&lt;=0,$N872&lt;=0),"",($N872/$B872)^(365/($M872-$A872))-1))))</f>
        <v/>
      </c>
      <c r="P872" s="31" t="str">
        <f>IF($B872="","",IF($P871="",$B872,MAX($P871,$B872)))</f>
        <v/>
      </c>
      <c r="Q872" s="32" t="str">
        <f>IF($P872="","",$B872/$P872-1)</f>
        <v/>
      </c>
    </row>
    <row r="873">
      <c r="A873" s="11" t="n"/>
      <c r="B873" s="29" t="n"/>
      <c r="K873" s="30" t="str">
        <f>IF($A873="","",EDATE($A873,12*$E$4))</f>
        <v/>
      </c>
      <c r="L873" s="19" t="str">
        <f>IF($K873="","",IF($K873&gt;MAX($A$8:$A$5007),"",IFERROR(MATCH($K873,$A$8:$A$5007,1),"")))</f>
        <v/>
      </c>
      <c r="M873" s="30" t="str">
        <f>IF($L873="","",INDEX($A$8:$A$5007,$L873))</f>
        <v/>
      </c>
      <c r="N873" s="31" t="str">
        <f>IF($L873="","",INDEX($B$8:$B$5007,$L873))</f>
        <v/>
      </c>
      <c r="O873" s="32" t="str">
        <f>IF($M873="","",IF($K873-$M873&gt;7,"",IF($M873&lt;=$A873,"",IF(OR($B873&lt;=0,$N873&lt;=0),"",($N873/$B873)^(365/($M873-$A873))-1))))</f>
        <v/>
      </c>
      <c r="P873" s="31" t="str">
        <f>IF($B873="","",IF($P872="",$B873,MAX($P872,$B873)))</f>
        <v/>
      </c>
      <c r="Q873" s="32" t="str">
        <f>IF($P873="","",$B873/$P873-1)</f>
        <v/>
      </c>
    </row>
    <row r="874">
      <c r="A874" s="11" t="n"/>
      <c r="B874" s="29" t="n"/>
      <c r="K874" s="30" t="str">
        <f>IF($A874="","",EDATE($A874,12*$E$4))</f>
        <v/>
      </c>
      <c r="L874" s="19" t="str">
        <f>IF($K874="","",IF($K874&gt;MAX($A$8:$A$5007),"",IFERROR(MATCH($K874,$A$8:$A$5007,1),"")))</f>
        <v/>
      </c>
      <c r="M874" s="30" t="str">
        <f>IF($L874="","",INDEX($A$8:$A$5007,$L874))</f>
        <v/>
      </c>
      <c r="N874" s="31" t="str">
        <f>IF($L874="","",INDEX($B$8:$B$5007,$L874))</f>
        <v/>
      </c>
      <c r="O874" s="32" t="str">
        <f>IF($M874="","",IF($K874-$M874&gt;7,"",IF($M874&lt;=$A874,"",IF(OR($B874&lt;=0,$N874&lt;=0),"",($N874/$B874)^(365/($M874-$A874))-1))))</f>
        <v/>
      </c>
      <c r="P874" s="31" t="str">
        <f>IF($B874="","",IF($P873="",$B874,MAX($P873,$B874)))</f>
        <v/>
      </c>
      <c r="Q874" s="32" t="str">
        <f>IF($P874="","",$B874/$P874-1)</f>
        <v/>
      </c>
    </row>
    <row r="875">
      <c r="A875" s="11" t="n"/>
      <c r="B875" s="29" t="n"/>
      <c r="K875" s="30" t="str">
        <f>IF($A875="","",EDATE($A875,12*$E$4))</f>
        <v/>
      </c>
      <c r="L875" s="19" t="str">
        <f>IF($K875="","",IF($K875&gt;MAX($A$8:$A$5007),"",IFERROR(MATCH($K875,$A$8:$A$5007,1),"")))</f>
        <v/>
      </c>
      <c r="M875" s="30" t="str">
        <f>IF($L875="","",INDEX($A$8:$A$5007,$L875))</f>
        <v/>
      </c>
      <c r="N875" s="31" t="str">
        <f>IF($L875="","",INDEX($B$8:$B$5007,$L875))</f>
        <v/>
      </c>
      <c r="O875" s="32" t="str">
        <f>IF($M875="","",IF($K875-$M875&gt;7,"",IF($M875&lt;=$A875,"",IF(OR($B875&lt;=0,$N875&lt;=0),"",($N875/$B875)^(365/($M875-$A875))-1))))</f>
        <v/>
      </c>
      <c r="P875" s="31" t="str">
        <f>IF($B875="","",IF($P874="",$B875,MAX($P874,$B875)))</f>
        <v/>
      </c>
      <c r="Q875" s="32" t="str">
        <f>IF($P875="","",$B875/$P875-1)</f>
        <v/>
      </c>
    </row>
    <row r="876">
      <c r="A876" s="11" t="n"/>
      <c r="B876" s="29" t="n"/>
      <c r="K876" s="30" t="str">
        <f>IF($A876="","",EDATE($A876,12*$E$4))</f>
        <v/>
      </c>
      <c r="L876" s="19" t="str">
        <f>IF($K876="","",IF($K876&gt;MAX($A$8:$A$5007),"",IFERROR(MATCH($K876,$A$8:$A$5007,1),"")))</f>
        <v/>
      </c>
      <c r="M876" s="30" t="str">
        <f>IF($L876="","",INDEX($A$8:$A$5007,$L876))</f>
        <v/>
      </c>
      <c r="N876" s="31" t="str">
        <f>IF($L876="","",INDEX($B$8:$B$5007,$L876))</f>
        <v/>
      </c>
      <c r="O876" s="32" t="str">
        <f>IF($M876="","",IF($K876-$M876&gt;7,"",IF($M876&lt;=$A876,"",IF(OR($B876&lt;=0,$N876&lt;=0),"",($N876/$B876)^(365/($M876-$A876))-1))))</f>
        <v/>
      </c>
      <c r="P876" s="31" t="str">
        <f>IF($B876="","",IF($P875="",$B876,MAX($P875,$B876)))</f>
        <v/>
      </c>
      <c r="Q876" s="32" t="str">
        <f>IF($P876="","",$B876/$P876-1)</f>
        <v/>
      </c>
    </row>
    <row r="877">
      <c r="A877" s="11" t="n"/>
      <c r="B877" s="29" t="n"/>
      <c r="K877" s="30" t="str">
        <f>IF($A877="","",EDATE($A877,12*$E$4))</f>
        <v/>
      </c>
      <c r="L877" s="19" t="str">
        <f>IF($K877="","",IF($K877&gt;MAX($A$8:$A$5007),"",IFERROR(MATCH($K877,$A$8:$A$5007,1),"")))</f>
        <v/>
      </c>
      <c r="M877" s="30" t="str">
        <f>IF($L877="","",INDEX($A$8:$A$5007,$L877))</f>
        <v/>
      </c>
      <c r="N877" s="31" t="str">
        <f>IF($L877="","",INDEX($B$8:$B$5007,$L877))</f>
        <v/>
      </c>
      <c r="O877" s="32" t="str">
        <f>IF($M877="","",IF($K877-$M877&gt;7,"",IF($M877&lt;=$A877,"",IF(OR($B877&lt;=0,$N877&lt;=0),"",($N877/$B877)^(365/($M877-$A877))-1))))</f>
        <v/>
      </c>
      <c r="P877" s="31" t="str">
        <f>IF($B877="","",IF($P876="",$B877,MAX($P876,$B877)))</f>
        <v/>
      </c>
      <c r="Q877" s="32" t="str">
        <f>IF($P877="","",$B877/$P877-1)</f>
        <v/>
      </c>
    </row>
    <row r="878">
      <c r="A878" s="11" t="n"/>
      <c r="B878" s="29" t="n"/>
      <c r="K878" s="30" t="str">
        <f>IF($A878="","",EDATE($A878,12*$E$4))</f>
        <v/>
      </c>
      <c r="L878" s="19" t="str">
        <f>IF($K878="","",IF($K878&gt;MAX($A$8:$A$5007),"",IFERROR(MATCH($K878,$A$8:$A$5007,1),"")))</f>
        <v/>
      </c>
      <c r="M878" s="30" t="str">
        <f>IF($L878="","",INDEX($A$8:$A$5007,$L878))</f>
        <v/>
      </c>
      <c r="N878" s="31" t="str">
        <f>IF($L878="","",INDEX($B$8:$B$5007,$L878))</f>
        <v/>
      </c>
      <c r="O878" s="32" t="str">
        <f>IF($M878="","",IF($K878-$M878&gt;7,"",IF($M878&lt;=$A878,"",IF(OR($B878&lt;=0,$N878&lt;=0),"",($N878/$B878)^(365/($M878-$A878))-1))))</f>
        <v/>
      </c>
      <c r="P878" s="31" t="str">
        <f>IF($B878="","",IF($P877="",$B878,MAX($P877,$B878)))</f>
        <v/>
      </c>
      <c r="Q878" s="32" t="str">
        <f>IF($P878="","",$B878/$P878-1)</f>
        <v/>
      </c>
    </row>
    <row r="879">
      <c r="A879" s="11" t="n"/>
      <c r="B879" s="29" t="n"/>
      <c r="K879" s="30" t="str">
        <f>IF($A879="","",EDATE($A879,12*$E$4))</f>
        <v/>
      </c>
      <c r="L879" s="19" t="str">
        <f>IF($K879="","",IF($K879&gt;MAX($A$8:$A$5007),"",IFERROR(MATCH($K879,$A$8:$A$5007,1),"")))</f>
        <v/>
      </c>
      <c r="M879" s="30" t="str">
        <f>IF($L879="","",INDEX($A$8:$A$5007,$L879))</f>
        <v/>
      </c>
      <c r="N879" s="31" t="str">
        <f>IF($L879="","",INDEX($B$8:$B$5007,$L879))</f>
        <v/>
      </c>
      <c r="O879" s="32" t="str">
        <f>IF($M879="","",IF($K879-$M879&gt;7,"",IF($M879&lt;=$A879,"",IF(OR($B879&lt;=0,$N879&lt;=0),"",($N879/$B879)^(365/($M879-$A879))-1))))</f>
        <v/>
      </c>
      <c r="P879" s="31" t="str">
        <f>IF($B879="","",IF($P878="",$B879,MAX($P878,$B879)))</f>
        <v/>
      </c>
      <c r="Q879" s="32" t="str">
        <f>IF($P879="","",$B879/$P879-1)</f>
        <v/>
      </c>
    </row>
    <row r="880">
      <c r="A880" s="11" t="n"/>
      <c r="B880" s="29" t="n"/>
      <c r="K880" s="30" t="str">
        <f>IF($A880="","",EDATE($A880,12*$E$4))</f>
        <v/>
      </c>
      <c r="L880" s="19" t="str">
        <f>IF($K880="","",IF($K880&gt;MAX($A$8:$A$5007),"",IFERROR(MATCH($K880,$A$8:$A$5007,1),"")))</f>
        <v/>
      </c>
      <c r="M880" s="30" t="str">
        <f>IF($L880="","",INDEX($A$8:$A$5007,$L880))</f>
        <v/>
      </c>
      <c r="N880" s="31" t="str">
        <f>IF($L880="","",INDEX($B$8:$B$5007,$L880))</f>
        <v/>
      </c>
      <c r="O880" s="32" t="str">
        <f>IF($M880="","",IF($K880-$M880&gt;7,"",IF($M880&lt;=$A880,"",IF(OR($B880&lt;=0,$N880&lt;=0),"",($N880/$B880)^(365/($M880-$A880))-1))))</f>
        <v/>
      </c>
      <c r="P880" s="31" t="str">
        <f>IF($B880="","",IF($P879="",$B880,MAX($P879,$B880)))</f>
        <v/>
      </c>
      <c r="Q880" s="32" t="str">
        <f>IF($P880="","",$B880/$P880-1)</f>
        <v/>
      </c>
    </row>
    <row r="881">
      <c r="A881" s="11" t="n"/>
      <c r="B881" s="29" t="n"/>
      <c r="K881" s="30" t="str">
        <f>IF($A881="","",EDATE($A881,12*$E$4))</f>
        <v/>
      </c>
      <c r="L881" s="19" t="str">
        <f>IF($K881="","",IF($K881&gt;MAX($A$8:$A$5007),"",IFERROR(MATCH($K881,$A$8:$A$5007,1),"")))</f>
        <v/>
      </c>
      <c r="M881" s="30" t="str">
        <f>IF($L881="","",INDEX($A$8:$A$5007,$L881))</f>
        <v/>
      </c>
      <c r="N881" s="31" t="str">
        <f>IF($L881="","",INDEX($B$8:$B$5007,$L881))</f>
        <v/>
      </c>
      <c r="O881" s="32" t="str">
        <f>IF($M881="","",IF($K881-$M881&gt;7,"",IF($M881&lt;=$A881,"",IF(OR($B881&lt;=0,$N881&lt;=0),"",($N881/$B881)^(365/($M881-$A881))-1))))</f>
        <v/>
      </c>
      <c r="P881" s="31" t="str">
        <f>IF($B881="","",IF($P880="",$B881,MAX($P880,$B881)))</f>
        <v/>
      </c>
      <c r="Q881" s="32" t="str">
        <f>IF($P881="","",$B881/$P881-1)</f>
        <v/>
      </c>
    </row>
    <row r="882">
      <c r="A882" s="11" t="n"/>
      <c r="B882" s="29" t="n"/>
      <c r="K882" s="30" t="str">
        <f>IF($A882="","",EDATE($A882,12*$E$4))</f>
        <v/>
      </c>
      <c r="L882" s="19" t="str">
        <f>IF($K882="","",IF($K882&gt;MAX($A$8:$A$5007),"",IFERROR(MATCH($K882,$A$8:$A$5007,1),"")))</f>
        <v/>
      </c>
      <c r="M882" s="30" t="str">
        <f>IF($L882="","",INDEX($A$8:$A$5007,$L882))</f>
        <v/>
      </c>
      <c r="N882" s="31" t="str">
        <f>IF($L882="","",INDEX($B$8:$B$5007,$L882))</f>
        <v/>
      </c>
      <c r="O882" s="32" t="str">
        <f>IF($M882="","",IF($K882-$M882&gt;7,"",IF($M882&lt;=$A882,"",IF(OR($B882&lt;=0,$N882&lt;=0),"",($N882/$B882)^(365/($M882-$A882))-1))))</f>
        <v/>
      </c>
      <c r="P882" s="31" t="str">
        <f>IF($B882="","",IF($P881="",$B882,MAX($P881,$B882)))</f>
        <v/>
      </c>
      <c r="Q882" s="32" t="str">
        <f>IF($P882="","",$B882/$P882-1)</f>
        <v/>
      </c>
    </row>
    <row r="883">
      <c r="A883" s="11" t="n"/>
      <c r="B883" s="29" t="n"/>
      <c r="K883" s="30" t="str">
        <f>IF($A883="","",EDATE($A883,12*$E$4))</f>
        <v/>
      </c>
      <c r="L883" s="19" t="str">
        <f>IF($K883="","",IF($K883&gt;MAX($A$8:$A$5007),"",IFERROR(MATCH($K883,$A$8:$A$5007,1),"")))</f>
        <v/>
      </c>
      <c r="M883" s="30" t="str">
        <f>IF($L883="","",INDEX($A$8:$A$5007,$L883))</f>
        <v/>
      </c>
      <c r="N883" s="31" t="str">
        <f>IF($L883="","",INDEX($B$8:$B$5007,$L883))</f>
        <v/>
      </c>
      <c r="O883" s="32" t="str">
        <f>IF($M883="","",IF($K883-$M883&gt;7,"",IF($M883&lt;=$A883,"",IF(OR($B883&lt;=0,$N883&lt;=0),"",($N883/$B883)^(365/($M883-$A883))-1))))</f>
        <v/>
      </c>
      <c r="P883" s="31" t="str">
        <f>IF($B883="","",IF($P882="",$B883,MAX($P882,$B883)))</f>
        <v/>
      </c>
      <c r="Q883" s="32" t="str">
        <f>IF($P883="","",$B883/$P883-1)</f>
        <v/>
      </c>
    </row>
    <row r="884">
      <c r="A884" s="11" t="n"/>
      <c r="B884" s="29" t="n"/>
      <c r="K884" s="30" t="str">
        <f>IF($A884="","",EDATE($A884,12*$E$4))</f>
        <v/>
      </c>
      <c r="L884" s="19" t="str">
        <f>IF($K884="","",IF($K884&gt;MAX($A$8:$A$5007),"",IFERROR(MATCH($K884,$A$8:$A$5007,1),"")))</f>
        <v/>
      </c>
      <c r="M884" s="30" t="str">
        <f>IF($L884="","",INDEX($A$8:$A$5007,$L884))</f>
        <v/>
      </c>
      <c r="N884" s="31" t="str">
        <f>IF($L884="","",INDEX($B$8:$B$5007,$L884))</f>
        <v/>
      </c>
      <c r="O884" s="32" t="str">
        <f>IF($M884="","",IF($K884-$M884&gt;7,"",IF($M884&lt;=$A884,"",IF(OR($B884&lt;=0,$N884&lt;=0),"",($N884/$B884)^(365/($M884-$A884))-1))))</f>
        <v/>
      </c>
      <c r="P884" s="31" t="str">
        <f>IF($B884="","",IF($P883="",$B884,MAX($P883,$B884)))</f>
        <v/>
      </c>
      <c r="Q884" s="32" t="str">
        <f>IF($P884="","",$B884/$P884-1)</f>
        <v/>
      </c>
    </row>
    <row r="885">
      <c r="A885" s="11" t="n"/>
      <c r="B885" s="29" t="n"/>
      <c r="K885" s="30" t="str">
        <f>IF($A885="","",EDATE($A885,12*$E$4))</f>
        <v/>
      </c>
      <c r="L885" s="19" t="str">
        <f>IF($K885="","",IF($K885&gt;MAX($A$8:$A$5007),"",IFERROR(MATCH($K885,$A$8:$A$5007,1),"")))</f>
        <v/>
      </c>
      <c r="M885" s="30" t="str">
        <f>IF($L885="","",INDEX($A$8:$A$5007,$L885))</f>
        <v/>
      </c>
      <c r="N885" s="31" t="str">
        <f>IF($L885="","",INDEX($B$8:$B$5007,$L885))</f>
        <v/>
      </c>
      <c r="O885" s="32" t="str">
        <f>IF($M885="","",IF($K885-$M885&gt;7,"",IF($M885&lt;=$A885,"",IF(OR($B885&lt;=0,$N885&lt;=0),"",($N885/$B885)^(365/($M885-$A885))-1))))</f>
        <v/>
      </c>
      <c r="P885" s="31" t="str">
        <f>IF($B885="","",IF($P884="",$B885,MAX($P884,$B885)))</f>
        <v/>
      </c>
      <c r="Q885" s="32" t="str">
        <f>IF($P885="","",$B885/$P885-1)</f>
        <v/>
      </c>
    </row>
    <row r="886">
      <c r="A886" s="11" t="n"/>
      <c r="B886" s="29" t="n"/>
      <c r="K886" s="30" t="str">
        <f>IF($A886="","",EDATE($A886,12*$E$4))</f>
        <v/>
      </c>
      <c r="L886" s="19" t="str">
        <f>IF($K886="","",IF($K886&gt;MAX($A$8:$A$5007),"",IFERROR(MATCH($K886,$A$8:$A$5007,1),"")))</f>
        <v/>
      </c>
      <c r="M886" s="30" t="str">
        <f>IF($L886="","",INDEX($A$8:$A$5007,$L886))</f>
        <v/>
      </c>
      <c r="N886" s="31" t="str">
        <f>IF($L886="","",INDEX($B$8:$B$5007,$L886))</f>
        <v/>
      </c>
      <c r="O886" s="32" t="str">
        <f>IF($M886="","",IF($K886-$M886&gt;7,"",IF($M886&lt;=$A886,"",IF(OR($B886&lt;=0,$N886&lt;=0),"",($N886/$B886)^(365/($M886-$A886))-1))))</f>
        <v/>
      </c>
      <c r="P886" s="31" t="str">
        <f>IF($B886="","",IF($P885="",$B886,MAX($P885,$B886)))</f>
        <v/>
      </c>
      <c r="Q886" s="32" t="str">
        <f>IF($P886="","",$B886/$P886-1)</f>
        <v/>
      </c>
    </row>
    <row r="887">
      <c r="A887" s="11" t="n"/>
      <c r="B887" s="29" t="n"/>
      <c r="K887" s="30" t="str">
        <f>IF($A887="","",EDATE($A887,12*$E$4))</f>
        <v/>
      </c>
      <c r="L887" s="19" t="str">
        <f>IF($K887="","",IF($K887&gt;MAX($A$8:$A$5007),"",IFERROR(MATCH($K887,$A$8:$A$5007,1),"")))</f>
        <v/>
      </c>
      <c r="M887" s="30" t="str">
        <f>IF($L887="","",INDEX($A$8:$A$5007,$L887))</f>
        <v/>
      </c>
      <c r="N887" s="31" t="str">
        <f>IF($L887="","",INDEX($B$8:$B$5007,$L887))</f>
        <v/>
      </c>
      <c r="O887" s="32" t="str">
        <f>IF($M887="","",IF($K887-$M887&gt;7,"",IF($M887&lt;=$A887,"",IF(OR($B887&lt;=0,$N887&lt;=0),"",($N887/$B887)^(365/($M887-$A887))-1))))</f>
        <v/>
      </c>
      <c r="P887" s="31" t="str">
        <f>IF($B887="","",IF($P886="",$B887,MAX($P886,$B887)))</f>
        <v/>
      </c>
      <c r="Q887" s="32" t="str">
        <f>IF($P887="","",$B887/$P887-1)</f>
        <v/>
      </c>
    </row>
    <row r="888">
      <c r="A888" s="11" t="n"/>
      <c r="B888" s="29" t="n"/>
      <c r="K888" s="30" t="str">
        <f>IF($A888="","",EDATE($A888,12*$E$4))</f>
        <v/>
      </c>
      <c r="L888" s="19" t="str">
        <f>IF($K888="","",IF($K888&gt;MAX($A$8:$A$5007),"",IFERROR(MATCH($K888,$A$8:$A$5007,1),"")))</f>
        <v/>
      </c>
      <c r="M888" s="30" t="str">
        <f>IF($L888="","",INDEX($A$8:$A$5007,$L888))</f>
        <v/>
      </c>
      <c r="N888" s="31" t="str">
        <f>IF($L888="","",INDEX($B$8:$B$5007,$L888))</f>
        <v/>
      </c>
      <c r="O888" s="32" t="str">
        <f>IF($M888="","",IF($K888-$M888&gt;7,"",IF($M888&lt;=$A888,"",IF(OR($B888&lt;=0,$N888&lt;=0),"",($N888/$B888)^(365/($M888-$A888))-1))))</f>
        <v/>
      </c>
      <c r="P888" s="31" t="str">
        <f>IF($B888="","",IF($P887="",$B888,MAX($P887,$B888)))</f>
        <v/>
      </c>
      <c r="Q888" s="32" t="str">
        <f>IF($P888="","",$B888/$P888-1)</f>
        <v/>
      </c>
    </row>
    <row r="889">
      <c r="A889" s="11" t="n"/>
      <c r="B889" s="29" t="n"/>
      <c r="K889" s="30" t="str">
        <f>IF($A889="","",EDATE($A889,12*$E$4))</f>
        <v/>
      </c>
      <c r="L889" s="19" t="str">
        <f>IF($K889="","",IF($K889&gt;MAX($A$8:$A$5007),"",IFERROR(MATCH($K889,$A$8:$A$5007,1),"")))</f>
        <v/>
      </c>
      <c r="M889" s="30" t="str">
        <f>IF($L889="","",INDEX($A$8:$A$5007,$L889))</f>
        <v/>
      </c>
      <c r="N889" s="31" t="str">
        <f>IF($L889="","",INDEX($B$8:$B$5007,$L889))</f>
        <v/>
      </c>
      <c r="O889" s="32" t="str">
        <f>IF($M889="","",IF($K889-$M889&gt;7,"",IF($M889&lt;=$A889,"",IF(OR($B889&lt;=0,$N889&lt;=0),"",($N889/$B889)^(365/($M889-$A889))-1))))</f>
        <v/>
      </c>
      <c r="P889" s="31" t="str">
        <f>IF($B889="","",IF($P888="",$B889,MAX($P888,$B889)))</f>
        <v/>
      </c>
      <c r="Q889" s="32" t="str">
        <f>IF($P889="","",$B889/$P889-1)</f>
        <v/>
      </c>
    </row>
    <row r="890">
      <c r="A890" s="11" t="n"/>
      <c r="B890" s="29" t="n"/>
      <c r="K890" s="30" t="str">
        <f>IF($A890="","",EDATE($A890,12*$E$4))</f>
        <v/>
      </c>
      <c r="L890" s="19" t="str">
        <f>IF($K890="","",IF($K890&gt;MAX($A$8:$A$5007),"",IFERROR(MATCH($K890,$A$8:$A$5007,1),"")))</f>
        <v/>
      </c>
      <c r="M890" s="30" t="str">
        <f>IF($L890="","",INDEX($A$8:$A$5007,$L890))</f>
        <v/>
      </c>
      <c r="N890" s="31" t="str">
        <f>IF($L890="","",INDEX($B$8:$B$5007,$L890))</f>
        <v/>
      </c>
      <c r="O890" s="32" t="str">
        <f>IF($M890="","",IF($K890-$M890&gt;7,"",IF($M890&lt;=$A890,"",IF(OR($B890&lt;=0,$N890&lt;=0),"",($N890/$B890)^(365/($M890-$A890))-1))))</f>
        <v/>
      </c>
      <c r="P890" s="31" t="str">
        <f>IF($B890="","",IF($P889="",$B890,MAX($P889,$B890)))</f>
        <v/>
      </c>
      <c r="Q890" s="32" t="str">
        <f>IF($P890="","",$B890/$P890-1)</f>
        <v/>
      </c>
    </row>
    <row r="891">
      <c r="A891" s="11" t="n"/>
      <c r="B891" s="29" t="n"/>
      <c r="K891" s="30" t="str">
        <f>IF($A891="","",EDATE($A891,12*$E$4))</f>
        <v/>
      </c>
      <c r="L891" s="19" t="str">
        <f>IF($K891="","",IF($K891&gt;MAX($A$8:$A$5007),"",IFERROR(MATCH($K891,$A$8:$A$5007,1),"")))</f>
        <v/>
      </c>
      <c r="M891" s="30" t="str">
        <f>IF($L891="","",INDEX($A$8:$A$5007,$L891))</f>
        <v/>
      </c>
      <c r="N891" s="31" t="str">
        <f>IF($L891="","",INDEX($B$8:$B$5007,$L891))</f>
        <v/>
      </c>
      <c r="O891" s="32" t="str">
        <f>IF($M891="","",IF($K891-$M891&gt;7,"",IF($M891&lt;=$A891,"",IF(OR($B891&lt;=0,$N891&lt;=0),"",($N891/$B891)^(365/($M891-$A891))-1))))</f>
        <v/>
      </c>
      <c r="P891" s="31" t="str">
        <f>IF($B891="","",IF($P890="",$B891,MAX($P890,$B891)))</f>
        <v/>
      </c>
      <c r="Q891" s="32" t="str">
        <f>IF($P891="","",$B891/$P891-1)</f>
        <v/>
      </c>
    </row>
    <row r="892">
      <c r="A892" s="11" t="n"/>
      <c r="B892" s="29" t="n"/>
      <c r="K892" s="30" t="str">
        <f>IF($A892="","",EDATE($A892,12*$E$4))</f>
        <v/>
      </c>
      <c r="L892" s="19" t="str">
        <f>IF($K892="","",IF($K892&gt;MAX($A$8:$A$5007),"",IFERROR(MATCH($K892,$A$8:$A$5007,1),"")))</f>
        <v/>
      </c>
      <c r="M892" s="30" t="str">
        <f>IF($L892="","",INDEX($A$8:$A$5007,$L892))</f>
        <v/>
      </c>
      <c r="N892" s="31" t="str">
        <f>IF($L892="","",INDEX($B$8:$B$5007,$L892))</f>
        <v/>
      </c>
      <c r="O892" s="32" t="str">
        <f>IF($M892="","",IF($K892-$M892&gt;7,"",IF($M892&lt;=$A892,"",IF(OR($B892&lt;=0,$N892&lt;=0),"",($N892/$B892)^(365/($M892-$A892))-1))))</f>
        <v/>
      </c>
      <c r="P892" s="31" t="str">
        <f>IF($B892="","",IF($P891="",$B892,MAX($P891,$B892)))</f>
        <v/>
      </c>
      <c r="Q892" s="32" t="str">
        <f>IF($P892="","",$B892/$P892-1)</f>
        <v/>
      </c>
    </row>
    <row r="893">
      <c r="A893" s="11" t="n"/>
      <c r="B893" s="29" t="n"/>
      <c r="K893" s="30" t="str">
        <f>IF($A893="","",EDATE($A893,12*$E$4))</f>
        <v/>
      </c>
      <c r="L893" s="19" t="str">
        <f>IF($K893="","",IF($K893&gt;MAX($A$8:$A$5007),"",IFERROR(MATCH($K893,$A$8:$A$5007,1),"")))</f>
        <v/>
      </c>
      <c r="M893" s="30" t="str">
        <f>IF($L893="","",INDEX($A$8:$A$5007,$L893))</f>
        <v/>
      </c>
      <c r="N893" s="31" t="str">
        <f>IF($L893="","",INDEX($B$8:$B$5007,$L893))</f>
        <v/>
      </c>
      <c r="O893" s="32" t="str">
        <f>IF($M893="","",IF($K893-$M893&gt;7,"",IF($M893&lt;=$A893,"",IF(OR($B893&lt;=0,$N893&lt;=0),"",($N893/$B893)^(365/($M893-$A893))-1))))</f>
        <v/>
      </c>
      <c r="P893" s="31" t="str">
        <f>IF($B893="","",IF($P892="",$B893,MAX($P892,$B893)))</f>
        <v/>
      </c>
      <c r="Q893" s="32" t="str">
        <f>IF($P893="","",$B893/$P893-1)</f>
        <v/>
      </c>
    </row>
    <row r="894">
      <c r="A894" s="11" t="n"/>
      <c r="B894" s="29" t="n"/>
      <c r="K894" s="30" t="str">
        <f>IF($A894="","",EDATE($A894,12*$E$4))</f>
        <v/>
      </c>
      <c r="L894" s="19" t="str">
        <f>IF($K894="","",IF($K894&gt;MAX($A$8:$A$5007),"",IFERROR(MATCH($K894,$A$8:$A$5007,1),"")))</f>
        <v/>
      </c>
      <c r="M894" s="30" t="str">
        <f>IF($L894="","",INDEX($A$8:$A$5007,$L894))</f>
        <v/>
      </c>
      <c r="N894" s="31" t="str">
        <f>IF($L894="","",INDEX($B$8:$B$5007,$L894))</f>
        <v/>
      </c>
      <c r="O894" s="32" t="str">
        <f>IF($M894="","",IF($K894-$M894&gt;7,"",IF($M894&lt;=$A894,"",IF(OR($B894&lt;=0,$N894&lt;=0),"",($N894/$B894)^(365/($M894-$A894))-1))))</f>
        <v/>
      </c>
      <c r="P894" s="31" t="str">
        <f>IF($B894="","",IF($P893="",$B894,MAX($P893,$B894)))</f>
        <v/>
      </c>
      <c r="Q894" s="32" t="str">
        <f>IF($P894="","",$B894/$P894-1)</f>
        <v/>
      </c>
    </row>
    <row r="895">
      <c r="A895" s="11" t="n"/>
      <c r="B895" s="29" t="n"/>
      <c r="K895" s="30" t="str">
        <f>IF($A895="","",EDATE($A895,12*$E$4))</f>
        <v/>
      </c>
      <c r="L895" s="19" t="str">
        <f>IF($K895="","",IF($K895&gt;MAX($A$8:$A$5007),"",IFERROR(MATCH($K895,$A$8:$A$5007,1),"")))</f>
        <v/>
      </c>
      <c r="M895" s="30" t="str">
        <f>IF($L895="","",INDEX($A$8:$A$5007,$L895))</f>
        <v/>
      </c>
      <c r="N895" s="31" t="str">
        <f>IF($L895="","",INDEX($B$8:$B$5007,$L895))</f>
        <v/>
      </c>
      <c r="O895" s="32" t="str">
        <f>IF($M895="","",IF($K895-$M895&gt;7,"",IF($M895&lt;=$A895,"",IF(OR($B895&lt;=0,$N895&lt;=0),"",($N895/$B895)^(365/($M895-$A895))-1))))</f>
        <v/>
      </c>
      <c r="P895" s="31" t="str">
        <f>IF($B895="","",IF($P894="",$B895,MAX($P894,$B895)))</f>
        <v/>
      </c>
      <c r="Q895" s="32" t="str">
        <f>IF($P895="","",$B895/$P895-1)</f>
        <v/>
      </c>
    </row>
    <row r="896">
      <c r="A896" s="11" t="n"/>
      <c r="B896" s="29" t="n"/>
      <c r="K896" s="30" t="str">
        <f>IF($A896="","",EDATE($A896,12*$E$4))</f>
        <v/>
      </c>
      <c r="L896" s="19" t="str">
        <f>IF($K896="","",IF($K896&gt;MAX($A$8:$A$5007),"",IFERROR(MATCH($K896,$A$8:$A$5007,1),"")))</f>
        <v/>
      </c>
      <c r="M896" s="30" t="str">
        <f>IF($L896="","",INDEX($A$8:$A$5007,$L896))</f>
        <v/>
      </c>
      <c r="N896" s="31" t="str">
        <f>IF($L896="","",INDEX($B$8:$B$5007,$L896))</f>
        <v/>
      </c>
      <c r="O896" s="32" t="str">
        <f>IF($M896="","",IF($K896-$M896&gt;7,"",IF($M896&lt;=$A896,"",IF(OR($B896&lt;=0,$N896&lt;=0),"",($N896/$B896)^(365/($M896-$A896))-1))))</f>
        <v/>
      </c>
      <c r="P896" s="31" t="str">
        <f>IF($B896="","",IF($P895="",$B896,MAX($P895,$B896)))</f>
        <v/>
      </c>
      <c r="Q896" s="32" t="str">
        <f>IF($P896="","",$B896/$P896-1)</f>
        <v/>
      </c>
    </row>
    <row r="897">
      <c r="A897" s="11" t="n"/>
      <c r="B897" s="29" t="n"/>
      <c r="K897" s="30" t="str">
        <f>IF($A897="","",EDATE($A897,12*$E$4))</f>
        <v/>
      </c>
      <c r="L897" s="19" t="str">
        <f>IF($K897="","",IF($K897&gt;MAX($A$8:$A$5007),"",IFERROR(MATCH($K897,$A$8:$A$5007,1),"")))</f>
        <v/>
      </c>
      <c r="M897" s="30" t="str">
        <f>IF($L897="","",INDEX($A$8:$A$5007,$L897))</f>
        <v/>
      </c>
      <c r="N897" s="31" t="str">
        <f>IF($L897="","",INDEX($B$8:$B$5007,$L897))</f>
        <v/>
      </c>
      <c r="O897" s="32" t="str">
        <f>IF($M897="","",IF($K897-$M897&gt;7,"",IF($M897&lt;=$A897,"",IF(OR($B897&lt;=0,$N897&lt;=0),"",($N897/$B897)^(365/($M897-$A897))-1))))</f>
        <v/>
      </c>
      <c r="P897" s="31" t="str">
        <f>IF($B897="","",IF($P896="",$B897,MAX($P896,$B897)))</f>
        <v/>
      </c>
      <c r="Q897" s="32" t="str">
        <f>IF($P897="","",$B897/$P897-1)</f>
        <v/>
      </c>
    </row>
    <row r="898">
      <c r="A898" s="11" t="n"/>
      <c r="B898" s="29" t="n"/>
      <c r="K898" s="30" t="str">
        <f>IF($A898="","",EDATE($A898,12*$E$4))</f>
        <v/>
      </c>
      <c r="L898" s="19" t="str">
        <f>IF($K898="","",IF($K898&gt;MAX($A$8:$A$5007),"",IFERROR(MATCH($K898,$A$8:$A$5007,1),"")))</f>
        <v/>
      </c>
      <c r="M898" s="30" t="str">
        <f>IF($L898="","",INDEX($A$8:$A$5007,$L898))</f>
        <v/>
      </c>
      <c r="N898" s="31" t="str">
        <f>IF($L898="","",INDEX($B$8:$B$5007,$L898))</f>
        <v/>
      </c>
      <c r="O898" s="32" t="str">
        <f>IF($M898="","",IF($K898-$M898&gt;7,"",IF($M898&lt;=$A898,"",IF(OR($B898&lt;=0,$N898&lt;=0),"",($N898/$B898)^(365/($M898-$A898))-1))))</f>
        <v/>
      </c>
      <c r="P898" s="31" t="str">
        <f>IF($B898="","",IF($P897="",$B898,MAX($P897,$B898)))</f>
        <v/>
      </c>
      <c r="Q898" s="32" t="str">
        <f>IF($P898="","",$B898/$P898-1)</f>
        <v/>
      </c>
    </row>
    <row r="899">
      <c r="A899" s="11" t="n"/>
      <c r="B899" s="29" t="n"/>
      <c r="K899" s="30" t="str">
        <f>IF($A899="","",EDATE($A899,12*$E$4))</f>
        <v/>
      </c>
      <c r="L899" s="19" t="str">
        <f>IF($K899="","",IF($K899&gt;MAX($A$8:$A$5007),"",IFERROR(MATCH($K899,$A$8:$A$5007,1),"")))</f>
        <v/>
      </c>
      <c r="M899" s="30" t="str">
        <f>IF($L899="","",INDEX($A$8:$A$5007,$L899))</f>
        <v/>
      </c>
      <c r="N899" s="31" t="str">
        <f>IF($L899="","",INDEX($B$8:$B$5007,$L899))</f>
        <v/>
      </c>
      <c r="O899" s="32" t="str">
        <f>IF($M899="","",IF($K899-$M899&gt;7,"",IF($M899&lt;=$A899,"",IF(OR($B899&lt;=0,$N899&lt;=0),"",($N899/$B899)^(365/($M899-$A899))-1))))</f>
        <v/>
      </c>
      <c r="P899" s="31" t="str">
        <f>IF($B899="","",IF($P898="",$B899,MAX($P898,$B899)))</f>
        <v/>
      </c>
      <c r="Q899" s="32" t="str">
        <f>IF($P899="","",$B899/$P899-1)</f>
        <v/>
      </c>
    </row>
    <row r="900">
      <c r="A900" s="11" t="n"/>
      <c r="B900" s="29" t="n"/>
      <c r="K900" s="30" t="str">
        <f>IF($A900="","",EDATE($A900,12*$E$4))</f>
        <v/>
      </c>
      <c r="L900" s="19" t="str">
        <f>IF($K900="","",IF($K900&gt;MAX($A$8:$A$5007),"",IFERROR(MATCH($K900,$A$8:$A$5007,1),"")))</f>
        <v/>
      </c>
      <c r="M900" s="30" t="str">
        <f>IF($L900="","",INDEX($A$8:$A$5007,$L900))</f>
        <v/>
      </c>
      <c r="N900" s="31" t="str">
        <f>IF($L900="","",INDEX($B$8:$B$5007,$L900))</f>
        <v/>
      </c>
      <c r="O900" s="32" t="str">
        <f>IF($M900="","",IF($K900-$M900&gt;7,"",IF($M900&lt;=$A900,"",IF(OR($B900&lt;=0,$N900&lt;=0),"",($N900/$B900)^(365/($M900-$A900))-1))))</f>
        <v/>
      </c>
      <c r="P900" s="31" t="str">
        <f>IF($B900="","",IF($P899="",$B900,MAX($P899,$B900)))</f>
        <v/>
      </c>
      <c r="Q900" s="32" t="str">
        <f>IF($P900="","",$B900/$P900-1)</f>
        <v/>
      </c>
    </row>
    <row r="901">
      <c r="A901" s="11" t="n"/>
      <c r="B901" s="29" t="n"/>
      <c r="K901" s="30" t="str">
        <f>IF($A901="","",EDATE($A901,12*$E$4))</f>
        <v/>
      </c>
      <c r="L901" s="19" t="str">
        <f>IF($K901="","",IF($K901&gt;MAX($A$8:$A$5007),"",IFERROR(MATCH($K901,$A$8:$A$5007,1),"")))</f>
        <v/>
      </c>
      <c r="M901" s="30" t="str">
        <f>IF($L901="","",INDEX($A$8:$A$5007,$L901))</f>
        <v/>
      </c>
      <c r="N901" s="31" t="str">
        <f>IF($L901="","",INDEX($B$8:$B$5007,$L901))</f>
        <v/>
      </c>
      <c r="O901" s="32" t="str">
        <f>IF($M901="","",IF($K901-$M901&gt;7,"",IF($M901&lt;=$A901,"",IF(OR($B901&lt;=0,$N901&lt;=0),"",($N901/$B901)^(365/($M901-$A901))-1))))</f>
        <v/>
      </c>
      <c r="P901" s="31" t="str">
        <f>IF($B901="","",IF($P900="",$B901,MAX($P900,$B901)))</f>
        <v/>
      </c>
      <c r="Q901" s="32" t="str">
        <f>IF($P901="","",$B901/$P901-1)</f>
        <v/>
      </c>
    </row>
    <row r="902">
      <c r="A902" s="11" t="n"/>
      <c r="B902" s="29" t="n"/>
      <c r="K902" s="30" t="str">
        <f>IF($A902="","",EDATE($A902,12*$E$4))</f>
        <v/>
      </c>
      <c r="L902" s="19" t="str">
        <f>IF($K902="","",IF($K902&gt;MAX($A$8:$A$5007),"",IFERROR(MATCH($K902,$A$8:$A$5007,1),"")))</f>
        <v/>
      </c>
      <c r="M902" s="30" t="str">
        <f>IF($L902="","",INDEX($A$8:$A$5007,$L902))</f>
        <v/>
      </c>
      <c r="N902" s="31" t="str">
        <f>IF($L902="","",INDEX($B$8:$B$5007,$L902))</f>
        <v/>
      </c>
      <c r="O902" s="32" t="str">
        <f>IF($M902="","",IF($K902-$M902&gt;7,"",IF($M902&lt;=$A902,"",IF(OR($B902&lt;=0,$N902&lt;=0),"",($N902/$B902)^(365/($M902-$A902))-1))))</f>
        <v/>
      </c>
      <c r="P902" s="31" t="str">
        <f>IF($B902="","",IF($P901="",$B902,MAX($P901,$B902)))</f>
        <v/>
      </c>
      <c r="Q902" s="32" t="str">
        <f>IF($P902="","",$B902/$P902-1)</f>
        <v/>
      </c>
    </row>
    <row r="903">
      <c r="A903" s="11" t="n"/>
      <c r="B903" s="29" t="n"/>
      <c r="K903" s="30" t="str">
        <f>IF($A903="","",EDATE($A903,12*$E$4))</f>
        <v/>
      </c>
      <c r="L903" s="19" t="str">
        <f>IF($K903="","",IF($K903&gt;MAX($A$8:$A$5007),"",IFERROR(MATCH($K903,$A$8:$A$5007,1),"")))</f>
        <v/>
      </c>
      <c r="M903" s="30" t="str">
        <f>IF($L903="","",INDEX($A$8:$A$5007,$L903))</f>
        <v/>
      </c>
      <c r="N903" s="31" t="str">
        <f>IF($L903="","",INDEX($B$8:$B$5007,$L903))</f>
        <v/>
      </c>
      <c r="O903" s="32" t="str">
        <f>IF($M903="","",IF($K903-$M903&gt;7,"",IF($M903&lt;=$A903,"",IF(OR($B903&lt;=0,$N903&lt;=0),"",($N903/$B903)^(365/($M903-$A903))-1))))</f>
        <v/>
      </c>
      <c r="P903" s="31" t="str">
        <f>IF($B903="","",IF($P902="",$B903,MAX($P902,$B903)))</f>
        <v/>
      </c>
      <c r="Q903" s="32" t="str">
        <f>IF($P903="","",$B903/$P903-1)</f>
        <v/>
      </c>
    </row>
    <row r="904">
      <c r="A904" s="11" t="n"/>
      <c r="B904" s="29" t="n"/>
      <c r="K904" s="30" t="str">
        <f>IF($A904="","",EDATE($A904,12*$E$4))</f>
        <v/>
      </c>
      <c r="L904" s="19" t="str">
        <f>IF($K904="","",IF($K904&gt;MAX($A$8:$A$5007),"",IFERROR(MATCH($K904,$A$8:$A$5007,1),"")))</f>
        <v/>
      </c>
      <c r="M904" s="30" t="str">
        <f>IF($L904="","",INDEX($A$8:$A$5007,$L904))</f>
        <v/>
      </c>
      <c r="N904" s="31" t="str">
        <f>IF($L904="","",INDEX($B$8:$B$5007,$L904))</f>
        <v/>
      </c>
      <c r="O904" s="32" t="str">
        <f>IF($M904="","",IF($K904-$M904&gt;7,"",IF($M904&lt;=$A904,"",IF(OR($B904&lt;=0,$N904&lt;=0),"",($N904/$B904)^(365/($M904-$A904))-1))))</f>
        <v/>
      </c>
      <c r="P904" s="31" t="str">
        <f>IF($B904="","",IF($P903="",$B904,MAX($P903,$B904)))</f>
        <v/>
      </c>
      <c r="Q904" s="32" t="str">
        <f>IF($P904="","",$B904/$P904-1)</f>
        <v/>
      </c>
    </row>
    <row r="905">
      <c r="A905" s="11" t="n"/>
      <c r="B905" s="29" t="n"/>
      <c r="K905" s="30" t="str">
        <f>IF($A905="","",EDATE($A905,12*$E$4))</f>
        <v/>
      </c>
      <c r="L905" s="19" t="str">
        <f>IF($K905="","",IF($K905&gt;MAX($A$8:$A$5007),"",IFERROR(MATCH($K905,$A$8:$A$5007,1),"")))</f>
        <v/>
      </c>
      <c r="M905" s="30" t="str">
        <f>IF($L905="","",INDEX($A$8:$A$5007,$L905))</f>
        <v/>
      </c>
      <c r="N905" s="31" t="str">
        <f>IF($L905="","",INDEX($B$8:$B$5007,$L905))</f>
        <v/>
      </c>
      <c r="O905" s="32" t="str">
        <f>IF($M905="","",IF($K905-$M905&gt;7,"",IF($M905&lt;=$A905,"",IF(OR($B905&lt;=0,$N905&lt;=0),"",($N905/$B905)^(365/($M905-$A905))-1))))</f>
        <v/>
      </c>
      <c r="P905" s="31" t="str">
        <f>IF($B905="","",IF($P904="",$B905,MAX($P904,$B905)))</f>
        <v/>
      </c>
      <c r="Q905" s="32" t="str">
        <f>IF($P905="","",$B905/$P905-1)</f>
        <v/>
      </c>
    </row>
    <row r="906">
      <c r="A906" s="11" t="n"/>
      <c r="B906" s="29" t="n"/>
      <c r="K906" s="30" t="str">
        <f>IF($A906="","",EDATE($A906,12*$E$4))</f>
        <v/>
      </c>
      <c r="L906" s="19" t="str">
        <f>IF($K906="","",IF($K906&gt;MAX($A$8:$A$5007),"",IFERROR(MATCH($K906,$A$8:$A$5007,1),"")))</f>
        <v/>
      </c>
      <c r="M906" s="30" t="str">
        <f>IF($L906="","",INDEX($A$8:$A$5007,$L906))</f>
        <v/>
      </c>
      <c r="N906" s="31" t="str">
        <f>IF($L906="","",INDEX($B$8:$B$5007,$L906))</f>
        <v/>
      </c>
      <c r="O906" s="32" t="str">
        <f>IF($M906="","",IF($K906-$M906&gt;7,"",IF($M906&lt;=$A906,"",IF(OR($B906&lt;=0,$N906&lt;=0),"",($N906/$B906)^(365/($M906-$A906))-1))))</f>
        <v/>
      </c>
      <c r="P906" s="31" t="str">
        <f>IF($B906="","",IF($P905="",$B906,MAX($P905,$B906)))</f>
        <v/>
      </c>
      <c r="Q906" s="32" t="str">
        <f>IF($P906="","",$B906/$P906-1)</f>
        <v/>
      </c>
    </row>
    <row r="907">
      <c r="A907" s="11" t="n"/>
      <c r="B907" s="29" t="n"/>
      <c r="K907" s="30" t="str">
        <f>IF($A907="","",EDATE($A907,12*$E$4))</f>
        <v/>
      </c>
      <c r="L907" s="19" t="str">
        <f>IF($K907="","",IF($K907&gt;MAX($A$8:$A$5007),"",IFERROR(MATCH($K907,$A$8:$A$5007,1),"")))</f>
        <v/>
      </c>
      <c r="M907" s="30" t="str">
        <f>IF($L907="","",INDEX($A$8:$A$5007,$L907))</f>
        <v/>
      </c>
      <c r="N907" s="31" t="str">
        <f>IF($L907="","",INDEX($B$8:$B$5007,$L907))</f>
        <v/>
      </c>
      <c r="O907" s="32" t="str">
        <f>IF($M907="","",IF($K907-$M907&gt;7,"",IF($M907&lt;=$A907,"",IF(OR($B907&lt;=0,$N907&lt;=0),"",($N907/$B907)^(365/($M907-$A907))-1))))</f>
        <v/>
      </c>
      <c r="P907" s="31" t="str">
        <f>IF($B907="","",IF($P906="",$B907,MAX($P906,$B907)))</f>
        <v/>
      </c>
      <c r="Q907" s="32" t="str">
        <f>IF($P907="","",$B907/$P907-1)</f>
        <v/>
      </c>
    </row>
    <row r="908">
      <c r="A908" s="11" t="n"/>
      <c r="B908" s="29" t="n"/>
      <c r="K908" s="30" t="str">
        <f>IF($A908="","",EDATE($A908,12*$E$4))</f>
        <v/>
      </c>
      <c r="L908" s="19" t="str">
        <f>IF($K908="","",IF($K908&gt;MAX($A$8:$A$5007),"",IFERROR(MATCH($K908,$A$8:$A$5007,1),"")))</f>
        <v/>
      </c>
      <c r="M908" s="30" t="str">
        <f>IF($L908="","",INDEX($A$8:$A$5007,$L908))</f>
        <v/>
      </c>
      <c r="N908" s="31" t="str">
        <f>IF($L908="","",INDEX($B$8:$B$5007,$L908))</f>
        <v/>
      </c>
      <c r="O908" s="32" t="str">
        <f>IF($M908="","",IF($K908-$M908&gt;7,"",IF($M908&lt;=$A908,"",IF(OR($B908&lt;=0,$N908&lt;=0),"",($N908/$B908)^(365/($M908-$A908))-1))))</f>
        <v/>
      </c>
      <c r="P908" s="31" t="str">
        <f>IF($B908="","",IF($P907="",$B908,MAX($P907,$B908)))</f>
        <v/>
      </c>
      <c r="Q908" s="32" t="str">
        <f>IF($P908="","",$B908/$P908-1)</f>
        <v/>
      </c>
    </row>
    <row r="909">
      <c r="A909" s="11" t="n"/>
      <c r="B909" s="29" t="n"/>
      <c r="K909" s="30" t="str">
        <f>IF($A909="","",EDATE($A909,12*$E$4))</f>
        <v/>
      </c>
      <c r="L909" s="19" t="str">
        <f>IF($K909="","",IF($K909&gt;MAX($A$8:$A$5007),"",IFERROR(MATCH($K909,$A$8:$A$5007,1),"")))</f>
        <v/>
      </c>
      <c r="M909" s="30" t="str">
        <f>IF($L909="","",INDEX($A$8:$A$5007,$L909))</f>
        <v/>
      </c>
      <c r="N909" s="31" t="str">
        <f>IF($L909="","",INDEX($B$8:$B$5007,$L909))</f>
        <v/>
      </c>
      <c r="O909" s="32" t="str">
        <f>IF($M909="","",IF($K909-$M909&gt;7,"",IF($M909&lt;=$A909,"",IF(OR($B909&lt;=0,$N909&lt;=0),"",($N909/$B909)^(365/($M909-$A909))-1))))</f>
        <v/>
      </c>
      <c r="P909" s="31" t="str">
        <f>IF($B909="","",IF($P908="",$B909,MAX($P908,$B909)))</f>
        <v/>
      </c>
      <c r="Q909" s="32" t="str">
        <f>IF($P909="","",$B909/$P909-1)</f>
        <v/>
      </c>
    </row>
    <row r="910">
      <c r="A910" s="11" t="n"/>
      <c r="B910" s="29" t="n"/>
      <c r="K910" s="30" t="str">
        <f>IF($A910="","",EDATE($A910,12*$E$4))</f>
        <v/>
      </c>
      <c r="L910" s="19" t="str">
        <f>IF($K910="","",IF($K910&gt;MAX($A$8:$A$5007),"",IFERROR(MATCH($K910,$A$8:$A$5007,1),"")))</f>
        <v/>
      </c>
      <c r="M910" s="30" t="str">
        <f>IF($L910="","",INDEX($A$8:$A$5007,$L910))</f>
        <v/>
      </c>
      <c r="N910" s="31" t="str">
        <f>IF($L910="","",INDEX($B$8:$B$5007,$L910))</f>
        <v/>
      </c>
      <c r="O910" s="32" t="str">
        <f>IF($M910="","",IF($K910-$M910&gt;7,"",IF($M910&lt;=$A910,"",IF(OR($B910&lt;=0,$N910&lt;=0),"",($N910/$B910)^(365/($M910-$A910))-1))))</f>
        <v/>
      </c>
      <c r="P910" s="31" t="str">
        <f>IF($B910="","",IF($P909="",$B910,MAX($P909,$B910)))</f>
        <v/>
      </c>
      <c r="Q910" s="32" t="str">
        <f>IF($P910="","",$B910/$P910-1)</f>
        <v/>
      </c>
    </row>
    <row r="911">
      <c r="A911" s="11" t="n"/>
      <c r="B911" s="29" t="n"/>
      <c r="K911" s="30" t="str">
        <f>IF($A911="","",EDATE($A911,12*$E$4))</f>
        <v/>
      </c>
      <c r="L911" s="19" t="str">
        <f>IF($K911="","",IF($K911&gt;MAX($A$8:$A$5007),"",IFERROR(MATCH($K911,$A$8:$A$5007,1),"")))</f>
        <v/>
      </c>
      <c r="M911" s="30" t="str">
        <f>IF($L911="","",INDEX($A$8:$A$5007,$L911))</f>
        <v/>
      </c>
      <c r="N911" s="31" t="str">
        <f>IF($L911="","",INDEX($B$8:$B$5007,$L911))</f>
        <v/>
      </c>
      <c r="O911" s="32" t="str">
        <f>IF($M911="","",IF($K911-$M911&gt;7,"",IF($M911&lt;=$A911,"",IF(OR($B911&lt;=0,$N911&lt;=0),"",($N911/$B911)^(365/($M911-$A911))-1))))</f>
        <v/>
      </c>
      <c r="P911" s="31" t="str">
        <f>IF($B911="","",IF($P910="",$B911,MAX($P910,$B911)))</f>
        <v/>
      </c>
      <c r="Q911" s="32" t="str">
        <f>IF($P911="","",$B911/$P911-1)</f>
        <v/>
      </c>
    </row>
    <row r="912">
      <c r="A912" s="11" t="n"/>
      <c r="B912" s="29" t="n"/>
      <c r="K912" s="30" t="str">
        <f>IF($A912="","",EDATE($A912,12*$E$4))</f>
        <v/>
      </c>
      <c r="L912" s="19" t="str">
        <f>IF($K912="","",IF($K912&gt;MAX($A$8:$A$5007),"",IFERROR(MATCH($K912,$A$8:$A$5007,1),"")))</f>
        <v/>
      </c>
      <c r="M912" s="30" t="str">
        <f>IF($L912="","",INDEX($A$8:$A$5007,$L912))</f>
        <v/>
      </c>
      <c r="N912" s="31" t="str">
        <f>IF($L912="","",INDEX($B$8:$B$5007,$L912))</f>
        <v/>
      </c>
      <c r="O912" s="32" t="str">
        <f>IF($M912="","",IF($K912-$M912&gt;7,"",IF($M912&lt;=$A912,"",IF(OR($B912&lt;=0,$N912&lt;=0),"",($N912/$B912)^(365/($M912-$A912))-1))))</f>
        <v/>
      </c>
      <c r="P912" s="31" t="str">
        <f>IF($B912="","",IF($P911="",$B912,MAX($P911,$B912)))</f>
        <v/>
      </c>
      <c r="Q912" s="32" t="str">
        <f>IF($P912="","",$B912/$P912-1)</f>
        <v/>
      </c>
    </row>
    <row r="913">
      <c r="A913" s="11" t="n"/>
      <c r="B913" s="29" t="n"/>
      <c r="K913" s="30" t="str">
        <f>IF($A913="","",EDATE($A913,12*$E$4))</f>
        <v/>
      </c>
      <c r="L913" s="19" t="str">
        <f>IF($K913="","",IF($K913&gt;MAX($A$8:$A$5007),"",IFERROR(MATCH($K913,$A$8:$A$5007,1),"")))</f>
        <v/>
      </c>
      <c r="M913" s="30" t="str">
        <f>IF($L913="","",INDEX($A$8:$A$5007,$L913))</f>
        <v/>
      </c>
      <c r="N913" s="31" t="str">
        <f>IF($L913="","",INDEX($B$8:$B$5007,$L913))</f>
        <v/>
      </c>
      <c r="O913" s="32" t="str">
        <f>IF($M913="","",IF($K913-$M913&gt;7,"",IF($M913&lt;=$A913,"",IF(OR($B913&lt;=0,$N913&lt;=0),"",($N913/$B913)^(365/($M913-$A913))-1))))</f>
        <v/>
      </c>
      <c r="P913" s="31" t="str">
        <f>IF($B913="","",IF($P912="",$B913,MAX($P912,$B913)))</f>
        <v/>
      </c>
      <c r="Q913" s="32" t="str">
        <f>IF($P913="","",$B913/$P913-1)</f>
        <v/>
      </c>
    </row>
    <row r="914">
      <c r="A914" s="11" t="n"/>
      <c r="B914" s="29" t="n"/>
      <c r="K914" s="30" t="str">
        <f>IF($A914="","",EDATE($A914,12*$E$4))</f>
        <v/>
      </c>
      <c r="L914" s="19" t="str">
        <f>IF($K914="","",IF($K914&gt;MAX($A$8:$A$5007),"",IFERROR(MATCH($K914,$A$8:$A$5007,1),"")))</f>
        <v/>
      </c>
      <c r="M914" s="30" t="str">
        <f>IF($L914="","",INDEX($A$8:$A$5007,$L914))</f>
        <v/>
      </c>
      <c r="N914" s="31" t="str">
        <f>IF($L914="","",INDEX($B$8:$B$5007,$L914))</f>
        <v/>
      </c>
      <c r="O914" s="32" t="str">
        <f>IF($M914="","",IF($K914-$M914&gt;7,"",IF($M914&lt;=$A914,"",IF(OR($B914&lt;=0,$N914&lt;=0),"",($N914/$B914)^(365/($M914-$A914))-1))))</f>
        <v/>
      </c>
      <c r="P914" s="31" t="str">
        <f>IF($B914="","",IF($P913="",$B914,MAX($P913,$B914)))</f>
        <v/>
      </c>
      <c r="Q914" s="32" t="str">
        <f>IF($P914="","",$B914/$P914-1)</f>
        <v/>
      </c>
    </row>
    <row r="915">
      <c r="A915" s="11" t="n"/>
      <c r="B915" s="29" t="n"/>
      <c r="K915" s="30" t="str">
        <f>IF($A915="","",EDATE($A915,12*$E$4))</f>
        <v/>
      </c>
      <c r="L915" s="19" t="str">
        <f>IF($K915="","",IF($K915&gt;MAX($A$8:$A$5007),"",IFERROR(MATCH($K915,$A$8:$A$5007,1),"")))</f>
        <v/>
      </c>
      <c r="M915" s="30" t="str">
        <f>IF($L915="","",INDEX($A$8:$A$5007,$L915))</f>
        <v/>
      </c>
      <c r="N915" s="31" t="str">
        <f>IF($L915="","",INDEX($B$8:$B$5007,$L915))</f>
        <v/>
      </c>
      <c r="O915" s="32" t="str">
        <f>IF($M915="","",IF($K915-$M915&gt;7,"",IF($M915&lt;=$A915,"",IF(OR($B915&lt;=0,$N915&lt;=0),"",($N915/$B915)^(365/($M915-$A915))-1))))</f>
        <v/>
      </c>
      <c r="P915" s="31" t="str">
        <f>IF($B915="","",IF($P914="",$B915,MAX($P914,$B915)))</f>
        <v/>
      </c>
      <c r="Q915" s="32" t="str">
        <f>IF($P915="","",$B915/$P915-1)</f>
        <v/>
      </c>
    </row>
    <row r="916">
      <c r="A916" s="11" t="n"/>
      <c r="B916" s="29" t="n"/>
      <c r="K916" s="30" t="str">
        <f>IF($A916="","",EDATE($A916,12*$E$4))</f>
        <v/>
      </c>
      <c r="L916" s="19" t="str">
        <f>IF($K916="","",IF($K916&gt;MAX($A$8:$A$5007),"",IFERROR(MATCH($K916,$A$8:$A$5007,1),"")))</f>
        <v/>
      </c>
      <c r="M916" s="30" t="str">
        <f>IF($L916="","",INDEX($A$8:$A$5007,$L916))</f>
        <v/>
      </c>
      <c r="N916" s="31" t="str">
        <f>IF($L916="","",INDEX($B$8:$B$5007,$L916))</f>
        <v/>
      </c>
      <c r="O916" s="32" t="str">
        <f>IF($M916="","",IF($K916-$M916&gt;7,"",IF($M916&lt;=$A916,"",IF(OR($B916&lt;=0,$N916&lt;=0),"",($N916/$B916)^(365/($M916-$A916))-1))))</f>
        <v/>
      </c>
      <c r="P916" s="31" t="str">
        <f>IF($B916="","",IF($P915="",$B916,MAX($P915,$B916)))</f>
        <v/>
      </c>
      <c r="Q916" s="32" t="str">
        <f>IF($P916="","",$B916/$P916-1)</f>
        <v/>
      </c>
    </row>
    <row r="917">
      <c r="A917" s="11" t="n"/>
      <c r="B917" s="29" t="n"/>
      <c r="K917" s="30" t="str">
        <f>IF($A917="","",EDATE($A917,12*$E$4))</f>
        <v/>
      </c>
      <c r="L917" s="19" t="str">
        <f>IF($K917="","",IF($K917&gt;MAX($A$8:$A$5007),"",IFERROR(MATCH($K917,$A$8:$A$5007,1),"")))</f>
        <v/>
      </c>
      <c r="M917" s="30" t="str">
        <f>IF($L917="","",INDEX($A$8:$A$5007,$L917))</f>
        <v/>
      </c>
      <c r="N917" s="31" t="str">
        <f>IF($L917="","",INDEX($B$8:$B$5007,$L917))</f>
        <v/>
      </c>
      <c r="O917" s="32" t="str">
        <f>IF($M917="","",IF($K917-$M917&gt;7,"",IF($M917&lt;=$A917,"",IF(OR($B917&lt;=0,$N917&lt;=0),"",($N917/$B917)^(365/($M917-$A917))-1))))</f>
        <v/>
      </c>
      <c r="P917" s="31" t="str">
        <f>IF($B917="","",IF($P916="",$B917,MAX($P916,$B917)))</f>
        <v/>
      </c>
      <c r="Q917" s="32" t="str">
        <f>IF($P917="","",$B917/$P917-1)</f>
        <v/>
      </c>
    </row>
    <row r="918">
      <c r="A918" s="11" t="n"/>
      <c r="B918" s="29" t="n"/>
      <c r="K918" s="30" t="str">
        <f>IF($A918="","",EDATE($A918,12*$E$4))</f>
        <v/>
      </c>
      <c r="L918" s="19" t="str">
        <f>IF($K918="","",IF($K918&gt;MAX($A$8:$A$5007),"",IFERROR(MATCH($K918,$A$8:$A$5007,1),"")))</f>
        <v/>
      </c>
      <c r="M918" s="30" t="str">
        <f>IF($L918="","",INDEX($A$8:$A$5007,$L918))</f>
        <v/>
      </c>
      <c r="N918" s="31" t="str">
        <f>IF($L918="","",INDEX($B$8:$B$5007,$L918))</f>
        <v/>
      </c>
      <c r="O918" s="32" t="str">
        <f>IF($M918="","",IF($K918-$M918&gt;7,"",IF($M918&lt;=$A918,"",IF(OR($B918&lt;=0,$N918&lt;=0),"",($N918/$B918)^(365/($M918-$A918))-1))))</f>
        <v/>
      </c>
      <c r="P918" s="31" t="str">
        <f>IF($B918="","",IF($P917="",$B918,MAX($P917,$B918)))</f>
        <v/>
      </c>
      <c r="Q918" s="32" t="str">
        <f>IF($P918="","",$B918/$P918-1)</f>
        <v/>
      </c>
    </row>
    <row r="919">
      <c r="A919" s="11" t="n"/>
      <c r="B919" s="29" t="n"/>
      <c r="K919" s="30" t="str">
        <f>IF($A919="","",EDATE($A919,12*$E$4))</f>
        <v/>
      </c>
      <c r="L919" s="19" t="str">
        <f>IF($K919="","",IF($K919&gt;MAX($A$8:$A$5007),"",IFERROR(MATCH($K919,$A$8:$A$5007,1),"")))</f>
        <v/>
      </c>
      <c r="M919" s="30" t="str">
        <f>IF($L919="","",INDEX($A$8:$A$5007,$L919))</f>
        <v/>
      </c>
      <c r="N919" s="31" t="str">
        <f>IF($L919="","",INDEX($B$8:$B$5007,$L919))</f>
        <v/>
      </c>
      <c r="O919" s="32" t="str">
        <f>IF($M919="","",IF($K919-$M919&gt;7,"",IF($M919&lt;=$A919,"",IF(OR($B919&lt;=0,$N919&lt;=0),"",($N919/$B919)^(365/($M919-$A919))-1))))</f>
        <v/>
      </c>
      <c r="P919" s="31" t="str">
        <f>IF($B919="","",IF($P918="",$B919,MAX($P918,$B919)))</f>
        <v/>
      </c>
      <c r="Q919" s="32" t="str">
        <f>IF($P919="","",$B919/$P919-1)</f>
        <v/>
      </c>
    </row>
    <row r="920">
      <c r="A920" s="11" t="n"/>
      <c r="B920" s="29" t="n"/>
      <c r="K920" s="30" t="str">
        <f>IF($A920="","",EDATE($A920,12*$E$4))</f>
        <v/>
      </c>
      <c r="L920" s="19" t="str">
        <f>IF($K920="","",IF($K920&gt;MAX($A$8:$A$5007),"",IFERROR(MATCH($K920,$A$8:$A$5007,1),"")))</f>
        <v/>
      </c>
      <c r="M920" s="30" t="str">
        <f>IF($L920="","",INDEX($A$8:$A$5007,$L920))</f>
        <v/>
      </c>
      <c r="N920" s="31" t="str">
        <f>IF($L920="","",INDEX($B$8:$B$5007,$L920))</f>
        <v/>
      </c>
      <c r="O920" s="32" t="str">
        <f>IF($M920="","",IF($K920-$M920&gt;7,"",IF($M920&lt;=$A920,"",IF(OR($B920&lt;=0,$N920&lt;=0),"",($N920/$B920)^(365/($M920-$A920))-1))))</f>
        <v/>
      </c>
      <c r="P920" s="31" t="str">
        <f>IF($B920="","",IF($P919="",$B920,MAX($P919,$B920)))</f>
        <v/>
      </c>
      <c r="Q920" s="32" t="str">
        <f>IF($P920="","",$B920/$P920-1)</f>
        <v/>
      </c>
    </row>
    <row r="921">
      <c r="A921" s="11" t="n"/>
      <c r="B921" s="29" t="n"/>
      <c r="K921" s="30" t="str">
        <f>IF($A921="","",EDATE($A921,12*$E$4))</f>
        <v/>
      </c>
      <c r="L921" s="19" t="str">
        <f>IF($K921="","",IF($K921&gt;MAX($A$8:$A$5007),"",IFERROR(MATCH($K921,$A$8:$A$5007,1),"")))</f>
        <v/>
      </c>
      <c r="M921" s="30" t="str">
        <f>IF($L921="","",INDEX($A$8:$A$5007,$L921))</f>
        <v/>
      </c>
      <c r="N921" s="31" t="str">
        <f>IF($L921="","",INDEX($B$8:$B$5007,$L921))</f>
        <v/>
      </c>
      <c r="O921" s="32" t="str">
        <f>IF($M921="","",IF($K921-$M921&gt;7,"",IF($M921&lt;=$A921,"",IF(OR($B921&lt;=0,$N921&lt;=0),"",($N921/$B921)^(365/($M921-$A921))-1))))</f>
        <v/>
      </c>
      <c r="P921" s="31" t="str">
        <f>IF($B921="","",IF($P920="",$B921,MAX($P920,$B921)))</f>
        <v/>
      </c>
      <c r="Q921" s="32" t="str">
        <f>IF($P921="","",$B921/$P921-1)</f>
        <v/>
      </c>
    </row>
    <row r="922">
      <c r="A922" s="11" t="n"/>
      <c r="B922" s="29" t="n"/>
      <c r="K922" s="30" t="str">
        <f>IF($A922="","",EDATE($A922,12*$E$4))</f>
        <v/>
      </c>
      <c r="L922" s="19" t="str">
        <f>IF($K922="","",IF($K922&gt;MAX($A$8:$A$5007),"",IFERROR(MATCH($K922,$A$8:$A$5007,1),"")))</f>
        <v/>
      </c>
      <c r="M922" s="30" t="str">
        <f>IF($L922="","",INDEX($A$8:$A$5007,$L922))</f>
        <v/>
      </c>
      <c r="N922" s="31" t="str">
        <f>IF($L922="","",INDEX($B$8:$B$5007,$L922))</f>
        <v/>
      </c>
      <c r="O922" s="32" t="str">
        <f>IF($M922="","",IF($K922-$M922&gt;7,"",IF($M922&lt;=$A922,"",IF(OR($B922&lt;=0,$N922&lt;=0),"",($N922/$B922)^(365/($M922-$A922))-1))))</f>
        <v/>
      </c>
      <c r="P922" s="31" t="str">
        <f>IF($B922="","",IF($P921="",$B922,MAX($P921,$B922)))</f>
        <v/>
      </c>
      <c r="Q922" s="32" t="str">
        <f>IF($P922="","",$B922/$P922-1)</f>
        <v/>
      </c>
    </row>
    <row r="923">
      <c r="A923" s="11" t="n"/>
      <c r="B923" s="29" t="n"/>
      <c r="K923" s="30" t="str">
        <f>IF($A923="","",EDATE($A923,12*$E$4))</f>
        <v/>
      </c>
      <c r="L923" s="19" t="str">
        <f>IF($K923="","",IF($K923&gt;MAX($A$8:$A$5007),"",IFERROR(MATCH($K923,$A$8:$A$5007,1),"")))</f>
        <v/>
      </c>
      <c r="M923" s="30" t="str">
        <f>IF($L923="","",INDEX($A$8:$A$5007,$L923))</f>
        <v/>
      </c>
      <c r="N923" s="31" t="str">
        <f>IF($L923="","",INDEX($B$8:$B$5007,$L923))</f>
        <v/>
      </c>
      <c r="O923" s="32" t="str">
        <f>IF($M923="","",IF($K923-$M923&gt;7,"",IF($M923&lt;=$A923,"",IF(OR($B923&lt;=0,$N923&lt;=0),"",($N923/$B923)^(365/($M923-$A923))-1))))</f>
        <v/>
      </c>
      <c r="P923" s="31" t="str">
        <f>IF($B923="","",IF($P922="",$B923,MAX($P922,$B923)))</f>
        <v/>
      </c>
      <c r="Q923" s="32" t="str">
        <f>IF($P923="","",$B923/$P923-1)</f>
        <v/>
      </c>
    </row>
    <row r="924">
      <c r="A924" s="11" t="n"/>
      <c r="B924" s="29" t="n"/>
      <c r="K924" s="30" t="str">
        <f>IF($A924="","",EDATE($A924,12*$E$4))</f>
        <v/>
      </c>
      <c r="L924" s="19" t="str">
        <f>IF($K924="","",IF($K924&gt;MAX($A$8:$A$5007),"",IFERROR(MATCH($K924,$A$8:$A$5007,1),"")))</f>
        <v/>
      </c>
      <c r="M924" s="30" t="str">
        <f>IF($L924="","",INDEX($A$8:$A$5007,$L924))</f>
        <v/>
      </c>
      <c r="N924" s="31" t="str">
        <f>IF($L924="","",INDEX($B$8:$B$5007,$L924))</f>
        <v/>
      </c>
      <c r="O924" s="32" t="str">
        <f>IF($M924="","",IF($K924-$M924&gt;7,"",IF($M924&lt;=$A924,"",IF(OR($B924&lt;=0,$N924&lt;=0),"",($N924/$B924)^(365/($M924-$A924))-1))))</f>
        <v/>
      </c>
      <c r="P924" s="31" t="str">
        <f>IF($B924="","",IF($P923="",$B924,MAX($P923,$B924)))</f>
        <v/>
      </c>
      <c r="Q924" s="32" t="str">
        <f>IF($P924="","",$B924/$P924-1)</f>
        <v/>
      </c>
    </row>
    <row r="925">
      <c r="A925" s="11" t="n"/>
      <c r="B925" s="29" t="n"/>
      <c r="K925" s="30" t="str">
        <f>IF($A925="","",EDATE($A925,12*$E$4))</f>
        <v/>
      </c>
      <c r="L925" s="19" t="str">
        <f>IF($K925="","",IF($K925&gt;MAX($A$8:$A$5007),"",IFERROR(MATCH($K925,$A$8:$A$5007,1),"")))</f>
        <v/>
      </c>
      <c r="M925" s="30" t="str">
        <f>IF($L925="","",INDEX($A$8:$A$5007,$L925))</f>
        <v/>
      </c>
      <c r="N925" s="31" t="str">
        <f>IF($L925="","",INDEX($B$8:$B$5007,$L925))</f>
        <v/>
      </c>
      <c r="O925" s="32" t="str">
        <f>IF($M925="","",IF($K925-$M925&gt;7,"",IF($M925&lt;=$A925,"",IF(OR($B925&lt;=0,$N925&lt;=0),"",($N925/$B925)^(365/($M925-$A925))-1))))</f>
        <v/>
      </c>
      <c r="P925" s="31" t="str">
        <f>IF($B925="","",IF($P924="",$B925,MAX($P924,$B925)))</f>
        <v/>
      </c>
      <c r="Q925" s="32" t="str">
        <f>IF($P925="","",$B925/$P925-1)</f>
        <v/>
      </c>
    </row>
    <row r="926">
      <c r="A926" s="11" t="n"/>
      <c r="B926" s="29" t="n"/>
      <c r="K926" s="30" t="str">
        <f>IF($A926="","",EDATE($A926,12*$E$4))</f>
        <v/>
      </c>
      <c r="L926" s="19" t="str">
        <f>IF($K926="","",IF($K926&gt;MAX($A$8:$A$5007),"",IFERROR(MATCH($K926,$A$8:$A$5007,1),"")))</f>
        <v/>
      </c>
      <c r="M926" s="30" t="str">
        <f>IF($L926="","",INDEX($A$8:$A$5007,$L926))</f>
        <v/>
      </c>
      <c r="N926" s="31" t="str">
        <f>IF($L926="","",INDEX($B$8:$B$5007,$L926))</f>
        <v/>
      </c>
      <c r="O926" s="32" t="str">
        <f>IF($M926="","",IF($K926-$M926&gt;7,"",IF($M926&lt;=$A926,"",IF(OR($B926&lt;=0,$N926&lt;=0),"",($N926/$B926)^(365/($M926-$A926))-1))))</f>
        <v/>
      </c>
      <c r="P926" s="31" t="str">
        <f>IF($B926="","",IF($P925="",$B926,MAX($P925,$B926)))</f>
        <v/>
      </c>
      <c r="Q926" s="32" t="str">
        <f>IF($P926="","",$B926/$P926-1)</f>
        <v/>
      </c>
    </row>
    <row r="927">
      <c r="A927" s="11" t="n"/>
      <c r="B927" s="29" t="n"/>
      <c r="K927" s="30" t="str">
        <f>IF($A927="","",EDATE($A927,12*$E$4))</f>
        <v/>
      </c>
      <c r="L927" s="19" t="str">
        <f>IF($K927="","",IF($K927&gt;MAX($A$8:$A$5007),"",IFERROR(MATCH($K927,$A$8:$A$5007,1),"")))</f>
        <v/>
      </c>
      <c r="M927" s="30" t="str">
        <f>IF($L927="","",INDEX($A$8:$A$5007,$L927))</f>
        <v/>
      </c>
      <c r="N927" s="31" t="str">
        <f>IF($L927="","",INDEX($B$8:$B$5007,$L927))</f>
        <v/>
      </c>
      <c r="O927" s="32" t="str">
        <f>IF($M927="","",IF($K927-$M927&gt;7,"",IF($M927&lt;=$A927,"",IF(OR($B927&lt;=0,$N927&lt;=0),"",($N927/$B927)^(365/($M927-$A927))-1))))</f>
        <v/>
      </c>
      <c r="P927" s="31" t="str">
        <f>IF($B927="","",IF($P926="",$B927,MAX($P926,$B927)))</f>
        <v/>
      </c>
      <c r="Q927" s="32" t="str">
        <f>IF($P927="","",$B927/$P927-1)</f>
        <v/>
      </c>
    </row>
    <row r="928">
      <c r="A928" s="11" t="n"/>
      <c r="B928" s="29" t="n"/>
      <c r="K928" s="30" t="str">
        <f>IF($A928="","",EDATE($A928,12*$E$4))</f>
        <v/>
      </c>
      <c r="L928" s="19" t="str">
        <f>IF($K928="","",IF($K928&gt;MAX($A$8:$A$5007),"",IFERROR(MATCH($K928,$A$8:$A$5007,1),"")))</f>
        <v/>
      </c>
      <c r="M928" s="30" t="str">
        <f>IF($L928="","",INDEX($A$8:$A$5007,$L928))</f>
        <v/>
      </c>
      <c r="N928" s="31" t="str">
        <f>IF($L928="","",INDEX($B$8:$B$5007,$L928))</f>
        <v/>
      </c>
      <c r="O928" s="32" t="str">
        <f>IF($M928="","",IF($K928-$M928&gt;7,"",IF($M928&lt;=$A928,"",IF(OR($B928&lt;=0,$N928&lt;=0),"",($N928/$B928)^(365/($M928-$A928))-1))))</f>
        <v/>
      </c>
      <c r="P928" s="31" t="str">
        <f>IF($B928="","",IF($P927="",$B928,MAX($P927,$B928)))</f>
        <v/>
      </c>
      <c r="Q928" s="32" t="str">
        <f>IF($P928="","",$B928/$P928-1)</f>
        <v/>
      </c>
    </row>
    <row r="929">
      <c r="A929" s="11" t="n"/>
      <c r="B929" s="29" t="n"/>
      <c r="K929" s="30" t="str">
        <f>IF($A929="","",EDATE($A929,12*$E$4))</f>
        <v/>
      </c>
      <c r="L929" s="19" t="str">
        <f>IF($K929="","",IF($K929&gt;MAX($A$8:$A$5007),"",IFERROR(MATCH($K929,$A$8:$A$5007,1),"")))</f>
        <v/>
      </c>
      <c r="M929" s="30" t="str">
        <f>IF($L929="","",INDEX($A$8:$A$5007,$L929))</f>
        <v/>
      </c>
      <c r="N929" s="31" t="str">
        <f>IF($L929="","",INDEX($B$8:$B$5007,$L929))</f>
        <v/>
      </c>
      <c r="O929" s="32" t="str">
        <f>IF($M929="","",IF($K929-$M929&gt;7,"",IF($M929&lt;=$A929,"",IF(OR($B929&lt;=0,$N929&lt;=0),"",($N929/$B929)^(365/($M929-$A929))-1))))</f>
        <v/>
      </c>
      <c r="P929" s="31" t="str">
        <f>IF($B929="","",IF($P928="",$B929,MAX($P928,$B929)))</f>
        <v/>
      </c>
      <c r="Q929" s="32" t="str">
        <f>IF($P929="","",$B929/$P929-1)</f>
        <v/>
      </c>
    </row>
    <row r="930">
      <c r="A930" s="11" t="n"/>
      <c r="B930" s="29" t="n"/>
      <c r="K930" s="30" t="str">
        <f>IF($A930="","",EDATE($A930,12*$E$4))</f>
        <v/>
      </c>
      <c r="L930" s="19" t="str">
        <f>IF($K930="","",IF($K930&gt;MAX($A$8:$A$5007),"",IFERROR(MATCH($K930,$A$8:$A$5007,1),"")))</f>
        <v/>
      </c>
      <c r="M930" s="30" t="str">
        <f>IF($L930="","",INDEX($A$8:$A$5007,$L930))</f>
        <v/>
      </c>
      <c r="N930" s="31" t="str">
        <f>IF($L930="","",INDEX($B$8:$B$5007,$L930))</f>
        <v/>
      </c>
      <c r="O930" s="32" t="str">
        <f>IF($M930="","",IF($K930-$M930&gt;7,"",IF($M930&lt;=$A930,"",IF(OR($B930&lt;=0,$N930&lt;=0),"",($N930/$B930)^(365/($M930-$A930))-1))))</f>
        <v/>
      </c>
      <c r="P930" s="31" t="str">
        <f>IF($B930="","",IF($P929="",$B930,MAX($P929,$B930)))</f>
        <v/>
      </c>
      <c r="Q930" s="32" t="str">
        <f>IF($P930="","",$B930/$P930-1)</f>
        <v/>
      </c>
    </row>
    <row r="931">
      <c r="A931" s="11" t="n"/>
      <c r="B931" s="29" t="n"/>
      <c r="K931" s="30" t="str">
        <f>IF($A931="","",EDATE($A931,12*$E$4))</f>
        <v/>
      </c>
      <c r="L931" s="19" t="str">
        <f>IF($K931="","",IF($K931&gt;MAX($A$8:$A$5007),"",IFERROR(MATCH($K931,$A$8:$A$5007,1),"")))</f>
        <v/>
      </c>
      <c r="M931" s="30" t="str">
        <f>IF($L931="","",INDEX($A$8:$A$5007,$L931))</f>
        <v/>
      </c>
      <c r="N931" s="31" t="str">
        <f>IF($L931="","",INDEX($B$8:$B$5007,$L931))</f>
        <v/>
      </c>
      <c r="O931" s="32" t="str">
        <f>IF($M931="","",IF($K931-$M931&gt;7,"",IF($M931&lt;=$A931,"",IF(OR($B931&lt;=0,$N931&lt;=0),"",($N931/$B931)^(365/($M931-$A931))-1))))</f>
        <v/>
      </c>
      <c r="P931" s="31" t="str">
        <f>IF($B931="","",IF($P930="",$B931,MAX($P930,$B931)))</f>
        <v/>
      </c>
      <c r="Q931" s="32" t="str">
        <f>IF($P931="","",$B931/$P931-1)</f>
        <v/>
      </c>
    </row>
    <row r="932">
      <c r="A932" s="11" t="n"/>
      <c r="B932" s="29" t="n"/>
      <c r="K932" s="30" t="str">
        <f>IF($A932="","",EDATE($A932,12*$E$4))</f>
        <v/>
      </c>
      <c r="L932" s="19" t="str">
        <f>IF($K932="","",IF($K932&gt;MAX($A$8:$A$5007),"",IFERROR(MATCH($K932,$A$8:$A$5007,1),"")))</f>
        <v/>
      </c>
      <c r="M932" s="30" t="str">
        <f>IF($L932="","",INDEX($A$8:$A$5007,$L932))</f>
        <v/>
      </c>
      <c r="N932" s="31" t="str">
        <f>IF($L932="","",INDEX($B$8:$B$5007,$L932))</f>
        <v/>
      </c>
      <c r="O932" s="32" t="str">
        <f>IF($M932="","",IF($K932-$M932&gt;7,"",IF($M932&lt;=$A932,"",IF(OR($B932&lt;=0,$N932&lt;=0),"",($N932/$B932)^(365/($M932-$A932))-1))))</f>
        <v/>
      </c>
      <c r="P932" s="31" t="str">
        <f>IF($B932="","",IF($P931="",$B932,MAX($P931,$B932)))</f>
        <v/>
      </c>
      <c r="Q932" s="32" t="str">
        <f>IF($P932="","",$B932/$P932-1)</f>
        <v/>
      </c>
    </row>
    <row r="933">
      <c r="A933" s="11" t="n"/>
      <c r="B933" s="29" t="n"/>
      <c r="K933" s="30" t="str">
        <f>IF($A933="","",EDATE($A933,12*$E$4))</f>
        <v/>
      </c>
      <c r="L933" s="19" t="str">
        <f>IF($K933="","",IF($K933&gt;MAX($A$8:$A$5007),"",IFERROR(MATCH($K933,$A$8:$A$5007,1),"")))</f>
        <v/>
      </c>
      <c r="M933" s="30" t="str">
        <f>IF($L933="","",INDEX($A$8:$A$5007,$L933))</f>
        <v/>
      </c>
      <c r="N933" s="31" t="str">
        <f>IF($L933="","",INDEX($B$8:$B$5007,$L933))</f>
        <v/>
      </c>
      <c r="O933" s="32" t="str">
        <f>IF($M933="","",IF($K933-$M933&gt;7,"",IF($M933&lt;=$A933,"",IF(OR($B933&lt;=0,$N933&lt;=0),"",($N933/$B933)^(365/($M933-$A933))-1))))</f>
        <v/>
      </c>
      <c r="P933" s="31" t="str">
        <f>IF($B933="","",IF($P932="",$B933,MAX($P932,$B933)))</f>
        <v/>
      </c>
      <c r="Q933" s="32" t="str">
        <f>IF($P933="","",$B933/$P933-1)</f>
        <v/>
      </c>
    </row>
    <row r="934">
      <c r="A934" s="11" t="n"/>
      <c r="B934" s="29" t="n"/>
      <c r="K934" s="30" t="str">
        <f>IF($A934="","",EDATE($A934,12*$E$4))</f>
        <v/>
      </c>
      <c r="L934" s="19" t="str">
        <f>IF($K934="","",IF($K934&gt;MAX($A$8:$A$5007),"",IFERROR(MATCH($K934,$A$8:$A$5007,1),"")))</f>
        <v/>
      </c>
      <c r="M934" s="30" t="str">
        <f>IF($L934="","",INDEX($A$8:$A$5007,$L934))</f>
        <v/>
      </c>
      <c r="N934" s="31" t="str">
        <f>IF($L934="","",INDEX($B$8:$B$5007,$L934))</f>
        <v/>
      </c>
      <c r="O934" s="32" t="str">
        <f>IF($M934="","",IF($K934-$M934&gt;7,"",IF($M934&lt;=$A934,"",IF(OR($B934&lt;=0,$N934&lt;=0),"",($N934/$B934)^(365/($M934-$A934))-1))))</f>
        <v/>
      </c>
      <c r="P934" s="31" t="str">
        <f>IF($B934="","",IF($P933="",$B934,MAX($P933,$B934)))</f>
        <v/>
      </c>
      <c r="Q934" s="32" t="str">
        <f>IF($P934="","",$B934/$P934-1)</f>
        <v/>
      </c>
    </row>
    <row r="935">
      <c r="A935" s="11" t="n"/>
      <c r="B935" s="29" t="n"/>
      <c r="K935" s="30" t="str">
        <f>IF($A935="","",EDATE($A935,12*$E$4))</f>
        <v/>
      </c>
      <c r="L935" s="19" t="str">
        <f>IF($K935="","",IF($K935&gt;MAX($A$8:$A$5007),"",IFERROR(MATCH($K935,$A$8:$A$5007,1),"")))</f>
        <v/>
      </c>
      <c r="M935" s="30" t="str">
        <f>IF($L935="","",INDEX($A$8:$A$5007,$L935))</f>
        <v/>
      </c>
      <c r="N935" s="31" t="str">
        <f>IF($L935="","",INDEX($B$8:$B$5007,$L935))</f>
        <v/>
      </c>
      <c r="O935" s="32" t="str">
        <f>IF($M935="","",IF($K935-$M935&gt;7,"",IF($M935&lt;=$A935,"",IF(OR($B935&lt;=0,$N935&lt;=0),"",($N935/$B935)^(365/($M935-$A935))-1))))</f>
        <v/>
      </c>
      <c r="P935" s="31" t="str">
        <f>IF($B935="","",IF($P934="",$B935,MAX($P934,$B935)))</f>
        <v/>
      </c>
      <c r="Q935" s="32" t="str">
        <f>IF($P935="","",$B935/$P935-1)</f>
        <v/>
      </c>
    </row>
    <row r="936">
      <c r="A936" s="11" t="n"/>
      <c r="B936" s="29" t="n"/>
      <c r="K936" s="30" t="str">
        <f>IF($A936="","",EDATE($A936,12*$E$4))</f>
        <v/>
      </c>
      <c r="L936" s="19" t="str">
        <f>IF($K936="","",IF($K936&gt;MAX($A$8:$A$5007),"",IFERROR(MATCH($K936,$A$8:$A$5007,1),"")))</f>
        <v/>
      </c>
      <c r="M936" s="30" t="str">
        <f>IF($L936="","",INDEX($A$8:$A$5007,$L936))</f>
        <v/>
      </c>
      <c r="N936" s="31" t="str">
        <f>IF($L936="","",INDEX($B$8:$B$5007,$L936))</f>
        <v/>
      </c>
      <c r="O936" s="32" t="str">
        <f>IF($M936="","",IF($K936-$M936&gt;7,"",IF($M936&lt;=$A936,"",IF(OR($B936&lt;=0,$N936&lt;=0),"",($N936/$B936)^(365/($M936-$A936))-1))))</f>
        <v/>
      </c>
      <c r="P936" s="31" t="str">
        <f>IF($B936="","",IF($P935="",$B936,MAX($P935,$B936)))</f>
        <v/>
      </c>
      <c r="Q936" s="32" t="str">
        <f>IF($P936="","",$B936/$P936-1)</f>
        <v/>
      </c>
    </row>
    <row r="937">
      <c r="A937" s="11" t="n"/>
      <c r="B937" s="29" t="n"/>
      <c r="K937" s="30" t="str">
        <f>IF($A937="","",EDATE($A937,12*$E$4))</f>
        <v/>
      </c>
      <c r="L937" s="19" t="str">
        <f>IF($K937="","",IF($K937&gt;MAX($A$8:$A$5007),"",IFERROR(MATCH($K937,$A$8:$A$5007,1),"")))</f>
        <v/>
      </c>
      <c r="M937" s="30" t="str">
        <f>IF($L937="","",INDEX($A$8:$A$5007,$L937))</f>
        <v/>
      </c>
      <c r="N937" s="31" t="str">
        <f>IF($L937="","",INDEX($B$8:$B$5007,$L937))</f>
        <v/>
      </c>
      <c r="O937" s="32" t="str">
        <f>IF($M937="","",IF($K937-$M937&gt;7,"",IF($M937&lt;=$A937,"",IF(OR($B937&lt;=0,$N937&lt;=0),"",($N937/$B937)^(365/($M937-$A937))-1))))</f>
        <v/>
      </c>
      <c r="P937" s="31" t="str">
        <f>IF($B937="","",IF($P936="",$B937,MAX($P936,$B937)))</f>
        <v/>
      </c>
      <c r="Q937" s="32" t="str">
        <f>IF($P937="","",$B937/$P937-1)</f>
        <v/>
      </c>
    </row>
    <row r="938">
      <c r="A938" s="11" t="n"/>
      <c r="B938" s="29" t="n"/>
      <c r="K938" s="30" t="str">
        <f>IF($A938="","",EDATE($A938,12*$E$4))</f>
        <v/>
      </c>
      <c r="L938" s="19" t="str">
        <f>IF($K938="","",IF($K938&gt;MAX($A$8:$A$5007),"",IFERROR(MATCH($K938,$A$8:$A$5007,1),"")))</f>
        <v/>
      </c>
      <c r="M938" s="30" t="str">
        <f>IF($L938="","",INDEX($A$8:$A$5007,$L938))</f>
        <v/>
      </c>
      <c r="N938" s="31" t="str">
        <f>IF($L938="","",INDEX($B$8:$B$5007,$L938))</f>
        <v/>
      </c>
      <c r="O938" s="32" t="str">
        <f>IF($M938="","",IF($K938-$M938&gt;7,"",IF($M938&lt;=$A938,"",IF(OR($B938&lt;=0,$N938&lt;=0),"",($N938/$B938)^(365/($M938-$A938))-1))))</f>
        <v/>
      </c>
      <c r="P938" s="31" t="str">
        <f>IF($B938="","",IF($P937="",$B938,MAX($P937,$B938)))</f>
        <v/>
      </c>
      <c r="Q938" s="32" t="str">
        <f>IF($P938="","",$B938/$P938-1)</f>
        <v/>
      </c>
    </row>
    <row r="939">
      <c r="A939" s="11" t="n"/>
      <c r="B939" s="29" t="n"/>
      <c r="K939" s="30" t="str">
        <f>IF($A939="","",EDATE($A939,12*$E$4))</f>
        <v/>
      </c>
      <c r="L939" s="19" t="str">
        <f>IF($K939="","",IF($K939&gt;MAX($A$8:$A$5007),"",IFERROR(MATCH($K939,$A$8:$A$5007,1),"")))</f>
        <v/>
      </c>
      <c r="M939" s="30" t="str">
        <f>IF($L939="","",INDEX($A$8:$A$5007,$L939))</f>
        <v/>
      </c>
      <c r="N939" s="31" t="str">
        <f>IF($L939="","",INDEX($B$8:$B$5007,$L939))</f>
        <v/>
      </c>
      <c r="O939" s="32" t="str">
        <f>IF($M939="","",IF($K939-$M939&gt;7,"",IF($M939&lt;=$A939,"",IF(OR($B939&lt;=0,$N939&lt;=0),"",($N939/$B939)^(365/($M939-$A939))-1))))</f>
        <v/>
      </c>
      <c r="P939" s="31" t="str">
        <f>IF($B939="","",IF($P938="",$B939,MAX($P938,$B939)))</f>
        <v/>
      </c>
      <c r="Q939" s="32" t="str">
        <f>IF($P939="","",$B939/$P939-1)</f>
        <v/>
      </c>
    </row>
    <row r="940">
      <c r="A940" s="11" t="n"/>
      <c r="B940" s="29" t="n"/>
      <c r="K940" s="30" t="str">
        <f>IF($A940="","",EDATE($A940,12*$E$4))</f>
        <v/>
      </c>
      <c r="L940" s="19" t="str">
        <f>IF($K940="","",IF($K940&gt;MAX($A$8:$A$5007),"",IFERROR(MATCH($K940,$A$8:$A$5007,1),"")))</f>
        <v/>
      </c>
      <c r="M940" s="30" t="str">
        <f>IF($L940="","",INDEX($A$8:$A$5007,$L940))</f>
        <v/>
      </c>
      <c r="N940" s="31" t="str">
        <f>IF($L940="","",INDEX($B$8:$B$5007,$L940))</f>
        <v/>
      </c>
      <c r="O940" s="32" t="str">
        <f>IF($M940="","",IF($K940-$M940&gt;7,"",IF($M940&lt;=$A940,"",IF(OR($B940&lt;=0,$N940&lt;=0),"",($N940/$B940)^(365/($M940-$A940))-1))))</f>
        <v/>
      </c>
      <c r="P940" s="31" t="str">
        <f>IF($B940="","",IF($P939="",$B940,MAX($P939,$B940)))</f>
        <v/>
      </c>
      <c r="Q940" s="32" t="str">
        <f>IF($P940="","",$B940/$P940-1)</f>
        <v/>
      </c>
    </row>
    <row r="941">
      <c r="A941" s="11" t="n"/>
      <c r="B941" s="29" t="n"/>
      <c r="K941" s="30" t="str">
        <f>IF($A941="","",EDATE($A941,12*$E$4))</f>
        <v/>
      </c>
      <c r="L941" s="19" t="str">
        <f>IF($K941="","",IF($K941&gt;MAX($A$8:$A$5007),"",IFERROR(MATCH($K941,$A$8:$A$5007,1),"")))</f>
        <v/>
      </c>
      <c r="M941" s="30" t="str">
        <f>IF($L941="","",INDEX($A$8:$A$5007,$L941))</f>
        <v/>
      </c>
      <c r="N941" s="31" t="str">
        <f>IF($L941="","",INDEX($B$8:$B$5007,$L941))</f>
        <v/>
      </c>
      <c r="O941" s="32" t="str">
        <f>IF($M941="","",IF($K941-$M941&gt;7,"",IF($M941&lt;=$A941,"",IF(OR($B941&lt;=0,$N941&lt;=0),"",($N941/$B941)^(365/($M941-$A941))-1))))</f>
        <v/>
      </c>
      <c r="P941" s="31" t="str">
        <f>IF($B941="","",IF($P940="",$B941,MAX($P940,$B941)))</f>
        <v/>
      </c>
      <c r="Q941" s="32" t="str">
        <f>IF($P941="","",$B941/$P941-1)</f>
        <v/>
      </c>
    </row>
    <row r="942">
      <c r="A942" s="11" t="n"/>
      <c r="B942" s="29" t="n"/>
      <c r="K942" s="30" t="str">
        <f>IF($A942="","",EDATE($A942,12*$E$4))</f>
        <v/>
      </c>
      <c r="L942" s="19" t="str">
        <f>IF($K942="","",IF($K942&gt;MAX($A$8:$A$5007),"",IFERROR(MATCH($K942,$A$8:$A$5007,1),"")))</f>
        <v/>
      </c>
      <c r="M942" s="30" t="str">
        <f>IF($L942="","",INDEX($A$8:$A$5007,$L942))</f>
        <v/>
      </c>
      <c r="N942" s="31" t="str">
        <f>IF($L942="","",INDEX($B$8:$B$5007,$L942))</f>
        <v/>
      </c>
      <c r="O942" s="32" t="str">
        <f>IF($M942="","",IF($K942-$M942&gt;7,"",IF($M942&lt;=$A942,"",IF(OR($B942&lt;=0,$N942&lt;=0),"",($N942/$B942)^(365/($M942-$A942))-1))))</f>
        <v/>
      </c>
      <c r="P942" s="31" t="str">
        <f>IF($B942="","",IF($P941="",$B942,MAX($P941,$B942)))</f>
        <v/>
      </c>
      <c r="Q942" s="32" t="str">
        <f>IF($P942="","",$B942/$P942-1)</f>
        <v/>
      </c>
    </row>
    <row r="943">
      <c r="A943" s="11" t="n"/>
      <c r="B943" s="29" t="n"/>
      <c r="K943" s="30" t="str">
        <f>IF($A943="","",EDATE($A943,12*$E$4))</f>
        <v/>
      </c>
      <c r="L943" s="19" t="str">
        <f>IF($K943="","",IF($K943&gt;MAX($A$8:$A$5007),"",IFERROR(MATCH($K943,$A$8:$A$5007,1),"")))</f>
        <v/>
      </c>
      <c r="M943" s="30" t="str">
        <f>IF($L943="","",INDEX($A$8:$A$5007,$L943))</f>
        <v/>
      </c>
      <c r="N943" s="31" t="str">
        <f>IF($L943="","",INDEX($B$8:$B$5007,$L943))</f>
        <v/>
      </c>
      <c r="O943" s="32" t="str">
        <f>IF($M943="","",IF($K943-$M943&gt;7,"",IF($M943&lt;=$A943,"",IF(OR($B943&lt;=0,$N943&lt;=0),"",($N943/$B943)^(365/($M943-$A943))-1))))</f>
        <v/>
      </c>
      <c r="P943" s="31" t="str">
        <f>IF($B943="","",IF($P942="",$B943,MAX($P942,$B943)))</f>
        <v/>
      </c>
      <c r="Q943" s="32" t="str">
        <f>IF($P943="","",$B943/$P943-1)</f>
        <v/>
      </c>
    </row>
    <row r="944">
      <c r="A944" s="11" t="n"/>
      <c r="B944" s="29" t="n"/>
      <c r="K944" s="30" t="str">
        <f>IF($A944="","",EDATE($A944,12*$E$4))</f>
        <v/>
      </c>
      <c r="L944" s="19" t="str">
        <f>IF($K944="","",IF($K944&gt;MAX($A$8:$A$5007),"",IFERROR(MATCH($K944,$A$8:$A$5007,1),"")))</f>
        <v/>
      </c>
      <c r="M944" s="30" t="str">
        <f>IF($L944="","",INDEX($A$8:$A$5007,$L944))</f>
        <v/>
      </c>
      <c r="N944" s="31" t="str">
        <f>IF($L944="","",INDEX($B$8:$B$5007,$L944))</f>
        <v/>
      </c>
      <c r="O944" s="32" t="str">
        <f>IF($M944="","",IF($K944-$M944&gt;7,"",IF($M944&lt;=$A944,"",IF(OR($B944&lt;=0,$N944&lt;=0),"",($N944/$B944)^(365/($M944-$A944))-1))))</f>
        <v/>
      </c>
      <c r="P944" s="31" t="str">
        <f>IF($B944="","",IF($P943="",$B944,MAX($P943,$B944)))</f>
        <v/>
      </c>
      <c r="Q944" s="32" t="str">
        <f>IF($P944="","",$B944/$P944-1)</f>
        <v/>
      </c>
    </row>
    <row r="945">
      <c r="A945" s="11" t="n"/>
      <c r="B945" s="29" t="n"/>
      <c r="K945" s="30" t="str">
        <f>IF($A945="","",EDATE($A945,12*$E$4))</f>
        <v/>
      </c>
      <c r="L945" s="19" t="str">
        <f>IF($K945="","",IF($K945&gt;MAX($A$8:$A$5007),"",IFERROR(MATCH($K945,$A$8:$A$5007,1),"")))</f>
        <v/>
      </c>
      <c r="M945" s="30" t="str">
        <f>IF($L945="","",INDEX($A$8:$A$5007,$L945))</f>
        <v/>
      </c>
      <c r="N945" s="31" t="str">
        <f>IF($L945="","",INDEX($B$8:$B$5007,$L945))</f>
        <v/>
      </c>
      <c r="O945" s="32" t="str">
        <f>IF($M945="","",IF($K945-$M945&gt;7,"",IF($M945&lt;=$A945,"",IF(OR($B945&lt;=0,$N945&lt;=0),"",($N945/$B945)^(365/($M945-$A945))-1))))</f>
        <v/>
      </c>
      <c r="P945" s="31" t="str">
        <f>IF($B945="","",IF($P944="",$B945,MAX($P944,$B945)))</f>
        <v/>
      </c>
      <c r="Q945" s="32" t="str">
        <f>IF($P945="","",$B945/$P945-1)</f>
        <v/>
      </c>
    </row>
    <row r="946">
      <c r="A946" s="11" t="n"/>
      <c r="B946" s="29" t="n"/>
      <c r="K946" s="30" t="str">
        <f>IF($A946="","",EDATE($A946,12*$E$4))</f>
        <v/>
      </c>
      <c r="L946" s="19" t="str">
        <f>IF($K946="","",IF($K946&gt;MAX($A$8:$A$5007),"",IFERROR(MATCH($K946,$A$8:$A$5007,1),"")))</f>
        <v/>
      </c>
      <c r="M946" s="30" t="str">
        <f>IF($L946="","",INDEX($A$8:$A$5007,$L946))</f>
        <v/>
      </c>
      <c r="N946" s="31" t="str">
        <f>IF($L946="","",INDEX($B$8:$B$5007,$L946))</f>
        <v/>
      </c>
      <c r="O946" s="32" t="str">
        <f>IF($M946="","",IF($K946-$M946&gt;7,"",IF($M946&lt;=$A946,"",IF(OR($B946&lt;=0,$N946&lt;=0),"",($N946/$B946)^(365/($M946-$A946))-1))))</f>
        <v/>
      </c>
      <c r="P946" s="31" t="str">
        <f>IF($B946="","",IF($P945="",$B946,MAX($P945,$B946)))</f>
        <v/>
      </c>
      <c r="Q946" s="32" t="str">
        <f>IF($P946="","",$B946/$P946-1)</f>
        <v/>
      </c>
    </row>
    <row r="947">
      <c r="A947" s="11" t="n"/>
      <c r="B947" s="29" t="n"/>
      <c r="K947" s="30" t="str">
        <f>IF($A947="","",EDATE($A947,12*$E$4))</f>
        <v/>
      </c>
      <c r="L947" s="19" t="str">
        <f>IF($K947="","",IF($K947&gt;MAX($A$8:$A$5007),"",IFERROR(MATCH($K947,$A$8:$A$5007,1),"")))</f>
        <v/>
      </c>
      <c r="M947" s="30" t="str">
        <f>IF($L947="","",INDEX($A$8:$A$5007,$L947))</f>
        <v/>
      </c>
      <c r="N947" s="31" t="str">
        <f>IF($L947="","",INDEX($B$8:$B$5007,$L947))</f>
        <v/>
      </c>
      <c r="O947" s="32" t="str">
        <f>IF($M947="","",IF($K947-$M947&gt;7,"",IF($M947&lt;=$A947,"",IF(OR($B947&lt;=0,$N947&lt;=0),"",($N947/$B947)^(365/($M947-$A947))-1))))</f>
        <v/>
      </c>
      <c r="P947" s="31" t="str">
        <f>IF($B947="","",IF($P946="",$B947,MAX($P946,$B947)))</f>
        <v/>
      </c>
      <c r="Q947" s="32" t="str">
        <f>IF($P947="","",$B947/$P947-1)</f>
        <v/>
      </c>
    </row>
    <row r="948">
      <c r="A948" s="11" t="n"/>
      <c r="B948" s="29" t="n"/>
      <c r="K948" s="30" t="str">
        <f>IF($A948="","",EDATE($A948,12*$E$4))</f>
        <v/>
      </c>
      <c r="L948" s="19" t="str">
        <f>IF($K948="","",IF($K948&gt;MAX($A$8:$A$5007),"",IFERROR(MATCH($K948,$A$8:$A$5007,1),"")))</f>
        <v/>
      </c>
      <c r="M948" s="30" t="str">
        <f>IF($L948="","",INDEX($A$8:$A$5007,$L948))</f>
        <v/>
      </c>
      <c r="N948" s="31" t="str">
        <f>IF($L948="","",INDEX($B$8:$B$5007,$L948))</f>
        <v/>
      </c>
      <c r="O948" s="32" t="str">
        <f>IF($M948="","",IF($K948-$M948&gt;7,"",IF($M948&lt;=$A948,"",IF(OR($B948&lt;=0,$N948&lt;=0),"",($N948/$B948)^(365/($M948-$A948))-1))))</f>
        <v/>
      </c>
      <c r="P948" s="31" t="str">
        <f>IF($B948="","",IF($P947="",$B948,MAX($P947,$B948)))</f>
        <v/>
      </c>
      <c r="Q948" s="32" t="str">
        <f>IF($P948="","",$B948/$P948-1)</f>
        <v/>
      </c>
    </row>
    <row r="949">
      <c r="A949" s="11" t="n"/>
      <c r="B949" s="29" t="n"/>
      <c r="K949" s="30" t="str">
        <f>IF($A949="","",EDATE($A949,12*$E$4))</f>
        <v/>
      </c>
      <c r="L949" s="19" t="str">
        <f>IF($K949="","",IF($K949&gt;MAX($A$8:$A$5007),"",IFERROR(MATCH($K949,$A$8:$A$5007,1),"")))</f>
        <v/>
      </c>
      <c r="M949" s="30" t="str">
        <f>IF($L949="","",INDEX($A$8:$A$5007,$L949))</f>
        <v/>
      </c>
      <c r="N949" s="31" t="str">
        <f>IF($L949="","",INDEX($B$8:$B$5007,$L949))</f>
        <v/>
      </c>
      <c r="O949" s="32" t="str">
        <f>IF($M949="","",IF($K949-$M949&gt;7,"",IF($M949&lt;=$A949,"",IF(OR($B949&lt;=0,$N949&lt;=0),"",($N949/$B949)^(365/($M949-$A949))-1))))</f>
        <v/>
      </c>
      <c r="P949" s="31" t="str">
        <f>IF($B949="","",IF($P948="",$B949,MAX($P948,$B949)))</f>
        <v/>
      </c>
      <c r="Q949" s="32" t="str">
        <f>IF($P949="","",$B949/$P949-1)</f>
        <v/>
      </c>
    </row>
    <row r="950">
      <c r="A950" s="11" t="n"/>
      <c r="B950" s="29" t="n"/>
      <c r="K950" s="30" t="str">
        <f>IF($A950="","",EDATE($A950,12*$E$4))</f>
        <v/>
      </c>
      <c r="L950" s="19" t="str">
        <f>IF($K950="","",IF($K950&gt;MAX($A$8:$A$5007),"",IFERROR(MATCH($K950,$A$8:$A$5007,1),"")))</f>
        <v/>
      </c>
      <c r="M950" s="30" t="str">
        <f>IF($L950="","",INDEX($A$8:$A$5007,$L950))</f>
        <v/>
      </c>
      <c r="N950" s="31" t="str">
        <f>IF($L950="","",INDEX($B$8:$B$5007,$L950))</f>
        <v/>
      </c>
      <c r="O950" s="32" t="str">
        <f>IF($M950="","",IF($K950-$M950&gt;7,"",IF($M950&lt;=$A950,"",IF(OR($B950&lt;=0,$N950&lt;=0),"",($N950/$B950)^(365/($M950-$A950))-1))))</f>
        <v/>
      </c>
      <c r="P950" s="31" t="str">
        <f>IF($B950="","",IF($P949="",$B950,MAX($P949,$B950)))</f>
        <v/>
      </c>
      <c r="Q950" s="32" t="str">
        <f>IF($P950="","",$B950/$P950-1)</f>
        <v/>
      </c>
    </row>
    <row r="951">
      <c r="A951" s="11" t="n"/>
      <c r="B951" s="29" t="n"/>
      <c r="K951" s="30" t="str">
        <f>IF($A951="","",EDATE($A951,12*$E$4))</f>
        <v/>
      </c>
      <c r="L951" s="19" t="str">
        <f>IF($K951="","",IF($K951&gt;MAX($A$8:$A$5007),"",IFERROR(MATCH($K951,$A$8:$A$5007,1),"")))</f>
        <v/>
      </c>
      <c r="M951" s="30" t="str">
        <f>IF($L951="","",INDEX($A$8:$A$5007,$L951))</f>
        <v/>
      </c>
      <c r="N951" s="31" t="str">
        <f>IF($L951="","",INDEX($B$8:$B$5007,$L951))</f>
        <v/>
      </c>
      <c r="O951" s="32" t="str">
        <f>IF($M951="","",IF($K951-$M951&gt;7,"",IF($M951&lt;=$A951,"",IF(OR($B951&lt;=0,$N951&lt;=0),"",($N951/$B951)^(365/($M951-$A951))-1))))</f>
        <v/>
      </c>
      <c r="P951" s="31" t="str">
        <f>IF($B951="","",IF($P950="",$B951,MAX($P950,$B951)))</f>
        <v/>
      </c>
      <c r="Q951" s="32" t="str">
        <f>IF($P951="","",$B951/$P951-1)</f>
        <v/>
      </c>
    </row>
    <row r="952">
      <c r="A952" s="11" t="n"/>
      <c r="B952" s="29" t="n"/>
      <c r="K952" s="30" t="str">
        <f>IF($A952="","",EDATE($A952,12*$E$4))</f>
        <v/>
      </c>
      <c r="L952" s="19" t="str">
        <f>IF($K952="","",IF($K952&gt;MAX($A$8:$A$5007),"",IFERROR(MATCH($K952,$A$8:$A$5007,1),"")))</f>
        <v/>
      </c>
      <c r="M952" s="30" t="str">
        <f>IF($L952="","",INDEX($A$8:$A$5007,$L952))</f>
        <v/>
      </c>
      <c r="N952" s="31" t="str">
        <f>IF($L952="","",INDEX($B$8:$B$5007,$L952))</f>
        <v/>
      </c>
      <c r="O952" s="32" t="str">
        <f>IF($M952="","",IF($K952-$M952&gt;7,"",IF($M952&lt;=$A952,"",IF(OR($B952&lt;=0,$N952&lt;=0),"",($N952/$B952)^(365/($M952-$A952))-1))))</f>
        <v/>
      </c>
      <c r="P952" s="31" t="str">
        <f>IF($B952="","",IF($P951="",$B952,MAX($P951,$B952)))</f>
        <v/>
      </c>
      <c r="Q952" s="32" t="str">
        <f>IF($P952="","",$B952/$P952-1)</f>
        <v/>
      </c>
    </row>
    <row r="953">
      <c r="A953" s="11" t="n"/>
      <c r="B953" s="29" t="n"/>
      <c r="K953" s="30" t="str">
        <f>IF($A953="","",EDATE($A953,12*$E$4))</f>
        <v/>
      </c>
      <c r="L953" s="19" t="str">
        <f>IF($K953="","",IF($K953&gt;MAX($A$8:$A$5007),"",IFERROR(MATCH($K953,$A$8:$A$5007,1),"")))</f>
        <v/>
      </c>
      <c r="M953" s="30" t="str">
        <f>IF($L953="","",INDEX($A$8:$A$5007,$L953))</f>
        <v/>
      </c>
      <c r="N953" s="31" t="str">
        <f>IF($L953="","",INDEX($B$8:$B$5007,$L953))</f>
        <v/>
      </c>
      <c r="O953" s="32" t="str">
        <f>IF($M953="","",IF($K953-$M953&gt;7,"",IF($M953&lt;=$A953,"",IF(OR($B953&lt;=0,$N953&lt;=0),"",($N953/$B953)^(365/($M953-$A953))-1))))</f>
        <v/>
      </c>
      <c r="P953" s="31" t="str">
        <f>IF($B953="","",IF($P952="",$B953,MAX($P952,$B953)))</f>
        <v/>
      </c>
      <c r="Q953" s="32" t="str">
        <f>IF($P953="","",$B953/$P953-1)</f>
        <v/>
      </c>
    </row>
    <row r="954">
      <c r="A954" s="11" t="n"/>
      <c r="B954" s="29" t="n"/>
      <c r="K954" s="30" t="str">
        <f>IF($A954="","",EDATE($A954,12*$E$4))</f>
        <v/>
      </c>
      <c r="L954" s="19" t="str">
        <f>IF($K954="","",IF($K954&gt;MAX($A$8:$A$5007),"",IFERROR(MATCH($K954,$A$8:$A$5007,1),"")))</f>
        <v/>
      </c>
      <c r="M954" s="30" t="str">
        <f>IF($L954="","",INDEX($A$8:$A$5007,$L954))</f>
        <v/>
      </c>
      <c r="N954" s="31" t="str">
        <f>IF($L954="","",INDEX($B$8:$B$5007,$L954))</f>
        <v/>
      </c>
      <c r="O954" s="32" t="str">
        <f>IF($M954="","",IF($K954-$M954&gt;7,"",IF($M954&lt;=$A954,"",IF(OR($B954&lt;=0,$N954&lt;=0),"",($N954/$B954)^(365/($M954-$A954))-1))))</f>
        <v/>
      </c>
      <c r="P954" s="31" t="str">
        <f>IF($B954="","",IF($P953="",$B954,MAX($P953,$B954)))</f>
        <v/>
      </c>
      <c r="Q954" s="32" t="str">
        <f>IF($P954="","",$B954/$P954-1)</f>
        <v/>
      </c>
    </row>
    <row r="955">
      <c r="A955" s="11" t="n"/>
      <c r="B955" s="29" t="n"/>
      <c r="K955" s="30" t="str">
        <f>IF($A955="","",EDATE($A955,12*$E$4))</f>
        <v/>
      </c>
      <c r="L955" s="19" t="str">
        <f>IF($K955="","",IF($K955&gt;MAX($A$8:$A$5007),"",IFERROR(MATCH($K955,$A$8:$A$5007,1),"")))</f>
        <v/>
      </c>
      <c r="M955" s="30" t="str">
        <f>IF($L955="","",INDEX($A$8:$A$5007,$L955))</f>
        <v/>
      </c>
      <c r="N955" s="31" t="str">
        <f>IF($L955="","",INDEX($B$8:$B$5007,$L955))</f>
        <v/>
      </c>
      <c r="O955" s="32" t="str">
        <f>IF($M955="","",IF($K955-$M955&gt;7,"",IF($M955&lt;=$A955,"",IF(OR($B955&lt;=0,$N955&lt;=0),"",($N955/$B955)^(365/($M955-$A955))-1))))</f>
        <v/>
      </c>
      <c r="P955" s="31" t="str">
        <f>IF($B955="","",IF($P954="",$B955,MAX($P954,$B955)))</f>
        <v/>
      </c>
      <c r="Q955" s="32" t="str">
        <f>IF($P955="","",$B955/$P955-1)</f>
        <v/>
      </c>
    </row>
    <row r="956">
      <c r="A956" s="11" t="n"/>
      <c r="B956" s="29" t="n"/>
      <c r="K956" s="30" t="str">
        <f>IF($A956="","",EDATE($A956,12*$E$4))</f>
        <v/>
      </c>
      <c r="L956" s="19" t="str">
        <f>IF($K956="","",IF($K956&gt;MAX($A$8:$A$5007),"",IFERROR(MATCH($K956,$A$8:$A$5007,1),"")))</f>
        <v/>
      </c>
      <c r="M956" s="30" t="str">
        <f>IF($L956="","",INDEX($A$8:$A$5007,$L956))</f>
        <v/>
      </c>
      <c r="N956" s="31" t="str">
        <f>IF($L956="","",INDEX($B$8:$B$5007,$L956))</f>
        <v/>
      </c>
      <c r="O956" s="32" t="str">
        <f>IF($M956="","",IF($K956-$M956&gt;7,"",IF($M956&lt;=$A956,"",IF(OR($B956&lt;=0,$N956&lt;=0),"",($N956/$B956)^(365/($M956-$A956))-1))))</f>
        <v/>
      </c>
      <c r="P956" s="31" t="str">
        <f>IF($B956="","",IF($P955="",$B956,MAX($P955,$B956)))</f>
        <v/>
      </c>
      <c r="Q956" s="32" t="str">
        <f>IF($P956="","",$B956/$P956-1)</f>
        <v/>
      </c>
    </row>
    <row r="957">
      <c r="A957" s="11" t="n"/>
      <c r="B957" s="29" t="n"/>
      <c r="K957" s="30" t="str">
        <f>IF($A957="","",EDATE($A957,12*$E$4))</f>
        <v/>
      </c>
      <c r="L957" s="19" t="str">
        <f>IF($K957="","",IF($K957&gt;MAX($A$8:$A$5007),"",IFERROR(MATCH($K957,$A$8:$A$5007,1),"")))</f>
        <v/>
      </c>
      <c r="M957" s="30" t="str">
        <f>IF($L957="","",INDEX($A$8:$A$5007,$L957))</f>
        <v/>
      </c>
      <c r="N957" s="31" t="str">
        <f>IF($L957="","",INDEX($B$8:$B$5007,$L957))</f>
        <v/>
      </c>
      <c r="O957" s="32" t="str">
        <f>IF($M957="","",IF($K957-$M957&gt;7,"",IF($M957&lt;=$A957,"",IF(OR($B957&lt;=0,$N957&lt;=0),"",($N957/$B957)^(365/($M957-$A957))-1))))</f>
        <v/>
      </c>
      <c r="P957" s="31" t="str">
        <f>IF($B957="","",IF($P956="",$B957,MAX($P956,$B957)))</f>
        <v/>
      </c>
      <c r="Q957" s="32" t="str">
        <f>IF($P957="","",$B957/$P957-1)</f>
        <v/>
      </c>
    </row>
    <row r="958">
      <c r="A958" s="11" t="n"/>
      <c r="B958" s="29" t="n"/>
      <c r="K958" s="30" t="str">
        <f>IF($A958="","",EDATE($A958,12*$E$4))</f>
        <v/>
      </c>
      <c r="L958" s="19" t="str">
        <f>IF($K958="","",IF($K958&gt;MAX($A$8:$A$5007),"",IFERROR(MATCH($K958,$A$8:$A$5007,1),"")))</f>
        <v/>
      </c>
      <c r="M958" s="30" t="str">
        <f>IF($L958="","",INDEX($A$8:$A$5007,$L958))</f>
        <v/>
      </c>
      <c r="N958" s="31" t="str">
        <f>IF($L958="","",INDEX($B$8:$B$5007,$L958))</f>
        <v/>
      </c>
      <c r="O958" s="32" t="str">
        <f>IF($M958="","",IF($K958-$M958&gt;7,"",IF($M958&lt;=$A958,"",IF(OR($B958&lt;=0,$N958&lt;=0),"",($N958/$B958)^(365/($M958-$A958))-1))))</f>
        <v/>
      </c>
      <c r="P958" s="31" t="str">
        <f>IF($B958="","",IF($P957="",$B958,MAX($P957,$B958)))</f>
        <v/>
      </c>
      <c r="Q958" s="32" t="str">
        <f>IF($P958="","",$B958/$P958-1)</f>
        <v/>
      </c>
    </row>
    <row r="959">
      <c r="A959" s="11" t="n"/>
      <c r="B959" s="29" t="n"/>
      <c r="K959" s="30" t="str">
        <f>IF($A959="","",EDATE($A959,12*$E$4))</f>
        <v/>
      </c>
      <c r="L959" s="19" t="str">
        <f>IF($K959="","",IF($K959&gt;MAX($A$8:$A$5007),"",IFERROR(MATCH($K959,$A$8:$A$5007,1),"")))</f>
        <v/>
      </c>
      <c r="M959" s="30" t="str">
        <f>IF($L959="","",INDEX($A$8:$A$5007,$L959))</f>
        <v/>
      </c>
      <c r="N959" s="31" t="str">
        <f>IF($L959="","",INDEX($B$8:$B$5007,$L959))</f>
        <v/>
      </c>
      <c r="O959" s="32" t="str">
        <f>IF($M959="","",IF($K959-$M959&gt;7,"",IF($M959&lt;=$A959,"",IF(OR($B959&lt;=0,$N959&lt;=0),"",($N959/$B959)^(365/($M959-$A959))-1))))</f>
        <v/>
      </c>
      <c r="P959" s="31" t="str">
        <f>IF($B959="","",IF($P958="",$B959,MAX($P958,$B959)))</f>
        <v/>
      </c>
      <c r="Q959" s="32" t="str">
        <f>IF($P959="","",$B959/$P959-1)</f>
        <v/>
      </c>
    </row>
    <row r="960">
      <c r="A960" s="11" t="n"/>
      <c r="B960" s="29" t="n"/>
      <c r="K960" s="30" t="str">
        <f>IF($A960="","",EDATE($A960,12*$E$4))</f>
        <v/>
      </c>
      <c r="L960" s="19" t="str">
        <f>IF($K960="","",IF($K960&gt;MAX($A$8:$A$5007),"",IFERROR(MATCH($K960,$A$8:$A$5007,1),"")))</f>
        <v/>
      </c>
      <c r="M960" s="30" t="str">
        <f>IF($L960="","",INDEX($A$8:$A$5007,$L960))</f>
        <v/>
      </c>
      <c r="N960" s="31" t="str">
        <f>IF($L960="","",INDEX($B$8:$B$5007,$L960))</f>
        <v/>
      </c>
      <c r="O960" s="32" t="str">
        <f>IF($M960="","",IF($K960-$M960&gt;7,"",IF($M960&lt;=$A960,"",IF(OR($B960&lt;=0,$N960&lt;=0),"",($N960/$B960)^(365/($M960-$A960))-1))))</f>
        <v/>
      </c>
      <c r="P960" s="31" t="str">
        <f>IF($B960="","",IF($P959="",$B960,MAX($P959,$B960)))</f>
        <v/>
      </c>
      <c r="Q960" s="32" t="str">
        <f>IF($P960="","",$B960/$P960-1)</f>
        <v/>
      </c>
    </row>
    <row r="961">
      <c r="A961" s="11" t="n"/>
      <c r="B961" s="29" t="n"/>
      <c r="K961" s="30" t="str">
        <f>IF($A961="","",EDATE($A961,12*$E$4))</f>
        <v/>
      </c>
      <c r="L961" s="19" t="str">
        <f>IF($K961="","",IF($K961&gt;MAX($A$8:$A$5007),"",IFERROR(MATCH($K961,$A$8:$A$5007,1),"")))</f>
        <v/>
      </c>
      <c r="M961" s="30" t="str">
        <f>IF($L961="","",INDEX($A$8:$A$5007,$L961))</f>
        <v/>
      </c>
      <c r="N961" s="31" t="str">
        <f>IF($L961="","",INDEX($B$8:$B$5007,$L961))</f>
        <v/>
      </c>
      <c r="O961" s="32" t="str">
        <f>IF($M961="","",IF($K961-$M961&gt;7,"",IF($M961&lt;=$A961,"",IF(OR($B961&lt;=0,$N961&lt;=0),"",($N961/$B961)^(365/($M961-$A961))-1))))</f>
        <v/>
      </c>
      <c r="P961" s="31" t="str">
        <f>IF($B961="","",IF($P960="",$B961,MAX($P960,$B961)))</f>
        <v/>
      </c>
      <c r="Q961" s="32" t="str">
        <f>IF($P961="","",$B961/$P961-1)</f>
        <v/>
      </c>
    </row>
    <row r="962">
      <c r="A962" s="11" t="n"/>
      <c r="B962" s="29" t="n"/>
      <c r="K962" s="30" t="str">
        <f>IF($A962="","",EDATE($A962,12*$E$4))</f>
        <v/>
      </c>
      <c r="L962" s="19" t="str">
        <f>IF($K962="","",IF($K962&gt;MAX($A$8:$A$5007),"",IFERROR(MATCH($K962,$A$8:$A$5007,1),"")))</f>
        <v/>
      </c>
      <c r="M962" s="30" t="str">
        <f>IF($L962="","",INDEX($A$8:$A$5007,$L962))</f>
        <v/>
      </c>
      <c r="N962" s="31" t="str">
        <f>IF($L962="","",INDEX($B$8:$B$5007,$L962))</f>
        <v/>
      </c>
      <c r="O962" s="32" t="str">
        <f>IF($M962="","",IF($K962-$M962&gt;7,"",IF($M962&lt;=$A962,"",IF(OR($B962&lt;=0,$N962&lt;=0),"",($N962/$B962)^(365/($M962-$A962))-1))))</f>
        <v/>
      </c>
      <c r="P962" s="31" t="str">
        <f>IF($B962="","",IF($P961="",$B962,MAX($P961,$B962)))</f>
        <v/>
      </c>
      <c r="Q962" s="32" t="str">
        <f>IF($P962="","",$B962/$P962-1)</f>
        <v/>
      </c>
    </row>
    <row r="963">
      <c r="A963" s="11" t="n"/>
      <c r="B963" s="29" t="n"/>
      <c r="K963" s="30" t="str">
        <f>IF($A963="","",EDATE($A963,12*$E$4))</f>
        <v/>
      </c>
      <c r="L963" s="19" t="str">
        <f>IF($K963="","",IF($K963&gt;MAX($A$8:$A$5007),"",IFERROR(MATCH($K963,$A$8:$A$5007,1),"")))</f>
        <v/>
      </c>
      <c r="M963" s="30" t="str">
        <f>IF($L963="","",INDEX($A$8:$A$5007,$L963))</f>
        <v/>
      </c>
      <c r="N963" s="31" t="str">
        <f>IF($L963="","",INDEX($B$8:$B$5007,$L963))</f>
        <v/>
      </c>
      <c r="O963" s="32" t="str">
        <f>IF($M963="","",IF($K963-$M963&gt;7,"",IF($M963&lt;=$A963,"",IF(OR($B963&lt;=0,$N963&lt;=0),"",($N963/$B963)^(365/($M963-$A963))-1))))</f>
        <v/>
      </c>
      <c r="P963" s="31" t="str">
        <f>IF($B963="","",IF($P962="",$B963,MAX($P962,$B963)))</f>
        <v/>
      </c>
      <c r="Q963" s="32" t="str">
        <f>IF($P963="","",$B963/$P963-1)</f>
        <v/>
      </c>
    </row>
    <row r="964">
      <c r="A964" s="11" t="n"/>
      <c r="B964" s="29" t="n"/>
      <c r="K964" s="30" t="str">
        <f>IF($A964="","",EDATE($A964,12*$E$4))</f>
        <v/>
      </c>
      <c r="L964" s="19" t="str">
        <f>IF($K964="","",IF($K964&gt;MAX($A$8:$A$5007),"",IFERROR(MATCH($K964,$A$8:$A$5007,1),"")))</f>
        <v/>
      </c>
      <c r="M964" s="30" t="str">
        <f>IF($L964="","",INDEX($A$8:$A$5007,$L964))</f>
        <v/>
      </c>
      <c r="N964" s="31" t="str">
        <f>IF($L964="","",INDEX($B$8:$B$5007,$L964))</f>
        <v/>
      </c>
      <c r="O964" s="32" t="str">
        <f>IF($M964="","",IF($K964-$M964&gt;7,"",IF($M964&lt;=$A964,"",IF(OR($B964&lt;=0,$N964&lt;=0),"",($N964/$B964)^(365/($M964-$A964))-1))))</f>
        <v/>
      </c>
      <c r="P964" s="31" t="str">
        <f>IF($B964="","",IF($P963="",$B964,MAX($P963,$B964)))</f>
        <v/>
      </c>
      <c r="Q964" s="32" t="str">
        <f>IF($P964="","",$B964/$P964-1)</f>
        <v/>
      </c>
    </row>
    <row r="965">
      <c r="A965" s="11" t="n"/>
      <c r="B965" s="29" t="n"/>
      <c r="K965" s="30" t="str">
        <f>IF($A965="","",EDATE($A965,12*$E$4))</f>
        <v/>
      </c>
      <c r="L965" s="19" t="str">
        <f>IF($K965="","",IF($K965&gt;MAX($A$8:$A$5007),"",IFERROR(MATCH($K965,$A$8:$A$5007,1),"")))</f>
        <v/>
      </c>
      <c r="M965" s="30" t="str">
        <f>IF($L965="","",INDEX($A$8:$A$5007,$L965))</f>
        <v/>
      </c>
      <c r="N965" s="31" t="str">
        <f>IF($L965="","",INDEX($B$8:$B$5007,$L965))</f>
        <v/>
      </c>
      <c r="O965" s="32" t="str">
        <f>IF($M965="","",IF($K965-$M965&gt;7,"",IF($M965&lt;=$A965,"",IF(OR($B965&lt;=0,$N965&lt;=0),"",($N965/$B965)^(365/($M965-$A965))-1))))</f>
        <v/>
      </c>
      <c r="P965" s="31" t="str">
        <f>IF($B965="","",IF($P964="",$B965,MAX($P964,$B965)))</f>
        <v/>
      </c>
      <c r="Q965" s="32" t="str">
        <f>IF($P965="","",$B965/$P965-1)</f>
        <v/>
      </c>
    </row>
    <row r="966">
      <c r="A966" s="11" t="n"/>
      <c r="B966" s="29" t="n"/>
      <c r="K966" s="30" t="str">
        <f>IF($A966="","",EDATE($A966,12*$E$4))</f>
        <v/>
      </c>
      <c r="L966" s="19" t="str">
        <f>IF($K966="","",IF($K966&gt;MAX($A$8:$A$5007),"",IFERROR(MATCH($K966,$A$8:$A$5007,1),"")))</f>
        <v/>
      </c>
      <c r="M966" s="30" t="str">
        <f>IF($L966="","",INDEX($A$8:$A$5007,$L966))</f>
        <v/>
      </c>
      <c r="N966" s="31" t="str">
        <f>IF($L966="","",INDEX($B$8:$B$5007,$L966))</f>
        <v/>
      </c>
      <c r="O966" s="32" t="str">
        <f>IF($M966="","",IF($K966-$M966&gt;7,"",IF($M966&lt;=$A966,"",IF(OR($B966&lt;=0,$N966&lt;=0),"",($N966/$B966)^(365/($M966-$A966))-1))))</f>
        <v/>
      </c>
      <c r="P966" s="31" t="str">
        <f>IF($B966="","",IF($P965="",$B966,MAX($P965,$B966)))</f>
        <v/>
      </c>
      <c r="Q966" s="32" t="str">
        <f>IF($P966="","",$B966/$P966-1)</f>
        <v/>
      </c>
    </row>
    <row r="967">
      <c r="A967" s="11" t="n"/>
      <c r="B967" s="29" t="n"/>
      <c r="K967" s="30" t="str">
        <f>IF($A967="","",EDATE($A967,12*$E$4))</f>
        <v/>
      </c>
      <c r="L967" s="19" t="str">
        <f>IF($K967="","",IF($K967&gt;MAX($A$8:$A$5007),"",IFERROR(MATCH($K967,$A$8:$A$5007,1),"")))</f>
        <v/>
      </c>
      <c r="M967" s="30" t="str">
        <f>IF($L967="","",INDEX($A$8:$A$5007,$L967))</f>
        <v/>
      </c>
      <c r="N967" s="31" t="str">
        <f>IF($L967="","",INDEX($B$8:$B$5007,$L967))</f>
        <v/>
      </c>
      <c r="O967" s="32" t="str">
        <f>IF($M967="","",IF($K967-$M967&gt;7,"",IF($M967&lt;=$A967,"",IF(OR($B967&lt;=0,$N967&lt;=0),"",($N967/$B967)^(365/($M967-$A967))-1))))</f>
        <v/>
      </c>
      <c r="P967" s="31" t="str">
        <f>IF($B967="","",IF($P966="",$B967,MAX($P966,$B967)))</f>
        <v/>
      </c>
      <c r="Q967" s="32" t="str">
        <f>IF($P967="","",$B967/$P967-1)</f>
        <v/>
      </c>
    </row>
    <row r="968">
      <c r="A968" s="11" t="n"/>
      <c r="B968" s="29" t="n"/>
      <c r="K968" s="30" t="str">
        <f>IF($A968="","",EDATE($A968,12*$E$4))</f>
        <v/>
      </c>
      <c r="L968" s="19" t="str">
        <f>IF($K968="","",IF($K968&gt;MAX($A$8:$A$5007),"",IFERROR(MATCH($K968,$A$8:$A$5007,1),"")))</f>
        <v/>
      </c>
      <c r="M968" s="30" t="str">
        <f>IF($L968="","",INDEX($A$8:$A$5007,$L968))</f>
        <v/>
      </c>
      <c r="N968" s="31" t="str">
        <f>IF($L968="","",INDEX($B$8:$B$5007,$L968))</f>
        <v/>
      </c>
      <c r="O968" s="32" t="str">
        <f>IF($M968="","",IF($K968-$M968&gt;7,"",IF($M968&lt;=$A968,"",IF(OR($B968&lt;=0,$N968&lt;=0),"",($N968/$B968)^(365/($M968-$A968))-1))))</f>
        <v/>
      </c>
      <c r="P968" s="31" t="str">
        <f>IF($B968="","",IF($P967="",$B968,MAX($P967,$B968)))</f>
        <v/>
      </c>
      <c r="Q968" s="32" t="str">
        <f>IF($P968="","",$B968/$P968-1)</f>
        <v/>
      </c>
    </row>
    <row r="969">
      <c r="A969" s="11" t="n"/>
      <c r="B969" s="29" t="n"/>
      <c r="K969" s="30" t="str">
        <f>IF($A969="","",EDATE($A969,12*$E$4))</f>
        <v/>
      </c>
      <c r="L969" s="19" t="str">
        <f>IF($K969="","",IF($K969&gt;MAX($A$8:$A$5007),"",IFERROR(MATCH($K969,$A$8:$A$5007,1),"")))</f>
        <v/>
      </c>
      <c r="M969" s="30" t="str">
        <f>IF($L969="","",INDEX($A$8:$A$5007,$L969))</f>
        <v/>
      </c>
      <c r="N969" s="31" t="str">
        <f>IF($L969="","",INDEX($B$8:$B$5007,$L969))</f>
        <v/>
      </c>
      <c r="O969" s="32" t="str">
        <f>IF($M969="","",IF($K969-$M969&gt;7,"",IF($M969&lt;=$A969,"",IF(OR($B969&lt;=0,$N969&lt;=0),"",($N969/$B969)^(365/($M969-$A969))-1))))</f>
        <v/>
      </c>
      <c r="P969" s="31" t="str">
        <f>IF($B969="","",IF($P968="",$B969,MAX($P968,$B969)))</f>
        <v/>
      </c>
      <c r="Q969" s="32" t="str">
        <f>IF($P969="","",$B969/$P969-1)</f>
        <v/>
      </c>
    </row>
    <row r="970">
      <c r="A970" s="11" t="n"/>
      <c r="B970" s="29" t="n"/>
      <c r="K970" s="30" t="str">
        <f>IF($A970="","",EDATE($A970,12*$E$4))</f>
        <v/>
      </c>
      <c r="L970" s="19" t="str">
        <f>IF($K970="","",IF($K970&gt;MAX($A$8:$A$5007),"",IFERROR(MATCH($K970,$A$8:$A$5007,1),"")))</f>
        <v/>
      </c>
      <c r="M970" s="30" t="str">
        <f>IF($L970="","",INDEX($A$8:$A$5007,$L970))</f>
        <v/>
      </c>
      <c r="N970" s="31" t="str">
        <f>IF($L970="","",INDEX($B$8:$B$5007,$L970))</f>
        <v/>
      </c>
      <c r="O970" s="32" t="str">
        <f>IF($M970="","",IF($K970-$M970&gt;7,"",IF($M970&lt;=$A970,"",IF(OR($B970&lt;=0,$N970&lt;=0),"",($N970/$B970)^(365/($M970-$A970))-1))))</f>
        <v/>
      </c>
      <c r="P970" s="31" t="str">
        <f>IF($B970="","",IF($P969="",$B970,MAX($P969,$B970)))</f>
        <v/>
      </c>
      <c r="Q970" s="32" t="str">
        <f>IF($P970="","",$B970/$P970-1)</f>
        <v/>
      </c>
    </row>
    <row r="971">
      <c r="A971" s="11" t="n"/>
      <c r="B971" s="29" t="n"/>
      <c r="K971" s="30" t="str">
        <f>IF($A971="","",EDATE($A971,12*$E$4))</f>
        <v/>
      </c>
      <c r="L971" s="19" t="str">
        <f>IF($K971="","",IF($K971&gt;MAX($A$8:$A$5007),"",IFERROR(MATCH($K971,$A$8:$A$5007,1),"")))</f>
        <v/>
      </c>
      <c r="M971" s="30" t="str">
        <f>IF($L971="","",INDEX($A$8:$A$5007,$L971))</f>
        <v/>
      </c>
      <c r="N971" s="31" t="str">
        <f>IF($L971="","",INDEX($B$8:$B$5007,$L971))</f>
        <v/>
      </c>
      <c r="O971" s="32" t="str">
        <f>IF($M971="","",IF($K971-$M971&gt;7,"",IF($M971&lt;=$A971,"",IF(OR($B971&lt;=0,$N971&lt;=0),"",($N971/$B971)^(365/($M971-$A971))-1))))</f>
        <v/>
      </c>
      <c r="P971" s="31" t="str">
        <f>IF($B971="","",IF($P970="",$B971,MAX($P970,$B971)))</f>
        <v/>
      </c>
      <c r="Q971" s="32" t="str">
        <f>IF($P971="","",$B971/$P971-1)</f>
        <v/>
      </c>
    </row>
    <row r="972">
      <c r="A972" s="11" t="n"/>
      <c r="B972" s="29" t="n"/>
      <c r="K972" s="30" t="str">
        <f>IF($A972="","",EDATE($A972,12*$E$4))</f>
        <v/>
      </c>
      <c r="L972" s="19" t="str">
        <f>IF($K972="","",IF($K972&gt;MAX($A$8:$A$5007),"",IFERROR(MATCH($K972,$A$8:$A$5007,1),"")))</f>
        <v/>
      </c>
      <c r="M972" s="30" t="str">
        <f>IF($L972="","",INDEX($A$8:$A$5007,$L972))</f>
        <v/>
      </c>
      <c r="N972" s="31" t="str">
        <f>IF($L972="","",INDEX($B$8:$B$5007,$L972))</f>
        <v/>
      </c>
      <c r="O972" s="32" t="str">
        <f>IF($M972="","",IF($K972-$M972&gt;7,"",IF($M972&lt;=$A972,"",IF(OR($B972&lt;=0,$N972&lt;=0),"",($N972/$B972)^(365/($M972-$A972))-1))))</f>
        <v/>
      </c>
      <c r="P972" s="31" t="str">
        <f>IF($B972="","",IF($P971="",$B972,MAX($P971,$B972)))</f>
        <v/>
      </c>
      <c r="Q972" s="32" t="str">
        <f>IF($P972="","",$B972/$P972-1)</f>
        <v/>
      </c>
    </row>
    <row r="973">
      <c r="A973" s="11" t="n"/>
      <c r="B973" s="29" t="n"/>
      <c r="K973" s="30" t="str">
        <f>IF($A973="","",EDATE($A973,12*$E$4))</f>
        <v/>
      </c>
      <c r="L973" s="19" t="str">
        <f>IF($K973="","",IF($K973&gt;MAX($A$8:$A$5007),"",IFERROR(MATCH($K973,$A$8:$A$5007,1),"")))</f>
        <v/>
      </c>
      <c r="M973" s="30" t="str">
        <f>IF($L973="","",INDEX($A$8:$A$5007,$L973))</f>
        <v/>
      </c>
      <c r="N973" s="31" t="str">
        <f>IF($L973="","",INDEX($B$8:$B$5007,$L973))</f>
        <v/>
      </c>
      <c r="O973" s="32" t="str">
        <f>IF($M973="","",IF($K973-$M973&gt;7,"",IF($M973&lt;=$A973,"",IF(OR($B973&lt;=0,$N973&lt;=0),"",($N973/$B973)^(365/($M973-$A973))-1))))</f>
        <v/>
      </c>
      <c r="P973" s="31" t="str">
        <f>IF($B973="","",IF($P972="",$B973,MAX($P972,$B973)))</f>
        <v/>
      </c>
      <c r="Q973" s="32" t="str">
        <f>IF($P973="","",$B973/$P973-1)</f>
        <v/>
      </c>
    </row>
    <row r="974">
      <c r="A974" s="11" t="n"/>
      <c r="B974" s="29" t="n"/>
      <c r="K974" s="30" t="str">
        <f>IF($A974="","",EDATE($A974,12*$E$4))</f>
        <v/>
      </c>
      <c r="L974" s="19" t="str">
        <f>IF($K974="","",IF($K974&gt;MAX($A$8:$A$5007),"",IFERROR(MATCH($K974,$A$8:$A$5007,1),"")))</f>
        <v/>
      </c>
      <c r="M974" s="30" t="str">
        <f>IF($L974="","",INDEX($A$8:$A$5007,$L974))</f>
        <v/>
      </c>
      <c r="N974" s="31" t="str">
        <f>IF($L974="","",INDEX($B$8:$B$5007,$L974))</f>
        <v/>
      </c>
      <c r="O974" s="32" t="str">
        <f>IF($M974="","",IF($K974-$M974&gt;7,"",IF($M974&lt;=$A974,"",IF(OR($B974&lt;=0,$N974&lt;=0),"",($N974/$B974)^(365/($M974-$A974))-1))))</f>
        <v/>
      </c>
      <c r="P974" s="31" t="str">
        <f>IF($B974="","",IF($P973="",$B974,MAX($P973,$B974)))</f>
        <v/>
      </c>
      <c r="Q974" s="32" t="str">
        <f>IF($P974="","",$B974/$P974-1)</f>
        <v/>
      </c>
    </row>
    <row r="975">
      <c r="A975" s="11" t="n"/>
      <c r="B975" s="29" t="n"/>
      <c r="K975" s="30" t="str">
        <f>IF($A975="","",EDATE($A975,12*$E$4))</f>
        <v/>
      </c>
      <c r="L975" s="19" t="str">
        <f>IF($K975="","",IF($K975&gt;MAX($A$8:$A$5007),"",IFERROR(MATCH($K975,$A$8:$A$5007,1),"")))</f>
        <v/>
      </c>
      <c r="M975" s="30" t="str">
        <f>IF($L975="","",INDEX($A$8:$A$5007,$L975))</f>
        <v/>
      </c>
      <c r="N975" s="31" t="str">
        <f>IF($L975="","",INDEX($B$8:$B$5007,$L975))</f>
        <v/>
      </c>
      <c r="O975" s="32" t="str">
        <f>IF($M975="","",IF($K975-$M975&gt;7,"",IF($M975&lt;=$A975,"",IF(OR($B975&lt;=0,$N975&lt;=0),"",($N975/$B975)^(365/($M975-$A975))-1))))</f>
        <v/>
      </c>
      <c r="P975" s="31" t="str">
        <f>IF($B975="","",IF($P974="",$B975,MAX($P974,$B975)))</f>
        <v/>
      </c>
      <c r="Q975" s="32" t="str">
        <f>IF($P975="","",$B975/$P975-1)</f>
        <v/>
      </c>
    </row>
    <row r="976">
      <c r="A976" s="11" t="n"/>
      <c r="B976" s="29" t="n"/>
      <c r="K976" s="30" t="str">
        <f>IF($A976="","",EDATE($A976,12*$E$4))</f>
        <v/>
      </c>
      <c r="L976" s="19" t="str">
        <f>IF($K976="","",IF($K976&gt;MAX($A$8:$A$5007),"",IFERROR(MATCH($K976,$A$8:$A$5007,1),"")))</f>
        <v/>
      </c>
      <c r="M976" s="30" t="str">
        <f>IF($L976="","",INDEX($A$8:$A$5007,$L976))</f>
        <v/>
      </c>
      <c r="N976" s="31" t="str">
        <f>IF($L976="","",INDEX($B$8:$B$5007,$L976))</f>
        <v/>
      </c>
      <c r="O976" s="32" t="str">
        <f>IF($M976="","",IF($K976-$M976&gt;7,"",IF($M976&lt;=$A976,"",IF(OR($B976&lt;=0,$N976&lt;=0),"",($N976/$B976)^(365/($M976-$A976))-1))))</f>
        <v/>
      </c>
      <c r="P976" s="31" t="str">
        <f>IF($B976="","",IF($P975="",$B976,MAX($P975,$B976)))</f>
        <v/>
      </c>
      <c r="Q976" s="32" t="str">
        <f>IF($P976="","",$B976/$P976-1)</f>
        <v/>
      </c>
    </row>
    <row r="977">
      <c r="A977" s="11" t="n"/>
      <c r="B977" s="29" t="n"/>
      <c r="K977" s="30" t="str">
        <f>IF($A977="","",EDATE($A977,12*$E$4))</f>
        <v/>
      </c>
      <c r="L977" s="19" t="str">
        <f>IF($K977="","",IF($K977&gt;MAX($A$8:$A$5007),"",IFERROR(MATCH($K977,$A$8:$A$5007,1),"")))</f>
        <v/>
      </c>
      <c r="M977" s="30" t="str">
        <f>IF($L977="","",INDEX($A$8:$A$5007,$L977))</f>
        <v/>
      </c>
      <c r="N977" s="31" t="str">
        <f>IF($L977="","",INDEX($B$8:$B$5007,$L977))</f>
        <v/>
      </c>
      <c r="O977" s="32" t="str">
        <f>IF($M977="","",IF($K977-$M977&gt;7,"",IF($M977&lt;=$A977,"",IF(OR($B977&lt;=0,$N977&lt;=0),"",($N977/$B977)^(365/($M977-$A977))-1))))</f>
        <v/>
      </c>
      <c r="P977" s="31" t="str">
        <f>IF($B977="","",IF($P976="",$B977,MAX($P976,$B977)))</f>
        <v/>
      </c>
      <c r="Q977" s="32" t="str">
        <f>IF($P977="","",$B977/$P977-1)</f>
        <v/>
      </c>
    </row>
    <row r="978">
      <c r="A978" s="11" t="n"/>
      <c r="B978" s="29" t="n"/>
      <c r="K978" s="30" t="str">
        <f>IF($A978="","",EDATE($A978,12*$E$4))</f>
        <v/>
      </c>
      <c r="L978" s="19" t="str">
        <f>IF($K978="","",IF($K978&gt;MAX($A$8:$A$5007),"",IFERROR(MATCH($K978,$A$8:$A$5007,1),"")))</f>
        <v/>
      </c>
      <c r="M978" s="30" t="str">
        <f>IF($L978="","",INDEX($A$8:$A$5007,$L978))</f>
        <v/>
      </c>
      <c r="N978" s="31" t="str">
        <f>IF($L978="","",INDEX($B$8:$B$5007,$L978))</f>
        <v/>
      </c>
      <c r="O978" s="32" t="str">
        <f>IF($M978="","",IF($K978-$M978&gt;7,"",IF($M978&lt;=$A978,"",IF(OR($B978&lt;=0,$N978&lt;=0),"",($N978/$B978)^(365/($M978-$A978))-1))))</f>
        <v/>
      </c>
      <c r="P978" s="31" t="str">
        <f>IF($B978="","",IF($P977="",$B978,MAX($P977,$B978)))</f>
        <v/>
      </c>
      <c r="Q978" s="32" t="str">
        <f>IF($P978="","",$B978/$P978-1)</f>
        <v/>
      </c>
    </row>
    <row r="979">
      <c r="A979" s="11" t="n"/>
      <c r="B979" s="29" t="n"/>
      <c r="K979" s="30" t="str">
        <f>IF($A979="","",EDATE($A979,12*$E$4))</f>
        <v/>
      </c>
      <c r="L979" s="19" t="str">
        <f>IF($K979="","",IF($K979&gt;MAX($A$8:$A$5007),"",IFERROR(MATCH($K979,$A$8:$A$5007,1),"")))</f>
        <v/>
      </c>
      <c r="M979" s="30" t="str">
        <f>IF($L979="","",INDEX($A$8:$A$5007,$L979))</f>
        <v/>
      </c>
      <c r="N979" s="31" t="str">
        <f>IF($L979="","",INDEX($B$8:$B$5007,$L979))</f>
        <v/>
      </c>
      <c r="O979" s="32" t="str">
        <f>IF($M979="","",IF($K979-$M979&gt;7,"",IF($M979&lt;=$A979,"",IF(OR($B979&lt;=0,$N979&lt;=0),"",($N979/$B979)^(365/($M979-$A979))-1))))</f>
        <v/>
      </c>
      <c r="P979" s="31" t="str">
        <f>IF($B979="","",IF($P978="",$B979,MAX($P978,$B979)))</f>
        <v/>
      </c>
      <c r="Q979" s="32" t="str">
        <f>IF($P979="","",$B979/$P979-1)</f>
        <v/>
      </c>
    </row>
    <row r="980">
      <c r="A980" s="11" t="n"/>
      <c r="B980" s="29" t="n"/>
      <c r="K980" s="30" t="str">
        <f>IF($A980="","",EDATE($A980,12*$E$4))</f>
        <v/>
      </c>
      <c r="L980" s="19" t="str">
        <f>IF($K980="","",IF($K980&gt;MAX($A$8:$A$5007),"",IFERROR(MATCH($K980,$A$8:$A$5007,1),"")))</f>
        <v/>
      </c>
      <c r="M980" s="30" t="str">
        <f>IF($L980="","",INDEX($A$8:$A$5007,$L980))</f>
        <v/>
      </c>
      <c r="N980" s="31" t="str">
        <f>IF($L980="","",INDEX($B$8:$B$5007,$L980))</f>
        <v/>
      </c>
      <c r="O980" s="32" t="str">
        <f>IF($M980="","",IF($K980-$M980&gt;7,"",IF($M980&lt;=$A980,"",IF(OR($B980&lt;=0,$N980&lt;=0),"",($N980/$B980)^(365/($M980-$A980))-1))))</f>
        <v/>
      </c>
      <c r="P980" s="31" t="str">
        <f>IF($B980="","",IF($P979="",$B980,MAX($P979,$B980)))</f>
        <v/>
      </c>
      <c r="Q980" s="32" t="str">
        <f>IF($P980="","",$B980/$P980-1)</f>
        <v/>
      </c>
    </row>
    <row r="981">
      <c r="A981" s="11" t="n"/>
      <c r="B981" s="29" t="n"/>
      <c r="K981" s="30" t="str">
        <f>IF($A981="","",EDATE($A981,12*$E$4))</f>
        <v/>
      </c>
      <c r="L981" s="19" t="str">
        <f>IF($K981="","",IF($K981&gt;MAX($A$8:$A$5007),"",IFERROR(MATCH($K981,$A$8:$A$5007,1),"")))</f>
        <v/>
      </c>
      <c r="M981" s="30" t="str">
        <f>IF($L981="","",INDEX($A$8:$A$5007,$L981))</f>
        <v/>
      </c>
      <c r="N981" s="31" t="str">
        <f>IF($L981="","",INDEX($B$8:$B$5007,$L981))</f>
        <v/>
      </c>
      <c r="O981" s="32" t="str">
        <f>IF($M981="","",IF($K981-$M981&gt;7,"",IF($M981&lt;=$A981,"",IF(OR($B981&lt;=0,$N981&lt;=0),"",($N981/$B981)^(365/($M981-$A981))-1))))</f>
        <v/>
      </c>
      <c r="P981" s="31" t="str">
        <f>IF($B981="","",IF($P980="",$B981,MAX($P980,$B981)))</f>
        <v/>
      </c>
      <c r="Q981" s="32" t="str">
        <f>IF($P981="","",$B981/$P981-1)</f>
        <v/>
      </c>
    </row>
    <row r="982">
      <c r="A982" s="11" t="n"/>
      <c r="B982" s="29" t="n"/>
      <c r="K982" s="30" t="str">
        <f>IF($A982="","",EDATE($A982,12*$E$4))</f>
        <v/>
      </c>
      <c r="L982" s="19" t="str">
        <f>IF($K982="","",IF($K982&gt;MAX($A$8:$A$5007),"",IFERROR(MATCH($K982,$A$8:$A$5007,1),"")))</f>
        <v/>
      </c>
      <c r="M982" s="30" t="str">
        <f>IF($L982="","",INDEX($A$8:$A$5007,$L982))</f>
        <v/>
      </c>
      <c r="N982" s="31" t="str">
        <f>IF($L982="","",INDEX($B$8:$B$5007,$L982))</f>
        <v/>
      </c>
      <c r="O982" s="32" t="str">
        <f>IF($M982="","",IF($K982-$M982&gt;7,"",IF($M982&lt;=$A982,"",IF(OR($B982&lt;=0,$N982&lt;=0),"",($N982/$B982)^(365/($M982-$A982))-1))))</f>
        <v/>
      </c>
      <c r="P982" s="31" t="str">
        <f>IF($B982="","",IF($P981="",$B982,MAX($P981,$B982)))</f>
        <v/>
      </c>
      <c r="Q982" s="32" t="str">
        <f>IF($P982="","",$B982/$P982-1)</f>
        <v/>
      </c>
    </row>
    <row r="983">
      <c r="A983" s="11" t="n"/>
      <c r="B983" s="29" t="n"/>
      <c r="K983" s="30" t="str">
        <f>IF($A983="","",EDATE($A983,12*$E$4))</f>
        <v/>
      </c>
      <c r="L983" s="19" t="str">
        <f>IF($K983="","",IF($K983&gt;MAX($A$8:$A$5007),"",IFERROR(MATCH($K983,$A$8:$A$5007,1),"")))</f>
        <v/>
      </c>
      <c r="M983" s="30" t="str">
        <f>IF($L983="","",INDEX($A$8:$A$5007,$L983))</f>
        <v/>
      </c>
      <c r="N983" s="31" t="str">
        <f>IF($L983="","",INDEX($B$8:$B$5007,$L983))</f>
        <v/>
      </c>
      <c r="O983" s="32" t="str">
        <f>IF($M983="","",IF($K983-$M983&gt;7,"",IF($M983&lt;=$A983,"",IF(OR($B983&lt;=0,$N983&lt;=0),"",($N983/$B983)^(365/($M983-$A983))-1))))</f>
        <v/>
      </c>
      <c r="P983" s="31" t="str">
        <f>IF($B983="","",IF($P982="",$B983,MAX($P982,$B983)))</f>
        <v/>
      </c>
      <c r="Q983" s="32" t="str">
        <f>IF($P983="","",$B983/$P983-1)</f>
        <v/>
      </c>
    </row>
    <row r="984">
      <c r="A984" s="11" t="n"/>
      <c r="B984" s="29" t="n"/>
      <c r="K984" s="30" t="str">
        <f>IF($A984="","",EDATE($A984,12*$E$4))</f>
        <v/>
      </c>
      <c r="L984" s="19" t="str">
        <f>IF($K984="","",IF($K984&gt;MAX($A$8:$A$5007),"",IFERROR(MATCH($K984,$A$8:$A$5007,1),"")))</f>
        <v/>
      </c>
      <c r="M984" s="30" t="str">
        <f>IF($L984="","",INDEX($A$8:$A$5007,$L984))</f>
        <v/>
      </c>
      <c r="N984" s="31" t="str">
        <f>IF($L984="","",INDEX($B$8:$B$5007,$L984))</f>
        <v/>
      </c>
      <c r="O984" s="32" t="str">
        <f>IF($M984="","",IF($K984-$M984&gt;7,"",IF($M984&lt;=$A984,"",IF(OR($B984&lt;=0,$N984&lt;=0),"",($N984/$B984)^(365/($M984-$A984))-1))))</f>
        <v/>
      </c>
      <c r="P984" s="31" t="str">
        <f>IF($B984="","",IF($P983="",$B984,MAX($P983,$B984)))</f>
        <v/>
      </c>
      <c r="Q984" s="32" t="str">
        <f>IF($P984="","",$B984/$P984-1)</f>
        <v/>
      </c>
    </row>
    <row r="985">
      <c r="A985" s="11" t="n"/>
      <c r="B985" s="29" t="n"/>
      <c r="K985" s="30" t="str">
        <f>IF($A985="","",EDATE($A985,12*$E$4))</f>
        <v/>
      </c>
      <c r="L985" s="19" t="str">
        <f>IF($K985="","",IF($K985&gt;MAX($A$8:$A$5007),"",IFERROR(MATCH($K985,$A$8:$A$5007,1),"")))</f>
        <v/>
      </c>
      <c r="M985" s="30" t="str">
        <f>IF($L985="","",INDEX($A$8:$A$5007,$L985))</f>
        <v/>
      </c>
      <c r="N985" s="31" t="str">
        <f>IF($L985="","",INDEX($B$8:$B$5007,$L985))</f>
        <v/>
      </c>
      <c r="O985" s="32" t="str">
        <f>IF($M985="","",IF($K985-$M985&gt;7,"",IF($M985&lt;=$A985,"",IF(OR($B985&lt;=0,$N985&lt;=0),"",($N985/$B985)^(365/($M985-$A985))-1))))</f>
        <v/>
      </c>
      <c r="P985" s="31" t="str">
        <f>IF($B985="","",IF($P984="",$B985,MAX($P984,$B985)))</f>
        <v/>
      </c>
      <c r="Q985" s="32" t="str">
        <f>IF($P985="","",$B985/$P985-1)</f>
        <v/>
      </c>
    </row>
    <row r="986">
      <c r="A986" s="11" t="n"/>
      <c r="B986" s="29" t="n"/>
      <c r="K986" s="30" t="str">
        <f>IF($A986="","",EDATE($A986,12*$E$4))</f>
        <v/>
      </c>
      <c r="L986" s="19" t="str">
        <f>IF($K986="","",IF($K986&gt;MAX($A$8:$A$5007),"",IFERROR(MATCH($K986,$A$8:$A$5007,1),"")))</f>
        <v/>
      </c>
      <c r="M986" s="30" t="str">
        <f>IF($L986="","",INDEX($A$8:$A$5007,$L986))</f>
        <v/>
      </c>
      <c r="N986" s="31" t="str">
        <f>IF($L986="","",INDEX($B$8:$B$5007,$L986))</f>
        <v/>
      </c>
      <c r="O986" s="32" t="str">
        <f>IF($M986="","",IF($K986-$M986&gt;7,"",IF($M986&lt;=$A986,"",IF(OR($B986&lt;=0,$N986&lt;=0),"",($N986/$B986)^(365/($M986-$A986))-1))))</f>
        <v/>
      </c>
      <c r="P986" s="31" t="str">
        <f>IF($B986="","",IF($P985="",$B986,MAX($P985,$B986)))</f>
        <v/>
      </c>
      <c r="Q986" s="32" t="str">
        <f>IF($P986="","",$B986/$P986-1)</f>
        <v/>
      </c>
    </row>
    <row r="987">
      <c r="A987" s="11" t="n"/>
      <c r="B987" s="29" t="n"/>
      <c r="K987" s="30" t="str">
        <f>IF($A987="","",EDATE($A987,12*$E$4))</f>
        <v/>
      </c>
      <c r="L987" s="19" t="str">
        <f>IF($K987="","",IF($K987&gt;MAX($A$8:$A$5007),"",IFERROR(MATCH($K987,$A$8:$A$5007,1),"")))</f>
        <v/>
      </c>
      <c r="M987" s="30" t="str">
        <f>IF($L987="","",INDEX($A$8:$A$5007,$L987))</f>
        <v/>
      </c>
      <c r="N987" s="31" t="str">
        <f>IF($L987="","",INDEX($B$8:$B$5007,$L987))</f>
        <v/>
      </c>
      <c r="O987" s="32" t="str">
        <f>IF($M987="","",IF($K987-$M987&gt;7,"",IF($M987&lt;=$A987,"",IF(OR($B987&lt;=0,$N987&lt;=0),"",($N987/$B987)^(365/($M987-$A987))-1))))</f>
        <v/>
      </c>
      <c r="P987" s="31" t="str">
        <f>IF($B987="","",IF($P986="",$B987,MAX($P986,$B987)))</f>
        <v/>
      </c>
      <c r="Q987" s="32" t="str">
        <f>IF($P987="","",$B987/$P987-1)</f>
        <v/>
      </c>
    </row>
    <row r="988">
      <c r="A988" s="11" t="n"/>
      <c r="B988" s="29" t="n"/>
      <c r="K988" s="30" t="str">
        <f>IF($A988="","",EDATE($A988,12*$E$4))</f>
        <v/>
      </c>
      <c r="L988" s="19" t="str">
        <f>IF($K988="","",IF($K988&gt;MAX($A$8:$A$5007),"",IFERROR(MATCH($K988,$A$8:$A$5007,1),"")))</f>
        <v/>
      </c>
      <c r="M988" s="30" t="str">
        <f>IF($L988="","",INDEX($A$8:$A$5007,$L988))</f>
        <v/>
      </c>
      <c r="N988" s="31" t="str">
        <f>IF($L988="","",INDEX($B$8:$B$5007,$L988))</f>
        <v/>
      </c>
      <c r="O988" s="32" t="str">
        <f>IF($M988="","",IF($K988-$M988&gt;7,"",IF($M988&lt;=$A988,"",IF(OR($B988&lt;=0,$N988&lt;=0),"",($N988/$B988)^(365/($M988-$A988))-1))))</f>
        <v/>
      </c>
      <c r="P988" s="31" t="str">
        <f>IF($B988="","",IF($P987="",$B988,MAX($P987,$B988)))</f>
        <v/>
      </c>
      <c r="Q988" s="32" t="str">
        <f>IF($P988="","",$B988/$P988-1)</f>
        <v/>
      </c>
    </row>
    <row r="989">
      <c r="A989" s="11" t="n"/>
      <c r="B989" s="29" t="n"/>
      <c r="K989" s="30" t="str">
        <f>IF($A989="","",EDATE($A989,12*$E$4))</f>
        <v/>
      </c>
      <c r="L989" s="19" t="str">
        <f>IF($K989="","",IF($K989&gt;MAX($A$8:$A$5007),"",IFERROR(MATCH($K989,$A$8:$A$5007,1),"")))</f>
        <v/>
      </c>
      <c r="M989" s="30" t="str">
        <f>IF($L989="","",INDEX($A$8:$A$5007,$L989))</f>
        <v/>
      </c>
      <c r="N989" s="31" t="str">
        <f>IF($L989="","",INDEX($B$8:$B$5007,$L989))</f>
        <v/>
      </c>
      <c r="O989" s="32" t="str">
        <f>IF($M989="","",IF($K989-$M989&gt;7,"",IF($M989&lt;=$A989,"",IF(OR($B989&lt;=0,$N989&lt;=0),"",($N989/$B989)^(365/($M989-$A989))-1))))</f>
        <v/>
      </c>
      <c r="P989" s="31" t="str">
        <f>IF($B989="","",IF($P988="",$B989,MAX($P988,$B989)))</f>
        <v/>
      </c>
      <c r="Q989" s="32" t="str">
        <f>IF($P989="","",$B989/$P989-1)</f>
        <v/>
      </c>
    </row>
    <row r="990">
      <c r="A990" s="11" t="n"/>
      <c r="B990" s="29" t="n"/>
      <c r="K990" s="30" t="str">
        <f>IF($A990="","",EDATE($A990,12*$E$4))</f>
        <v/>
      </c>
      <c r="L990" s="19" t="str">
        <f>IF($K990="","",IF($K990&gt;MAX($A$8:$A$5007),"",IFERROR(MATCH($K990,$A$8:$A$5007,1),"")))</f>
        <v/>
      </c>
      <c r="M990" s="30" t="str">
        <f>IF($L990="","",INDEX($A$8:$A$5007,$L990))</f>
        <v/>
      </c>
      <c r="N990" s="31" t="str">
        <f>IF($L990="","",INDEX($B$8:$B$5007,$L990))</f>
        <v/>
      </c>
      <c r="O990" s="32" t="str">
        <f>IF($M990="","",IF($K990-$M990&gt;7,"",IF($M990&lt;=$A990,"",IF(OR($B990&lt;=0,$N990&lt;=0),"",($N990/$B990)^(365/($M990-$A990))-1))))</f>
        <v/>
      </c>
      <c r="P990" s="31" t="str">
        <f>IF($B990="","",IF($P989="",$B990,MAX($P989,$B990)))</f>
        <v/>
      </c>
      <c r="Q990" s="32" t="str">
        <f>IF($P990="","",$B990/$P990-1)</f>
        <v/>
      </c>
    </row>
    <row r="991">
      <c r="A991" s="11" t="n"/>
      <c r="B991" s="29" t="n"/>
      <c r="K991" s="30" t="str">
        <f>IF($A991="","",EDATE($A991,12*$E$4))</f>
        <v/>
      </c>
      <c r="L991" s="19" t="str">
        <f>IF($K991="","",IF($K991&gt;MAX($A$8:$A$5007),"",IFERROR(MATCH($K991,$A$8:$A$5007,1),"")))</f>
        <v/>
      </c>
      <c r="M991" s="30" t="str">
        <f>IF($L991="","",INDEX($A$8:$A$5007,$L991))</f>
        <v/>
      </c>
      <c r="N991" s="31" t="str">
        <f>IF($L991="","",INDEX($B$8:$B$5007,$L991))</f>
        <v/>
      </c>
      <c r="O991" s="32" t="str">
        <f>IF($M991="","",IF($K991-$M991&gt;7,"",IF($M991&lt;=$A991,"",IF(OR($B991&lt;=0,$N991&lt;=0),"",($N991/$B991)^(365/($M991-$A991))-1))))</f>
        <v/>
      </c>
      <c r="P991" s="31" t="str">
        <f>IF($B991="","",IF($P990="",$B991,MAX($P990,$B991)))</f>
        <v/>
      </c>
      <c r="Q991" s="32" t="str">
        <f>IF($P991="","",$B991/$P991-1)</f>
        <v/>
      </c>
    </row>
    <row r="992">
      <c r="A992" s="11" t="n"/>
      <c r="B992" s="29" t="n"/>
      <c r="K992" s="30" t="str">
        <f>IF($A992="","",EDATE($A992,12*$E$4))</f>
        <v/>
      </c>
      <c r="L992" s="19" t="str">
        <f>IF($K992="","",IF($K992&gt;MAX($A$8:$A$5007),"",IFERROR(MATCH($K992,$A$8:$A$5007,1),"")))</f>
        <v/>
      </c>
      <c r="M992" s="30" t="str">
        <f>IF($L992="","",INDEX($A$8:$A$5007,$L992))</f>
        <v/>
      </c>
      <c r="N992" s="31" t="str">
        <f>IF($L992="","",INDEX($B$8:$B$5007,$L992))</f>
        <v/>
      </c>
      <c r="O992" s="32" t="str">
        <f>IF($M992="","",IF($K992-$M992&gt;7,"",IF($M992&lt;=$A992,"",IF(OR($B992&lt;=0,$N992&lt;=0),"",($N992/$B992)^(365/($M992-$A992))-1))))</f>
        <v/>
      </c>
      <c r="P992" s="31" t="str">
        <f>IF($B992="","",IF($P991="",$B992,MAX($P991,$B992)))</f>
        <v/>
      </c>
      <c r="Q992" s="32" t="str">
        <f>IF($P992="","",$B992/$P992-1)</f>
        <v/>
      </c>
    </row>
    <row r="993">
      <c r="A993" s="11" t="n"/>
      <c r="B993" s="29" t="n"/>
      <c r="K993" s="30" t="str">
        <f>IF($A993="","",EDATE($A993,12*$E$4))</f>
        <v/>
      </c>
      <c r="L993" s="19" t="str">
        <f>IF($K993="","",IF($K993&gt;MAX($A$8:$A$5007),"",IFERROR(MATCH($K993,$A$8:$A$5007,1),"")))</f>
        <v/>
      </c>
      <c r="M993" s="30" t="str">
        <f>IF($L993="","",INDEX($A$8:$A$5007,$L993))</f>
        <v/>
      </c>
      <c r="N993" s="31" t="str">
        <f>IF($L993="","",INDEX($B$8:$B$5007,$L993))</f>
        <v/>
      </c>
      <c r="O993" s="32" t="str">
        <f>IF($M993="","",IF($K993-$M993&gt;7,"",IF($M993&lt;=$A993,"",IF(OR($B993&lt;=0,$N993&lt;=0),"",($N993/$B993)^(365/($M993-$A993))-1))))</f>
        <v/>
      </c>
      <c r="P993" s="31" t="str">
        <f>IF($B993="","",IF($P992="",$B993,MAX($P992,$B993)))</f>
        <v/>
      </c>
      <c r="Q993" s="32" t="str">
        <f>IF($P993="","",$B993/$P993-1)</f>
        <v/>
      </c>
    </row>
    <row r="994">
      <c r="A994" s="11" t="n"/>
      <c r="B994" s="29" t="n"/>
      <c r="K994" s="30" t="str">
        <f>IF($A994="","",EDATE($A994,12*$E$4))</f>
        <v/>
      </c>
      <c r="L994" s="19" t="str">
        <f>IF($K994="","",IF($K994&gt;MAX($A$8:$A$5007),"",IFERROR(MATCH($K994,$A$8:$A$5007,1),"")))</f>
        <v/>
      </c>
      <c r="M994" s="30" t="str">
        <f>IF($L994="","",INDEX($A$8:$A$5007,$L994))</f>
        <v/>
      </c>
      <c r="N994" s="31" t="str">
        <f>IF($L994="","",INDEX($B$8:$B$5007,$L994))</f>
        <v/>
      </c>
      <c r="O994" s="32" t="str">
        <f>IF($M994="","",IF($K994-$M994&gt;7,"",IF($M994&lt;=$A994,"",IF(OR($B994&lt;=0,$N994&lt;=0),"",($N994/$B994)^(365/($M994-$A994))-1))))</f>
        <v/>
      </c>
      <c r="P994" s="31" t="str">
        <f>IF($B994="","",IF($P993="",$B994,MAX($P993,$B994)))</f>
        <v/>
      </c>
      <c r="Q994" s="32" t="str">
        <f>IF($P994="","",$B994/$P994-1)</f>
        <v/>
      </c>
    </row>
    <row r="995">
      <c r="A995" s="11" t="n"/>
      <c r="B995" s="29" t="n"/>
      <c r="K995" s="30" t="str">
        <f>IF($A995="","",EDATE($A995,12*$E$4))</f>
        <v/>
      </c>
      <c r="L995" s="19" t="str">
        <f>IF($K995="","",IF($K995&gt;MAX($A$8:$A$5007),"",IFERROR(MATCH($K995,$A$8:$A$5007,1),"")))</f>
        <v/>
      </c>
      <c r="M995" s="30" t="str">
        <f>IF($L995="","",INDEX($A$8:$A$5007,$L995))</f>
        <v/>
      </c>
      <c r="N995" s="31" t="str">
        <f>IF($L995="","",INDEX($B$8:$B$5007,$L995))</f>
        <v/>
      </c>
      <c r="O995" s="32" t="str">
        <f>IF($M995="","",IF($K995-$M995&gt;7,"",IF($M995&lt;=$A995,"",IF(OR($B995&lt;=0,$N995&lt;=0),"",($N995/$B995)^(365/($M995-$A995))-1))))</f>
        <v/>
      </c>
      <c r="P995" s="31" t="str">
        <f>IF($B995="","",IF($P994="",$B995,MAX($P994,$B995)))</f>
        <v/>
      </c>
      <c r="Q995" s="32" t="str">
        <f>IF($P995="","",$B995/$P995-1)</f>
        <v/>
      </c>
    </row>
    <row r="996">
      <c r="A996" s="11" t="n"/>
      <c r="B996" s="29" t="n"/>
      <c r="K996" s="30" t="str">
        <f>IF($A996="","",EDATE($A996,12*$E$4))</f>
        <v/>
      </c>
      <c r="L996" s="19" t="str">
        <f>IF($K996="","",IF($K996&gt;MAX($A$8:$A$5007),"",IFERROR(MATCH($K996,$A$8:$A$5007,1),"")))</f>
        <v/>
      </c>
      <c r="M996" s="30" t="str">
        <f>IF($L996="","",INDEX($A$8:$A$5007,$L996))</f>
        <v/>
      </c>
      <c r="N996" s="31" t="str">
        <f>IF($L996="","",INDEX($B$8:$B$5007,$L996))</f>
        <v/>
      </c>
      <c r="O996" s="32" t="str">
        <f>IF($M996="","",IF($K996-$M996&gt;7,"",IF($M996&lt;=$A996,"",IF(OR($B996&lt;=0,$N996&lt;=0),"",($N996/$B996)^(365/($M996-$A996))-1))))</f>
        <v/>
      </c>
      <c r="P996" s="31" t="str">
        <f>IF($B996="","",IF($P995="",$B996,MAX($P995,$B996)))</f>
        <v/>
      </c>
      <c r="Q996" s="32" t="str">
        <f>IF($P996="","",$B996/$P996-1)</f>
        <v/>
      </c>
    </row>
    <row r="997">
      <c r="A997" s="11" t="n"/>
      <c r="B997" s="29" t="n"/>
      <c r="K997" s="30" t="str">
        <f>IF($A997="","",EDATE($A997,12*$E$4))</f>
        <v/>
      </c>
      <c r="L997" s="19" t="str">
        <f>IF($K997="","",IF($K997&gt;MAX($A$8:$A$5007),"",IFERROR(MATCH($K997,$A$8:$A$5007,1),"")))</f>
        <v/>
      </c>
      <c r="M997" s="30" t="str">
        <f>IF($L997="","",INDEX($A$8:$A$5007,$L997))</f>
        <v/>
      </c>
      <c r="N997" s="31" t="str">
        <f>IF($L997="","",INDEX($B$8:$B$5007,$L997))</f>
        <v/>
      </c>
      <c r="O997" s="32" t="str">
        <f>IF($M997="","",IF($K997-$M997&gt;7,"",IF($M997&lt;=$A997,"",IF(OR($B997&lt;=0,$N997&lt;=0),"",($N997/$B997)^(365/($M997-$A997))-1))))</f>
        <v/>
      </c>
      <c r="P997" s="31" t="str">
        <f>IF($B997="","",IF($P996="",$B997,MAX($P996,$B997)))</f>
        <v/>
      </c>
      <c r="Q997" s="32" t="str">
        <f>IF($P997="","",$B997/$P997-1)</f>
        <v/>
      </c>
    </row>
    <row r="998">
      <c r="A998" s="11" t="n"/>
      <c r="B998" s="29" t="n"/>
      <c r="K998" s="30" t="str">
        <f>IF($A998="","",EDATE($A998,12*$E$4))</f>
        <v/>
      </c>
      <c r="L998" s="19" t="str">
        <f>IF($K998="","",IF($K998&gt;MAX($A$8:$A$5007),"",IFERROR(MATCH($K998,$A$8:$A$5007,1),"")))</f>
        <v/>
      </c>
      <c r="M998" s="30" t="str">
        <f>IF($L998="","",INDEX($A$8:$A$5007,$L998))</f>
        <v/>
      </c>
      <c r="N998" s="31" t="str">
        <f>IF($L998="","",INDEX($B$8:$B$5007,$L998))</f>
        <v/>
      </c>
      <c r="O998" s="32" t="str">
        <f>IF($M998="","",IF($K998-$M998&gt;7,"",IF($M998&lt;=$A998,"",IF(OR($B998&lt;=0,$N998&lt;=0),"",($N998/$B998)^(365/($M998-$A998))-1))))</f>
        <v/>
      </c>
      <c r="P998" s="31" t="str">
        <f>IF($B998="","",IF($P997="",$B998,MAX($P997,$B998)))</f>
        <v/>
      </c>
      <c r="Q998" s="32" t="str">
        <f>IF($P998="","",$B998/$P998-1)</f>
        <v/>
      </c>
    </row>
    <row r="999">
      <c r="A999" s="11" t="n"/>
      <c r="B999" s="29" t="n"/>
      <c r="K999" s="30" t="str">
        <f>IF($A999="","",EDATE($A999,12*$E$4))</f>
        <v/>
      </c>
      <c r="L999" s="19" t="str">
        <f>IF($K999="","",IF($K999&gt;MAX($A$8:$A$5007),"",IFERROR(MATCH($K999,$A$8:$A$5007,1),"")))</f>
        <v/>
      </c>
      <c r="M999" s="30" t="str">
        <f>IF($L999="","",INDEX($A$8:$A$5007,$L999))</f>
        <v/>
      </c>
      <c r="N999" s="31" t="str">
        <f>IF($L999="","",INDEX($B$8:$B$5007,$L999))</f>
        <v/>
      </c>
      <c r="O999" s="32" t="str">
        <f>IF($M999="","",IF($K999-$M999&gt;7,"",IF($M999&lt;=$A999,"",IF(OR($B999&lt;=0,$N999&lt;=0),"",($N999/$B999)^(365/($M999-$A999))-1))))</f>
        <v/>
      </c>
      <c r="P999" s="31" t="str">
        <f>IF($B999="","",IF($P998="",$B999,MAX($P998,$B999)))</f>
        <v/>
      </c>
      <c r="Q999" s="32" t="str">
        <f>IF($P999="","",$B999/$P999-1)</f>
        <v/>
      </c>
    </row>
    <row r="1000">
      <c r="A1000" s="11" t="n"/>
      <c r="B1000" s="29" t="n"/>
      <c r="K1000" s="30" t="str">
        <f>IF($A1000="","",EDATE($A1000,12*$E$4))</f>
        <v/>
      </c>
      <c r="L1000" s="19" t="str">
        <f>IF($K1000="","",IF($K1000&gt;MAX($A$8:$A$5007),"",IFERROR(MATCH($K1000,$A$8:$A$5007,1),"")))</f>
        <v/>
      </c>
      <c r="M1000" s="30" t="str">
        <f>IF($L1000="","",INDEX($A$8:$A$5007,$L1000))</f>
        <v/>
      </c>
      <c r="N1000" s="31" t="str">
        <f>IF($L1000="","",INDEX($B$8:$B$5007,$L1000))</f>
        <v/>
      </c>
      <c r="O1000" s="32" t="str">
        <f>IF($M1000="","",IF($K1000-$M1000&gt;7,"",IF($M1000&lt;=$A1000,"",IF(OR($B1000&lt;=0,$N1000&lt;=0),"",($N1000/$B1000)^(365/($M1000-$A1000))-1))))</f>
        <v/>
      </c>
      <c r="P1000" s="31" t="str">
        <f>IF($B1000="","",IF($P999="",$B1000,MAX($P999,$B1000)))</f>
        <v/>
      </c>
      <c r="Q1000" s="32" t="str">
        <f>IF($P1000="","",$B1000/$P1000-1)</f>
        <v/>
      </c>
    </row>
    <row r="1001">
      <c r="A1001" s="11" t="n"/>
      <c r="B1001" s="29" t="n"/>
      <c r="K1001" s="30" t="str">
        <f>IF($A1001="","",EDATE($A1001,12*$E$4))</f>
        <v/>
      </c>
      <c r="L1001" s="19" t="str">
        <f>IF($K1001="","",IF($K1001&gt;MAX($A$8:$A$5007),"",IFERROR(MATCH($K1001,$A$8:$A$5007,1),"")))</f>
        <v/>
      </c>
      <c r="M1001" s="30" t="str">
        <f>IF($L1001="","",INDEX($A$8:$A$5007,$L1001))</f>
        <v/>
      </c>
      <c r="N1001" s="31" t="str">
        <f>IF($L1001="","",INDEX($B$8:$B$5007,$L1001))</f>
        <v/>
      </c>
      <c r="O1001" s="32" t="str">
        <f>IF($M1001="","",IF($K1001-$M1001&gt;7,"",IF($M1001&lt;=$A1001,"",IF(OR($B1001&lt;=0,$N1001&lt;=0),"",($N1001/$B1001)^(365/($M1001-$A1001))-1))))</f>
        <v/>
      </c>
      <c r="P1001" s="31" t="str">
        <f>IF($B1001="","",IF($P1000="",$B1001,MAX($P1000,$B1001)))</f>
        <v/>
      </c>
      <c r="Q1001" s="32" t="str">
        <f>IF($P1001="","",$B1001/$P1001-1)</f>
        <v/>
      </c>
    </row>
    <row r="1002">
      <c r="A1002" s="11" t="n"/>
      <c r="B1002" s="29" t="n"/>
      <c r="K1002" s="30" t="str">
        <f>IF($A1002="","",EDATE($A1002,12*$E$4))</f>
        <v/>
      </c>
      <c r="L1002" s="19" t="str">
        <f>IF($K1002="","",IF($K1002&gt;MAX($A$8:$A$5007),"",IFERROR(MATCH($K1002,$A$8:$A$5007,1),"")))</f>
        <v/>
      </c>
      <c r="M1002" s="30" t="str">
        <f>IF($L1002="","",INDEX($A$8:$A$5007,$L1002))</f>
        <v/>
      </c>
      <c r="N1002" s="31" t="str">
        <f>IF($L1002="","",INDEX($B$8:$B$5007,$L1002))</f>
        <v/>
      </c>
      <c r="O1002" s="32" t="str">
        <f>IF($M1002="","",IF($K1002-$M1002&gt;7,"",IF($M1002&lt;=$A1002,"",IF(OR($B1002&lt;=0,$N1002&lt;=0),"",($N1002/$B1002)^(365/($M1002-$A1002))-1))))</f>
        <v/>
      </c>
      <c r="P1002" s="31" t="str">
        <f>IF($B1002="","",IF($P1001="",$B1002,MAX($P1001,$B1002)))</f>
        <v/>
      </c>
      <c r="Q1002" s="32" t="str">
        <f>IF($P1002="","",$B1002/$P1002-1)</f>
        <v/>
      </c>
    </row>
    <row r="1003">
      <c r="A1003" s="11" t="n"/>
      <c r="B1003" s="29" t="n"/>
      <c r="K1003" s="30" t="str">
        <f>IF($A1003="","",EDATE($A1003,12*$E$4))</f>
        <v/>
      </c>
      <c r="L1003" s="19" t="str">
        <f>IF($K1003="","",IF($K1003&gt;MAX($A$8:$A$5007),"",IFERROR(MATCH($K1003,$A$8:$A$5007,1),"")))</f>
        <v/>
      </c>
      <c r="M1003" s="30" t="str">
        <f>IF($L1003="","",INDEX($A$8:$A$5007,$L1003))</f>
        <v/>
      </c>
      <c r="N1003" s="31" t="str">
        <f>IF($L1003="","",INDEX($B$8:$B$5007,$L1003))</f>
        <v/>
      </c>
      <c r="O1003" s="32" t="str">
        <f>IF($M1003="","",IF($K1003-$M1003&gt;7,"",IF($M1003&lt;=$A1003,"",IF(OR($B1003&lt;=0,$N1003&lt;=0),"",($N1003/$B1003)^(365/($M1003-$A1003))-1))))</f>
        <v/>
      </c>
      <c r="P1003" s="31" t="str">
        <f>IF($B1003="","",IF($P1002="",$B1003,MAX($P1002,$B1003)))</f>
        <v/>
      </c>
      <c r="Q1003" s="32" t="str">
        <f>IF($P1003="","",$B1003/$P1003-1)</f>
        <v/>
      </c>
    </row>
    <row r="1004">
      <c r="A1004" s="11" t="n"/>
      <c r="B1004" s="29" t="n"/>
      <c r="K1004" s="30" t="str">
        <f>IF($A1004="","",EDATE($A1004,12*$E$4))</f>
        <v/>
      </c>
      <c r="L1004" s="19" t="str">
        <f>IF($K1004="","",IF($K1004&gt;MAX($A$8:$A$5007),"",IFERROR(MATCH($K1004,$A$8:$A$5007,1),"")))</f>
        <v/>
      </c>
      <c r="M1004" s="30" t="str">
        <f>IF($L1004="","",INDEX($A$8:$A$5007,$L1004))</f>
        <v/>
      </c>
      <c r="N1004" s="31" t="str">
        <f>IF($L1004="","",INDEX($B$8:$B$5007,$L1004))</f>
        <v/>
      </c>
      <c r="O1004" s="32" t="str">
        <f>IF($M1004="","",IF($K1004-$M1004&gt;7,"",IF($M1004&lt;=$A1004,"",IF(OR($B1004&lt;=0,$N1004&lt;=0),"",($N1004/$B1004)^(365/($M1004-$A1004))-1))))</f>
        <v/>
      </c>
      <c r="P1004" s="31" t="str">
        <f>IF($B1004="","",IF($P1003="",$B1004,MAX($P1003,$B1004)))</f>
        <v/>
      </c>
      <c r="Q1004" s="32" t="str">
        <f>IF($P1004="","",$B1004/$P1004-1)</f>
        <v/>
      </c>
    </row>
    <row r="1005">
      <c r="A1005" s="11" t="n"/>
      <c r="B1005" s="29" t="n"/>
      <c r="K1005" s="30" t="str">
        <f>IF($A1005="","",EDATE($A1005,12*$E$4))</f>
        <v/>
      </c>
      <c r="L1005" s="19" t="str">
        <f>IF($K1005="","",IF($K1005&gt;MAX($A$8:$A$5007),"",IFERROR(MATCH($K1005,$A$8:$A$5007,1),"")))</f>
        <v/>
      </c>
      <c r="M1005" s="30" t="str">
        <f>IF($L1005="","",INDEX($A$8:$A$5007,$L1005))</f>
        <v/>
      </c>
      <c r="N1005" s="31" t="str">
        <f>IF($L1005="","",INDEX($B$8:$B$5007,$L1005))</f>
        <v/>
      </c>
      <c r="O1005" s="32" t="str">
        <f>IF($M1005="","",IF($K1005-$M1005&gt;7,"",IF($M1005&lt;=$A1005,"",IF(OR($B1005&lt;=0,$N1005&lt;=0),"",($N1005/$B1005)^(365/($M1005-$A1005))-1))))</f>
        <v/>
      </c>
      <c r="P1005" s="31" t="str">
        <f>IF($B1005="","",IF($P1004="",$B1005,MAX($P1004,$B1005)))</f>
        <v/>
      </c>
      <c r="Q1005" s="32" t="str">
        <f>IF($P1005="","",$B1005/$P1005-1)</f>
        <v/>
      </c>
    </row>
    <row r="1006">
      <c r="A1006" s="11" t="n"/>
      <c r="B1006" s="29" t="n"/>
      <c r="K1006" s="30" t="str">
        <f>IF($A1006="","",EDATE($A1006,12*$E$4))</f>
        <v/>
      </c>
      <c r="L1006" s="19" t="str">
        <f>IF($K1006="","",IF($K1006&gt;MAX($A$8:$A$5007),"",IFERROR(MATCH($K1006,$A$8:$A$5007,1),"")))</f>
        <v/>
      </c>
      <c r="M1006" s="30" t="str">
        <f>IF($L1006="","",INDEX($A$8:$A$5007,$L1006))</f>
        <v/>
      </c>
      <c r="N1006" s="31" t="str">
        <f>IF($L1006="","",INDEX($B$8:$B$5007,$L1006))</f>
        <v/>
      </c>
      <c r="O1006" s="32" t="str">
        <f>IF($M1006="","",IF($K1006-$M1006&gt;7,"",IF($M1006&lt;=$A1006,"",IF(OR($B1006&lt;=0,$N1006&lt;=0),"",($N1006/$B1006)^(365/($M1006-$A1006))-1))))</f>
        <v/>
      </c>
      <c r="P1006" s="31" t="str">
        <f>IF($B1006="","",IF($P1005="",$B1006,MAX($P1005,$B1006)))</f>
        <v/>
      </c>
      <c r="Q1006" s="32" t="str">
        <f>IF($P1006="","",$B1006/$P1006-1)</f>
        <v/>
      </c>
    </row>
    <row r="1007">
      <c r="A1007" s="11" t="n"/>
      <c r="B1007" s="29" t="n"/>
      <c r="K1007" s="30" t="str">
        <f>IF($A1007="","",EDATE($A1007,12*$E$4))</f>
        <v/>
      </c>
      <c r="L1007" s="19" t="str">
        <f>IF($K1007="","",IF($K1007&gt;MAX($A$8:$A$5007),"",IFERROR(MATCH($K1007,$A$8:$A$5007,1),"")))</f>
        <v/>
      </c>
      <c r="M1007" s="30" t="str">
        <f>IF($L1007="","",INDEX($A$8:$A$5007,$L1007))</f>
        <v/>
      </c>
      <c r="N1007" s="31" t="str">
        <f>IF($L1007="","",INDEX($B$8:$B$5007,$L1007))</f>
        <v/>
      </c>
      <c r="O1007" s="32" t="str">
        <f>IF($M1007="","",IF($K1007-$M1007&gt;7,"",IF($M1007&lt;=$A1007,"",IF(OR($B1007&lt;=0,$N1007&lt;=0),"",($N1007/$B1007)^(365/($M1007-$A1007))-1))))</f>
        <v/>
      </c>
      <c r="P1007" s="31" t="str">
        <f>IF($B1007="","",IF($P1006="",$B1007,MAX($P1006,$B1007)))</f>
        <v/>
      </c>
      <c r="Q1007" s="32" t="str">
        <f>IF($P1007="","",$B1007/$P1007-1)</f>
        <v/>
      </c>
    </row>
    <row r="1008">
      <c r="A1008" s="11" t="n"/>
      <c r="B1008" s="29" t="n"/>
      <c r="K1008" s="30" t="str">
        <f>IF($A1008="","",EDATE($A1008,12*$E$4))</f>
        <v/>
      </c>
      <c r="L1008" s="19" t="str">
        <f>IF($K1008="","",IF($K1008&gt;MAX($A$8:$A$5007),"",IFERROR(MATCH($K1008,$A$8:$A$5007,1),"")))</f>
        <v/>
      </c>
      <c r="M1008" s="30" t="str">
        <f>IF($L1008="","",INDEX($A$8:$A$5007,$L1008))</f>
        <v/>
      </c>
      <c r="N1008" s="31" t="str">
        <f>IF($L1008="","",INDEX($B$8:$B$5007,$L1008))</f>
        <v/>
      </c>
      <c r="O1008" s="32" t="str">
        <f>IF($M1008="","",IF($K1008-$M1008&gt;7,"",IF($M1008&lt;=$A1008,"",IF(OR($B1008&lt;=0,$N1008&lt;=0),"",($N1008/$B1008)^(365/($M1008-$A1008))-1))))</f>
        <v/>
      </c>
      <c r="P1008" s="31" t="str">
        <f>IF($B1008="","",IF($P1007="",$B1008,MAX($P1007,$B1008)))</f>
        <v/>
      </c>
      <c r="Q1008" s="32" t="str">
        <f>IF($P1008="","",$B1008/$P1008-1)</f>
        <v/>
      </c>
    </row>
    <row r="1009">
      <c r="A1009" s="11" t="n"/>
      <c r="B1009" s="29" t="n"/>
      <c r="K1009" s="30" t="str">
        <f>IF($A1009="","",EDATE($A1009,12*$E$4))</f>
        <v/>
      </c>
      <c r="L1009" s="19" t="str">
        <f>IF($K1009="","",IF($K1009&gt;MAX($A$8:$A$5007),"",IFERROR(MATCH($K1009,$A$8:$A$5007,1),"")))</f>
        <v/>
      </c>
      <c r="M1009" s="30" t="str">
        <f>IF($L1009="","",INDEX($A$8:$A$5007,$L1009))</f>
        <v/>
      </c>
      <c r="N1009" s="31" t="str">
        <f>IF($L1009="","",INDEX($B$8:$B$5007,$L1009))</f>
        <v/>
      </c>
      <c r="O1009" s="32" t="str">
        <f>IF($M1009="","",IF($K1009-$M1009&gt;7,"",IF($M1009&lt;=$A1009,"",IF(OR($B1009&lt;=0,$N1009&lt;=0),"",($N1009/$B1009)^(365/($M1009-$A1009))-1))))</f>
        <v/>
      </c>
      <c r="P1009" s="31" t="str">
        <f>IF($B1009="","",IF($P1008="",$B1009,MAX($P1008,$B1009)))</f>
        <v/>
      </c>
      <c r="Q1009" s="32" t="str">
        <f>IF($P1009="","",$B1009/$P1009-1)</f>
        <v/>
      </c>
    </row>
    <row r="1010">
      <c r="A1010" s="11" t="n"/>
      <c r="B1010" s="29" t="n"/>
      <c r="K1010" s="30" t="str">
        <f>IF($A1010="","",EDATE($A1010,12*$E$4))</f>
        <v/>
      </c>
      <c r="L1010" s="19" t="str">
        <f>IF($K1010="","",IF($K1010&gt;MAX($A$8:$A$5007),"",IFERROR(MATCH($K1010,$A$8:$A$5007,1),"")))</f>
        <v/>
      </c>
      <c r="M1010" s="30" t="str">
        <f>IF($L1010="","",INDEX($A$8:$A$5007,$L1010))</f>
        <v/>
      </c>
      <c r="N1010" s="31" t="str">
        <f>IF($L1010="","",INDEX($B$8:$B$5007,$L1010))</f>
        <v/>
      </c>
      <c r="O1010" s="32" t="str">
        <f>IF($M1010="","",IF($K1010-$M1010&gt;7,"",IF($M1010&lt;=$A1010,"",IF(OR($B1010&lt;=0,$N1010&lt;=0),"",($N1010/$B1010)^(365/($M1010-$A1010))-1))))</f>
        <v/>
      </c>
      <c r="P1010" s="31" t="str">
        <f>IF($B1010="","",IF($P1009="",$B1010,MAX($P1009,$B1010)))</f>
        <v/>
      </c>
      <c r="Q1010" s="32" t="str">
        <f>IF($P1010="","",$B1010/$P1010-1)</f>
        <v/>
      </c>
    </row>
    <row r="1011">
      <c r="A1011" s="11" t="n"/>
      <c r="B1011" s="29" t="n"/>
      <c r="K1011" s="30" t="str">
        <f>IF($A1011="","",EDATE($A1011,12*$E$4))</f>
        <v/>
      </c>
      <c r="L1011" s="19" t="str">
        <f>IF($K1011="","",IF($K1011&gt;MAX($A$8:$A$5007),"",IFERROR(MATCH($K1011,$A$8:$A$5007,1),"")))</f>
        <v/>
      </c>
      <c r="M1011" s="30" t="str">
        <f>IF($L1011="","",INDEX($A$8:$A$5007,$L1011))</f>
        <v/>
      </c>
      <c r="N1011" s="31" t="str">
        <f>IF($L1011="","",INDEX($B$8:$B$5007,$L1011))</f>
        <v/>
      </c>
      <c r="O1011" s="32" t="str">
        <f>IF($M1011="","",IF($K1011-$M1011&gt;7,"",IF($M1011&lt;=$A1011,"",IF(OR($B1011&lt;=0,$N1011&lt;=0),"",($N1011/$B1011)^(365/($M1011-$A1011))-1))))</f>
        <v/>
      </c>
      <c r="P1011" s="31" t="str">
        <f>IF($B1011="","",IF($P1010="",$B1011,MAX($P1010,$B1011)))</f>
        <v/>
      </c>
      <c r="Q1011" s="32" t="str">
        <f>IF($P1011="","",$B1011/$P1011-1)</f>
        <v/>
      </c>
    </row>
    <row r="1012">
      <c r="A1012" s="11" t="n"/>
      <c r="B1012" s="29" t="n"/>
      <c r="K1012" s="30" t="str">
        <f>IF($A1012="","",EDATE($A1012,12*$E$4))</f>
        <v/>
      </c>
      <c r="L1012" s="19" t="str">
        <f>IF($K1012="","",IF($K1012&gt;MAX($A$8:$A$5007),"",IFERROR(MATCH($K1012,$A$8:$A$5007,1),"")))</f>
        <v/>
      </c>
      <c r="M1012" s="30" t="str">
        <f>IF($L1012="","",INDEX($A$8:$A$5007,$L1012))</f>
        <v/>
      </c>
      <c r="N1012" s="31" t="str">
        <f>IF($L1012="","",INDEX($B$8:$B$5007,$L1012))</f>
        <v/>
      </c>
      <c r="O1012" s="32" t="str">
        <f>IF($M1012="","",IF($K1012-$M1012&gt;7,"",IF($M1012&lt;=$A1012,"",IF(OR($B1012&lt;=0,$N1012&lt;=0),"",($N1012/$B1012)^(365/($M1012-$A1012))-1))))</f>
        <v/>
      </c>
      <c r="P1012" s="31" t="str">
        <f>IF($B1012="","",IF($P1011="",$B1012,MAX($P1011,$B1012)))</f>
        <v/>
      </c>
      <c r="Q1012" s="32" t="str">
        <f>IF($P1012="","",$B1012/$P1012-1)</f>
        <v/>
      </c>
    </row>
    <row r="1013">
      <c r="A1013" s="11" t="n"/>
      <c r="B1013" s="29" t="n"/>
      <c r="K1013" s="30" t="str">
        <f>IF($A1013="","",EDATE($A1013,12*$E$4))</f>
        <v/>
      </c>
      <c r="L1013" s="19" t="str">
        <f>IF($K1013="","",IF($K1013&gt;MAX($A$8:$A$5007),"",IFERROR(MATCH($K1013,$A$8:$A$5007,1),"")))</f>
        <v/>
      </c>
      <c r="M1013" s="30" t="str">
        <f>IF($L1013="","",INDEX($A$8:$A$5007,$L1013))</f>
        <v/>
      </c>
      <c r="N1013" s="31" t="str">
        <f>IF($L1013="","",INDEX($B$8:$B$5007,$L1013))</f>
        <v/>
      </c>
      <c r="O1013" s="32" t="str">
        <f>IF($M1013="","",IF($K1013-$M1013&gt;7,"",IF($M1013&lt;=$A1013,"",IF(OR($B1013&lt;=0,$N1013&lt;=0),"",($N1013/$B1013)^(365/($M1013-$A1013))-1))))</f>
        <v/>
      </c>
      <c r="P1013" s="31" t="str">
        <f>IF($B1013="","",IF($P1012="",$B1013,MAX($P1012,$B1013)))</f>
        <v/>
      </c>
      <c r="Q1013" s="32" t="str">
        <f>IF($P1013="","",$B1013/$P1013-1)</f>
        <v/>
      </c>
    </row>
    <row r="1014">
      <c r="A1014" s="11" t="n"/>
      <c r="B1014" s="29" t="n"/>
      <c r="K1014" s="30" t="str">
        <f>IF($A1014="","",EDATE($A1014,12*$E$4))</f>
        <v/>
      </c>
      <c r="L1014" s="19" t="str">
        <f>IF($K1014="","",IF($K1014&gt;MAX($A$8:$A$5007),"",IFERROR(MATCH($K1014,$A$8:$A$5007,1),"")))</f>
        <v/>
      </c>
      <c r="M1014" s="30" t="str">
        <f>IF($L1014="","",INDEX($A$8:$A$5007,$L1014))</f>
        <v/>
      </c>
      <c r="N1014" s="31" t="str">
        <f>IF($L1014="","",INDEX($B$8:$B$5007,$L1014))</f>
        <v/>
      </c>
      <c r="O1014" s="32" t="str">
        <f>IF($M1014="","",IF($K1014-$M1014&gt;7,"",IF($M1014&lt;=$A1014,"",IF(OR($B1014&lt;=0,$N1014&lt;=0),"",($N1014/$B1014)^(365/($M1014-$A1014))-1))))</f>
        <v/>
      </c>
      <c r="P1014" s="31" t="str">
        <f>IF($B1014="","",IF($P1013="",$B1014,MAX($P1013,$B1014)))</f>
        <v/>
      </c>
      <c r="Q1014" s="32" t="str">
        <f>IF($P1014="","",$B1014/$P1014-1)</f>
        <v/>
      </c>
    </row>
    <row r="1015">
      <c r="A1015" s="11" t="n"/>
      <c r="B1015" s="29" t="n"/>
      <c r="K1015" s="30" t="str">
        <f>IF($A1015="","",EDATE($A1015,12*$E$4))</f>
        <v/>
      </c>
      <c r="L1015" s="19" t="str">
        <f>IF($K1015="","",IF($K1015&gt;MAX($A$8:$A$5007),"",IFERROR(MATCH($K1015,$A$8:$A$5007,1),"")))</f>
        <v/>
      </c>
      <c r="M1015" s="30" t="str">
        <f>IF($L1015="","",INDEX($A$8:$A$5007,$L1015))</f>
        <v/>
      </c>
      <c r="N1015" s="31" t="str">
        <f>IF($L1015="","",INDEX($B$8:$B$5007,$L1015))</f>
        <v/>
      </c>
      <c r="O1015" s="32" t="str">
        <f>IF($M1015="","",IF($K1015-$M1015&gt;7,"",IF($M1015&lt;=$A1015,"",IF(OR($B1015&lt;=0,$N1015&lt;=0),"",($N1015/$B1015)^(365/($M1015-$A1015))-1))))</f>
        <v/>
      </c>
      <c r="P1015" s="31" t="str">
        <f>IF($B1015="","",IF($P1014="",$B1015,MAX($P1014,$B1015)))</f>
        <v/>
      </c>
      <c r="Q1015" s="32" t="str">
        <f>IF($P1015="","",$B1015/$P1015-1)</f>
        <v/>
      </c>
    </row>
    <row r="1016">
      <c r="A1016" s="11" t="n"/>
      <c r="B1016" s="29" t="n"/>
      <c r="K1016" s="30" t="str">
        <f>IF($A1016="","",EDATE($A1016,12*$E$4))</f>
        <v/>
      </c>
      <c r="L1016" s="19" t="str">
        <f>IF($K1016="","",IF($K1016&gt;MAX($A$8:$A$5007),"",IFERROR(MATCH($K1016,$A$8:$A$5007,1),"")))</f>
        <v/>
      </c>
      <c r="M1016" s="30" t="str">
        <f>IF($L1016="","",INDEX($A$8:$A$5007,$L1016))</f>
        <v/>
      </c>
      <c r="N1016" s="31" t="str">
        <f>IF($L1016="","",INDEX($B$8:$B$5007,$L1016))</f>
        <v/>
      </c>
      <c r="O1016" s="32" t="str">
        <f>IF($M1016="","",IF($K1016-$M1016&gt;7,"",IF($M1016&lt;=$A1016,"",IF(OR($B1016&lt;=0,$N1016&lt;=0),"",($N1016/$B1016)^(365/($M1016-$A1016))-1))))</f>
        <v/>
      </c>
      <c r="P1016" s="31" t="str">
        <f>IF($B1016="","",IF($P1015="",$B1016,MAX($P1015,$B1016)))</f>
        <v/>
      </c>
      <c r="Q1016" s="32" t="str">
        <f>IF($P1016="","",$B1016/$P1016-1)</f>
        <v/>
      </c>
    </row>
    <row r="1017">
      <c r="A1017" s="11" t="n"/>
      <c r="B1017" s="29" t="n"/>
      <c r="K1017" s="30" t="str">
        <f>IF($A1017="","",EDATE($A1017,12*$E$4))</f>
        <v/>
      </c>
      <c r="L1017" s="19" t="str">
        <f>IF($K1017="","",IF($K1017&gt;MAX($A$8:$A$5007),"",IFERROR(MATCH($K1017,$A$8:$A$5007,1),"")))</f>
        <v/>
      </c>
      <c r="M1017" s="30" t="str">
        <f>IF($L1017="","",INDEX($A$8:$A$5007,$L1017))</f>
        <v/>
      </c>
      <c r="N1017" s="31" t="str">
        <f>IF($L1017="","",INDEX($B$8:$B$5007,$L1017))</f>
        <v/>
      </c>
      <c r="O1017" s="32" t="str">
        <f>IF($M1017="","",IF($K1017-$M1017&gt;7,"",IF($M1017&lt;=$A1017,"",IF(OR($B1017&lt;=0,$N1017&lt;=0),"",($N1017/$B1017)^(365/($M1017-$A1017))-1))))</f>
        <v/>
      </c>
      <c r="P1017" s="31" t="str">
        <f>IF($B1017="","",IF($P1016="",$B1017,MAX($P1016,$B1017)))</f>
        <v/>
      </c>
      <c r="Q1017" s="32" t="str">
        <f>IF($P1017="","",$B1017/$P1017-1)</f>
        <v/>
      </c>
    </row>
    <row r="1018">
      <c r="A1018" s="11" t="n"/>
      <c r="B1018" s="29" t="n"/>
      <c r="K1018" s="30" t="str">
        <f>IF($A1018="","",EDATE($A1018,12*$E$4))</f>
        <v/>
      </c>
      <c r="L1018" s="19" t="str">
        <f>IF($K1018="","",IF($K1018&gt;MAX($A$8:$A$5007),"",IFERROR(MATCH($K1018,$A$8:$A$5007,1),"")))</f>
        <v/>
      </c>
      <c r="M1018" s="30" t="str">
        <f>IF($L1018="","",INDEX($A$8:$A$5007,$L1018))</f>
        <v/>
      </c>
      <c r="N1018" s="31" t="str">
        <f>IF($L1018="","",INDEX($B$8:$B$5007,$L1018))</f>
        <v/>
      </c>
      <c r="O1018" s="32" t="str">
        <f>IF($M1018="","",IF($K1018-$M1018&gt;7,"",IF($M1018&lt;=$A1018,"",IF(OR($B1018&lt;=0,$N1018&lt;=0),"",($N1018/$B1018)^(365/($M1018-$A1018))-1))))</f>
        <v/>
      </c>
      <c r="P1018" s="31" t="str">
        <f>IF($B1018="","",IF($P1017="",$B1018,MAX($P1017,$B1018)))</f>
        <v/>
      </c>
      <c r="Q1018" s="32" t="str">
        <f>IF($P1018="","",$B1018/$P1018-1)</f>
        <v/>
      </c>
    </row>
    <row r="1019">
      <c r="A1019" s="11" t="n"/>
      <c r="B1019" s="29" t="n"/>
      <c r="K1019" s="30" t="str">
        <f>IF($A1019="","",EDATE($A1019,12*$E$4))</f>
        <v/>
      </c>
      <c r="L1019" s="19" t="str">
        <f>IF($K1019="","",IF($K1019&gt;MAX($A$8:$A$5007),"",IFERROR(MATCH($K1019,$A$8:$A$5007,1),"")))</f>
        <v/>
      </c>
      <c r="M1019" s="30" t="str">
        <f>IF($L1019="","",INDEX($A$8:$A$5007,$L1019))</f>
        <v/>
      </c>
      <c r="N1019" s="31" t="str">
        <f>IF($L1019="","",INDEX($B$8:$B$5007,$L1019))</f>
        <v/>
      </c>
      <c r="O1019" s="32" t="str">
        <f>IF($M1019="","",IF($K1019-$M1019&gt;7,"",IF($M1019&lt;=$A1019,"",IF(OR($B1019&lt;=0,$N1019&lt;=0),"",($N1019/$B1019)^(365/($M1019-$A1019))-1))))</f>
        <v/>
      </c>
      <c r="P1019" s="31" t="str">
        <f>IF($B1019="","",IF($P1018="",$B1019,MAX($P1018,$B1019)))</f>
        <v/>
      </c>
      <c r="Q1019" s="32" t="str">
        <f>IF($P1019="","",$B1019/$P1019-1)</f>
        <v/>
      </c>
    </row>
    <row r="1020">
      <c r="A1020" s="11" t="n"/>
      <c r="B1020" s="29" t="n"/>
      <c r="K1020" s="30" t="str">
        <f>IF($A1020="","",EDATE($A1020,12*$E$4))</f>
        <v/>
      </c>
      <c r="L1020" s="19" t="str">
        <f>IF($K1020="","",IF($K1020&gt;MAX($A$8:$A$5007),"",IFERROR(MATCH($K1020,$A$8:$A$5007,1),"")))</f>
        <v/>
      </c>
      <c r="M1020" s="30" t="str">
        <f>IF($L1020="","",INDEX($A$8:$A$5007,$L1020))</f>
        <v/>
      </c>
      <c r="N1020" s="31" t="str">
        <f>IF($L1020="","",INDEX($B$8:$B$5007,$L1020))</f>
        <v/>
      </c>
      <c r="O1020" s="32" t="str">
        <f>IF($M1020="","",IF($K1020-$M1020&gt;7,"",IF($M1020&lt;=$A1020,"",IF(OR($B1020&lt;=0,$N1020&lt;=0),"",($N1020/$B1020)^(365/($M1020-$A1020))-1))))</f>
        <v/>
      </c>
      <c r="P1020" s="31" t="str">
        <f>IF($B1020="","",IF($P1019="",$B1020,MAX($P1019,$B1020)))</f>
        <v/>
      </c>
      <c r="Q1020" s="32" t="str">
        <f>IF($P1020="","",$B1020/$P1020-1)</f>
        <v/>
      </c>
    </row>
    <row r="1021">
      <c r="A1021" s="11" t="n"/>
      <c r="B1021" s="29" t="n"/>
      <c r="K1021" s="30" t="str">
        <f>IF($A1021="","",EDATE($A1021,12*$E$4))</f>
        <v/>
      </c>
      <c r="L1021" s="19" t="str">
        <f>IF($K1021="","",IF($K1021&gt;MAX($A$8:$A$5007),"",IFERROR(MATCH($K1021,$A$8:$A$5007,1),"")))</f>
        <v/>
      </c>
      <c r="M1021" s="30" t="str">
        <f>IF($L1021="","",INDEX($A$8:$A$5007,$L1021))</f>
        <v/>
      </c>
      <c r="N1021" s="31" t="str">
        <f>IF($L1021="","",INDEX($B$8:$B$5007,$L1021))</f>
        <v/>
      </c>
      <c r="O1021" s="32" t="str">
        <f>IF($M1021="","",IF($K1021-$M1021&gt;7,"",IF($M1021&lt;=$A1021,"",IF(OR($B1021&lt;=0,$N1021&lt;=0),"",($N1021/$B1021)^(365/($M1021-$A1021))-1))))</f>
        <v/>
      </c>
      <c r="P1021" s="31" t="str">
        <f>IF($B1021="","",IF($P1020="",$B1021,MAX($P1020,$B1021)))</f>
        <v/>
      </c>
      <c r="Q1021" s="32" t="str">
        <f>IF($P1021="","",$B1021/$P1021-1)</f>
        <v/>
      </c>
    </row>
    <row r="1022">
      <c r="A1022" s="11" t="n"/>
      <c r="B1022" s="29" t="n"/>
      <c r="K1022" s="30" t="str">
        <f>IF($A1022="","",EDATE($A1022,12*$E$4))</f>
        <v/>
      </c>
      <c r="L1022" s="19" t="str">
        <f>IF($K1022="","",IF($K1022&gt;MAX($A$8:$A$5007),"",IFERROR(MATCH($K1022,$A$8:$A$5007,1),"")))</f>
        <v/>
      </c>
      <c r="M1022" s="30" t="str">
        <f>IF($L1022="","",INDEX($A$8:$A$5007,$L1022))</f>
        <v/>
      </c>
      <c r="N1022" s="31" t="str">
        <f>IF($L1022="","",INDEX($B$8:$B$5007,$L1022))</f>
        <v/>
      </c>
      <c r="O1022" s="32" t="str">
        <f>IF($M1022="","",IF($K1022-$M1022&gt;7,"",IF($M1022&lt;=$A1022,"",IF(OR($B1022&lt;=0,$N1022&lt;=0),"",($N1022/$B1022)^(365/($M1022-$A1022))-1))))</f>
        <v/>
      </c>
      <c r="P1022" s="31" t="str">
        <f>IF($B1022="","",IF($P1021="",$B1022,MAX($P1021,$B1022)))</f>
        <v/>
      </c>
      <c r="Q1022" s="32" t="str">
        <f>IF($P1022="","",$B1022/$P1022-1)</f>
        <v/>
      </c>
    </row>
    <row r="1023">
      <c r="A1023" s="11" t="n"/>
      <c r="B1023" s="29" t="n"/>
      <c r="K1023" s="30" t="str">
        <f>IF($A1023="","",EDATE($A1023,12*$E$4))</f>
        <v/>
      </c>
      <c r="L1023" s="19" t="str">
        <f>IF($K1023="","",IF($K1023&gt;MAX($A$8:$A$5007),"",IFERROR(MATCH($K1023,$A$8:$A$5007,1),"")))</f>
        <v/>
      </c>
      <c r="M1023" s="30" t="str">
        <f>IF($L1023="","",INDEX($A$8:$A$5007,$L1023))</f>
        <v/>
      </c>
      <c r="N1023" s="31" t="str">
        <f>IF($L1023="","",INDEX($B$8:$B$5007,$L1023))</f>
        <v/>
      </c>
      <c r="O1023" s="32" t="str">
        <f>IF($M1023="","",IF($K1023-$M1023&gt;7,"",IF($M1023&lt;=$A1023,"",IF(OR($B1023&lt;=0,$N1023&lt;=0),"",($N1023/$B1023)^(365/($M1023-$A1023))-1))))</f>
        <v/>
      </c>
      <c r="P1023" s="31" t="str">
        <f>IF($B1023="","",IF($P1022="",$B1023,MAX($P1022,$B1023)))</f>
        <v/>
      </c>
      <c r="Q1023" s="32" t="str">
        <f>IF($P1023="","",$B1023/$P1023-1)</f>
        <v/>
      </c>
    </row>
    <row r="1024">
      <c r="A1024" s="11" t="n"/>
      <c r="B1024" s="29" t="n"/>
      <c r="K1024" s="30" t="str">
        <f>IF($A1024="","",EDATE($A1024,12*$E$4))</f>
        <v/>
      </c>
      <c r="L1024" s="19" t="str">
        <f>IF($K1024="","",IF($K1024&gt;MAX($A$8:$A$5007),"",IFERROR(MATCH($K1024,$A$8:$A$5007,1),"")))</f>
        <v/>
      </c>
      <c r="M1024" s="30" t="str">
        <f>IF($L1024="","",INDEX($A$8:$A$5007,$L1024))</f>
        <v/>
      </c>
      <c r="N1024" s="31" t="str">
        <f>IF($L1024="","",INDEX($B$8:$B$5007,$L1024))</f>
        <v/>
      </c>
      <c r="O1024" s="32" t="str">
        <f>IF($M1024="","",IF($K1024-$M1024&gt;7,"",IF($M1024&lt;=$A1024,"",IF(OR($B1024&lt;=0,$N1024&lt;=0),"",($N1024/$B1024)^(365/($M1024-$A1024))-1))))</f>
        <v/>
      </c>
      <c r="P1024" s="31" t="str">
        <f>IF($B1024="","",IF($P1023="",$B1024,MAX($P1023,$B1024)))</f>
        <v/>
      </c>
      <c r="Q1024" s="32" t="str">
        <f>IF($P1024="","",$B1024/$P1024-1)</f>
        <v/>
      </c>
    </row>
    <row r="1025">
      <c r="A1025" s="11" t="n"/>
      <c r="B1025" s="29" t="n"/>
      <c r="K1025" s="30" t="str">
        <f>IF($A1025="","",EDATE($A1025,12*$E$4))</f>
        <v/>
      </c>
      <c r="L1025" s="19" t="str">
        <f>IF($K1025="","",IF($K1025&gt;MAX($A$8:$A$5007),"",IFERROR(MATCH($K1025,$A$8:$A$5007,1),"")))</f>
        <v/>
      </c>
      <c r="M1025" s="30" t="str">
        <f>IF($L1025="","",INDEX($A$8:$A$5007,$L1025))</f>
        <v/>
      </c>
      <c r="N1025" s="31" t="str">
        <f>IF($L1025="","",INDEX($B$8:$B$5007,$L1025))</f>
        <v/>
      </c>
      <c r="O1025" s="32" t="str">
        <f>IF($M1025="","",IF($K1025-$M1025&gt;7,"",IF($M1025&lt;=$A1025,"",IF(OR($B1025&lt;=0,$N1025&lt;=0),"",($N1025/$B1025)^(365/($M1025-$A1025))-1))))</f>
        <v/>
      </c>
      <c r="P1025" s="31" t="str">
        <f>IF($B1025="","",IF($P1024="",$B1025,MAX($P1024,$B1025)))</f>
        <v/>
      </c>
      <c r="Q1025" s="32" t="str">
        <f>IF($P1025="","",$B1025/$P1025-1)</f>
        <v/>
      </c>
    </row>
    <row r="1026">
      <c r="A1026" s="11" t="n"/>
      <c r="B1026" s="29" t="n"/>
      <c r="K1026" s="30" t="str">
        <f>IF($A1026="","",EDATE($A1026,12*$E$4))</f>
        <v/>
      </c>
      <c r="L1026" s="19" t="str">
        <f>IF($K1026="","",IF($K1026&gt;MAX($A$8:$A$5007),"",IFERROR(MATCH($K1026,$A$8:$A$5007,1),"")))</f>
        <v/>
      </c>
      <c r="M1026" s="30" t="str">
        <f>IF($L1026="","",INDEX($A$8:$A$5007,$L1026))</f>
        <v/>
      </c>
      <c r="N1026" s="31" t="str">
        <f>IF($L1026="","",INDEX($B$8:$B$5007,$L1026))</f>
        <v/>
      </c>
      <c r="O1026" s="32" t="str">
        <f>IF($M1026="","",IF($K1026-$M1026&gt;7,"",IF($M1026&lt;=$A1026,"",IF(OR($B1026&lt;=0,$N1026&lt;=0),"",($N1026/$B1026)^(365/($M1026-$A1026))-1))))</f>
        <v/>
      </c>
      <c r="P1026" s="31" t="str">
        <f>IF($B1026="","",IF($P1025="",$B1026,MAX($P1025,$B1026)))</f>
        <v/>
      </c>
      <c r="Q1026" s="32" t="str">
        <f>IF($P1026="","",$B1026/$P1026-1)</f>
        <v/>
      </c>
    </row>
    <row r="1027">
      <c r="A1027" s="11" t="n"/>
      <c r="B1027" s="29" t="n"/>
      <c r="K1027" s="30" t="str">
        <f>IF($A1027="","",EDATE($A1027,12*$E$4))</f>
        <v/>
      </c>
      <c r="L1027" s="19" t="str">
        <f>IF($K1027="","",IF($K1027&gt;MAX($A$8:$A$5007),"",IFERROR(MATCH($K1027,$A$8:$A$5007,1),"")))</f>
        <v/>
      </c>
      <c r="M1027" s="30" t="str">
        <f>IF($L1027="","",INDEX($A$8:$A$5007,$L1027))</f>
        <v/>
      </c>
      <c r="N1027" s="31" t="str">
        <f>IF($L1027="","",INDEX($B$8:$B$5007,$L1027))</f>
        <v/>
      </c>
      <c r="O1027" s="32" t="str">
        <f>IF($M1027="","",IF($K1027-$M1027&gt;7,"",IF($M1027&lt;=$A1027,"",IF(OR($B1027&lt;=0,$N1027&lt;=0),"",($N1027/$B1027)^(365/($M1027-$A1027))-1))))</f>
        <v/>
      </c>
      <c r="P1027" s="31" t="str">
        <f>IF($B1027="","",IF($P1026="",$B1027,MAX($P1026,$B1027)))</f>
        <v/>
      </c>
      <c r="Q1027" s="32" t="str">
        <f>IF($P1027="","",$B1027/$P1027-1)</f>
        <v/>
      </c>
    </row>
    <row r="1028">
      <c r="A1028" s="11" t="n"/>
      <c r="B1028" s="29" t="n"/>
      <c r="K1028" s="30" t="str">
        <f>IF($A1028="","",EDATE($A1028,12*$E$4))</f>
        <v/>
      </c>
      <c r="L1028" s="19" t="str">
        <f>IF($K1028="","",IF($K1028&gt;MAX($A$8:$A$5007),"",IFERROR(MATCH($K1028,$A$8:$A$5007,1),"")))</f>
        <v/>
      </c>
      <c r="M1028" s="30" t="str">
        <f>IF($L1028="","",INDEX($A$8:$A$5007,$L1028))</f>
        <v/>
      </c>
      <c r="N1028" s="31" t="str">
        <f>IF($L1028="","",INDEX($B$8:$B$5007,$L1028))</f>
        <v/>
      </c>
      <c r="O1028" s="32" t="str">
        <f>IF($M1028="","",IF($K1028-$M1028&gt;7,"",IF($M1028&lt;=$A1028,"",IF(OR($B1028&lt;=0,$N1028&lt;=0),"",($N1028/$B1028)^(365/($M1028-$A1028))-1))))</f>
        <v/>
      </c>
      <c r="P1028" s="31" t="str">
        <f>IF($B1028="","",IF($P1027="",$B1028,MAX($P1027,$B1028)))</f>
        <v/>
      </c>
      <c r="Q1028" s="32" t="str">
        <f>IF($P1028="","",$B1028/$P1028-1)</f>
        <v/>
      </c>
    </row>
    <row r="1029">
      <c r="A1029" s="11" t="n"/>
      <c r="B1029" s="29" t="n"/>
      <c r="K1029" s="30" t="str">
        <f>IF($A1029="","",EDATE($A1029,12*$E$4))</f>
        <v/>
      </c>
      <c r="L1029" s="19" t="str">
        <f>IF($K1029="","",IF($K1029&gt;MAX($A$8:$A$5007),"",IFERROR(MATCH($K1029,$A$8:$A$5007,1),"")))</f>
        <v/>
      </c>
      <c r="M1029" s="30" t="str">
        <f>IF($L1029="","",INDEX($A$8:$A$5007,$L1029))</f>
        <v/>
      </c>
      <c r="N1029" s="31" t="str">
        <f>IF($L1029="","",INDEX($B$8:$B$5007,$L1029))</f>
        <v/>
      </c>
      <c r="O1029" s="32" t="str">
        <f>IF($M1029="","",IF($K1029-$M1029&gt;7,"",IF($M1029&lt;=$A1029,"",IF(OR($B1029&lt;=0,$N1029&lt;=0),"",($N1029/$B1029)^(365/($M1029-$A1029))-1))))</f>
        <v/>
      </c>
      <c r="P1029" s="31" t="str">
        <f>IF($B1029="","",IF($P1028="",$B1029,MAX($P1028,$B1029)))</f>
        <v/>
      </c>
      <c r="Q1029" s="32" t="str">
        <f>IF($P1029="","",$B1029/$P1029-1)</f>
        <v/>
      </c>
    </row>
    <row r="1030">
      <c r="A1030" s="11" t="n"/>
      <c r="B1030" s="29" t="n"/>
      <c r="K1030" s="30" t="str">
        <f>IF($A1030="","",EDATE($A1030,12*$E$4))</f>
        <v/>
      </c>
      <c r="L1030" s="19" t="str">
        <f>IF($K1030="","",IF($K1030&gt;MAX($A$8:$A$5007),"",IFERROR(MATCH($K1030,$A$8:$A$5007,1),"")))</f>
        <v/>
      </c>
      <c r="M1030" s="30" t="str">
        <f>IF($L1030="","",INDEX($A$8:$A$5007,$L1030))</f>
        <v/>
      </c>
      <c r="N1030" s="31" t="str">
        <f>IF($L1030="","",INDEX($B$8:$B$5007,$L1030))</f>
        <v/>
      </c>
      <c r="O1030" s="32" t="str">
        <f>IF($M1030="","",IF($K1030-$M1030&gt;7,"",IF($M1030&lt;=$A1030,"",IF(OR($B1030&lt;=0,$N1030&lt;=0),"",($N1030/$B1030)^(365/($M1030-$A1030))-1))))</f>
        <v/>
      </c>
      <c r="P1030" s="31" t="str">
        <f>IF($B1030="","",IF($P1029="",$B1030,MAX($P1029,$B1030)))</f>
        <v/>
      </c>
      <c r="Q1030" s="32" t="str">
        <f>IF($P1030="","",$B1030/$P1030-1)</f>
        <v/>
      </c>
    </row>
    <row r="1031">
      <c r="A1031" s="11" t="n"/>
      <c r="B1031" s="29" t="n"/>
      <c r="K1031" s="30" t="str">
        <f>IF($A1031="","",EDATE($A1031,12*$E$4))</f>
        <v/>
      </c>
      <c r="L1031" s="19" t="str">
        <f>IF($K1031="","",IF($K1031&gt;MAX($A$8:$A$5007),"",IFERROR(MATCH($K1031,$A$8:$A$5007,1),"")))</f>
        <v/>
      </c>
      <c r="M1031" s="30" t="str">
        <f>IF($L1031="","",INDEX($A$8:$A$5007,$L1031))</f>
        <v/>
      </c>
      <c r="N1031" s="31" t="str">
        <f>IF($L1031="","",INDEX($B$8:$B$5007,$L1031))</f>
        <v/>
      </c>
      <c r="O1031" s="32" t="str">
        <f>IF($M1031="","",IF($K1031-$M1031&gt;7,"",IF($M1031&lt;=$A1031,"",IF(OR($B1031&lt;=0,$N1031&lt;=0),"",($N1031/$B1031)^(365/($M1031-$A1031))-1))))</f>
        <v/>
      </c>
      <c r="P1031" s="31" t="str">
        <f>IF($B1031="","",IF($P1030="",$B1031,MAX($P1030,$B1031)))</f>
        <v/>
      </c>
      <c r="Q1031" s="32" t="str">
        <f>IF($P1031="","",$B1031/$P1031-1)</f>
        <v/>
      </c>
    </row>
    <row r="1032">
      <c r="A1032" s="11" t="n"/>
      <c r="B1032" s="29" t="n"/>
      <c r="K1032" s="30" t="str">
        <f>IF($A1032="","",EDATE($A1032,12*$E$4))</f>
        <v/>
      </c>
      <c r="L1032" s="19" t="str">
        <f>IF($K1032="","",IF($K1032&gt;MAX($A$8:$A$5007),"",IFERROR(MATCH($K1032,$A$8:$A$5007,1),"")))</f>
        <v/>
      </c>
      <c r="M1032" s="30" t="str">
        <f>IF($L1032="","",INDEX($A$8:$A$5007,$L1032))</f>
        <v/>
      </c>
      <c r="N1032" s="31" t="str">
        <f>IF($L1032="","",INDEX($B$8:$B$5007,$L1032))</f>
        <v/>
      </c>
      <c r="O1032" s="32" t="str">
        <f>IF($M1032="","",IF($K1032-$M1032&gt;7,"",IF($M1032&lt;=$A1032,"",IF(OR($B1032&lt;=0,$N1032&lt;=0),"",($N1032/$B1032)^(365/($M1032-$A1032))-1))))</f>
        <v/>
      </c>
      <c r="P1032" s="31" t="str">
        <f>IF($B1032="","",IF($P1031="",$B1032,MAX($P1031,$B1032)))</f>
        <v/>
      </c>
      <c r="Q1032" s="32" t="str">
        <f>IF($P1032="","",$B1032/$P1032-1)</f>
        <v/>
      </c>
    </row>
    <row r="1033">
      <c r="A1033" s="11" t="n"/>
      <c r="B1033" s="29" t="n"/>
      <c r="K1033" s="30" t="str">
        <f>IF($A1033="","",EDATE($A1033,12*$E$4))</f>
        <v/>
      </c>
      <c r="L1033" s="19" t="str">
        <f>IF($K1033="","",IF($K1033&gt;MAX($A$8:$A$5007),"",IFERROR(MATCH($K1033,$A$8:$A$5007,1),"")))</f>
        <v/>
      </c>
      <c r="M1033" s="30" t="str">
        <f>IF($L1033="","",INDEX($A$8:$A$5007,$L1033))</f>
        <v/>
      </c>
      <c r="N1033" s="31" t="str">
        <f>IF($L1033="","",INDEX($B$8:$B$5007,$L1033))</f>
        <v/>
      </c>
      <c r="O1033" s="32" t="str">
        <f>IF($M1033="","",IF($K1033-$M1033&gt;7,"",IF($M1033&lt;=$A1033,"",IF(OR($B1033&lt;=0,$N1033&lt;=0),"",($N1033/$B1033)^(365/($M1033-$A1033))-1))))</f>
        <v/>
      </c>
      <c r="P1033" s="31" t="str">
        <f>IF($B1033="","",IF($P1032="",$B1033,MAX($P1032,$B1033)))</f>
        <v/>
      </c>
      <c r="Q1033" s="32" t="str">
        <f>IF($P1033="","",$B1033/$P1033-1)</f>
        <v/>
      </c>
    </row>
    <row r="1034">
      <c r="A1034" s="11" t="n"/>
      <c r="B1034" s="29" t="n"/>
      <c r="K1034" s="30" t="str">
        <f>IF($A1034="","",EDATE($A1034,12*$E$4))</f>
        <v/>
      </c>
      <c r="L1034" s="19" t="str">
        <f>IF($K1034="","",IF($K1034&gt;MAX($A$8:$A$5007),"",IFERROR(MATCH($K1034,$A$8:$A$5007,1),"")))</f>
        <v/>
      </c>
      <c r="M1034" s="30" t="str">
        <f>IF($L1034="","",INDEX($A$8:$A$5007,$L1034))</f>
        <v/>
      </c>
      <c r="N1034" s="31" t="str">
        <f>IF($L1034="","",INDEX($B$8:$B$5007,$L1034))</f>
        <v/>
      </c>
      <c r="O1034" s="32" t="str">
        <f>IF($M1034="","",IF($K1034-$M1034&gt;7,"",IF($M1034&lt;=$A1034,"",IF(OR($B1034&lt;=0,$N1034&lt;=0),"",($N1034/$B1034)^(365/($M1034-$A1034))-1))))</f>
        <v/>
      </c>
      <c r="P1034" s="31" t="str">
        <f>IF($B1034="","",IF($P1033="",$B1034,MAX($P1033,$B1034)))</f>
        <v/>
      </c>
      <c r="Q1034" s="32" t="str">
        <f>IF($P1034="","",$B1034/$P1034-1)</f>
        <v/>
      </c>
    </row>
    <row r="1035">
      <c r="A1035" s="11" t="n"/>
      <c r="B1035" s="29" t="n"/>
      <c r="K1035" s="30" t="str">
        <f>IF($A1035="","",EDATE($A1035,12*$E$4))</f>
        <v/>
      </c>
      <c r="L1035" s="19" t="str">
        <f>IF($K1035="","",IF($K1035&gt;MAX($A$8:$A$5007),"",IFERROR(MATCH($K1035,$A$8:$A$5007,1),"")))</f>
        <v/>
      </c>
      <c r="M1035" s="30" t="str">
        <f>IF($L1035="","",INDEX($A$8:$A$5007,$L1035))</f>
        <v/>
      </c>
      <c r="N1035" s="31" t="str">
        <f>IF($L1035="","",INDEX($B$8:$B$5007,$L1035))</f>
        <v/>
      </c>
      <c r="O1035" s="32" t="str">
        <f>IF($M1035="","",IF($K1035-$M1035&gt;7,"",IF($M1035&lt;=$A1035,"",IF(OR($B1035&lt;=0,$N1035&lt;=0),"",($N1035/$B1035)^(365/($M1035-$A1035))-1))))</f>
        <v/>
      </c>
      <c r="P1035" s="31" t="str">
        <f>IF($B1035="","",IF($P1034="",$B1035,MAX($P1034,$B1035)))</f>
        <v/>
      </c>
      <c r="Q1035" s="32" t="str">
        <f>IF($P1035="","",$B1035/$P1035-1)</f>
        <v/>
      </c>
    </row>
    <row r="1036">
      <c r="A1036" s="11" t="n"/>
      <c r="B1036" s="29" t="n"/>
      <c r="K1036" s="30" t="str">
        <f>IF($A1036="","",EDATE($A1036,12*$E$4))</f>
        <v/>
      </c>
      <c r="L1036" s="19" t="str">
        <f>IF($K1036="","",IF($K1036&gt;MAX($A$8:$A$5007),"",IFERROR(MATCH($K1036,$A$8:$A$5007,1),"")))</f>
        <v/>
      </c>
      <c r="M1036" s="30" t="str">
        <f>IF($L1036="","",INDEX($A$8:$A$5007,$L1036))</f>
        <v/>
      </c>
      <c r="N1036" s="31" t="str">
        <f>IF($L1036="","",INDEX($B$8:$B$5007,$L1036))</f>
        <v/>
      </c>
      <c r="O1036" s="32" t="str">
        <f>IF($M1036="","",IF($K1036-$M1036&gt;7,"",IF($M1036&lt;=$A1036,"",IF(OR($B1036&lt;=0,$N1036&lt;=0),"",($N1036/$B1036)^(365/($M1036-$A1036))-1))))</f>
        <v/>
      </c>
      <c r="P1036" s="31" t="str">
        <f>IF($B1036="","",IF($P1035="",$B1036,MAX($P1035,$B1036)))</f>
        <v/>
      </c>
      <c r="Q1036" s="32" t="str">
        <f>IF($P1036="","",$B1036/$P1036-1)</f>
        <v/>
      </c>
    </row>
    <row r="1037">
      <c r="A1037" s="11" t="n"/>
      <c r="B1037" s="29" t="n"/>
      <c r="K1037" s="30" t="str">
        <f>IF($A1037="","",EDATE($A1037,12*$E$4))</f>
        <v/>
      </c>
      <c r="L1037" s="19" t="str">
        <f>IF($K1037="","",IF($K1037&gt;MAX($A$8:$A$5007),"",IFERROR(MATCH($K1037,$A$8:$A$5007,1),"")))</f>
        <v/>
      </c>
      <c r="M1037" s="30" t="str">
        <f>IF($L1037="","",INDEX($A$8:$A$5007,$L1037))</f>
        <v/>
      </c>
      <c r="N1037" s="31" t="str">
        <f>IF($L1037="","",INDEX($B$8:$B$5007,$L1037))</f>
        <v/>
      </c>
      <c r="O1037" s="32" t="str">
        <f>IF($M1037="","",IF($K1037-$M1037&gt;7,"",IF($M1037&lt;=$A1037,"",IF(OR($B1037&lt;=0,$N1037&lt;=0),"",($N1037/$B1037)^(365/($M1037-$A1037))-1))))</f>
        <v/>
      </c>
      <c r="P1037" s="31" t="str">
        <f>IF($B1037="","",IF($P1036="",$B1037,MAX($P1036,$B1037)))</f>
        <v/>
      </c>
      <c r="Q1037" s="32" t="str">
        <f>IF($P1037="","",$B1037/$P1037-1)</f>
        <v/>
      </c>
    </row>
    <row r="1038">
      <c r="A1038" s="11" t="n"/>
      <c r="B1038" s="29" t="n"/>
      <c r="K1038" s="30" t="str">
        <f>IF($A1038="","",EDATE($A1038,12*$E$4))</f>
        <v/>
      </c>
      <c r="L1038" s="19" t="str">
        <f>IF($K1038="","",IF($K1038&gt;MAX($A$8:$A$5007),"",IFERROR(MATCH($K1038,$A$8:$A$5007,1),"")))</f>
        <v/>
      </c>
      <c r="M1038" s="30" t="str">
        <f>IF($L1038="","",INDEX($A$8:$A$5007,$L1038))</f>
        <v/>
      </c>
      <c r="N1038" s="31" t="str">
        <f>IF($L1038="","",INDEX($B$8:$B$5007,$L1038))</f>
        <v/>
      </c>
      <c r="O1038" s="32" t="str">
        <f>IF($M1038="","",IF($K1038-$M1038&gt;7,"",IF($M1038&lt;=$A1038,"",IF(OR($B1038&lt;=0,$N1038&lt;=0),"",($N1038/$B1038)^(365/($M1038-$A1038))-1))))</f>
        <v/>
      </c>
      <c r="P1038" s="31" t="str">
        <f>IF($B1038="","",IF($P1037="",$B1038,MAX($P1037,$B1038)))</f>
        <v/>
      </c>
      <c r="Q1038" s="32" t="str">
        <f>IF($P1038="","",$B1038/$P1038-1)</f>
        <v/>
      </c>
    </row>
    <row r="1039">
      <c r="A1039" s="11" t="n"/>
      <c r="B1039" s="29" t="n"/>
      <c r="K1039" s="30" t="str">
        <f>IF($A1039="","",EDATE($A1039,12*$E$4))</f>
        <v/>
      </c>
      <c r="L1039" s="19" t="str">
        <f>IF($K1039="","",IF($K1039&gt;MAX($A$8:$A$5007),"",IFERROR(MATCH($K1039,$A$8:$A$5007,1),"")))</f>
        <v/>
      </c>
      <c r="M1039" s="30" t="str">
        <f>IF($L1039="","",INDEX($A$8:$A$5007,$L1039))</f>
        <v/>
      </c>
      <c r="N1039" s="31" t="str">
        <f>IF($L1039="","",INDEX($B$8:$B$5007,$L1039))</f>
        <v/>
      </c>
      <c r="O1039" s="32" t="str">
        <f>IF($M1039="","",IF($K1039-$M1039&gt;7,"",IF($M1039&lt;=$A1039,"",IF(OR($B1039&lt;=0,$N1039&lt;=0),"",($N1039/$B1039)^(365/($M1039-$A1039))-1))))</f>
        <v/>
      </c>
      <c r="P1039" s="31" t="str">
        <f>IF($B1039="","",IF($P1038="",$B1039,MAX($P1038,$B1039)))</f>
        <v/>
      </c>
      <c r="Q1039" s="32" t="str">
        <f>IF($P1039="","",$B1039/$P1039-1)</f>
        <v/>
      </c>
    </row>
    <row r="1040">
      <c r="A1040" s="11" t="n"/>
      <c r="B1040" s="29" t="n"/>
      <c r="K1040" s="30" t="str">
        <f>IF($A1040="","",EDATE($A1040,12*$E$4))</f>
        <v/>
      </c>
      <c r="L1040" s="19" t="str">
        <f>IF($K1040="","",IF($K1040&gt;MAX($A$8:$A$5007),"",IFERROR(MATCH($K1040,$A$8:$A$5007,1),"")))</f>
        <v/>
      </c>
      <c r="M1040" s="30" t="str">
        <f>IF($L1040="","",INDEX($A$8:$A$5007,$L1040))</f>
        <v/>
      </c>
      <c r="N1040" s="31" t="str">
        <f>IF($L1040="","",INDEX($B$8:$B$5007,$L1040))</f>
        <v/>
      </c>
      <c r="O1040" s="32" t="str">
        <f>IF($M1040="","",IF($K1040-$M1040&gt;7,"",IF($M1040&lt;=$A1040,"",IF(OR($B1040&lt;=0,$N1040&lt;=0),"",($N1040/$B1040)^(365/($M1040-$A1040))-1))))</f>
        <v/>
      </c>
      <c r="P1040" s="31" t="str">
        <f>IF($B1040="","",IF($P1039="",$B1040,MAX($P1039,$B1040)))</f>
        <v/>
      </c>
      <c r="Q1040" s="32" t="str">
        <f>IF($P1040="","",$B1040/$P1040-1)</f>
        <v/>
      </c>
    </row>
    <row r="1041">
      <c r="A1041" s="11" t="n"/>
      <c r="B1041" s="29" t="n"/>
      <c r="K1041" s="30" t="str">
        <f>IF($A1041="","",EDATE($A1041,12*$E$4))</f>
        <v/>
      </c>
      <c r="L1041" s="19" t="str">
        <f>IF($K1041="","",IF($K1041&gt;MAX($A$8:$A$5007),"",IFERROR(MATCH($K1041,$A$8:$A$5007,1),"")))</f>
        <v/>
      </c>
      <c r="M1041" s="30" t="str">
        <f>IF($L1041="","",INDEX($A$8:$A$5007,$L1041))</f>
        <v/>
      </c>
      <c r="N1041" s="31" t="str">
        <f>IF($L1041="","",INDEX($B$8:$B$5007,$L1041))</f>
        <v/>
      </c>
      <c r="O1041" s="32" t="str">
        <f>IF($M1041="","",IF($K1041-$M1041&gt;7,"",IF($M1041&lt;=$A1041,"",IF(OR($B1041&lt;=0,$N1041&lt;=0),"",($N1041/$B1041)^(365/($M1041-$A1041))-1))))</f>
        <v/>
      </c>
      <c r="P1041" s="31" t="str">
        <f>IF($B1041="","",IF($P1040="",$B1041,MAX($P1040,$B1041)))</f>
        <v/>
      </c>
      <c r="Q1041" s="32" t="str">
        <f>IF($P1041="","",$B1041/$P1041-1)</f>
        <v/>
      </c>
    </row>
    <row r="1042">
      <c r="A1042" s="11" t="n"/>
      <c r="B1042" s="29" t="n"/>
      <c r="K1042" s="30" t="str">
        <f>IF($A1042="","",EDATE($A1042,12*$E$4))</f>
        <v/>
      </c>
      <c r="L1042" s="19" t="str">
        <f>IF($K1042="","",IF($K1042&gt;MAX($A$8:$A$5007),"",IFERROR(MATCH($K1042,$A$8:$A$5007,1),"")))</f>
        <v/>
      </c>
      <c r="M1042" s="30" t="str">
        <f>IF($L1042="","",INDEX($A$8:$A$5007,$L1042))</f>
        <v/>
      </c>
      <c r="N1042" s="31" t="str">
        <f>IF($L1042="","",INDEX($B$8:$B$5007,$L1042))</f>
        <v/>
      </c>
      <c r="O1042" s="32" t="str">
        <f>IF($M1042="","",IF($K1042-$M1042&gt;7,"",IF($M1042&lt;=$A1042,"",IF(OR($B1042&lt;=0,$N1042&lt;=0),"",($N1042/$B1042)^(365/($M1042-$A1042))-1))))</f>
        <v/>
      </c>
      <c r="P1042" s="31" t="str">
        <f>IF($B1042="","",IF($P1041="",$B1042,MAX($P1041,$B1042)))</f>
        <v/>
      </c>
      <c r="Q1042" s="32" t="str">
        <f>IF($P1042="","",$B1042/$P1042-1)</f>
        <v/>
      </c>
    </row>
    <row r="1043">
      <c r="A1043" s="11" t="n"/>
      <c r="B1043" s="29" t="n"/>
      <c r="K1043" s="30" t="str">
        <f>IF($A1043="","",EDATE($A1043,12*$E$4))</f>
        <v/>
      </c>
      <c r="L1043" s="19" t="str">
        <f>IF($K1043="","",IF($K1043&gt;MAX($A$8:$A$5007),"",IFERROR(MATCH($K1043,$A$8:$A$5007,1),"")))</f>
        <v/>
      </c>
      <c r="M1043" s="30" t="str">
        <f>IF($L1043="","",INDEX($A$8:$A$5007,$L1043))</f>
        <v/>
      </c>
      <c r="N1043" s="31" t="str">
        <f>IF($L1043="","",INDEX($B$8:$B$5007,$L1043))</f>
        <v/>
      </c>
      <c r="O1043" s="32" t="str">
        <f>IF($M1043="","",IF($K1043-$M1043&gt;7,"",IF($M1043&lt;=$A1043,"",IF(OR($B1043&lt;=0,$N1043&lt;=0),"",($N1043/$B1043)^(365/($M1043-$A1043))-1))))</f>
        <v/>
      </c>
      <c r="P1043" s="31" t="str">
        <f>IF($B1043="","",IF($P1042="",$B1043,MAX($P1042,$B1043)))</f>
        <v/>
      </c>
      <c r="Q1043" s="32" t="str">
        <f>IF($P1043="","",$B1043/$P1043-1)</f>
        <v/>
      </c>
    </row>
    <row r="1044">
      <c r="A1044" s="11" t="n"/>
      <c r="B1044" s="29" t="n"/>
      <c r="K1044" s="30" t="str">
        <f>IF($A1044="","",EDATE($A1044,12*$E$4))</f>
        <v/>
      </c>
      <c r="L1044" s="19" t="str">
        <f>IF($K1044="","",IF($K1044&gt;MAX($A$8:$A$5007),"",IFERROR(MATCH($K1044,$A$8:$A$5007,1),"")))</f>
        <v/>
      </c>
      <c r="M1044" s="30" t="str">
        <f>IF($L1044="","",INDEX($A$8:$A$5007,$L1044))</f>
        <v/>
      </c>
      <c r="N1044" s="31" t="str">
        <f>IF($L1044="","",INDEX($B$8:$B$5007,$L1044))</f>
        <v/>
      </c>
      <c r="O1044" s="32" t="str">
        <f>IF($M1044="","",IF($K1044-$M1044&gt;7,"",IF($M1044&lt;=$A1044,"",IF(OR($B1044&lt;=0,$N1044&lt;=0),"",($N1044/$B1044)^(365/($M1044-$A1044))-1))))</f>
        <v/>
      </c>
      <c r="P1044" s="31" t="str">
        <f>IF($B1044="","",IF($P1043="",$B1044,MAX($P1043,$B1044)))</f>
        <v/>
      </c>
      <c r="Q1044" s="32" t="str">
        <f>IF($P1044="","",$B1044/$P1044-1)</f>
        <v/>
      </c>
    </row>
    <row r="1045">
      <c r="A1045" s="11" t="n"/>
      <c r="B1045" s="29" t="n"/>
      <c r="K1045" s="30" t="str">
        <f>IF($A1045="","",EDATE($A1045,12*$E$4))</f>
        <v/>
      </c>
      <c r="L1045" s="19" t="str">
        <f>IF($K1045="","",IF($K1045&gt;MAX($A$8:$A$5007),"",IFERROR(MATCH($K1045,$A$8:$A$5007,1),"")))</f>
        <v/>
      </c>
      <c r="M1045" s="30" t="str">
        <f>IF($L1045="","",INDEX($A$8:$A$5007,$L1045))</f>
        <v/>
      </c>
      <c r="N1045" s="31" t="str">
        <f>IF($L1045="","",INDEX($B$8:$B$5007,$L1045))</f>
        <v/>
      </c>
      <c r="O1045" s="32" t="str">
        <f>IF($M1045="","",IF($K1045-$M1045&gt;7,"",IF($M1045&lt;=$A1045,"",IF(OR($B1045&lt;=0,$N1045&lt;=0),"",($N1045/$B1045)^(365/($M1045-$A1045))-1))))</f>
        <v/>
      </c>
      <c r="P1045" s="31" t="str">
        <f>IF($B1045="","",IF($P1044="",$B1045,MAX($P1044,$B1045)))</f>
        <v/>
      </c>
      <c r="Q1045" s="32" t="str">
        <f>IF($P1045="","",$B1045/$P1045-1)</f>
        <v/>
      </c>
    </row>
    <row r="1046">
      <c r="A1046" s="11" t="n"/>
      <c r="B1046" s="29" t="n"/>
      <c r="K1046" s="30" t="str">
        <f>IF($A1046="","",EDATE($A1046,12*$E$4))</f>
        <v/>
      </c>
      <c r="L1046" s="19" t="str">
        <f>IF($K1046="","",IF($K1046&gt;MAX($A$8:$A$5007),"",IFERROR(MATCH($K1046,$A$8:$A$5007,1),"")))</f>
        <v/>
      </c>
      <c r="M1046" s="30" t="str">
        <f>IF($L1046="","",INDEX($A$8:$A$5007,$L1046))</f>
        <v/>
      </c>
      <c r="N1046" s="31" t="str">
        <f>IF($L1046="","",INDEX($B$8:$B$5007,$L1046))</f>
        <v/>
      </c>
      <c r="O1046" s="32" t="str">
        <f>IF($M1046="","",IF($K1046-$M1046&gt;7,"",IF($M1046&lt;=$A1046,"",IF(OR($B1046&lt;=0,$N1046&lt;=0),"",($N1046/$B1046)^(365/($M1046-$A1046))-1))))</f>
        <v/>
      </c>
      <c r="P1046" s="31" t="str">
        <f>IF($B1046="","",IF($P1045="",$B1046,MAX($P1045,$B1046)))</f>
        <v/>
      </c>
      <c r="Q1046" s="32" t="str">
        <f>IF($P1046="","",$B1046/$P1046-1)</f>
        <v/>
      </c>
    </row>
    <row r="1047">
      <c r="A1047" s="11" t="n"/>
      <c r="B1047" s="29" t="n"/>
      <c r="K1047" s="30" t="str">
        <f>IF($A1047="","",EDATE($A1047,12*$E$4))</f>
        <v/>
      </c>
      <c r="L1047" s="19" t="str">
        <f>IF($K1047="","",IF($K1047&gt;MAX($A$8:$A$5007),"",IFERROR(MATCH($K1047,$A$8:$A$5007,1),"")))</f>
        <v/>
      </c>
      <c r="M1047" s="30" t="str">
        <f>IF($L1047="","",INDEX($A$8:$A$5007,$L1047))</f>
        <v/>
      </c>
      <c r="N1047" s="31" t="str">
        <f>IF($L1047="","",INDEX($B$8:$B$5007,$L1047))</f>
        <v/>
      </c>
      <c r="O1047" s="32" t="str">
        <f>IF($M1047="","",IF($K1047-$M1047&gt;7,"",IF($M1047&lt;=$A1047,"",IF(OR($B1047&lt;=0,$N1047&lt;=0),"",($N1047/$B1047)^(365/($M1047-$A1047))-1))))</f>
        <v/>
      </c>
      <c r="P1047" s="31" t="str">
        <f>IF($B1047="","",IF($P1046="",$B1047,MAX($P1046,$B1047)))</f>
        <v/>
      </c>
      <c r="Q1047" s="32" t="str">
        <f>IF($P1047="","",$B1047/$P1047-1)</f>
        <v/>
      </c>
    </row>
    <row r="1048">
      <c r="A1048" s="11" t="n"/>
      <c r="B1048" s="29" t="n"/>
      <c r="K1048" s="30" t="str">
        <f>IF($A1048="","",EDATE($A1048,12*$E$4))</f>
        <v/>
      </c>
      <c r="L1048" s="19" t="str">
        <f>IF($K1048="","",IF($K1048&gt;MAX($A$8:$A$5007),"",IFERROR(MATCH($K1048,$A$8:$A$5007,1),"")))</f>
        <v/>
      </c>
      <c r="M1048" s="30" t="str">
        <f>IF($L1048="","",INDEX($A$8:$A$5007,$L1048))</f>
        <v/>
      </c>
      <c r="N1048" s="31" t="str">
        <f>IF($L1048="","",INDEX($B$8:$B$5007,$L1048))</f>
        <v/>
      </c>
      <c r="O1048" s="32" t="str">
        <f>IF($M1048="","",IF($K1048-$M1048&gt;7,"",IF($M1048&lt;=$A1048,"",IF(OR($B1048&lt;=0,$N1048&lt;=0),"",($N1048/$B1048)^(365/($M1048-$A1048))-1))))</f>
        <v/>
      </c>
      <c r="P1048" s="31" t="str">
        <f>IF($B1048="","",IF($P1047="",$B1048,MAX($P1047,$B1048)))</f>
        <v/>
      </c>
      <c r="Q1048" s="32" t="str">
        <f>IF($P1048="","",$B1048/$P1048-1)</f>
        <v/>
      </c>
    </row>
    <row r="1049">
      <c r="A1049" s="11" t="n"/>
      <c r="B1049" s="29" t="n"/>
      <c r="K1049" s="30" t="str">
        <f>IF($A1049="","",EDATE($A1049,12*$E$4))</f>
        <v/>
      </c>
      <c r="L1049" s="19" t="str">
        <f>IF($K1049="","",IF($K1049&gt;MAX($A$8:$A$5007),"",IFERROR(MATCH($K1049,$A$8:$A$5007,1),"")))</f>
        <v/>
      </c>
      <c r="M1049" s="30" t="str">
        <f>IF($L1049="","",INDEX($A$8:$A$5007,$L1049))</f>
        <v/>
      </c>
      <c r="N1049" s="31" t="str">
        <f>IF($L1049="","",INDEX($B$8:$B$5007,$L1049))</f>
        <v/>
      </c>
      <c r="O1049" s="32" t="str">
        <f>IF($M1049="","",IF($K1049-$M1049&gt;7,"",IF($M1049&lt;=$A1049,"",IF(OR($B1049&lt;=0,$N1049&lt;=0),"",($N1049/$B1049)^(365/($M1049-$A1049))-1))))</f>
        <v/>
      </c>
      <c r="P1049" s="31" t="str">
        <f>IF($B1049="","",IF($P1048="",$B1049,MAX($P1048,$B1049)))</f>
        <v/>
      </c>
      <c r="Q1049" s="32" t="str">
        <f>IF($P1049="","",$B1049/$P1049-1)</f>
        <v/>
      </c>
    </row>
    <row r="1050">
      <c r="A1050" s="11" t="n"/>
      <c r="B1050" s="29" t="n"/>
      <c r="K1050" s="30" t="str">
        <f>IF($A1050="","",EDATE($A1050,12*$E$4))</f>
        <v/>
      </c>
      <c r="L1050" s="19" t="str">
        <f>IF($K1050="","",IF($K1050&gt;MAX($A$8:$A$5007),"",IFERROR(MATCH($K1050,$A$8:$A$5007,1),"")))</f>
        <v/>
      </c>
      <c r="M1050" s="30" t="str">
        <f>IF($L1050="","",INDEX($A$8:$A$5007,$L1050))</f>
        <v/>
      </c>
      <c r="N1050" s="31" t="str">
        <f>IF($L1050="","",INDEX($B$8:$B$5007,$L1050))</f>
        <v/>
      </c>
      <c r="O1050" s="32" t="str">
        <f>IF($M1050="","",IF($K1050-$M1050&gt;7,"",IF($M1050&lt;=$A1050,"",IF(OR($B1050&lt;=0,$N1050&lt;=0),"",($N1050/$B1050)^(365/($M1050-$A1050))-1))))</f>
        <v/>
      </c>
      <c r="P1050" s="31" t="str">
        <f>IF($B1050="","",IF($P1049="",$B1050,MAX($P1049,$B1050)))</f>
        <v/>
      </c>
      <c r="Q1050" s="32" t="str">
        <f>IF($P1050="","",$B1050/$P1050-1)</f>
        <v/>
      </c>
    </row>
    <row r="1051">
      <c r="A1051" s="11" t="n"/>
      <c r="B1051" s="29" t="n"/>
      <c r="K1051" s="30" t="str">
        <f>IF($A1051="","",EDATE($A1051,12*$E$4))</f>
        <v/>
      </c>
      <c r="L1051" s="19" t="str">
        <f>IF($K1051="","",IF($K1051&gt;MAX($A$8:$A$5007),"",IFERROR(MATCH($K1051,$A$8:$A$5007,1),"")))</f>
        <v/>
      </c>
      <c r="M1051" s="30" t="str">
        <f>IF($L1051="","",INDEX($A$8:$A$5007,$L1051))</f>
        <v/>
      </c>
      <c r="N1051" s="31" t="str">
        <f>IF($L1051="","",INDEX($B$8:$B$5007,$L1051))</f>
        <v/>
      </c>
      <c r="O1051" s="32" t="str">
        <f>IF($M1051="","",IF($K1051-$M1051&gt;7,"",IF($M1051&lt;=$A1051,"",IF(OR($B1051&lt;=0,$N1051&lt;=0),"",($N1051/$B1051)^(365/($M1051-$A1051))-1))))</f>
        <v/>
      </c>
      <c r="P1051" s="31" t="str">
        <f>IF($B1051="","",IF($P1050="",$B1051,MAX($P1050,$B1051)))</f>
        <v/>
      </c>
      <c r="Q1051" s="32" t="str">
        <f>IF($P1051="","",$B1051/$P1051-1)</f>
        <v/>
      </c>
    </row>
    <row r="1052">
      <c r="A1052" s="11" t="n"/>
      <c r="B1052" s="29" t="n"/>
      <c r="K1052" s="30" t="str">
        <f>IF($A1052="","",EDATE($A1052,12*$E$4))</f>
        <v/>
      </c>
      <c r="L1052" s="19" t="str">
        <f>IF($K1052="","",IF($K1052&gt;MAX($A$8:$A$5007),"",IFERROR(MATCH($K1052,$A$8:$A$5007,1),"")))</f>
        <v/>
      </c>
      <c r="M1052" s="30" t="str">
        <f>IF($L1052="","",INDEX($A$8:$A$5007,$L1052))</f>
        <v/>
      </c>
      <c r="N1052" s="31" t="str">
        <f>IF($L1052="","",INDEX($B$8:$B$5007,$L1052))</f>
        <v/>
      </c>
      <c r="O1052" s="32" t="str">
        <f>IF($M1052="","",IF($K1052-$M1052&gt;7,"",IF($M1052&lt;=$A1052,"",IF(OR($B1052&lt;=0,$N1052&lt;=0),"",($N1052/$B1052)^(365/($M1052-$A1052))-1))))</f>
        <v/>
      </c>
      <c r="P1052" s="31" t="str">
        <f>IF($B1052="","",IF($P1051="",$B1052,MAX($P1051,$B1052)))</f>
        <v/>
      </c>
      <c r="Q1052" s="32" t="str">
        <f>IF($P1052="","",$B1052/$P1052-1)</f>
        <v/>
      </c>
    </row>
    <row r="1053">
      <c r="A1053" s="11" t="n"/>
      <c r="B1053" s="29" t="n"/>
      <c r="K1053" s="30" t="str">
        <f>IF($A1053="","",EDATE($A1053,12*$E$4))</f>
        <v/>
      </c>
      <c r="L1053" s="19" t="str">
        <f>IF($K1053="","",IF($K1053&gt;MAX($A$8:$A$5007),"",IFERROR(MATCH($K1053,$A$8:$A$5007,1),"")))</f>
        <v/>
      </c>
      <c r="M1053" s="30" t="str">
        <f>IF($L1053="","",INDEX($A$8:$A$5007,$L1053))</f>
        <v/>
      </c>
      <c r="N1053" s="31" t="str">
        <f>IF($L1053="","",INDEX($B$8:$B$5007,$L1053))</f>
        <v/>
      </c>
      <c r="O1053" s="32" t="str">
        <f>IF($M1053="","",IF($K1053-$M1053&gt;7,"",IF($M1053&lt;=$A1053,"",IF(OR($B1053&lt;=0,$N1053&lt;=0),"",($N1053/$B1053)^(365/($M1053-$A1053))-1))))</f>
        <v/>
      </c>
      <c r="P1053" s="31" t="str">
        <f>IF($B1053="","",IF($P1052="",$B1053,MAX($P1052,$B1053)))</f>
        <v/>
      </c>
      <c r="Q1053" s="32" t="str">
        <f>IF($P1053="","",$B1053/$P1053-1)</f>
        <v/>
      </c>
    </row>
    <row r="1054">
      <c r="A1054" s="11" t="n"/>
      <c r="B1054" s="29" t="n"/>
      <c r="K1054" s="30" t="str">
        <f>IF($A1054="","",EDATE($A1054,12*$E$4))</f>
        <v/>
      </c>
      <c r="L1054" s="19" t="str">
        <f>IF($K1054="","",IF($K1054&gt;MAX($A$8:$A$5007),"",IFERROR(MATCH($K1054,$A$8:$A$5007,1),"")))</f>
        <v/>
      </c>
      <c r="M1054" s="30" t="str">
        <f>IF($L1054="","",INDEX($A$8:$A$5007,$L1054))</f>
        <v/>
      </c>
      <c r="N1054" s="31" t="str">
        <f>IF($L1054="","",INDEX($B$8:$B$5007,$L1054))</f>
        <v/>
      </c>
      <c r="O1054" s="32" t="str">
        <f>IF($M1054="","",IF($K1054-$M1054&gt;7,"",IF($M1054&lt;=$A1054,"",IF(OR($B1054&lt;=0,$N1054&lt;=0),"",($N1054/$B1054)^(365/($M1054-$A1054))-1))))</f>
        <v/>
      </c>
      <c r="P1054" s="31" t="str">
        <f>IF($B1054="","",IF($P1053="",$B1054,MAX($P1053,$B1054)))</f>
        <v/>
      </c>
      <c r="Q1054" s="32" t="str">
        <f>IF($P1054="","",$B1054/$P1054-1)</f>
        <v/>
      </c>
    </row>
    <row r="1055">
      <c r="A1055" s="11" t="n"/>
      <c r="B1055" s="29" t="n"/>
      <c r="K1055" s="30" t="str">
        <f>IF($A1055="","",EDATE($A1055,12*$E$4))</f>
        <v/>
      </c>
      <c r="L1055" s="19" t="str">
        <f>IF($K1055="","",IF($K1055&gt;MAX($A$8:$A$5007),"",IFERROR(MATCH($K1055,$A$8:$A$5007,1),"")))</f>
        <v/>
      </c>
      <c r="M1055" s="30" t="str">
        <f>IF($L1055="","",INDEX($A$8:$A$5007,$L1055))</f>
        <v/>
      </c>
      <c r="N1055" s="31" t="str">
        <f>IF($L1055="","",INDEX($B$8:$B$5007,$L1055))</f>
        <v/>
      </c>
      <c r="O1055" s="32" t="str">
        <f>IF($M1055="","",IF($K1055-$M1055&gt;7,"",IF($M1055&lt;=$A1055,"",IF(OR($B1055&lt;=0,$N1055&lt;=0),"",($N1055/$B1055)^(365/($M1055-$A1055))-1))))</f>
        <v/>
      </c>
      <c r="P1055" s="31" t="str">
        <f>IF($B1055="","",IF($P1054="",$B1055,MAX($P1054,$B1055)))</f>
        <v/>
      </c>
      <c r="Q1055" s="32" t="str">
        <f>IF($P1055="","",$B1055/$P1055-1)</f>
        <v/>
      </c>
    </row>
    <row r="1056">
      <c r="A1056" s="11" t="n"/>
      <c r="B1056" s="29" t="n"/>
      <c r="K1056" s="30" t="str">
        <f>IF($A1056="","",EDATE($A1056,12*$E$4))</f>
        <v/>
      </c>
      <c r="L1056" s="19" t="str">
        <f>IF($K1056="","",IF($K1056&gt;MAX($A$8:$A$5007),"",IFERROR(MATCH($K1056,$A$8:$A$5007,1),"")))</f>
        <v/>
      </c>
      <c r="M1056" s="30" t="str">
        <f>IF($L1056="","",INDEX($A$8:$A$5007,$L1056))</f>
        <v/>
      </c>
      <c r="N1056" s="31" t="str">
        <f>IF($L1056="","",INDEX($B$8:$B$5007,$L1056))</f>
        <v/>
      </c>
      <c r="O1056" s="32" t="str">
        <f>IF($M1056="","",IF($K1056-$M1056&gt;7,"",IF($M1056&lt;=$A1056,"",IF(OR($B1056&lt;=0,$N1056&lt;=0),"",($N1056/$B1056)^(365/($M1056-$A1056))-1))))</f>
        <v/>
      </c>
      <c r="P1056" s="31" t="str">
        <f>IF($B1056="","",IF($P1055="",$B1056,MAX($P1055,$B1056)))</f>
        <v/>
      </c>
      <c r="Q1056" s="32" t="str">
        <f>IF($P1056="","",$B1056/$P1056-1)</f>
        <v/>
      </c>
    </row>
    <row r="1057">
      <c r="A1057" s="11" t="n"/>
      <c r="B1057" s="29" t="n"/>
      <c r="K1057" s="30" t="str">
        <f>IF($A1057="","",EDATE($A1057,12*$E$4))</f>
        <v/>
      </c>
      <c r="L1057" s="19" t="str">
        <f>IF($K1057="","",IF($K1057&gt;MAX($A$8:$A$5007),"",IFERROR(MATCH($K1057,$A$8:$A$5007,1),"")))</f>
        <v/>
      </c>
      <c r="M1057" s="30" t="str">
        <f>IF($L1057="","",INDEX($A$8:$A$5007,$L1057))</f>
        <v/>
      </c>
      <c r="N1057" s="31" t="str">
        <f>IF($L1057="","",INDEX($B$8:$B$5007,$L1057))</f>
        <v/>
      </c>
      <c r="O1057" s="32" t="str">
        <f>IF($M1057="","",IF($K1057-$M1057&gt;7,"",IF($M1057&lt;=$A1057,"",IF(OR($B1057&lt;=0,$N1057&lt;=0),"",($N1057/$B1057)^(365/($M1057-$A1057))-1))))</f>
        <v/>
      </c>
      <c r="P1057" s="31" t="str">
        <f>IF($B1057="","",IF($P1056="",$B1057,MAX($P1056,$B1057)))</f>
        <v/>
      </c>
      <c r="Q1057" s="32" t="str">
        <f>IF($P1057="","",$B1057/$P1057-1)</f>
        <v/>
      </c>
    </row>
    <row r="1058">
      <c r="A1058" s="11" t="n"/>
      <c r="B1058" s="29" t="n"/>
      <c r="K1058" s="30" t="str">
        <f>IF($A1058="","",EDATE($A1058,12*$E$4))</f>
        <v/>
      </c>
      <c r="L1058" s="19" t="str">
        <f>IF($K1058="","",IF($K1058&gt;MAX($A$8:$A$5007),"",IFERROR(MATCH($K1058,$A$8:$A$5007,1),"")))</f>
        <v/>
      </c>
      <c r="M1058" s="30" t="str">
        <f>IF($L1058="","",INDEX($A$8:$A$5007,$L1058))</f>
        <v/>
      </c>
      <c r="N1058" s="31" t="str">
        <f>IF($L1058="","",INDEX($B$8:$B$5007,$L1058))</f>
        <v/>
      </c>
      <c r="O1058" s="32" t="str">
        <f>IF($M1058="","",IF($K1058-$M1058&gt;7,"",IF($M1058&lt;=$A1058,"",IF(OR($B1058&lt;=0,$N1058&lt;=0),"",($N1058/$B1058)^(365/($M1058-$A1058))-1))))</f>
        <v/>
      </c>
      <c r="P1058" s="31" t="str">
        <f>IF($B1058="","",IF($P1057="",$B1058,MAX($P1057,$B1058)))</f>
        <v/>
      </c>
      <c r="Q1058" s="32" t="str">
        <f>IF($P1058="","",$B1058/$P1058-1)</f>
        <v/>
      </c>
    </row>
    <row r="1059">
      <c r="A1059" s="11" t="n"/>
      <c r="B1059" s="29" t="n"/>
      <c r="K1059" s="30" t="str">
        <f>IF($A1059="","",EDATE($A1059,12*$E$4))</f>
        <v/>
      </c>
      <c r="L1059" s="19" t="str">
        <f>IF($K1059="","",IF($K1059&gt;MAX($A$8:$A$5007),"",IFERROR(MATCH($K1059,$A$8:$A$5007,1),"")))</f>
        <v/>
      </c>
      <c r="M1059" s="30" t="str">
        <f>IF($L1059="","",INDEX($A$8:$A$5007,$L1059))</f>
        <v/>
      </c>
      <c r="N1059" s="31" t="str">
        <f>IF($L1059="","",INDEX($B$8:$B$5007,$L1059))</f>
        <v/>
      </c>
      <c r="O1059" s="32" t="str">
        <f>IF($M1059="","",IF($K1059-$M1059&gt;7,"",IF($M1059&lt;=$A1059,"",IF(OR($B1059&lt;=0,$N1059&lt;=0),"",($N1059/$B1059)^(365/($M1059-$A1059))-1))))</f>
        <v/>
      </c>
      <c r="P1059" s="31" t="str">
        <f>IF($B1059="","",IF($P1058="",$B1059,MAX($P1058,$B1059)))</f>
        <v/>
      </c>
      <c r="Q1059" s="32" t="str">
        <f>IF($P1059="","",$B1059/$P1059-1)</f>
        <v/>
      </c>
    </row>
    <row r="1060">
      <c r="A1060" s="11" t="n"/>
      <c r="B1060" s="29" t="n"/>
      <c r="K1060" s="30" t="str">
        <f>IF($A1060="","",EDATE($A1060,12*$E$4))</f>
        <v/>
      </c>
      <c r="L1060" s="19" t="str">
        <f>IF($K1060="","",IF($K1060&gt;MAX($A$8:$A$5007),"",IFERROR(MATCH($K1060,$A$8:$A$5007,1),"")))</f>
        <v/>
      </c>
      <c r="M1060" s="30" t="str">
        <f>IF($L1060="","",INDEX($A$8:$A$5007,$L1060))</f>
        <v/>
      </c>
      <c r="N1060" s="31" t="str">
        <f>IF($L1060="","",INDEX($B$8:$B$5007,$L1060))</f>
        <v/>
      </c>
      <c r="O1060" s="32" t="str">
        <f>IF($M1060="","",IF($K1060-$M1060&gt;7,"",IF($M1060&lt;=$A1060,"",IF(OR($B1060&lt;=0,$N1060&lt;=0),"",($N1060/$B1060)^(365/($M1060-$A1060))-1))))</f>
        <v/>
      </c>
      <c r="P1060" s="31" t="str">
        <f>IF($B1060="","",IF($P1059="",$B1060,MAX($P1059,$B1060)))</f>
        <v/>
      </c>
      <c r="Q1060" s="32" t="str">
        <f>IF($P1060="","",$B1060/$P1060-1)</f>
        <v/>
      </c>
    </row>
    <row r="1061">
      <c r="A1061" s="11" t="n"/>
      <c r="B1061" s="29" t="n"/>
      <c r="K1061" s="30" t="str">
        <f>IF($A1061="","",EDATE($A1061,12*$E$4))</f>
        <v/>
      </c>
      <c r="L1061" s="19" t="str">
        <f>IF($K1061="","",IF($K1061&gt;MAX($A$8:$A$5007),"",IFERROR(MATCH($K1061,$A$8:$A$5007,1),"")))</f>
        <v/>
      </c>
      <c r="M1061" s="30" t="str">
        <f>IF($L1061="","",INDEX($A$8:$A$5007,$L1061))</f>
        <v/>
      </c>
      <c r="N1061" s="31" t="str">
        <f>IF($L1061="","",INDEX($B$8:$B$5007,$L1061))</f>
        <v/>
      </c>
      <c r="O1061" s="32" t="str">
        <f>IF($M1061="","",IF($K1061-$M1061&gt;7,"",IF($M1061&lt;=$A1061,"",IF(OR($B1061&lt;=0,$N1061&lt;=0),"",($N1061/$B1061)^(365/($M1061-$A1061))-1))))</f>
        <v/>
      </c>
      <c r="P1061" s="31" t="str">
        <f>IF($B1061="","",IF($P1060="",$B1061,MAX($P1060,$B1061)))</f>
        <v/>
      </c>
      <c r="Q1061" s="32" t="str">
        <f>IF($P1061="","",$B1061/$P1061-1)</f>
        <v/>
      </c>
    </row>
    <row r="1062">
      <c r="A1062" s="11" t="n"/>
      <c r="B1062" s="29" t="n"/>
      <c r="K1062" s="30" t="str">
        <f>IF($A1062="","",EDATE($A1062,12*$E$4))</f>
        <v/>
      </c>
      <c r="L1062" s="19" t="str">
        <f>IF($K1062="","",IF($K1062&gt;MAX($A$8:$A$5007),"",IFERROR(MATCH($K1062,$A$8:$A$5007,1),"")))</f>
        <v/>
      </c>
      <c r="M1062" s="30" t="str">
        <f>IF($L1062="","",INDEX($A$8:$A$5007,$L1062))</f>
        <v/>
      </c>
      <c r="N1062" s="31" t="str">
        <f>IF($L1062="","",INDEX($B$8:$B$5007,$L1062))</f>
        <v/>
      </c>
      <c r="O1062" s="32" t="str">
        <f>IF($M1062="","",IF($K1062-$M1062&gt;7,"",IF($M1062&lt;=$A1062,"",IF(OR($B1062&lt;=0,$N1062&lt;=0),"",($N1062/$B1062)^(365/($M1062-$A1062))-1))))</f>
        <v/>
      </c>
      <c r="P1062" s="31" t="str">
        <f>IF($B1062="","",IF($P1061="",$B1062,MAX($P1061,$B1062)))</f>
        <v/>
      </c>
      <c r="Q1062" s="32" t="str">
        <f>IF($P1062="","",$B1062/$P1062-1)</f>
        <v/>
      </c>
    </row>
    <row r="1063">
      <c r="A1063" s="11" t="n"/>
      <c r="B1063" s="29" t="n"/>
      <c r="K1063" s="30" t="str">
        <f>IF($A1063="","",EDATE($A1063,12*$E$4))</f>
        <v/>
      </c>
      <c r="L1063" s="19" t="str">
        <f>IF($K1063="","",IF($K1063&gt;MAX($A$8:$A$5007),"",IFERROR(MATCH($K1063,$A$8:$A$5007,1),"")))</f>
        <v/>
      </c>
      <c r="M1063" s="30" t="str">
        <f>IF($L1063="","",INDEX($A$8:$A$5007,$L1063))</f>
        <v/>
      </c>
      <c r="N1063" s="31" t="str">
        <f>IF($L1063="","",INDEX($B$8:$B$5007,$L1063))</f>
        <v/>
      </c>
      <c r="O1063" s="32" t="str">
        <f>IF($M1063="","",IF($K1063-$M1063&gt;7,"",IF($M1063&lt;=$A1063,"",IF(OR($B1063&lt;=0,$N1063&lt;=0),"",($N1063/$B1063)^(365/($M1063-$A1063))-1))))</f>
        <v/>
      </c>
      <c r="P1063" s="31" t="str">
        <f>IF($B1063="","",IF($P1062="",$B1063,MAX($P1062,$B1063)))</f>
        <v/>
      </c>
      <c r="Q1063" s="32" t="str">
        <f>IF($P1063="","",$B1063/$P1063-1)</f>
        <v/>
      </c>
    </row>
    <row r="1064">
      <c r="A1064" s="11" t="n"/>
      <c r="B1064" s="29" t="n"/>
      <c r="K1064" s="30" t="str">
        <f>IF($A1064="","",EDATE($A1064,12*$E$4))</f>
        <v/>
      </c>
      <c r="L1064" s="19" t="str">
        <f>IF($K1064="","",IF($K1064&gt;MAX($A$8:$A$5007),"",IFERROR(MATCH($K1064,$A$8:$A$5007,1),"")))</f>
        <v/>
      </c>
      <c r="M1064" s="30" t="str">
        <f>IF($L1064="","",INDEX($A$8:$A$5007,$L1064))</f>
        <v/>
      </c>
      <c r="N1064" s="31" t="str">
        <f>IF($L1064="","",INDEX($B$8:$B$5007,$L1064))</f>
        <v/>
      </c>
      <c r="O1064" s="32" t="str">
        <f>IF($M1064="","",IF($K1064-$M1064&gt;7,"",IF($M1064&lt;=$A1064,"",IF(OR($B1064&lt;=0,$N1064&lt;=0),"",($N1064/$B1064)^(365/($M1064-$A1064))-1))))</f>
        <v/>
      </c>
      <c r="P1064" s="31" t="str">
        <f>IF($B1064="","",IF($P1063="",$B1064,MAX($P1063,$B1064)))</f>
        <v/>
      </c>
      <c r="Q1064" s="32" t="str">
        <f>IF($P1064="","",$B1064/$P1064-1)</f>
        <v/>
      </c>
    </row>
    <row r="1065">
      <c r="A1065" s="11" t="n"/>
      <c r="B1065" s="29" t="n"/>
      <c r="K1065" s="30" t="str">
        <f>IF($A1065="","",EDATE($A1065,12*$E$4))</f>
        <v/>
      </c>
      <c r="L1065" s="19" t="str">
        <f>IF($K1065="","",IF($K1065&gt;MAX($A$8:$A$5007),"",IFERROR(MATCH($K1065,$A$8:$A$5007,1),"")))</f>
        <v/>
      </c>
      <c r="M1065" s="30" t="str">
        <f>IF($L1065="","",INDEX($A$8:$A$5007,$L1065))</f>
        <v/>
      </c>
      <c r="N1065" s="31" t="str">
        <f>IF($L1065="","",INDEX($B$8:$B$5007,$L1065))</f>
        <v/>
      </c>
      <c r="O1065" s="32" t="str">
        <f>IF($M1065="","",IF($K1065-$M1065&gt;7,"",IF($M1065&lt;=$A1065,"",IF(OR($B1065&lt;=0,$N1065&lt;=0),"",($N1065/$B1065)^(365/($M1065-$A1065))-1))))</f>
        <v/>
      </c>
      <c r="P1065" s="31" t="str">
        <f>IF($B1065="","",IF($P1064="",$B1065,MAX($P1064,$B1065)))</f>
        <v/>
      </c>
      <c r="Q1065" s="32" t="str">
        <f>IF($P1065="","",$B1065/$P1065-1)</f>
        <v/>
      </c>
    </row>
    <row r="1066">
      <c r="A1066" s="11" t="n"/>
      <c r="B1066" s="29" t="n"/>
      <c r="K1066" s="30" t="str">
        <f>IF($A1066="","",EDATE($A1066,12*$E$4))</f>
        <v/>
      </c>
      <c r="L1066" s="19" t="str">
        <f>IF($K1066="","",IF($K1066&gt;MAX($A$8:$A$5007),"",IFERROR(MATCH($K1066,$A$8:$A$5007,1),"")))</f>
        <v/>
      </c>
      <c r="M1066" s="30" t="str">
        <f>IF($L1066="","",INDEX($A$8:$A$5007,$L1066))</f>
        <v/>
      </c>
      <c r="N1066" s="31" t="str">
        <f>IF($L1066="","",INDEX($B$8:$B$5007,$L1066))</f>
        <v/>
      </c>
      <c r="O1066" s="32" t="str">
        <f>IF($M1066="","",IF($K1066-$M1066&gt;7,"",IF($M1066&lt;=$A1066,"",IF(OR($B1066&lt;=0,$N1066&lt;=0),"",($N1066/$B1066)^(365/($M1066-$A1066))-1))))</f>
        <v/>
      </c>
      <c r="P1066" s="31" t="str">
        <f>IF($B1066="","",IF($P1065="",$B1066,MAX($P1065,$B1066)))</f>
        <v/>
      </c>
      <c r="Q1066" s="32" t="str">
        <f>IF($P1066="","",$B1066/$P1066-1)</f>
        <v/>
      </c>
    </row>
    <row r="1067">
      <c r="A1067" s="11" t="n"/>
      <c r="B1067" s="29" t="n"/>
      <c r="K1067" s="30" t="str">
        <f>IF($A1067="","",EDATE($A1067,12*$E$4))</f>
        <v/>
      </c>
      <c r="L1067" s="19" t="str">
        <f>IF($K1067="","",IF($K1067&gt;MAX($A$8:$A$5007),"",IFERROR(MATCH($K1067,$A$8:$A$5007,1),"")))</f>
        <v/>
      </c>
      <c r="M1067" s="30" t="str">
        <f>IF($L1067="","",INDEX($A$8:$A$5007,$L1067))</f>
        <v/>
      </c>
      <c r="N1067" s="31" t="str">
        <f>IF($L1067="","",INDEX($B$8:$B$5007,$L1067))</f>
        <v/>
      </c>
      <c r="O1067" s="32" t="str">
        <f>IF($M1067="","",IF($K1067-$M1067&gt;7,"",IF($M1067&lt;=$A1067,"",IF(OR($B1067&lt;=0,$N1067&lt;=0),"",($N1067/$B1067)^(365/($M1067-$A1067))-1))))</f>
        <v/>
      </c>
      <c r="P1067" s="31" t="str">
        <f>IF($B1067="","",IF($P1066="",$B1067,MAX($P1066,$B1067)))</f>
        <v/>
      </c>
      <c r="Q1067" s="32" t="str">
        <f>IF($P1067="","",$B1067/$P1067-1)</f>
        <v/>
      </c>
    </row>
    <row r="1068">
      <c r="A1068" s="11" t="n"/>
      <c r="B1068" s="29" t="n"/>
      <c r="K1068" s="30" t="str">
        <f>IF($A1068="","",EDATE($A1068,12*$E$4))</f>
        <v/>
      </c>
      <c r="L1068" s="19" t="str">
        <f>IF($K1068="","",IF($K1068&gt;MAX($A$8:$A$5007),"",IFERROR(MATCH($K1068,$A$8:$A$5007,1),"")))</f>
        <v/>
      </c>
      <c r="M1068" s="30" t="str">
        <f>IF($L1068="","",INDEX($A$8:$A$5007,$L1068))</f>
        <v/>
      </c>
      <c r="N1068" s="31" t="str">
        <f>IF($L1068="","",INDEX($B$8:$B$5007,$L1068))</f>
        <v/>
      </c>
      <c r="O1068" s="32" t="str">
        <f>IF($M1068="","",IF($K1068-$M1068&gt;7,"",IF($M1068&lt;=$A1068,"",IF(OR($B1068&lt;=0,$N1068&lt;=0),"",($N1068/$B1068)^(365/($M1068-$A1068))-1))))</f>
        <v/>
      </c>
      <c r="P1068" s="31" t="str">
        <f>IF($B1068="","",IF($P1067="",$B1068,MAX($P1067,$B1068)))</f>
        <v/>
      </c>
      <c r="Q1068" s="32" t="str">
        <f>IF($P1068="","",$B1068/$P1068-1)</f>
        <v/>
      </c>
    </row>
    <row r="1069">
      <c r="A1069" s="11" t="n"/>
      <c r="B1069" s="29" t="n"/>
      <c r="K1069" s="30" t="str">
        <f>IF($A1069="","",EDATE($A1069,12*$E$4))</f>
        <v/>
      </c>
      <c r="L1069" s="19" t="str">
        <f>IF($K1069="","",IF($K1069&gt;MAX($A$8:$A$5007),"",IFERROR(MATCH($K1069,$A$8:$A$5007,1),"")))</f>
        <v/>
      </c>
      <c r="M1069" s="30" t="str">
        <f>IF($L1069="","",INDEX($A$8:$A$5007,$L1069))</f>
        <v/>
      </c>
      <c r="N1069" s="31" t="str">
        <f>IF($L1069="","",INDEX($B$8:$B$5007,$L1069))</f>
        <v/>
      </c>
      <c r="O1069" s="32" t="str">
        <f>IF($M1069="","",IF($K1069-$M1069&gt;7,"",IF($M1069&lt;=$A1069,"",IF(OR($B1069&lt;=0,$N1069&lt;=0),"",($N1069/$B1069)^(365/($M1069-$A1069))-1))))</f>
        <v/>
      </c>
      <c r="P1069" s="31" t="str">
        <f>IF($B1069="","",IF($P1068="",$B1069,MAX($P1068,$B1069)))</f>
        <v/>
      </c>
      <c r="Q1069" s="32" t="str">
        <f>IF($P1069="","",$B1069/$P1069-1)</f>
        <v/>
      </c>
    </row>
    <row r="1070">
      <c r="A1070" s="11" t="n"/>
      <c r="B1070" s="29" t="n"/>
      <c r="K1070" s="30" t="str">
        <f>IF($A1070="","",EDATE($A1070,12*$E$4))</f>
        <v/>
      </c>
      <c r="L1070" s="19" t="str">
        <f>IF($K1070="","",IF($K1070&gt;MAX($A$8:$A$5007),"",IFERROR(MATCH($K1070,$A$8:$A$5007,1),"")))</f>
        <v/>
      </c>
      <c r="M1070" s="30" t="str">
        <f>IF($L1070="","",INDEX($A$8:$A$5007,$L1070))</f>
        <v/>
      </c>
      <c r="N1070" s="31" t="str">
        <f>IF($L1070="","",INDEX($B$8:$B$5007,$L1070))</f>
        <v/>
      </c>
      <c r="O1070" s="32" t="str">
        <f>IF($M1070="","",IF($K1070-$M1070&gt;7,"",IF($M1070&lt;=$A1070,"",IF(OR($B1070&lt;=0,$N1070&lt;=0),"",($N1070/$B1070)^(365/($M1070-$A1070))-1))))</f>
        <v/>
      </c>
      <c r="P1070" s="31" t="str">
        <f>IF($B1070="","",IF($P1069="",$B1070,MAX($P1069,$B1070)))</f>
        <v/>
      </c>
      <c r="Q1070" s="32" t="str">
        <f>IF($P1070="","",$B1070/$P1070-1)</f>
        <v/>
      </c>
    </row>
    <row r="1071">
      <c r="A1071" s="11" t="n"/>
      <c r="B1071" s="29" t="n"/>
      <c r="K1071" s="30" t="str">
        <f>IF($A1071="","",EDATE($A1071,12*$E$4))</f>
        <v/>
      </c>
      <c r="L1071" s="19" t="str">
        <f>IF($K1071="","",IF($K1071&gt;MAX($A$8:$A$5007),"",IFERROR(MATCH($K1071,$A$8:$A$5007,1),"")))</f>
        <v/>
      </c>
      <c r="M1071" s="30" t="str">
        <f>IF($L1071="","",INDEX($A$8:$A$5007,$L1071))</f>
        <v/>
      </c>
      <c r="N1071" s="31" t="str">
        <f>IF($L1071="","",INDEX($B$8:$B$5007,$L1071))</f>
        <v/>
      </c>
      <c r="O1071" s="32" t="str">
        <f>IF($M1071="","",IF($K1071-$M1071&gt;7,"",IF($M1071&lt;=$A1071,"",IF(OR($B1071&lt;=0,$N1071&lt;=0),"",($N1071/$B1071)^(365/($M1071-$A1071))-1))))</f>
        <v/>
      </c>
      <c r="P1071" s="31" t="str">
        <f>IF($B1071="","",IF($P1070="",$B1071,MAX($P1070,$B1071)))</f>
        <v/>
      </c>
      <c r="Q1071" s="32" t="str">
        <f>IF($P1071="","",$B1071/$P1071-1)</f>
        <v/>
      </c>
    </row>
    <row r="1072">
      <c r="A1072" s="11" t="n"/>
      <c r="B1072" s="29" t="n"/>
      <c r="K1072" s="30" t="str">
        <f>IF($A1072="","",EDATE($A1072,12*$E$4))</f>
        <v/>
      </c>
      <c r="L1072" s="19" t="str">
        <f>IF($K1072="","",IF($K1072&gt;MAX($A$8:$A$5007),"",IFERROR(MATCH($K1072,$A$8:$A$5007,1),"")))</f>
        <v/>
      </c>
      <c r="M1072" s="30" t="str">
        <f>IF($L1072="","",INDEX($A$8:$A$5007,$L1072))</f>
        <v/>
      </c>
      <c r="N1072" s="31" t="str">
        <f>IF($L1072="","",INDEX($B$8:$B$5007,$L1072))</f>
        <v/>
      </c>
      <c r="O1072" s="32" t="str">
        <f>IF($M1072="","",IF($K1072-$M1072&gt;7,"",IF($M1072&lt;=$A1072,"",IF(OR($B1072&lt;=0,$N1072&lt;=0),"",($N1072/$B1072)^(365/($M1072-$A1072))-1))))</f>
        <v/>
      </c>
      <c r="P1072" s="31" t="str">
        <f>IF($B1072="","",IF($P1071="",$B1072,MAX($P1071,$B1072)))</f>
        <v/>
      </c>
      <c r="Q1072" s="32" t="str">
        <f>IF($P1072="","",$B1072/$P1072-1)</f>
        <v/>
      </c>
    </row>
    <row r="1073">
      <c r="A1073" s="11" t="n"/>
      <c r="B1073" s="29" t="n"/>
      <c r="K1073" s="30" t="str">
        <f>IF($A1073="","",EDATE($A1073,12*$E$4))</f>
        <v/>
      </c>
      <c r="L1073" s="19" t="str">
        <f>IF($K1073="","",IF($K1073&gt;MAX($A$8:$A$5007),"",IFERROR(MATCH($K1073,$A$8:$A$5007,1),"")))</f>
        <v/>
      </c>
      <c r="M1073" s="30" t="str">
        <f>IF($L1073="","",INDEX($A$8:$A$5007,$L1073))</f>
        <v/>
      </c>
      <c r="N1073" s="31" t="str">
        <f>IF($L1073="","",INDEX($B$8:$B$5007,$L1073))</f>
        <v/>
      </c>
      <c r="O1073" s="32" t="str">
        <f>IF($M1073="","",IF($K1073-$M1073&gt;7,"",IF($M1073&lt;=$A1073,"",IF(OR($B1073&lt;=0,$N1073&lt;=0),"",($N1073/$B1073)^(365/($M1073-$A1073))-1))))</f>
        <v/>
      </c>
      <c r="P1073" s="31" t="str">
        <f>IF($B1073="","",IF($P1072="",$B1073,MAX($P1072,$B1073)))</f>
        <v/>
      </c>
      <c r="Q1073" s="32" t="str">
        <f>IF($P1073="","",$B1073/$P1073-1)</f>
        <v/>
      </c>
    </row>
    <row r="1074">
      <c r="A1074" s="11" t="n"/>
      <c r="B1074" s="29" t="n"/>
      <c r="K1074" s="30" t="str">
        <f>IF($A1074="","",EDATE($A1074,12*$E$4))</f>
        <v/>
      </c>
      <c r="L1074" s="19" t="str">
        <f>IF($K1074="","",IF($K1074&gt;MAX($A$8:$A$5007),"",IFERROR(MATCH($K1074,$A$8:$A$5007,1),"")))</f>
        <v/>
      </c>
      <c r="M1074" s="30" t="str">
        <f>IF($L1074="","",INDEX($A$8:$A$5007,$L1074))</f>
        <v/>
      </c>
      <c r="N1074" s="31" t="str">
        <f>IF($L1074="","",INDEX($B$8:$B$5007,$L1074))</f>
        <v/>
      </c>
      <c r="O1074" s="32" t="str">
        <f>IF($M1074="","",IF($K1074-$M1074&gt;7,"",IF($M1074&lt;=$A1074,"",IF(OR($B1074&lt;=0,$N1074&lt;=0),"",($N1074/$B1074)^(365/($M1074-$A1074))-1))))</f>
        <v/>
      </c>
      <c r="P1074" s="31" t="str">
        <f>IF($B1074="","",IF($P1073="",$B1074,MAX($P1073,$B1074)))</f>
        <v/>
      </c>
      <c r="Q1074" s="32" t="str">
        <f>IF($P1074="","",$B1074/$P1074-1)</f>
        <v/>
      </c>
    </row>
    <row r="1075">
      <c r="A1075" s="11" t="n"/>
      <c r="B1075" s="29" t="n"/>
      <c r="K1075" s="30" t="str">
        <f>IF($A1075="","",EDATE($A1075,12*$E$4))</f>
        <v/>
      </c>
      <c r="L1075" s="19" t="str">
        <f>IF($K1075="","",IF($K1075&gt;MAX($A$8:$A$5007),"",IFERROR(MATCH($K1075,$A$8:$A$5007,1),"")))</f>
        <v/>
      </c>
      <c r="M1075" s="30" t="str">
        <f>IF($L1075="","",INDEX($A$8:$A$5007,$L1075))</f>
        <v/>
      </c>
      <c r="N1075" s="31" t="str">
        <f>IF($L1075="","",INDEX($B$8:$B$5007,$L1075))</f>
        <v/>
      </c>
      <c r="O1075" s="32" t="str">
        <f>IF($M1075="","",IF($K1075-$M1075&gt;7,"",IF($M1075&lt;=$A1075,"",IF(OR($B1075&lt;=0,$N1075&lt;=0),"",($N1075/$B1075)^(365/($M1075-$A1075))-1))))</f>
        <v/>
      </c>
      <c r="P1075" s="31" t="str">
        <f>IF($B1075="","",IF($P1074="",$B1075,MAX($P1074,$B1075)))</f>
        <v/>
      </c>
      <c r="Q1075" s="32" t="str">
        <f>IF($P1075="","",$B1075/$P1075-1)</f>
        <v/>
      </c>
    </row>
    <row r="1076">
      <c r="A1076" s="11" t="n"/>
      <c r="B1076" s="29" t="n"/>
      <c r="K1076" s="30" t="str">
        <f>IF($A1076="","",EDATE($A1076,12*$E$4))</f>
        <v/>
      </c>
      <c r="L1076" s="19" t="str">
        <f>IF($K1076="","",IF($K1076&gt;MAX($A$8:$A$5007),"",IFERROR(MATCH($K1076,$A$8:$A$5007,1),"")))</f>
        <v/>
      </c>
      <c r="M1076" s="30" t="str">
        <f>IF($L1076="","",INDEX($A$8:$A$5007,$L1076))</f>
        <v/>
      </c>
      <c r="N1076" s="31" t="str">
        <f>IF($L1076="","",INDEX($B$8:$B$5007,$L1076))</f>
        <v/>
      </c>
      <c r="O1076" s="32" t="str">
        <f>IF($M1076="","",IF($K1076-$M1076&gt;7,"",IF($M1076&lt;=$A1076,"",IF(OR($B1076&lt;=0,$N1076&lt;=0),"",($N1076/$B1076)^(365/($M1076-$A1076))-1))))</f>
        <v/>
      </c>
      <c r="P1076" s="31" t="str">
        <f>IF($B1076="","",IF($P1075="",$B1076,MAX($P1075,$B1076)))</f>
        <v/>
      </c>
      <c r="Q1076" s="32" t="str">
        <f>IF($P1076="","",$B1076/$P1076-1)</f>
        <v/>
      </c>
    </row>
    <row r="1077">
      <c r="A1077" s="11" t="n"/>
      <c r="B1077" s="29" t="n"/>
      <c r="K1077" s="30" t="str">
        <f>IF($A1077="","",EDATE($A1077,12*$E$4))</f>
        <v/>
      </c>
      <c r="L1077" s="19" t="str">
        <f>IF($K1077="","",IF($K1077&gt;MAX($A$8:$A$5007),"",IFERROR(MATCH($K1077,$A$8:$A$5007,1),"")))</f>
        <v/>
      </c>
      <c r="M1077" s="30" t="str">
        <f>IF($L1077="","",INDEX($A$8:$A$5007,$L1077))</f>
        <v/>
      </c>
      <c r="N1077" s="31" t="str">
        <f>IF($L1077="","",INDEX($B$8:$B$5007,$L1077))</f>
        <v/>
      </c>
      <c r="O1077" s="32" t="str">
        <f>IF($M1077="","",IF($K1077-$M1077&gt;7,"",IF($M1077&lt;=$A1077,"",IF(OR($B1077&lt;=0,$N1077&lt;=0),"",($N1077/$B1077)^(365/($M1077-$A1077))-1))))</f>
        <v/>
      </c>
      <c r="P1077" s="31" t="str">
        <f>IF($B1077="","",IF($P1076="",$B1077,MAX($P1076,$B1077)))</f>
        <v/>
      </c>
      <c r="Q1077" s="32" t="str">
        <f>IF($P1077="","",$B1077/$P1077-1)</f>
        <v/>
      </c>
    </row>
    <row r="1078">
      <c r="A1078" s="11" t="n"/>
      <c r="B1078" s="29" t="n"/>
      <c r="K1078" s="30" t="str">
        <f>IF($A1078="","",EDATE($A1078,12*$E$4))</f>
        <v/>
      </c>
      <c r="L1078" s="19" t="str">
        <f>IF($K1078="","",IF($K1078&gt;MAX($A$8:$A$5007),"",IFERROR(MATCH($K1078,$A$8:$A$5007,1),"")))</f>
        <v/>
      </c>
      <c r="M1078" s="30" t="str">
        <f>IF($L1078="","",INDEX($A$8:$A$5007,$L1078))</f>
        <v/>
      </c>
      <c r="N1078" s="31" t="str">
        <f>IF($L1078="","",INDEX($B$8:$B$5007,$L1078))</f>
        <v/>
      </c>
      <c r="O1078" s="32" t="str">
        <f>IF($M1078="","",IF($K1078-$M1078&gt;7,"",IF($M1078&lt;=$A1078,"",IF(OR($B1078&lt;=0,$N1078&lt;=0),"",($N1078/$B1078)^(365/($M1078-$A1078))-1))))</f>
        <v/>
      </c>
      <c r="P1078" s="31" t="str">
        <f>IF($B1078="","",IF($P1077="",$B1078,MAX($P1077,$B1078)))</f>
        <v/>
      </c>
      <c r="Q1078" s="32" t="str">
        <f>IF($P1078="","",$B1078/$P1078-1)</f>
        <v/>
      </c>
    </row>
    <row r="1079">
      <c r="A1079" s="11" t="n"/>
      <c r="B1079" s="29" t="n"/>
      <c r="K1079" s="30" t="str">
        <f>IF($A1079="","",EDATE($A1079,12*$E$4))</f>
        <v/>
      </c>
      <c r="L1079" s="19" t="str">
        <f>IF($K1079="","",IF($K1079&gt;MAX($A$8:$A$5007),"",IFERROR(MATCH($K1079,$A$8:$A$5007,1),"")))</f>
        <v/>
      </c>
      <c r="M1079" s="30" t="str">
        <f>IF($L1079="","",INDEX($A$8:$A$5007,$L1079))</f>
        <v/>
      </c>
      <c r="N1079" s="31" t="str">
        <f>IF($L1079="","",INDEX($B$8:$B$5007,$L1079))</f>
        <v/>
      </c>
      <c r="O1079" s="32" t="str">
        <f>IF($M1079="","",IF($K1079-$M1079&gt;7,"",IF($M1079&lt;=$A1079,"",IF(OR($B1079&lt;=0,$N1079&lt;=0),"",($N1079/$B1079)^(365/($M1079-$A1079))-1))))</f>
        <v/>
      </c>
      <c r="P1079" s="31" t="str">
        <f>IF($B1079="","",IF($P1078="",$B1079,MAX($P1078,$B1079)))</f>
        <v/>
      </c>
      <c r="Q1079" s="32" t="str">
        <f>IF($P1079="","",$B1079/$P1079-1)</f>
        <v/>
      </c>
    </row>
    <row r="1080">
      <c r="A1080" s="11" t="n"/>
      <c r="B1080" s="29" t="n"/>
      <c r="K1080" s="30" t="str">
        <f>IF($A1080="","",EDATE($A1080,12*$E$4))</f>
        <v/>
      </c>
      <c r="L1080" s="19" t="str">
        <f>IF($K1080="","",IF($K1080&gt;MAX($A$8:$A$5007),"",IFERROR(MATCH($K1080,$A$8:$A$5007,1),"")))</f>
        <v/>
      </c>
      <c r="M1080" s="30" t="str">
        <f>IF($L1080="","",INDEX($A$8:$A$5007,$L1080))</f>
        <v/>
      </c>
      <c r="N1080" s="31" t="str">
        <f>IF($L1080="","",INDEX($B$8:$B$5007,$L1080))</f>
        <v/>
      </c>
      <c r="O1080" s="32" t="str">
        <f>IF($M1080="","",IF($K1080-$M1080&gt;7,"",IF($M1080&lt;=$A1080,"",IF(OR($B1080&lt;=0,$N1080&lt;=0),"",($N1080/$B1080)^(365/($M1080-$A1080))-1))))</f>
        <v/>
      </c>
      <c r="P1080" s="31" t="str">
        <f>IF($B1080="","",IF($P1079="",$B1080,MAX($P1079,$B1080)))</f>
        <v/>
      </c>
      <c r="Q1080" s="32" t="str">
        <f>IF($P1080="","",$B1080/$P1080-1)</f>
        <v/>
      </c>
    </row>
    <row r="1081">
      <c r="A1081" s="11" t="n"/>
      <c r="B1081" s="29" t="n"/>
      <c r="K1081" s="30" t="str">
        <f>IF($A1081="","",EDATE($A1081,12*$E$4))</f>
        <v/>
      </c>
      <c r="L1081" s="19" t="str">
        <f>IF($K1081="","",IF($K1081&gt;MAX($A$8:$A$5007),"",IFERROR(MATCH($K1081,$A$8:$A$5007,1),"")))</f>
        <v/>
      </c>
      <c r="M1081" s="30" t="str">
        <f>IF($L1081="","",INDEX($A$8:$A$5007,$L1081))</f>
        <v/>
      </c>
      <c r="N1081" s="31" t="str">
        <f>IF($L1081="","",INDEX($B$8:$B$5007,$L1081))</f>
        <v/>
      </c>
      <c r="O1081" s="32" t="str">
        <f>IF($M1081="","",IF($K1081-$M1081&gt;7,"",IF($M1081&lt;=$A1081,"",IF(OR($B1081&lt;=0,$N1081&lt;=0),"",($N1081/$B1081)^(365/($M1081-$A1081))-1))))</f>
        <v/>
      </c>
      <c r="P1081" s="31" t="str">
        <f>IF($B1081="","",IF($P1080="",$B1081,MAX($P1080,$B1081)))</f>
        <v/>
      </c>
      <c r="Q1081" s="32" t="str">
        <f>IF($P1081="","",$B1081/$P1081-1)</f>
        <v/>
      </c>
    </row>
    <row r="1082">
      <c r="A1082" s="11" t="n"/>
      <c r="B1082" s="29" t="n"/>
      <c r="K1082" s="30" t="str">
        <f>IF($A1082="","",EDATE($A1082,12*$E$4))</f>
        <v/>
      </c>
      <c r="L1082" s="19" t="str">
        <f>IF($K1082="","",IF($K1082&gt;MAX($A$8:$A$5007),"",IFERROR(MATCH($K1082,$A$8:$A$5007,1),"")))</f>
        <v/>
      </c>
      <c r="M1082" s="30" t="str">
        <f>IF($L1082="","",INDEX($A$8:$A$5007,$L1082))</f>
        <v/>
      </c>
      <c r="N1082" s="31" t="str">
        <f>IF($L1082="","",INDEX($B$8:$B$5007,$L1082))</f>
        <v/>
      </c>
      <c r="O1082" s="32" t="str">
        <f>IF($M1082="","",IF($K1082-$M1082&gt;7,"",IF($M1082&lt;=$A1082,"",IF(OR($B1082&lt;=0,$N1082&lt;=0),"",($N1082/$B1082)^(365/($M1082-$A1082))-1))))</f>
        <v/>
      </c>
      <c r="P1082" s="31" t="str">
        <f>IF($B1082="","",IF($P1081="",$B1082,MAX($P1081,$B1082)))</f>
        <v/>
      </c>
      <c r="Q1082" s="32" t="str">
        <f>IF($P1082="","",$B1082/$P1082-1)</f>
        <v/>
      </c>
    </row>
    <row r="1083">
      <c r="A1083" s="11" t="n"/>
      <c r="B1083" s="29" t="n"/>
      <c r="K1083" s="30" t="str">
        <f>IF($A1083="","",EDATE($A1083,12*$E$4))</f>
        <v/>
      </c>
      <c r="L1083" s="19" t="str">
        <f>IF($K1083="","",IF($K1083&gt;MAX($A$8:$A$5007),"",IFERROR(MATCH($K1083,$A$8:$A$5007,1),"")))</f>
        <v/>
      </c>
      <c r="M1083" s="30" t="str">
        <f>IF($L1083="","",INDEX($A$8:$A$5007,$L1083))</f>
        <v/>
      </c>
      <c r="N1083" s="31" t="str">
        <f>IF($L1083="","",INDEX($B$8:$B$5007,$L1083))</f>
        <v/>
      </c>
      <c r="O1083" s="32" t="str">
        <f>IF($M1083="","",IF($K1083-$M1083&gt;7,"",IF($M1083&lt;=$A1083,"",IF(OR($B1083&lt;=0,$N1083&lt;=0),"",($N1083/$B1083)^(365/($M1083-$A1083))-1))))</f>
        <v/>
      </c>
      <c r="P1083" s="31" t="str">
        <f>IF($B1083="","",IF($P1082="",$B1083,MAX($P1082,$B1083)))</f>
        <v/>
      </c>
      <c r="Q1083" s="32" t="str">
        <f>IF($P1083="","",$B1083/$P1083-1)</f>
        <v/>
      </c>
    </row>
    <row r="1084">
      <c r="A1084" s="11" t="n"/>
      <c r="B1084" s="29" t="n"/>
      <c r="K1084" s="30" t="str">
        <f>IF($A1084="","",EDATE($A1084,12*$E$4))</f>
        <v/>
      </c>
      <c r="L1084" s="19" t="str">
        <f>IF($K1084="","",IF($K1084&gt;MAX($A$8:$A$5007),"",IFERROR(MATCH($K1084,$A$8:$A$5007,1),"")))</f>
        <v/>
      </c>
      <c r="M1084" s="30" t="str">
        <f>IF($L1084="","",INDEX($A$8:$A$5007,$L1084))</f>
        <v/>
      </c>
      <c r="N1084" s="31" t="str">
        <f>IF($L1084="","",INDEX($B$8:$B$5007,$L1084))</f>
        <v/>
      </c>
      <c r="O1084" s="32" t="str">
        <f>IF($M1084="","",IF($K1084-$M1084&gt;7,"",IF($M1084&lt;=$A1084,"",IF(OR($B1084&lt;=0,$N1084&lt;=0),"",($N1084/$B1084)^(365/($M1084-$A1084))-1))))</f>
        <v/>
      </c>
      <c r="P1084" s="31" t="str">
        <f>IF($B1084="","",IF($P1083="",$B1084,MAX($P1083,$B1084)))</f>
        <v/>
      </c>
      <c r="Q1084" s="32" t="str">
        <f>IF($P1084="","",$B1084/$P1084-1)</f>
        <v/>
      </c>
    </row>
    <row r="1085">
      <c r="A1085" s="11" t="n"/>
      <c r="B1085" s="29" t="n"/>
      <c r="K1085" s="30" t="str">
        <f>IF($A1085="","",EDATE($A1085,12*$E$4))</f>
        <v/>
      </c>
      <c r="L1085" s="19" t="str">
        <f>IF($K1085="","",IF($K1085&gt;MAX($A$8:$A$5007),"",IFERROR(MATCH($K1085,$A$8:$A$5007,1),"")))</f>
        <v/>
      </c>
      <c r="M1085" s="30" t="str">
        <f>IF($L1085="","",INDEX($A$8:$A$5007,$L1085))</f>
        <v/>
      </c>
      <c r="N1085" s="31" t="str">
        <f>IF($L1085="","",INDEX($B$8:$B$5007,$L1085))</f>
        <v/>
      </c>
      <c r="O1085" s="32" t="str">
        <f>IF($M1085="","",IF($K1085-$M1085&gt;7,"",IF($M1085&lt;=$A1085,"",IF(OR($B1085&lt;=0,$N1085&lt;=0),"",($N1085/$B1085)^(365/($M1085-$A1085))-1))))</f>
        <v/>
      </c>
      <c r="P1085" s="31" t="str">
        <f>IF($B1085="","",IF($P1084="",$B1085,MAX($P1084,$B1085)))</f>
        <v/>
      </c>
      <c r="Q1085" s="32" t="str">
        <f>IF($P1085="","",$B1085/$P1085-1)</f>
        <v/>
      </c>
    </row>
    <row r="1086">
      <c r="A1086" s="11" t="n"/>
      <c r="B1086" s="29" t="n"/>
      <c r="K1086" s="30" t="str">
        <f>IF($A1086="","",EDATE($A1086,12*$E$4))</f>
        <v/>
      </c>
      <c r="L1086" s="19" t="str">
        <f>IF($K1086="","",IF($K1086&gt;MAX($A$8:$A$5007),"",IFERROR(MATCH($K1086,$A$8:$A$5007,1),"")))</f>
        <v/>
      </c>
      <c r="M1086" s="30" t="str">
        <f>IF($L1086="","",INDEX($A$8:$A$5007,$L1086))</f>
        <v/>
      </c>
      <c r="N1086" s="31" t="str">
        <f>IF($L1086="","",INDEX($B$8:$B$5007,$L1086))</f>
        <v/>
      </c>
      <c r="O1086" s="32" t="str">
        <f>IF($M1086="","",IF($K1086-$M1086&gt;7,"",IF($M1086&lt;=$A1086,"",IF(OR($B1086&lt;=0,$N1086&lt;=0),"",($N1086/$B1086)^(365/($M1086-$A1086))-1))))</f>
        <v/>
      </c>
      <c r="P1086" s="31" t="str">
        <f>IF($B1086="","",IF($P1085="",$B1086,MAX($P1085,$B1086)))</f>
        <v/>
      </c>
      <c r="Q1086" s="32" t="str">
        <f>IF($P1086="","",$B1086/$P1086-1)</f>
        <v/>
      </c>
    </row>
    <row r="1087">
      <c r="A1087" s="11" t="n"/>
      <c r="B1087" s="29" t="n"/>
      <c r="K1087" s="30" t="str">
        <f>IF($A1087="","",EDATE($A1087,12*$E$4))</f>
        <v/>
      </c>
      <c r="L1087" s="19" t="str">
        <f>IF($K1087="","",IF($K1087&gt;MAX($A$8:$A$5007),"",IFERROR(MATCH($K1087,$A$8:$A$5007,1),"")))</f>
        <v/>
      </c>
      <c r="M1087" s="30" t="str">
        <f>IF($L1087="","",INDEX($A$8:$A$5007,$L1087))</f>
        <v/>
      </c>
      <c r="N1087" s="31" t="str">
        <f>IF($L1087="","",INDEX($B$8:$B$5007,$L1087))</f>
        <v/>
      </c>
      <c r="O1087" s="32" t="str">
        <f>IF($M1087="","",IF($K1087-$M1087&gt;7,"",IF($M1087&lt;=$A1087,"",IF(OR($B1087&lt;=0,$N1087&lt;=0),"",($N1087/$B1087)^(365/($M1087-$A1087))-1))))</f>
        <v/>
      </c>
      <c r="P1087" s="31" t="str">
        <f>IF($B1087="","",IF($P1086="",$B1087,MAX($P1086,$B1087)))</f>
        <v/>
      </c>
      <c r="Q1087" s="32" t="str">
        <f>IF($P1087="","",$B1087/$P1087-1)</f>
        <v/>
      </c>
    </row>
    <row r="1088">
      <c r="A1088" s="11" t="n"/>
      <c r="B1088" s="29" t="n"/>
      <c r="K1088" s="30" t="str">
        <f>IF($A1088="","",EDATE($A1088,12*$E$4))</f>
        <v/>
      </c>
      <c r="L1088" s="19" t="str">
        <f>IF($K1088="","",IF($K1088&gt;MAX($A$8:$A$5007),"",IFERROR(MATCH($K1088,$A$8:$A$5007,1),"")))</f>
        <v/>
      </c>
      <c r="M1088" s="30" t="str">
        <f>IF($L1088="","",INDEX($A$8:$A$5007,$L1088))</f>
        <v/>
      </c>
      <c r="N1088" s="31" t="str">
        <f>IF($L1088="","",INDEX($B$8:$B$5007,$L1088))</f>
        <v/>
      </c>
      <c r="O1088" s="32" t="str">
        <f>IF($M1088="","",IF($K1088-$M1088&gt;7,"",IF($M1088&lt;=$A1088,"",IF(OR($B1088&lt;=0,$N1088&lt;=0),"",($N1088/$B1088)^(365/($M1088-$A1088))-1))))</f>
        <v/>
      </c>
      <c r="P1088" s="31" t="str">
        <f>IF($B1088="","",IF($P1087="",$B1088,MAX($P1087,$B1088)))</f>
        <v/>
      </c>
      <c r="Q1088" s="32" t="str">
        <f>IF($P1088="","",$B1088/$P1088-1)</f>
        <v/>
      </c>
    </row>
    <row r="1089">
      <c r="A1089" s="11" t="n"/>
      <c r="B1089" s="29" t="n"/>
      <c r="K1089" s="30" t="str">
        <f>IF($A1089="","",EDATE($A1089,12*$E$4))</f>
        <v/>
      </c>
      <c r="L1089" s="19" t="str">
        <f>IF($K1089="","",IF($K1089&gt;MAX($A$8:$A$5007),"",IFERROR(MATCH($K1089,$A$8:$A$5007,1),"")))</f>
        <v/>
      </c>
      <c r="M1089" s="30" t="str">
        <f>IF($L1089="","",INDEX($A$8:$A$5007,$L1089))</f>
        <v/>
      </c>
      <c r="N1089" s="31" t="str">
        <f>IF($L1089="","",INDEX($B$8:$B$5007,$L1089))</f>
        <v/>
      </c>
      <c r="O1089" s="32" t="str">
        <f>IF($M1089="","",IF($K1089-$M1089&gt;7,"",IF($M1089&lt;=$A1089,"",IF(OR($B1089&lt;=0,$N1089&lt;=0),"",($N1089/$B1089)^(365/($M1089-$A1089))-1))))</f>
        <v/>
      </c>
      <c r="P1089" s="31" t="str">
        <f>IF($B1089="","",IF($P1088="",$B1089,MAX($P1088,$B1089)))</f>
        <v/>
      </c>
      <c r="Q1089" s="32" t="str">
        <f>IF($P1089="","",$B1089/$P1089-1)</f>
        <v/>
      </c>
    </row>
    <row r="1090">
      <c r="A1090" s="11" t="n"/>
      <c r="B1090" s="29" t="n"/>
      <c r="K1090" s="30" t="str">
        <f>IF($A1090="","",EDATE($A1090,12*$E$4))</f>
        <v/>
      </c>
      <c r="L1090" s="19" t="str">
        <f>IF($K1090="","",IF($K1090&gt;MAX($A$8:$A$5007),"",IFERROR(MATCH($K1090,$A$8:$A$5007,1),"")))</f>
        <v/>
      </c>
      <c r="M1090" s="30" t="str">
        <f>IF($L1090="","",INDEX($A$8:$A$5007,$L1090))</f>
        <v/>
      </c>
      <c r="N1090" s="31" t="str">
        <f>IF($L1090="","",INDEX($B$8:$B$5007,$L1090))</f>
        <v/>
      </c>
      <c r="O1090" s="32" t="str">
        <f>IF($M1090="","",IF($K1090-$M1090&gt;7,"",IF($M1090&lt;=$A1090,"",IF(OR($B1090&lt;=0,$N1090&lt;=0),"",($N1090/$B1090)^(365/($M1090-$A1090))-1))))</f>
        <v/>
      </c>
      <c r="P1090" s="31" t="str">
        <f>IF($B1090="","",IF($P1089="",$B1090,MAX($P1089,$B1090)))</f>
        <v/>
      </c>
      <c r="Q1090" s="32" t="str">
        <f>IF($P1090="","",$B1090/$P1090-1)</f>
        <v/>
      </c>
    </row>
    <row r="1091">
      <c r="A1091" s="11" t="n"/>
      <c r="B1091" s="29" t="n"/>
      <c r="K1091" s="30" t="str">
        <f>IF($A1091="","",EDATE($A1091,12*$E$4))</f>
        <v/>
      </c>
      <c r="L1091" s="19" t="str">
        <f>IF($K1091="","",IF($K1091&gt;MAX($A$8:$A$5007),"",IFERROR(MATCH($K1091,$A$8:$A$5007,1),"")))</f>
        <v/>
      </c>
      <c r="M1091" s="30" t="str">
        <f>IF($L1091="","",INDEX($A$8:$A$5007,$L1091))</f>
        <v/>
      </c>
      <c r="N1091" s="31" t="str">
        <f>IF($L1091="","",INDEX($B$8:$B$5007,$L1091))</f>
        <v/>
      </c>
      <c r="O1091" s="32" t="str">
        <f>IF($M1091="","",IF($K1091-$M1091&gt;7,"",IF($M1091&lt;=$A1091,"",IF(OR($B1091&lt;=0,$N1091&lt;=0),"",($N1091/$B1091)^(365/($M1091-$A1091))-1))))</f>
        <v/>
      </c>
      <c r="P1091" s="31" t="str">
        <f>IF($B1091="","",IF($P1090="",$B1091,MAX($P1090,$B1091)))</f>
        <v/>
      </c>
      <c r="Q1091" s="32" t="str">
        <f>IF($P1091="","",$B1091/$P1091-1)</f>
        <v/>
      </c>
    </row>
    <row r="1092">
      <c r="A1092" s="11" t="n"/>
      <c r="B1092" s="29" t="n"/>
      <c r="K1092" s="30" t="str">
        <f>IF($A1092="","",EDATE($A1092,12*$E$4))</f>
        <v/>
      </c>
      <c r="L1092" s="19" t="str">
        <f>IF($K1092="","",IF($K1092&gt;MAX($A$8:$A$5007),"",IFERROR(MATCH($K1092,$A$8:$A$5007,1),"")))</f>
        <v/>
      </c>
      <c r="M1092" s="30" t="str">
        <f>IF($L1092="","",INDEX($A$8:$A$5007,$L1092))</f>
        <v/>
      </c>
      <c r="N1092" s="31" t="str">
        <f>IF($L1092="","",INDEX($B$8:$B$5007,$L1092))</f>
        <v/>
      </c>
      <c r="O1092" s="32" t="str">
        <f>IF($M1092="","",IF($K1092-$M1092&gt;7,"",IF($M1092&lt;=$A1092,"",IF(OR($B1092&lt;=0,$N1092&lt;=0),"",($N1092/$B1092)^(365/($M1092-$A1092))-1))))</f>
        <v/>
      </c>
      <c r="P1092" s="31" t="str">
        <f>IF($B1092="","",IF($P1091="",$B1092,MAX($P1091,$B1092)))</f>
        <v/>
      </c>
      <c r="Q1092" s="32" t="str">
        <f>IF($P1092="","",$B1092/$P1092-1)</f>
        <v/>
      </c>
    </row>
    <row r="1093">
      <c r="A1093" s="11" t="n"/>
      <c r="B1093" s="29" t="n"/>
      <c r="K1093" s="30" t="str">
        <f>IF($A1093="","",EDATE($A1093,12*$E$4))</f>
        <v/>
      </c>
      <c r="L1093" s="19" t="str">
        <f>IF($K1093="","",IF($K1093&gt;MAX($A$8:$A$5007),"",IFERROR(MATCH($K1093,$A$8:$A$5007,1),"")))</f>
        <v/>
      </c>
      <c r="M1093" s="30" t="str">
        <f>IF($L1093="","",INDEX($A$8:$A$5007,$L1093))</f>
        <v/>
      </c>
      <c r="N1093" s="31" t="str">
        <f>IF($L1093="","",INDEX($B$8:$B$5007,$L1093))</f>
        <v/>
      </c>
      <c r="O1093" s="32" t="str">
        <f>IF($M1093="","",IF($K1093-$M1093&gt;7,"",IF($M1093&lt;=$A1093,"",IF(OR($B1093&lt;=0,$N1093&lt;=0),"",($N1093/$B1093)^(365/($M1093-$A1093))-1))))</f>
        <v/>
      </c>
      <c r="P1093" s="31" t="str">
        <f>IF($B1093="","",IF($P1092="",$B1093,MAX($P1092,$B1093)))</f>
        <v/>
      </c>
      <c r="Q1093" s="32" t="str">
        <f>IF($P1093="","",$B1093/$P1093-1)</f>
        <v/>
      </c>
    </row>
    <row r="1094">
      <c r="A1094" s="11" t="n"/>
      <c r="B1094" s="29" t="n"/>
      <c r="K1094" s="30" t="str">
        <f>IF($A1094="","",EDATE($A1094,12*$E$4))</f>
        <v/>
      </c>
      <c r="L1094" s="19" t="str">
        <f>IF($K1094="","",IF($K1094&gt;MAX($A$8:$A$5007),"",IFERROR(MATCH($K1094,$A$8:$A$5007,1),"")))</f>
        <v/>
      </c>
      <c r="M1094" s="30" t="str">
        <f>IF($L1094="","",INDEX($A$8:$A$5007,$L1094))</f>
        <v/>
      </c>
      <c r="N1094" s="31" t="str">
        <f>IF($L1094="","",INDEX($B$8:$B$5007,$L1094))</f>
        <v/>
      </c>
      <c r="O1094" s="32" t="str">
        <f>IF($M1094="","",IF($K1094-$M1094&gt;7,"",IF($M1094&lt;=$A1094,"",IF(OR($B1094&lt;=0,$N1094&lt;=0),"",($N1094/$B1094)^(365/($M1094-$A1094))-1))))</f>
        <v/>
      </c>
      <c r="P1094" s="31" t="str">
        <f>IF($B1094="","",IF($P1093="",$B1094,MAX($P1093,$B1094)))</f>
        <v/>
      </c>
      <c r="Q1094" s="32" t="str">
        <f>IF($P1094="","",$B1094/$P1094-1)</f>
        <v/>
      </c>
    </row>
    <row r="1095">
      <c r="A1095" s="11" t="n"/>
      <c r="B1095" s="29" t="n"/>
      <c r="K1095" s="30" t="str">
        <f>IF($A1095="","",EDATE($A1095,12*$E$4))</f>
        <v/>
      </c>
      <c r="L1095" s="19" t="str">
        <f>IF($K1095="","",IF($K1095&gt;MAX($A$8:$A$5007),"",IFERROR(MATCH($K1095,$A$8:$A$5007,1),"")))</f>
        <v/>
      </c>
      <c r="M1095" s="30" t="str">
        <f>IF($L1095="","",INDEX($A$8:$A$5007,$L1095))</f>
        <v/>
      </c>
      <c r="N1095" s="31" t="str">
        <f>IF($L1095="","",INDEX($B$8:$B$5007,$L1095))</f>
        <v/>
      </c>
      <c r="O1095" s="32" t="str">
        <f>IF($M1095="","",IF($K1095-$M1095&gt;7,"",IF($M1095&lt;=$A1095,"",IF(OR($B1095&lt;=0,$N1095&lt;=0),"",($N1095/$B1095)^(365/($M1095-$A1095))-1))))</f>
        <v/>
      </c>
      <c r="P1095" s="31" t="str">
        <f>IF($B1095="","",IF($P1094="",$B1095,MAX($P1094,$B1095)))</f>
        <v/>
      </c>
      <c r="Q1095" s="32" t="str">
        <f>IF($P1095="","",$B1095/$P1095-1)</f>
        <v/>
      </c>
    </row>
    <row r="1096">
      <c r="A1096" s="11" t="n"/>
      <c r="B1096" s="29" t="n"/>
      <c r="K1096" s="30" t="str">
        <f>IF($A1096="","",EDATE($A1096,12*$E$4))</f>
        <v/>
      </c>
      <c r="L1096" s="19" t="str">
        <f>IF($K1096="","",IF($K1096&gt;MAX($A$8:$A$5007),"",IFERROR(MATCH($K1096,$A$8:$A$5007,1),"")))</f>
        <v/>
      </c>
      <c r="M1096" s="30" t="str">
        <f>IF($L1096="","",INDEX($A$8:$A$5007,$L1096))</f>
        <v/>
      </c>
      <c r="N1096" s="31" t="str">
        <f>IF($L1096="","",INDEX($B$8:$B$5007,$L1096))</f>
        <v/>
      </c>
      <c r="O1096" s="32" t="str">
        <f>IF($M1096="","",IF($K1096-$M1096&gt;7,"",IF($M1096&lt;=$A1096,"",IF(OR($B1096&lt;=0,$N1096&lt;=0),"",($N1096/$B1096)^(365/($M1096-$A1096))-1))))</f>
        <v/>
      </c>
      <c r="P1096" s="31" t="str">
        <f>IF($B1096="","",IF($P1095="",$B1096,MAX($P1095,$B1096)))</f>
        <v/>
      </c>
      <c r="Q1096" s="32" t="str">
        <f>IF($P1096="","",$B1096/$P1096-1)</f>
        <v/>
      </c>
    </row>
    <row r="1097">
      <c r="A1097" s="11" t="n"/>
      <c r="B1097" s="29" t="n"/>
      <c r="K1097" s="30" t="str">
        <f>IF($A1097="","",EDATE($A1097,12*$E$4))</f>
        <v/>
      </c>
      <c r="L1097" s="19" t="str">
        <f>IF($K1097="","",IF($K1097&gt;MAX($A$8:$A$5007),"",IFERROR(MATCH($K1097,$A$8:$A$5007,1),"")))</f>
        <v/>
      </c>
      <c r="M1097" s="30" t="str">
        <f>IF($L1097="","",INDEX($A$8:$A$5007,$L1097))</f>
        <v/>
      </c>
      <c r="N1097" s="31" t="str">
        <f>IF($L1097="","",INDEX($B$8:$B$5007,$L1097))</f>
        <v/>
      </c>
      <c r="O1097" s="32" t="str">
        <f>IF($M1097="","",IF($K1097-$M1097&gt;7,"",IF($M1097&lt;=$A1097,"",IF(OR($B1097&lt;=0,$N1097&lt;=0),"",($N1097/$B1097)^(365/($M1097-$A1097))-1))))</f>
        <v/>
      </c>
      <c r="P1097" s="31" t="str">
        <f>IF($B1097="","",IF($P1096="",$B1097,MAX($P1096,$B1097)))</f>
        <v/>
      </c>
      <c r="Q1097" s="32" t="str">
        <f>IF($P1097="","",$B1097/$P1097-1)</f>
        <v/>
      </c>
    </row>
    <row r="1098">
      <c r="A1098" s="11" t="n"/>
      <c r="B1098" s="29" t="n"/>
      <c r="K1098" s="30" t="str">
        <f>IF($A1098="","",EDATE($A1098,12*$E$4))</f>
        <v/>
      </c>
      <c r="L1098" s="19" t="str">
        <f>IF($K1098="","",IF($K1098&gt;MAX($A$8:$A$5007),"",IFERROR(MATCH($K1098,$A$8:$A$5007,1),"")))</f>
        <v/>
      </c>
      <c r="M1098" s="30" t="str">
        <f>IF($L1098="","",INDEX($A$8:$A$5007,$L1098))</f>
        <v/>
      </c>
      <c r="N1098" s="31" t="str">
        <f>IF($L1098="","",INDEX($B$8:$B$5007,$L1098))</f>
        <v/>
      </c>
      <c r="O1098" s="32" t="str">
        <f>IF($M1098="","",IF($K1098-$M1098&gt;7,"",IF($M1098&lt;=$A1098,"",IF(OR($B1098&lt;=0,$N1098&lt;=0),"",($N1098/$B1098)^(365/($M1098-$A1098))-1))))</f>
        <v/>
      </c>
      <c r="P1098" s="31" t="str">
        <f>IF($B1098="","",IF($P1097="",$B1098,MAX($P1097,$B1098)))</f>
        <v/>
      </c>
      <c r="Q1098" s="32" t="str">
        <f>IF($P1098="","",$B1098/$P1098-1)</f>
        <v/>
      </c>
    </row>
    <row r="1099">
      <c r="A1099" s="11" t="n"/>
      <c r="B1099" s="29" t="n"/>
      <c r="K1099" s="30" t="str">
        <f>IF($A1099="","",EDATE($A1099,12*$E$4))</f>
        <v/>
      </c>
      <c r="L1099" s="19" t="str">
        <f>IF($K1099="","",IF($K1099&gt;MAX($A$8:$A$5007),"",IFERROR(MATCH($K1099,$A$8:$A$5007,1),"")))</f>
        <v/>
      </c>
      <c r="M1099" s="30" t="str">
        <f>IF($L1099="","",INDEX($A$8:$A$5007,$L1099))</f>
        <v/>
      </c>
      <c r="N1099" s="31" t="str">
        <f>IF($L1099="","",INDEX($B$8:$B$5007,$L1099))</f>
        <v/>
      </c>
      <c r="O1099" s="32" t="str">
        <f>IF($M1099="","",IF($K1099-$M1099&gt;7,"",IF($M1099&lt;=$A1099,"",IF(OR($B1099&lt;=0,$N1099&lt;=0),"",($N1099/$B1099)^(365/($M1099-$A1099))-1))))</f>
        <v/>
      </c>
      <c r="P1099" s="31" t="str">
        <f>IF($B1099="","",IF($P1098="",$B1099,MAX($P1098,$B1099)))</f>
        <v/>
      </c>
      <c r="Q1099" s="32" t="str">
        <f>IF($P1099="","",$B1099/$P1099-1)</f>
        <v/>
      </c>
    </row>
    <row r="1100">
      <c r="A1100" s="11" t="n"/>
      <c r="B1100" s="29" t="n"/>
      <c r="K1100" s="30" t="str">
        <f>IF($A1100="","",EDATE($A1100,12*$E$4))</f>
        <v/>
      </c>
      <c r="L1100" s="19" t="str">
        <f>IF($K1100="","",IF($K1100&gt;MAX($A$8:$A$5007),"",IFERROR(MATCH($K1100,$A$8:$A$5007,1),"")))</f>
        <v/>
      </c>
      <c r="M1100" s="30" t="str">
        <f>IF($L1100="","",INDEX($A$8:$A$5007,$L1100))</f>
        <v/>
      </c>
      <c r="N1100" s="31" t="str">
        <f>IF($L1100="","",INDEX($B$8:$B$5007,$L1100))</f>
        <v/>
      </c>
      <c r="O1100" s="32" t="str">
        <f>IF($M1100="","",IF($K1100-$M1100&gt;7,"",IF($M1100&lt;=$A1100,"",IF(OR($B1100&lt;=0,$N1100&lt;=0),"",($N1100/$B1100)^(365/($M1100-$A1100))-1))))</f>
        <v/>
      </c>
      <c r="P1100" s="31" t="str">
        <f>IF($B1100="","",IF($P1099="",$B1100,MAX($P1099,$B1100)))</f>
        <v/>
      </c>
      <c r="Q1100" s="32" t="str">
        <f>IF($P1100="","",$B1100/$P1100-1)</f>
        <v/>
      </c>
    </row>
    <row r="1101">
      <c r="A1101" s="11" t="n"/>
      <c r="B1101" s="29" t="n"/>
      <c r="K1101" s="30" t="str">
        <f>IF($A1101="","",EDATE($A1101,12*$E$4))</f>
        <v/>
      </c>
      <c r="L1101" s="19" t="str">
        <f>IF($K1101="","",IF($K1101&gt;MAX($A$8:$A$5007),"",IFERROR(MATCH($K1101,$A$8:$A$5007,1),"")))</f>
        <v/>
      </c>
      <c r="M1101" s="30" t="str">
        <f>IF($L1101="","",INDEX($A$8:$A$5007,$L1101))</f>
        <v/>
      </c>
      <c r="N1101" s="31" t="str">
        <f>IF($L1101="","",INDEX($B$8:$B$5007,$L1101))</f>
        <v/>
      </c>
      <c r="O1101" s="32" t="str">
        <f>IF($M1101="","",IF($K1101-$M1101&gt;7,"",IF($M1101&lt;=$A1101,"",IF(OR($B1101&lt;=0,$N1101&lt;=0),"",($N1101/$B1101)^(365/($M1101-$A1101))-1))))</f>
        <v/>
      </c>
      <c r="P1101" s="31" t="str">
        <f>IF($B1101="","",IF($P1100="",$B1101,MAX($P1100,$B1101)))</f>
        <v/>
      </c>
      <c r="Q1101" s="32" t="str">
        <f>IF($P1101="","",$B1101/$P1101-1)</f>
        <v/>
      </c>
    </row>
    <row r="1102">
      <c r="A1102" s="11" t="n"/>
      <c r="B1102" s="29" t="n"/>
      <c r="K1102" s="30" t="str">
        <f>IF($A1102="","",EDATE($A1102,12*$E$4))</f>
        <v/>
      </c>
      <c r="L1102" s="19" t="str">
        <f>IF($K1102="","",IF($K1102&gt;MAX($A$8:$A$5007),"",IFERROR(MATCH($K1102,$A$8:$A$5007,1),"")))</f>
        <v/>
      </c>
      <c r="M1102" s="30" t="str">
        <f>IF($L1102="","",INDEX($A$8:$A$5007,$L1102))</f>
        <v/>
      </c>
      <c r="N1102" s="31" t="str">
        <f>IF($L1102="","",INDEX($B$8:$B$5007,$L1102))</f>
        <v/>
      </c>
      <c r="O1102" s="32" t="str">
        <f>IF($M1102="","",IF($K1102-$M1102&gt;7,"",IF($M1102&lt;=$A1102,"",IF(OR($B1102&lt;=0,$N1102&lt;=0),"",($N1102/$B1102)^(365/($M1102-$A1102))-1))))</f>
        <v/>
      </c>
      <c r="P1102" s="31" t="str">
        <f>IF($B1102="","",IF($P1101="",$B1102,MAX($P1101,$B1102)))</f>
        <v/>
      </c>
      <c r="Q1102" s="32" t="str">
        <f>IF($P1102="","",$B1102/$P1102-1)</f>
        <v/>
      </c>
    </row>
    <row r="1103">
      <c r="A1103" s="11" t="n"/>
      <c r="B1103" s="29" t="n"/>
      <c r="K1103" s="30" t="str">
        <f>IF($A1103="","",EDATE($A1103,12*$E$4))</f>
        <v/>
      </c>
      <c r="L1103" s="19" t="str">
        <f>IF($K1103="","",IF($K1103&gt;MAX($A$8:$A$5007),"",IFERROR(MATCH($K1103,$A$8:$A$5007,1),"")))</f>
        <v/>
      </c>
      <c r="M1103" s="30" t="str">
        <f>IF($L1103="","",INDEX($A$8:$A$5007,$L1103))</f>
        <v/>
      </c>
      <c r="N1103" s="31" t="str">
        <f>IF($L1103="","",INDEX($B$8:$B$5007,$L1103))</f>
        <v/>
      </c>
      <c r="O1103" s="32" t="str">
        <f>IF($M1103="","",IF($K1103-$M1103&gt;7,"",IF($M1103&lt;=$A1103,"",IF(OR($B1103&lt;=0,$N1103&lt;=0),"",($N1103/$B1103)^(365/($M1103-$A1103))-1))))</f>
        <v/>
      </c>
      <c r="P1103" s="31" t="str">
        <f>IF($B1103="","",IF($P1102="",$B1103,MAX($P1102,$B1103)))</f>
        <v/>
      </c>
      <c r="Q1103" s="32" t="str">
        <f>IF($P1103="","",$B1103/$P1103-1)</f>
        <v/>
      </c>
    </row>
    <row r="1104">
      <c r="A1104" s="11" t="n"/>
      <c r="B1104" s="29" t="n"/>
      <c r="K1104" s="30" t="str">
        <f>IF($A1104="","",EDATE($A1104,12*$E$4))</f>
        <v/>
      </c>
      <c r="L1104" s="19" t="str">
        <f>IF($K1104="","",IF($K1104&gt;MAX($A$8:$A$5007),"",IFERROR(MATCH($K1104,$A$8:$A$5007,1),"")))</f>
        <v/>
      </c>
      <c r="M1104" s="30" t="str">
        <f>IF($L1104="","",INDEX($A$8:$A$5007,$L1104))</f>
        <v/>
      </c>
      <c r="N1104" s="31" t="str">
        <f>IF($L1104="","",INDEX($B$8:$B$5007,$L1104))</f>
        <v/>
      </c>
      <c r="O1104" s="32" t="str">
        <f>IF($M1104="","",IF($K1104-$M1104&gt;7,"",IF($M1104&lt;=$A1104,"",IF(OR($B1104&lt;=0,$N1104&lt;=0),"",($N1104/$B1104)^(365/($M1104-$A1104))-1))))</f>
        <v/>
      </c>
      <c r="P1104" s="31" t="str">
        <f>IF($B1104="","",IF($P1103="",$B1104,MAX($P1103,$B1104)))</f>
        <v/>
      </c>
      <c r="Q1104" s="32" t="str">
        <f>IF($P1104="","",$B1104/$P1104-1)</f>
        <v/>
      </c>
    </row>
    <row r="1105">
      <c r="A1105" s="11" t="n"/>
      <c r="B1105" s="29" t="n"/>
      <c r="K1105" s="30" t="str">
        <f>IF($A1105="","",EDATE($A1105,12*$E$4))</f>
        <v/>
      </c>
      <c r="L1105" s="19" t="str">
        <f>IF($K1105="","",IF($K1105&gt;MAX($A$8:$A$5007),"",IFERROR(MATCH($K1105,$A$8:$A$5007,1),"")))</f>
        <v/>
      </c>
      <c r="M1105" s="30" t="str">
        <f>IF($L1105="","",INDEX($A$8:$A$5007,$L1105))</f>
        <v/>
      </c>
      <c r="N1105" s="31" t="str">
        <f>IF($L1105="","",INDEX($B$8:$B$5007,$L1105))</f>
        <v/>
      </c>
      <c r="O1105" s="32" t="str">
        <f>IF($M1105="","",IF($K1105-$M1105&gt;7,"",IF($M1105&lt;=$A1105,"",IF(OR($B1105&lt;=0,$N1105&lt;=0),"",($N1105/$B1105)^(365/($M1105-$A1105))-1))))</f>
        <v/>
      </c>
      <c r="P1105" s="31" t="str">
        <f>IF($B1105="","",IF($P1104="",$B1105,MAX($P1104,$B1105)))</f>
        <v/>
      </c>
      <c r="Q1105" s="32" t="str">
        <f>IF($P1105="","",$B1105/$P1105-1)</f>
        <v/>
      </c>
    </row>
    <row r="1106">
      <c r="A1106" s="11" t="n"/>
      <c r="B1106" s="29" t="n"/>
      <c r="K1106" s="30" t="str">
        <f>IF($A1106="","",EDATE($A1106,12*$E$4))</f>
        <v/>
      </c>
      <c r="L1106" s="19" t="str">
        <f>IF($K1106="","",IF($K1106&gt;MAX($A$8:$A$5007),"",IFERROR(MATCH($K1106,$A$8:$A$5007,1),"")))</f>
        <v/>
      </c>
      <c r="M1106" s="30" t="str">
        <f>IF($L1106="","",INDEX($A$8:$A$5007,$L1106))</f>
        <v/>
      </c>
      <c r="N1106" s="31" t="str">
        <f>IF($L1106="","",INDEX($B$8:$B$5007,$L1106))</f>
        <v/>
      </c>
      <c r="O1106" s="32" t="str">
        <f>IF($M1106="","",IF($K1106-$M1106&gt;7,"",IF($M1106&lt;=$A1106,"",IF(OR($B1106&lt;=0,$N1106&lt;=0),"",($N1106/$B1106)^(365/($M1106-$A1106))-1))))</f>
        <v/>
      </c>
      <c r="P1106" s="31" t="str">
        <f>IF($B1106="","",IF($P1105="",$B1106,MAX($P1105,$B1106)))</f>
        <v/>
      </c>
      <c r="Q1106" s="32" t="str">
        <f>IF($P1106="","",$B1106/$P1106-1)</f>
        <v/>
      </c>
    </row>
    <row r="1107">
      <c r="A1107" s="11" t="n"/>
      <c r="B1107" s="29" t="n"/>
      <c r="K1107" s="30" t="str">
        <f>IF($A1107="","",EDATE($A1107,12*$E$4))</f>
        <v/>
      </c>
      <c r="L1107" s="19" t="str">
        <f>IF($K1107="","",IF($K1107&gt;MAX($A$8:$A$5007),"",IFERROR(MATCH($K1107,$A$8:$A$5007,1),"")))</f>
        <v/>
      </c>
      <c r="M1107" s="30" t="str">
        <f>IF($L1107="","",INDEX($A$8:$A$5007,$L1107))</f>
        <v/>
      </c>
      <c r="N1107" s="31" t="str">
        <f>IF($L1107="","",INDEX($B$8:$B$5007,$L1107))</f>
        <v/>
      </c>
      <c r="O1107" s="32" t="str">
        <f>IF($M1107="","",IF($K1107-$M1107&gt;7,"",IF($M1107&lt;=$A1107,"",IF(OR($B1107&lt;=0,$N1107&lt;=0),"",($N1107/$B1107)^(365/($M1107-$A1107))-1))))</f>
        <v/>
      </c>
      <c r="P1107" s="31" t="str">
        <f>IF($B1107="","",IF($P1106="",$B1107,MAX($P1106,$B1107)))</f>
        <v/>
      </c>
      <c r="Q1107" s="32" t="str">
        <f>IF($P1107="","",$B1107/$P1107-1)</f>
        <v/>
      </c>
    </row>
    <row r="1108">
      <c r="A1108" s="11" t="n"/>
      <c r="B1108" s="29" t="n"/>
      <c r="K1108" s="30" t="str">
        <f>IF($A1108="","",EDATE($A1108,12*$E$4))</f>
        <v/>
      </c>
      <c r="L1108" s="19" t="str">
        <f>IF($K1108="","",IF($K1108&gt;MAX($A$8:$A$5007),"",IFERROR(MATCH($K1108,$A$8:$A$5007,1),"")))</f>
        <v/>
      </c>
      <c r="M1108" s="30" t="str">
        <f>IF($L1108="","",INDEX($A$8:$A$5007,$L1108))</f>
        <v/>
      </c>
      <c r="N1108" s="31" t="str">
        <f>IF($L1108="","",INDEX($B$8:$B$5007,$L1108))</f>
        <v/>
      </c>
      <c r="O1108" s="32" t="str">
        <f>IF($M1108="","",IF($K1108-$M1108&gt;7,"",IF($M1108&lt;=$A1108,"",IF(OR($B1108&lt;=0,$N1108&lt;=0),"",($N1108/$B1108)^(365/($M1108-$A1108))-1))))</f>
        <v/>
      </c>
      <c r="P1108" s="31" t="str">
        <f>IF($B1108="","",IF($P1107="",$B1108,MAX($P1107,$B1108)))</f>
        <v/>
      </c>
      <c r="Q1108" s="32" t="str">
        <f>IF($P1108="","",$B1108/$P1108-1)</f>
        <v/>
      </c>
    </row>
    <row r="1109">
      <c r="A1109" s="11" t="n"/>
      <c r="B1109" s="29" t="n"/>
      <c r="K1109" s="30" t="str">
        <f>IF($A1109="","",EDATE($A1109,12*$E$4))</f>
        <v/>
      </c>
      <c r="L1109" s="19" t="str">
        <f>IF($K1109="","",IF($K1109&gt;MAX($A$8:$A$5007),"",IFERROR(MATCH($K1109,$A$8:$A$5007,1),"")))</f>
        <v/>
      </c>
      <c r="M1109" s="30" t="str">
        <f>IF($L1109="","",INDEX($A$8:$A$5007,$L1109))</f>
        <v/>
      </c>
      <c r="N1109" s="31" t="str">
        <f>IF($L1109="","",INDEX($B$8:$B$5007,$L1109))</f>
        <v/>
      </c>
      <c r="O1109" s="32" t="str">
        <f>IF($M1109="","",IF($K1109-$M1109&gt;7,"",IF($M1109&lt;=$A1109,"",IF(OR($B1109&lt;=0,$N1109&lt;=0),"",($N1109/$B1109)^(365/($M1109-$A1109))-1))))</f>
        <v/>
      </c>
      <c r="P1109" s="31" t="str">
        <f>IF($B1109="","",IF($P1108="",$B1109,MAX($P1108,$B1109)))</f>
        <v/>
      </c>
      <c r="Q1109" s="32" t="str">
        <f>IF($P1109="","",$B1109/$P1109-1)</f>
        <v/>
      </c>
    </row>
    <row r="1110">
      <c r="A1110" s="11" t="n"/>
      <c r="B1110" s="29" t="n"/>
      <c r="K1110" s="30" t="str">
        <f>IF($A1110="","",EDATE($A1110,12*$E$4))</f>
        <v/>
      </c>
      <c r="L1110" s="19" t="str">
        <f>IF($K1110="","",IF($K1110&gt;MAX($A$8:$A$5007),"",IFERROR(MATCH($K1110,$A$8:$A$5007,1),"")))</f>
        <v/>
      </c>
      <c r="M1110" s="30" t="str">
        <f>IF($L1110="","",INDEX($A$8:$A$5007,$L1110))</f>
        <v/>
      </c>
      <c r="N1110" s="31" t="str">
        <f>IF($L1110="","",INDEX($B$8:$B$5007,$L1110))</f>
        <v/>
      </c>
      <c r="O1110" s="32" t="str">
        <f>IF($M1110="","",IF($K1110-$M1110&gt;7,"",IF($M1110&lt;=$A1110,"",IF(OR($B1110&lt;=0,$N1110&lt;=0),"",($N1110/$B1110)^(365/($M1110-$A1110))-1))))</f>
        <v/>
      </c>
      <c r="P1110" s="31" t="str">
        <f>IF($B1110="","",IF($P1109="",$B1110,MAX($P1109,$B1110)))</f>
        <v/>
      </c>
      <c r="Q1110" s="32" t="str">
        <f>IF($P1110="","",$B1110/$P1110-1)</f>
        <v/>
      </c>
    </row>
    <row r="1111">
      <c r="A1111" s="11" t="n"/>
      <c r="B1111" s="29" t="n"/>
      <c r="K1111" s="30" t="str">
        <f>IF($A1111="","",EDATE($A1111,12*$E$4))</f>
        <v/>
      </c>
      <c r="L1111" s="19" t="str">
        <f>IF($K1111="","",IF($K1111&gt;MAX($A$8:$A$5007),"",IFERROR(MATCH($K1111,$A$8:$A$5007,1),"")))</f>
        <v/>
      </c>
      <c r="M1111" s="30" t="str">
        <f>IF($L1111="","",INDEX($A$8:$A$5007,$L1111))</f>
        <v/>
      </c>
      <c r="N1111" s="31" t="str">
        <f>IF($L1111="","",INDEX($B$8:$B$5007,$L1111))</f>
        <v/>
      </c>
      <c r="O1111" s="32" t="str">
        <f>IF($M1111="","",IF($K1111-$M1111&gt;7,"",IF($M1111&lt;=$A1111,"",IF(OR($B1111&lt;=0,$N1111&lt;=0),"",($N1111/$B1111)^(365/($M1111-$A1111))-1))))</f>
        <v/>
      </c>
      <c r="P1111" s="31" t="str">
        <f>IF($B1111="","",IF($P1110="",$B1111,MAX($P1110,$B1111)))</f>
        <v/>
      </c>
      <c r="Q1111" s="32" t="str">
        <f>IF($P1111="","",$B1111/$P1111-1)</f>
        <v/>
      </c>
    </row>
    <row r="1112">
      <c r="A1112" s="11" t="n"/>
      <c r="B1112" s="29" t="n"/>
      <c r="K1112" s="30" t="str">
        <f>IF($A1112="","",EDATE($A1112,12*$E$4))</f>
        <v/>
      </c>
      <c r="L1112" s="19" t="str">
        <f>IF($K1112="","",IF($K1112&gt;MAX($A$8:$A$5007),"",IFERROR(MATCH($K1112,$A$8:$A$5007,1),"")))</f>
        <v/>
      </c>
      <c r="M1112" s="30" t="str">
        <f>IF($L1112="","",INDEX($A$8:$A$5007,$L1112))</f>
        <v/>
      </c>
      <c r="N1112" s="31" t="str">
        <f>IF($L1112="","",INDEX($B$8:$B$5007,$L1112))</f>
        <v/>
      </c>
      <c r="O1112" s="32" t="str">
        <f>IF($M1112="","",IF($K1112-$M1112&gt;7,"",IF($M1112&lt;=$A1112,"",IF(OR($B1112&lt;=0,$N1112&lt;=0),"",($N1112/$B1112)^(365/($M1112-$A1112))-1))))</f>
        <v/>
      </c>
      <c r="P1112" s="31" t="str">
        <f>IF($B1112="","",IF($P1111="",$B1112,MAX($P1111,$B1112)))</f>
        <v/>
      </c>
      <c r="Q1112" s="32" t="str">
        <f>IF($P1112="","",$B1112/$P1112-1)</f>
        <v/>
      </c>
    </row>
    <row r="1113">
      <c r="A1113" s="11" t="n"/>
      <c r="B1113" s="29" t="n"/>
      <c r="K1113" s="30" t="str">
        <f>IF($A1113="","",EDATE($A1113,12*$E$4))</f>
        <v/>
      </c>
      <c r="L1113" s="19" t="str">
        <f>IF($K1113="","",IF($K1113&gt;MAX($A$8:$A$5007),"",IFERROR(MATCH($K1113,$A$8:$A$5007,1),"")))</f>
        <v/>
      </c>
      <c r="M1113" s="30" t="str">
        <f>IF($L1113="","",INDEX($A$8:$A$5007,$L1113))</f>
        <v/>
      </c>
      <c r="N1113" s="31" t="str">
        <f>IF($L1113="","",INDEX($B$8:$B$5007,$L1113))</f>
        <v/>
      </c>
      <c r="O1113" s="32" t="str">
        <f>IF($M1113="","",IF($K1113-$M1113&gt;7,"",IF($M1113&lt;=$A1113,"",IF(OR($B1113&lt;=0,$N1113&lt;=0),"",($N1113/$B1113)^(365/($M1113-$A1113))-1))))</f>
        <v/>
      </c>
      <c r="P1113" s="31" t="str">
        <f>IF($B1113="","",IF($P1112="",$B1113,MAX($P1112,$B1113)))</f>
        <v/>
      </c>
      <c r="Q1113" s="32" t="str">
        <f>IF($P1113="","",$B1113/$P1113-1)</f>
        <v/>
      </c>
    </row>
    <row r="1114">
      <c r="A1114" s="11" t="n"/>
      <c r="B1114" s="29" t="n"/>
      <c r="K1114" s="30" t="str">
        <f>IF($A1114="","",EDATE($A1114,12*$E$4))</f>
        <v/>
      </c>
      <c r="L1114" s="19" t="str">
        <f>IF($K1114="","",IF($K1114&gt;MAX($A$8:$A$5007),"",IFERROR(MATCH($K1114,$A$8:$A$5007,1),"")))</f>
        <v/>
      </c>
      <c r="M1114" s="30" t="str">
        <f>IF($L1114="","",INDEX($A$8:$A$5007,$L1114))</f>
        <v/>
      </c>
      <c r="N1114" s="31" t="str">
        <f>IF($L1114="","",INDEX($B$8:$B$5007,$L1114))</f>
        <v/>
      </c>
      <c r="O1114" s="32" t="str">
        <f>IF($M1114="","",IF($K1114-$M1114&gt;7,"",IF($M1114&lt;=$A1114,"",IF(OR($B1114&lt;=0,$N1114&lt;=0),"",($N1114/$B1114)^(365/($M1114-$A1114))-1))))</f>
        <v/>
      </c>
      <c r="P1114" s="31" t="str">
        <f>IF($B1114="","",IF($P1113="",$B1114,MAX($P1113,$B1114)))</f>
        <v/>
      </c>
      <c r="Q1114" s="32" t="str">
        <f>IF($P1114="","",$B1114/$P1114-1)</f>
        <v/>
      </c>
    </row>
    <row r="1115">
      <c r="A1115" s="11" t="n"/>
      <c r="B1115" s="29" t="n"/>
      <c r="K1115" s="30" t="str">
        <f>IF($A1115="","",EDATE($A1115,12*$E$4))</f>
        <v/>
      </c>
      <c r="L1115" s="19" t="str">
        <f>IF($K1115="","",IF($K1115&gt;MAX($A$8:$A$5007),"",IFERROR(MATCH($K1115,$A$8:$A$5007,1),"")))</f>
        <v/>
      </c>
      <c r="M1115" s="30" t="str">
        <f>IF($L1115="","",INDEX($A$8:$A$5007,$L1115))</f>
        <v/>
      </c>
      <c r="N1115" s="31" t="str">
        <f>IF($L1115="","",INDEX($B$8:$B$5007,$L1115))</f>
        <v/>
      </c>
      <c r="O1115" s="32" t="str">
        <f>IF($M1115="","",IF($K1115-$M1115&gt;7,"",IF($M1115&lt;=$A1115,"",IF(OR($B1115&lt;=0,$N1115&lt;=0),"",($N1115/$B1115)^(365/($M1115-$A1115))-1))))</f>
        <v/>
      </c>
      <c r="P1115" s="31" t="str">
        <f>IF($B1115="","",IF($P1114="",$B1115,MAX($P1114,$B1115)))</f>
        <v/>
      </c>
      <c r="Q1115" s="32" t="str">
        <f>IF($P1115="","",$B1115/$P1115-1)</f>
        <v/>
      </c>
    </row>
    <row r="1116">
      <c r="A1116" s="11" t="n"/>
      <c r="B1116" s="29" t="n"/>
      <c r="K1116" s="30" t="str">
        <f>IF($A1116="","",EDATE($A1116,12*$E$4))</f>
        <v/>
      </c>
      <c r="L1116" s="19" t="str">
        <f>IF($K1116="","",IF($K1116&gt;MAX($A$8:$A$5007),"",IFERROR(MATCH($K1116,$A$8:$A$5007,1),"")))</f>
        <v/>
      </c>
      <c r="M1116" s="30" t="str">
        <f>IF($L1116="","",INDEX($A$8:$A$5007,$L1116))</f>
        <v/>
      </c>
      <c r="N1116" s="31" t="str">
        <f>IF($L1116="","",INDEX($B$8:$B$5007,$L1116))</f>
        <v/>
      </c>
      <c r="O1116" s="32" t="str">
        <f>IF($M1116="","",IF($K1116-$M1116&gt;7,"",IF($M1116&lt;=$A1116,"",IF(OR($B1116&lt;=0,$N1116&lt;=0),"",($N1116/$B1116)^(365/($M1116-$A1116))-1))))</f>
        <v/>
      </c>
      <c r="P1116" s="31" t="str">
        <f>IF($B1116="","",IF($P1115="",$B1116,MAX($P1115,$B1116)))</f>
        <v/>
      </c>
      <c r="Q1116" s="32" t="str">
        <f>IF($P1116="","",$B1116/$P1116-1)</f>
        <v/>
      </c>
    </row>
    <row r="1117">
      <c r="A1117" s="11" t="n"/>
      <c r="B1117" s="29" t="n"/>
      <c r="K1117" s="30" t="str">
        <f>IF($A1117="","",EDATE($A1117,12*$E$4))</f>
        <v/>
      </c>
      <c r="L1117" s="19" t="str">
        <f>IF($K1117="","",IF($K1117&gt;MAX($A$8:$A$5007),"",IFERROR(MATCH($K1117,$A$8:$A$5007,1),"")))</f>
        <v/>
      </c>
      <c r="M1117" s="30" t="str">
        <f>IF($L1117="","",INDEX($A$8:$A$5007,$L1117))</f>
        <v/>
      </c>
      <c r="N1117" s="31" t="str">
        <f>IF($L1117="","",INDEX($B$8:$B$5007,$L1117))</f>
        <v/>
      </c>
      <c r="O1117" s="32" t="str">
        <f>IF($M1117="","",IF($K1117-$M1117&gt;7,"",IF($M1117&lt;=$A1117,"",IF(OR($B1117&lt;=0,$N1117&lt;=0),"",($N1117/$B1117)^(365/($M1117-$A1117))-1))))</f>
        <v/>
      </c>
      <c r="P1117" s="31" t="str">
        <f>IF($B1117="","",IF($P1116="",$B1117,MAX($P1116,$B1117)))</f>
        <v/>
      </c>
      <c r="Q1117" s="32" t="str">
        <f>IF($P1117="","",$B1117/$P1117-1)</f>
        <v/>
      </c>
    </row>
    <row r="1118">
      <c r="A1118" s="11" t="n"/>
      <c r="B1118" s="29" t="n"/>
      <c r="K1118" s="30" t="str">
        <f>IF($A1118="","",EDATE($A1118,12*$E$4))</f>
        <v/>
      </c>
      <c r="L1118" s="19" t="str">
        <f>IF($K1118="","",IF($K1118&gt;MAX($A$8:$A$5007),"",IFERROR(MATCH($K1118,$A$8:$A$5007,1),"")))</f>
        <v/>
      </c>
      <c r="M1118" s="30" t="str">
        <f>IF($L1118="","",INDEX($A$8:$A$5007,$L1118))</f>
        <v/>
      </c>
      <c r="N1118" s="31" t="str">
        <f>IF($L1118="","",INDEX($B$8:$B$5007,$L1118))</f>
        <v/>
      </c>
      <c r="O1118" s="32" t="str">
        <f>IF($M1118="","",IF($K1118-$M1118&gt;7,"",IF($M1118&lt;=$A1118,"",IF(OR($B1118&lt;=0,$N1118&lt;=0),"",($N1118/$B1118)^(365/($M1118-$A1118))-1))))</f>
        <v/>
      </c>
      <c r="P1118" s="31" t="str">
        <f>IF($B1118="","",IF($P1117="",$B1118,MAX($P1117,$B1118)))</f>
        <v/>
      </c>
      <c r="Q1118" s="32" t="str">
        <f>IF($P1118="","",$B1118/$P1118-1)</f>
        <v/>
      </c>
    </row>
    <row r="1119">
      <c r="A1119" s="11" t="n"/>
      <c r="B1119" s="29" t="n"/>
      <c r="K1119" s="30" t="str">
        <f>IF($A1119="","",EDATE($A1119,12*$E$4))</f>
        <v/>
      </c>
      <c r="L1119" s="19" t="str">
        <f>IF($K1119="","",IF($K1119&gt;MAX($A$8:$A$5007),"",IFERROR(MATCH($K1119,$A$8:$A$5007,1),"")))</f>
        <v/>
      </c>
      <c r="M1119" s="30" t="str">
        <f>IF($L1119="","",INDEX($A$8:$A$5007,$L1119))</f>
        <v/>
      </c>
      <c r="N1119" s="31" t="str">
        <f>IF($L1119="","",INDEX($B$8:$B$5007,$L1119))</f>
        <v/>
      </c>
      <c r="O1119" s="32" t="str">
        <f>IF($M1119="","",IF($K1119-$M1119&gt;7,"",IF($M1119&lt;=$A1119,"",IF(OR($B1119&lt;=0,$N1119&lt;=0),"",($N1119/$B1119)^(365/($M1119-$A1119))-1))))</f>
        <v/>
      </c>
      <c r="P1119" s="31" t="str">
        <f>IF($B1119="","",IF($P1118="",$B1119,MAX($P1118,$B1119)))</f>
        <v/>
      </c>
      <c r="Q1119" s="32" t="str">
        <f>IF($P1119="","",$B1119/$P1119-1)</f>
        <v/>
      </c>
    </row>
    <row r="1120">
      <c r="A1120" s="11" t="n"/>
      <c r="B1120" s="29" t="n"/>
      <c r="K1120" s="30" t="str">
        <f>IF($A1120="","",EDATE($A1120,12*$E$4))</f>
        <v/>
      </c>
      <c r="L1120" s="19" t="str">
        <f>IF($K1120="","",IF($K1120&gt;MAX($A$8:$A$5007),"",IFERROR(MATCH($K1120,$A$8:$A$5007,1),"")))</f>
        <v/>
      </c>
      <c r="M1120" s="30" t="str">
        <f>IF($L1120="","",INDEX($A$8:$A$5007,$L1120))</f>
        <v/>
      </c>
      <c r="N1120" s="31" t="str">
        <f>IF($L1120="","",INDEX($B$8:$B$5007,$L1120))</f>
        <v/>
      </c>
      <c r="O1120" s="32" t="str">
        <f>IF($M1120="","",IF($K1120-$M1120&gt;7,"",IF($M1120&lt;=$A1120,"",IF(OR($B1120&lt;=0,$N1120&lt;=0),"",($N1120/$B1120)^(365/($M1120-$A1120))-1))))</f>
        <v/>
      </c>
      <c r="P1120" s="31" t="str">
        <f>IF($B1120="","",IF($P1119="",$B1120,MAX($P1119,$B1120)))</f>
        <v/>
      </c>
      <c r="Q1120" s="32" t="str">
        <f>IF($P1120="","",$B1120/$P1120-1)</f>
        <v/>
      </c>
    </row>
    <row r="1121">
      <c r="A1121" s="11" t="n"/>
      <c r="B1121" s="29" t="n"/>
      <c r="K1121" s="30" t="str">
        <f>IF($A1121="","",EDATE($A1121,12*$E$4))</f>
        <v/>
      </c>
      <c r="L1121" s="19" t="str">
        <f>IF($K1121="","",IF($K1121&gt;MAX($A$8:$A$5007),"",IFERROR(MATCH($K1121,$A$8:$A$5007,1),"")))</f>
        <v/>
      </c>
      <c r="M1121" s="30" t="str">
        <f>IF($L1121="","",INDEX($A$8:$A$5007,$L1121))</f>
        <v/>
      </c>
      <c r="N1121" s="31" t="str">
        <f>IF($L1121="","",INDEX($B$8:$B$5007,$L1121))</f>
        <v/>
      </c>
      <c r="O1121" s="32" t="str">
        <f>IF($M1121="","",IF($K1121-$M1121&gt;7,"",IF($M1121&lt;=$A1121,"",IF(OR($B1121&lt;=0,$N1121&lt;=0),"",($N1121/$B1121)^(365/($M1121-$A1121))-1))))</f>
        <v/>
      </c>
      <c r="P1121" s="31" t="str">
        <f>IF($B1121="","",IF($P1120="",$B1121,MAX($P1120,$B1121)))</f>
        <v/>
      </c>
      <c r="Q1121" s="32" t="str">
        <f>IF($P1121="","",$B1121/$P1121-1)</f>
        <v/>
      </c>
    </row>
    <row r="1122">
      <c r="A1122" s="11" t="n"/>
      <c r="B1122" s="29" t="n"/>
      <c r="K1122" s="30" t="str">
        <f>IF($A1122="","",EDATE($A1122,12*$E$4))</f>
        <v/>
      </c>
      <c r="L1122" s="19" t="str">
        <f>IF($K1122="","",IF($K1122&gt;MAX($A$8:$A$5007),"",IFERROR(MATCH($K1122,$A$8:$A$5007,1),"")))</f>
        <v/>
      </c>
      <c r="M1122" s="30" t="str">
        <f>IF($L1122="","",INDEX($A$8:$A$5007,$L1122))</f>
        <v/>
      </c>
      <c r="N1122" s="31" t="str">
        <f>IF($L1122="","",INDEX($B$8:$B$5007,$L1122))</f>
        <v/>
      </c>
      <c r="O1122" s="32" t="str">
        <f>IF($M1122="","",IF($K1122-$M1122&gt;7,"",IF($M1122&lt;=$A1122,"",IF(OR($B1122&lt;=0,$N1122&lt;=0),"",($N1122/$B1122)^(365/($M1122-$A1122))-1))))</f>
        <v/>
      </c>
      <c r="P1122" s="31" t="str">
        <f>IF($B1122="","",IF($P1121="",$B1122,MAX($P1121,$B1122)))</f>
        <v/>
      </c>
      <c r="Q1122" s="32" t="str">
        <f>IF($P1122="","",$B1122/$P1122-1)</f>
        <v/>
      </c>
    </row>
    <row r="1123">
      <c r="A1123" s="11" t="n"/>
      <c r="B1123" s="29" t="n"/>
      <c r="K1123" s="30" t="str">
        <f>IF($A1123="","",EDATE($A1123,12*$E$4))</f>
        <v/>
      </c>
      <c r="L1123" s="19" t="str">
        <f>IF($K1123="","",IF($K1123&gt;MAX($A$8:$A$5007),"",IFERROR(MATCH($K1123,$A$8:$A$5007,1),"")))</f>
        <v/>
      </c>
      <c r="M1123" s="30" t="str">
        <f>IF($L1123="","",INDEX($A$8:$A$5007,$L1123))</f>
        <v/>
      </c>
      <c r="N1123" s="31" t="str">
        <f>IF($L1123="","",INDEX($B$8:$B$5007,$L1123))</f>
        <v/>
      </c>
      <c r="O1123" s="32" t="str">
        <f>IF($M1123="","",IF($K1123-$M1123&gt;7,"",IF($M1123&lt;=$A1123,"",IF(OR($B1123&lt;=0,$N1123&lt;=0),"",($N1123/$B1123)^(365/($M1123-$A1123))-1))))</f>
        <v/>
      </c>
      <c r="P1123" s="31" t="str">
        <f>IF($B1123="","",IF($P1122="",$B1123,MAX($P1122,$B1123)))</f>
        <v/>
      </c>
      <c r="Q1123" s="32" t="str">
        <f>IF($P1123="","",$B1123/$P1123-1)</f>
        <v/>
      </c>
    </row>
    <row r="1124">
      <c r="A1124" s="11" t="n"/>
      <c r="B1124" s="29" t="n"/>
      <c r="K1124" s="30" t="str">
        <f>IF($A1124="","",EDATE($A1124,12*$E$4))</f>
        <v/>
      </c>
      <c r="L1124" s="19" t="str">
        <f>IF($K1124="","",IF($K1124&gt;MAX($A$8:$A$5007),"",IFERROR(MATCH($K1124,$A$8:$A$5007,1),"")))</f>
        <v/>
      </c>
      <c r="M1124" s="30" t="str">
        <f>IF($L1124="","",INDEX($A$8:$A$5007,$L1124))</f>
        <v/>
      </c>
      <c r="N1124" s="31" t="str">
        <f>IF($L1124="","",INDEX($B$8:$B$5007,$L1124))</f>
        <v/>
      </c>
      <c r="O1124" s="32" t="str">
        <f>IF($M1124="","",IF($K1124-$M1124&gt;7,"",IF($M1124&lt;=$A1124,"",IF(OR($B1124&lt;=0,$N1124&lt;=0),"",($N1124/$B1124)^(365/($M1124-$A1124))-1))))</f>
        <v/>
      </c>
      <c r="P1124" s="31" t="str">
        <f>IF($B1124="","",IF($P1123="",$B1124,MAX($P1123,$B1124)))</f>
        <v/>
      </c>
      <c r="Q1124" s="32" t="str">
        <f>IF($P1124="","",$B1124/$P1124-1)</f>
        <v/>
      </c>
    </row>
    <row r="1125">
      <c r="A1125" s="11" t="n"/>
      <c r="B1125" s="29" t="n"/>
      <c r="K1125" s="30" t="str">
        <f>IF($A1125="","",EDATE($A1125,12*$E$4))</f>
        <v/>
      </c>
      <c r="L1125" s="19" t="str">
        <f>IF($K1125="","",IF($K1125&gt;MAX($A$8:$A$5007),"",IFERROR(MATCH($K1125,$A$8:$A$5007,1),"")))</f>
        <v/>
      </c>
      <c r="M1125" s="30" t="str">
        <f>IF($L1125="","",INDEX($A$8:$A$5007,$L1125))</f>
        <v/>
      </c>
      <c r="N1125" s="31" t="str">
        <f>IF($L1125="","",INDEX($B$8:$B$5007,$L1125))</f>
        <v/>
      </c>
      <c r="O1125" s="32" t="str">
        <f>IF($M1125="","",IF($K1125-$M1125&gt;7,"",IF($M1125&lt;=$A1125,"",IF(OR($B1125&lt;=0,$N1125&lt;=0),"",($N1125/$B1125)^(365/($M1125-$A1125))-1))))</f>
        <v/>
      </c>
      <c r="P1125" s="31" t="str">
        <f>IF($B1125="","",IF($P1124="",$B1125,MAX($P1124,$B1125)))</f>
        <v/>
      </c>
      <c r="Q1125" s="32" t="str">
        <f>IF($P1125="","",$B1125/$P1125-1)</f>
        <v/>
      </c>
    </row>
    <row r="1126">
      <c r="A1126" s="11" t="n"/>
      <c r="B1126" s="29" t="n"/>
      <c r="K1126" s="30" t="str">
        <f>IF($A1126="","",EDATE($A1126,12*$E$4))</f>
        <v/>
      </c>
      <c r="L1126" s="19" t="str">
        <f>IF($K1126="","",IF($K1126&gt;MAX($A$8:$A$5007),"",IFERROR(MATCH($K1126,$A$8:$A$5007,1),"")))</f>
        <v/>
      </c>
      <c r="M1126" s="30" t="str">
        <f>IF($L1126="","",INDEX($A$8:$A$5007,$L1126))</f>
        <v/>
      </c>
      <c r="N1126" s="31" t="str">
        <f>IF($L1126="","",INDEX($B$8:$B$5007,$L1126))</f>
        <v/>
      </c>
      <c r="O1126" s="32" t="str">
        <f>IF($M1126="","",IF($K1126-$M1126&gt;7,"",IF($M1126&lt;=$A1126,"",IF(OR($B1126&lt;=0,$N1126&lt;=0),"",($N1126/$B1126)^(365/($M1126-$A1126))-1))))</f>
        <v/>
      </c>
      <c r="P1126" s="31" t="str">
        <f>IF($B1126="","",IF($P1125="",$B1126,MAX($P1125,$B1126)))</f>
        <v/>
      </c>
      <c r="Q1126" s="32" t="str">
        <f>IF($P1126="","",$B1126/$P1126-1)</f>
        <v/>
      </c>
    </row>
    <row r="1127">
      <c r="A1127" s="11" t="n"/>
      <c r="B1127" s="29" t="n"/>
      <c r="K1127" s="30" t="str">
        <f>IF($A1127="","",EDATE($A1127,12*$E$4))</f>
        <v/>
      </c>
      <c r="L1127" s="19" t="str">
        <f>IF($K1127="","",IF($K1127&gt;MAX($A$8:$A$5007),"",IFERROR(MATCH($K1127,$A$8:$A$5007,1),"")))</f>
        <v/>
      </c>
      <c r="M1127" s="30" t="str">
        <f>IF($L1127="","",INDEX($A$8:$A$5007,$L1127))</f>
        <v/>
      </c>
      <c r="N1127" s="31" t="str">
        <f>IF($L1127="","",INDEX($B$8:$B$5007,$L1127))</f>
        <v/>
      </c>
      <c r="O1127" s="32" t="str">
        <f>IF($M1127="","",IF($K1127-$M1127&gt;7,"",IF($M1127&lt;=$A1127,"",IF(OR($B1127&lt;=0,$N1127&lt;=0),"",($N1127/$B1127)^(365/($M1127-$A1127))-1))))</f>
        <v/>
      </c>
      <c r="P1127" s="31" t="str">
        <f>IF($B1127="","",IF($P1126="",$B1127,MAX($P1126,$B1127)))</f>
        <v/>
      </c>
      <c r="Q1127" s="32" t="str">
        <f>IF($P1127="","",$B1127/$P1127-1)</f>
        <v/>
      </c>
    </row>
    <row r="1128">
      <c r="A1128" s="11" t="n"/>
      <c r="B1128" s="29" t="n"/>
      <c r="K1128" s="30" t="str">
        <f>IF($A1128="","",EDATE($A1128,12*$E$4))</f>
        <v/>
      </c>
      <c r="L1128" s="19" t="str">
        <f>IF($K1128="","",IF($K1128&gt;MAX($A$8:$A$5007),"",IFERROR(MATCH($K1128,$A$8:$A$5007,1),"")))</f>
        <v/>
      </c>
      <c r="M1128" s="30" t="str">
        <f>IF($L1128="","",INDEX($A$8:$A$5007,$L1128))</f>
        <v/>
      </c>
      <c r="N1128" s="31" t="str">
        <f>IF($L1128="","",INDEX($B$8:$B$5007,$L1128))</f>
        <v/>
      </c>
      <c r="O1128" s="32" t="str">
        <f>IF($M1128="","",IF($K1128-$M1128&gt;7,"",IF($M1128&lt;=$A1128,"",IF(OR($B1128&lt;=0,$N1128&lt;=0),"",($N1128/$B1128)^(365/($M1128-$A1128))-1))))</f>
        <v/>
      </c>
      <c r="P1128" s="31" t="str">
        <f>IF($B1128="","",IF($P1127="",$B1128,MAX($P1127,$B1128)))</f>
        <v/>
      </c>
      <c r="Q1128" s="32" t="str">
        <f>IF($P1128="","",$B1128/$P1128-1)</f>
        <v/>
      </c>
    </row>
    <row r="1129">
      <c r="A1129" s="11" t="n"/>
      <c r="B1129" s="29" t="n"/>
      <c r="K1129" s="30" t="str">
        <f>IF($A1129="","",EDATE($A1129,12*$E$4))</f>
        <v/>
      </c>
      <c r="L1129" s="19" t="str">
        <f>IF($K1129="","",IF($K1129&gt;MAX($A$8:$A$5007),"",IFERROR(MATCH($K1129,$A$8:$A$5007,1),"")))</f>
        <v/>
      </c>
      <c r="M1129" s="30" t="str">
        <f>IF($L1129="","",INDEX($A$8:$A$5007,$L1129))</f>
        <v/>
      </c>
      <c r="N1129" s="31" t="str">
        <f>IF($L1129="","",INDEX($B$8:$B$5007,$L1129))</f>
        <v/>
      </c>
      <c r="O1129" s="32" t="str">
        <f>IF($M1129="","",IF($K1129-$M1129&gt;7,"",IF($M1129&lt;=$A1129,"",IF(OR($B1129&lt;=0,$N1129&lt;=0),"",($N1129/$B1129)^(365/($M1129-$A1129))-1))))</f>
        <v/>
      </c>
      <c r="P1129" s="31" t="str">
        <f>IF($B1129="","",IF($P1128="",$B1129,MAX($P1128,$B1129)))</f>
        <v/>
      </c>
      <c r="Q1129" s="32" t="str">
        <f>IF($P1129="","",$B1129/$P1129-1)</f>
        <v/>
      </c>
    </row>
    <row r="1130">
      <c r="A1130" s="11" t="n"/>
      <c r="B1130" s="29" t="n"/>
      <c r="K1130" s="30" t="str">
        <f>IF($A1130="","",EDATE($A1130,12*$E$4))</f>
        <v/>
      </c>
      <c r="L1130" s="19" t="str">
        <f>IF($K1130="","",IF($K1130&gt;MAX($A$8:$A$5007),"",IFERROR(MATCH($K1130,$A$8:$A$5007,1),"")))</f>
        <v/>
      </c>
      <c r="M1130" s="30" t="str">
        <f>IF($L1130="","",INDEX($A$8:$A$5007,$L1130))</f>
        <v/>
      </c>
      <c r="N1130" s="31" t="str">
        <f>IF($L1130="","",INDEX($B$8:$B$5007,$L1130))</f>
        <v/>
      </c>
      <c r="O1130" s="32" t="str">
        <f>IF($M1130="","",IF($K1130-$M1130&gt;7,"",IF($M1130&lt;=$A1130,"",IF(OR($B1130&lt;=0,$N1130&lt;=0),"",($N1130/$B1130)^(365/($M1130-$A1130))-1))))</f>
        <v/>
      </c>
      <c r="P1130" s="31" t="str">
        <f>IF($B1130="","",IF($P1129="",$B1130,MAX($P1129,$B1130)))</f>
        <v/>
      </c>
      <c r="Q1130" s="32" t="str">
        <f>IF($P1130="","",$B1130/$P1130-1)</f>
        <v/>
      </c>
    </row>
    <row r="1131">
      <c r="A1131" s="11" t="n"/>
      <c r="B1131" s="29" t="n"/>
      <c r="K1131" s="30" t="str">
        <f>IF($A1131="","",EDATE($A1131,12*$E$4))</f>
        <v/>
      </c>
      <c r="L1131" s="19" t="str">
        <f>IF($K1131="","",IF($K1131&gt;MAX($A$8:$A$5007),"",IFERROR(MATCH($K1131,$A$8:$A$5007,1),"")))</f>
        <v/>
      </c>
      <c r="M1131" s="30" t="str">
        <f>IF($L1131="","",INDEX($A$8:$A$5007,$L1131))</f>
        <v/>
      </c>
      <c r="N1131" s="31" t="str">
        <f>IF($L1131="","",INDEX($B$8:$B$5007,$L1131))</f>
        <v/>
      </c>
      <c r="O1131" s="32" t="str">
        <f>IF($M1131="","",IF($K1131-$M1131&gt;7,"",IF($M1131&lt;=$A1131,"",IF(OR($B1131&lt;=0,$N1131&lt;=0),"",($N1131/$B1131)^(365/($M1131-$A1131))-1))))</f>
        <v/>
      </c>
      <c r="P1131" s="31" t="str">
        <f>IF($B1131="","",IF($P1130="",$B1131,MAX($P1130,$B1131)))</f>
        <v/>
      </c>
      <c r="Q1131" s="32" t="str">
        <f>IF($P1131="","",$B1131/$P1131-1)</f>
        <v/>
      </c>
    </row>
    <row r="1132">
      <c r="A1132" s="11" t="n"/>
      <c r="B1132" s="29" t="n"/>
      <c r="K1132" s="30" t="str">
        <f>IF($A1132="","",EDATE($A1132,12*$E$4))</f>
        <v/>
      </c>
      <c r="L1132" s="19" t="str">
        <f>IF($K1132="","",IF($K1132&gt;MAX($A$8:$A$5007),"",IFERROR(MATCH($K1132,$A$8:$A$5007,1),"")))</f>
        <v/>
      </c>
      <c r="M1132" s="30" t="str">
        <f>IF($L1132="","",INDEX($A$8:$A$5007,$L1132))</f>
        <v/>
      </c>
      <c r="N1132" s="31" t="str">
        <f>IF($L1132="","",INDEX($B$8:$B$5007,$L1132))</f>
        <v/>
      </c>
      <c r="O1132" s="32" t="str">
        <f>IF($M1132="","",IF($K1132-$M1132&gt;7,"",IF($M1132&lt;=$A1132,"",IF(OR($B1132&lt;=0,$N1132&lt;=0),"",($N1132/$B1132)^(365/($M1132-$A1132))-1))))</f>
        <v/>
      </c>
      <c r="P1132" s="31" t="str">
        <f>IF($B1132="","",IF($P1131="",$B1132,MAX($P1131,$B1132)))</f>
        <v/>
      </c>
      <c r="Q1132" s="32" t="str">
        <f>IF($P1132="","",$B1132/$P1132-1)</f>
        <v/>
      </c>
    </row>
    <row r="1133">
      <c r="A1133" s="11" t="n"/>
      <c r="B1133" s="29" t="n"/>
      <c r="K1133" s="30" t="str">
        <f>IF($A1133="","",EDATE($A1133,12*$E$4))</f>
        <v/>
      </c>
      <c r="L1133" s="19" t="str">
        <f>IF($K1133="","",IF($K1133&gt;MAX($A$8:$A$5007),"",IFERROR(MATCH($K1133,$A$8:$A$5007,1),"")))</f>
        <v/>
      </c>
      <c r="M1133" s="30" t="str">
        <f>IF($L1133="","",INDEX($A$8:$A$5007,$L1133))</f>
        <v/>
      </c>
      <c r="N1133" s="31" t="str">
        <f>IF($L1133="","",INDEX($B$8:$B$5007,$L1133))</f>
        <v/>
      </c>
      <c r="O1133" s="32" t="str">
        <f>IF($M1133="","",IF($K1133-$M1133&gt;7,"",IF($M1133&lt;=$A1133,"",IF(OR($B1133&lt;=0,$N1133&lt;=0),"",($N1133/$B1133)^(365/($M1133-$A1133))-1))))</f>
        <v/>
      </c>
      <c r="P1133" s="31" t="str">
        <f>IF($B1133="","",IF($P1132="",$B1133,MAX($P1132,$B1133)))</f>
        <v/>
      </c>
      <c r="Q1133" s="32" t="str">
        <f>IF($P1133="","",$B1133/$P1133-1)</f>
        <v/>
      </c>
    </row>
    <row r="1134">
      <c r="A1134" s="11" t="n"/>
      <c r="B1134" s="29" t="n"/>
      <c r="K1134" s="30" t="str">
        <f>IF($A1134="","",EDATE($A1134,12*$E$4))</f>
        <v/>
      </c>
      <c r="L1134" s="19" t="str">
        <f>IF($K1134="","",IF($K1134&gt;MAX($A$8:$A$5007),"",IFERROR(MATCH($K1134,$A$8:$A$5007,1),"")))</f>
        <v/>
      </c>
      <c r="M1134" s="30" t="str">
        <f>IF($L1134="","",INDEX($A$8:$A$5007,$L1134))</f>
        <v/>
      </c>
      <c r="N1134" s="31" t="str">
        <f>IF($L1134="","",INDEX($B$8:$B$5007,$L1134))</f>
        <v/>
      </c>
      <c r="O1134" s="32" t="str">
        <f>IF($M1134="","",IF($K1134-$M1134&gt;7,"",IF($M1134&lt;=$A1134,"",IF(OR($B1134&lt;=0,$N1134&lt;=0),"",($N1134/$B1134)^(365/($M1134-$A1134))-1))))</f>
        <v/>
      </c>
      <c r="P1134" s="31" t="str">
        <f>IF($B1134="","",IF($P1133="",$B1134,MAX($P1133,$B1134)))</f>
        <v/>
      </c>
      <c r="Q1134" s="32" t="str">
        <f>IF($P1134="","",$B1134/$P1134-1)</f>
        <v/>
      </c>
    </row>
    <row r="1135">
      <c r="A1135" s="11" t="n"/>
      <c r="B1135" s="29" t="n"/>
      <c r="K1135" s="30" t="str">
        <f>IF($A1135="","",EDATE($A1135,12*$E$4))</f>
        <v/>
      </c>
      <c r="L1135" s="19" t="str">
        <f>IF($K1135="","",IF($K1135&gt;MAX($A$8:$A$5007),"",IFERROR(MATCH($K1135,$A$8:$A$5007,1),"")))</f>
        <v/>
      </c>
      <c r="M1135" s="30" t="str">
        <f>IF($L1135="","",INDEX($A$8:$A$5007,$L1135))</f>
        <v/>
      </c>
      <c r="N1135" s="31" t="str">
        <f>IF($L1135="","",INDEX($B$8:$B$5007,$L1135))</f>
        <v/>
      </c>
      <c r="O1135" s="32" t="str">
        <f>IF($M1135="","",IF($K1135-$M1135&gt;7,"",IF($M1135&lt;=$A1135,"",IF(OR($B1135&lt;=0,$N1135&lt;=0),"",($N1135/$B1135)^(365/($M1135-$A1135))-1))))</f>
        <v/>
      </c>
      <c r="P1135" s="31" t="str">
        <f>IF($B1135="","",IF($P1134="",$B1135,MAX($P1134,$B1135)))</f>
        <v/>
      </c>
      <c r="Q1135" s="32" t="str">
        <f>IF($P1135="","",$B1135/$P1135-1)</f>
        <v/>
      </c>
    </row>
    <row r="1136">
      <c r="A1136" s="11" t="n"/>
      <c r="B1136" s="29" t="n"/>
      <c r="K1136" s="30" t="str">
        <f>IF($A1136="","",EDATE($A1136,12*$E$4))</f>
        <v/>
      </c>
      <c r="L1136" s="19" t="str">
        <f>IF($K1136="","",IF($K1136&gt;MAX($A$8:$A$5007),"",IFERROR(MATCH($K1136,$A$8:$A$5007,1),"")))</f>
        <v/>
      </c>
      <c r="M1136" s="30" t="str">
        <f>IF($L1136="","",INDEX($A$8:$A$5007,$L1136))</f>
        <v/>
      </c>
      <c r="N1136" s="31" t="str">
        <f>IF($L1136="","",INDEX($B$8:$B$5007,$L1136))</f>
        <v/>
      </c>
      <c r="O1136" s="32" t="str">
        <f>IF($M1136="","",IF($K1136-$M1136&gt;7,"",IF($M1136&lt;=$A1136,"",IF(OR($B1136&lt;=0,$N1136&lt;=0),"",($N1136/$B1136)^(365/($M1136-$A1136))-1))))</f>
        <v/>
      </c>
      <c r="P1136" s="31" t="str">
        <f>IF($B1136="","",IF($P1135="",$B1136,MAX($P1135,$B1136)))</f>
        <v/>
      </c>
      <c r="Q1136" s="32" t="str">
        <f>IF($P1136="","",$B1136/$P1136-1)</f>
        <v/>
      </c>
    </row>
    <row r="1137">
      <c r="A1137" s="11" t="n"/>
      <c r="B1137" s="29" t="n"/>
      <c r="K1137" s="30" t="str">
        <f>IF($A1137="","",EDATE($A1137,12*$E$4))</f>
        <v/>
      </c>
      <c r="L1137" s="19" t="str">
        <f>IF($K1137="","",IF($K1137&gt;MAX($A$8:$A$5007),"",IFERROR(MATCH($K1137,$A$8:$A$5007,1),"")))</f>
        <v/>
      </c>
      <c r="M1137" s="30" t="str">
        <f>IF($L1137="","",INDEX($A$8:$A$5007,$L1137))</f>
        <v/>
      </c>
      <c r="N1137" s="31" t="str">
        <f>IF($L1137="","",INDEX($B$8:$B$5007,$L1137))</f>
        <v/>
      </c>
      <c r="O1137" s="32" t="str">
        <f>IF($M1137="","",IF($K1137-$M1137&gt;7,"",IF($M1137&lt;=$A1137,"",IF(OR($B1137&lt;=0,$N1137&lt;=0),"",($N1137/$B1137)^(365/($M1137-$A1137))-1))))</f>
        <v/>
      </c>
      <c r="P1137" s="31" t="str">
        <f>IF($B1137="","",IF($P1136="",$B1137,MAX($P1136,$B1137)))</f>
        <v/>
      </c>
      <c r="Q1137" s="32" t="str">
        <f>IF($P1137="","",$B1137/$P1137-1)</f>
        <v/>
      </c>
    </row>
    <row r="1138">
      <c r="A1138" s="11" t="n"/>
      <c r="B1138" s="29" t="n"/>
      <c r="K1138" s="30" t="str">
        <f>IF($A1138="","",EDATE($A1138,12*$E$4))</f>
        <v/>
      </c>
      <c r="L1138" s="19" t="str">
        <f>IF($K1138="","",IF($K1138&gt;MAX($A$8:$A$5007),"",IFERROR(MATCH($K1138,$A$8:$A$5007,1),"")))</f>
        <v/>
      </c>
      <c r="M1138" s="30" t="str">
        <f>IF($L1138="","",INDEX($A$8:$A$5007,$L1138))</f>
        <v/>
      </c>
      <c r="N1138" s="31" t="str">
        <f>IF($L1138="","",INDEX($B$8:$B$5007,$L1138))</f>
        <v/>
      </c>
      <c r="O1138" s="32" t="str">
        <f>IF($M1138="","",IF($K1138-$M1138&gt;7,"",IF($M1138&lt;=$A1138,"",IF(OR($B1138&lt;=0,$N1138&lt;=0),"",($N1138/$B1138)^(365/($M1138-$A1138))-1))))</f>
        <v/>
      </c>
      <c r="P1138" s="31" t="str">
        <f>IF($B1138="","",IF($P1137="",$B1138,MAX($P1137,$B1138)))</f>
        <v/>
      </c>
      <c r="Q1138" s="32" t="str">
        <f>IF($P1138="","",$B1138/$P1138-1)</f>
        <v/>
      </c>
    </row>
    <row r="1139">
      <c r="A1139" s="11" t="n"/>
      <c r="B1139" s="29" t="n"/>
      <c r="K1139" s="30" t="str">
        <f>IF($A1139="","",EDATE($A1139,12*$E$4))</f>
        <v/>
      </c>
      <c r="L1139" s="19" t="str">
        <f>IF($K1139="","",IF($K1139&gt;MAX($A$8:$A$5007),"",IFERROR(MATCH($K1139,$A$8:$A$5007,1),"")))</f>
        <v/>
      </c>
      <c r="M1139" s="30" t="str">
        <f>IF($L1139="","",INDEX($A$8:$A$5007,$L1139))</f>
        <v/>
      </c>
      <c r="N1139" s="31" t="str">
        <f>IF($L1139="","",INDEX($B$8:$B$5007,$L1139))</f>
        <v/>
      </c>
      <c r="O1139" s="32" t="str">
        <f>IF($M1139="","",IF($K1139-$M1139&gt;7,"",IF($M1139&lt;=$A1139,"",IF(OR($B1139&lt;=0,$N1139&lt;=0),"",($N1139/$B1139)^(365/($M1139-$A1139))-1))))</f>
        <v/>
      </c>
      <c r="P1139" s="31" t="str">
        <f>IF($B1139="","",IF($P1138="",$B1139,MAX($P1138,$B1139)))</f>
        <v/>
      </c>
      <c r="Q1139" s="32" t="str">
        <f>IF($P1139="","",$B1139/$P1139-1)</f>
        <v/>
      </c>
    </row>
    <row r="1140">
      <c r="A1140" s="11" t="n"/>
      <c r="B1140" s="29" t="n"/>
      <c r="K1140" s="30" t="str">
        <f>IF($A1140="","",EDATE($A1140,12*$E$4))</f>
        <v/>
      </c>
      <c r="L1140" s="19" t="str">
        <f>IF($K1140="","",IF($K1140&gt;MAX($A$8:$A$5007),"",IFERROR(MATCH($K1140,$A$8:$A$5007,1),"")))</f>
        <v/>
      </c>
      <c r="M1140" s="30" t="str">
        <f>IF($L1140="","",INDEX($A$8:$A$5007,$L1140))</f>
        <v/>
      </c>
      <c r="N1140" s="31" t="str">
        <f>IF($L1140="","",INDEX($B$8:$B$5007,$L1140))</f>
        <v/>
      </c>
      <c r="O1140" s="32" t="str">
        <f>IF($M1140="","",IF($K1140-$M1140&gt;7,"",IF($M1140&lt;=$A1140,"",IF(OR($B1140&lt;=0,$N1140&lt;=0),"",($N1140/$B1140)^(365/($M1140-$A1140))-1))))</f>
        <v/>
      </c>
      <c r="P1140" s="31" t="str">
        <f>IF($B1140="","",IF($P1139="",$B1140,MAX($P1139,$B1140)))</f>
        <v/>
      </c>
      <c r="Q1140" s="32" t="str">
        <f>IF($P1140="","",$B1140/$P1140-1)</f>
        <v/>
      </c>
    </row>
    <row r="1141">
      <c r="A1141" s="11" t="n"/>
      <c r="B1141" s="29" t="n"/>
      <c r="K1141" s="30" t="str">
        <f>IF($A1141="","",EDATE($A1141,12*$E$4))</f>
        <v/>
      </c>
      <c r="L1141" s="19" t="str">
        <f>IF($K1141="","",IF($K1141&gt;MAX($A$8:$A$5007),"",IFERROR(MATCH($K1141,$A$8:$A$5007,1),"")))</f>
        <v/>
      </c>
      <c r="M1141" s="30" t="str">
        <f>IF($L1141="","",INDEX($A$8:$A$5007,$L1141))</f>
        <v/>
      </c>
      <c r="N1141" s="31" t="str">
        <f>IF($L1141="","",INDEX($B$8:$B$5007,$L1141))</f>
        <v/>
      </c>
      <c r="O1141" s="32" t="str">
        <f>IF($M1141="","",IF($K1141-$M1141&gt;7,"",IF($M1141&lt;=$A1141,"",IF(OR($B1141&lt;=0,$N1141&lt;=0),"",($N1141/$B1141)^(365/($M1141-$A1141))-1))))</f>
        <v/>
      </c>
      <c r="P1141" s="31" t="str">
        <f>IF($B1141="","",IF($P1140="",$B1141,MAX($P1140,$B1141)))</f>
        <v/>
      </c>
      <c r="Q1141" s="32" t="str">
        <f>IF($P1141="","",$B1141/$P1141-1)</f>
        <v/>
      </c>
    </row>
    <row r="1142">
      <c r="A1142" s="11" t="n"/>
      <c r="B1142" s="29" t="n"/>
      <c r="K1142" s="30" t="str">
        <f>IF($A1142="","",EDATE($A1142,12*$E$4))</f>
        <v/>
      </c>
      <c r="L1142" s="19" t="str">
        <f>IF($K1142="","",IF($K1142&gt;MAX($A$8:$A$5007),"",IFERROR(MATCH($K1142,$A$8:$A$5007,1),"")))</f>
        <v/>
      </c>
      <c r="M1142" s="30" t="str">
        <f>IF($L1142="","",INDEX($A$8:$A$5007,$L1142))</f>
        <v/>
      </c>
      <c r="N1142" s="31" t="str">
        <f>IF($L1142="","",INDEX($B$8:$B$5007,$L1142))</f>
        <v/>
      </c>
      <c r="O1142" s="32" t="str">
        <f>IF($M1142="","",IF($K1142-$M1142&gt;7,"",IF($M1142&lt;=$A1142,"",IF(OR($B1142&lt;=0,$N1142&lt;=0),"",($N1142/$B1142)^(365/($M1142-$A1142))-1))))</f>
        <v/>
      </c>
      <c r="P1142" s="31" t="str">
        <f>IF($B1142="","",IF($P1141="",$B1142,MAX($P1141,$B1142)))</f>
        <v/>
      </c>
      <c r="Q1142" s="32" t="str">
        <f>IF($P1142="","",$B1142/$P1142-1)</f>
        <v/>
      </c>
    </row>
    <row r="1143">
      <c r="A1143" s="11" t="n"/>
      <c r="B1143" s="29" t="n"/>
      <c r="K1143" s="30" t="str">
        <f>IF($A1143="","",EDATE($A1143,12*$E$4))</f>
        <v/>
      </c>
      <c r="L1143" s="19" t="str">
        <f>IF($K1143="","",IF($K1143&gt;MAX($A$8:$A$5007),"",IFERROR(MATCH($K1143,$A$8:$A$5007,1),"")))</f>
        <v/>
      </c>
      <c r="M1143" s="30" t="str">
        <f>IF($L1143="","",INDEX($A$8:$A$5007,$L1143))</f>
        <v/>
      </c>
      <c r="N1143" s="31" t="str">
        <f>IF($L1143="","",INDEX($B$8:$B$5007,$L1143))</f>
        <v/>
      </c>
      <c r="O1143" s="32" t="str">
        <f>IF($M1143="","",IF($K1143-$M1143&gt;7,"",IF($M1143&lt;=$A1143,"",IF(OR($B1143&lt;=0,$N1143&lt;=0),"",($N1143/$B1143)^(365/($M1143-$A1143))-1))))</f>
        <v/>
      </c>
      <c r="P1143" s="31" t="str">
        <f>IF($B1143="","",IF($P1142="",$B1143,MAX($P1142,$B1143)))</f>
        <v/>
      </c>
      <c r="Q1143" s="32" t="str">
        <f>IF($P1143="","",$B1143/$P1143-1)</f>
        <v/>
      </c>
    </row>
    <row r="1144">
      <c r="A1144" s="11" t="n"/>
      <c r="B1144" s="29" t="n"/>
      <c r="K1144" s="30" t="str">
        <f>IF($A1144="","",EDATE($A1144,12*$E$4))</f>
        <v/>
      </c>
      <c r="L1144" s="19" t="str">
        <f>IF($K1144="","",IF($K1144&gt;MAX($A$8:$A$5007),"",IFERROR(MATCH($K1144,$A$8:$A$5007,1),"")))</f>
        <v/>
      </c>
      <c r="M1144" s="30" t="str">
        <f>IF($L1144="","",INDEX($A$8:$A$5007,$L1144))</f>
        <v/>
      </c>
      <c r="N1144" s="31" t="str">
        <f>IF($L1144="","",INDEX($B$8:$B$5007,$L1144))</f>
        <v/>
      </c>
      <c r="O1144" s="32" t="str">
        <f>IF($M1144="","",IF($K1144-$M1144&gt;7,"",IF($M1144&lt;=$A1144,"",IF(OR($B1144&lt;=0,$N1144&lt;=0),"",($N1144/$B1144)^(365/($M1144-$A1144))-1))))</f>
        <v/>
      </c>
      <c r="P1144" s="31" t="str">
        <f>IF($B1144="","",IF($P1143="",$B1144,MAX($P1143,$B1144)))</f>
        <v/>
      </c>
      <c r="Q1144" s="32" t="str">
        <f>IF($P1144="","",$B1144/$P1144-1)</f>
        <v/>
      </c>
    </row>
    <row r="1145">
      <c r="A1145" s="11" t="n"/>
      <c r="B1145" s="29" t="n"/>
      <c r="K1145" s="30" t="str">
        <f>IF($A1145="","",EDATE($A1145,12*$E$4))</f>
        <v/>
      </c>
      <c r="L1145" s="19" t="str">
        <f>IF($K1145="","",IF($K1145&gt;MAX($A$8:$A$5007),"",IFERROR(MATCH($K1145,$A$8:$A$5007,1),"")))</f>
        <v/>
      </c>
      <c r="M1145" s="30" t="str">
        <f>IF($L1145="","",INDEX($A$8:$A$5007,$L1145))</f>
        <v/>
      </c>
      <c r="N1145" s="31" t="str">
        <f>IF($L1145="","",INDEX($B$8:$B$5007,$L1145))</f>
        <v/>
      </c>
      <c r="O1145" s="32" t="str">
        <f>IF($M1145="","",IF($K1145-$M1145&gt;7,"",IF($M1145&lt;=$A1145,"",IF(OR($B1145&lt;=0,$N1145&lt;=0),"",($N1145/$B1145)^(365/($M1145-$A1145))-1))))</f>
        <v/>
      </c>
      <c r="P1145" s="31" t="str">
        <f>IF($B1145="","",IF($P1144="",$B1145,MAX($P1144,$B1145)))</f>
        <v/>
      </c>
      <c r="Q1145" s="32" t="str">
        <f>IF($P1145="","",$B1145/$P1145-1)</f>
        <v/>
      </c>
    </row>
    <row r="1146">
      <c r="A1146" s="11" t="n"/>
      <c r="B1146" s="29" t="n"/>
      <c r="K1146" s="30" t="str">
        <f>IF($A1146="","",EDATE($A1146,12*$E$4))</f>
        <v/>
      </c>
      <c r="L1146" s="19" t="str">
        <f>IF($K1146="","",IF($K1146&gt;MAX($A$8:$A$5007),"",IFERROR(MATCH($K1146,$A$8:$A$5007,1),"")))</f>
        <v/>
      </c>
      <c r="M1146" s="30" t="str">
        <f>IF($L1146="","",INDEX($A$8:$A$5007,$L1146))</f>
        <v/>
      </c>
      <c r="N1146" s="31" t="str">
        <f>IF($L1146="","",INDEX($B$8:$B$5007,$L1146))</f>
        <v/>
      </c>
      <c r="O1146" s="32" t="str">
        <f>IF($M1146="","",IF($K1146-$M1146&gt;7,"",IF($M1146&lt;=$A1146,"",IF(OR($B1146&lt;=0,$N1146&lt;=0),"",($N1146/$B1146)^(365/($M1146-$A1146))-1))))</f>
        <v/>
      </c>
      <c r="P1146" s="31" t="str">
        <f>IF($B1146="","",IF($P1145="",$B1146,MAX($P1145,$B1146)))</f>
        <v/>
      </c>
      <c r="Q1146" s="32" t="str">
        <f>IF($P1146="","",$B1146/$P1146-1)</f>
        <v/>
      </c>
    </row>
    <row r="1147">
      <c r="A1147" s="11" t="n"/>
      <c r="B1147" s="29" t="n"/>
      <c r="K1147" s="30" t="str">
        <f>IF($A1147="","",EDATE($A1147,12*$E$4))</f>
        <v/>
      </c>
      <c r="L1147" s="19" t="str">
        <f>IF($K1147="","",IF($K1147&gt;MAX($A$8:$A$5007),"",IFERROR(MATCH($K1147,$A$8:$A$5007,1),"")))</f>
        <v/>
      </c>
      <c r="M1147" s="30" t="str">
        <f>IF($L1147="","",INDEX($A$8:$A$5007,$L1147))</f>
        <v/>
      </c>
      <c r="N1147" s="31" t="str">
        <f>IF($L1147="","",INDEX($B$8:$B$5007,$L1147))</f>
        <v/>
      </c>
      <c r="O1147" s="32" t="str">
        <f>IF($M1147="","",IF($K1147-$M1147&gt;7,"",IF($M1147&lt;=$A1147,"",IF(OR($B1147&lt;=0,$N1147&lt;=0),"",($N1147/$B1147)^(365/($M1147-$A1147))-1))))</f>
        <v/>
      </c>
      <c r="P1147" s="31" t="str">
        <f>IF($B1147="","",IF($P1146="",$B1147,MAX($P1146,$B1147)))</f>
        <v/>
      </c>
      <c r="Q1147" s="32" t="str">
        <f>IF($P1147="","",$B1147/$P1147-1)</f>
        <v/>
      </c>
    </row>
    <row r="1148">
      <c r="A1148" s="11" t="n"/>
      <c r="B1148" s="29" t="n"/>
      <c r="K1148" s="30" t="str">
        <f>IF($A1148="","",EDATE($A1148,12*$E$4))</f>
        <v/>
      </c>
      <c r="L1148" s="19" t="str">
        <f>IF($K1148="","",IF($K1148&gt;MAX($A$8:$A$5007),"",IFERROR(MATCH($K1148,$A$8:$A$5007,1),"")))</f>
        <v/>
      </c>
      <c r="M1148" s="30" t="str">
        <f>IF($L1148="","",INDEX($A$8:$A$5007,$L1148))</f>
        <v/>
      </c>
      <c r="N1148" s="31" t="str">
        <f>IF($L1148="","",INDEX($B$8:$B$5007,$L1148))</f>
        <v/>
      </c>
      <c r="O1148" s="32" t="str">
        <f>IF($M1148="","",IF($K1148-$M1148&gt;7,"",IF($M1148&lt;=$A1148,"",IF(OR($B1148&lt;=0,$N1148&lt;=0),"",($N1148/$B1148)^(365/($M1148-$A1148))-1))))</f>
        <v/>
      </c>
      <c r="P1148" s="31" t="str">
        <f>IF($B1148="","",IF($P1147="",$B1148,MAX($P1147,$B1148)))</f>
        <v/>
      </c>
      <c r="Q1148" s="32" t="str">
        <f>IF($P1148="","",$B1148/$P1148-1)</f>
        <v/>
      </c>
    </row>
    <row r="1149">
      <c r="A1149" s="11" t="n"/>
      <c r="B1149" s="29" t="n"/>
      <c r="K1149" s="30" t="str">
        <f>IF($A1149="","",EDATE($A1149,12*$E$4))</f>
        <v/>
      </c>
      <c r="L1149" s="19" t="str">
        <f>IF($K1149="","",IF($K1149&gt;MAX($A$8:$A$5007),"",IFERROR(MATCH($K1149,$A$8:$A$5007,1),"")))</f>
        <v/>
      </c>
      <c r="M1149" s="30" t="str">
        <f>IF($L1149="","",INDEX($A$8:$A$5007,$L1149))</f>
        <v/>
      </c>
      <c r="N1149" s="31" t="str">
        <f>IF($L1149="","",INDEX($B$8:$B$5007,$L1149))</f>
        <v/>
      </c>
      <c r="O1149" s="32" t="str">
        <f>IF($M1149="","",IF($K1149-$M1149&gt;7,"",IF($M1149&lt;=$A1149,"",IF(OR($B1149&lt;=0,$N1149&lt;=0),"",($N1149/$B1149)^(365/($M1149-$A1149))-1))))</f>
        <v/>
      </c>
      <c r="P1149" s="31" t="str">
        <f>IF($B1149="","",IF($P1148="",$B1149,MAX($P1148,$B1149)))</f>
        <v/>
      </c>
      <c r="Q1149" s="32" t="str">
        <f>IF($P1149="","",$B1149/$P1149-1)</f>
        <v/>
      </c>
    </row>
    <row r="1150">
      <c r="A1150" s="11" t="n"/>
      <c r="B1150" s="29" t="n"/>
      <c r="K1150" s="30" t="str">
        <f>IF($A1150="","",EDATE($A1150,12*$E$4))</f>
        <v/>
      </c>
      <c r="L1150" s="19" t="str">
        <f>IF($K1150="","",IF($K1150&gt;MAX($A$8:$A$5007),"",IFERROR(MATCH($K1150,$A$8:$A$5007,1),"")))</f>
        <v/>
      </c>
      <c r="M1150" s="30" t="str">
        <f>IF($L1150="","",INDEX($A$8:$A$5007,$L1150))</f>
        <v/>
      </c>
      <c r="N1150" s="31" t="str">
        <f>IF($L1150="","",INDEX($B$8:$B$5007,$L1150))</f>
        <v/>
      </c>
      <c r="O1150" s="32" t="str">
        <f>IF($M1150="","",IF($K1150-$M1150&gt;7,"",IF($M1150&lt;=$A1150,"",IF(OR($B1150&lt;=0,$N1150&lt;=0),"",($N1150/$B1150)^(365/($M1150-$A1150))-1))))</f>
        <v/>
      </c>
      <c r="P1150" s="31" t="str">
        <f>IF($B1150="","",IF($P1149="",$B1150,MAX($P1149,$B1150)))</f>
        <v/>
      </c>
      <c r="Q1150" s="32" t="str">
        <f>IF($P1150="","",$B1150/$P1150-1)</f>
        <v/>
      </c>
    </row>
    <row r="1151">
      <c r="A1151" s="11" t="n"/>
      <c r="B1151" s="29" t="n"/>
      <c r="K1151" s="30" t="str">
        <f>IF($A1151="","",EDATE($A1151,12*$E$4))</f>
        <v/>
      </c>
      <c r="L1151" s="19" t="str">
        <f>IF($K1151="","",IF($K1151&gt;MAX($A$8:$A$5007),"",IFERROR(MATCH($K1151,$A$8:$A$5007,1),"")))</f>
        <v/>
      </c>
      <c r="M1151" s="30" t="str">
        <f>IF($L1151="","",INDEX($A$8:$A$5007,$L1151))</f>
        <v/>
      </c>
      <c r="N1151" s="31" t="str">
        <f>IF($L1151="","",INDEX($B$8:$B$5007,$L1151))</f>
        <v/>
      </c>
      <c r="O1151" s="32" t="str">
        <f>IF($M1151="","",IF($K1151-$M1151&gt;7,"",IF($M1151&lt;=$A1151,"",IF(OR($B1151&lt;=0,$N1151&lt;=0),"",($N1151/$B1151)^(365/($M1151-$A1151))-1))))</f>
        <v/>
      </c>
      <c r="P1151" s="31" t="str">
        <f>IF($B1151="","",IF($P1150="",$B1151,MAX($P1150,$B1151)))</f>
        <v/>
      </c>
      <c r="Q1151" s="32" t="str">
        <f>IF($P1151="","",$B1151/$P1151-1)</f>
        <v/>
      </c>
    </row>
    <row r="1152">
      <c r="A1152" s="11" t="n"/>
      <c r="B1152" s="29" t="n"/>
      <c r="K1152" s="30" t="str">
        <f>IF($A1152="","",EDATE($A1152,12*$E$4))</f>
        <v/>
      </c>
      <c r="L1152" s="19" t="str">
        <f>IF($K1152="","",IF($K1152&gt;MAX($A$8:$A$5007),"",IFERROR(MATCH($K1152,$A$8:$A$5007,1),"")))</f>
        <v/>
      </c>
      <c r="M1152" s="30" t="str">
        <f>IF($L1152="","",INDEX($A$8:$A$5007,$L1152))</f>
        <v/>
      </c>
      <c r="N1152" s="31" t="str">
        <f>IF($L1152="","",INDEX($B$8:$B$5007,$L1152))</f>
        <v/>
      </c>
      <c r="O1152" s="32" t="str">
        <f>IF($M1152="","",IF($K1152-$M1152&gt;7,"",IF($M1152&lt;=$A1152,"",IF(OR($B1152&lt;=0,$N1152&lt;=0),"",($N1152/$B1152)^(365/($M1152-$A1152))-1))))</f>
        <v/>
      </c>
      <c r="P1152" s="31" t="str">
        <f>IF($B1152="","",IF($P1151="",$B1152,MAX($P1151,$B1152)))</f>
        <v/>
      </c>
      <c r="Q1152" s="32" t="str">
        <f>IF($P1152="","",$B1152/$P1152-1)</f>
        <v/>
      </c>
    </row>
    <row r="1153">
      <c r="A1153" s="11" t="n"/>
      <c r="B1153" s="29" t="n"/>
      <c r="K1153" s="30" t="str">
        <f>IF($A1153="","",EDATE($A1153,12*$E$4))</f>
        <v/>
      </c>
      <c r="L1153" s="19" t="str">
        <f>IF($K1153="","",IF($K1153&gt;MAX($A$8:$A$5007),"",IFERROR(MATCH($K1153,$A$8:$A$5007,1),"")))</f>
        <v/>
      </c>
      <c r="M1153" s="30" t="str">
        <f>IF($L1153="","",INDEX($A$8:$A$5007,$L1153))</f>
        <v/>
      </c>
      <c r="N1153" s="31" t="str">
        <f>IF($L1153="","",INDEX($B$8:$B$5007,$L1153))</f>
        <v/>
      </c>
      <c r="O1153" s="32" t="str">
        <f>IF($M1153="","",IF($K1153-$M1153&gt;7,"",IF($M1153&lt;=$A1153,"",IF(OR($B1153&lt;=0,$N1153&lt;=0),"",($N1153/$B1153)^(365/($M1153-$A1153))-1))))</f>
        <v/>
      </c>
      <c r="P1153" s="31" t="str">
        <f>IF($B1153="","",IF($P1152="",$B1153,MAX($P1152,$B1153)))</f>
        <v/>
      </c>
      <c r="Q1153" s="32" t="str">
        <f>IF($P1153="","",$B1153/$P1153-1)</f>
        <v/>
      </c>
    </row>
    <row r="1154">
      <c r="A1154" s="11" t="n"/>
      <c r="B1154" s="29" t="n"/>
      <c r="K1154" s="30" t="str">
        <f>IF($A1154="","",EDATE($A1154,12*$E$4))</f>
        <v/>
      </c>
      <c r="L1154" s="19" t="str">
        <f>IF($K1154="","",IF($K1154&gt;MAX($A$8:$A$5007),"",IFERROR(MATCH($K1154,$A$8:$A$5007,1),"")))</f>
        <v/>
      </c>
      <c r="M1154" s="30" t="str">
        <f>IF($L1154="","",INDEX($A$8:$A$5007,$L1154))</f>
        <v/>
      </c>
      <c r="N1154" s="31" t="str">
        <f>IF($L1154="","",INDEX($B$8:$B$5007,$L1154))</f>
        <v/>
      </c>
      <c r="O1154" s="32" t="str">
        <f>IF($M1154="","",IF($K1154-$M1154&gt;7,"",IF($M1154&lt;=$A1154,"",IF(OR($B1154&lt;=0,$N1154&lt;=0),"",($N1154/$B1154)^(365/($M1154-$A1154))-1))))</f>
        <v/>
      </c>
      <c r="P1154" s="31" t="str">
        <f>IF($B1154="","",IF($P1153="",$B1154,MAX($P1153,$B1154)))</f>
        <v/>
      </c>
      <c r="Q1154" s="32" t="str">
        <f>IF($P1154="","",$B1154/$P1154-1)</f>
        <v/>
      </c>
    </row>
    <row r="1155">
      <c r="A1155" s="11" t="n"/>
      <c r="B1155" s="29" t="n"/>
      <c r="K1155" s="30" t="str">
        <f>IF($A1155="","",EDATE($A1155,12*$E$4))</f>
        <v/>
      </c>
      <c r="L1155" s="19" t="str">
        <f>IF($K1155="","",IF($K1155&gt;MAX($A$8:$A$5007),"",IFERROR(MATCH($K1155,$A$8:$A$5007,1),"")))</f>
        <v/>
      </c>
      <c r="M1155" s="30" t="str">
        <f>IF($L1155="","",INDEX($A$8:$A$5007,$L1155))</f>
        <v/>
      </c>
      <c r="N1155" s="31" t="str">
        <f>IF($L1155="","",INDEX($B$8:$B$5007,$L1155))</f>
        <v/>
      </c>
      <c r="O1155" s="32" t="str">
        <f>IF($M1155="","",IF($K1155-$M1155&gt;7,"",IF($M1155&lt;=$A1155,"",IF(OR($B1155&lt;=0,$N1155&lt;=0),"",($N1155/$B1155)^(365/($M1155-$A1155))-1))))</f>
        <v/>
      </c>
      <c r="P1155" s="31" t="str">
        <f>IF($B1155="","",IF($P1154="",$B1155,MAX($P1154,$B1155)))</f>
        <v/>
      </c>
      <c r="Q1155" s="32" t="str">
        <f>IF($P1155="","",$B1155/$P1155-1)</f>
        <v/>
      </c>
    </row>
    <row r="1156">
      <c r="A1156" s="11" t="n"/>
      <c r="B1156" s="29" t="n"/>
      <c r="K1156" s="30" t="str">
        <f>IF($A1156="","",EDATE($A1156,12*$E$4))</f>
        <v/>
      </c>
      <c r="L1156" s="19" t="str">
        <f>IF($K1156="","",IF($K1156&gt;MAX($A$8:$A$5007),"",IFERROR(MATCH($K1156,$A$8:$A$5007,1),"")))</f>
        <v/>
      </c>
      <c r="M1156" s="30" t="str">
        <f>IF($L1156="","",INDEX($A$8:$A$5007,$L1156))</f>
        <v/>
      </c>
      <c r="N1156" s="31" t="str">
        <f>IF($L1156="","",INDEX($B$8:$B$5007,$L1156))</f>
        <v/>
      </c>
      <c r="O1156" s="32" t="str">
        <f>IF($M1156="","",IF($K1156-$M1156&gt;7,"",IF($M1156&lt;=$A1156,"",IF(OR($B1156&lt;=0,$N1156&lt;=0),"",($N1156/$B1156)^(365/($M1156-$A1156))-1))))</f>
        <v/>
      </c>
      <c r="P1156" s="31" t="str">
        <f>IF($B1156="","",IF($P1155="",$B1156,MAX($P1155,$B1156)))</f>
        <v/>
      </c>
      <c r="Q1156" s="32" t="str">
        <f>IF($P1156="","",$B1156/$P1156-1)</f>
        <v/>
      </c>
    </row>
    <row r="1157">
      <c r="A1157" s="11" t="n"/>
      <c r="B1157" s="29" t="n"/>
      <c r="K1157" s="30" t="str">
        <f>IF($A1157="","",EDATE($A1157,12*$E$4))</f>
        <v/>
      </c>
      <c r="L1157" s="19" t="str">
        <f>IF($K1157="","",IF($K1157&gt;MAX($A$8:$A$5007),"",IFERROR(MATCH($K1157,$A$8:$A$5007,1),"")))</f>
        <v/>
      </c>
      <c r="M1157" s="30" t="str">
        <f>IF($L1157="","",INDEX($A$8:$A$5007,$L1157))</f>
        <v/>
      </c>
      <c r="N1157" s="31" t="str">
        <f>IF($L1157="","",INDEX($B$8:$B$5007,$L1157))</f>
        <v/>
      </c>
      <c r="O1157" s="32" t="str">
        <f>IF($M1157="","",IF($K1157-$M1157&gt;7,"",IF($M1157&lt;=$A1157,"",IF(OR($B1157&lt;=0,$N1157&lt;=0),"",($N1157/$B1157)^(365/($M1157-$A1157))-1))))</f>
        <v/>
      </c>
      <c r="P1157" s="31" t="str">
        <f>IF($B1157="","",IF($P1156="",$B1157,MAX($P1156,$B1157)))</f>
        <v/>
      </c>
      <c r="Q1157" s="32" t="str">
        <f>IF($P1157="","",$B1157/$P1157-1)</f>
        <v/>
      </c>
    </row>
    <row r="1158">
      <c r="A1158" s="11" t="n"/>
      <c r="B1158" s="29" t="n"/>
      <c r="K1158" s="30" t="str">
        <f>IF($A1158="","",EDATE($A1158,12*$E$4))</f>
        <v/>
      </c>
      <c r="L1158" s="19" t="str">
        <f>IF($K1158="","",IF($K1158&gt;MAX($A$8:$A$5007),"",IFERROR(MATCH($K1158,$A$8:$A$5007,1),"")))</f>
        <v/>
      </c>
      <c r="M1158" s="30" t="str">
        <f>IF($L1158="","",INDEX($A$8:$A$5007,$L1158))</f>
        <v/>
      </c>
      <c r="N1158" s="31" t="str">
        <f>IF($L1158="","",INDEX($B$8:$B$5007,$L1158))</f>
        <v/>
      </c>
      <c r="O1158" s="32" t="str">
        <f>IF($M1158="","",IF($K1158-$M1158&gt;7,"",IF($M1158&lt;=$A1158,"",IF(OR($B1158&lt;=0,$N1158&lt;=0),"",($N1158/$B1158)^(365/($M1158-$A1158))-1))))</f>
        <v/>
      </c>
      <c r="P1158" s="31" t="str">
        <f>IF($B1158="","",IF($P1157="",$B1158,MAX($P1157,$B1158)))</f>
        <v/>
      </c>
      <c r="Q1158" s="32" t="str">
        <f>IF($P1158="","",$B1158/$P1158-1)</f>
        <v/>
      </c>
    </row>
    <row r="1159">
      <c r="A1159" s="11" t="n"/>
      <c r="B1159" s="29" t="n"/>
      <c r="K1159" s="30" t="str">
        <f>IF($A1159="","",EDATE($A1159,12*$E$4))</f>
        <v/>
      </c>
      <c r="L1159" s="19" t="str">
        <f>IF($K1159="","",IF($K1159&gt;MAX($A$8:$A$5007),"",IFERROR(MATCH($K1159,$A$8:$A$5007,1),"")))</f>
        <v/>
      </c>
      <c r="M1159" s="30" t="str">
        <f>IF($L1159="","",INDEX($A$8:$A$5007,$L1159))</f>
        <v/>
      </c>
      <c r="N1159" s="31" t="str">
        <f>IF($L1159="","",INDEX($B$8:$B$5007,$L1159))</f>
        <v/>
      </c>
      <c r="O1159" s="32" t="str">
        <f>IF($M1159="","",IF($K1159-$M1159&gt;7,"",IF($M1159&lt;=$A1159,"",IF(OR($B1159&lt;=0,$N1159&lt;=0),"",($N1159/$B1159)^(365/($M1159-$A1159))-1))))</f>
        <v/>
      </c>
      <c r="P1159" s="31" t="str">
        <f>IF($B1159="","",IF($P1158="",$B1159,MAX($P1158,$B1159)))</f>
        <v/>
      </c>
      <c r="Q1159" s="32" t="str">
        <f>IF($P1159="","",$B1159/$P1159-1)</f>
        <v/>
      </c>
    </row>
    <row r="1160">
      <c r="A1160" s="11" t="n"/>
      <c r="B1160" s="29" t="n"/>
      <c r="K1160" s="30" t="str">
        <f>IF($A1160="","",EDATE($A1160,12*$E$4))</f>
        <v/>
      </c>
      <c r="L1160" s="19" t="str">
        <f>IF($K1160="","",IF($K1160&gt;MAX($A$8:$A$5007),"",IFERROR(MATCH($K1160,$A$8:$A$5007,1),"")))</f>
        <v/>
      </c>
      <c r="M1160" s="30" t="str">
        <f>IF($L1160="","",INDEX($A$8:$A$5007,$L1160))</f>
        <v/>
      </c>
      <c r="N1160" s="31" t="str">
        <f>IF($L1160="","",INDEX($B$8:$B$5007,$L1160))</f>
        <v/>
      </c>
      <c r="O1160" s="32" t="str">
        <f>IF($M1160="","",IF($K1160-$M1160&gt;7,"",IF($M1160&lt;=$A1160,"",IF(OR($B1160&lt;=0,$N1160&lt;=0),"",($N1160/$B1160)^(365/($M1160-$A1160))-1))))</f>
        <v/>
      </c>
      <c r="P1160" s="31" t="str">
        <f>IF($B1160="","",IF($P1159="",$B1160,MAX($P1159,$B1160)))</f>
        <v/>
      </c>
      <c r="Q1160" s="32" t="str">
        <f>IF($P1160="","",$B1160/$P1160-1)</f>
        <v/>
      </c>
    </row>
    <row r="1161">
      <c r="A1161" s="11" t="n"/>
      <c r="B1161" s="29" t="n"/>
      <c r="K1161" s="30" t="str">
        <f>IF($A1161="","",EDATE($A1161,12*$E$4))</f>
        <v/>
      </c>
      <c r="L1161" s="19" t="str">
        <f>IF($K1161="","",IF($K1161&gt;MAX($A$8:$A$5007),"",IFERROR(MATCH($K1161,$A$8:$A$5007,1),"")))</f>
        <v/>
      </c>
      <c r="M1161" s="30" t="str">
        <f>IF($L1161="","",INDEX($A$8:$A$5007,$L1161))</f>
        <v/>
      </c>
      <c r="N1161" s="31" t="str">
        <f>IF($L1161="","",INDEX($B$8:$B$5007,$L1161))</f>
        <v/>
      </c>
      <c r="O1161" s="32" t="str">
        <f>IF($M1161="","",IF($K1161-$M1161&gt;7,"",IF($M1161&lt;=$A1161,"",IF(OR($B1161&lt;=0,$N1161&lt;=0),"",($N1161/$B1161)^(365/($M1161-$A1161))-1))))</f>
        <v/>
      </c>
      <c r="P1161" s="31" t="str">
        <f>IF($B1161="","",IF($P1160="",$B1161,MAX($P1160,$B1161)))</f>
        <v/>
      </c>
      <c r="Q1161" s="32" t="str">
        <f>IF($P1161="","",$B1161/$P1161-1)</f>
        <v/>
      </c>
    </row>
    <row r="1162">
      <c r="A1162" s="11" t="n"/>
      <c r="B1162" s="29" t="n"/>
      <c r="K1162" s="30" t="str">
        <f>IF($A1162="","",EDATE($A1162,12*$E$4))</f>
        <v/>
      </c>
      <c r="L1162" s="19" t="str">
        <f>IF($K1162="","",IF($K1162&gt;MAX($A$8:$A$5007),"",IFERROR(MATCH($K1162,$A$8:$A$5007,1),"")))</f>
        <v/>
      </c>
      <c r="M1162" s="30" t="str">
        <f>IF($L1162="","",INDEX($A$8:$A$5007,$L1162))</f>
        <v/>
      </c>
      <c r="N1162" s="31" t="str">
        <f>IF($L1162="","",INDEX($B$8:$B$5007,$L1162))</f>
        <v/>
      </c>
      <c r="O1162" s="32" t="str">
        <f>IF($M1162="","",IF($K1162-$M1162&gt;7,"",IF($M1162&lt;=$A1162,"",IF(OR($B1162&lt;=0,$N1162&lt;=0),"",($N1162/$B1162)^(365/($M1162-$A1162))-1))))</f>
        <v/>
      </c>
      <c r="P1162" s="31" t="str">
        <f>IF($B1162="","",IF($P1161="",$B1162,MAX($P1161,$B1162)))</f>
        <v/>
      </c>
      <c r="Q1162" s="32" t="str">
        <f>IF($P1162="","",$B1162/$P1162-1)</f>
        <v/>
      </c>
    </row>
    <row r="1163">
      <c r="A1163" s="11" t="n"/>
      <c r="B1163" s="29" t="n"/>
      <c r="K1163" s="30" t="str">
        <f>IF($A1163="","",EDATE($A1163,12*$E$4))</f>
        <v/>
      </c>
      <c r="L1163" s="19" t="str">
        <f>IF($K1163="","",IF($K1163&gt;MAX($A$8:$A$5007),"",IFERROR(MATCH($K1163,$A$8:$A$5007,1),"")))</f>
        <v/>
      </c>
      <c r="M1163" s="30" t="str">
        <f>IF($L1163="","",INDEX($A$8:$A$5007,$L1163))</f>
        <v/>
      </c>
      <c r="N1163" s="31" t="str">
        <f>IF($L1163="","",INDEX($B$8:$B$5007,$L1163))</f>
        <v/>
      </c>
      <c r="O1163" s="32" t="str">
        <f>IF($M1163="","",IF($K1163-$M1163&gt;7,"",IF($M1163&lt;=$A1163,"",IF(OR($B1163&lt;=0,$N1163&lt;=0),"",($N1163/$B1163)^(365/($M1163-$A1163))-1))))</f>
        <v/>
      </c>
      <c r="P1163" s="31" t="str">
        <f>IF($B1163="","",IF($P1162="",$B1163,MAX($P1162,$B1163)))</f>
        <v/>
      </c>
      <c r="Q1163" s="32" t="str">
        <f>IF($P1163="","",$B1163/$P1163-1)</f>
        <v/>
      </c>
    </row>
    <row r="1164">
      <c r="A1164" s="11" t="n"/>
      <c r="B1164" s="29" t="n"/>
      <c r="K1164" s="30" t="str">
        <f>IF($A1164="","",EDATE($A1164,12*$E$4))</f>
        <v/>
      </c>
      <c r="L1164" s="19" t="str">
        <f>IF($K1164="","",IF($K1164&gt;MAX($A$8:$A$5007),"",IFERROR(MATCH($K1164,$A$8:$A$5007,1),"")))</f>
        <v/>
      </c>
      <c r="M1164" s="30" t="str">
        <f>IF($L1164="","",INDEX($A$8:$A$5007,$L1164))</f>
        <v/>
      </c>
      <c r="N1164" s="31" t="str">
        <f>IF($L1164="","",INDEX($B$8:$B$5007,$L1164))</f>
        <v/>
      </c>
      <c r="O1164" s="32" t="str">
        <f>IF($M1164="","",IF($K1164-$M1164&gt;7,"",IF($M1164&lt;=$A1164,"",IF(OR($B1164&lt;=0,$N1164&lt;=0),"",($N1164/$B1164)^(365/($M1164-$A1164))-1))))</f>
        <v/>
      </c>
      <c r="P1164" s="31" t="str">
        <f>IF($B1164="","",IF($P1163="",$B1164,MAX($P1163,$B1164)))</f>
        <v/>
      </c>
      <c r="Q1164" s="32" t="str">
        <f>IF($P1164="","",$B1164/$P1164-1)</f>
        <v/>
      </c>
    </row>
    <row r="1165">
      <c r="A1165" s="11" t="n"/>
      <c r="B1165" s="29" t="n"/>
      <c r="K1165" s="30" t="str">
        <f>IF($A1165="","",EDATE($A1165,12*$E$4))</f>
        <v/>
      </c>
      <c r="L1165" s="19" t="str">
        <f>IF($K1165="","",IF($K1165&gt;MAX($A$8:$A$5007),"",IFERROR(MATCH($K1165,$A$8:$A$5007,1),"")))</f>
        <v/>
      </c>
      <c r="M1165" s="30" t="str">
        <f>IF($L1165="","",INDEX($A$8:$A$5007,$L1165))</f>
        <v/>
      </c>
      <c r="N1165" s="31" t="str">
        <f>IF($L1165="","",INDEX($B$8:$B$5007,$L1165))</f>
        <v/>
      </c>
      <c r="O1165" s="32" t="str">
        <f>IF($M1165="","",IF($K1165-$M1165&gt;7,"",IF($M1165&lt;=$A1165,"",IF(OR($B1165&lt;=0,$N1165&lt;=0),"",($N1165/$B1165)^(365/($M1165-$A1165))-1))))</f>
        <v/>
      </c>
      <c r="P1165" s="31" t="str">
        <f>IF($B1165="","",IF($P1164="",$B1165,MAX($P1164,$B1165)))</f>
        <v/>
      </c>
      <c r="Q1165" s="32" t="str">
        <f>IF($P1165="","",$B1165/$P1165-1)</f>
        <v/>
      </c>
    </row>
    <row r="1166">
      <c r="A1166" s="11" t="n"/>
      <c r="B1166" s="29" t="n"/>
      <c r="K1166" s="30" t="str">
        <f>IF($A1166="","",EDATE($A1166,12*$E$4))</f>
        <v/>
      </c>
      <c r="L1166" s="19" t="str">
        <f>IF($K1166="","",IF($K1166&gt;MAX($A$8:$A$5007),"",IFERROR(MATCH($K1166,$A$8:$A$5007,1),"")))</f>
        <v/>
      </c>
      <c r="M1166" s="30" t="str">
        <f>IF($L1166="","",INDEX($A$8:$A$5007,$L1166))</f>
        <v/>
      </c>
      <c r="N1166" s="31" t="str">
        <f>IF($L1166="","",INDEX($B$8:$B$5007,$L1166))</f>
        <v/>
      </c>
      <c r="O1166" s="32" t="str">
        <f>IF($M1166="","",IF($K1166-$M1166&gt;7,"",IF($M1166&lt;=$A1166,"",IF(OR($B1166&lt;=0,$N1166&lt;=0),"",($N1166/$B1166)^(365/($M1166-$A1166))-1))))</f>
        <v/>
      </c>
      <c r="P1166" s="31" t="str">
        <f>IF($B1166="","",IF($P1165="",$B1166,MAX($P1165,$B1166)))</f>
        <v/>
      </c>
      <c r="Q1166" s="32" t="str">
        <f>IF($P1166="","",$B1166/$P1166-1)</f>
        <v/>
      </c>
    </row>
    <row r="1167">
      <c r="A1167" s="11" t="n"/>
      <c r="B1167" s="29" t="n"/>
      <c r="K1167" s="30" t="str">
        <f>IF($A1167="","",EDATE($A1167,12*$E$4))</f>
        <v/>
      </c>
      <c r="L1167" s="19" t="str">
        <f>IF($K1167="","",IF($K1167&gt;MAX($A$8:$A$5007),"",IFERROR(MATCH($K1167,$A$8:$A$5007,1),"")))</f>
        <v/>
      </c>
      <c r="M1167" s="30" t="str">
        <f>IF($L1167="","",INDEX($A$8:$A$5007,$L1167))</f>
        <v/>
      </c>
      <c r="N1167" s="31" t="str">
        <f>IF($L1167="","",INDEX($B$8:$B$5007,$L1167))</f>
        <v/>
      </c>
      <c r="O1167" s="32" t="str">
        <f>IF($M1167="","",IF($K1167-$M1167&gt;7,"",IF($M1167&lt;=$A1167,"",IF(OR($B1167&lt;=0,$N1167&lt;=0),"",($N1167/$B1167)^(365/($M1167-$A1167))-1))))</f>
        <v/>
      </c>
      <c r="P1167" s="31" t="str">
        <f>IF($B1167="","",IF($P1166="",$B1167,MAX($P1166,$B1167)))</f>
        <v/>
      </c>
      <c r="Q1167" s="32" t="str">
        <f>IF($P1167="","",$B1167/$P1167-1)</f>
        <v/>
      </c>
    </row>
    <row r="1168">
      <c r="A1168" s="11" t="n"/>
      <c r="B1168" s="29" t="n"/>
      <c r="K1168" s="30" t="str">
        <f>IF($A1168="","",EDATE($A1168,12*$E$4))</f>
        <v/>
      </c>
      <c r="L1168" s="19" t="str">
        <f>IF($K1168="","",IF($K1168&gt;MAX($A$8:$A$5007),"",IFERROR(MATCH($K1168,$A$8:$A$5007,1),"")))</f>
        <v/>
      </c>
      <c r="M1168" s="30" t="str">
        <f>IF($L1168="","",INDEX($A$8:$A$5007,$L1168))</f>
        <v/>
      </c>
      <c r="N1168" s="31" t="str">
        <f>IF($L1168="","",INDEX($B$8:$B$5007,$L1168))</f>
        <v/>
      </c>
      <c r="O1168" s="32" t="str">
        <f>IF($M1168="","",IF($K1168-$M1168&gt;7,"",IF($M1168&lt;=$A1168,"",IF(OR($B1168&lt;=0,$N1168&lt;=0),"",($N1168/$B1168)^(365/($M1168-$A1168))-1))))</f>
        <v/>
      </c>
      <c r="P1168" s="31" t="str">
        <f>IF($B1168="","",IF($P1167="",$B1168,MAX($P1167,$B1168)))</f>
        <v/>
      </c>
      <c r="Q1168" s="32" t="str">
        <f>IF($P1168="","",$B1168/$P1168-1)</f>
        <v/>
      </c>
    </row>
    <row r="1169">
      <c r="A1169" s="11" t="n"/>
      <c r="B1169" s="29" t="n"/>
      <c r="K1169" s="30" t="str">
        <f>IF($A1169="","",EDATE($A1169,12*$E$4))</f>
        <v/>
      </c>
      <c r="L1169" s="19" t="str">
        <f>IF($K1169="","",IF($K1169&gt;MAX($A$8:$A$5007),"",IFERROR(MATCH($K1169,$A$8:$A$5007,1),"")))</f>
        <v/>
      </c>
      <c r="M1169" s="30" t="str">
        <f>IF($L1169="","",INDEX($A$8:$A$5007,$L1169))</f>
        <v/>
      </c>
      <c r="N1169" s="31" t="str">
        <f>IF($L1169="","",INDEX($B$8:$B$5007,$L1169))</f>
        <v/>
      </c>
      <c r="O1169" s="32" t="str">
        <f>IF($M1169="","",IF($K1169-$M1169&gt;7,"",IF($M1169&lt;=$A1169,"",IF(OR($B1169&lt;=0,$N1169&lt;=0),"",($N1169/$B1169)^(365/($M1169-$A1169))-1))))</f>
        <v/>
      </c>
      <c r="P1169" s="31" t="str">
        <f>IF($B1169="","",IF($P1168="",$B1169,MAX($P1168,$B1169)))</f>
        <v/>
      </c>
      <c r="Q1169" s="32" t="str">
        <f>IF($P1169="","",$B1169/$P1169-1)</f>
        <v/>
      </c>
    </row>
    <row r="1170">
      <c r="A1170" s="11" t="n"/>
      <c r="B1170" s="29" t="n"/>
      <c r="K1170" s="30" t="str">
        <f>IF($A1170="","",EDATE($A1170,12*$E$4))</f>
        <v/>
      </c>
      <c r="L1170" s="19" t="str">
        <f>IF($K1170="","",IF($K1170&gt;MAX($A$8:$A$5007),"",IFERROR(MATCH($K1170,$A$8:$A$5007,1),"")))</f>
        <v/>
      </c>
      <c r="M1170" s="30" t="str">
        <f>IF($L1170="","",INDEX($A$8:$A$5007,$L1170))</f>
        <v/>
      </c>
      <c r="N1170" s="31" t="str">
        <f>IF($L1170="","",INDEX($B$8:$B$5007,$L1170))</f>
        <v/>
      </c>
      <c r="O1170" s="32" t="str">
        <f>IF($M1170="","",IF($K1170-$M1170&gt;7,"",IF($M1170&lt;=$A1170,"",IF(OR($B1170&lt;=0,$N1170&lt;=0),"",($N1170/$B1170)^(365/($M1170-$A1170))-1))))</f>
        <v/>
      </c>
      <c r="P1170" s="31" t="str">
        <f>IF($B1170="","",IF($P1169="",$B1170,MAX($P1169,$B1170)))</f>
        <v/>
      </c>
      <c r="Q1170" s="32" t="str">
        <f>IF($P1170="","",$B1170/$P1170-1)</f>
        <v/>
      </c>
    </row>
    <row r="1171">
      <c r="A1171" s="11" t="n"/>
      <c r="B1171" s="29" t="n"/>
      <c r="K1171" s="30" t="str">
        <f>IF($A1171="","",EDATE($A1171,12*$E$4))</f>
        <v/>
      </c>
      <c r="L1171" s="19" t="str">
        <f>IF($K1171="","",IF($K1171&gt;MAX($A$8:$A$5007),"",IFERROR(MATCH($K1171,$A$8:$A$5007,1),"")))</f>
        <v/>
      </c>
      <c r="M1171" s="30" t="str">
        <f>IF($L1171="","",INDEX($A$8:$A$5007,$L1171))</f>
        <v/>
      </c>
      <c r="N1171" s="31" t="str">
        <f>IF($L1171="","",INDEX($B$8:$B$5007,$L1171))</f>
        <v/>
      </c>
      <c r="O1171" s="32" t="str">
        <f>IF($M1171="","",IF($K1171-$M1171&gt;7,"",IF($M1171&lt;=$A1171,"",IF(OR($B1171&lt;=0,$N1171&lt;=0),"",($N1171/$B1171)^(365/($M1171-$A1171))-1))))</f>
        <v/>
      </c>
      <c r="P1171" s="31" t="str">
        <f>IF($B1171="","",IF($P1170="",$B1171,MAX($P1170,$B1171)))</f>
        <v/>
      </c>
      <c r="Q1171" s="32" t="str">
        <f>IF($P1171="","",$B1171/$P1171-1)</f>
        <v/>
      </c>
    </row>
    <row r="1172">
      <c r="A1172" s="11" t="n"/>
      <c r="B1172" s="29" t="n"/>
      <c r="K1172" s="30" t="str">
        <f>IF($A1172="","",EDATE($A1172,12*$E$4))</f>
        <v/>
      </c>
      <c r="L1172" s="19" t="str">
        <f>IF($K1172="","",IF($K1172&gt;MAX($A$8:$A$5007),"",IFERROR(MATCH($K1172,$A$8:$A$5007,1),"")))</f>
        <v/>
      </c>
      <c r="M1172" s="30" t="str">
        <f>IF($L1172="","",INDEX($A$8:$A$5007,$L1172))</f>
        <v/>
      </c>
      <c r="N1172" s="31" t="str">
        <f>IF($L1172="","",INDEX($B$8:$B$5007,$L1172))</f>
        <v/>
      </c>
      <c r="O1172" s="32" t="str">
        <f>IF($M1172="","",IF($K1172-$M1172&gt;7,"",IF($M1172&lt;=$A1172,"",IF(OR($B1172&lt;=0,$N1172&lt;=0),"",($N1172/$B1172)^(365/($M1172-$A1172))-1))))</f>
        <v/>
      </c>
      <c r="P1172" s="31" t="str">
        <f>IF($B1172="","",IF($P1171="",$B1172,MAX($P1171,$B1172)))</f>
        <v/>
      </c>
      <c r="Q1172" s="32" t="str">
        <f>IF($P1172="","",$B1172/$P1172-1)</f>
        <v/>
      </c>
    </row>
    <row r="1173">
      <c r="A1173" s="11" t="n"/>
      <c r="B1173" s="29" t="n"/>
      <c r="K1173" s="30" t="str">
        <f>IF($A1173="","",EDATE($A1173,12*$E$4))</f>
        <v/>
      </c>
      <c r="L1173" s="19" t="str">
        <f>IF($K1173="","",IF($K1173&gt;MAX($A$8:$A$5007),"",IFERROR(MATCH($K1173,$A$8:$A$5007,1),"")))</f>
        <v/>
      </c>
      <c r="M1173" s="30" t="str">
        <f>IF($L1173="","",INDEX($A$8:$A$5007,$L1173))</f>
        <v/>
      </c>
      <c r="N1173" s="31" t="str">
        <f>IF($L1173="","",INDEX($B$8:$B$5007,$L1173))</f>
        <v/>
      </c>
      <c r="O1173" s="32" t="str">
        <f>IF($M1173="","",IF($K1173-$M1173&gt;7,"",IF($M1173&lt;=$A1173,"",IF(OR($B1173&lt;=0,$N1173&lt;=0),"",($N1173/$B1173)^(365/($M1173-$A1173))-1))))</f>
        <v/>
      </c>
      <c r="P1173" s="31" t="str">
        <f>IF($B1173="","",IF($P1172="",$B1173,MAX($P1172,$B1173)))</f>
        <v/>
      </c>
      <c r="Q1173" s="32" t="str">
        <f>IF($P1173="","",$B1173/$P1173-1)</f>
        <v/>
      </c>
    </row>
    <row r="1174">
      <c r="A1174" s="11" t="n"/>
      <c r="B1174" s="29" t="n"/>
      <c r="K1174" s="30" t="str">
        <f>IF($A1174="","",EDATE($A1174,12*$E$4))</f>
        <v/>
      </c>
      <c r="L1174" s="19" t="str">
        <f>IF($K1174="","",IF($K1174&gt;MAX($A$8:$A$5007),"",IFERROR(MATCH($K1174,$A$8:$A$5007,1),"")))</f>
        <v/>
      </c>
      <c r="M1174" s="30" t="str">
        <f>IF($L1174="","",INDEX($A$8:$A$5007,$L1174))</f>
        <v/>
      </c>
      <c r="N1174" s="31" t="str">
        <f>IF($L1174="","",INDEX($B$8:$B$5007,$L1174))</f>
        <v/>
      </c>
      <c r="O1174" s="32" t="str">
        <f>IF($M1174="","",IF($K1174-$M1174&gt;7,"",IF($M1174&lt;=$A1174,"",IF(OR($B1174&lt;=0,$N1174&lt;=0),"",($N1174/$B1174)^(365/($M1174-$A1174))-1))))</f>
        <v/>
      </c>
      <c r="P1174" s="31" t="str">
        <f>IF($B1174="","",IF($P1173="",$B1174,MAX($P1173,$B1174)))</f>
        <v/>
      </c>
      <c r="Q1174" s="32" t="str">
        <f>IF($P1174="","",$B1174/$P1174-1)</f>
        <v/>
      </c>
    </row>
    <row r="1175">
      <c r="A1175" s="11" t="n"/>
      <c r="B1175" s="29" t="n"/>
      <c r="K1175" s="30" t="str">
        <f>IF($A1175="","",EDATE($A1175,12*$E$4))</f>
        <v/>
      </c>
      <c r="L1175" s="19" t="str">
        <f>IF($K1175="","",IF($K1175&gt;MAX($A$8:$A$5007),"",IFERROR(MATCH($K1175,$A$8:$A$5007,1),"")))</f>
        <v/>
      </c>
      <c r="M1175" s="30" t="str">
        <f>IF($L1175="","",INDEX($A$8:$A$5007,$L1175))</f>
        <v/>
      </c>
      <c r="N1175" s="31" t="str">
        <f>IF($L1175="","",INDEX($B$8:$B$5007,$L1175))</f>
        <v/>
      </c>
      <c r="O1175" s="32" t="str">
        <f>IF($M1175="","",IF($K1175-$M1175&gt;7,"",IF($M1175&lt;=$A1175,"",IF(OR($B1175&lt;=0,$N1175&lt;=0),"",($N1175/$B1175)^(365/($M1175-$A1175))-1))))</f>
        <v/>
      </c>
      <c r="P1175" s="31" t="str">
        <f>IF($B1175="","",IF($P1174="",$B1175,MAX($P1174,$B1175)))</f>
        <v/>
      </c>
      <c r="Q1175" s="32" t="str">
        <f>IF($P1175="","",$B1175/$P1175-1)</f>
        <v/>
      </c>
    </row>
    <row r="1176">
      <c r="A1176" s="11" t="n"/>
      <c r="B1176" s="29" t="n"/>
      <c r="K1176" s="30" t="str">
        <f>IF($A1176="","",EDATE($A1176,12*$E$4))</f>
        <v/>
      </c>
      <c r="L1176" s="19" t="str">
        <f>IF($K1176="","",IF($K1176&gt;MAX($A$8:$A$5007),"",IFERROR(MATCH($K1176,$A$8:$A$5007,1),"")))</f>
        <v/>
      </c>
      <c r="M1176" s="30" t="str">
        <f>IF($L1176="","",INDEX($A$8:$A$5007,$L1176))</f>
        <v/>
      </c>
      <c r="N1176" s="31" t="str">
        <f>IF($L1176="","",INDEX($B$8:$B$5007,$L1176))</f>
        <v/>
      </c>
      <c r="O1176" s="32" t="str">
        <f>IF($M1176="","",IF($K1176-$M1176&gt;7,"",IF($M1176&lt;=$A1176,"",IF(OR($B1176&lt;=0,$N1176&lt;=0),"",($N1176/$B1176)^(365/($M1176-$A1176))-1))))</f>
        <v/>
      </c>
      <c r="P1176" s="31" t="str">
        <f>IF($B1176="","",IF($P1175="",$B1176,MAX($P1175,$B1176)))</f>
        <v/>
      </c>
      <c r="Q1176" s="32" t="str">
        <f>IF($P1176="","",$B1176/$P1176-1)</f>
        <v/>
      </c>
    </row>
    <row r="1177">
      <c r="A1177" s="11" t="n"/>
      <c r="B1177" s="29" t="n"/>
      <c r="K1177" s="30" t="str">
        <f>IF($A1177="","",EDATE($A1177,12*$E$4))</f>
        <v/>
      </c>
      <c r="L1177" s="19" t="str">
        <f>IF($K1177="","",IF($K1177&gt;MAX($A$8:$A$5007),"",IFERROR(MATCH($K1177,$A$8:$A$5007,1),"")))</f>
        <v/>
      </c>
      <c r="M1177" s="30" t="str">
        <f>IF($L1177="","",INDEX($A$8:$A$5007,$L1177))</f>
        <v/>
      </c>
      <c r="N1177" s="31" t="str">
        <f>IF($L1177="","",INDEX($B$8:$B$5007,$L1177))</f>
        <v/>
      </c>
      <c r="O1177" s="32" t="str">
        <f>IF($M1177="","",IF($K1177-$M1177&gt;7,"",IF($M1177&lt;=$A1177,"",IF(OR($B1177&lt;=0,$N1177&lt;=0),"",($N1177/$B1177)^(365/($M1177-$A1177))-1))))</f>
        <v/>
      </c>
      <c r="P1177" s="31" t="str">
        <f>IF($B1177="","",IF($P1176="",$B1177,MAX($P1176,$B1177)))</f>
        <v/>
      </c>
      <c r="Q1177" s="32" t="str">
        <f>IF($P1177="","",$B1177/$P1177-1)</f>
        <v/>
      </c>
    </row>
    <row r="1178">
      <c r="A1178" s="11" t="n"/>
      <c r="B1178" s="29" t="n"/>
      <c r="K1178" s="30" t="str">
        <f>IF($A1178="","",EDATE($A1178,12*$E$4))</f>
        <v/>
      </c>
      <c r="L1178" s="19" t="str">
        <f>IF($K1178="","",IF($K1178&gt;MAX($A$8:$A$5007),"",IFERROR(MATCH($K1178,$A$8:$A$5007,1),"")))</f>
        <v/>
      </c>
      <c r="M1178" s="30" t="str">
        <f>IF($L1178="","",INDEX($A$8:$A$5007,$L1178))</f>
        <v/>
      </c>
      <c r="N1178" s="31" t="str">
        <f>IF($L1178="","",INDEX($B$8:$B$5007,$L1178))</f>
        <v/>
      </c>
      <c r="O1178" s="32" t="str">
        <f>IF($M1178="","",IF($K1178-$M1178&gt;7,"",IF($M1178&lt;=$A1178,"",IF(OR($B1178&lt;=0,$N1178&lt;=0),"",($N1178/$B1178)^(365/($M1178-$A1178))-1))))</f>
        <v/>
      </c>
      <c r="P1178" s="31" t="str">
        <f>IF($B1178="","",IF($P1177="",$B1178,MAX($P1177,$B1178)))</f>
        <v/>
      </c>
      <c r="Q1178" s="32" t="str">
        <f>IF($P1178="","",$B1178/$P1178-1)</f>
        <v/>
      </c>
    </row>
    <row r="1179">
      <c r="A1179" s="11" t="n"/>
      <c r="B1179" s="29" t="n"/>
      <c r="K1179" s="30" t="str">
        <f>IF($A1179="","",EDATE($A1179,12*$E$4))</f>
        <v/>
      </c>
      <c r="L1179" s="19" t="str">
        <f>IF($K1179="","",IF($K1179&gt;MAX($A$8:$A$5007),"",IFERROR(MATCH($K1179,$A$8:$A$5007,1),"")))</f>
        <v/>
      </c>
      <c r="M1179" s="30" t="str">
        <f>IF($L1179="","",INDEX($A$8:$A$5007,$L1179))</f>
        <v/>
      </c>
      <c r="N1179" s="31" t="str">
        <f>IF($L1179="","",INDEX($B$8:$B$5007,$L1179))</f>
        <v/>
      </c>
      <c r="O1179" s="32" t="str">
        <f>IF($M1179="","",IF($K1179-$M1179&gt;7,"",IF($M1179&lt;=$A1179,"",IF(OR($B1179&lt;=0,$N1179&lt;=0),"",($N1179/$B1179)^(365/($M1179-$A1179))-1))))</f>
        <v/>
      </c>
      <c r="P1179" s="31" t="str">
        <f>IF($B1179="","",IF($P1178="",$B1179,MAX($P1178,$B1179)))</f>
        <v/>
      </c>
      <c r="Q1179" s="32" t="str">
        <f>IF($P1179="","",$B1179/$P1179-1)</f>
        <v/>
      </c>
    </row>
    <row r="1180">
      <c r="A1180" s="11" t="n"/>
      <c r="B1180" s="29" t="n"/>
      <c r="K1180" s="30" t="str">
        <f>IF($A1180="","",EDATE($A1180,12*$E$4))</f>
        <v/>
      </c>
      <c r="L1180" s="19" t="str">
        <f>IF($K1180="","",IF($K1180&gt;MAX($A$8:$A$5007),"",IFERROR(MATCH($K1180,$A$8:$A$5007,1),"")))</f>
        <v/>
      </c>
      <c r="M1180" s="30" t="str">
        <f>IF($L1180="","",INDEX($A$8:$A$5007,$L1180))</f>
        <v/>
      </c>
      <c r="N1180" s="31" t="str">
        <f>IF($L1180="","",INDEX($B$8:$B$5007,$L1180))</f>
        <v/>
      </c>
      <c r="O1180" s="32" t="str">
        <f>IF($M1180="","",IF($K1180-$M1180&gt;7,"",IF($M1180&lt;=$A1180,"",IF(OR($B1180&lt;=0,$N1180&lt;=0),"",($N1180/$B1180)^(365/($M1180-$A1180))-1))))</f>
        <v/>
      </c>
      <c r="P1180" s="31" t="str">
        <f>IF($B1180="","",IF($P1179="",$B1180,MAX($P1179,$B1180)))</f>
        <v/>
      </c>
      <c r="Q1180" s="32" t="str">
        <f>IF($P1180="","",$B1180/$P1180-1)</f>
        <v/>
      </c>
    </row>
    <row r="1181">
      <c r="A1181" s="11" t="n"/>
      <c r="B1181" s="29" t="n"/>
      <c r="K1181" s="30" t="str">
        <f>IF($A1181="","",EDATE($A1181,12*$E$4))</f>
        <v/>
      </c>
      <c r="L1181" s="19" t="str">
        <f>IF($K1181="","",IF($K1181&gt;MAX($A$8:$A$5007),"",IFERROR(MATCH($K1181,$A$8:$A$5007,1),"")))</f>
        <v/>
      </c>
      <c r="M1181" s="30" t="str">
        <f>IF($L1181="","",INDEX($A$8:$A$5007,$L1181))</f>
        <v/>
      </c>
      <c r="N1181" s="31" t="str">
        <f>IF($L1181="","",INDEX($B$8:$B$5007,$L1181))</f>
        <v/>
      </c>
      <c r="O1181" s="32" t="str">
        <f>IF($M1181="","",IF($K1181-$M1181&gt;7,"",IF($M1181&lt;=$A1181,"",IF(OR($B1181&lt;=0,$N1181&lt;=0),"",($N1181/$B1181)^(365/($M1181-$A1181))-1))))</f>
        <v/>
      </c>
      <c r="P1181" s="31" t="str">
        <f>IF($B1181="","",IF($P1180="",$B1181,MAX($P1180,$B1181)))</f>
        <v/>
      </c>
      <c r="Q1181" s="32" t="str">
        <f>IF($P1181="","",$B1181/$P1181-1)</f>
        <v/>
      </c>
    </row>
    <row r="1182">
      <c r="A1182" s="11" t="n"/>
      <c r="B1182" s="29" t="n"/>
      <c r="K1182" s="30" t="str">
        <f>IF($A1182="","",EDATE($A1182,12*$E$4))</f>
        <v/>
      </c>
      <c r="L1182" s="19" t="str">
        <f>IF($K1182="","",IF($K1182&gt;MAX($A$8:$A$5007),"",IFERROR(MATCH($K1182,$A$8:$A$5007,1),"")))</f>
        <v/>
      </c>
      <c r="M1182" s="30" t="str">
        <f>IF($L1182="","",INDEX($A$8:$A$5007,$L1182))</f>
        <v/>
      </c>
      <c r="N1182" s="31" t="str">
        <f>IF($L1182="","",INDEX($B$8:$B$5007,$L1182))</f>
        <v/>
      </c>
      <c r="O1182" s="32" t="str">
        <f>IF($M1182="","",IF($K1182-$M1182&gt;7,"",IF($M1182&lt;=$A1182,"",IF(OR($B1182&lt;=0,$N1182&lt;=0),"",($N1182/$B1182)^(365/($M1182-$A1182))-1))))</f>
        <v/>
      </c>
      <c r="P1182" s="31" t="str">
        <f>IF($B1182="","",IF($P1181="",$B1182,MAX($P1181,$B1182)))</f>
        <v/>
      </c>
      <c r="Q1182" s="32" t="str">
        <f>IF($P1182="","",$B1182/$P1182-1)</f>
        <v/>
      </c>
    </row>
    <row r="1183">
      <c r="A1183" s="11" t="n"/>
      <c r="B1183" s="29" t="n"/>
      <c r="K1183" s="30" t="str">
        <f>IF($A1183="","",EDATE($A1183,12*$E$4))</f>
        <v/>
      </c>
      <c r="L1183" s="19" t="str">
        <f>IF($K1183="","",IF($K1183&gt;MAX($A$8:$A$5007),"",IFERROR(MATCH($K1183,$A$8:$A$5007,1),"")))</f>
        <v/>
      </c>
      <c r="M1183" s="30" t="str">
        <f>IF($L1183="","",INDEX($A$8:$A$5007,$L1183))</f>
        <v/>
      </c>
      <c r="N1183" s="31" t="str">
        <f>IF($L1183="","",INDEX($B$8:$B$5007,$L1183))</f>
        <v/>
      </c>
      <c r="O1183" s="32" t="str">
        <f>IF($M1183="","",IF($K1183-$M1183&gt;7,"",IF($M1183&lt;=$A1183,"",IF(OR($B1183&lt;=0,$N1183&lt;=0),"",($N1183/$B1183)^(365/($M1183-$A1183))-1))))</f>
        <v/>
      </c>
      <c r="P1183" s="31" t="str">
        <f>IF($B1183="","",IF($P1182="",$B1183,MAX($P1182,$B1183)))</f>
        <v/>
      </c>
      <c r="Q1183" s="32" t="str">
        <f>IF($P1183="","",$B1183/$P1183-1)</f>
        <v/>
      </c>
    </row>
    <row r="1184">
      <c r="A1184" s="11" t="n"/>
      <c r="B1184" s="29" t="n"/>
      <c r="K1184" s="30" t="str">
        <f>IF($A1184="","",EDATE($A1184,12*$E$4))</f>
        <v/>
      </c>
      <c r="L1184" s="19" t="str">
        <f>IF($K1184="","",IF($K1184&gt;MAX($A$8:$A$5007),"",IFERROR(MATCH($K1184,$A$8:$A$5007,1),"")))</f>
        <v/>
      </c>
      <c r="M1184" s="30" t="str">
        <f>IF($L1184="","",INDEX($A$8:$A$5007,$L1184))</f>
        <v/>
      </c>
      <c r="N1184" s="31" t="str">
        <f>IF($L1184="","",INDEX($B$8:$B$5007,$L1184))</f>
        <v/>
      </c>
      <c r="O1184" s="32" t="str">
        <f>IF($M1184="","",IF($K1184-$M1184&gt;7,"",IF($M1184&lt;=$A1184,"",IF(OR($B1184&lt;=0,$N1184&lt;=0),"",($N1184/$B1184)^(365/($M1184-$A1184))-1))))</f>
        <v/>
      </c>
      <c r="P1184" s="31" t="str">
        <f>IF($B1184="","",IF($P1183="",$B1184,MAX($P1183,$B1184)))</f>
        <v/>
      </c>
      <c r="Q1184" s="32" t="str">
        <f>IF($P1184="","",$B1184/$P1184-1)</f>
        <v/>
      </c>
    </row>
    <row r="1185">
      <c r="A1185" s="11" t="n"/>
      <c r="B1185" s="29" t="n"/>
      <c r="K1185" s="30" t="str">
        <f>IF($A1185="","",EDATE($A1185,12*$E$4))</f>
        <v/>
      </c>
      <c r="L1185" s="19" t="str">
        <f>IF($K1185="","",IF($K1185&gt;MAX($A$8:$A$5007),"",IFERROR(MATCH($K1185,$A$8:$A$5007,1),"")))</f>
        <v/>
      </c>
      <c r="M1185" s="30" t="str">
        <f>IF($L1185="","",INDEX($A$8:$A$5007,$L1185))</f>
        <v/>
      </c>
      <c r="N1185" s="31" t="str">
        <f>IF($L1185="","",INDEX($B$8:$B$5007,$L1185))</f>
        <v/>
      </c>
      <c r="O1185" s="32" t="str">
        <f>IF($M1185="","",IF($K1185-$M1185&gt;7,"",IF($M1185&lt;=$A1185,"",IF(OR($B1185&lt;=0,$N1185&lt;=0),"",($N1185/$B1185)^(365/($M1185-$A1185))-1))))</f>
        <v/>
      </c>
      <c r="P1185" s="31" t="str">
        <f>IF($B1185="","",IF($P1184="",$B1185,MAX($P1184,$B1185)))</f>
        <v/>
      </c>
      <c r="Q1185" s="32" t="str">
        <f>IF($P1185="","",$B1185/$P1185-1)</f>
        <v/>
      </c>
    </row>
    <row r="1186">
      <c r="A1186" s="11" t="n"/>
      <c r="B1186" s="29" t="n"/>
      <c r="K1186" s="30" t="str">
        <f>IF($A1186="","",EDATE($A1186,12*$E$4))</f>
        <v/>
      </c>
      <c r="L1186" s="19" t="str">
        <f>IF($K1186="","",IF($K1186&gt;MAX($A$8:$A$5007),"",IFERROR(MATCH($K1186,$A$8:$A$5007,1),"")))</f>
        <v/>
      </c>
      <c r="M1186" s="30" t="str">
        <f>IF($L1186="","",INDEX($A$8:$A$5007,$L1186))</f>
        <v/>
      </c>
      <c r="N1186" s="31" t="str">
        <f>IF($L1186="","",INDEX($B$8:$B$5007,$L1186))</f>
        <v/>
      </c>
      <c r="O1186" s="32" t="str">
        <f>IF($M1186="","",IF($K1186-$M1186&gt;7,"",IF($M1186&lt;=$A1186,"",IF(OR($B1186&lt;=0,$N1186&lt;=0),"",($N1186/$B1186)^(365/($M1186-$A1186))-1))))</f>
        <v/>
      </c>
      <c r="P1186" s="31" t="str">
        <f>IF($B1186="","",IF($P1185="",$B1186,MAX($P1185,$B1186)))</f>
        <v/>
      </c>
      <c r="Q1186" s="32" t="str">
        <f>IF($P1186="","",$B1186/$P1186-1)</f>
        <v/>
      </c>
    </row>
    <row r="1187">
      <c r="A1187" s="11" t="n"/>
      <c r="B1187" s="29" t="n"/>
      <c r="K1187" s="30" t="str">
        <f>IF($A1187="","",EDATE($A1187,12*$E$4))</f>
        <v/>
      </c>
      <c r="L1187" s="19" t="str">
        <f>IF($K1187="","",IF($K1187&gt;MAX($A$8:$A$5007),"",IFERROR(MATCH($K1187,$A$8:$A$5007,1),"")))</f>
        <v/>
      </c>
      <c r="M1187" s="30" t="str">
        <f>IF($L1187="","",INDEX($A$8:$A$5007,$L1187))</f>
        <v/>
      </c>
      <c r="N1187" s="31" t="str">
        <f>IF($L1187="","",INDEX($B$8:$B$5007,$L1187))</f>
        <v/>
      </c>
      <c r="O1187" s="32" t="str">
        <f>IF($M1187="","",IF($K1187-$M1187&gt;7,"",IF($M1187&lt;=$A1187,"",IF(OR($B1187&lt;=0,$N1187&lt;=0),"",($N1187/$B1187)^(365/($M1187-$A1187))-1))))</f>
        <v/>
      </c>
      <c r="P1187" s="31" t="str">
        <f>IF($B1187="","",IF($P1186="",$B1187,MAX($P1186,$B1187)))</f>
        <v/>
      </c>
      <c r="Q1187" s="32" t="str">
        <f>IF($P1187="","",$B1187/$P1187-1)</f>
        <v/>
      </c>
    </row>
    <row r="1188">
      <c r="A1188" s="11" t="n"/>
      <c r="B1188" s="29" t="n"/>
      <c r="K1188" s="30" t="str">
        <f>IF($A1188="","",EDATE($A1188,12*$E$4))</f>
        <v/>
      </c>
      <c r="L1188" s="19" t="str">
        <f>IF($K1188="","",IF($K1188&gt;MAX($A$8:$A$5007),"",IFERROR(MATCH($K1188,$A$8:$A$5007,1),"")))</f>
        <v/>
      </c>
      <c r="M1188" s="30" t="str">
        <f>IF($L1188="","",INDEX($A$8:$A$5007,$L1188))</f>
        <v/>
      </c>
      <c r="N1188" s="31" t="str">
        <f>IF($L1188="","",INDEX($B$8:$B$5007,$L1188))</f>
        <v/>
      </c>
      <c r="O1188" s="32" t="str">
        <f>IF($M1188="","",IF($K1188-$M1188&gt;7,"",IF($M1188&lt;=$A1188,"",IF(OR($B1188&lt;=0,$N1188&lt;=0),"",($N1188/$B1188)^(365/($M1188-$A1188))-1))))</f>
        <v/>
      </c>
      <c r="P1188" s="31" t="str">
        <f>IF($B1188="","",IF($P1187="",$B1188,MAX($P1187,$B1188)))</f>
        <v/>
      </c>
      <c r="Q1188" s="32" t="str">
        <f>IF($P1188="","",$B1188/$P1188-1)</f>
        <v/>
      </c>
    </row>
    <row r="1189">
      <c r="A1189" s="11" t="n"/>
      <c r="B1189" s="29" t="n"/>
      <c r="K1189" s="30" t="str">
        <f>IF($A1189="","",EDATE($A1189,12*$E$4))</f>
        <v/>
      </c>
      <c r="L1189" s="19" t="str">
        <f>IF($K1189="","",IF($K1189&gt;MAX($A$8:$A$5007),"",IFERROR(MATCH($K1189,$A$8:$A$5007,1),"")))</f>
        <v/>
      </c>
      <c r="M1189" s="30" t="str">
        <f>IF($L1189="","",INDEX($A$8:$A$5007,$L1189))</f>
        <v/>
      </c>
      <c r="N1189" s="31" t="str">
        <f>IF($L1189="","",INDEX($B$8:$B$5007,$L1189))</f>
        <v/>
      </c>
      <c r="O1189" s="32" t="str">
        <f>IF($M1189="","",IF($K1189-$M1189&gt;7,"",IF($M1189&lt;=$A1189,"",IF(OR($B1189&lt;=0,$N1189&lt;=0),"",($N1189/$B1189)^(365/($M1189-$A1189))-1))))</f>
        <v/>
      </c>
      <c r="P1189" s="31" t="str">
        <f>IF($B1189="","",IF($P1188="",$B1189,MAX($P1188,$B1189)))</f>
        <v/>
      </c>
      <c r="Q1189" s="32" t="str">
        <f>IF($P1189="","",$B1189/$P1189-1)</f>
        <v/>
      </c>
    </row>
    <row r="1190">
      <c r="A1190" s="11" t="n"/>
      <c r="B1190" s="29" t="n"/>
      <c r="K1190" s="30" t="str">
        <f>IF($A1190="","",EDATE($A1190,12*$E$4))</f>
        <v/>
      </c>
      <c r="L1190" s="19" t="str">
        <f>IF($K1190="","",IF($K1190&gt;MAX($A$8:$A$5007),"",IFERROR(MATCH($K1190,$A$8:$A$5007,1),"")))</f>
        <v/>
      </c>
      <c r="M1190" s="30" t="str">
        <f>IF($L1190="","",INDEX($A$8:$A$5007,$L1190))</f>
        <v/>
      </c>
      <c r="N1190" s="31" t="str">
        <f>IF($L1190="","",INDEX($B$8:$B$5007,$L1190))</f>
        <v/>
      </c>
      <c r="O1190" s="32" t="str">
        <f>IF($M1190="","",IF($K1190-$M1190&gt;7,"",IF($M1190&lt;=$A1190,"",IF(OR($B1190&lt;=0,$N1190&lt;=0),"",($N1190/$B1190)^(365/($M1190-$A1190))-1))))</f>
        <v/>
      </c>
      <c r="P1190" s="31" t="str">
        <f>IF($B1190="","",IF($P1189="",$B1190,MAX($P1189,$B1190)))</f>
        <v/>
      </c>
      <c r="Q1190" s="32" t="str">
        <f>IF($P1190="","",$B1190/$P1190-1)</f>
        <v/>
      </c>
    </row>
    <row r="1191">
      <c r="A1191" s="11" t="n"/>
      <c r="B1191" s="29" t="n"/>
      <c r="K1191" s="30" t="str">
        <f>IF($A1191="","",EDATE($A1191,12*$E$4))</f>
        <v/>
      </c>
      <c r="L1191" s="19" t="str">
        <f>IF($K1191="","",IF($K1191&gt;MAX($A$8:$A$5007),"",IFERROR(MATCH($K1191,$A$8:$A$5007,1),"")))</f>
        <v/>
      </c>
      <c r="M1191" s="30" t="str">
        <f>IF($L1191="","",INDEX($A$8:$A$5007,$L1191))</f>
        <v/>
      </c>
      <c r="N1191" s="31" t="str">
        <f>IF($L1191="","",INDEX($B$8:$B$5007,$L1191))</f>
        <v/>
      </c>
      <c r="O1191" s="32" t="str">
        <f>IF($M1191="","",IF($K1191-$M1191&gt;7,"",IF($M1191&lt;=$A1191,"",IF(OR($B1191&lt;=0,$N1191&lt;=0),"",($N1191/$B1191)^(365/($M1191-$A1191))-1))))</f>
        <v/>
      </c>
      <c r="P1191" s="31" t="str">
        <f>IF($B1191="","",IF($P1190="",$B1191,MAX($P1190,$B1191)))</f>
        <v/>
      </c>
      <c r="Q1191" s="32" t="str">
        <f>IF($P1191="","",$B1191/$P1191-1)</f>
        <v/>
      </c>
    </row>
    <row r="1192">
      <c r="A1192" s="11" t="n"/>
      <c r="B1192" s="29" t="n"/>
      <c r="K1192" s="30" t="str">
        <f>IF($A1192="","",EDATE($A1192,12*$E$4))</f>
        <v/>
      </c>
      <c r="L1192" s="19" t="str">
        <f>IF($K1192="","",IF($K1192&gt;MAX($A$8:$A$5007),"",IFERROR(MATCH($K1192,$A$8:$A$5007,1),"")))</f>
        <v/>
      </c>
      <c r="M1192" s="30" t="str">
        <f>IF($L1192="","",INDEX($A$8:$A$5007,$L1192))</f>
        <v/>
      </c>
      <c r="N1192" s="31" t="str">
        <f>IF($L1192="","",INDEX($B$8:$B$5007,$L1192))</f>
        <v/>
      </c>
      <c r="O1192" s="32" t="str">
        <f>IF($M1192="","",IF($K1192-$M1192&gt;7,"",IF($M1192&lt;=$A1192,"",IF(OR($B1192&lt;=0,$N1192&lt;=0),"",($N1192/$B1192)^(365/($M1192-$A1192))-1))))</f>
        <v/>
      </c>
      <c r="P1192" s="31" t="str">
        <f>IF($B1192="","",IF($P1191="",$B1192,MAX($P1191,$B1192)))</f>
        <v/>
      </c>
      <c r="Q1192" s="32" t="str">
        <f>IF($P1192="","",$B1192/$P1192-1)</f>
        <v/>
      </c>
    </row>
    <row r="1193">
      <c r="A1193" s="11" t="n"/>
      <c r="B1193" s="29" t="n"/>
      <c r="K1193" s="30" t="str">
        <f>IF($A1193="","",EDATE($A1193,12*$E$4))</f>
        <v/>
      </c>
      <c r="L1193" s="19" t="str">
        <f>IF($K1193="","",IF($K1193&gt;MAX($A$8:$A$5007),"",IFERROR(MATCH($K1193,$A$8:$A$5007,1),"")))</f>
        <v/>
      </c>
      <c r="M1193" s="30" t="str">
        <f>IF($L1193="","",INDEX($A$8:$A$5007,$L1193))</f>
        <v/>
      </c>
      <c r="N1193" s="31" t="str">
        <f>IF($L1193="","",INDEX($B$8:$B$5007,$L1193))</f>
        <v/>
      </c>
      <c r="O1193" s="32" t="str">
        <f>IF($M1193="","",IF($K1193-$M1193&gt;7,"",IF($M1193&lt;=$A1193,"",IF(OR($B1193&lt;=0,$N1193&lt;=0),"",($N1193/$B1193)^(365/($M1193-$A1193))-1))))</f>
        <v/>
      </c>
      <c r="P1193" s="31" t="str">
        <f>IF($B1193="","",IF($P1192="",$B1193,MAX($P1192,$B1193)))</f>
        <v/>
      </c>
      <c r="Q1193" s="32" t="str">
        <f>IF($P1193="","",$B1193/$P1193-1)</f>
        <v/>
      </c>
    </row>
    <row r="1194">
      <c r="A1194" s="11" t="n"/>
      <c r="B1194" s="29" t="n"/>
      <c r="K1194" s="30" t="str">
        <f>IF($A1194="","",EDATE($A1194,12*$E$4))</f>
        <v/>
      </c>
      <c r="L1194" s="19" t="str">
        <f>IF($K1194="","",IF($K1194&gt;MAX($A$8:$A$5007),"",IFERROR(MATCH($K1194,$A$8:$A$5007,1),"")))</f>
        <v/>
      </c>
      <c r="M1194" s="30" t="str">
        <f>IF($L1194="","",INDEX($A$8:$A$5007,$L1194))</f>
        <v/>
      </c>
      <c r="N1194" s="31" t="str">
        <f>IF($L1194="","",INDEX($B$8:$B$5007,$L1194))</f>
        <v/>
      </c>
      <c r="O1194" s="32" t="str">
        <f>IF($M1194="","",IF($K1194-$M1194&gt;7,"",IF($M1194&lt;=$A1194,"",IF(OR($B1194&lt;=0,$N1194&lt;=0),"",($N1194/$B1194)^(365/($M1194-$A1194))-1))))</f>
        <v/>
      </c>
      <c r="P1194" s="31" t="str">
        <f>IF($B1194="","",IF($P1193="",$B1194,MAX($P1193,$B1194)))</f>
        <v/>
      </c>
      <c r="Q1194" s="32" t="str">
        <f>IF($P1194="","",$B1194/$P1194-1)</f>
        <v/>
      </c>
    </row>
    <row r="1195">
      <c r="A1195" s="11" t="n"/>
      <c r="B1195" s="29" t="n"/>
      <c r="K1195" s="30" t="str">
        <f>IF($A1195="","",EDATE($A1195,12*$E$4))</f>
        <v/>
      </c>
      <c r="L1195" s="19" t="str">
        <f>IF($K1195="","",IF($K1195&gt;MAX($A$8:$A$5007),"",IFERROR(MATCH($K1195,$A$8:$A$5007,1),"")))</f>
        <v/>
      </c>
      <c r="M1195" s="30" t="str">
        <f>IF($L1195="","",INDEX($A$8:$A$5007,$L1195))</f>
        <v/>
      </c>
      <c r="N1195" s="31" t="str">
        <f>IF($L1195="","",INDEX($B$8:$B$5007,$L1195))</f>
        <v/>
      </c>
      <c r="O1195" s="32" t="str">
        <f>IF($M1195="","",IF($K1195-$M1195&gt;7,"",IF($M1195&lt;=$A1195,"",IF(OR($B1195&lt;=0,$N1195&lt;=0),"",($N1195/$B1195)^(365/($M1195-$A1195))-1))))</f>
        <v/>
      </c>
      <c r="P1195" s="31" t="str">
        <f>IF($B1195="","",IF($P1194="",$B1195,MAX($P1194,$B1195)))</f>
        <v/>
      </c>
      <c r="Q1195" s="32" t="str">
        <f>IF($P1195="","",$B1195/$P1195-1)</f>
        <v/>
      </c>
    </row>
    <row r="1196">
      <c r="A1196" s="11" t="n"/>
      <c r="B1196" s="29" t="n"/>
      <c r="K1196" s="30" t="str">
        <f>IF($A1196="","",EDATE($A1196,12*$E$4))</f>
        <v/>
      </c>
      <c r="L1196" s="19" t="str">
        <f>IF($K1196="","",IF($K1196&gt;MAX($A$8:$A$5007),"",IFERROR(MATCH($K1196,$A$8:$A$5007,1),"")))</f>
        <v/>
      </c>
      <c r="M1196" s="30" t="str">
        <f>IF($L1196="","",INDEX($A$8:$A$5007,$L1196))</f>
        <v/>
      </c>
      <c r="N1196" s="31" t="str">
        <f>IF($L1196="","",INDEX($B$8:$B$5007,$L1196))</f>
        <v/>
      </c>
      <c r="O1196" s="32" t="str">
        <f>IF($M1196="","",IF($K1196-$M1196&gt;7,"",IF($M1196&lt;=$A1196,"",IF(OR($B1196&lt;=0,$N1196&lt;=0),"",($N1196/$B1196)^(365/($M1196-$A1196))-1))))</f>
        <v/>
      </c>
      <c r="P1196" s="31" t="str">
        <f>IF($B1196="","",IF($P1195="",$B1196,MAX($P1195,$B1196)))</f>
        <v/>
      </c>
      <c r="Q1196" s="32" t="str">
        <f>IF($P1196="","",$B1196/$P1196-1)</f>
        <v/>
      </c>
    </row>
    <row r="1197">
      <c r="A1197" s="11" t="n"/>
      <c r="B1197" s="29" t="n"/>
      <c r="K1197" s="30" t="str">
        <f>IF($A1197="","",EDATE($A1197,12*$E$4))</f>
        <v/>
      </c>
      <c r="L1197" s="19" t="str">
        <f>IF($K1197="","",IF($K1197&gt;MAX($A$8:$A$5007),"",IFERROR(MATCH($K1197,$A$8:$A$5007,1),"")))</f>
        <v/>
      </c>
      <c r="M1197" s="30" t="str">
        <f>IF($L1197="","",INDEX($A$8:$A$5007,$L1197))</f>
        <v/>
      </c>
      <c r="N1197" s="31" t="str">
        <f>IF($L1197="","",INDEX($B$8:$B$5007,$L1197))</f>
        <v/>
      </c>
      <c r="O1197" s="32" t="str">
        <f>IF($M1197="","",IF($K1197-$M1197&gt;7,"",IF($M1197&lt;=$A1197,"",IF(OR($B1197&lt;=0,$N1197&lt;=0),"",($N1197/$B1197)^(365/($M1197-$A1197))-1))))</f>
        <v/>
      </c>
      <c r="P1197" s="31" t="str">
        <f>IF($B1197="","",IF($P1196="",$B1197,MAX($P1196,$B1197)))</f>
        <v/>
      </c>
      <c r="Q1197" s="32" t="str">
        <f>IF($P1197="","",$B1197/$P1197-1)</f>
        <v/>
      </c>
    </row>
    <row r="1198">
      <c r="A1198" s="11" t="n"/>
      <c r="B1198" s="29" t="n"/>
      <c r="K1198" s="30" t="str">
        <f>IF($A1198="","",EDATE($A1198,12*$E$4))</f>
        <v/>
      </c>
      <c r="L1198" s="19" t="str">
        <f>IF($K1198="","",IF($K1198&gt;MAX($A$8:$A$5007),"",IFERROR(MATCH($K1198,$A$8:$A$5007,1),"")))</f>
        <v/>
      </c>
      <c r="M1198" s="30" t="str">
        <f>IF($L1198="","",INDEX($A$8:$A$5007,$L1198))</f>
        <v/>
      </c>
      <c r="N1198" s="31" t="str">
        <f>IF($L1198="","",INDEX($B$8:$B$5007,$L1198))</f>
        <v/>
      </c>
      <c r="O1198" s="32" t="str">
        <f>IF($M1198="","",IF($K1198-$M1198&gt;7,"",IF($M1198&lt;=$A1198,"",IF(OR($B1198&lt;=0,$N1198&lt;=0),"",($N1198/$B1198)^(365/($M1198-$A1198))-1))))</f>
        <v/>
      </c>
      <c r="P1198" s="31" t="str">
        <f>IF($B1198="","",IF($P1197="",$B1198,MAX($P1197,$B1198)))</f>
        <v/>
      </c>
      <c r="Q1198" s="32" t="str">
        <f>IF($P1198="","",$B1198/$P1198-1)</f>
        <v/>
      </c>
    </row>
    <row r="1199">
      <c r="A1199" s="11" t="n"/>
      <c r="B1199" s="29" t="n"/>
      <c r="K1199" s="30" t="str">
        <f>IF($A1199="","",EDATE($A1199,12*$E$4))</f>
        <v/>
      </c>
      <c r="L1199" s="19" t="str">
        <f>IF($K1199="","",IF($K1199&gt;MAX($A$8:$A$5007),"",IFERROR(MATCH($K1199,$A$8:$A$5007,1),"")))</f>
        <v/>
      </c>
      <c r="M1199" s="30" t="str">
        <f>IF($L1199="","",INDEX($A$8:$A$5007,$L1199))</f>
        <v/>
      </c>
      <c r="N1199" s="31" t="str">
        <f>IF($L1199="","",INDEX($B$8:$B$5007,$L1199))</f>
        <v/>
      </c>
      <c r="O1199" s="32" t="str">
        <f>IF($M1199="","",IF($K1199-$M1199&gt;7,"",IF($M1199&lt;=$A1199,"",IF(OR($B1199&lt;=0,$N1199&lt;=0),"",($N1199/$B1199)^(365/($M1199-$A1199))-1))))</f>
        <v/>
      </c>
      <c r="P1199" s="31" t="str">
        <f>IF($B1199="","",IF($P1198="",$B1199,MAX($P1198,$B1199)))</f>
        <v/>
      </c>
      <c r="Q1199" s="32" t="str">
        <f>IF($P1199="","",$B1199/$P1199-1)</f>
        <v/>
      </c>
    </row>
    <row r="1200">
      <c r="A1200" s="11" t="n"/>
      <c r="B1200" s="29" t="n"/>
      <c r="K1200" s="30" t="str">
        <f>IF($A1200="","",EDATE($A1200,12*$E$4))</f>
        <v/>
      </c>
      <c r="L1200" s="19" t="str">
        <f>IF($K1200="","",IF($K1200&gt;MAX($A$8:$A$5007),"",IFERROR(MATCH($K1200,$A$8:$A$5007,1),"")))</f>
        <v/>
      </c>
      <c r="M1200" s="30" t="str">
        <f>IF($L1200="","",INDEX($A$8:$A$5007,$L1200))</f>
        <v/>
      </c>
      <c r="N1200" s="31" t="str">
        <f>IF($L1200="","",INDEX($B$8:$B$5007,$L1200))</f>
        <v/>
      </c>
      <c r="O1200" s="32" t="str">
        <f>IF($M1200="","",IF($K1200-$M1200&gt;7,"",IF($M1200&lt;=$A1200,"",IF(OR($B1200&lt;=0,$N1200&lt;=0),"",($N1200/$B1200)^(365/($M1200-$A1200))-1))))</f>
        <v/>
      </c>
      <c r="P1200" s="31" t="str">
        <f>IF($B1200="","",IF($P1199="",$B1200,MAX($P1199,$B1200)))</f>
        <v/>
      </c>
      <c r="Q1200" s="32" t="str">
        <f>IF($P1200="","",$B1200/$P1200-1)</f>
        <v/>
      </c>
    </row>
    <row r="1201">
      <c r="A1201" s="11" t="n"/>
      <c r="B1201" s="29" t="n"/>
      <c r="K1201" s="30" t="str">
        <f>IF($A1201="","",EDATE($A1201,12*$E$4))</f>
        <v/>
      </c>
      <c r="L1201" s="19" t="str">
        <f>IF($K1201="","",IF($K1201&gt;MAX($A$8:$A$5007),"",IFERROR(MATCH($K1201,$A$8:$A$5007,1),"")))</f>
        <v/>
      </c>
      <c r="M1201" s="30" t="str">
        <f>IF($L1201="","",INDEX($A$8:$A$5007,$L1201))</f>
        <v/>
      </c>
      <c r="N1201" s="31" t="str">
        <f>IF($L1201="","",INDEX($B$8:$B$5007,$L1201))</f>
        <v/>
      </c>
      <c r="O1201" s="32" t="str">
        <f>IF($M1201="","",IF($K1201-$M1201&gt;7,"",IF($M1201&lt;=$A1201,"",IF(OR($B1201&lt;=0,$N1201&lt;=0),"",($N1201/$B1201)^(365/($M1201-$A1201))-1))))</f>
        <v/>
      </c>
      <c r="P1201" s="31" t="str">
        <f>IF($B1201="","",IF($P1200="",$B1201,MAX($P1200,$B1201)))</f>
        <v/>
      </c>
      <c r="Q1201" s="32" t="str">
        <f>IF($P1201="","",$B1201/$P1201-1)</f>
        <v/>
      </c>
    </row>
    <row r="1202">
      <c r="A1202" s="11" t="n"/>
      <c r="B1202" s="29" t="n"/>
      <c r="K1202" s="30" t="str">
        <f>IF($A1202="","",EDATE($A1202,12*$E$4))</f>
        <v/>
      </c>
      <c r="L1202" s="19" t="str">
        <f>IF($K1202="","",IF($K1202&gt;MAX($A$8:$A$5007),"",IFERROR(MATCH($K1202,$A$8:$A$5007,1),"")))</f>
        <v/>
      </c>
      <c r="M1202" s="30" t="str">
        <f>IF($L1202="","",INDEX($A$8:$A$5007,$L1202))</f>
        <v/>
      </c>
      <c r="N1202" s="31" t="str">
        <f>IF($L1202="","",INDEX($B$8:$B$5007,$L1202))</f>
        <v/>
      </c>
      <c r="O1202" s="32" t="str">
        <f>IF($M1202="","",IF($K1202-$M1202&gt;7,"",IF($M1202&lt;=$A1202,"",IF(OR($B1202&lt;=0,$N1202&lt;=0),"",($N1202/$B1202)^(365/($M1202-$A1202))-1))))</f>
        <v/>
      </c>
      <c r="P1202" s="31" t="str">
        <f>IF($B1202="","",IF($P1201="",$B1202,MAX($P1201,$B1202)))</f>
        <v/>
      </c>
      <c r="Q1202" s="32" t="str">
        <f>IF($P1202="","",$B1202/$P1202-1)</f>
        <v/>
      </c>
    </row>
    <row r="1203">
      <c r="A1203" s="11" t="n"/>
      <c r="B1203" s="29" t="n"/>
      <c r="K1203" s="30" t="str">
        <f>IF($A1203="","",EDATE($A1203,12*$E$4))</f>
        <v/>
      </c>
      <c r="L1203" s="19" t="str">
        <f>IF($K1203="","",IF($K1203&gt;MAX($A$8:$A$5007),"",IFERROR(MATCH($K1203,$A$8:$A$5007,1),"")))</f>
        <v/>
      </c>
      <c r="M1203" s="30" t="str">
        <f>IF($L1203="","",INDEX($A$8:$A$5007,$L1203))</f>
        <v/>
      </c>
      <c r="N1203" s="31" t="str">
        <f>IF($L1203="","",INDEX($B$8:$B$5007,$L1203))</f>
        <v/>
      </c>
      <c r="O1203" s="32" t="str">
        <f>IF($M1203="","",IF($K1203-$M1203&gt;7,"",IF($M1203&lt;=$A1203,"",IF(OR($B1203&lt;=0,$N1203&lt;=0),"",($N1203/$B1203)^(365/($M1203-$A1203))-1))))</f>
        <v/>
      </c>
      <c r="P1203" s="31" t="str">
        <f>IF($B1203="","",IF($P1202="",$B1203,MAX($P1202,$B1203)))</f>
        <v/>
      </c>
      <c r="Q1203" s="32" t="str">
        <f>IF($P1203="","",$B1203/$P1203-1)</f>
        <v/>
      </c>
    </row>
    <row r="1204">
      <c r="A1204" s="11" t="n"/>
      <c r="B1204" s="29" t="n"/>
      <c r="K1204" s="30" t="str">
        <f>IF($A1204="","",EDATE($A1204,12*$E$4))</f>
        <v/>
      </c>
      <c r="L1204" s="19" t="str">
        <f>IF($K1204="","",IF($K1204&gt;MAX($A$8:$A$5007),"",IFERROR(MATCH($K1204,$A$8:$A$5007,1),"")))</f>
        <v/>
      </c>
      <c r="M1204" s="30" t="str">
        <f>IF($L1204="","",INDEX($A$8:$A$5007,$L1204))</f>
        <v/>
      </c>
      <c r="N1204" s="31" t="str">
        <f>IF($L1204="","",INDEX($B$8:$B$5007,$L1204))</f>
        <v/>
      </c>
      <c r="O1204" s="32" t="str">
        <f>IF($M1204="","",IF($K1204-$M1204&gt;7,"",IF($M1204&lt;=$A1204,"",IF(OR($B1204&lt;=0,$N1204&lt;=0),"",($N1204/$B1204)^(365/($M1204-$A1204))-1))))</f>
        <v/>
      </c>
      <c r="P1204" s="31" t="str">
        <f>IF($B1204="","",IF($P1203="",$B1204,MAX($P1203,$B1204)))</f>
        <v/>
      </c>
      <c r="Q1204" s="32" t="str">
        <f>IF($P1204="","",$B1204/$P1204-1)</f>
        <v/>
      </c>
    </row>
    <row r="1205">
      <c r="A1205" s="11" t="n"/>
      <c r="B1205" s="29" t="n"/>
      <c r="K1205" s="30" t="str">
        <f>IF($A1205="","",EDATE($A1205,12*$E$4))</f>
        <v/>
      </c>
      <c r="L1205" s="19" t="str">
        <f>IF($K1205="","",IF($K1205&gt;MAX($A$8:$A$5007),"",IFERROR(MATCH($K1205,$A$8:$A$5007,1),"")))</f>
        <v/>
      </c>
      <c r="M1205" s="30" t="str">
        <f>IF($L1205="","",INDEX($A$8:$A$5007,$L1205))</f>
        <v/>
      </c>
      <c r="N1205" s="31" t="str">
        <f>IF($L1205="","",INDEX($B$8:$B$5007,$L1205))</f>
        <v/>
      </c>
      <c r="O1205" s="32" t="str">
        <f>IF($M1205="","",IF($K1205-$M1205&gt;7,"",IF($M1205&lt;=$A1205,"",IF(OR($B1205&lt;=0,$N1205&lt;=0),"",($N1205/$B1205)^(365/($M1205-$A1205))-1))))</f>
        <v/>
      </c>
      <c r="P1205" s="31" t="str">
        <f>IF($B1205="","",IF($P1204="",$B1205,MAX($P1204,$B1205)))</f>
        <v/>
      </c>
      <c r="Q1205" s="32" t="str">
        <f>IF($P1205="","",$B1205/$P1205-1)</f>
        <v/>
      </c>
    </row>
    <row r="1206">
      <c r="A1206" s="11" t="n"/>
      <c r="B1206" s="29" t="n"/>
      <c r="K1206" s="30" t="str">
        <f>IF($A1206="","",EDATE($A1206,12*$E$4))</f>
        <v/>
      </c>
      <c r="L1206" s="19" t="str">
        <f>IF($K1206="","",IF($K1206&gt;MAX($A$8:$A$5007),"",IFERROR(MATCH($K1206,$A$8:$A$5007,1),"")))</f>
        <v/>
      </c>
      <c r="M1206" s="30" t="str">
        <f>IF($L1206="","",INDEX($A$8:$A$5007,$L1206))</f>
        <v/>
      </c>
      <c r="N1206" s="31" t="str">
        <f>IF($L1206="","",INDEX($B$8:$B$5007,$L1206))</f>
        <v/>
      </c>
      <c r="O1206" s="32" t="str">
        <f>IF($M1206="","",IF($K1206-$M1206&gt;7,"",IF($M1206&lt;=$A1206,"",IF(OR($B1206&lt;=0,$N1206&lt;=0),"",($N1206/$B1206)^(365/($M1206-$A1206))-1))))</f>
        <v/>
      </c>
      <c r="P1206" s="31" t="str">
        <f>IF($B1206="","",IF($P1205="",$B1206,MAX($P1205,$B1206)))</f>
        <v/>
      </c>
      <c r="Q1206" s="32" t="str">
        <f>IF($P1206="","",$B1206/$P1206-1)</f>
        <v/>
      </c>
    </row>
    <row r="1207">
      <c r="A1207" s="11" t="n"/>
      <c r="B1207" s="29" t="n"/>
      <c r="K1207" s="30" t="str">
        <f>IF($A1207="","",EDATE($A1207,12*$E$4))</f>
        <v/>
      </c>
      <c r="L1207" s="19" t="str">
        <f>IF($K1207="","",IF($K1207&gt;MAX($A$8:$A$5007),"",IFERROR(MATCH($K1207,$A$8:$A$5007,1),"")))</f>
        <v/>
      </c>
      <c r="M1207" s="30" t="str">
        <f>IF($L1207="","",INDEX($A$8:$A$5007,$L1207))</f>
        <v/>
      </c>
      <c r="N1207" s="31" t="str">
        <f>IF($L1207="","",INDEX($B$8:$B$5007,$L1207))</f>
        <v/>
      </c>
      <c r="O1207" s="32" t="str">
        <f>IF($M1207="","",IF($K1207-$M1207&gt;7,"",IF($M1207&lt;=$A1207,"",IF(OR($B1207&lt;=0,$N1207&lt;=0),"",($N1207/$B1207)^(365/($M1207-$A1207))-1))))</f>
        <v/>
      </c>
      <c r="P1207" s="31" t="str">
        <f>IF($B1207="","",IF($P1206="",$B1207,MAX($P1206,$B1207)))</f>
        <v/>
      </c>
      <c r="Q1207" s="32" t="str">
        <f>IF($P1207="","",$B1207/$P1207-1)</f>
        <v/>
      </c>
    </row>
    <row r="1208">
      <c r="A1208" s="11" t="n"/>
      <c r="B1208" s="29" t="n"/>
      <c r="K1208" s="30" t="str">
        <f>IF($A1208="","",EDATE($A1208,12*$E$4))</f>
        <v/>
      </c>
      <c r="L1208" s="19" t="str">
        <f>IF($K1208="","",IF($K1208&gt;MAX($A$8:$A$5007),"",IFERROR(MATCH($K1208,$A$8:$A$5007,1),"")))</f>
        <v/>
      </c>
      <c r="M1208" s="30" t="str">
        <f>IF($L1208="","",INDEX($A$8:$A$5007,$L1208))</f>
        <v/>
      </c>
      <c r="N1208" s="31" t="str">
        <f>IF($L1208="","",INDEX($B$8:$B$5007,$L1208))</f>
        <v/>
      </c>
      <c r="O1208" s="32" t="str">
        <f>IF($M1208="","",IF($K1208-$M1208&gt;7,"",IF($M1208&lt;=$A1208,"",IF(OR($B1208&lt;=0,$N1208&lt;=0),"",($N1208/$B1208)^(365/($M1208-$A1208))-1))))</f>
        <v/>
      </c>
      <c r="P1208" s="31" t="str">
        <f>IF($B1208="","",IF($P1207="",$B1208,MAX($P1207,$B1208)))</f>
        <v/>
      </c>
      <c r="Q1208" s="32" t="str">
        <f>IF($P1208="","",$B1208/$P1208-1)</f>
        <v/>
      </c>
    </row>
    <row r="1209">
      <c r="A1209" s="11" t="n"/>
      <c r="B1209" s="29" t="n"/>
      <c r="K1209" s="30" t="str">
        <f>IF($A1209="","",EDATE($A1209,12*$E$4))</f>
        <v/>
      </c>
      <c r="L1209" s="19" t="str">
        <f>IF($K1209="","",IF($K1209&gt;MAX($A$8:$A$5007),"",IFERROR(MATCH($K1209,$A$8:$A$5007,1),"")))</f>
        <v/>
      </c>
      <c r="M1209" s="30" t="str">
        <f>IF($L1209="","",INDEX($A$8:$A$5007,$L1209))</f>
        <v/>
      </c>
      <c r="N1209" s="31" t="str">
        <f>IF($L1209="","",INDEX($B$8:$B$5007,$L1209))</f>
        <v/>
      </c>
      <c r="O1209" s="32" t="str">
        <f>IF($M1209="","",IF($K1209-$M1209&gt;7,"",IF($M1209&lt;=$A1209,"",IF(OR($B1209&lt;=0,$N1209&lt;=0),"",($N1209/$B1209)^(365/($M1209-$A1209))-1))))</f>
        <v/>
      </c>
      <c r="P1209" s="31" t="str">
        <f>IF($B1209="","",IF($P1208="",$B1209,MAX($P1208,$B1209)))</f>
        <v/>
      </c>
      <c r="Q1209" s="32" t="str">
        <f>IF($P1209="","",$B1209/$P1209-1)</f>
        <v/>
      </c>
    </row>
    <row r="1210">
      <c r="A1210" s="11" t="n"/>
      <c r="B1210" s="29" t="n"/>
      <c r="K1210" s="30" t="str">
        <f>IF($A1210="","",EDATE($A1210,12*$E$4))</f>
        <v/>
      </c>
      <c r="L1210" s="19" t="str">
        <f>IF($K1210="","",IF($K1210&gt;MAX($A$8:$A$5007),"",IFERROR(MATCH($K1210,$A$8:$A$5007,1),"")))</f>
        <v/>
      </c>
      <c r="M1210" s="30" t="str">
        <f>IF($L1210="","",INDEX($A$8:$A$5007,$L1210))</f>
        <v/>
      </c>
      <c r="N1210" s="31" t="str">
        <f>IF($L1210="","",INDEX($B$8:$B$5007,$L1210))</f>
        <v/>
      </c>
      <c r="O1210" s="32" t="str">
        <f>IF($M1210="","",IF($K1210-$M1210&gt;7,"",IF($M1210&lt;=$A1210,"",IF(OR($B1210&lt;=0,$N1210&lt;=0),"",($N1210/$B1210)^(365/($M1210-$A1210))-1))))</f>
        <v/>
      </c>
      <c r="P1210" s="31" t="str">
        <f>IF($B1210="","",IF($P1209="",$B1210,MAX($P1209,$B1210)))</f>
        <v/>
      </c>
      <c r="Q1210" s="32" t="str">
        <f>IF($P1210="","",$B1210/$P1210-1)</f>
        <v/>
      </c>
    </row>
    <row r="1211">
      <c r="A1211" s="11" t="n"/>
      <c r="B1211" s="29" t="n"/>
      <c r="K1211" s="30" t="str">
        <f>IF($A1211="","",EDATE($A1211,12*$E$4))</f>
        <v/>
      </c>
      <c r="L1211" s="19" t="str">
        <f>IF($K1211="","",IF($K1211&gt;MAX($A$8:$A$5007),"",IFERROR(MATCH($K1211,$A$8:$A$5007,1),"")))</f>
        <v/>
      </c>
      <c r="M1211" s="30" t="str">
        <f>IF($L1211="","",INDEX($A$8:$A$5007,$L1211))</f>
        <v/>
      </c>
      <c r="N1211" s="31" t="str">
        <f>IF($L1211="","",INDEX($B$8:$B$5007,$L1211))</f>
        <v/>
      </c>
      <c r="O1211" s="32" t="str">
        <f>IF($M1211="","",IF($K1211-$M1211&gt;7,"",IF($M1211&lt;=$A1211,"",IF(OR($B1211&lt;=0,$N1211&lt;=0),"",($N1211/$B1211)^(365/($M1211-$A1211))-1))))</f>
        <v/>
      </c>
      <c r="P1211" s="31" t="str">
        <f>IF($B1211="","",IF($P1210="",$B1211,MAX($P1210,$B1211)))</f>
        <v/>
      </c>
      <c r="Q1211" s="32" t="str">
        <f>IF($P1211="","",$B1211/$P1211-1)</f>
        <v/>
      </c>
    </row>
    <row r="1212">
      <c r="A1212" s="11" t="n"/>
      <c r="B1212" s="29" t="n"/>
      <c r="K1212" s="30" t="str">
        <f>IF($A1212="","",EDATE($A1212,12*$E$4))</f>
        <v/>
      </c>
      <c r="L1212" s="19" t="str">
        <f>IF($K1212="","",IF($K1212&gt;MAX($A$8:$A$5007),"",IFERROR(MATCH($K1212,$A$8:$A$5007,1),"")))</f>
        <v/>
      </c>
      <c r="M1212" s="30" t="str">
        <f>IF($L1212="","",INDEX($A$8:$A$5007,$L1212))</f>
        <v/>
      </c>
      <c r="N1212" s="31" t="str">
        <f>IF($L1212="","",INDEX($B$8:$B$5007,$L1212))</f>
        <v/>
      </c>
      <c r="O1212" s="32" t="str">
        <f>IF($M1212="","",IF($K1212-$M1212&gt;7,"",IF($M1212&lt;=$A1212,"",IF(OR($B1212&lt;=0,$N1212&lt;=0),"",($N1212/$B1212)^(365/($M1212-$A1212))-1))))</f>
        <v/>
      </c>
      <c r="P1212" s="31" t="str">
        <f>IF($B1212="","",IF($P1211="",$B1212,MAX($P1211,$B1212)))</f>
        <v/>
      </c>
      <c r="Q1212" s="32" t="str">
        <f>IF($P1212="","",$B1212/$P1212-1)</f>
        <v/>
      </c>
    </row>
    <row r="1213">
      <c r="A1213" s="11" t="n"/>
      <c r="B1213" s="29" t="n"/>
      <c r="K1213" s="30" t="str">
        <f>IF($A1213="","",EDATE($A1213,12*$E$4))</f>
        <v/>
      </c>
      <c r="L1213" s="19" t="str">
        <f>IF($K1213="","",IF($K1213&gt;MAX($A$8:$A$5007),"",IFERROR(MATCH($K1213,$A$8:$A$5007,1),"")))</f>
        <v/>
      </c>
      <c r="M1213" s="30" t="str">
        <f>IF($L1213="","",INDEX($A$8:$A$5007,$L1213))</f>
        <v/>
      </c>
      <c r="N1213" s="31" t="str">
        <f>IF($L1213="","",INDEX($B$8:$B$5007,$L1213))</f>
        <v/>
      </c>
      <c r="O1213" s="32" t="str">
        <f>IF($M1213="","",IF($K1213-$M1213&gt;7,"",IF($M1213&lt;=$A1213,"",IF(OR($B1213&lt;=0,$N1213&lt;=0),"",($N1213/$B1213)^(365/($M1213-$A1213))-1))))</f>
        <v/>
      </c>
      <c r="P1213" s="31" t="str">
        <f>IF($B1213="","",IF($P1212="",$B1213,MAX($P1212,$B1213)))</f>
        <v/>
      </c>
      <c r="Q1213" s="32" t="str">
        <f>IF($P1213="","",$B1213/$P1213-1)</f>
        <v/>
      </c>
    </row>
    <row r="1214">
      <c r="A1214" s="11" t="n"/>
      <c r="B1214" s="29" t="n"/>
      <c r="K1214" s="30" t="str">
        <f>IF($A1214="","",EDATE($A1214,12*$E$4))</f>
        <v/>
      </c>
      <c r="L1214" s="19" t="str">
        <f>IF($K1214="","",IF($K1214&gt;MAX($A$8:$A$5007),"",IFERROR(MATCH($K1214,$A$8:$A$5007,1),"")))</f>
        <v/>
      </c>
      <c r="M1214" s="30" t="str">
        <f>IF($L1214="","",INDEX($A$8:$A$5007,$L1214))</f>
        <v/>
      </c>
      <c r="N1214" s="31" t="str">
        <f>IF($L1214="","",INDEX($B$8:$B$5007,$L1214))</f>
        <v/>
      </c>
      <c r="O1214" s="32" t="str">
        <f>IF($M1214="","",IF($K1214-$M1214&gt;7,"",IF($M1214&lt;=$A1214,"",IF(OR($B1214&lt;=0,$N1214&lt;=0),"",($N1214/$B1214)^(365/($M1214-$A1214))-1))))</f>
        <v/>
      </c>
      <c r="P1214" s="31" t="str">
        <f>IF($B1214="","",IF($P1213="",$B1214,MAX($P1213,$B1214)))</f>
        <v/>
      </c>
      <c r="Q1214" s="32" t="str">
        <f>IF($P1214="","",$B1214/$P1214-1)</f>
        <v/>
      </c>
    </row>
    <row r="1215">
      <c r="A1215" s="11" t="n"/>
      <c r="B1215" s="29" t="n"/>
      <c r="K1215" s="30" t="str">
        <f>IF($A1215="","",EDATE($A1215,12*$E$4))</f>
        <v/>
      </c>
      <c r="L1215" s="19" t="str">
        <f>IF($K1215="","",IF($K1215&gt;MAX($A$8:$A$5007),"",IFERROR(MATCH($K1215,$A$8:$A$5007,1),"")))</f>
        <v/>
      </c>
      <c r="M1215" s="30" t="str">
        <f>IF($L1215="","",INDEX($A$8:$A$5007,$L1215))</f>
        <v/>
      </c>
      <c r="N1215" s="31" t="str">
        <f>IF($L1215="","",INDEX($B$8:$B$5007,$L1215))</f>
        <v/>
      </c>
      <c r="O1215" s="32" t="str">
        <f>IF($M1215="","",IF($K1215-$M1215&gt;7,"",IF($M1215&lt;=$A1215,"",IF(OR($B1215&lt;=0,$N1215&lt;=0),"",($N1215/$B1215)^(365/($M1215-$A1215))-1))))</f>
        <v/>
      </c>
      <c r="P1215" s="31" t="str">
        <f>IF($B1215="","",IF($P1214="",$B1215,MAX($P1214,$B1215)))</f>
        <v/>
      </c>
      <c r="Q1215" s="32" t="str">
        <f>IF($P1215="","",$B1215/$P1215-1)</f>
        <v/>
      </c>
    </row>
    <row r="1216">
      <c r="A1216" s="11" t="n"/>
      <c r="B1216" s="29" t="n"/>
      <c r="K1216" s="30" t="str">
        <f>IF($A1216="","",EDATE($A1216,12*$E$4))</f>
        <v/>
      </c>
      <c r="L1216" s="19" t="str">
        <f>IF($K1216="","",IF($K1216&gt;MAX($A$8:$A$5007),"",IFERROR(MATCH($K1216,$A$8:$A$5007,1),"")))</f>
        <v/>
      </c>
      <c r="M1216" s="30" t="str">
        <f>IF($L1216="","",INDEX($A$8:$A$5007,$L1216))</f>
        <v/>
      </c>
      <c r="N1216" s="31" t="str">
        <f>IF($L1216="","",INDEX($B$8:$B$5007,$L1216))</f>
        <v/>
      </c>
      <c r="O1216" s="32" t="str">
        <f>IF($M1216="","",IF($K1216-$M1216&gt;7,"",IF($M1216&lt;=$A1216,"",IF(OR($B1216&lt;=0,$N1216&lt;=0),"",($N1216/$B1216)^(365/($M1216-$A1216))-1))))</f>
        <v/>
      </c>
      <c r="P1216" s="31" t="str">
        <f>IF($B1216="","",IF($P1215="",$B1216,MAX($P1215,$B1216)))</f>
        <v/>
      </c>
      <c r="Q1216" s="32" t="str">
        <f>IF($P1216="","",$B1216/$P1216-1)</f>
        <v/>
      </c>
    </row>
    <row r="1217">
      <c r="A1217" s="11" t="n"/>
      <c r="B1217" s="29" t="n"/>
      <c r="K1217" s="30" t="str">
        <f>IF($A1217="","",EDATE($A1217,12*$E$4))</f>
        <v/>
      </c>
      <c r="L1217" s="19" t="str">
        <f>IF($K1217="","",IF($K1217&gt;MAX($A$8:$A$5007),"",IFERROR(MATCH($K1217,$A$8:$A$5007,1),"")))</f>
        <v/>
      </c>
      <c r="M1217" s="30" t="str">
        <f>IF($L1217="","",INDEX($A$8:$A$5007,$L1217))</f>
        <v/>
      </c>
      <c r="N1217" s="31" t="str">
        <f>IF($L1217="","",INDEX($B$8:$B$5007,$L1217))</f>
        <v/>
      </c>
      <c r="O1217" s="32" t="str">
        <f>IF($M1217="","",IF($K1217-$M1217&gt;7,"",IF($M1217&lt;=$A1217,"",IF(OR($B1217&lt;=0,$N1217&lt;=0),"",($N1217/$B1217)^(365/($M1217-$A1217))-1))))</f>
        <v/>
      </c>
      <c r="P1217" s="31" t="str">
        <f>IF($B1217="","",IF($P1216="",$B1217,MAX($P1216,$B1217)))</f>
        <v/>
      </c>
      <c r="Q1217" s="32" t="str">
        <f>IF($P1217="","",$B1217/$P1217-1)</f>
        <v/>
      </c>
    </row>
    <row r="1218">
      <c r="A1218" s="11" t="n"/>
      <c r="B1218" s="29" t="n"/>
      <c r="K1218" s="30" t="str">
        <f>IF($A1218="","",EDATE($A1218,12*$E$4))</f>
        <v/>
      </c>
      <c r="L1218" s="19" t="str">
        <f>IF($K1218="","",IF($K1218&gt;MAX($A$8:$A$5007),"",IFERROR(MATCH($K1218,$A$8:$A$5007,1),"")))</f>
        <v/>
      </c>
      <c r="M1218" s="30" t="str">
        <f>IF($L1218="","",INDEX($A$8:$A$5007,$L1218))</f>
        <v/>
      </c>
      <c r="N1218" s="31" t="str">
        <f>IF($L1218="","",INDEX($B$8:$B$5007,$L1218))</f>
        <v/>
      </c>
      <c r="O1218" s="32" t="str">
        <f>IF($M1218="","",IF($K1218-$M1218&gt;7,"",IF($M1218&lt;=$A1218,"",IF(OR($B1218&lt;=0,$N1218&lt;=0),"",($N1218/$B1218)^(365/($M1218-$A1218))-1))))</f>
        <v/>
      </c>
      <c r="P1218" s="31" t="str">
        <f>IF($B1218="","",IF($P1217="",$B1218,MAX($P1217,$B1218)))</f>
        <v/>
      </c>
      <c r="Q1218" s="32" t="str">
        <f>IF($P1218="","",$B1218/$P1218-1)</f>
        <v/>
      </c>
    </row>
    <row r="1219">
      <c r="A1219" s="11" t="n"/>
      <c r="B1219" s="29" t="n"/>
      <c r="K1219" s="30" t="str">
        <f>IF($A1219="","",EDATE($A1219,12*$E$4))</f>
        <v/>
      </c>
      <c r="L1219" s="19" t="str">
        <f>IF($K1219="","",IF($K1219&gt;MAX($A$8:$A$5007),"",IFERROR(MATCH($K1219,$A$8:$A$5007,1),"")))</f>
        <v/>
      </c>
      <c r="M1219" s="30" t="str">
        <f>IF($L1219="","",INDEX($A$8:$A$5007,$L1219))</f>
        <v/>
      </c>
      <c r="N1219" s="31" t="str">
        <f>IF($L1219="","",INDEX($B$8:$B$5007,$L1219))</f>
        <v/>
      </c>
      <c r="O1219" s="32" t="str">
        <f>IF($M1219="","",IF($K1219-$M1219&gt;7,"",IF($M1219&lt;=$A1219,"",IF(OR($B1219&lt;=0,$N1219&lt;=0),"",($N1219/$B1219)^(365/($M1219-$A1219))-1))))</f>
        <v/>
      </c>
      <c r="P1219" s="31" t="str">
        <f>IF($B1219="","",IF($P1218="",$B1219,MAX($P1218,$B1219)))</f>
        <v/>
      </c>
      <c r="Q1219" s="32" t="str">
        <f>IF($P1219="","",$B1219/$P1219-1)</f>
        <v/>
      </c>
    </row>
    <row r="1220">
      <c r="A1220" s="11" t="n"/>
      <c r="B1220" s="29" t="n"/>
      <c r="K1220" s="30" t="str">
        <f>IF($A1220="","",EDATE($A1220,12*$E$4))</f>
        <v/>
      </c>
      <c r="L1220" s="19" t="str">
        <f>IF($K1220="","",IF($K1220&gt;MAX($A$8:$A$5007),"",IFERROR(MATCH($K1220,$A$8:$A$5007,1),"")))</f>
        <v/>
      </c>
      <c r="M1220" s="30" t="str">
        <f>IF($L1220="","",INDEX($A$8:$A$5007,$L1220))</f>
        <v/>
      </c>
      <c r="N1220" s="31" t="str">
        <f>IF($L1220="","",INDEX($B$8:$B$5007,$L1220))</f>
        <v/>
      </c>
      <c r="O1220" s="32" t="str">
        <f>IF($M1220="","",IF($K1220-$M1220&gt;7,"",IF($M1220&lt;=$A1220,"",IF(OR($B1220&lt;=0,$N1220&lt;=0),"",($N1220/$B1220)^(365/($M1220-$A1220))-1))))</f>
        <v/>
      </c>
      <c r="P1220" s="31" t="str">
        <f>IF($B1220="","",IF($P1219="",$B1220,MAX($P1219,$B1220)))</f>
        <v/>
      </c>
      <c r="Q1220" s="32" t="str">
        <f>IF($P1220="","",$B1220/$P1220-1)</f>
        <v/>
      </c>
    </row>
    <row r="1221">
      <c r="A1221" s="11" t="n"/>
      <c r="B1221" s="29" t="n"/>
      <c r="K1221" s="30" t="str">
        <f>IF($A1221="","",EDATE($A1221,12*$E$4))</f>
        <v/>
      </c>
      <c r="L1221" s="19" t="str">
        <f>IF($K1221="","",IF($K1221&gt;MAX($A$8:$A$5007),"",IFERROR(MATCH($K1221,$A$8:$A$5007,1),"")))</f>
        <v/>
      </c>
      <c r="M1221" s="30" t="str">
        <f>IF($L1221="","",INDEX($A$8:$A$5007,$L1221))</f>
        <v/>
      </c>
      <c r="N1221" s="31" t="str">
        <f>IF($L1221="","",INDEX($B$8:$B$5007,$L1221))</f>
        <v/>
      </c>
      <c r="O1221" s="32" t="str">
        <f>IF($M1221="","",IF($K1221-$M1221&gt;7,"",IF($M1221&lt;=$A1221,"",IF(OR($B1221&lt;=0,$N1221&lt;=0),"",($N1221/$B1221)^(365/($M1221-$A1221))-1))))</f>
        <v/>
      </c>
      <c r="P1221" s="31" t="str">
        <f>IF($B1221="","",IF($P1220="",$B1221,MAX($P1220,$B1221)))</f>
        <v/>
      </c>
      <c r="Q1221" s="32" t="str">
        <f>IF($P1221="","",$B1221/$P1221-1)</f>
        <v/>
      </c>
    </row>
    <row r="1222">
      <c r="A1222" s="11" t="n"/>
      <c r="B1222" s="29" t="n"/>
      <c r="K1222" s="30" t="str">
        <f>IF($A1222="","",EDATE($A1222,12*$E$4))</f>
        <v/>
      </c>
      <c r="L1222" s="19" t="str">
        <f>IF($K1222="","",IF($K1222&gt;MAX($A$8:$A$5007),"",IFERROR(MATCH($K1222,$A$8:$A$5007,1),"")))</f>
        <v/>
      </c>
      <c r="M1222" s="30" t="str">
        <f>IF($L1222="","",INDEX($A$8:$A$5007,$L1222))</f>
        <v/>
      </c>
      <c r="N1222" s="31" t="str">
        <f>IF($L1222="","",INDEX($B$8:$B$5007,$L1222))</f>
        <v/>
      </c>
      <c r="O1222" s="32" t="str">
        <f>IF($M1222="","",IF($K1222-$M1222&gt;7,"",IF($M1222&lt;=$A1222,"",IF(OR($B1222&lt;=0,$N1222&lt;=0),"",($N1222/$B1222)^(365/($M1222-$A1222))-1))))</f>
        <v/>
      </c>
      <c r="P1222" s="31" t="str">
        <f>IF($B1222="","",IF($P1221="",$B1222,MAX($P1221,$B1222)))</f>
        <v/>
      </c>
      <c r="Q1222" s="32" t="str">
        <f>IF($P1222="","",$B1222/$P1222-1)</f>
        <v/>
      </c>
    </row>
    <row r="1223">
      <c r="A1223" s="11" t="n"/>
      <c r="B1223" s="29" t="n"/>
      <c r="K1223" s="30" t="str">
        <f>IF($A1223="","",EDATE($A1223,12*$E$4))</f>
        <v/>
      </c>
      <c r="L1223" s="19" t="str">
        <f>IF($K1223="","",IF($K1223&gt;MAX($A$8:$A$5007),"",IFERROR(MATCH($K1223,$A$8:$A$5007,1),"")))</f>
        <v/>
      </c>
      <c r="M1223" s="30" t="str">
        <f>IF($L1223="","",INDEX($A$8:$A$5007,$L1223))</f>
        <v/>
      </c>
      <c r="N1223" s="31" t="str">
        <f>IF($L1223="","",INDEX($B$8:$B$5007,$L1223))</f>
        <v/>
      </c>
      <c r="O1223" s="32" t="str">
        <f>IF($M1223="","",IF($K1223-$M1223&gt;7,"",IF($M1223&lt;=$A1223,"",IF(OR($B1223&lt;=0,$N1223&lt;=0),"",($N1223/$B1223)^(365/($M1223-$A1223))-1))))</f>
        <v/>
      </c>
      <c r="P1223" s="31" t="str">
        <f>IF($B1223="","",IF($P1222="",$B1223,MAX($P1222,$B1223)))</f>
        <v/>
      </c>
      <c r="Q1223" s="32" t="str">
        <f>IF($P1223="","",$B1223/$P1223-1)</f>
        <v/>
      </c>
    </row>
    <row r="1224">
      <c r="A1224" s="11" t="n"/>
      <c r="B1224" s="29" t="n"/>
      <c r="K1224" s="30" t="str">
        <f>IF($A1224="","",EDATE($A1224,12*$E$4))</f>
        <v/>
      </c>
      <c r="L1224" s="19" t="str">
        <f>IF($K1224="","",IF($K1224&gt;MAX($A$8:$A$5007),"",IFERROR(MATCH($K1224,$A$8:$A$5007,1),"")))</f>
        <v/>
      </c>
      <c r="M1224" s="30" t="str">
        <f>IF($L1224="","",INDEX($A$8:$A$5007,$L1224))</f>
        <v/>
      </c>
      <c r="N1224" s="31" t="str">
        <f>IF($L1224="","",INDEX($B$8:$B$5007,$L1224))</f>
        <v/>
      </c>
      <c r="O1224" s="32" t="str">
        <f>IF($M1224="","",IF($K1224-$M1224&gt;7,"",IF($M1224&lt;=$A1224,"",IF(OR($B1224&lt;=0,$N1224&lt;=0),"",($N1224/$B1224)^(365/($M1224-$A1224))-1))))</f>
        <v/>
      </c>
      <c r="P1224" s="31" t="str">
        <f>IF($B1224="","",IF($P1223="",$B1224,MAX($P1223,$B1224)))</f>
        <v/>
      </c>
      <c r="Q1224" s="32" t="str">
        <f>IF($P1224="","",$B1224/$P1224-1)</f>
        <v/>
      </c>
    </row>
    <row r="1225">
      <c r="A1225" s="11" t="n"/>
      <c r="B1225" s="29" t="n"/>
      <c r="K1225" s="30" t="str">
        <f>IF($A1225="","",EDATE($A1225,12*$E$4))</f>
        <v/>
      </c>
      <c r="L1225" s="19" t="str">
        <f>IF($K1225="","",IF($K1225&gt;MAX($A$8:$A$5007),"",IFERROR(MATCH($K1225,$A$8:$A$5007,1),"")))</f>
        <v/>
      </c>
      <c r="M1225" s="30" t="str">
        <f>IF($L1225="","",INDEX($A$8:$A$5007,$L1225))</f>
        <v/>
      </c>
      <c r="N1225" s="31" t="str">
        <f>IF($L1225="","",INDEX($B$8:$B$5007,$L1225))</f>
        <v/>
      </c>
      <c r="O1225" s="32" t="str">
        <f>IF($M1225="","",IF($K1225-$M1225&gt;7,"",IF($M1225&lt;=$A1225,"",IF(OR($B1225&lt;=0,$N1225&lt;=0),"",($N1225/$B1225)^(365/($M1225-$A1225))-1))))</f>
        <v/>
      </c>
      <c r="P1225" s="31" t="str">
        <f>IF($B1225="","",IF($P1224="",$B1225,MAX($P1224,$B1225)))</f>
        <v/>
      </c>
      <c r="Q1225" s="32" t="str">
        <f>IF($P1225="","",$B1225/$P1225-1)</f>
        <v/>
      </c>
    </row>
    <row r="1226">
      <c r="A1226" s="11" t="n"/>
      <c r="B1226" s="29" t="n"/>
      <c r="K1226" s="30" t="str">
        <f>IF($A1226="","",EDATE($A1226,12*$E$4))</f>
        <v/>
      </c>
      <c r="L1226" s="19" t="str">
        <f>IF($K1226="","",IF($K1226&gt;MAX($A$8:$A$5007),"",IFERROR(MATCH($K1226,$A$8:$A$5007,1),"")))</f>
        <v/>
      </c>
      <c r="M1226" s="30" t="str">
        <f>IF($L1226="","",INDEX($A$8:$A$5007,$L1226))</f>
        <v/>
      </c>
      <c r="N1226" s="31" t="str">
        <f>IF($L1226="","",INDEX($B$8:$B$5007,$L1226))</f>
        <v/>
      </c>
      <c r="O1226" s="32" t="str">
        <f>IF($M1226="","",IF($K1226-$M1226&gt;7,"",IF($M1226&lt;=$A1226,"",IF(OR($B1226&lt;=0,$N1226&lt;=0),"",($N1226/$B1226)^(365/($M1226-$A1226))-1))))</f>
        <v/>
      </c>
      <c r="P1226" s="31" t="str">
        <f>IF($B1226="","",IF($P1225="",$B1226,MAX($P1225,$B1226)))</f>
        <v/>
      </c>
      <c r="Q1226" s="32" t="str">
        <f>IF($P1226="","",$B1226/$P1226-1)</f>
        <v/>
      </c>
    </row>
    <row r="1227">
      <c r="A1227" s="11" t="n"/>
      <c r="B1227" s="29" t="n"/>
      <c r="K1227" s="30" t="str">
        <f>IF($A1227="","",EDATE($A1227,12*$E$4))</f>
        <v/>
      </c>
      <c r="L1227" s="19" t="str">
        <f>IF($K1227="","",IF($K1227&gt;MAX($A$8:$A$5007),"",IFERROR(MATCH($K1227,$A$8:$A$5007,1),"")))</f>
        <v/>
      </c>
      <c r="M1227" s="30" t="str">
        <f>IF($L1227="","",INDEX($A$8:$A$5007,$L1227))</f>
        <v/>
      </c>
      <c r="N1227" s="31" t="str">
        <f>IF($L1227="","",INDEX($B$8:$B$5007,$L1227))</f>
        <v/>
      </c>
      <c r="O1227" s="32" t="str">
        <f>IF($M1227="","",IF($K1227-$M1227&gt;7,"",IF($M1227&lt;=$A1227,"",IF(OR($B1227&lt;=0,$N1227&lt;=0),"",($N1227/$B1227)^(365/($M1227-$A1227))-1))))</f>
        <v/>
      </c>
      <c r="P1227" s="31" t="str">
        <f>IF($B1227="","",IF($P1226="",$B1227,MAX($P1226,$B1227)))</f>
        <v/>
      </c>
      <c r="Q1227" s="32" t="str">
        <f>IF($P1227="","",$B1227/$P1227-1)</f>
        <v/>
      </c>
    </row>
    <row r="1228">
      <c r="A1228" s="11" t="n"/>
      <c r="B1228" s="29" t="n"/>
      <c r="K1228" s="30" t="str">
        <f>IF($A1228="","",EDATE($A1228,12*$E$4))</f>
        <v/>
      </c>
      <c r="L1228" s="19" t="str">
        <f>IF($K1228="","",IF($K1228&gt;MAX($A$8:$A$5007),"",IFERROR(MATCH($K1228,$A$8:$A$5007,1),"")))</f>
        <v/>
      </c>
      <c r="M1228" s="30" t="str">
        <f>IF($L1228="","",INDEX($A$8:$A$5007,$L1228))</f>
        <v/>
      </c>
      <c r="N1228" s="31" t="str">
        <f>IF($L1228="","",INDEX($B$8:$B$5007,$L1228))</f>
        <v/>
      </c>
      <c r="O1228" s="32" t="str">
        <f>IF($M1228="","",IF($K1228-$M1228&gt;7,"",IF($M1228&lt;=$A1228,"",IF(OR($B1228&lt;=0,$N1228&lt;=0),"",($N1228/$B1228)^(365/($M1228-$A1228))-1))))</f>
        <v/>
      </c>
      <c r="P1228" s="31" t="str">
        <f>IF($B1228="","",IF($P1227="",$B1228,MAX($P1227,$B1228)))</f>
        <v/>
      </c>
      <c r="Q1228" s="32" t="str">
        <f>IF($P1228="","",$B1228/$P1228-1)</f>
        <v/>
      </c>
    </row>
    <row r="1229">
      <c r="A1229" s="11" t="n"/>
      <c r="B1229" s="29" t="n"/>
      <c r="K1229" s="30" t="str">
        <f>IF($A1229="","",EDATE($A1229,12*$E$4))</f>
        <v/>
      </c>
      <c r="L1229" s="19" t="str">
        <f>IF($K1229="","",IF($K1229&gt;MAX($A$8:$A$5007),"",IFERROR(MATCH($K1229,$A$8:$A$5007,1),"")))</f>
        <v/>
      </c>
      <c r="M1229" s="30" t="str">
        <f>IF($L1229="","",INDEX($A$8:$A$5007,$L1229))</f>
        <v/>
      </c>
      <c r="N1229" s="31" t="str">
        <f>IF($L1229="","",INDEX($B$8:$B$5007,$L1229))</f>
        <v/>
      </c>
      <c r="O1229" s="32" t="str">
        <f>IF($M1229="","",IF($K1229-$M1229&gt;7,"",IF($M1229&lt;=$A1229,"",IF(OR($B1229&lt;=0,$N1229&lt;=0),"",($N1229/$B1229)^(365/($M1229-$A1229))-1))))</f>
        <v/>
      </c>
      <c r="P1229" s="31" t="str">
        <f>IF($B1229="","",IF($P1228="",$B1229,MAX($P1228,$B1229)))</f>
        <v/>
      </c>
      <c r="Q1229" s="32" t="str">
        <f>IF($P1229="","",$B1229/$P1229-1)</f>
        <v/>
      </c>
    </row>
    <row r="1230">
      <c r="A1230" s="11" t="n"/>
      <c r="B1230" s="29" t="n"/>
      <c r="K1230" s="30" t="str">
        <f>IF($A1230="","",EDATE($A1230,12*$E$4))</f>
        <v/>
      </c>
      <c r="L1230" s="19" t="str">
        <f>IF($K1230="","",IF($K1230&gt;MAX($A$8:$A$5007),"",IFERROR(MATCH($K1230,$A$8:$A$5007,1),"")))</f>
        <v/>
      </c>
      <c r="M1230" s="30" t="str">
        <f>IF($L1230="","",INDEX($A$8:$A$5007,$L1230))</f>
        <v/>
      </c>
      <c r="N1230" s="31" t="str">
        <f>IF($L1230="","",INDEX($B$8:$B$5007,$L1230))</f>
        <v/>
      </c>
      <c r="O1230" s="32" t="str">
        <f>IF($M1230="","",IF($K1230-$M1230&gt;7,"",IF($M1230&lt;=$A1230,"",IF(OR($B1230&lt;=0,$N1230&lt;=0),"",($N1230/$B1230)^(365/($M1230-$A1230))-1))))</f>
        <v/>
      </c>
      <c r="P1230" s="31" t="str">
        <f>IF($B1230="","",IF($P1229="",$B1230,MAX($P1229,$B1230)))</f>
        <v/>
      </c>
      <c r="Q1230" s="32" t="str">
        <f>IF($P1230="","",$B1230/$P1230-1)</f>
        <v/>
      </c>
    </row>
    <row r="1231">
      <c r="A1231" s="11" t="n"/>
      <c r="B1231" s="29" t="n"/>
      <c r="K1231" s="30" t="str">
        <f>IF($A1231="","",EDATE($A1231,12*$E$4))</f>
        <v/>
      </c>
      <c r="L1231" s="19" t="str">
        <f>IF($K1231="","",IF($K1231&gt;MAX($A$8:$A$5007),"",IFERROR(MATCH($K1231,$A$8:$A$5007,1),"")))</f>
        <v/>
      </c>
      <c r="M1231" s="30" t="str">
        <f>IF($L1231="","",INDEX($A$8:$A$5007,$L1231))</f>
        <v/>
      </c>
      <c r="N1231" s="31" t="str">
        <f>IF($L1231="","",INDEX($B$8:$B$5007,$L1231))</f>
        <v/>
      </c>
      <c r="O1231" s="32" t="str">
        <f>IF($M1231="","",IF($K1231-$M1231&gt;7,"",IF($M1231&lt;=$A1231,"",IF(OR($B1231&lt;=0,$N1231&lt;=0),"",($N1231/$B1231)^(365/($M1231-$A1231))-1))))</f>
        <v/>
      </c>
      <c r="P1231" s="31" t="str">
        <f>IF($B1231="","",IF($P1230="",$B1231,MAX($P1230,$B1231)))</f>
        <v/>
      </c>
      <c r="Q1231" s="32" t="str">
        <f>IF($P1231="","",$B1231/$P1231-1)</f>
        <v/>
      </c>
    </row>
    <row r="1232">
      <c r="A1232" s="11" t="n"/>
      <c r="B1232" s="29" t="n"/>
      <c r="K1232" s="30" t="str">
        <f>IF($A1232="","",EDATE($A1232,12*$E$4))</f>
        <v/>
      </c>
      <c r="L1232" s="19" t="str">
        <f>IF($K1232="","",IF($K1232&gt;MAX($A$8:$A$5007),"",IFERROR(MATCH($K1232,$A$8:$A$5007,1),"")))</f>
        <v/>
      </c>
      <c r="M1232" s="30" t="str">
        <f>IF($L1232="","",INDEX($A$8:$A$5007,$L1232))</f>
        <v/>
      </c>
      <c r="N1232" s="31" t="str">
        <f>IF($L1232="","",INDEX($B$8:$B$5007,$L1232))</f>
        <v/>
      </c>
      <c r="O1232" s="32" t="str">
        <f>IF($M1232="","",IF($K1232-$M1232&gt;7,"",IF($M1232&lt;=$A1232,"",IF(OR($B1232&lt;=0,$N1232&lt;=0),"",($N1232/$B1232)^(365/($M1232-$A1232))-1))))</f>
        <v/>
      </c>
      <c r="P1232" s="31" t="str">
        <f>IF($B1232="","",IF($P1231="",$B1232,MAX($P1231,$B1232)))</f>
        <v/>
      </c>
      <c r="Q1232" s="32" t="str">
        <f>IF($P1232="","",$B1232/$P1232-1)</f>
        <v/>
      </c>
    </row>
    <row r="1233">
      <c r="A1233" s="11" t="n"/>
      <c r="B1233" s="29" t="n"/>
      <c r="K1233" s="30" t="str">
        <f>IF($A1233="","",EDATE($A1233,12*$E$4))</f>
        <v/>
      </c>
      <c r="L1233" s="19" t="str">
        <f>IF($K1233="","",IF($K1233&gt;MAX($A$8:$A$5007),"",IFERROR(MATCH($K1233,$A$8:$A$5007,1),"")))</f>
        <v/>
      </c>
      <c r="M1233" s="30" t="str">
        <f>IF($L1233="","",INDEX($A$8:$A$5007,$L1233))</f>
        <v/>
      </c>
      <c r="N1233" s="31" t="str">
        <f>IF($L1233="","",INDEX($B$8:$B$5007,$L1233))</f>
        <v/>
      </c>
      <c r="O1233" s="32" t="str">
        <f>IF($M1233="","",IF($K1233-$M1233&gt;7,"",IF($M1233&lt;=$A1233,"",IF(OR($B1233&lt;=0,$N1233&lt;=0),"",($N1233/$B1233)^(365/($M1233-$A1233))-1))))</f>
        <v/>
      </c>
      <c r="P1233" s="31" t="str">
        <f>IF($B1233="","",IF($P1232="",$B1233,MAX($P1232,$B1233)))</f>
        <v/>
      </c>
      <c r="Q1233" s="32" t="str">
        <f>IF($P1233="","",$B1233/$P1233-1)</f>
        <v/>
      </c>
    </row>
    <row r="1234">
      <c r="A1234" s="11" t="n"/>
      <c r="B1234" s="29" t="n"/>
      <c r="K1234" s="30" t="str">
        <f>IF($A1234="","",EDATE($A1234,12*$E$4))</f>
        <v/>
      </c>
      <c r="L1234" s="19" t="str">
        <f>IF($K1234="","",IF($K1234&gt;MAX($A$8:$A$5007),"",IFERROR(MATCH($K1234,$A$8:$A$5007,1),"")))</f>
        <v/>
      </c>
      <c r="M1234" s="30" t="str">
        <f>IF($L1234="","",INDEX($A$8:$A$5007,$L1234))</f>
        <v/>
      </c>
      <c r="N1234" s="31" t="str">
        <f>IF($L1234="","",INDEX($B$8:$B$5007,$L1234))</f>
        <v/>
      </c>
      <c r="O1234" s="32" t="str">
        <f>IF($M1234="","",IF($K1234-$M1234&gt;7,"",IF($M1234&lt;=$A1234,"",IF(OR($B1234&lt;=0,$N1234&lt;=0),"",($N1234/$B1234)^(365/($M1234-$A1234))-1))))</f>
        <v/>
      </c>
      <c r="P1234" s="31" t="str">
        <f>IF($B1234="","",IF($P1233="",$B1234,MAX($P1233,$B1234)))</f>
        <v/>
      </c>
      <c r="Q1234" s="32" t="str">
        <f>IF($P1234="","",$B1234/$P1234-1)</f>
        <v/>
      </c>
    </row>
    <row r="1235">
      <c r="A1235" s="11" t="n"/>
      <c r="B1235" s="29" t="n"/>
      <c r="K1235" s="30" t="str">
        <f>IF($A1235="","",EDATE($A1235,12*$E$4))</f>
        <v/>
      </c>
      <c r="L1235" s="19" t="str">
        <f>IF($K1235="","",IF($K1235&gt;MAX($A$8:$A$5007),"",IFERROR(MATCH($K1235,$A$8:$A$5007,1),"")))</f>
        <v/>
      </c>
      <c r="M1235" s="30" t="str">
        <f>IF($L1235="","",INDEX($A$8:$A$5007,$L1235))</f>
        <v/>
      </c>
      <c r="N1235" s="31" t="str">
        <f>IF($L1235="","",INDEX($B$8:$B$5007,$L1235))</f>
        <v/>
      </c>
      <c r="O1235" s="32" t="str">
        <f>IF($M1235="","",IF($K1235-$M1235&gt;7,"",IF($M1235&lt;=$A1235,"",IF(OR($B1235&lt;=0,$N1235&lt;=0),"",($N1235/$B1235)^(365/($M1235-$A1235))-1))))</f>
        <v/>
      </c>
      <c r="P1235" s="31" t="str">
        <f>IF($B1235="","",IF($P1234="",$B1235,MAX($P1234,$B1235)))</f>
        <v/>
      </c>
      <c r="Q1235" s="32" t="str">
        <f>IF($P1235="","",$B1235/$P1235-1)</f>
        <v/>
      </c>
    </row>
    <row r="1236">
      <c r="A1236" s="11" t="n"/>
      <c r="B1236" s="29" t="n"/>
      <c r="K1236" s="30" t="str">
        <f>IF($A1236="","",EDATE($A1236,12*$E$4))</f>
        <v/>
      </c>
      <c r="L1236" s="19" t="str">
        <f>IF($K1236="","",IF($K1236&gt;MAX($A$8:$A$5007),"",IFERROR(MATCH($K1236,$A$8:$A$5007,1),"")))</f>
        <v/>
      </c>
      <c r="M1236" s="30" t="str">
        <f>IF($L1236="","",INDEX($A$8:$A$5007,$L1236))</f>
        <v/>
      </c>
      <c r="N1236" s="31" t="str">
        <f>IF($L1236="","",INDEX($B$8:$B$5007,$L1236))</f>
        <v/>
      </c>
      <c r="O1236" s="32" t="str">
        <f>IF($M1236="","",IF($K1236-$M1236&gt;7,"",IF($M1236&lt;=$A1236,"",IF(OR($B1236&lt;=0,$N1236&lt;=0),"",($N1236/$B1236)^(365/($M1236-$A1236))-1))))</f>
        <v/>
      </c>
      <c r="P1236" s="31" t="str">
        <f>IF($B1236="","",IF($P1235="",$B1236,MAX($P1235,$B1236)))</f>
        <v/>
      </c>
      <c r="Q1236" s="32" t="str">
        <f>IF($P1236="","",$B1236/$P1236-1)</f>
        <v/>
      </c>
    </row>
    <row r="1237">
      <c r="A1237" s="11" t="n"/>
      <c r="B1237" s="29" t="n"/>
      <c r="K1237" s="30" t="str">
        <f>IF($A1237="","",EDATE($A1237,12*$E$4))</f>
        <v/>
      </c>
      <c r="L1237" s="19" t="str">
        <f>IF($K1237="","",IF($K1237&gt;MAX($A$8:$A$5007),"",IFERROR(MATCH($K1237,$A$8:$A$5007,1),"")))</f>
        <v/>
      </c>
      <c r="M1237" s="30" t="str">
        <f>IF($L1237="","",INDEX($A$8:$A$5007,$L1237))</f>
        <v/>
      </c>
      <c r="N1237" s="31" t="str">
        <f>IF($L1237="","",INDEX($B$8:$B$5007,$L1237))</f>
        <v/>
      </c>
      <c r="O1237" s="32" t="str">
        <f>IF($M1237="","",IF($K1237-$M1237&gt;7,"",IF($M1237&lt;=$A1237,"",IF(OR($B1237&lt;=0,$N1237&lt;=0),"",($N1237/$B1237)^(365/($M1237-$A1237))-1))))</f>
        <v/>
      </c>
      <c r="P1237" s="31" t="str">
        <f>IF($B1237="","",IF($P1236="",$B1237,MAX($P1236,$B1237)))</f>
        <v/>
      </c>
      <c r="Q1237" s="32" t="str">
        <f>IF($P1237="","",$B1237/$P1237-1)</f>
        <v/>
      </c>
    </row>
    <row r="1238">
      <c r="A1238" s="11" t="n"/>
      <c r="B1238" s="29" t="n"/>
      <c r="K1238" s="30" t="str">
        <f>IF($A1238="","",EDATE($A1238,12*$E$4))</f>
        <v/>
      </c>
      <c r="L1238" s="19" t="str">
        <f>IF($K1238="","",IF($K1238&gt;MAX($A$8:$A$5007),"",IFERROR(MATCH($K1238,$A$8:$A$5007,1),"")))</f>
        <v/>
      </c>
      <c r="M1238" s="30" t="str">
        <f>IF($L1238="","",INDEX($A$8:$A$5007,$L1238))</f>
        <v/>
      </c>
      <c r="N1238" s="31" t="str">
        <f>IF($L1238="","",INDEX($B$8:$B$5007,$L1238))</f>
        <v/>
      </c>
      <c r="O1238" s="32" t="str">
        <f>IF($M1238="","",IF($K1238-$M1238&gt;7,"",IF($M1238&lt;=$A1238,"",IF(OR($B1238&lt;=0,$N1238&lt;=0),"",($N1238/$B1238)^(365/($M1238-$A1238))-1))))</f>
        <v/>
      </c>
      <c r="P1238" s="31" t="str">
        <f>IF($B1238="","",IF($P1237="",$B1238,MAX($P1237,$B1238)))</f>
        <v/>
      </c>
      <c r="Q1238" s="32" t="str">
        <f>IF($P1238="","",$B1238/$P1238-1)</f>
        <v/>
      </c>
    </row>
    <row r="1239">
      <c r="A1239" s="11" t="n"/>
      <c r="B1239" s="29" t="n"/>
      <c r="K1239" s="30" t="str">
        <f>IF($A1239="","",EDATE($A1239,12*$E$4))</f>
        <v/>
      </c>
      <c r="L1239" s="19" t="str">
        <f>IF($K1239="","",IF($K1239&gt;MAX($A$8:$A$5007),"",IFERROR(MATCH($K1239,$A$8:$A$5007,1),"")))</f>
        <v/>
      </c>
      <c r="M1239" s="30" t="str">
        <f>IF($L1239="","",INDEX($A$8:$A$5007,$L1239))</f>
        <v/>
      </c>
      <c r="N1239" s="31" t="str">
        <f>IF($L1239="","",INDEX($B$8:$B$5007,$L1239))</f>
        <v/>
      </c>
      <c r="O1239" s="32" t="str">
        <f>IF($M1239="","",IF($K1239-$M1239&gt;7,"",IF($M1239&lt;=$A1239,"",IF(OR($B1239&lt;=0,$N1239&lt;=0),"",($N1239/$B1239)^(365/($M1239-$A1239))-1))))</f>
        <v/>
      </c>
      <c r="P1239" s="31" t="str">
        <f>IF($B1239="","",IF($P1238="",$B1239,MAX($P1238,$B1239)))</f>
        <v/>
      </c>
      <c r="Q1239" s="32" t="str">
        <f>IF($P1239="","",$B1239/$P1239-1)</f>
        <v/>
      </c>
    </row>
    <row r="1240">
      <c r="A1240" s="11" t="n"/>
      <c r="B1240" s="29" t="n"/>
      <c r="K1240" s="30" t="str">
        <f>IF($A1240="","",EDATE($A1240,12*$E$4))</f>
        <v/>
      </c>
      <c r="L1240" s="19" t="str">
        <f>IF($K1240="","",IF($K1240&gt;MAX($A$8:$A$5007),"",IFERROR(MATCH($K1240,$A$8:$A$5007,1),"")))</f>
        <v/>
      </c>
      <c r="M1240" s="30" t="str">
        <f>IF($L1240="","",INDEX($A$8:$A$5007,$L1240))</f>
        <v/>
      </c>
      <c r="N1240" s="31" t="str">
        <f>IF($L1240="","",INDEX($B$8:$B$5007,$L1240))</f>
        <v/>
      </c>
      <c r="O1240" s="32" t="str">
        <f>IF($M1240="","",IF($K1240-$M1240&gt;7,"",IF($M1240&lt;=$A1240,"",IF(OR($B1240&lt;=0,$N1240&lt;=0),"",($N1240/$B1240)^(365/($M1240-$A1240))-1))))</f>
        <v/>
      </c>
      <c r="P1240" s="31" t="str">
        <f>IF($B1240="","",IF($P1239="",$B1240,MAX($P1239,$B1240)))</f>
        <v/>
      </c>
      <c r="Q1240" s="32" t="str">
        <f>IF($P1240="","",$B1240/$P1240-1)</f>
        <v/>
      </c>
    </row>
    <row r="1241">
      <c r="A1241" s="11" t="n"/>
      <c r="B1241" s="29" t="n"/>
      <c r="K1241" s="30" t="str">
        <f>IF($A1241="","",EDATE($A1241,12*$E$4))</f>
        <v/>
      </c>
      <c r="L1241" s="19" t="str">
        <f>IF($K1241="","",IF($K1241&gt;MAX($A$8:$A$5007),"",IFERROR(MATCH($K1241,$A$8:$A$5007,1),"")))</f>
        <v/>
      </c>
      <c r="M1241" s="30" t="str">
        <f>IF($L1241="","",INDEX($A$8:$A$5007,$L1241))</f>
        <v/>
      </c>
      <c r="N1241" s="31" t="str">
        <f>IF($L1241="","",INDEX($B$8:$B$5007,$L1241))</f>
        <v/>
      </c>
      <c r="O1241" s="32" t="str">
        <f>IF($M1241="","",IF($K1241-$M1241&gt;7,"",IF($M1241&lt;=$A1241,"",IF(OR($B1241&lt;=0,$N1241&lt;=0),"",($N1241/$B1241)^(365/($M1241-$A1241))-1))))</f>
        <v/>
      </c>
      <c r="P1241" s="31" t="str">
        <f>IF($B1241="","",IF($P1240="",$B1241,MAX($P1240,$B1241)))</f>
        <v/>
      </c>
      <c r="Q1241" s="32" t="str">
        <f>IF($P1241="","",$B1241/$P1241-1)</f>
        <v/>
      </c>
    </row>
    <row r="1242">
      <c r="A1242" s="11" t="n"/>
      <c r="B1242" s="29" t="n"/>
      <c r="K1242" s="30" t="str">
        <f>IF($A1242="","",EDATE($A1242,12*$E$4))</f>
        <v/>
      </c>
      <c r="L1242" s="19" t="str">
        <f>IF($K1242="","",IF($K1242&gt;MAX($A$8:$A$5007),"",IFERROR(MATCH($K1242,$A$8:$A$5007,1),"")))</f>
        <v/>
      </c>
      <c r="M1242" s="30" t="str">
        <f>IF($L1242="","",INDEX($A$8:$A$5007,$L1242))</f>
        <v/>
      </c>
      <c r="N1242" s="31" t="str">
        <f>IF($L1242="","",INDEX($B$8:$B$5007,$L1242))</f>
        <v/>
      </c>
      <c r="O1242" s="32" t="str">
        <f>IF($M1242="","",IF($K1242-$M1242&gt;7,"",IF($M1242&lt;=$A1242,"",IF(OR($B1242&lt;=0,$N1242&lt;=0),"",($N1242/$B1242)^(365/($M1242-$A1242))-1))))</f>
        <v/>
      </c>
      <c r="P1242" s="31" t="str">
        <f>IF($B1242="","",IF($P1241="",$B1242,MAX($P1241,$B1242)))</f>
        <v/>
      </c>
      <c r="Q1242" s="32" t="str">
        <f>IF($P1242="","",$B1242/$P1242-1)</f>
        <v/>
      </c>
    </row>
    <row r="1243">
      <c r="A1243" s="11" t="n"/>
      <c r="B1243" s="29" t="n"/>
      <c r="K1243" s="30" t="str">
        <f>IF($A1243="","",EDATE($A1243,12*$E$4))</f>
        <v/>
      </c>
      <c r="L1243" s="19" t="str">
        <f>IF($K1243="","",IF($K1243&gt;MAX($A$8:$A$5007),"",IFERROR(MATCH($K1243,$A$8:$A$5007,1),"")))</f>
        <v/>
      </c>
      <c r="M1243" s="30" t="str">
        <f>IF($L1243="","",INDEX($A$8:$A$5007,$L1243))</f>
        <v/>
      </c>
      <c r="N1243" s="31" t="str">
        <f>IF($L1243="","",INDEX($B$8:$B$5007,$L1243))</f>
        <v/>
      </c>
      <c r="O1243" s="32" t="str">
        <f>IF($M1243="","",IF($K1243-$M1243&gt;7,"",IF($M1243&lt;=$A1243,"",IF(OR($B1243&lt;=0,$N1243&lt;=0),"",($N1243/$B1243)^(365/($M1243-$A1243))-1))))</f>
        <v/>
      </c>
      <c r="P1243" s="31" t="str">
        <f>IF($B1243="","",IF($P1242="",$B1243,MAX($P1242,$B1243)))</f>
        <v/>
      </c>
      <c r="Q1243" s="32" t="str">
        <f>IF($P1243="","",$B1243/$P1243-1)</f>
        <v/>
      </c>
    </row>
    <row r="1244">
      <c r="A1244" s="11" t="n"/>
      <c r="B1244" s="29" t="n"/>
      <c r="K1244" s="30" t="str">
        <f>IF($A1244="","",EDATE($A1244,12*$E$4))</f>
        <v/>
      </c>
      <c r="L1244" s="19" t="str">
        <f>IF($K1244="","",IF($K1244&gt;MAX($A$8:$A$5007),"",IFERROR(MATCH($K1244,$A$8:$A$5007,1),"")))</f>
        <v/>
      </c>
      <c r="M1244" s="30" t="str">
        <f>IF($L1244="","",INDEX($A$8:$A$5007,$L1244))</f>
        <v/>
      </c>
      <c r="N1244" s="31" t="str">
        <f>IF($L1244="","",INDEX($B$8:$B$5007,$L1244))</f>
        <v/>
      </c>
      <c r="O1244" s="32" t="str">
        <f>IF($M1244="","",IF($K1244-$M1244&gt;7,"",IF($M1244&lt;=$A1244,"",IF(OR($B1244&lt;=0,$N1244&lt;=0),"",($N1244/$B1244)^(365/($M1244-$A1244))-1))))</f>
        <v/>
      </c>
      <c r="P1244" s="31" t="str">
        <f>IF($B1244="","",IF($P1243="",$B1244,MAX($P1243,$B1244)))</f>
        <v/>
      </c>
      <c r="Q1244" s="32" t="str">
        <f>IF($P1244="","",$B1244/$P1244-1)</f>
        <v/>
      </c>
    </row>
    <row r="1245">
      <c r="A1245" s="11" t="n"/>
      <c r="B1245" s="29" t="n"/>
      <c r="K1245" s="30" t="str">
        <f>IF($A1245="","",EDATE($A1245,12*$E$4))</f>
        <v/>
      </c>
      <c r="L1245" s="19" t="str">
        <f>IF($K1245="","",IF($K1245&gt;MAX($A$8:$A$5007),"",IFERROR(MATCH($K1245,$A$8:$A$5007,1),"")))</f>
        <v/>
      </c>
      <c r="M1245" s="30" t="str">
        <f>IF($L1245="","",INDEX($A$8:$A$5007,$L1245))</f>
        <v/>
      </c>
      <c r="N1245" s="31" t="str">
        <f>IF($L1245="","",INDEX($B$8:$B$5007,$L1245))</f>
        <v/>
      </c>
      <c r="O1245" s="32" t="str">
        <f>IF($M1245="","",IF($K1245-$M1245&gt;7,"",IF($M1245&lt;=$A1245,"",IF(OR($B1245&lt;=0,$N1245&lt;=0),"",($N1245/$B1245)^(365/($M1245-$A1245))-1))))</f>
        <v/>
      </c>
      <c r="P1245" s="31" t="str">
        <f>IF($B1245="","",IF($P1244="",$B1245,MAX($P1244,$B1245)))</f>
        <v/>
      </c>
      <c r="Q1245" s="32" t="str">
        <f>IF($P1245="","",$B1245/$P1245-1)</f>
        <v/>
      </c>
    </row>
    <row r="1246">
      <c r="A1246" s="11" t="n"/>
      <c r="B1246" s="29" t="n"/>
      <c r="K1246" s="30" t="str">
        <f>IF($A1246="","",EDATE($A1246,12*$E$4))</f>
        <v/>
      </c>
      <c r="L1246" s="19" t="str">
        <f>IF($K1246="","",IF($K1246&gt;MAX($A$8:$A$5007),"",IFERROR(MATCH($K1246,$A$8:$A$5007,1),"")))</f>
        <v/>
      </c>
      <c r="M1246" s="30" t="str">
        <f>IF($L1246="","",INDEX($A$8:$A$5007,$L1246))</f>
        <v/>
      </c>
      <c r="N1246" s="31" t="str">
        <f>IF($L1246="","",INDEX($B$8:$B$5007,$L1246))</f>
        <v/>
      </c>
      <c r="O1246" s="32" t="str">
        <f>IF($M1246="","",IF($K1246-$M1246&gt;7,"",IF($M1246&lt;=$A1246,"",IF(OR($B1246&lt;=0,$N1246&lt;=0),"",($N1246/$B1246)^(365/($M1246-$A1246))-1))))</f>
        <v/>
      </c>
      <c r="P1246" s="31" t="str">
        <f>IF($B1246="","",IF($P1245="",$B1246,MAX($P1245,$B1246)))</f>
        <v/>
      </c>
      <c r="Q1246" s="32" t="str">
        <f>IF($P1246="","",$B1246/$P1246-1)</f>
        <v/>
      </c>
    </row>
    <row r="1247">
      <c r="A1247" s="11" t="n"/>
      <c r="B1247" s="29" t="n"/>
      <c r="K1247" s="30" t="str">
        <f>IF($A1247="","",EDATE($A1247,12*$E$4))</f>
        <v/>
      </c>
      <c r="L1247" s="19" t="str">
        <f>IF($K1247="","",IF($K1247&gt;MAX($A$8:$A$5007),"",IFERROR(MATCH($K1247,$A$8:$A$5007,1),"")))</f>
        <v/>
      </c>
      <c r="M1247" s="30" t="str">
        <f>IF($L1247="","",INDEX($A$8:$A$5007,$L1247))</f>
        <v/>
      </c>
      <c r="N1247" s="31" t="str">
        <f>IF($L1247="","",INDEX($B$8:$B$5007,$L1247))</f>
        <v/>
      </c>
      <c r="O1247" s="32" t="str">
        <f>IF($M1247="","",IF($K1247-$M1247&gt;7,"",IF($M1247&lt;=$A1247,"",IF(OR($B1247&lt;=0,$N1247&lt;=0),"",($N1247/$B1247)^(365/($M1247-$A1247))-1))))</f>
        <v/>
      </c>
      <c r="P1247" s="31" t="str">
        <f>IF($B1247="","",IF($P1246="",$B1247,MAX($P1246,$B1247)))</f>
        <v/>
      </c>
      <c r="Q1247" s="32" t="str">
        <f>IF($P1247="","",$B1247/$P1247-1)</f>
        <v/>
      </c>
    </row>
    <row r="1248">
      <c r="A1248" s="11" t="n"/>
      <c r="B1248" s="29" t="n"/>
      <c r="K1248" s="30" t="str">
        <f>IF($A1248="","",EDATE($A1248,12*$E$4))</f>
        <v/>
      </c>
      <c r="L1248" s="19" t="str">
        <f>IF($K1248="","",IF($K1248&gt;MAX($A$8:$A$5007),"",IFERROR(MATCH($K1248,$A$8:$A$5007,1),"")))</f>
        <v/>
      </c>
      <c r="M1248" s="30" t="str">
        <f>IF($L1248="","",INDEX($A$8:$A$5007,$L1248))</f>
        <v/>
      </c>
      <c r="N1248" s="31" t="str">
        <f>IF($L1248="","",INDEX($B$8:$B$5007,$L1248))</f>
        <v/>
      </c>
      <c r="O1248" s="32" t="str">
        <f>IF($M1248="","",IF($K1248-$M1248&gt;7,"",IF($M1248&lt;=$A1248,"",IF(OR($B1248&lt;=0,$N1248&lt;=0),"",($N1248/$B1248)^(365/($M1248-$A1248))-1))))</f>
        <v/>
      </c>
      <c r="P1248" s="31" t="str">
        <f>IF($B1248="","",IF($P1247="",$B1248,MAX($P1247,$B1248)))</f>
        <v/>
      </c>
      <c r="Q1248" s="32" t="str">
        <f>IF($P1248="","",$B1248/$P1248-1)</f>
        <v/>
      </c>
    </row>
    <row r="1249">
      <c r="A1249" s="11" t="n"/>
      <c r="B1249" s="29" t="n"/>
      <c r="K1249" s="30" t="str">
        <f>IF($A1249="","",EDATE($A1249,12*$E$4))</f>
        <v/>
      </c>
      <c r="L1249" s="19" t="str">
        <f>IF($K1249="","",IF($K1249&gt;MAX($A$8:$A$5007),"",IFERROR(MATCH($K1249,$A$8:$A$5007,1),"")))</f>
        <v/>
      </c>
      <c r="M1249" s="30" t="str">
        <f>IF($L1249="","",INDEX($A$8:$A$5007,$L1249))</f>
        <v/>
      </c>
      <c r="N1249" s="31" t="str">
        <f>IF($L1249="","",INDEX($B$8:$B$5007,$L1249))</f>
        <v/>
      </c>
      <c r="O1249" s="32" t="str">
        <f>IF($M1249="","",IF($K1249-$M1249&gt;7,"",IF($M1249&lt;=$A1249,"",IF(OR($B1249&lt;=0,$N1249&lt;=0),"",($N1249/$B1249)^(365/($M1249-$A1249))-1))))</f>
        <v/>
      </c>
      <c r="P1249" s="31" t="str">
        <f>IF($B1249="","",IF($P1248="",$B1249,MAX($P1248,$B1249)))</f>
        <v/>
      </c>
      <c r="Q1249" s="32" t="str">
        <f>IF($P1249="","",$B1249/$P1249-1)</f>
        <v/>
      </c>
    </row>
    <row r="1250">
      <c r="A1250" s="11" t="n"/>
      <c r="B1250" s="29" t="n"/>
      <c r="K1250" s="30" t="str">
        <f>IF($A1250="","",EDATE($A1250,12*$E$4))</f>
        <v/>
      </c>
      <c r="L1250" s="19" t="str">
        <f>IF($K1250="","",IF($K1250&gt;MAX($A$8:$A$5007),"",IFERROR(MATCH($K1250,$A$8:$A$5007,1),"")))</f>
        <v/>
      </c>
      <c r="M1250" s="30" t="str">
        <f>IF($L1250="","",INDEX($A$8:$A$5007,$L1250))</f>
        <v/>
      </c>
      <c r="N1250" s="31" t="str">
        <f>IF($L1250="","",INDEX($B$8:$B$5007,$L1250))</f>
        <v/>
      </c>
      <c r="O1250" s="32" t="str">
        <f>IF($M1250="","",IF($K1250-$M1250&gt;7,"",IF($M1250&lt;=$A1250,"",IF(OR($B1250&lt;=0,$N1250&lt;=0),"",($N1250/$B1250)^(365/($M1250-$A1250))-1))))</f>
        <v/>
      </c>
      <c r="P1250" s="31" t="str">
        <f>IF($B1250="","",IF($P1249="",$B1250,MAX($P1249,$B1250)))</f>
        <v/>
      </c>
      <c r="Q1250" s="32" t="str">
        <f>IF($P1250="","",$B1250/$P1250-1)</f>
        <v/>
      </c>
    </row>
    <row r="1251">
      <c r="A1251" s="11" t="n"/>
      <c r="B1251" s="29" t="n"/>
      <c r="K1251" s="30" t="str">
        <f>IF($A1251="","",EDATE($A1251,12*$E$4))</f>
        <v/>
      </c>
      <c r="L1251" s="19" t="str">
        <f>IF($K1251="","",IF($K1251&gt;MAX($A$8:$A$5007),"",IFERROR(MATCH($K1251,$A$8:$A$5007,1),"")))</f>
        <v/>
      </c>
      <c r="M1251" s="30" t="str">
        <f>IF($L1251="","",INDEX($A$8:$A$5007,$L1251))</f>
        <v/>
      </c>
      <c r="N1251" s="31" t="str">
        <f>IF($L1251="","",INDEX($B$8:$B$5007,$L1251))</f>
        <v/>
      </c>
      <c r="O1251" s="32" t="str">
        <f>IF($M1251="","",IF($K1251-$M1251&gt;7,"",IF($M1251&lt;=$A1251,"",IF(OR($B1251&lt;=0,$N1251&lt;=0),"",($N1251/$B1251)^(365/($M1251-$A1251))-1))))</f>
        <v/>
      </c>
      <c r="P1251" s="31" t="str">
        <f>IF($B1251="","",IF($P1250="",$B1251,MAX($P1250,$B1251)))</f>
        <v/>
      </c>
      <c r="Q1251" s="32" t="str">
        <f>IF($P1251="","",$B1251/$P1251-1)</f>
        <v/>
      </c>
    </row>
    <row r="1252">
      <c r="A1252" s="11" t="n"/>
      <c r="B1252" s="29" t="n"/>
      <c r="K1252" s="30" t="str">
        <f>IF($A1252="","",EDATE($A1252,12*$E$4))</f>
        <v/>
      </c>
      <c r="L1252" s="19" t="str">
        <f>IF($K1252="","",IF($K1252&gt;MAX($A$8:$A$5007),"",IFERROR(MATCH($K1252,$A$8:$A$5007,1),"")))</f>
        <v/>
      </c>
      <c r="M1252" s="30" t="str">
        <f>IF($L1252="","",INDEX($A$8:$A$5007,$L1252))</f>
        <v/>
      </c>
      <c r="N1252" s="31" t="str">
        <f>IF($L1252="","",INDEX($B$8:$B$5007,$L1252))</f>
        <v/>
      </c>
      <c r="O1252" s="32" t="str">
        <f>IF($M1252="","",IF($K1252-$M1252&gt;7,"",IF($M1252&lt;=$A1252,"",IF(OR($B1252&lt;=0,$N1252&lt;=0),"",($N1252/$B1252)^(365/($M1252-$A1252))-1))))</f>
        <v/>
      </c>
      <c r="P1252" s="31" t="str">
        <f>IF($B1252="","",IF($P1251="",$B1252,MAX($P1251,$B1252)))</f>
        <v/>
      </c>
      <c r="Q1252" s="32" t="str">
        <f>IF($P1252="","",$B1252/$P1252-1)</f>
        <v/>
      </c>
    </row>
    <row r="1253">
      <c r="A1253" s="11" t="n"/>
      <c r="B1253" s="29" t="n"/>
      <c r="K1253" s="30" t="str">
        <f>IF($A1253="","",EDATE($A1253,12*$E$4))</f>
        <v/>
      </c>
      <c r="L1253" s="19" t="str">
        <f>IF($K1253="","",IF($K1253&gt;MAX($A$8:$A$5007),"",IFERROR(MATCH($K1253,$A$8:$A$5007,1),"")))</f>
        <v/>
      </c>
      <c r="M1253" s="30" t="str">
        <f>IF($L1253="","",INDEX($A$8:$A$5007,$L1253))</f>
        <v/>
      </c>
      <c r="N1253" s="31" t="str">
        <f>IF($L1253="","",INDEX($B$8:$B$5007,$L1253))</f>
        <v/>
      </c>
      <c r="O1253" s="32" t="str">
        <f>IF($M1253="","",IF($K1253-$M1253&gt;7,"",IF($M1253&lt;=$A1253,"",IF(OR($B1253&lt;=0,$N1253&lt;=0),"",($N1253/$B1253)^(365/($M1253-$A1253))-1))))</f>
        <v/>
      </c>
      <c r="P1253" s="31" t="str">
        <f>IF($B1253="","",IF($P1252="",$B1253,MAX($P1252,$B1253)))</f>
        <v/>
      </c>
      <c r="Q1253" s="32" t="str">
        <f>IF($P1253="","",$B1253/$P1253-1)</f>
        <v/>
      </c>
    </row>
    <row r="1254">
      <c r="A1254" s="11" t="n"/>
      <c r="B1254" s="29" t="n"/>
      <c r="K1254" s="30" t="str">
        <f>IF($A1254="","",EDATE($A1254,12*$E$4))</f>
        <v/>
      </c>
      <c r="L1254" s="19" t="str">
        <f>IF($K1254="","",IF($K1254&gt;MAX($A$8:$A$5007),"",IFERROR(MATCH($K1254,$A$8:$A$5007,1),"")))</f>
        <v/>
      </c>
      <c r="M1254" s="30" t="str">
        <f>IF($L1254="","",INDEX($A$8:$A$5007,$L1254))</f>
        <v/>
      </c>
      <c r="N1254" s="31" t="str">
        <f>IF($L1254="","",INDEX($B$8:$B$5007,$L1254))</f>
        <v/>
      </c>
      <c r="O1254" s="32" t="str">
        <f>IF($M1254="","",IF($K1254-$M1254&gt;7,"",IF($M1254&lt;=$A1254,"",IF(OR($B1254&lt;=0,$N1254&lt;=0),"",($N1254/$B1254)^(365/($M1254-$A1254))-1))))</f>
        <v/>
      </c>
      <c r="P1254" s="31" t="str">
        <f>IF($B1254="","",IF($P1253="",$B1254,MAX($P1253,$B1254)))</f>
        <v/>
      </c>
      <c r="Q1254" s="32" t="str">
        <f>IF($P1254="","",$B1254/$P1254-1)</f>
        <v/>
      </c>
    </row>
    <row r="1255">
      <c r="A1255" s="11" t="n"/>
      <c r="B1255" s="29" t="n"/>
      <c r="K1255" s="30" t="str">
        <f>IF($A1255="","",EDATE($A1255,12*$E$4))</f>
        <v/>
      </c>
      <c r="L1255" s="19" t="str">
        <f>IF($K1255="","",IF($K1255&gt;MAX($A$8:$A$5007),"",IFERROR(MATCH($K1255,$A$8:$A$5007,1),"")))</f>
        <v/>
      </c>
      <c r="M1255" s="30" t="str">
        <f>IF($L1255="","",INDEX($A$8:$A$5007,$L1255))</f>
        <v/>
      </c>
      <c r="N1255" s="31" t="str">
        <f>IF($L1255="","",INDEX($B$8:$B$5007,$L1255))</f>
        <v/>
      </c>
      <c r="O1255" s="32" t="str">
        <f>IF($M1255="","",IF($K1255-$M1255&gt;7,"",IF($M1255&lt;=$A1255,"",IF(OR($B1255&lt;=0,$N1255&lt;=0),"",($N1255/$B1255)^(365/($M1255-$A1255))-1))))</f>
        <v/>
      </c>
      <c r="P1255" s="31" t="str">
        <f>IF($B1255="","",IF($P1254="",$B1255,MAX($P1254,$B1255)))</f>
        <v/>
      </c>
      <c r="Q1255" s="32" t="str">
        <f>IF($P1255="","",$B1255/$P1255-1)</f>
        <v/>
      </c>
    </row>
    <row r="1256">
      <c r="A1256" s="11" t="n"/>
      <c r="B1256" s="29" t="n"/>
      <c r="K1256" s="30" t="str">
        <f>IF($A1256="","",EDATE($A1256,12*$E$4))</f>
        <v/>
      </c>
      <c r="L1256" s="19" t="str">
        <f>IF($K1256="","",IF($K1256&gt;MAX($A$8:$A$5007),"",IFERROR(MATCH($K1256,$A$8:$A$5007,1),"")))</f>
        <v/>
      </c>
      <c r="M1256" s="30" t="str">
        <f>IF($L1256="","",INDEX($A$8:$A$5007,$L1256))</f>
        <v/>
      </c>
      <c r="N1256" s="31" t="str">
        <f>IF($L1256="","",INDEX($B$8:$B$5007,$L1256))</f>
        <v/>
      </c>
      <c r="O1256" s="32" t="str">
        <f>IF($M1256="","",IF($K1256-$M1256&gt;7,"",IF($M1256&lt;=$A1256,"",IF(OR($B1256&lt;=0,$N1256&lt;=0),"",($N1256/$B1256)^(365/($M1256-$A1256))-1))))</f>
        <v/>
      </c>
      <c r="P1256" s="31" t="str">
        <f>IF($B1256="","",IF($P1255="",$B1256,MAX($P1255,$B1256)))</f>
        <v/>
      </c>
      <c r="Q1256" s="32" t="str">
        <f>IF($P1256="","",$B1256/$P1256-1)</f>
        <v/>
      </c>
    </row>
    <row r="1257">
      <c r="A1257" s="11" t="n"/>
      <c r="B1257" s="29" t="n"/>
      <c r="K1257" s="30" t="str">
        <f>IF($A1257="","",EDATE($A1257,12*$E$4))</f>
        <v/>
      </c>
      <c r="L1257" s="19" t="str">
        <f>IF($K1257="","",IF($K1257&gt;MAX($A$8:$A$5007),"",IFERROR(MATCH($K1257,$A$8:$A$5007,1),"")))</f>
        <v/>
      </c>
      <c r="M1257" s="30" t="str">
        <f>IF($L1257="","",INDEX($A$8:$A$5007,$L1257))</f>
        <v/>
      </c>
      <c r="N1257" s="31" t="str">
        <f>IF($L1257="","",INDEX($B$8:$B$5007,$L1257))</f>
        <v/>
      </c>
      <c r="O1257" s="32" t="str">
        <f>IF($M1257="","",IF($K1257-$M1257&gt;7,"",IF($M1257&lt;=$A1257,"",IF(OR($B1257&lt;=0,$N1257&lt;=0),"",($N1257/$B1257)^(365/($M1257-$A1257))-1))))</f>
        <v/>
      </c>
      <c r="P1257" s="31" t="str">
        <f>IF($B1257="","",IF($P1256="",$B1257,MAX($P1256,$B1257)))</f>
        <v/>
      </c>
      <c r="Q1257" s="32" t="str">
        <f>IF($P1257="","",$B1257/$P1257-1)</f>
        <v/>
      </c>
    </row>
    <row r="1258">
      <c r="A1258" s="11" t="n"/>
      <c r="B1258" s="29" t="n"/>
      <c r="K1258" s="30" t="str">
        <f>IF($A1258="","",EDATE($A1258,12*$E$4))</f>
        <v/>
      </c>
      <c r="L1258" s="19" t="str">
        <f>IF($K1258="","",IF($K1258&gt;MAX($A$8:$A$5007),"",IFERROR(MATCH($K1258,$A$8:$A$5007,1),"")))</f>
        <v/>
      </c>
      <c r="M1258" s="30" t="str">
        <f>IF($L1258="","",INDEX($A$8:$A$5007,$L1258))</f>
        <v/>
      </c>
      <c r="N1258" s="31" t="str">
        <f>IF($L1258="","",INDEX($B$8:$B$5007,$L1258))</f>
        <v/>
      </c>
      <c r="O1258" s="32" t="str">
        <f>IF($M1258="","",IF($K1258-$M1258&gt;7,"",IF($M1258&lt;=$A1258,"",IF(OR($B1258&lt;=0,$N1258&lt;=0),"",($N1258/$B1258)^(365/($M1258-$A1258))-1))))</f>
        <v/>
      </c>
      <c r="P1258" s="31" t="str">
        <f>IF($B1258="","",IF($P1257="",$B1258,MAX($P1257,$B1258)))</f>
        <v/>
      </c>
      <c r="Q1258" s="32" t="str">
        <f>IF($P1258="","",$B1258/$P1258-1)</f>
        <v/>
      </c>
    </row>
    <row r="1259">
      <c r="A1259" s="11" t="n"/>
      <c r="B1259" s="29" t="n"/>
      <c r="K1259" s="30" t="str">
        <f>IF($A1259="","",EDATE($A1259,12*$E$4))</f>
        <v/>
      </c>
      <c r="L1259" s="19" t="str">
        <f>IF($K1259="","",IF($K1259&gt;MAX($A$8:$A$5007),"",IFERROR(MATCH($K1259,$A$8:$A$5007,1),"")))</f>
        <v/>
      </c>
      <c r="M1259" s="30" t="str">
        <f>IF($L1259="","",INDEX($A$8:$A$5007,$L1259))</f>
        <v/>
      </c>
      <c r="N1259" s="31" t="str">
        <f>IF($L1259="","",INDEX($B$8:$B$5007,$L1259))</f>
        <v/>
      </c>
      <c r="O1259" s="32" t="str">
        <f>IF($M1259="","",IF($K1259-$M1259&gt;7,"",IF($M1259&lt;=$A1259,"",IF(OR($B1259&lt;=0,$N1259&lt;=0),"",($N1259/$B1259)^(365/($M1259-$A1259))-1))))</f>
        <v/>
      </c>
      <c r="P1259" s="31" t="str">
        <f>IF($B1259="","",IF($P1258="",$B1259,MAX($P1258,$B1259)))</f>
        <v/>
      </c>
      <c r="Q1259" s="32" t="str">
        <f>IF($P1259="","",$B1259/$P1259-1)</f>
        <v/>
      </c>
    </row>
    <row r="1260">
      <c r="A1260" s="11" t="n"/>
      <c r="B1260" s="29" t="n"/>
      <c r="K1260" s="30" t="str">
        <f>IF($A1260="","",EDATE($A1260,12*$E$4))</f>
        <v/>
      </c>
      <c r="L1260" s="19" t="str">
        <f>IF($K1260="","",IF($K1260&gt;MAX($A$8:$A$5007),"",IFERROR(MATCH($K1260,$A$8:$A$5007,1),"")))</f>
        <v/>
      </c>
      <c r="M1260" s="30" t="str">
        <f>IF($L1260="","",INDEX($A$8:$A$5007,$L1260))</f>
        <v/>
      </c>
      <c r="N1260" s="31" t="str">
        <f>IF($L1260="","",INDEX($B$8:$B$5007,$L1260))</f>
        <v/>
      </c>
      <c r="O1260" s="32" t="str">
        <f>IF($M1260="","",IF($K1260-$M1260&gt;7,"",IF($M1260&lt;=$A1260,"",IF(OR($B1260&lt;=0,$N1260&lt;=0),"",($N1260/$B1260)^(365/($M1260-$A1260))-1))))</f>
        <v/>
      </c>
      <c r="P1260" s="31" t="str">
        <f>IF($B1260="","",IF($P1259="",$B1260,MAX($P1259,$B1260)))</f>
        <v/>
      </c>
      <c r="Q1260" s="32" t="str">
        <f>IF($P1260="","",$B1260/$P1260-1)</f>
        <v/>
      </c>
    </row>
    <row r="1261">
      <c r="A1261" s="11" t="n"/>
      <c r="B1261" s="29" t="n"/>
      <c r="K1261" s="30" t="str">
        <f>IF($A1261="","",EDATE($A1261,12*$E$4))</f>
        <v/>
      </c>
      <c r="L1261" s="19" t="str">
        <f>IF($K1261="","",IF($K1261&gt;MAX($A$8:$A$5007),"",IFERROR(MATCH($K1261,$A$8:$A$5007,1),"")))</f>
        <v/>
      </c>
      <c r="M1261" s="30" t="str">
        <f>IF($L1261="","",INDEX($A$8:$A$5007,$L1261))</f>
        <v/>
      </c>
      <c r="N1261" s="31" t="str">
        <f>IF($L1261="","",INDEX($B$8:$B$5007,$L1261))</f>
        <v/>
      </c>
      <c r="O1261" s="32" t="str">
        <f>IF($M1261="","",IF($K1261-$M1261&gt;7,"",IF($M1261&lt;=$A1261,"",IF(OR($B1261&lt;=0,$N1261&lt;=0),"",($N1261/$B1261)^(365/($M1261-$A1261))-1))))</f>
        <v/>
      </c>
      <c r="P1261" s="31" t="str">
        <f>IF($B1261="","",IF($P1260="",$B1261,MAX($P1260,$B1261)))</f>
        <v/>
      </c>
      <c r="Q1261" s="32" t="str">
        <f>IF($P1261="","",$B1261/$P1261-1)</f>
        <v/>
      </c>
    </row>
    <row r="1262">
      <c r="A1262" s="11" t="n"/>
      <c r="B1262" s="29" t="n"/>
      <c r="K1262" s="30" t="str">
        <f>IF($A1262="","",EDATE($A1262,12*$E$4))</f>
        <v/>
      </c>
      <c r="L1262" s="19" t="str">
        <f>IF($K1262="","",IF($K1262&gt;MAX($A$8:$A$5007),"",IFERROR(MATCH($K1262,$A$8:$A$5007,1),"")))</f>
        <v/>
      </c>
      <c r="M1262" s="30" t="str">
        <f>IF($L1262="","",INDEX($A$8:$A$5007,$L1262))</f>
        <v/>
      </c>
      <c r="N1262" s="31" t="str">
        <f>IF($L1262="","",INDEX($B$8:$B$5007,$L1262))</f>
        <v/>
      </c>
      <c r="O1262" s="32" t="str">
        <f>IF($M1262="","",IF($K1262-$M1262&gt;7,"",IF($M1262&lt;=$A1262,"",IF(OR($B1262&lt;=0,$N1262&lt;=0),"",($N1262/$B1262)^(365/($M1262-$A1262))-1))))</f>
        <v/>
      </c>
      <c r="P1262" s="31" t="str">
        <f>IF($B1262="","",IF($P1261="",$B1262,MAX($P1261,$B1262)))</f>
        <v/>
      </c>
      <c r="Q1262" s="32" t="str">
        <f>IF($P1262="","",$B1262/$P1262-1)</f>
        <v/>
      </c>
    </row>
    <row r="1263">
      <c r="A1263" s="11" t="n"/>
      <c r="B1263" s="29" t="n"/>
      <c r="K1263" s="30" t="str">
        <f>IF($A1263="","",EDATE($A1263,12*$E$4))</f>
        <v/>
      </c>
      <c r="L1263" s="19" t="str">
        <f>IF($K1263="","",IF($K1263&gt;MAX($A$8:$A$5007),"",IFERROR(MATCH($K1263,$A$8:$A$5007,1),"")))</f>
        <v/>
      </c>
      <c r="M1263" s="30" t="str">
        <f>IF($L1263="","",INDEX($A$8:$A$5007,$L1263))</f>
        <v/>
      </c>
      <c r="N1263" s="31" t="str">
        <f>IF($L1263="","",INDEX($B$8:$B$5007,$L1263))</f>
        <v/>
      </c>
      <c r="O1263" s="32" t="str">
        <f>IF($M1263="","",IF($K1263-$M1263&gt;7,"",IF($M1263&lt;=$A1263,"",IF(OR($B1263&lt;=0,$N1263&lt;=0),"",($N1263/$B1263)^(365/($M1263-$A1263))-1))))</f>
        <v/>
      </c>
      <c r="P1263" s="31" t="str">
        <f>IF($B1263="","",IF($P1262="",$B1263,MAX($P1262,$B1263)))</f>
        <v/>
      </c>
      <c r="Q1263" s="32" t="str">
        <f>IF($P1263="","",$B1263/$P1263-1)</f>
        <v/>
      </c>
    </row>
    <row r="1264">
      <c r="A1264" s="11" t="n"/>
      <c r="B1264" s="29" t="n"/>
      <c r="K1264" s="30" t="str">
        <f>IF($A1264="","",EDATE($A1264,12*$E$4))</f>
        <v/>
      </c>
      <c r="L1264" s="19" t="str">
        <f>IF($K1264="","",IF($K1264&gt;MAX($A$8:$A$5007),"",IFERROR(MATCH($K1264,$A$8:$A$5007,1),"")))</f>
        <v/>
      </c>
      <c r="M1264" s="30" t="str">
        <f>IF($L1264="","",INDEX($A$8:$A$5007,$L1264))</f>
        <v/>
      </c>
      <c r="N1264" s="31" t="str">
        <f>IF($L1264="","",INDEX($B$8:$B$5007,$L1264))</f>
        <v/>
      </c>
      <c r="O1264" s="32" t="str">
        <f>IF($M1264="","",IF($K1264-$M1264&gt;7,"",IF($M1264&lt;=$A1264,"",IF(OR($B1264&lt;=0,$N1264&lt;=0),"",($N1264/$B1264)^(365/($M1264-$A1264))-1))))</f>
        <v/>
      </c>
      <c r="P1264" s="31" t="str">
        <f>IF($B1264="","",IF($P1263="",$B1264,MAX($P1263,$B1264)))</f>
        <v/>
      </c>
      <c r="Q1264" s="32" t="str">
        <f>IF($P1264="","",$B1264/$P1264-1)</f>
        <v/>
      </c>
    </row>
    <row r="1265">
      <c r="A1265" s="11" t="n"/>
      <c r="B1265" s="29" t="n"/>
      <c r="K1265" s="30" t="str">
        <f>IF($A1265="","",EDATE($A1265,12*$E$4))</f>
        <v/>
      </c>
      <c r="L1265" s="19" t="str">
        <f>IF($K1265="","",IF($K1265&gt;MAX($A$8:$A$5007),"",IFERROR(MATCH($K1265,$A$8:$A$5007,1),"")))</f>
        <v/>
      </c>
      <c r="M1265" s="30" t="str">
        <f>IF($L1265="","",INDEX($A$8:$A$5007,$L1265))</f>
        <v/>
      </c>
      <c r="N1265" s="31" t="str">
        <f>IF($L1265="","",INDEX($B$8:$B$5007,$L1265))</f>
        <v/>
      </c>
      <c r="O1265" s="32" t="str">
        <f>IF($M1265="","",IF($K1265-$M1265&gt;7,"",IF($M1265&lt;=$A1265,"",IF(OR($B1265&lt;=0,$N1265&lt;=0),"",($N1265/$B1265)^(365/($M1265-$A1265))-1))))</f>
        <v/>
      </c>
      <c r="P1265" s="31" t="str">
        <f>IF($B1265="","",IF($P1264="",$B1265,MAX($P1264,$B1265)))</f>
        <v/>
      </c>
      <c r="Q1265" s="32" t="str">
        <f>IF($P1265="","",$B1265/$P1265-1)</f>
        <v/>
      </c>
    </row>
    <row r="1266">
      <c r="A1266" s="11" t="n"/>
      <c r="B1266" s="29" t="n"/>
      <c r="K1266" s="30" t="str">
        <f>IF($A1266="","",EDATE($A1266,12*$E$4))</f>
        <v/>
      </c>
      <c r="L1266" s="19" t="str">
        <f>IF($K1266="","",IF($K1266&gt;MAX($A$8:$A$5007),"",IFERROR(MATCH($K1266,$A$8:$A$5007,1),"")))</f>
        <v/>
      </c>
      <c r="M1266" s="30" t="str">
        <f>IF($L1266="","",INDEX($A$8:$A$5007,$L1266))</f>
        <v/>
      </c>
      <c r="N1266" s="31" t="str">
        <f>IF($L1266="","",INDEX($B$8:$B$5007,$L1266))</f>
        <v/>
      </c>
      <c r="O1266" s="32" t="str">
        <f>IF($M1266="","",IF($K1266-$M1266&gt;7,"",IF($M1266&lt;=$A1266,"",IF(OR($B1266&lt;=0,$N1266&lt;=0),"",($N1266/$B1266)^(365/($M1266-$A1266))-1))))</f>
        <v/>
      </c>
      <c r="P1266" s="31" t="str">
        <f>IF($B1266="","",IF($P1265="",$B1266,MAX($P1265,$B1266)))</f>
        <v/>
      </c>
      <c r="Q1266" s="32" t="str">
        <f>IF($P1266="","",$B1266/$P1266-1)</f>
        <v/>
      </c>
    </row>
    <row r="1267">
      <c r="A1267" s="11" t="n"/>
      <c r="B1267" s="29" t="n"/>
      <c r="K1267" s="30" t="str">
        <f>IF($A1267="","",EDATE($A1267,12*$E$4))</f>
        <v/>
      </c>
      <c r="L1267" s="19" t="str">
        <f>IF($K1267="","",IF($K1267&gt;MAX($A$8:$A$5007),"",IFERROR(MATCH($K1267,$A$8:$A$5007,1),"")))</f>
        <v/>
      </c>
      <c r="M1267" s="30" t="str">
        <f>IF($L1267="","",INDEX($A$8:$A$5007,$L1267))</f>
        <v/>
      </c>
      <c r="N1267" s="31" t="str">
        <f>IF($L1267="","",INDEX($B$8:$B$5007,$L1267))</f>
        <v/>
      </c>
      <c r="O1267" s="32" t="str">
        <f>IF($M1267="","",IF($K1267-$M1267&gt;7,"",IF($M1267&lt;=$A1267,"",IF(OR($B1267&lt;=0,$N1267&lt;=0),"",($N1267/$B1267)^(365/($M1267-$A1267))-1))))</f>
        <v/>
      </c>
      <c r="P1267" s="31" t="str">
        <f>IF($B1267="","",IF($P1266="",$B1267,MAX($P1266,$B1267)))</f>
        <v/>
      </c>
      <c r="Q1267" s="32" t="str">
        <f>IF($P1267="","",$B1267/$P1267-1)</f>
        <v/>
      </c>
    </row>
    <row r="1268">
      <c r="A1268" s="11" t="n"/>
      <c r="B1268" s="29" t="n"/>
      <c r="K1268" s="30" t="str">
        <f>IF($A1268="","",EDATE($A1268,12*$E$4))</f>
        <v/>
      </c>
      <c r="L1268" s="19" t="str">
        <f>IF($K1268="","",IF($K1268&gt;MAX($A$8:$A$5007),"",IFERROR(MATCH($K1268,$A$8:$A$5007,1),"")))</f>
        <v/>
      </c>
      <c r="M1268" s="30" t="str">
        <f>IF($L1268="","",INDEX($A$8:$A$5007,$L1268))</f>
        <v/>
      </c>
      <c r="N1268" s="31" t="str">
        <f>IF($L1268="","",INDEX($B$8:$B$5007,$L1268))</f>
        <v/>
      </c>
      <c r="O1268" s="32" t="str">
        <f>IF($M1268="","",IF($K1268-$M1268&gt;7,"",IF($M1268&lt;=$A1268,"",IF(OR($B1268&lt;=0,$N1268&lt;=0),"",($N1268/$B1268)^(365/($M1268-$A1268))-1))))</f>
        <v/>
      </c>
      <c r="P1268" s="31" t="str">
        <f>IF($B1268="","",IF($P1267="",$B1268,MAX($P1267,$B1268)))</f>
        <v/>
      </c>
      <c r="Q1268" s="32" t="str">
        <f>IF($P1268="","",$B1268/$P1268-1)</f>
        <v/>
      </c>
    </row>
    <row r="1269">
      <c r="A1269" s="11" t="n"/>
      <c r="B1269" s="29" t="n"/>
      <c r="K1269" s="30" t="str">
        <f>IF($A1269="","",EDATE($A1269,12*$E$4))</f>
        <v/>
      </c>
      <c r="L1269" s="19" t="str">
        <f>IF($K1269="","",IF($K1269&gt;MAX($A$8:$A$5007),"",IFERROR(MATCH($K1269,$A$8:$A$5007,1),"")))</f>
        <v/>
      </c>
      <c r="M1269" s="30" t="str">
        <f>IF($L1269="","",INDEX($A$8:$A$5007,$L1269))</f>
        <v/>
      </c>
      <c r="N1269" s="31" t="str">
        <f>IF($L1269="","",INDEX($B$8:$B$5007,$L1269))</f>
        <v/>
      </c>
      <c r="O1269" s="32" t="str">
        <f>IF($M1269="","",IF($K1269-$M1269&gt;7,"",IF($M1269&lt;=$A1269,"",IF(OR($B1269&lt;=0,$N1269&lt;=0),"",($N1269/$B1269)^(365/($M1269-$A1269))-1))))</f>
        <v/>
      </c>
      <c r="P1269" s="31" t="str">
        <f>IF($B1269="","",IF($P1268="",$B1269,MAX($P1268,$B1269)))</f>
        <v/>
      </c>
      <c r="Q1269" s="32" t="str">
        <f>IF($P1269="","",$B1269/$P1269-1)</f>
        <v/>
      </c>
    </row>
    <row r="1270">
      <c r="A1270" s="11" t="n"/>
      <c r="B1270" s="29" t="n"/>
      <c r="K1270" s="30" t="str">
        <f>IF($A1270="","",EDATE($A1270,12*$E$4))</f>
        <v/>
      </c>
      <c r="L1270" s="19" t="str">
        <f>IF($K1270="","",IF($K1270&gt;MAX($A$8:$A$5007),"",IFERROR(MATCH($K1270,$A$8:$A$5007,1),"")))</f>
        <v/>
      </c>
      <c r="M1270" s="30" t="str">
        <f>IF($L1270="","",INDEX($A$8:$A$5007,$L1270))</f>
        <v/>
      </c>
      <c r="N1270" s="31" t="str">
        <f>IF($L1270="","",INDEX($B$8:$B$5007,$L1270))</f>
        <v/>
      </c>
      <c r="O1270" s="32" t="str">
        <f>IF($M1270="","",IF($K1270-$M1270&gt;7,"",IF($M1270&lt;=$A1270,"",IF(OR($B1270&lt;=0,$N1270&lt;=0),"",($N1270/$B1270)^(365/($M1270-$A1270))-1))))</f>
        <v/>
      </c>
      <c r="P1270" s="31" t="str">
        <f>IF($B1270="","",IF($P1269="",$B1270,MAX($P1269,$B1270)))</f>
        <v/>
      </c>
      <c r="Q1270" s="32" t="str">
        <f>IF($P1270="","",$B1270/$P1270-1)</f>
        <v/>
      </c>
    </row>
    <row r="1271">
      <c r="A1271" s="11" t="n"/>
      <c r="B1271" s="29" t="n"/>
      <c r="K1271" s="30" t="str">
        <f>IF($A1271="","",EDATE($A1271,12*$E$4))</f>
        <v/>
      </c>
      <c r="L1271" s="19" t="str">
        <f>IF($K1271="","",IF($K1271&gt;MAX($A$8:$A$5007),"",IFERROR(MATCH($K1271,$A$8:$A$5007,1),"")))</f>
        <v/>
      </c>
      <c r="M1271" s="30" t="str">
        <f>IF($L1271="","",INDEX($A$8:$A$5007,$L1271))</f>
        <v/>
      </c>
      <c r="N1271" s="31" t="str">
        <f>IF($L1271="","",INDEX($B$8:$B$5007,$L1271))</f>
        <v/>
      </c>
      <c r="O1271" s="32" t="str">
        <f>IF($M1271="","",IF($K1271-$M1271&gt;7,"",IF($M1271&lt;=$A1271,"",IF(OR($B1271&lt;=0,$N1271&lt;=0),"",($N1271/$B1271)^(365/($M1271-$A1271))-1))))</f>
        <v/>
      </c>
      <c r="P1271" s="31" t="str">
        <f>IF($B1271="","",IF($P1270="",$B1271,MAX($P1270,$B1271)))</f>
        <v/>
      </c>
      <c r="Q1271" s="32" t="str">
        <f>IF($P1271="","",$B1271/$P1271-1)</f>
        <v/>
      </c>
    </row>
    <row r="1272">
      <c r="A1272" s="11" t="n"/>
      <c r="B1272" s="29" t="n"/>
      <c r="K1272" s="30" t="str">
        <f>IF($A1272="","",EDATE($A1272,12*$E$4))</f>
        <v/>
      </c>
      <c r="L1272" s="19" t="str">
        <f>IF($K1272="","",IF($K1272&gt;MAX($A$8:$A$5007),"",IFERROR(MATCH($K1272,$A$8:$A$5007,1),"")))</f>
        <v/>
      </c>
      <c r="M1272" s="30" t="str">
        <f>IF($L1272="","",INDEX($A$8:$A$5007,$L1272))</f>
        <v/>
      </c>
      <c r="N1272" s="31" t="str">
        <f>IF($L1272="","",INDEX($B$8:$B$5007,$L1272))</f>
        <v/>
      </c>
      <c r="O1272" s="32" t="str">
        <f>IF($M1272="","",IF($K1272-$M1272&gt;7,"",IF($M1272&lt;=$A1272,"",IF(OR($B1272&lt;=0,$N1272&lt;=0),"",($N1272/$B1272)^(365/($M1272-$A1272))-1))))</f>
        <v/>
      </c>
      <c r="P1272" s="31" t="str">
        <f>IF($B1272="","",IF($P1271="",$B1272,MAX($P1271,$B1272)))</f>
        <v/>
      </c>
      <c r="Q1272" s="32" t="str">
        <f>IF($P1272="","",$B1272/$P1272-1)</f>
        <v/>
      </c>
    </row>
    <row r="1273">
      <c r="A1273" s="11" t="n"/>
      <c r="B1273" s="29" t="n"/>
      <c r="K1273" s="30" t="str">
        <f>IF($A1273="","",EDATE($A1273,12*$E$4))</f>
        <v/>
      </c>
      <c r="L1273" s="19" t="str">
        <f>IF($K1273="","",IF($K1273&gt;MAX($A$8:$A$5007),"",IFERROR(MATCH($K1273,$A$8:$A$5007,1),"")))</f>
        <v/>
      </c>
      <c r="M1273" s="30" t="str">
        <f>IF($L1273="","",INDEX($A$8:$A$5007,$L1273))</f>
        <v/>
      </c>
      <c r="N1273" s="31" t="str">
        <f>IF($L1273="","",INDEX($B$8:$B$5007,$L1273))</f>
        <v/>
      </c>
      <c r="O1273" s="32" t="str">
        <f>IF($M1273="","",IF($K1273-$M1273&gt;7,"",IF($M1273&lt;=$A1273,"",IF(OR($B1273&lt;=0,$N1273&lt;=0),"",($N1273/$B1273)^(365/($M1273-$A1273))-1))))</f>
        <v/>
      </c>
      <c r="P1273" s="31" t="str">
        <f>IF($B1273="","",IF($P1272="",$B1273,MAX($P1272,$B1273)))</f>
        <v/>
      </c>
      <c r="Q1273" s="32" t="str">
        <f>IF($P1273="","",$B1273/$P1273-1)</f>
        <v/>
      </c>
    </row>
    <row r="1274">
      <c r="A1274" s="11" t="n"/>
      <c r="B1274" s="29" t="n"/>
      <c r="K1274" s="30" t="str">
        <f>IF($A1274="","",EDATE($A1274,12*$E$4))</f>
        <v/>
      </c>
      <c r="L1274" s="19" t="str">
        <f>IF($K1274="","",IF($K1274&gt;MAX($A$8:$A$5007),"",IFERROR(MATCH($K1274,$A$8:$A$5007,1),"")))</f>
        <v/>
      </c>
      <c r="M1274" s="30" t="str">
        <f>IF($L1274="","",INDEX($A$8:$A$5007,$L1274))</f>
        <v/>
      </c>
      <c r="N1274" s="31" t="str">
        <f>IF($L1274="","",INDEX($B$8:$B$5007,$L1274))</f>
        <v/>
      </c>
      <c r="O1274" s="32" t="str">
        <f>IF($M1274="","",IF($K1274-$M1274&gt;7,"",IF($M1274&lt;=$A1274,"",IF(OR($B1274&lt;=0,$N1274&lt;=0),"",($N1274/$B1274)^(365/($M1274-$A1274))-1))))</f>
        <v/>
      </c>
      <c r="P1274" s="31" t="str">
        <f>IF($B1274="","",IF($P1273="",$B1274,MAX($P1273,$B1274)))</f>
        <v/>
      </c>
      <c r="Q1274" s="32" t="str">
        <f>IF($P1274="","",$B1274/$P1274-1)</f>
        <v/>
      </c>
    </row>
    <row r="1275">
      <c r="A1275" s="11" t="n"/>
      <c r="B1275" s="29" t="n"/>
      <c r="K1275" s="30" t="str">
        <f>IF($A1275="","",EDATE($A1275,12*$E$4))</f>
        <v/>
      </c>
      <c r="L1275" s="19" t="str">
        <f>IF($K1275="","",IF($K1275&gt;MAX($A$8:$A$5007),"",IFERROR(MATCH($K1275,$A$8:$A$5007,1),"")))</f>
        <v/>
      </c>
      <c r="M1275" s="30" t="str">
        <f>IF($L1275="","",INDEX($A$8:$A$5007,$L1275))</f>
        <v/>
      </c>
      <c r="N1275" s="31" t="str">
        <f>IF($L1275="","",INDEX($B$8:$B$5007,$L1275))</f>
        <v/>
      </c>
      <c r="O1275" s="32" t="str">
        <f>IF($M1275="","",IF($K1275-$M1275&gt;7,"",IF($M1275&lt;=$A1275,"",IF(OR($B1275&lt;=0,$N1275&lt;=0),"",($N1275/$B1275)^(365/($M1275-$A1275))-1))))</f>
        <v/>
      </c>
      <c r="P1275" s="31" t="str">
        <f>IF($B1275="","",IF($P1274="",$B1275,MAX($P1274,$B1275)))</f>
        <v/>
      </c>
      <c r="Q1275" s="32" t="str">
        <f>IF($P1275="","",$B1275/$P1275-1)</f>
        <v/>
      </c>
    </row>
    <row r="1276">
      <c r="A1276" s="11" t="n"/>
      <c r="B1276" s="29" t="n"/>
      <c r="K1276" s="30" t="str">
        <f>IF($A1276="","",EDATE($A1276,12*$E$4))</f>
        <v/>
      </c>
      <c r="L1276" s="19" t="str">
        <f>IF($K1276="","",IF($K1276&gt;MAX($A$8:$A$5007),"",IFERROR(MATCH($K1276,$A$8:$A$5007,1),"")))</f>
        <v/>
      </c>
      <c r="M1276" s="30" t="str">
        <f>IF($L1276="","",INDEX($A$8:$A$5007,$L1276))</f>
        <v/>
      </c>
      <c r="N1276" s="31" t="str">
        <f>IF($L1276="","",INDEX($B$8:$B$5007,$L1276))</f>
        <v/>
      </c>
      <c r="O1276" s="32" t="str">
        <f>IF($M1276="","",IF($K1276-$M1276&gt;7,"",IF($M1276&lt;=$A1276,"",IF(OR($B1276&lt;=0,$N1276&lt;=0),"",($N1276/$B1276)^(365/($M1276-$A1276))-1))))</f>
        <v/>
      </c>
      <c r="P1276" s="31" t="str">
        <f>IF($B1276="","",IF($P1275="",$B1276,MAX($P1275,$B1276)))</f>
        <v/>
      </c>
      <c r="Q1276" s="32" t="str">
        <f>IF($P1276="","",$B1276/$P1276-1)</f>
        <v/>
      </c>
    </row>
    <row r="1277">
      <c r="A1277" s="11" t="n"/>
      <c r="B1277" s="29" t="n"/>
      <c r="K1277" s="30" t="str">
        <f>IF($A1277="","",EDATE($A1277,12*$E$4))</f>
        <v/>
      </c>
      <c r="L1277" s="19" t="str">
        <f>IF($K1277="","",IF($K1277&gt;MAX($A$8:$A$5007),"",IFERROR(MATCH($K1277,$A$8:$A$5007,1),"")))</f>
        <v/>
      </c>
      <c r="M1277" s="30" t="str">
        <f>IF($L1277="","",INDEX($A$8:$A$5007,$L1277))</f>
        <v/>
      </c>
      <c r="N1277" s="31" t="str">
        <f>IF($L1277="","",INDEX($B$8:$B$5007,$L1277))</f>
        <v/>
      </c>
      <c r="O1277" s="32" t="str">
        <f>IF($M1277="","",IF($K1277-$M1277&gt;7,"",IF($M1277&lt;=$A1277,"",IF(OR($B1277&lt;=0,$N1277&lt;=0),"",($N1277/$B1277)^(365/($M1277-$A1277))-1))))</f>
        <v/>
      </c>
      <c r="P1277" s="31" t="str">
        <f>IF($B1277="","",IF($P1276="",$B1277,MAX($P1276,$B1277)))</f>
        <v/>
      </c>
      <c r="Q1277" s="32" t="str">
        <f>IF($P1277="","",$B1277/$P1277-1)</f>
        <v/>
      </c>
    </row>
    <row r="1278">
      <c r="A1278" s="11" t="n"/>
      <c r="B1278" s="29" t="n"/>
      <c r="K1278" s="30" t="str">
        <f>IF($A1278="","",EDATE($A1278,12*$E$4))</f>
        <v/>
      </c>
      <c r="L1278" s="19" t="str">
        <f>IF($K1278="","",IF($K1278&gt;MAX($A$8:$A$5007),"",IFERROR(MATCH($K1278,$A$8:$A$5007,1),"")))</f>
        <v/>
      </c>
      <c r="M1278" s="30" t="str">
        <f>IF($L1278="","",INDEX($A$8:$A$5007,$L1278))</f>
        <v/>
      </c>
      <c r="N1278" s="31" t="str">
        <f>IF($L1278="","",INDEX($B$8:$B$5007,$L1278))</f>
        <v/>
      </c>
      <c r="O1278" s="32" t="str">
        <f>IF($M1278="","",IF($K1278-$M1278&gt;7,"",IF($M1278&lt;=$A1278,"",IF(OR($B1278&lt;=0,$N1278&lt;=0),"",($N1278/$B1278)^(365/($M1278-$A1278))-1))))</f>
        <v/>
      </c>
      <c r="P1278" s="31" t="str">
        <f>IF($B1278="","",IF($P1277="",$B1278,MAX($P1277,$B1278)))</f>
        <v/>
      </c>
      <c r="Q1278" s="32" t="str">
        <f>IF($P1278="","",$B1278/$P1278-1)</f>
        <v/>
      </c>
    </row>
    <row r="1279">
      <c r="A1279" s="11" t="n"/>
      <c r="B1279" s="29" t="n"/>
      <c r="K1279" s="30" t="str">
        <f>IF($A1279="","",EDATE($A1279,12*$E$4))</f>
        <v/>
      </c>
      <c r="L1279" s="19" t="str">
        <f>IF($K1279="","",IF($K1279&gt;MAX($A$8:$A$5007),"",IFERROR(MATCH($K1279,$A$8:$A$5007,1),"")))</f>
        <v/>
      </c>
      <c r="M1279" s="30" t="str">
        <f>IF($L1279="","",INDEX($A$8:$A$5007,$L1279))</f>
        <v/>
      </c>
      <c r="N1279" s="31" t="str">
        <f>IF($L1279="","",INDEX($B$8:$B$5007,$L1279))</f>
        <v/>
      </c>
      <c r="O1279" s="32" t="str">
        <f>IF($M1279="","",IF($K1279-$M1279&gt;7,"",IF($M1279&lt;=$A1279,"",IF(OR($B1279&lt;=0,$N1279&lt;=0),"",($N1279/$B1279)^(365/($M1279-$A1279))-1))))</f>
        <v/>
      </c>
      <c r="P1279" s="31" t="str">
        <f>IF($B1279="","",IF($P1278="",$B1279,MAX($P1278,$B1279)))</f>
        <v/>
      </c>
      <c r="Q1279" s="32" t="str">
        <f>IF($P1279="","",$B1279/$P1279-1)</f>
        <v/>
      </c>
    </row>
    <row r="1280">
      <c r="A1280" s="11" t="n"/>
      <c r="B1280" s="29" t="n"/>
      <c r="K1280" s="30" t="str">
        <f>IF($A1280="","",EDATE($A1280,12*$E$4))</f>
        <v/>
      </c>
      <c r="L1280" s="19" t="str">
        <f>IF($K1280="","",IF($K1280&gt;MAX($A$8:$A$5007),"",IFERROR(MATCH($K1280,$A$8:$A$5007,1),"")))</f>
        <v/>
      </c>
      <c r="M1280" s="30" t="str">
        <f>IF($L1280="","",INDEX($A$8:$A$5007,$L1280))</f>
        <v/>
      </c>
      <c r="N1280" s="31" t="str">
        <f>IF($L1280="","",INDEX($B$8:$B$5007,$L1280))</f>
        <v/>
      </c>
      <c r="O1280" s="32" t="str">
        <f>IF($M1280="","",IF($K1280-$M1280&gt;7,"",IF($M1280&lt;=$A1280,"",IF(OR($B1280&lt;=0,$N1280&lt;=0),"",($N1280/$B1280)^(365/($M1280-$A1280))-1))))</f>
        <v/>
      </c>
      <c r="P1280" s="31" t="str">
        <f>IF($B1280="","",IF($P1279="",$B1280,MAX($P1279,$B1280)))</f>
        <v/>
      </c>
      <c r="Q1280" s="32" t="str">
        <f>IF($P1280="","",$B1280/$P1280-1)</f>
        <v/>
      </c>
    </row>
    <row r="1281">
      <c r="A1281" s="11" t="n"/>
      <c r="B1281" s="29" t="n"/>
      <c r="K1281" s="30" t="str">
        <f>IF($A1281="","",EDATE($A1281,12*$E$4))</f>
        <v/>
      </c>
      <c r="L1281" s="19" t="str">
        <f>IF($K1281="","",IF($K1281&gt;MAX($A$8:$A$5007),"",IFERROR(MATCH($K1281,$A$8:$A$5007,1),"")))</f>
        <v/>
      </c>
      <c r="M1281" s="30" t="str">
        <f>IF($L1281="","",INDEX($A$8:$A$5007,$L1281))</f>
        <v/>
      </c>
      <c r="N1281" s="31" t="str">
        <f>IF($L1281="","",INDEX($B$8:$B$5007,$L1281))</f>
        <v/>
      </c>
      <c r="O1281" s="32" t="str">
        <f>IF($M1281="","",IF($K1281-$M1281&gt;7,"",IF($M1281&lt;=$A1281,"",IF(OR($B1281&lt;=0,$N1281&lt;=0),"",($N1281/$B1281)^(365/($M1281-$A1281))-1))))</f>
        <v/>
      </c>
      <c r="P1281" s="31" t="str">
        <f>IF($B1281="","",IF($P1280="",$B1281,MAX($P1280,$B1281)))</f>
        <v/>
      </c>
      <c r="Q1281" s="32" t="str">
        <f>IF($P1281="","",$B1281/$P1281-1)</f>
        <v/>
      </c>
    </row>
    <row r="1282">
      <c r="A1282" s="11" t="n"/>
      <c r="B1282" s="29" t="n"/>
      <c r="K1282" s="30" t="str">
        <f>IF($A1282="","",EDATE($A1282,12*$E$4))</f>
        <v/>
      </c>
      <c r="L1282" s="19" t="str">
        <f>IF($K1282="","",IF($K1282&gt;MAX($A$8:$A$5007),"",IFERROR(MATCH($K1282,$A$8:$A$5007,1),"")))</f>
        <v/>
      </c>
      <c r="M1282" s="30" t="str">
        <f>IF($L1282="","",INDEX($A$8:$A$5007,$L1282))</f>
        <v/>
      </c>
      <c r="N1282" s="31" t="str">
        <f>IF($L1282="","",INDEX($B$8:$B$5007,$L1282))</f>
        <v/>
      </c>
      <c r="O1282" s="32" t="str">
        <f>IF($M1282="","",IF($K1282-$M1282&gt;7,"",IF($M1282&lt;=$A1282,"",IF(OR($B1282&lt;=0,$N1282&lt;=0),"",($N1282/$B1282)^(365/($M1282-$A1282))-1))))</f>
        <v/>
      </c>
      <c r="P1282" s="31" t="str">
        <f>IF($B1282="","",IF($P1281="",$B1282,MAX($P1281,$B1282)))</f>
        <v/>
      </c>
      <c r="Q1282" s="32" t="str">
        <f>IF($P1282="","",$B1282/$P1282-1)</f>
        <v/>
      </c>
    </row>
    <row r="1283">
      <c r="A1283" s="11" t="n"/>
      <c r="B1283" s="29" t="n"/>
      <c r="K1283" s="30" t="str">
        <f>IF($A1283="","",EDATE($A1283,12*$E$4))</f>
        <v/>
      </c>
      <c r="L1283" s="19" t="str">
        <f>IF($K1283="","",IF($K1283&gt;MAX($A$8:$A$5007),"",IFERROR(MATCH($K1283,$A$8:$A$5007,1),"")))</f>
        <v/>
      </c>
      <c r="M1283" s="30" t="str">
        <f>IF($L1283="","",INDEX($A$8:$A$5007,$L1283))</f>
        <v/>
      </c>
      <c r="N1283" s="31" t="str">
        <f>IF($L1283="","",INDEX($B$8:$B$5007,$L1283))</f>
        <v/>
      </c>
      <c r="O1283" s="32" t="str">
        <f>IF($M1283="","",IF($K1283-$M1283&gt;7,"",IF($M1283&lt;=$A1283,"",IF(OR($B1283&lt;=0,$N1283&lt;=0),"",($N1283/$B1283)^(365/($M1283-$A1283))-1))))</f>
        <v/>
      </c>
      <c r="P1283" s="31" t="str">
        <f>IF($B1283="","",IF($P1282="",$B1283,MAX($P1282,$B1283)))</f>
        <v/>
      </c>
      <c r="Q1283" s="32" t="str">
        <f>IF($P1283="","",$B1283/$P1283-1)</f>
        <v/>
      </c>
    </row>
    <row r="1284">
      <c r="A1284" s="11" t="n"/>
      <c r="B1284" s="29" t="n"/>
      <c r="K1284" s="30" t="str">
        <f>IF($A1284="","",EDATE($A1284,12*$E$4))</f>
        <v/>
      </c>
      <c r="L1284" s="19" t="str">
        <f>IF($K1284="","",IF($K1284&gt;MAX($A$8:$A$5007),"",IFERROR(MATCH($K1284,$A$8:$A$5007,1),"")))</f>
        <v/>
      </c>
      <c r="M1284" s="30" t="str">
        <f>IF($L1284="","",INDEX($A$8:$A$5007,$L1284))</f>
        <v/>
      </c>
      <c r="N1284" s="31" t="str">
        <f>IF($L1284="","",INDEX($B$8:$B$5007,$L1284))</f>
        <v/>
      </c>
      <c r="O1284" s="32" t="str">
        <f>IF($M1284="","",IF($K1284-$M1284&gt;7,"",IF($M1284&lt;=$A1284,"",IF(OR($B1284&lt;=0,$N1284&lt;=0),"",($N1284/$B1284)^(365/($M1284-$A1284))-1))))</f>
        <v/>
      </c>
      <c r="P1284" s="31" t="str">
        <f>IF($B1284="","",IF($P1283="",$B1284,MAX($P1283,$B1284)))</f>
        <v/>
      </c>
      <c r="Q1284" s="32" t="str">
        <f>IF($P1284="","",$B1284/$P1284-1)</f>
        <v/>
      </c>
    </row>
    <row r="1285">
      <c r="A1285" s="11" t="n"/>
      <c r="B1285" s="29" t="n"/>
      <c r="K1285" s="30" t="str">
        <f>IF($A1285="","",EDATE($A1285,12*$E$4))</f>
        <v/>
      </c>
      <c r="L1285" s="19" t="str">
        <f>IF($K1285="","",IF($K1285&gt;MAX($A$8:$A$5007),"",IFERROR(MATCH($K1285,$A$8:$A$5007,1),"")))</f>
        <v/>
      </c>
      <c r="M1285" s="30" t="str">
        <f>IF($L1285="","",INDEX($A$8:$A$5007,$L1285))</f>
        <v/>
      </c>
      <c r="N1285" s="31" t="str">
        <f>IF($L1285="","",INDEX($B$8:$B$5007,$L1285))</f>
        <v/>
      </c>
      <c r="O1285" s="32" t="str">
        <f>IF($M1285="","",IF($K1285-$M1285&gt;7,"",IF($M1285&lt;=$A1285,"",IF(OR($B1285&lt;=0,$N1285&lt;=0),"",($N1285/$B1285)^(365/($M1285-$A1285))-1))))</f>
        <v/>
      </c>
      <c r="P1285" s="31" t="str">
        <f>IF($B1285="","",IF($P1284="",$B1285,MAX($P1284,$B1285)))</f>
        <v/>
      </c>
      <c r="Q1285" s="32" t="str">
        <f>IF($P1285="","",$B1285/$P1285-1)</f>
        <v/>
      </c>
    </row>
    <row r="1286">
      <c r="A1286" s="11" t="n"/>
      <c r="B1286" s="29" t="n"/>
      <c r="K1286" s="30" t="str">
        <f>IF($A1286="","",EDATE($A1286,12*$E$4))</f>
        <v/>
      </c>
      <c r="L1286" s="19" t="str">
        <f>IF($K1286="","",IF($K1286&gt;MAX($A$8:$A$5007),"",IFERROR(MATCH($K1286,$A$8:$A$5007,1),"")))</f>
        <v/>
      </c>
      <c r="M1286" s="30" t="str">
        <f>IF($L1286="","",INDEX($A$8:$A$5007,$L1286))</f>
        <v/>
      </c>
      <c r="N1286" s="31" t="str">
        <f>IF($L1286="","",INDEX($B$8:$B$5007,$L1286))</f>
        <v/>
      </c>
      <c r="O1286" s="32" t="str">
        <f>IF($M1286="","",IF($K1286-$M1286&gt;7,"",IF($M1286&lt;=$A1286,"",IF(OR($B1286&lt;=0,$N1286&lt;=0),"",($N1286/$B1286)^(365/($M1286-$A1286))-1))))</f>
        <v/>
      </c>
      <c r="P1286" s="31" t="str">
        <f>IF($B1286="","",IF($P1285="",$B1286,MAX($P1285,$B1286)))</f>
        <v/>
      </c>
      <c r="Q1286" s="32" t="str">
        <f>IF($P1286="","",$B1286/$P1286-1)</f>
        <v/>
      </c>
    </row>
    <row r="1287">
      <c r="A1287" s="11" t="n"/>
      <c r="B1287" s="29" t="n"/>
      <c r="K1287" s="30" t="str">
        <f>IF($A1287="","",EDATE($A1287,12*$E$4))</f>
        <v/>
      </c>
      <c r="L1287" s="19" t="str">
        <f>IF($K1287="","",IF($K1287&gt;MAX($A$8:$A$5007),"",IFERROR(MATCH($K1287,$A$8:$A$5007,1),"")))</f>
        <v/>
      </c>
      <c r="M1287" s="30" t="str">
        <f>IF($L1287="","",INDEX($A$8:$A$5007,$L1287))</f>
        <v/>
      </c>
      <c r="N1287" s="31" t="str">
        <f>IF($L1287="","",INDEX($B$8:$B$5007,$L1287))</f>
        <v/>
      </c>
      <c r="O1287" s="32" t="str">
        <f>IF($M1287="","",IF($K1287-$M1287&gt;7,"",IF($M1287&lt;=$A1287,"",IF(OR($B1287&lt;=0,$N1287&lt;=0),"",($N1287/$B1287)^(365/($M1287-$A1287))-1))))</f>
        <v/>
      </c>
      <c r="P1287" s="31" t="str">
        <f>IF($B1287="","",IF($P1286="",$B1287,MAX($P1286,$B1287)))</f>
        <v/>
      </c>
      <c r="Q1287" s="32" t="str">
        <f>IF($P1287="","",$B1287/$P1287-1)</f>
        <v/>
      </c>
    </row>
    <row r="1288">
      <c r="A1288" s="11" t="n"/>
      <c r="B1288" s="29" t="n"/>
      <c r="K1288" s="30" t="str">
        <f>IF($A1288="","",EDATE($A1288,12*$E$4))</f>
        <v/>
      </c>
      <c r="L1288" s="19" t="str">
        <f>IF($K1288="","",IF($K1288&gt;MAX($A$8:$A$5007),"",IFERROR(MATCH($K1288,$A$8:$A$5007,1),"")))</f>
        <v/>
      </c>
      <c r="M1288" s="30" t="str">
        <f>IF($L1288="","",INDEX($A$8:$A$5007,$L1288))</f>
        <v/>
      </c>
      <c r="N1288" s="31" t="str">
        <f>IF($L1288="","",INDEX($B$8:$B$5007,$L1288))</f>
        <v/>
      </c>
      <c r="O1288" s="32" t="str">
        <f>IF($M1288="","",IF($K1288-$M1288&gt;7,"",IF($M1288&lt;=$A1288,"",IF(OR($B1288&lt;=0,$N1288&lt;=0),"",($N1288/$B1288)^(365/($M1288-$A1288))-1))))</f>
        <v/>
      </c>
      <c r="P1288" s="31" t="str">
        <f>IF($B1288="","",IF($P1287="",$B1288,MAX($P1287,$B1288)))</f>
        <v/>
      </c>
      <c r="Q1288" s="32" t="str">
        <f>IF($P1288="","",$B1288/$P1288-1)</f>
        <v/>
      </c>
    </row>
    <row r="1289">
      <c r="A1289" s="11" t="n"/>
      <c r="B1289" s="29" t="n"/>
      <c r="K1289" s="30" t="str">
        <f>IF($A1289="","",EDATE($A1289,12*$E$4))</f>
        <v/>
      </c>
      <c r="L1289" s="19" t="str">
        <f>IF($K1289="","",IF($K1289&gt;MAX($A$8:$A$5007),"",IFERROR(MATCH($K1289,$A$8:$A$5007,1),"")))</f>
        <v/>
      </c>
      <c r="M1289" s="30" t="str">
        <f>IF($L1289="","",INDEX($A$8:$A$5007,$L1289))</f>
        <v/>
      </c>
      <c r="N1289" s="31" t="str">
        <f>IF($L1289="","",INDEX($B$8:$B$5007,$L1289))</f>
        <v/>
      </c>
      <c r="O1289" s="32" t="str">
        <f>IF($M1289="","",IF($K1289-$M1289&gt;7,"",IF($M1289&lt;=$A1289,"",IF(OR($B1289&lt;=0,$N1289&lt;=0),"",($N1289/$B1289)^(365/($M1289-$A1289))-1))))</f>
        <v/>
      </c>
      <c r="P1289" s="31" t="str">
        <f>IF($B1289="","",IF($P1288="",$B1289,MAX($P1288,$B1289)))</f>
        <v/>
      </c>
      <c r="Q1289" s="32" t="str">
        <f>IF($P1289="","",$B1289/$P1289-1)</f>
        <v/>
      </c>
    </row>
    <row r="1290">
      <c r="A1290" s="11" t="n"/>
      <c r="B1290" s="29" t="n"/>
      <c r="K1290" s="30" t="str">
        <f>IF($A1290="","",EDATE($A1290,12*$E$4))</f>
        <v/>
      </c>
      <c r="L1290" s="19" t="str">
        <f>IF($K1290="","",IF($K1290&gt;MAX($A$8:$A$5007),"",IFERROR(MATCH($K1290,$A$8:$A$5007,1),"")))</f>
        <v/>
      </c>
      <c r="M1290" s="30" t="str">
        <f>IF($L1290="","",INDEX($A$8:$A$5007,$L1290))</f>
        <v/>
      </c>
      <c r="N1290" s="31" t="str">
        <f>IF($L1290="","",INDEX($B$8:$B$5007,$L1290))</f>
        <v/>
      </c>
      <c r="O1290" s="32" t="str">
        <f>IF($M1290="","",IF($K1290-$M1290&gt;7,"",IF($M1290&lt;=$A1290,"",IF(OR($B1290&lt;=0,$N1290&lt;=0),"",($N1290/$B1290)^(365/($M1290-$A1290))-1))))</f>
        <v/>
      </c>
      <c r="P1290" s="31" t="str">
        <f>IF($B1290="","",IF($P1289="",$B1290,MAX($P1289,$B1290)))</f>
        <v/>
      </c>
      <c r="Q1290" s="32" t="str">
        <f>IF($P1290="","",$B1290/$P1290-1)</f>
        <v/>
      </c>
    </row>
    <row r="1291">
      <c r="A1291" s="11" t="n"/>
      <c r="B1291" s="29" t="n"/>
      <c r="K1291" s="30" t="str">
        <f>IF($A1291="","",EDATE($A1291,12*$E$4))</f>
        <v/>
      </c>
      <c r="L1291" s="19" t="str">
        <f>IF($K1291="","",IF($K1291&gt;MAX($A$8:$A$5007),"",IFERROR(MATCH($K1291,$A$8:$A$5007,1),"")))</f>
        <v/>
      </c>
      <c r="M1291" s="30" t="str">
        <f>IF($L1291="","",INDEX($A$8:$A$5007,$L1291))</f>
        <v/>
      </c>
      <c r="N1291" s="31" t="str">
        <f>IF($L1291="","",INDEX($B$8:$B$5007,$L1291))</f>
        <v/>
      </c>
      <c r="O1291" s="32" t="str">
        <f>IF($M1291="","",IF($K1291-$M1291&gt;7,"",IF($M1291&lt;=$A1291,"",IF(OR($B1291&lt;=0,$N1291&lt;=0),"",($N1291/$B1291)^(365/($M1291-$A1291))-1))))</f>
        <v/>
      </c>
      <c r="P1291" s="31" t="str">
        <f>IF($B1291="","",IF($P1290="",$B1291,MAX($P1290,$B1291)))</f>
        <v/>
      </c>
      <c r="Q1291" s="32" t="str">
        <f>IF($P1291="","",$B1291/$P1291-1)</f>
        <v/>
      </c>
    </row>
    <row r="1292">
      <c r="A1292" s="11" t="n"/>
      <c r="B1292" s="29" t="n"/>
      <c r="K1292" s="30" t="str">
        <f>IF($A1292="","",EDATE($A1292,12*$E$4))</f>
        <v/>
      </c>
      <c r="L1292" s="19" t="str">
        <f>IF($K1292="","",IF($K1292&gt;MAX($A$8:$A$5007),"",IFERROR(MATCH($K1292,$A$8:$A$5007,1),"")))</f>
        <v/>
      </c>
      <c r="M1292" s="30" t="str">
        <f>IF($L1292="","",INDEX($A$8:$A$5007,$L1292))</f>
        <v/>
      </c>
      <c r="N1292" s="31" t="str">
        <f>IF($L1292="","",INDEX($B$8:$B$5007,$L1292))</f>
        <v/>
      </c>
      <c r="O1292" s="32" t="str">
        <f>IF($M1292="","",IF($K1292-$M1292&gt;7,"",IF($M1292&lt;=$A1292,"",IF(OR($B1292&lt;=0,$N1292&lt;=0),"",($N1292/$B1292)^(365/($M1292-$A1292))-1))))</f>
        <v/>
      </c>
      <c r="P1292" s="31" t="str">
        <f>IF($B1292="","",IF($P1291="",$B1292,MAX($P1291,$B1292)))</f>
        <v/>
      </c>
      <c r="Q1292" s="32" t="str">
        <f>IF($P1292="","",$B1292/$P1292-1)</f>
        <v/>
      </c>
    </row>
    <row r="1293">
      <c r="A1293" s="11" t="n"/>
      <c r="B1293" s="29" t="n"/>
      <c r="K1293" s="30" t="str">
        <f>IF($A1293="","",EDATE($A1293,12*$E$4))</f>
        <v/>
      </c>
      <c r="L1293" s="19" t="str">
        <f>IF($K1293="","",IF($K1293&gt;MAX($A$8:$A$5007),"",IFERROR(MATCH($K1293,$A$8:$A$5007,1),"")))</f>
        <v/>
      </c>
      <c r="M1293" s="30" t="str">
        <f>IF($L1293="","",INDEX($A$8:$A$5007,$L1293))</f>
        <v/>
      </c>
      <c r="N1293" s="31" t="str">
        <f>IF($L1293="","",INDEX($B$8:$B$5007,$L1293))</f>
        <v/>
      </c>
      <c r="O1293" s="32" t="str">
        <f>IF($M1293="","",IF($K1293-$M1293&gt;7,"",IF($M1293&lt;=$A1293,"",IF(OR($B1293&lt;=0,$N1293&lt;=0),"",($N1293/$B1293)^(365/($M1293-$A1293))-1))))</f>
        <v/>
      </c>
      <c r="P1293" s="31" t="str">
        <f>IF($B1293="","",IF($P1292="",$B1293,MAX($P1292,$B1293)))</f>
        <v/>
      </c>
      <c r="Q1293" s="32" t="str">
        <f>IF($P1293="","",$B1293/$P1293-1)</f>
        <v/>
      </c>
    </row>
    <row r="1294">
      <c r="A1294" s="11" t="n"/>
      <c r="B1294" s="29" t="n"/>
      <c r="K1294" s="30" t="str">
        <f>IF($A1294="","",EDATE($A1294,12*$E$4))</f>
        <v/>
      </c>
      <c r="L1294" s="19" t="str">
        <f>IF($K1294="","",IF($K1294&gt;MAX($A$8:$A$5007),"",IFERROR(MATCH($K1294,$A$8:$A$5007,1),"")))</f>
        <v/>
      </c>
      <c r="M1294" s="30" t="str">
        <f>IF($L1294="","",INDEX($A$8:$A$5007,$L1294))</f>
        <v/>
      </c>
      <c r="N1294" s="31" t="str">
        <f>IF($L1294="","",INDEX($B$8:$B$5007,$L1294))</f>
        <v/>
      </c>
      <c r="O1294" s="32" t="str">
        <f>IF($M1294="","",IF($K1294-$M1294&gt;7,"",IF($M1294&lt;=$A1294,"",IF(OR($B1294&lt;=0,$N1294&lt;=0),"",($N1294/$B1294)^(365/($M1294-$A1294))-1))))</f>
        <v/>
      </c>
      <c r="P1294" s="31" t="str">
        <f>IF($B1294="","",IF($P1293="",$B1294,MAX($P1293,$B1294)))</f>
        <v/>
      </c>
      <c r="Q1294" s="32" t="str">
        <f>IF($P1294="","",$B1294/$P1294-1)</f>
        <v/>
      </c>
    </row>
    <row r="1295">
      <c r="A1295" s="11" t="n"/>
      <c r="B1295" s="29" t="n"/>
      <c r="K1295" s="30" t="str">
        <f>IF($A1295="","",EDATE($A1295,12*$E$4))</f>
        <v/>
      </c>
      <c r="L1295" s="19" t="str">
        <f>IF($K1295="","",IF($K1295&gt;MAX($A$8:$A$5007),"",IFERROR(MATCH($K1295,$A$8:$A$5007,1),"")))</f>
        <v/>
      </c>
      <c r="M1295" s="30" t="str">
        <f>IF($L1295="","",INDEX($A$8:$A$5007,$L1295))</f>
        <v/>
      </c>
      <c r="N1295" s="31" t="str">
        <f>IF($L1295="","",INDEX($B$8:$B$5007,$L1295))</f>
        <v/>
      </c>
      <c r="O1295" s="32" t="str">
        <f>IF($M1295="","",IF($K1295-$M1295&gt;7,"",IF($M1295&lt;=$A1295,"",IF(OR($B1295&lt;=0,$N1295&lt;=0),"",($N1295/$B1295)^(365/($M1295-$A1295))-1))))</f>
        <v/>
      </c>
      <c r="P1295" s="31" t="str">
        <f>IF($B1295="","",IF($P1294="",$B1295,MAX($P1294,$B1295)))</f>
        <v/>
      </c>
      <c r="Q1295" s="32" t="str">
        <f>IF($P1295="","",$B1295/$P1295-1)</f>
        <v/>
      </c>
    </row>
    <row r="1296">
      <c r="A1296" s="11" t="n"/>
      <c r="B1296" s="29" t="n"/>
      <c r="K1296" s="30" t="str">
        <f>IF($A1296="","",EDATE($A1296,12*$E$4))</f>
        <v/>
      </c>
      <c r="L1296" s="19" t="str">
        <f>IF($K1296="","",IF($K1296&gt;MAX($A$8:$A$5007),"",IFERROR(MATCH($K1296,$A$8:$A$5007,1),"")))</f>
        <v/>
      </c>
      <c r="M1296" s="30" t="str">
        <f>IF($L1296="","",INDEX($A$8:$A$5007,$L1296))</f>
        <v/>
      </c>
      <c r="N1296" s="31" t="str">
        <f>IF($L1296="","",INDEX($B$8:$B$5007,$L1296))</f>
        <v/>
      </c>
      <c r="O1296" s="32" t="str">
        <f>IF($M1296="","",IF($K1296-$M1296&gt;7,"",IF($M1296&lt;=$A1296,"",IF(OR($B1296&lt;=0,$N1296&lt;=0),"",($N1296/$B1296)^(365/($M1296-$A1296))-1))))</f>
        <v/>
      </c>
      <c r="P1296" s="31" t="str">
        <f>IF($B1296="","",IF($P1295="",$B1296,MAX($P1295,$B1296)))</f>
        <v/>
      </c>
      <c r="Q1296" s="32" t="str">
        <f>IF($P1296="","",$B1296/$P1296-1)</f>
        <v/>
      </c>
    </row>
    <row r="1297">
      <c r="A1297" s="11" t="n"/>
      <c r="B1297" s="29" t="n"/>
      <c r="K1297" s="30" t="str">
        <f>IF($A1297="","",EDATE($A1297,12*$E$4))</f>
        <v/>
      </c>
      <c r="L1297" s="19" t="str">
        <f>IF($K1297="","",IF($K1297&gt;MAX($A$8:$A$5007),"",IFERROR(MATCH($K1297,$A$8:$A$5007,1),"")))</f>
        <v/>
      </c>
      <c r="M1297" s="30" t="str">
        <f>IF($L1297="","",INDEX($A$8:$A$5007,$L1297))</f>
        <v/>
      </c>
      <c r="N1297" s="31" t="str">
        <f>IF($L1297="","",INDEX($B$8:$B$5007,$L1297))</f>
        <v/>
      </c>
      <c r="O1297" s="32" t="str">
        <f>IF($M1297="","",IF($K1297-$M1297&gt;7,"",IF($M1297&lt;=$A1297,"",IF(OR($B1297&lt;=0,$N1297&lt;=0),"",($N1297/$B1297)^(365/($M1297-$A1297))-1))))</f>
        <v/>
      </c>
      <c r="P1297" s="31" t="str">
        <f>IF($B1297="","",IF($P1296="",$B1297,MAX($P1296,$B1297)))</f>
        <v/>
      </c>
      <c r="Q1297" s="32" t="str">
        <f>IF($P1297="","",$B1297/$P1297-1)</f>
        <v/>
      </c>
    </row>
    <row r="1298">
      <c r="A1298" s="11" t="n"/>
      <c r="B1298" s="29" t="n"/>
      <c r="K1298" s="30" t="str">
        <f>IF($A1298="","",EDATE($A1298,12*$E$4))</f>
        <v/>
      </c>
      <c r="L1298" s="19" t="str">
        <f>IF($K1298="","",IF($K1298&gt;MAX($A$8:$A$5007),"",IFERROR(MATCH($K1298,$A$8:$A$5007,1),"")))</f>
        <v/>
      </c>
      <c r="M1298" s="30" t="str">
        <f>IF($L1298="","",INDEX($A$8:$A$5007,$L1298))</f>
        <v/>
      </c>
      <c r="N1298" s="31" t="str">
        <f>IF($L1298="","",INDEX($B$8:$B$5007,$L1298))</f>
        <v/>
      </c>
      <c r="O1298" s="32" t="str">
        <f>IF($M1298="","",IF($K1298-$M1298&gt;7,"",IF($M1298&lt;=$A1298,"",IF(OR($B1298&lt;=0,$N1298&lt;=0),"",($N1298/$B1298)^(365/($M1298-$A1298))-1))))</f>
        <v/>
      </c>
      <c r="P1298" s="31" t="str">
        <f>IF($B1298="","",IF($P1297="",$B1298,MAX($P1297,$B1298)))</f>
        <v/>
      </c>
      <c r="Q1298" s="32" t="str">
        <f>IF($P1298="","",$B1298/$P1298-1)</f>
        <v/>
      </c>
    </row>
    <row r="1299">
      <c r="A1299" s="11" t="n"/>
      <c r="B1299" s="29" t="n"/>
      <c r="K1299" s="30" t="str">
        <f>IF($A1299="","",EDATE($A1299,12*$E$4))</f>
        <v/>
      </c>
      <c r="L1299" s="19" t="str">
        <f>IF($K1299="","",IF($K1299&gt;MAX($A$8:$A$5007),"",IFERROR(MATCH($K1299,$A$8:$A$5007,1),"")))</f>
        <v/>
      </c>
      <c r="M1299" s="30" t="str">
        <f>IF($L1299="","",INDEX($A$8:$A$5007,$L1299))</f>
        <v/>
      </c>
      <c r="N1299" s="31" t="str">
        <f>IF($L1299="","",INDEX($B$8:$B$5007,$L1299))</f>
        <v/>
      </c>
      <c r="O1299" s="32" t="str">
        <f>IF($M1299="","",IF($K1299-$M1299&gt;7,"",IF($M1299&lt;=$A1299,"",IF(OR($B1299&lt;=0,$N1299&lt;=0),"",($N1299/$B1299)^(365/($M1299-$A1299))-1))))</f>
        <v/>
      </c>
      <c r="P1299" s="31" t="str">
        <f>IF($B1299="","",IF($P1298="",$B1299,MAX($P1298,$B1299)))</f>
        <v/>
      </c>
      <c r="Q1299" s="32" t="str">
        <f>IF($P1299="","",$B1299/$P1299-1)</f>
        <v/>
      </c>
    </row>
    <row r="1300">
      <c r="A1300" s="11" t="n"/>
      <c r="B1300" s="29" t="n"/>
      <c r="K1300" s="30" t="str">
        <f>IF($A1300="","",EDATE($A1300,12*$E$4))</f>
        <v/>
      </c>
      <c r="L1300" s="19" t="str">
        <f>IF($K1300="","",IF($K1300&gt;MAX($A$8:$A$5007),"",IFERROR(MATCH($K1300,$A$8:$A$5007,1),"")))</f>
        <v/>
      </c>
      <c r="M1300" s="30" t="str">
        <f>IF($L1300="","",INDEX($A$8:$A$5007,$L1300))</f>
        <v/>
      </c>
      <c r="N1300" s="31" t="str">
        <f>IF($L1300="","",INDEX($B$8:$B$5007,$L1300))</f>
        <v/>
      </c>
      <c r="O1300" s="32" t="str">
        <f>IF($M1300="","",IF($K1300-$M1300&gt;7,"",IF($M1300&lt;=$A1300,"",IF(OR($B1300&lt;=0,$N1300&lt;=0),"",($N1300/$B1300)^(365/($M1300-$A1300))-1))))</f>
        <v/>
      </c>
      <c r="P1300" s="31" t="str">
        <f>IF($B1300="","",IF($P1299="",$B1300,MAX($P1299,$B1300)))</f>
        <v/>
      </c>
      <c r="Q1300" s="32" t="str">
        <f>IF($P1300="","",$B1300/$P1300-1)</f>
        <v/>
      </c>
    </row>
    <row r="1301">
      <c r="A1301" s="11" t="n"/>
      <c r="B1301" s="29" t="n"/>
      <c r="K1301" s="30" t="str">
        <f>IF($A1301="","",EDATE($A1301,12*$E$4))</f>
        <v/>
      </c>
      <c r="L1301" s="19" t="str">
        <f>IF($K1301="","",IF($K1301&gt;MAX($A$8:$A$5007),"",IFERROR(MATCH($K1301,$A$8:$A$5007,1),"")))</f>
        <v/>
      </c>
      <c r="M1301" s="30" t="str">
        <f>IF($L1301="","",INDEX($A$8:$A$5007,$L1301))</f>
        <v/>
      </c>
      <c r="N1301" s="31" t="str">
        <f>IF($L1301="","",INDEX($B$8:$B$5007,$L1301))</f>
        <v/>
      </c>
      <c r="O1301" s="32" t="str">
        <f>IF($M1301="","",IF($K1301-$M1301&gt;7,"",IF($M1301&lt;=$A1301,"",IF(OR($B1301&lt;=0,$N1301&lt;=0),"",($N1301/$B1301)^(365/($M1301-$A1301))-1))))</f>
        <v/>
      </c>
      <c r="P1301" s="31" t="str">
        <f>IF($B1301="","",IF($P1300="",$B1301,MAX($P1300,$B1301)))</f>
        <v/>
      </c>
      <c r="Q1301" s="32" t="str">
        <f>IF($P1301="","",$B1301/$P1301-1)</f>
        <v/>
      </c>
    </row>
    <row r="1302">
      <c r="A1302" s="11" t="n"/>
      <c r="B1302" s="29" t="n"/>
      <c r="K1302" s="30" t="str">
        <f>IF($A1302="","",EDATE($A1302,12*$E$4))</f>
        <v/>
      </c>
      <c r="L1302" s="19" t="str">
        <f>IF($K1302="","",IF($K1302&gt;MAX($A$8:$A$5007),"",IFERROR(MATCH($K1302,$A$8:$A$5007,1),"")))</f>
        <v/>
      </c>
      <c r="M1302" s="30" t="str">
        <f>IF($L1302="","",INDEX($A$8:$A$5007,$L1302))</f>
        <v/>
      </c>
      <c r="N1302" s="31" t="str">
        <f>IF($L1302="","",INDEX($B$8:$B$5007,$L1302))</f>
        <v/>
      </c>
      <c r="O1302" s="32" t="str">
        <f>IF($M1302="","",IF($K1302-$M1302&gt;7,"",IF($M1302&lt;=$A1302,"",IF(OR($B1302&lt;=0,$N1302&lt;=0),"",($N1302/$B1302)^(365/($M1302-$A1302))-1))))</f>
        <v/>
      </c>
      <c r="P1302" s="31" t="str">
        <f>IF($B1302="","",IF($P1301="",$B1302,MAX($P1301,$B1302)))</f>
        <v/>
      </c>
      <c r="Q1302" s="32" t="str">
        <f>IF($P1302="","",$B1302/$P1302-1)</f>
        <v/>
      </c>
    </row>
    <row r="1303">
      <c r="A1303" s="11" t="n"/>
      <c r="B1303" s="29" t="n"/>
      <c r="K1303" s="30" t="str">
        <f>IF($A1303="","",EDATE($A1303,12*$E$4))</f>
        <v/>
      </c>
      <c r="L1303" s="19" t="str">
        <f>IF($K1303="","",IF($K1303&gt;MAX($A$8:$A$5007),"",IFERROR(MATCH($K1303,$A$8:$A$5007,1),"")))</f>
        <v/>
      </c>
      <c r="M1303" s="30" t="str">
        <f>IF($L1303="","",INDEX($A$8:$A$5007,$L1303))</f>
        <v/>
      </c>
      <c r="N1303" s="31" t="str">
        <f>IF($L1303="","",INDEX($B$8:$B$5007,$L1303))</f>
        <v/>
      </c>
      <c r="O1303" s="32" t="str">
        <f>IF($M1303="","",IF($K1303-$M1303&gt;7,"",IF($M1303&lt;=$A1303,"",IF(OR($B1303&lt;=0,$N1303&lt;=0),"",($N1303/$B1303)^(365/($M1303-$A1303))-1))))</f>
        <v/>
      </c>
      <c r="P1303" s="31" t="str">
        <f>IF($B1303="","",IF($P1302="",$B1303,MAX($P1302,$B1303)))</f>
        <v/>
      </c>
      <c r="Q1303" s="32" t="str">
        <f>IF($P1303="","",$B1303/$P1303-1)</f>
        <v/>
      </c>
    </row>
    <row r="1304">
      <c r="A1304" s="11" t="n"/>
      <c r="B1304" s="29" t="n"/>
      <c r="K1304" s="30" t="str">
        <f>IF($A1304="","",EDATE($A1304,12*$E$4))</f>
        <v/>
      </c>
      <c r="L1304" s="19" t="str">
        <f>IF($K1304="","",IF($K1304&gt;MAX($A$8:$A$5007),"",IFERROR(MATCH($K1304,$A$8:$A$5007,1),"")))</f>
        <v/>
      </c>
      <c r="M1304" s="30" t="str">
        <f>IF($L1304="","",INDEX($A$8:$A$5007,$L1304))</f>
        <v/>
      </c>
      <c r="N1304" s="31" t="str">
        <f>IF($L1304="","",INDEX($B$8:$B$5007,$L1304))</f>
        <v/>
      </c>
      <c r="O1304" s="32" t="str">
        <f>IF($M1304="","",IF($K1304-$M1304&gt;7,"",IF($M1304&lt;=$A1304,"",IF(OR($B1304&lt;=0,$N1304&lt;=0),"",($N1304/$B1304)^(365/($M1304-$A1304))-1))))</f>
        <v/>
      </c>
      <c r="P1304" s="31" t="str">
        <f>IF($B1304="","",IF($P1303="",$B1304,MAX($P1303,$B1304)))</f>
        <v/>
      </c>
      <c r="Q1304" s="32" t="str">
        <f>IF($P1304="","",$B1304/$P1304-1)</f>
        <v/>
      </c>
    </row>
    <row r="1305">
      <c r="A1305" s="11" t="n"/>
      <c r="B1305" s="29" t="n"/>
      <c r="K1305" s="30" t="str">
        <f>IF($A1305="","",EDATE($A1305,12*$E$4))</f>
        <v/>
      </c>
      <c r="L1305" s="19" t="str">
        <f>IF($K1305="","",IF($K1305&gt;MAX($A$8:$A$5007),"",IFERROR(MATCH($K1305,$A$8:$A$5007,1),"")))</f>
        <v/>
      </c>
      <c r="M1305" s="30" t="str">
        <f>IF($L1305="","",INDEX($A$8:$A$5007,$L1305))</f>
        <v/>
      </c>
      <c r="N1305" s="31" t="str">
        <f>IF($L1305="","",INDEX($B$8:$B$5007,$L1305))</f>
        <v/>
      </c>
      <c r="O1305" s="32" t="str">
        <f>IF($M1305="","",IF($K1305-$M1305&gt;7,"",IF($M1305&lt;=$A1305,"",IF(OR($B1305&lt;=0,$N1305&lt;=0),"",($N1305/$B1305)^(365/($M1305-$A1305))-1))))</f>
        <v/>
      </c>
      <c r="P1305" s="31" t="str">
        <f>IF($B1305="","",IF($P1304="",$B1305,MAX($P1304,$B1305)))</f>
        <v/>
      </c>
      <c r="Q1305" s="32" t="str">
        <f>IF($P1305="","",$B1305/$P1305-1)</f>
        <v/>
      </c>
    </row>
    <row r="1306">
      <c r="A1306" s="11" t="n"/>
      <c r="B1306" s="29" t="n"/>
      <c r="K1306" s="30" t="str">
        <f>IF($A1306="","",EDATE($A1306,12*$E$4))</f>
        <v/>
      </c>
      <c r="L1306" s="19" t="str">
        <f>IF($K1306="","",IF($K1306&gt;MAX($A$8:$A$5007),"",IFERROR(MATCH($K1306,$A$8:$A$5007,1),"")))</f>
        <v/>
      </c>
      <c r="M1306" s="30" t="str">
        <f>IF($L1306="","",INDEX($A$8:$A$5007,$L1306))</f>
        <v/>
      </c>
      <c r="N1306" s="31" t="str">
        <f>IF($L1306="","",INDEX($B$8:$B$5007,$L1306))</f>
        <v/>
      </c>
      <c r="O1306" s="32" t="str">
        <f>IF($M1306="","",IF($K1306-$M1306&gt;7,"",IF($M1306&lt;=$A1306,"",IF(OR($B1306&lt;=0,$N1306&lt;=0),"",($N1306/$B1306)^(365/($M1306-$A1306))-1))))</f>
        <v/>
      </c>
      <c r="P1306" s="31" t="str">
        <f>IF($B1306="","",IF($P1305="",$B1306,MAX($P1305,$B1306)))</f>
        <v/>
      </c>
      <c r="Q1306" s="32" t="str">
        <f>IF($P1306="","",$B1306/$P1306-1)</f>
        <v/>
      </c>
    </row>
    <row r="1307">
      <c r="A1307" s="11" t="n"/>
      <c r="B1307" s="29" t="n"/>
      <c r="K1307" s="30" t="str">
        <f>IF($A1307="","",EDATE($A1307,12*$E$4))</f>
        <v/>
      </c>
      <c r="L1307" s="19" t="str">
        <f>IF($K1307="","",IF($K1307&gt;MAX($A$8:$A$5007),"",IFERROR(MATCH($K1307,$A$8:$A$5007,1),"")))</f>
        <v/>
      </c>
      <c r="M1307" s="30" t="str">
        <f>IF($L1307="","",INDEX($A$8:$A$5007,$L1307))</f>
        <v/>
      </c>
      <c r="N1307" s="31" t="str">
        <f>IF($L1307="","",INDEX($B$8:$B$5007,$L1307))</f>
        <v/>
      </c>
      <c r="O1307" s="32" t="str">
        <f>IF($M1307="","",IF($K1307-$M1307&gt;7,"",IF($M1307&lt;=$A1307,"",IF(OR($B1307&lt;=0,$N1307&lt;=0),"",($N1307/$B1307)^(365/($M1307-$A1307))-1))))</f>
        <v/>
      </c>
      <c r="P1307" s="31" t="str">
        <f>IF($B1307="","",IF($P1306="",$B1307,MAX($P1306,$B1307)))</f>
        <v/>
      </c>
      <c r="Q1307" s="32" t="str">
        <f>IF($P1307="","",$B1307/$P1307-1)</f>
        <v/>
      </c>
    </row>
    <row r="1308">
      <c r="A1308" s="11" t="n"/>
      <c r="B1308" s="29" t="n"/>
      <c r="K1308" s="30" t="str">
        <f>IF($A1308="","",EDATE($A1308,12*$E$4))</f>
        <v/>
      </c>
      <c r="L1308" s="19" t="str">
        <f>IF($K1308="","",IF($K1308&gt;MAX($A$8:$A$5007),"",IFERROR(MATCH($K1308,$A$8:$A$5007,1),"")))</f>
        <v/>
      </c>
      <c r="M1308" s="30" t="str">
        <f>IF($L1308="","",INDEX($A$8:$A$5007,$L1308))</f>
        <v/>
      </c>
      <c r="N1308" s="31" t="str">
        <f>IF($L1308="","",INDEX($B$8:$B$5007,$L1308))</f>
        <v/>
      </c>
      <c r="O1308" s="32" t="str">
        <f>IF($M1308="","",IF($K1308-$M1308&gt;7,"",IF($M1308&lt;=$A1308,"",IF(OR($B1308&lt;=0,$N1308&lt;=0),"",($N1308/$B1308)^(365/($M1308-$A1308))-1))))</f>
        <v/>
      </c>
      <c r="P1308" s="31" t="str">
        <f>IF($B1308="","",IF($P1307="",$B1308,MAX($P1307,$B1308)))</f>
        <v/>
      </c>
      <c r="Q1308" s="32" t="str">
        <f>IF($P1308="","",$B1308/$P1308-1)</f>
        <v/>
      </c>
    </row>
    <row r="1309">
      <c r="A1309" s="11" t="n"/>
      <c r="B1309" s="29" t="n"/>
      <c r="K1309" s="30" t="str">
        <f>IF($A1309="","",EDATE($A1309,12*$E$4))</f>
        <v/>
      </c>
      <c r="L1309" s="19" t="str">
        <f>IF($K1309="","",IF($K1309&gt;MAX($A$8:$A$5007),"",IFERROR(MATCH($K1309,$A$8:$A$5007,1),"")))</f>
        <v/>
      </c>
      <c r="M1309" s="30" t="str">
        <f>IF($L1309="","",INDEX($A$8:$A$5007,$L1309))</f>
        <v/>
      </c>
      <c r="N1309" s="31" t="str">
        <f>IF($L1309="","",INDEX($B$8:$B$5007,$L1309))</f>
        <v/>
      </c>
      <c r="O1309" s="32" t="str">
        <f>IF($M1309="","",IF($K1309-$M1309&gt;7,"",IF($M1309&lt;=$A1309,"",IF(OR($B1309&lt;=0,$N1309&lt;=0),"",($N1309/$B1309)^(365/($M1309-$A1309))-1))))</f>
        <v/>
      </c>
      <c r="P1309" s="31" t="str">
        <f>IF($B1309="","",IF($P1308="",$B1309,MAX($P1308,$B1309)))</f>
        <v/>
      </c>
      <c r="Q1309" s="32" t="str">
        <f>IF($P1309="","",$B1309/$P1309-1)</f>
        <v/>
      </c>
    </row>
    <row r="1310">
      <c r="A1310" s="11" t="n"/>
      <c r="B1310" s="29" t="n"/>
      <c r="K1310" s="30" t="str">
        <f>IF($A1310="","",EDATE($A1310,12*$E$4))</f>
        <v/>
      </c>
      <c r="L1310" s="19" t="str">
        <f>IF($K1310="","",IF($K1310&gt;MAX($A$8:$A$5007),"",IFERROR(MATCH($K1310,$A$8:$A$5007,1),"")))</f>
        <v/>
      </c>
      <c r="M1310" s="30" t="str">
        <f>IF($L1310="","",INDEX($A$8:$A$5007,$L1310))</f>
        <v/>
      </c>
      <c r="N1310" s="31" t="str">
        <f>IF($L1310="","",INDEX($B$8:$B$5007,$L1310))</f>
        <v/>
      </c>
      <c r="O1310" s="32" t="str">
        <f>IF($M1310="","",IF($K1310-$M1310&gt;7,"",IF($M1310&lt;=$A1310,"",IF(OR($B1310&lt;=0,$N1310&lt;=0),"",($N1310/$B1310)^(365/($M1310-$A1310))-1))))</f>
        <v/>
      </c>
      <c r="P1310" s="31" t="str">
        <f>IF($B1310="","",IF($P1309="",$B1310,MAX($P1309,$B1310)))</f>
        <v/>
      </c>
      <c r="Q1310" s="32" t="str">
        <f>IF($P1310="","",$B1310/$P1310-1)</f>
        <v/>
      </c>
    </row>
    <row r="1311">
      <c r="A1311" s="11" t="n"/>
      <c r="B1311" s="29" t="n"/>
      <c r="K1311" s="30" t="str">
        <f>IF($A1311="","",EDATE($A1311,12*$E$4))</f>
        <v/>
      </c>
      <c r="L1311" s="19" t="str">
        <f>IF($K1311="","",IF($K1311&gt;MAX($A$8:$A$5007),"",IFERROR(MATCH($K1311,$A$8:$A$5007,1),"")))</f>
        <v/>
      </c>
      <c r="M1311" s="30" t="str">
        <f>IF($L1311="","",INDEX($A$8:$A$5007,$L1311))</f>
        <v/>
      </c>
      <c r="N1311" s="31" t="str">
        <f>IF($L1311="","",INDEX($B$8:$B$5007,$L1311))</f>
        <v/>
      </c>
      <c r="O1311" s="32" t="str">
        <f>IF($M1311="","",IF($K1311-$M1311&gt;7,"",IF($M1311&lt;=$A1311,"",IF(OR($B1311&lt;=0,$N1311&lt;=0),"",($N1311/$B1311)^(365/($M1311-$A1311))-1))))</f>
        <v/>
      </c>
      <c r="P1311" s="31" t="str">
        <f>IF($B1311="","",IF($P1310="",$B1311,MAX($P1310,$B1311)))</f>
        <v/>
      </c>
      <c r="Q1311" s="32" t="str">
        <f>IF($P1311="","",$B1311/$P1311-1)</f>
        <v/>
      </c>
    </row>
    <row r="1312">
      <c r="A1312" s="11" t="n"/>
      <c r="B1312" s="29" t="n"/>
      <c r="K1312" s="30" t="str">
        <f>IF($A1312="","",EDATE($A1312,12*$E$4))</f>
        <v/>
      </c>
      <c r="L1312" s="19" t="str">
        <f>IF($K1312="","",IF($K1312&gt;MAX($A$8:$A$5007),"",IFERROR(MATCH($K1312,$A$8:$A$5007,1),"")))</f>
        <v/>
      </c>
      <c r="M1312" s="30" t="str">
        <f>IF($L1312="","",INDEX($A$8:$A$5007,$L1312))</f>
        <v/>
      </c>
      <c r="N1312" s="31" t="str">
        <f>IF($L1312="","",INDEX($B$8:$B$5007,$L1312))</f>
        <v/>
      </c>
      <c r="O1312" s="32" t="str">
        <f>IF($M1312="","",IF($K1312-$M1312&gt;7,"",IF($M1312&lt;=$A1312,"",IF(OR($B1312&lt;=0,$N1312&lt;=0),"",($N1312/$B1312)^(365/($M1312-$A1312))-1))))</f>
        <v/>
      </c>
      <c r="P1312" s="31" t="str">
        <f>IF($B1312="","",IF($P1311="",$B1312,MAX($P1311,$B1312)))</f>
        <v/>
      </c>
      <c r="Q1312" s="32" t="str">
        <f>IF($P1312="","",$B1312/$P1312-1)</f>
        <v/>
      </c>
    </row>
    <row r="1313">
      <c r="A1313" s="11" t="n"/>
      <c r="B1313" s="29" t="n"/>
      <c r="K1313" s="30" t="str">
        <f>IF($A1313="","",EDATE($A1313,12*$E$4))</f>
        <v/>
      </c>
      <c r="L1313" s="19" t="str">
        <f>IF($K1313="","",IF($K1313&gt;MAX($A$8:$A$5007),"",IFERROR(MATCH($K1313,$A$8:$A$5007,1),"")))</f>
        <v/>
      </c>
      <c r="M1313" s="30" t="str">
        <f>IF($L1313="","",INDEX($A$8:$A$5007,$L1313))</f>
        <v/>
      </c>
      <c r="N1313" s="31" t="str">
        <f>IF($L1313="","",INDEX($B$8:$B$5007,$L1313))</f>
        <v/>
      </c>
      <c r="O1313" s="32" t="str">
        <f>IF($M1313="","",IF($K1313-$M1313&gt;7,"",IF($M1313&lt;=$A1313,"",IF(OR($B1313&lt;=0,$N1313&lt;=0),"",($N1313/$B1313)^(365/($M1313-$A1313))-1))))</f>
        <v/>
      </c>
      <c r="P1313" s="31" t="str">
        <f>IF($B1313="","",IF($P1312="",$B1313,MAX($P1312,$B1313)))</f>
        <v/>
      </c>
      <c r="Q1313" s="32" t="str">
        <f>IF($P1313="","",$B1313/$P1313-1)</f>
        <v/>
      </c>
    </row>
    <row r="1314">
      <c r="A1314" s="11" t="n"/>
      <c r="B1314" s="29" t="n"/>
      <c r="K1314" s="30" t="str">
        <f>IF($A1314="","",EDATE($A1314,12*$E$4))</f>
        <v/>
      </c>
      <c r="L1314" s="19" t="str">
        <f>IF($K1314="","",IF($K1314&gt;MAX($A$8:$A$5007),"",IFERROR(MATCH($K1314,$A$8:$A$5007,1),"")))</f>
        <v/>
      </c>
      <c r="M1314" s="30" t="str">
        <f>IF($L1314="","",INDEX($A$8:$A$5007,$L1314))</f>
        <v/>
      </c>
      <c r="N1314" s="31" t="str">
        <f>IF($L1314="","",INDEX($B$8:$B$5007,$L1314))</f>
        <v/>
      </c>
      <c r="O1314" s="32" t="str">
        <f>IF($M1314="","",IF($K1314-$M1314&gt;7,"",IF($M1314&lt;=$A1314,"",IF(OR($B1314&lt;=0,$N1314&lt;=0),"",($N1314/$B1314)^(365/($M1314-$A1314))-1))))</f>
        <v/>
      </c>
      <c r="P1314" s="31" t="str">
        <f>IF($B1314="","",IF($P1313="",$B1314,MAX($P1313,$B1314)))</f>
        <v/>
      </c>
      <c r="Q1314" s="32" t="str">
        <f>IF($P1314="","",$B1314/$P1314-1)</f>
        <v/>
      </c>
    </row>
    <row r="1315">
      <c r="A1315" s="11" t="n"/>
      <c r="B1315" s="29" t="n"/>
      <c r="K1315" s="30" t="str">
        <f>IF($A1315="","",EDATE($A1315,12*$E$4))</f>
        <v/>
      </c>
      <c r="L1315" s="19" t="str">
        <f>IF($K1315="","",IF($K1315&gt;MAX($A$8:$A$5007),"",IFERROR(MATCH($K1315,$A$8:$A$5007,1),"")))</f>
        <v/>
      </c>
      <c r="M1315" s="30" t="str">
        <f>IF($L1315="","",INDEX($A$8:$A$5007,$L1315))</f>
        <v/>
      </c>
      <c r="N1315" s="31" t="str">
        <f>IF($L1315="","",INDEX($B$8:$B$5007,$L1315))</f>
        <v/>
      </c>
      <c r="O1315" s="32" t="str">
        <f>IF($M1315="","",IF($K1315-$M1315&gt;7,"",IF($M1315&lt;=$A1315,"",IF(OR($B1315&lt;=0,$N1315&lt;=0),"",($N1315/$B1315)^(365/($M1315-$A1315))-1))))</f>
        <v/>
      </c>
      <c r="P1315" s="31" t="str">
        <f>IF($B1315="","",IF($P1314="",$B1315,MAX($P1314,$B1315)))</f>
        <v/>
      </c>
      <c r="Q1315" s="32" t="str">
        <f>IF($P1315="","",$B1315/$P1315-1)</f>
        <v/>
      </c>
    </row>
    <row r="1316">
      <c r="A1316" s="11" t="n"/>
      <c r="B1316" s="29" t="n"/>
      <c r="K1316" s="30" t="str">
        <f>IF($A1316="","",EDATE($A1316,12*$E$4))</f>
        <v/>
      </c>
      <c r="L1316" s="19" t="str">
        <f>IF($K1316="","",IF($K1316&gt;MAX($A$8:$A$5007),"",IFERROR(MATCH($K1316,$A$8:$A$5007,1),"")))</f>
        <v/>
      </c>
      <c r="M1316" s="30" t="str">
        <f>IF($L1316="","",INDEX($A$8:$A$5007,$L1316))</f>
        <v/>
      </c>
      <c r="N1316" s="31" t="str">
        <f>IF($L1316="","",INDEX($B$8:$B$5007,$L1316))</f>
        <v/>
      </c>
      <c r="O1316" s="32" t="str">
        <f>IF($M1316="","",IF($K1316-$M1316&gt;7,"",IF($M1316&lt;=$A1316,"",IF(OR($B1316&lt;=0,$N1316&lt;=0),"",($N1316/$B1316)^(365/($M1316-$A1316))-1))))</f>
        <v/>
      </c>
      <c r="P1316" s="31" t="str">
        <f>IF($B1316="","",IF($P1315="",$B1316,MAX($P1315,$B1316)))</f>
        <v/>
      </c>
      <c r="Q1316" s="32" t="str">
        <f>IF($P1316="","",$B1316/$P1316-1)</f>
        <v/>
      </c>
    </row>
    <row r="1317">
      <c r="A1317" s="11" t="n"/>
      <c r="B1317" s="29" t="n"/>
      <c r="K1317" s="30" t="str">
        <f>IF($A1317="","",EDATE($A1317,12*$E$4))</f>
        <v/>
      </c>
      <c r="L1317" s="19" t="str">
        <f>IF($K1317="","",IF($K1317&gt;MAX($A$8:$A$5007),"",IFERROR(MATCH($K1317,$A$8:$A$5007,1),"")))</f>
        <v/>
      </c>
      <c r="M1317" s="30" t="str">
        <f>IF($L1317="","",INDEX($A$8:$A$5007,$L1317))</f>
        <v/>
      </c>
      <c r="N1317" s="31" t="str">
        <f>IF($L1317="","",INDEX($B$8:$B$5007,$L1317))</f>
        <v/>
      </c>
      <c r="O1317" s="32" t="str">
        <f>IF($M1317="","",IF($K1317-$M1317&gt;7,"",IF($M1317&lt;=$A1317,"",IF(OR($B1317&lt;=0,$N1317&lt;=0),"",($N1317/$B1317)^(365/($M1317-$A1317))-1))))</f>
        <v/>
      </c>
      <c r="P1317" s="31" t="str">
        <f>IF($B1317="","",IF($P1316="",$B1317,MAX($P1316,$B1317)))</f>
        <v/>
      </c>
      <c r="Q1317" s="32" t="str">
        <f>IF($P1317="","",$B1317/$P1317-1)</f>
        <v/>
      </c>
    </row>
    <row r="1318">
      <c r="A1318" s="11" t="n"/>
      <c r="B1318" s="29" t="n"/>
      <c r="K1318" s="30" t="str">
        <f>IF($A1318="","",EDATE($A1318,12*$E$4))</f>
        <v/>
      </c>
      <c r="L1318" s="19" t="str">
        <f>IF($K1318="","",IF($K1318&gt;MAX($A$8:$A$5007),"",IFERROR(MATCH($K1318,$A$8:$A$5007,1),"")))</f>
        <v/>
      </c>
      <c r="M1318" s="30" t="str">
        <f>IF($L1318="","",INDEX($A$8:$A$5007,$L1318))</f>
        <v/>
      </c>
      <c r="N1318" s="31" t="str">
        <f>IF($L1318="","",INDEX($B$8:$B$5007,$L1318))</f>
        <v/>
      </c>
      <c r="O1318" s="32" t="str">
        <f>IF($M1318="","",IF($K1318-$M1318&gt;7,"",IF($M1318&lt;=$A1318,"",IF(OR($B1318&lt;=0,$N1318&lt;=0),"",($N1318/$B1318)^(365/($M1318-$A1318))-1))))</f>
        <v/>
      </c>
      <c r="P1318" s="31" t="str">
        <f>IF($B1318="","",IF($P1317="",$B1318,MAX($P1317,$B1318)))</f>
        <v/>
      </c>
      <c r="Q1318" s="32" t="str">
        <f>IF($P1318="","",$B1318/$P1318-1)</f>
        <v/>
      </c>
    </row>
    <row r="1319">
      <c r="A1319" s="11" t="n"/>
      <c r="B1319" s="29" t="n"/>
      <c r="K1319" s="30" t="str">
        <f>IF($A1319="","",EDATE($A1319,12*$E$4))</f>
        <v/>
      </c>
      <c r="L1319" s="19" t="str">
        <f>IF($K1319="","",IF($K1319&gt;MAX($A$8:$A$5007),"",IFERROR(MATCH($K1319,$A$8:$A$5007,1),"")))</f>
        <v/>
      </c>
      <c r="M1319" s="30" t="str">
        <f>IF($L1319="","",INDEX($A$8:$A$5007,$L1319))</f>
        <v/>
      </c>
      <c r="N1319" s="31" t="str">
        <f>IF($L1319="","",INDEX($B$8:$B$5007,$L1319))</f>
        <v/>
      </c>
      <c r="O1319" s="32" t="str">
        <f>IF($M1319="","",IF($K1319-$M1319&gt;7,"",IF($M1319&lt;=$A1319,"",IF(OR($B1319&lt;=0,$N1319&lt;=0),"",($N1319/$B1319)^(365/($M1319-$A1319))-1))))</f>
        <v/>
      </c>
      <c r="P1319" s="31" t="str">
        <f>IF($B1319="","",IF($P1318="",$B1319,MAX($P1318,$B1319)))</f>
        <v/>
      </c>
      <c r="Q1319" s="32" t="str">
        <f>IF($P1319="","",$B1319/$P1319-1)</f>
        <v/>
      </c>
    </row>
    <row r="1320">
      <c r="A1320" s="11" t="n"/>
      <c r="B1320" s="29" t="n"/>
      <c r="K1320" s="30" t="str">
        <f>IF($A1320="","",EDATE($A1320,12*$E$4))</f>
        <v/>
      </c>
      <c r="L1320" s="19" t="str">
        <f>IF($K1320="","",IF($K1320&gt;MAX($A$8:$A$5007),"",IFERROR(MATCH($K1320,$A$8:$A$5007,1),"")))</f>
        <v/>
      </c>
      <c r="M1320" s="30" t="str">
        <f>IF($L1320="","",INDEX($A$8:$A$5007,$L1320))</f>
        <v/>
      </c>
      <c r="N1320" s="31" t="str">
        <f>IF($L1320="","",INDEX($B$8:$B$5007,$L1320))</f>
        <v/>
      </c>
      <c r="O1320" s="32" t="str">
        <f>IF($M1320="","",IF($K1320-$M1320&gt;7,"",IF($M1320&lt;=$A1320,"",IF(OR($B1320&lt;=0,$N1320&lt;=0),"",($N1320/$B1320)^(365/($M1320-$A1320))-1))))</f>
        <v/>
      </c>
      <c r="P1320" s="31" t="str">
        <f>IF($B1320="","",IF($P1319="",$B1320,MAX($P1319,$B1320)))</f>
        <v/>
      </c>
      <c r="Q1320" s="32" t="str">
        <f>IF($P1320="","",$B1320/$P1320-1)</f>
        <v/>
      </c>
    </row>
    <row r="1321">
      <c r="A1321" s="11" t="n"/>
      <c r="B1321" s="29" t="n"/>
      <c r="K1321" s="30" t="str">
        <f>IF($A1321="","",EDATE($A1321,12*$E$4))</f>
        <v/>
      </c>
      <c r="L1321" s="19" t="str">
        <f>IF($K1321="","",IF($K1321&gt;MAX($A$8:$A$5007),"",IFERROR(MATCH($K1321,$A$8:$A$5007,1),"")))</f>
        <v/>
      </c>
      <c r="M1321" s="30" t="str">
        <f>IF($L1321="","",INDEX($A$8:$A$5007,$L1321))</f>
        <v/>
      </c>
      <c r="N1321" s="31" t="str">
        <f>IF($L1321="","",INDEX($B$8:$B$5007,$L1321))</f>
        <v/>
      </c>
      <c r="O1321" s="32" t="str">
        <f>IF($M1321="","",IF($K1321-$M1321&gt;7,"",IF($M1321&lt;=$A1321,"",IF(OR($B1321&lt;=0,$N1321&lt;=0),"",($N1321/$B1321)^(365/($M1321-$A1321))-1))))</f>
        <v/>
      </c>
      <c r="P1321" s="31" t="str">
        <f>IF($B1321="","",IF($P1320="",$B1321,MAX($P1320,$B1321)))</f>
        <v/>
      </c>
      <c r="Q1321" s="32" t="str">
        <f>IF($P1321="","",$B1321/$P1321-1)</f>
        <v/>
      </c>
    </row>
    <row r="1322">
      <c r="A1322" s="11" t="n"/>
      <c r="B1322" s="29" t="n"/>
      <c r="K1322" s="30" t="str">
        <f>IF($A1322="","",EDATE($A1322,12*$E$4))</f>
        <v/>
      </c>
      <c r="L1322" s="19" t="str">
        <f>IF($K1322="","",IF($K1322&gt;MAX($A$8:$A$5007),"",IFERROR(MATCH($K1322,$A$8:$A$5007,1),"")))</f>
        <v/>
      </c>
      <c r="M1322" s="30" t="str">
        <f>IF($L1322="","",INDEX($A$8:$A$5007,$L1322))</f>
        <v/>
      </c>
      <c r="N1322" s="31" t="str">
        <f>IF($L1322="","",INDEX($B$8:$B$5007,$L1322))</f>
        <v/>
      </c>
      <c r="O1322" s="32" t="str">
        <f>IF($M1322="","",IF($K1322-$M1322&gt;7,"",IF($M1322&lt;=$A1322,"",IF(OR($B1322&lt;=0,$N1322&lt;=0),"",($N1322/$B1322)^(365/($M1322-$A1322))-1))))</f>
        <v/>
      </c>
      <c r="P1322" s="31" t="str">
        <f>IF($B1322="","",IF($P1321="",$B1322,MAX($P1321,$B1322)))</f>
        <v/>
      </c>
      <c r="Q1322" s="32" t="str">
        <f>IF($P1322="","",$B1322/$P1322-1)</f>
        <v/>
      </c>
    </row>
    <row r="1323">
      <c r="A1323" s="11" t="n"/>
      <c r="B1323" s="29" t="n"/>
      <c r="K1323" s="30" t="str">
        <f>IF($A1323="","",EDATE($A1323,12*$E$4))</f>
        <v/>
      </c>
      <c r="L1323" s="19" t="str">
        <f>IF($K1323="","",IF($K1323&gt;MAX($A$8:$A$5007),"",IFERROR(MATCH($K1323,$A$8:$A$5007,1),"")))</f>
        <v/>
      </c>
      <c r="M1323" s="30" t="str">
        <f>IF($L1323="","",INDEX($A$8:$A$5007,$L1323))</f>
        <v/>
      </c>
      <c r="N1323" s="31" t="str">
        <f>IF($L1323="","",INDEX($B$8:$B$5007,$L1323))</f>
        <v/>
      </c>
      <c r="O1323" s="32" t="str">
        <f>IF($M1323="","",IF($K1323-$M1323&gt;7,"",IF($M1323&lt;=$A1323,"",IF(OR($B1323&lt;=0,$N1323&lt;=0),"",($N1323/$B1323)^(365/($M1323-$A1323))-1))))</f>
        <v/>
      </c>
      <c r="P1323" s="31" t="str">
        <f>IF($B1323="","",IF($P1322="",$B1323,MAX($P1322,$B1323)))</f>
        <v/>
      </c>
      <c r="Q1323" s="32" t="str">
        <f>IF($P1323="","",$B1323/$P1323-1)</f>
        <v/>
      </c>
    </row>
    <row r="1324">
      <c r="A1324" s="11" t="n"/>
      <c r="B1324" s="29" t="n"/>
      <c r="K1324" s="30" t="str">
        <f>IF($A1324="","",EDATE($A1324,12*$E$4))</f>
        <v/>
      </c>
      <c r="L1324" s="19" t="str">
        <f>IF($K1324="","",IF($K1324&gt;MAX($A$8:$A$5007),"",IFERROR(MATCH($K1324,$A$8:$A$5007,1),"")))</f>
        <v/>
      </c>
      <c r="M1324" s="30" t="str">
        <f>IF($L1324="","",INDEX($A$8:$A$5007,$L1324))</f>
        <v/>
      </c>
      <c r="N1324" s="31" t="str">
        <f>IF($L1324="","",INDEX($B$8:$B$5007,$L1324))</f>
        <v/>
      </c>
      <c r="O1324" s="32" t="str">
        <f>IF($M1324="","",IF($K1324-$M1324&gt;7,"",IF($M1324&lt;=$A1324,"",IF(OR($B1324&lt;=0,$N1324&lt;=0),"",($N1324/$B1324)^(365/($M1324-$A1324))-1))))</f>
        <v/>
      </c>
      <c r="P1324" s="31" t="str">
        <f>IF($B1324="","",IF($P1323="",$B1324,MAX($P1323,$B1324)))</f>
        <v/>
      </c>
      <c r="Q1324" s="32" t="str">
        <f>IF($P1324="","",$B1324/$P1324-1)</f>
        <v/>
      </c>
    </row>
    <row r="1325">
      <c r="A1325" s="11" t="n"/>
      <c r="B1325" s="29" t="n"/>
      <c r="K1325" s="30" t="str">
        <f>IF($A1325="","",EDATE($A1325,12*$E$4))</f>
        <v/>
      </c>
      <c r="L1325" s="19" t="str">
        <f>IF($K1325="","",IF($K1325&gt;MAX($A$8:$A$5007),"",IFERROR(MATCH($K1325,$A$8:$A$5007,1),"")))</f>
        <v/>
      </c>
      <c r="M1325" s="30" t="str">
        <f>IF($L1325="","",INDEX($A$8:$A$5007,$L1325))</f>
        <v/>
      </c>
      <c r="N1325" s="31" t="str">
        <f>IF($L1325="","",INDEX($B$8:$B$5007,$L1325))</f>
        <v/>
      </c>
      <c r="O1325" s="32" t="str">
        <f>IF($M1325="","",IF($K1325-$M1325&gt;7,"",IF($M1325&lt;=$A1325,"",IF(OR($B1325&lt;=0,$N1325&lt;=0),"",($N1325/$B1325)^(365/($M1325-$A1325))-1))))</f>
        <v/>
      </c>
      <c r="P1325" s="31" t="str">
        <f>IF($B1325="","",IF($P1324="",$B1325,MAX($P1324,$B1325)))</f>
        <v/>
      </c>
      <c r="Q1325" s="32" t="str">
        <f>IF($P1325="","",$B1325/$P1325-1)</f>
        <v/>
      </c>
    </row>
    <row r="1326">
      <c r="A1326" s="11" t="n"/>
      <c r="B1326" s="29" t="n"/>
      <c r="K1326" s="30" t="str">
        <f>IF($A1326="","",EDATE($A1326,12*$E$4))</f>
        <v/>
      </c>
      <c r="L1326" s="19" t="str">
        <f>IF($K1326="","",IF($K1326&gt;MAX($A$8:$A$5007),"",IFERROR(MATCH($K1326,$A$8:$A$5007,1),"")))</f>
        <v/>
      </c>
      <c r="M1326" s="30" t="str">
        <f>IF($L1326="","",INDEX($A$8:$A$5007,$L1326))</f>
        <v/>
      </c>
      <c r="N1326" s="31" t="str">
        <f>IF($L1326="","",INDEX($B$8:$B$5007,$L1326))</f>
        <v/>
      </c>
      <c r="O1326" s="32" t="str">
        <f>IF($M1326="","",IF($K1326-$M1326&gt;7,"",IF($M1326&lt;=$A1326,"",IF(OR($B1326&lt;=0,$N1326&lt;=0),"",($N1326/$B1326)^(365/($M1326-$A1326))-1))))</f>
        <v/>
      </c>
      <c r="P1326" s="31" t="str">
        <f>IF($B1326="","",IF($P1325="",$B1326,MAX($P1325,$B1326)))</f>
        <v/>
      </c>
      <c r="Q1326" s="32" t="str">
        <f>IF($P1326="","",$B1326/$P1326-1)</f>
        <v/>
      </c>
    </row>
    <row r="1327">
      <c r="A1327" s="11" t="n"/>
      <c r="B1327" s="29" t="n"/>
      <c r="K1327" s="30" t="str">
        <f>IF($A1327="","",EDATE($A1327,12*$E$4))</f>
        <v/>
      </c>
      <c r="L1327" s="19" t="str">
        <f>IF($K1327="","",IF($K1327&gt;MAX($A$8:$A$5007),"",IFERROR(MATCH($K1327,$A$8:$A$5007,1),"")))</f>
        <v/>
      </c>
      <c r="M1327" s="30" t="str">
        <f>IF($L1327="","",INDEX($A$8:$A$5007,$L1327))</f>
        <v/>
      </c>
      <c r="N1327" s="31" t="str">
        <f>IF($L1327="","",INDEX($B$8:$B$5007,$L1327))</f>
        <v/>
      </c>
      <c r="O1327" s="32" t="str">
        <f>IF($M1327="","",IF($K1327-$M1327&gt;7,"",IF($M1327&lt;=$A1327,"",IF(OR($B1327&lt;=0,$N1327&lt;=0),"",($N1327/$B1327)^(365/($M1327-$A1327))-1))))</f>
        <v/>
      </c>
      <c r="P1327" s="31" t="str">
        <f>IF($B1327="","",IF($P1326="",$B1327,MAX($P1326,$B1327)))</f>
        <v/>
      </c>
      <c r="Q1327" s="32" t="str">
        <f>IF($P1327="","",$B1327/$P1327-1)</f>
        <v/>
      </c>
    </row>
    <row r="1328">
      <c r="A1328" s="11" t="n"/>
      <c r="B1328" s="29" t="n"/>
      <c r="K1328" s="30" t="str">
        <f>IF($A1328="","",EDATE($A1328,12*$E$4))</f>
        <v/>
      </c>
      <c r="L1328" s="19" t="str">
        <f>IF($K1328="","",IF($K1328&gt;MAX($A$8:$A$5007),"",IFERROR(MATCH($K1328,$A$8:$A$5007,1),"")))</f>
        <v/>
      </c>
      <c r="M1328" s="30" t="str">
        <f>IF($L1328="","",INDEX($A$8:$A$5007,$L1328))</f>
        <v/>
      </c>
      <c r="N1328" s="31" t="str">
        <f>IF($L1328="","",INDEX($B$8:$B$5007,$L1328))</f>
        <v/>
      </c>
      <c r="O1328" s="32" t="str">
        <f>IF($M1328="","",IF($K1328-$M1328&gt;7,"",IF($M1328&lt;=$A1328,"",IF(OR($B1328&lt;=0,$N1328&lt;=0),"",($N1328/$B1328)^(365/($M1328-$A1328))-1))))</f>
        <v/>
      </c>
      <c r="P1328" s="31" t="str">
        <f>IF($B1328="","",IF($P1327="",$B1328,MAX($P1327,$B1328)))</f>
        <v/>
      </c>
      <c r="Q1328" s="32" t="str">
        <f>IF($P1328="","",$B1328/$P1328-1)</f>
        <v/>
      </c>
    </row>
    <row r="1329">
      <c r="A1329" s="11" t="n"/>
      <c r="B1329" s="29" t="n"/>
      <c r="K1329" s="30" t="str">
        <f>IF($A1329="","",EDATE($A1329,12*$E$4))</f>
        <v/>
      </c>
      <c r="L1329" s="19" t="str">
        <f>IF($K1329="","",IF($K1329&gt;MAX($A$8:$A$5007),"",IFERROR(MATCH($K1329,$A$8:$A$5007,1),"")))</f>
        <v/>
      </c>
      <c r="M1329" s="30" t="str">
        <f>IF($L1329="","",INDEX($A$8:$A$5007,$L1329))</f>
        <v/>
      </c>
      <c r="N1329" s="31" t="str">
        <f>IF($L1329="","",INDEX($B$8:$B$5007,$L1329))</f>
        <v/>
      </c>
      <c r="O1329" s="32" t="str">
        <f>IF($M1329="","",IF($K1329-$M1329&gt;7,"",IF($M1329&lt;=$A1329,"",IF(OR($B1329&lt;=0,$N1329&lt;=0),"",($N1329/$B1329)^(365/($M1329-$A1329))-1))))</f>
        <v/>
      </c>
      <c r="P1329" s="31" t="str">
        <f>IF($B1329="","",IF($P1328="",$B1329,MAX($P1328,$B1329)))</f>
        <v/>
      </c>
      <c r="Q1329" s="32" t="str">
        <f>IF($P1329="","",$B1329/$P1329-1)</f>
        <v/>
      </c>
    </row>
    <row r="1330">
      <c r="A1330" s="11" t="n"/>
      <c r="B1330" s="29" t="n"/>
      <c r="K1330" s="30" t="str">
        <f>IF($A1330="","",EDATE($A1330,12*$E$4))</f>
        <v/>
      </c>
      <c r="L1330" s="19" t="str">
        <f>IF($K1330="","",IF($K1330&gt;MAX($A$8:$A$5007),"",IFERROR(MATCH($K1330,$A$8:$A$5007,1),"")))</f>
        <v/>
      </c>
      <c r="M1330" s="30" t="str">
        <f>IF($L1330="","",INDEX($A$8:$A$5007,$L1330))</f>
        <v/>
      </c>
      <c r="N1330" s="31" t="str">
        <f>IF($L1330="","",INDEX($B$8:$B$5007,$L1330))</f>
        <v/>
      </c>
      <c r="O1330" s="32" t="str">
        <f>IF($M1330="","",IF($K1330-$M1330&gt;7,"",IF($M1330&lt;=$A1330,"",IF(OR($B1330&lt;=0,$N1330&lt;=0),"",($N1330/$B1330)^(365/($M1330-$A1330))-1))))</f>
        <v/>
      </c>
      <c r="P1330" s="31" t="str">
        <f>IF($B1330="","",IF($P1329="",$B1330,MAX($P1329,$B1330)))</f>
        <v/>
      </c>
      <c r="Q1330" s="32" t="str">
        <f>IF($P1330="","",$B1330/$P1330-1)</f>
        <v/>
      </c>
    </row>
    <row r="1331">
      <c r="A1331" s="11" t="n"/>
      <c r="B1331" s="29" t="n"/>
      <c r="K1331" s="30" t="str">
        <f>IF($A1331="","",EDATE($A1331,12*$E$4))</f>
        <v/>
      </c>
      <c r="L1331" s="19" t="str">
        <f>IF($K1331="","",IF($K1331&gt;MAX($A$8:$A$5007),"",IFERROR(MATCH($K1331,$A$8:$A$5007,1),"")))</f>
        <v/>
      </c>
      <c r="M1331" s="30" t="str">
        <f>IF($L1331="","",INDEX($A$8:$A$5007,$L1331))</f>
        <v/>
      </c>
      <c r="N1331" s="31" t="str">
        <f>IF($L1331="","",INDEX($B$8:$B$5007,$L1331))</f>
        <v/>
      </c>
      <c r="O1331" s="32" t="str">
        <f>IF($M1331="","",IF($K1331-$M1331&gt;7,"",IF($M1331&lt;=$A1331,"",IF(OR($B1331&lt;=0,$N1331&lt;=0),"",($N1331/$B1331)^(365/($M1331-$A1331))-1))))</f>
        <v/>
      </c>
      <c r="P1331" s="31" t="str">
        <f>IF($B1331="","",IF($P1330="",$B1331,MAX($P1330,$B1331)))</f>
        <v/>
      </c>
      <c r="Q1331" s="32" t="str">
        <f>IF($P1331="","",$B1331/$P1331-1)</f>
        <v/>
      </c>
    </row>
    <row r="1332">
      <c r="A1332" s="11" t="n"/>
      <c r="B1332" s="29" t="n"/>
      <c r="K1332" s="30" t="str">
        <f>IF($A1332="","",EDATE($A1332,12*$E$4))</f>
        <v/>
      </c>
      <c r="L1332" s="19" t="str">
        <f>IF($K1332="","",IF($K1332&gt;MAX($A$8:$A$5007),"",IFERROR(MATCH($K1332,$A$8:$A$5007,1),"")))</f>
        <v/>
      </c>
      <c r="M1332" s="30" t="str">
        <f>IF($L1332="","",INDEX($A$8:$A$5007,$L1332))</f>
        <v/>
      </c>
      <c r="N1332" s="31" t="str">
        <f>IF($L1332="","",INDEX($B$8:$B$5007,$L1332))</f>
        <v/>
      </c>
      <c r="O1332" s="32" t="str">
        <f>IF($M1332="","",IF($K1332-$M1332&gt;7,"",IF($M1332&lt;=$A1332,"",IF(OR($B1332&lt;=0,$N1332&lt;=0),"",($N1332/$B1332)^(365/($M1332-$A1332))-1))))</f>
        <v/>
      </c>
      <c r="P1332" s="31" t="str">
        <f>IF($B1332="","",IF($P1331="",$B1332,MAX($P1331,$B1332)))</f>
        <v/>
      </c>
      <c r="Q1332" s="32" t="str">
        <f>IF($P1332="","",$B1332/$P1332-1)</f>
        <v/>
      </c>
    </row>
    <row r="1333">
      <c r="A1333" s="11" t="n"/>
      <c r="B1333" s="29" t="n"/>
      <c r="K1333" s="30" t="str">
        <f>IF($A1333="","",EDATE($A1333,12*$E$4))</f>
        <v/>
      </c>
      <c r="L1333" s="19" t="str">
        <f>IF($K1333="","",IF($K1333&gt;MAX($A$8:$A$5007),"",IFERROR(MATCH($K1333,$A$8:$A$5007,1),"")))</f>
        <v/>
      </c>
      <c r="M1333" s="30" t="str">
        <f>IF($L1333="","",INDEX($A$8:$A$5007,$L1333))</f>
        <v/>
      </c>
      <c r="N1333" s="31" t="str">
        <f>IF($L1333="","",INDEX($B$8:$B$5007,$L1333))</f>
        <v/>
      </c>
      <c r="O1333" s="32" t="str">
        <f>IF($M1333="","",IF($K1333-$M1333&gt;7,"",IF($M1333&lt;=$A1333,"",IF(OR($B1333&lt;=0,$N1333&lt;=0),"",($N1333/$B1333)^(365/($M1333-$A1333))-1))))</f>
        <v/>
      </c>
      <c r="P1333" s="31" t="str">
        <f>IF($B1333="","",IF($P1332="",$B1333,MAX($P1332,$B1333)))</f>
        <v/>
      </c>
      <c r="Q1333" s="32" t="str">
        <f>IF($P1333="","",$B1333/$P1333-1)</f>
        <v/>
      </c>
    </row>
    <row r="1334">
      <c r="A1334" s="11" t="n"/>
      <c r="B1334" s="29" t="n"/>
      <c r="K1334" s="30" t="str">
        <f>IF($A1334="","",EDATE($A1334,12*$E$4))</f>
        <v/>
      </c>
      <c r="L1334" s="19" t="str">
        <f>IF($K1334="","",IF($K1334&gt;MAX($A$8:$A$5007),"",IFERROR(MATCH($K1334,$A$8:$A$5007,1),"")))</f>
        <v/>
      </c>
      <c r="M1334" s="30" t="str">
        <f>IF($L1334="","",INDEX($A$8:$A$5007,$L1334))</f>
        <v/>
      </c>
      <c r="N1334" s="31" t="str">
        <f>IF($L1334="","",INDEX($B$8:$B$5007,$L1334))</f>
        <v/>
      </c>
      <c r="O1334" s="32" t="str">
        <f>IF($M1334="","",IF($K1334-$M1334&gt;7,"",IF($M1334&lt;=$A1334,"",IF(OR($B1334&lt;=0,$N1334&lt;=0),"",($N1334/$B1334)^(365/($M1334-$A1334))-1))))</f>
        <v/>
      </c>
      <c r="P1334" s="31" t="str">
        <f>IF($B1334="","",IF($P1333="",$B1334,MAX($P1333,$B1334)))</f>
        <v/>
      </c>
      <c r="Q1334" s="32" t="str">
        <f>IF($P1334="","",$B1334/$P1334-1)</f>
        <v/>
      </c>
    </row>
    <row r="1335">
      <c r="A1335" s="11" t="n"/>
      <c r="B1335" s="29" t="n"/>
      <c r="K1335" s="30" t="str">
        <f>IF($A1335="","",EDATE($A1335,12*$E$4))</f>
        <v/>
      </c>
      <c r="L1335" s="19" t="str">
        <f>IF($K1335="","",IF($K1335&gt;MAX($A$8:$A$5007),"",IFERROR(MATCH($K1335,$A$8:$A$5007,1),"")))</f>
        <v/>
      </c>
      <c r="M1335" s="30" t="str">
        <f>IF($L1335="","",INDEX($A$8:$A$5007,$L1335))</f>
        <v/>
      </c>
      <c r="N1335" s="31" t="str">
        <f>IF($L1335="","",INDEX($B$8:$B$5007,$L1335))</f>
        <v/>
      </c>
      <c r="O1335" s="32" t="str">
        <f>IF($M1335="","",IF($K1335-$M1335&gt;7,"",IF($M1335&lt;=$A1335,"",IF(OR($B1335&lt;=0,$N1335&lt;=0),"",($N1335/$B1335)^(365/($M1335-$A1335))-1))))</f>
        <v/>
      </c>
      <c r="P1335" s="31" t="str">
        <f>IF($B1335="","",IF($P1334="",$B1335,MAX($P1334,$B1335)))</f>
        <v/>
      </c>
      <c r="Q1335" s="32" t="str">
        <f>IF($P1335="","",$B1335/$P1335-1)</f>
        <v/>
      </c>
    </row>
    <row r="1336">
      <c r="A1336" s="11" t="n"/>
      <c r="B1336" s="29" t="n"/>
      <c r="K1336" s="30" t="str">
        <f>IF($A1336="","",EDATE($A1336,12*$E$4))</f>
        <v/>
      </c>
      <c r="L1336" s="19" t="str">
        <f>IF($K1336="","",IF($K1336&gt;MAX($A$8:$A$5007),"",IFERROR(MATCH($K1336,$A$8:$A$5007,1),"")))</f>
        <v/>
      </c>
      <c r="M1336" s="30" t="str">
        <f>IF($L1336="","",INDEX($A$8:$A$5007,$L1336))</f>
        <v/>
      </c>
      <c r="N1336" s="31" t="str">
        <f>IF($L1336="","",INDEX($B$8:$B$5007,$L1336))</f>
        <v/>
      </c>
      <c r="O1336" s="32" t="str">
        <f>IF($M1336="","",IF($K1336-$M1336&gt;7,"",IF($M1336&lt;=$A1336,"",IF(OR($B1336&lt;=0,$N1336&lt;=0),"",($N1336/$B1336)^(365/($M1336-$A1336))-1))))</f>
        <v/>
      </c>
      <c r="P1336" s="31" t="str">
        <f>IF($B1336="","",IF($P1335="",$B1336,MAX($P1335,$B1336)))</f>
        <v/>
      </c>
      <c r="Q1336" s="32" t="str">
        <f>IF($P1336="","",$B1336/$P1336-1)</f>
        <v/>
      </c>
    </row>
    <row r="1337">
      <c r="A1337" s="11" t="n"/>
      <c r="B1337" s="29" t="n"/>
      <c r="K1337" s="30" t="str">
        <f>IF($A1337="","",EDATE($A1337,12*$E$4))</f>
        <v/>
      </c>
      <c r="L1337" s="19" t="str">
        <f>IF($K1337="","",IF($K1337&gt;MAX($A$8:$A$5007),"",IFERROR(MATCH($K1337,$A$8:$A$5007,1),"")))</f>
        <v/>
      </c>
      <c r="M1337" s="30" t="str">
        <f>IF($L1337="","",INDEX($A$8:$A$5007,$L1337))</f>
        <v/>
      </c>
      <c r="N1337" s="31" t="str">
        <f>IF($L1337="","",INDEX($B$8:$B$5007,$L1337))</f>
        <v/>
      </c>
      <c r="O1337" s="32" t="str">
        <f>IF($M1337="","",IF($K1337-$M1337&gt;7,"",IF($M1337&lt;=$A1337,"",IF(OR($B1337&lt;=0,$N1337&lt;=0),"",($N1337/$B1337)^(365/($M1337-$A1337))-1))))</f>
        <v/>
      </c>
      <c r="P1337" s="31" t="str">
        <f>IF($B1337="","",IF($P1336="",$B1337,MAX($P1336,$B1337)))</f>
        <v/>
      </c>
      <c r="Q1337" s="32" t="str">
        <f>IF($P1337="","",$B1337/$P1337-1)</f>
        <v/>
      </c>
    </row>
    <row r="1338">
      <c r="A1338" s="11" t="n"/>
      <c r="B1338" s="29" t="n"/>
      <c r="K1338" s="30" t="str">
        <f>IF($A1338="","",EDATE($A1338,12*$E$4))</f>
        <v/>
      </c>
      <c r="L1338" s="19" t="str">
        <f>IF($K1338="","",IF($K1338&gt;MAX($A$8:$A$5007),"",IFERROR(MATCH($K1338,$A$8:$A$5007,1),"")))</f>
        <v/>
      </c>
      <c r="M1338" s="30" t="str">
        <f>IF($L1338="","",INDEX($A$8:$A$5007,$L1338))</f>
        <v/>
      </c>
      <c r="N1338" s="31" t="str">
        <f>IF($L1338="","",INDEX($B$8:$B$5007,$L1338))</f>
        <v/>
      </c>
      <c r="O1338" s="32" t="str">
        <f>IF($M1338="","",IF($K1338-$M1338&gt;7,"",IF($M1338&lt;=$A1338,"",IF(OR($B1338&lt;=0,$N1338&lt;=0),"",($N1338/$B1338)^(365/($M1338-$A1338))-1))))</f>
        <v/>
      </c>
      <c r="P1338" s="31" t="str">
        <f>IF($B1338="","",IF($P1337="",$B1338,MAX($P1337,$B1338)))</f>
        <v/>
      </c>
      <c r="Q1338" s="32" t="str">
        <f>IF($P1338="","",$B1338/$P1338-1)</f>
        <v/>
      </c>
    </row>
    <row r="1339">
      <c r="A1339" s="11" t="n"/>
      <c r="B1339" s="29" t="n"/>
      <c r="K1339" s="30" t="str">
        <f>IF($A1339="","",EDATE($A1339,12*$E$4))</f>
        <v/>
      </c>
      <c r="L1339" s="19" t="str">
        <f>IF($K1339="","",IF($K1339&gt;MAX($A$8:$A$5007),"",IFERROR(MATCH($K1339,$A$8:$A$5007,1),"")))</f>
        <v/>
      </c>
      <c r="M1339" s="30" t="str">
        <f>IF($L1339="","",INDEX($A$8:$A$5007,$L1339))</f>
        <v/>
      </c>
      <c r="N1339" s="31" t="str">
        <f>IF($L1339="","",INDEX($B$8:$B$5007,$L1339))</f>
        <v/>
      </c>
      <c r="O1339" s="32" t="str">
        <f>IF($M1339="","",IF($K1339-$M1339&gt;7,"",IF($M1339&lt;=$A1339,"",IF(OR($B1339&lt;=0,$N1339&lt;=0),"",($N1339/$B1339)^(365/($M1339-$A1339))-1))))</f>
        <v/>
      </c>
      <c r="P1339" s="31" t="str">
        <f>IF($B1339="","",IF($P1338="",$B1339,MAX($P1338,$B1339)))</f>
        <v/>
      </c>
      <c r="Q1339" s="32" t="str">
        <f>IF($P1339="","",$B1339/$P1339-1)</f>
        <v/>
      </c>
    </row>
    <row r="1340">
      <c r="A1340" s="11" t="n"/>
      <c r="B1340" s="29" t="n"/>
      <c r="K1340" s="30" t="str">
        <f>IF($A1340="","",EDATE($A1340,12*$E$4))</f>
        <v/>
      </c>
      <c r="L1340" s="19" t="str">
        <f>IF($K1340="","",IF($K1340&gt;MAX($A$8:$A$5007),"",IFERROR(MATCH($K1340,$A$8:$A$5007,1),"")))</f>
        <v/>
      </c>
      <c r="M1340" s="30" t="str">
        <f>IF($L1340="","",INDEX($A$8:$A$5007,$L1340))</f>
        <v/>
      </c>
      <c r="N1340" s="31" t="str">
        <f>IF($L1340="","",INDEX($B$8:$B$5007,$L1340))</f>
        <v/>
      </c>
      <c r="O1340" s="32" t="str">
        <f>IF($M1340="","",IF($K1340-$M1340&gt;7,"",IF($M1340&lt;=$A1340,"",IF(OR($B1340&lt;=0,$N1340&lt;=0),"",($N1340/$B1340)^(365/($M1340-$A1340))-1))))</f>
        <v/>
      </c>
      <c r="P1340" s="31" t="str">
        <f>IF($B1340="","",IF($P1339="",$B1340,MAX($P1339,$B1340)))</f>
        <v/>
      </c>
      <c r="Q1340" s="32" t="str">
        <f>IF($P1340="","",$B1340/$P1340-1)</f>
        <v/>
      </c>
    </row>
    <row r="1341">
      <c r="A1341" s="11" t="n"/>
      <c r="B1341" s="29" t="n"/>
      <c r="K1341" s="30" t="str">
        <f>IF($A1341="","",EDATE($A1341,12*$E$4))</f>
        <v/>
      </c>
      <c r="L1341" s="19" t="str">
        <f>IF($K1341="","",IF($K1341&gt;MAX($A$8:$A$5007),"",IFERROR(MATCH($K1341,$A$8:$A$5007,1),"")))</f>
        <v/>
      </c>
      <c r="M1341" s="30" t="str">
        <f>IF($L1341="","",INDEX($A$8:$A$5007,$L1341))</f>
        <v/>
      </c>
      <c r="N1341" s="31" t="str">
        <f>IF($L1341="","",INDEX($B$8:$B$5007,$L1341))</f>
        <v/>
      </c>
      <c r="O1341" s="32" t="str">
        <f>IF($M1341="","",IF($K1341-$M1341&gt;7,"",IF($M1341&lt;=$A1341,"",IF(OR($B1341&lt;=0,$N1341&lt;=0),"",($N1341/$B1341)^(365/($M1341-$A1341))-1))))</f>
        <v/>
      </c>
      <c r="P1341" s="31" t="str">
        <f>IF($B1341="","",IF($P1340="",$B1341,MAX($P1340,$B1341)))</f>
        <v/>
      </c>
      <c r="Q1341" s="32" t="str">
        <f>IF($P1341="","",$B1341/$P1341-1)</f>
        <v/>
      </c>
    </row>
    <row r="1342">
      <c r="A1342" s="11" t="n"/>
      <c r="B1342" s="29" t="n"/>
      <c r="K1342" s="30" t="str">
        <f>IF($A1342="","",EDATE($A1342,12*$E$4))</f>
        <v/>
      </c>
      <c r="L1342" s="19" t="str">
        <f>IF($K1342="","",IF($K1342&gt;MAX($A$8:$A$5007),"",IFERROR(MATCH($K1342,$A$8:$A$5007,1),"")))</f>
        <v/>
      </c>
      <c r="M1342" s="30" t="str">
        <f>IF($L1342="","",INDEX($A$8:$A$5007,$L1342))</f>
        <v/>
      </c>
      <c r="N1342" s="31" t="str">
        <f>IF($L1342="","",INDEX($B$8:$B$5007,$L1342))</f>
        <v/>
      </c>
      <c r="O1342" s="32" t="str">
        <f>IF($M1342="","",IF($K1342-$M1342&gt;7,"",IF($M1342&lt;=$A1342,"",IF(OR($B1342&lt;=0,$N1342&lt;=0),"",($N1342/$B1342)^(365/($M1342-$A1342))-1))))</f>
        <v/>
      </c>
      <c r="P1342" s="31" t="str">
        <f>IF($B1342="","",IF($P1341="",$B1342,MAX($P1341,$B1342)))</f>
        <v/>
      </c>
      <c r="Q1342" s="32" t="str">
        <f>IF($P1342="","",$B1342/$P1342-1)</f>
        <v/>
      </c>
    </row>
    <row r="1343">
      <c r="A1343" s="11" t="n"/>
      <c r="B1343" s="29" t="n"/>
      <c r="K1343" s="30" t="str">
        <f>IF($A1343="","",EDATE($A1343,12*$E$4))</f>
        <v/>
      </c>
      <c r="L1343" s="19" t="str">
        <f>IF($K1343="","",IF($K1343&gt;MAX($A$8:$A$5007),"",IFERROR(MATCH($K1343,$A$8:$A$5007,1),"")))</f>
        <v/>
      </c>
      <c r="M1343" s="30" t="str">
        <f>IF($L1343="","",INDEX($A$8:$A$5007,$L1343))</f>
        <v/>
      </c>
      <c r="N1343" s="31" t="str">
        <f>IF($L1343="","",INDEX($B$8:$B$5007,$L1343))</f>
        <v/>
      </c>
      <c r="O1343" s="32" t="str">
        <f>IF($M1343="","",IF($K1343-$M1343&gt;7,"",IF($M1343&lt;=$A1343,"",IF(OR($B1343&lt;=0,$N1343&lt;=0),"",($N1343/$B1343)^(365/($M1343-$A1343))-1))))</f>
        <v/>
      </c>
      <c r="P1343" s="31" t="str">
        <f>IF($B1343="","",IF($P1342="",$B1343,MAX($P1342,$B1343)))</f>
        <v/>
      </c>
      <c r="Q1343" s="32" t="str">
        <f>IF($P1343="","",$B1343/$P1343-1)</f>
        <v/>
      </c>
    </row>
    <row r="1344">
      <c r="A1344" s="11" t="n"/>
      <c r="B1344" s="29" t="n"/>
      <c r="K1344" s="30" t="str">
        <f>IF($A1344="","",EDATE($A1344,12*$E$4))</f>
        <v/>
      </c>
      <c r="L1344" s="19" t="str">
        <f>IF($K1344="","",IF($K1344&gt;MAX($A$8:$A$5007),"",IFERROR(MATCH($K1344,$A$8:$A$5007,1),"")))</f>
        <v/>
      </c>
      <c r="M1344" s="30" t="str">
        <f>IF($L1344="","",INDEX($A$8:$A$5007,$L1344))</f>
        <v/>
      </c>
      <c r="N1344" s="31" t="str">
        <f>IF($L1344="","",INDEX($B$8:$B$5007,$L1344))</f>
        <v/>
      </c>
      <c r="O1344" s="32" t="str">
        <f>IF($M1344="","",IF($K1344-$M1344&gt;7,"",IF($M1344&lt;=$A1344,"",IF(OR($B1344&lt;=0,$N1344&lt;=0),"",($N1344/$B1344)^(365/($M1344-$A1344))-1))))</f>
        <v/>
      </c>
      <c r="P1344" s="31" t="str">
        <f>IF($B1344="","",IF($P1343="",$B1344,MAX($P1343,$B1344)))</f>
        <v/>
      </c>
      <c r="Q1344" s="32" t="str">
        <f>IF($P1344="","",$B1344/$P1344-1)</f>
        <v/>
      </c>
    </row>
    <row r="1345">
      <c r="A1345" s="11" t="n"/>
      <c r="B1345" s="29" t="n"/>
      <c r="K1345" s="30" t="str">
        <f>IF($A1345="","",EDATE($A1345,12*$E$4))</f>
        <v/>
      </c>
      <c r="L1345" s="19" t="str">
        <f>IF($K1345="","",IF($K1345&gt;MAX($A$8:$A$5007),"",IFERROR(MATCH($K1345,$A$8:$A$5007,1),"")))</f>
        <v/>
      </c>
      <c r="M1345" s="30" t="str">
        <f>IF($L1345="","",INDEX($A$8:$A$5007,$L1345))</f>
        <v/>
      </c>
      <c r="N1345" s="31" t="str">
        <f>IF($L1345="","",INDEX($B$8:$B$5007,$L1345))</f>
        <v/>
      </c>
      <c r="O1345" s="32" t="str">
        <f>IF($M1345="","",IF($K1345-$M1345&gt;7,"",IF($M1345&lt;=$A1345,"",IF(OR($B1345&lt;=0,$N1345&lt;=0),"",($N1345/$B1345)^(365/($M1345-$A1345))-1))))</f>
        <v/>
      </c>
      <c r="P1345" s="31" t="str">
        <f>IF($B1345="","",IF($P1344="",$B1345,MAX($P1344,$B1345)))</f>
        <v/>
      </c>
      <c r="Q1345" s="32" t="str">
        <f>IF($P1345="","",$B1345/$P1345-1)</f>
        <v/>
      </c>
    </row>
    <row r="1346">
      <c r="A1346" s="11" t="n"/>
      <c r="B1346" s="29" t="n"/>
      <c r="K1346" s="30" t="str">
        <f>IF($A1346="","",EDATE($A1346,12*$E$4))</f>
        <v/>
      </c>
      <c r="L1346" s="19" t="str">
        <f>IF($K1346="","",IF($K1346&gt;MAX($A$8:$A$5007),"",IFERROR(MATCH($K1346,$A$8:$A$5007,1),"")))</f>
        <v/>
      </c>
      <c r="M1346" s="30" t="str">
        <f>IF($L1346="","",INDEX($A$8:$A$5007,$L1346))</f>
        <v/>
      </c>
      <c r="N1346" s="31" t="str">
        <f>IF($L1346="","",INDEX($B$8:$B$5007,$L1346))</f>
        <v/>
      </c>
      <c r="O1346" s="32" t="str">
        <f>IF($M1346="","",IF($K1346-$M1346&gt;7,"",IF($M1346&lt;=$A1346,"",IF(OR($B1346&lt;=0,$N1346&lt;=0),"",($N1346/$B1346)^(365/($M1346-$A1346))-1))))</f>
        <v/>
      </c>
      <c r="P1346" s="31" t="str">
        <f>IF($B1346="","",IF($P1345="",$B1346,MAX($P1345,$B1346)))</f>
        <v/>
      </c>
      <c r="Q1346" s="32" t="str">
        <f>IF($P1346="","",$B1346/$P1346-1)</f>
        <v/>
      </c>
    </row>
    <row r="1347">
      <c r="A1347" s="11" t="n"/>
      <c r="B1347" s="29" t="n"/>
      <c r="K1347" s="30" t="str">
        <f>IF($A1347="","",EDATE($A1347,12*$E$4))</f>
        <v/>
      </c>
      <c r="L1347" s="19" t="str">
        <f>IF($K1347="","",IF($K1347&gt;MAX($A$8:$A$5007),"",IFERROR(MATCH($K1347,$A$8:$A$5007,1),"")))</f>
        <v/>
      </c>
      <c r="M1347" s="30" t="str">
        <f>IF($L1347="","",INDEX($A$8:$A$5007,$L1347))</f>
        <v/>
      </c>
      <c r="N1347" s="31" t="str">
        <f>IF($L1347="","",INDEX($B$8:$B$5007,$L1347))</f>
        <v/>
      </c>
      <c r="O1347" s="32" t="str">
        <f>IF($M1347="","",IF($K1347-$M1347&gt;7,"",IF($M1347&lt;=$A1347,"",IF(OR($B1347&lt;=0,$N1347&lt;=0),"",($N1347/$B1347)^(365/($M1347-$A1347))-1))))</f>
        <v/>
      </c>
      <c r="P1347" s="31" t="str">
        <f>IF($B1347="","",IF($P1346="",$B1347,MAX($P1346,$B1347)))</f>
        <v/>
      </c>
      <c r="Q1347" s="32" t="str">
        <f>IF($P1347="","",$B1347/$P1347-1)</f>
        <v/>
      </c>
    </row>
    <row r="1348">
      <c r="A1348" s="11" t="n"/>
      <c r="B1348" s="29" t="n"/>
      <c r="K1348" s="30" t="str">
        <f>IF($A1348="","",EDATE($A1348,12*$E$4))</f>
        <v/>
      </c>
      <c r="L1348" s="19" t="str">
        <f>IF($K1348="","",IF($K1348&gt;MAX($A$8:$A$5007),"",IFERROR(MATCH($K1348,$A$8:$A$5007,1),"")))</f>
        <v/>
      </c>
      <c r="M1348" s="30" t="str">
        <f>IF($L1348="","",INDEX($A$8:$A$5007,$L1348))</f>
        <v/>
      </c>
      <c r="N1348" s="31" t="str">
        <f>IF($L1348="","",INDEX($B$8:$B$5007,$L1348))</f>
        <v/>
      </c>
      <c r="O1348" s="32" t="str">
        <f>IF($M1348="","",IF($K1348-$M1348&gt;7,"",IF($M1348&lt;=$A1348,"",IF(OR($B1348&lt;=0,$N1348&lt;=0),"",($N1348/$B1348)^(365/($M1348-$A1348))-1))))</f>
        <v/>
      </c>
      <c r="P1348" s="31" t="str">
        <f>IF($B1348="","",IF($P1347="",$B1348,MAX($P1347,$B1348)))</f>
        <v/>
      </c>
      <c r="Q1348" s="32" t="str">
        <f>IF($P1348="","",$B1348/$P1348-1)</f>
        <v/>
      </c>
    </row>
    <row r="1349">
      <c r="A1349" s="11" t="n"/>
      <c r="B1349" s="29" t="n"/>
      <c r="K1349" s="30" t="str">
        <f>IF($A1349="","",EDATE($A1349,12*$E$4))</f>
        <v/>
      </c>
      <c r="L1349" s="19" t="str">
        <f>IF($K1349="","",IF($K1349&gt;MAX($A$8:$A$5007),"",IFERROR(MATCH($K1349,$A$8:$A$5007,1),"")))</f>
        <v/>
      </c>
      <c r="M1349" s="30" t="str">
        <f>IF($L1349="","",INDEX($A$8:$A$5007,$L1349))</f>
        <v/>
      </c>
      <c r="N1349" s="31" t="str">
        <f>IF($L1349="","",INDEX($B$8:$B$5007,$L1349))</f>
        <v/>
      </c>
      <c r="O1349" s="32" t="str">
        <f>IF($M1349="","",IF($K1349-$M1349&gt;7,"",IF($M1349&lt;=$A1349,"",IF(OR($B1349&lt;=0,$N1349&lt;=0),"",($N1349/$B1349)^(365/($M1349-$A1349))-1))))</f>
        <v/>
      </c>
      <c r="P1349" s="31" t="str">
        <f>IF($B1349="","",IF($P1348="",$B1349,MAX($P1348,$B1349)))</f>
        <v/>
      </c>
      <c r="Q1349" s="32" t="str">
        <f>IF($P1349="","",$B1349/$P1349-1)</f>
        <v/>
      </c>
    </row>
    <row r="1350">
      <c r="A1350" s="11" t="n"/>
      <c r="B1350" s="29" t="n"/>
      <c r="K1350" s="30" t="str">
        <f>IF($A1350="","",EDATE($A1350,12*$E$4))</f>
        <v/>
      </c>
      <c r="L1350" s="19" t="str">
        <f>IF($K1350="","",IF($K1350&gt;MAX($A$8:$A$5007),"",IFERROR(MATCH($K1350,$A$8:$A$5007,1),"")))</f>
        <v/>
      </c>
      <c r="M1350" s="30" t="str">
        <f>IF($L1350="","",INDEX($A$8:$A$5007,$L1350))</f>
        <v/>
      </c>
      <c r="N1350" s="31" t="str">
        <f>IF($L1350="","",INDEX($B$8:$B$5007,$L1350))</f>
        <v/>
      </c>
      <c r="O1350" s="32" t="str">
        <f>IF($M1350="","",IF($K1350-$M1350&gt;7,"",IF($M1350&lt;=$A1350,"",IF(OR($B1350&lt;=0,$N1350&lt;=0),"",($N1350/$B1350)^(365/($M1350-$A1350))-1))))</f>
        <v/>
      </c>
      <c r="P1350" s="31" t="str">
        <f>IF($B1350="","",IF($P1349="",$B1350,MAX($P1349,$B1350)))</f>
        <v/>
      </c>
      <c r="Q1350" s="32" t="str">
        <f>IF($P1350="","",$B1350/$P1350-1)</f>
        <v/>
      </c>
    </row>
    <row r="1351">
      <c r="A1351" s="11" t="n"/>
      <c r="B1351" s="29" t="n"/>
      <c r="K1351" s="30" t="str">
        <f>IF($A1351="","",EDATE($A1351,12*$E$4))</f>
        <v/>
      </c>
      <c r="L1351" s="19" t="str">
        <f>IF($K1351="","",IF($K1351&gt;MAX($A$8:$A$5007),"",IFERROR(MATCH($K1351,$A$8:$A$5007,1),"")))</f>
        <v/>
      </c>
      <c r="M1351" s="30" t="str">
        <f>IF($L1351="","",INDEX($A$8:$A$5007,$L1351))</f>
        <v/>
      </c>
      <c r="N1351" s="31" t="str">
        <f>IF($L1351="","",INDEX($B$8:$B$5007,$L1351))</f>
        <v/>
      </c>
      <c r="O1351" s="32" t="str">
        <f>IF($M1351="","",IF($K1351-$M1351&gt;7,"",IF($M1351&lt;=$A1351,"",IF(OR($B1351&lt;=0,$N1351&lt;=0),"",($N1351/$B1351)^(365/($M1351-$A1351))-1))))</f>
        <v/>
      </c>
      <c r="P1351" s="31" t="str">
        <f>IF($B1351="","",IF($P1350="",$B1351,MAX($P1350,$B1351)))</f>
        <v/>
      </c>
      <c r="Q1351" s="32" t="str">
        <f>IF($P1351="","",$B1351/$P1351-1)</f>
        <v/>
      </c>
    </row>
    <row r="1352">
      <c r="A1352" s="11" t="n"/>
      <c r="B1352" s="29" t="n"/>
      <c r="K1352" s="30" t="str">
        <f>IF($A1352="","",EDATE($A1352,12*$E$4))</f>
        <v/>
      </c>
      <c r="L1352" s="19" t="str">
        <f>IF($K1352="","",IF($K1352&gt;MAX($A$8:$A$5007),"",IFERROR(MATCH($K1352,$A$8:$A$5007,1),"")))</f>
        <v/>
      </c>
      <c r="M1352" s="30" t="str">
        <f>IF($L1352="","",INDEX($A$8:$A$5007,$L1352))</f>
        <v/>
      </c>
      <c r="N1352" s="31" t="str">
        <f>IF($L1352="","",INDEX($B$8:$B$5007,$L1352))</f>
        <v/>
      </c>
      <c r="O1352" s="32" t="str">
        <f>IF($M1352="","",IF($K1352-$M1352&gt;7,"",IF($M1352&lt;=$A1352,"",IF(OR($B1352&lt;=0,$N1352&lt;=0),"",($N1352/$B1352)^(365/($M1352-$A1352))-1))))</f>
        <v/>
      </c>
      <c r="P1352" s="31" t="str">
        <f>IF($B1352="","",IF($P1351="",$B1352,MAX($P1351,$B1352)))</f>
        <v/>
      </c>
      <c r="Q1352" s="32" t="str">
        <f>IF($P1352="","",$B1352/$P1352-1)</f>
        <v/>
      </c>
    </row>
    <row r="1353">
      <c r="A1353" s="11" t="n"/>
      <c r="B1353" s="29" t="n"/>
      <c r="K1353" s="30" t="str">
        <f>IF($A1353="","",EDATE($A1353,12*$E$4))</f>
        <v/>
      </c>
      <c r="L1353" s="19" t="str">
        <f>IF($K1353="","",IF($K1353&gt;MAX($A$8:$A$5007),"",IFERROR(MATCH($K1353,$A$8:$A$5007,1),"")))</f>
        <v/>
      </c>
      <c r="M1353" s="30" t="str">
        <f>IF($L1353="","",INDEX($A$8:$A$5007,$L1353))</f>
        <v/>
      </c>
      <c r="N1353" s="31" t="str">
        <f>IF($L1353="","",INDEX($B$8:$B$5007,$L1353))</f>
        <v/>
      </c>
      <c r="O1353" s="32" t="str">
        <f>IF($M1353="","",IF($K1353-$M1353&gt;7,"",IF($M1353&lt;=$A1353,"",IF(OR($B1353&lt;=0,$N1353&lt;=0),"",($N1353/$B1353)^(365/($M1353-$A1353))-1))))</f>
        <v/>
      </c>
      <c r="P1353" s="31" t="str">
        <f>IF($B1353="","",IF($P1352="",$B1353,MAX($P1352,$B1353)))</f>
        <v/>
      </c>
      <c r="Q1353" s="32" t="str">
        <f>IF($P1353="","",$B1353/$P1353-1)</f>
        <v/>
      </c>
    </row>
    <row r="1354">
      <c r="A1354" s="11" t="n"/>
      <c r="B1354" s="29" t="n"/>
      <c r="K1354" s="30" t="str">
        <f>IF($A1354="","",EDATE($A1354,12*$E$4))</f>
        <v/>
      </c>
      <c r="L1354" s="19" t="str">
        <f>IF($K1354="","",IF($K1354&gt;MAX($A$8:$A$5007),"",IFERROR(MATCH($K1354,$A$8:$A$5007,1),"")))</f>
        <v/>
      </c>
      <c r="M1354" s="30" t="str">
        <f>IF($L1354="","",INDEX($A$8:$A$5007,$L1354))</f>
        <v/>
      </c>
      <c r="N1354" s="31" t="str">
        <f>IF($L1354="","",INDEX($B$8:$B$5007,$L1354))</f>
        <v/>
      </c>
      <c r="O1354" s="32" t="str">
        <f>IF($M1354="","",IF($K1354-$M1354&gt;7,"",IF($M1354&lt;=$A1354,"",IF(OR($B1354&lt;=0,$N1354&lt;=0),"",($N1354/$B1354)^(365/($M1354-$A1354))-1))))</f>
        <v/>
      </c>
      <c r="P1354" s="31" t="str">
        <f>IF($B1354="","",IF($P1353="",$B1354,MAX($P1353,$B1354)))</f>
        <v/>
      </c>
      <c r="Q1354" s="32" t="str">
        <f>IF($P1354="","",$B1354/$P1354-1)</f>
        <v/>
      </c>
    </row>
    <row r="1355">
      <c r="A1355" s="11" t="n"/>
      <c r="B1355" s="29" t="n"/>
      <c r="K1355" s="30" t="str">
        <f>IF($A1355="","",EDATE($A1355,12*$E$4))</f>
        <v/>
      </c>
      <c r="L1355" s="19" t="str">
        <f>IF($K1355="","",IF($K1355&gt;MAX($A$8:$A$5007),"",IFERROR(MATCH($K1355,$A$8:$A$5007,1),"")))</f>
        <v/>
      </c>
      <c r="M1355" s="30" t="str">
        <f>IF($L1355="","",INDEX($A$8:$A$5007,$L1355))</f>
        <v/>
      </c>
      <c r="N1355" s="31" t="str">
        <f>IF($L1355="","",INDEX($B$8:$B$5007,$L1355))</f>
        <v/>
      </c>
      <c r="O1355" s="32" t="str">
        <f>IF($M1355="","",IF($K1355-$M1355&gt;7,"",IF($M1355&lt;=$A1355,"",IF(OR($B1355&lt;=0,$N1355&lt;=0),"",($N1355/$B1355)^(365/($M1355-$A1355))-1))))</f>
        <v/>
      </c>
      <c r="P1355" s="31" t="str">
        <f>IF($B1355="","",IF($P1354="",$B1355,MAX($P1354,$B1355)))</f>
        <v/>
      </c>
      <c r="Q1355" s="32" t="str">
        <f>IF($P1355="","",$B1355/$P1355-1)</f>
        <v/>
      </c>
    </row>
    <row r="1356">
      <c r="A1356" s="11" t="n"/>
      <c r="B1356" s="29" t="n"/>
      <c r="K1356" s="30" t="str">
        <f>IF($A1356="","",EDATE($A1356,12*$E$4))</f>
        <v/>
      </c>
      <c r="L1356" s="19" t="str">
        <f>IF($K1356="","",IF($K1356&gt;MAX($A$8:$A$5007),"",IFERROR(MATCH($K1356,$A$8:$A$5007,1),"")))</f>
        <v/>
      </c>
      <c r="M1356" s="30" t="str">
        <f>IF($L1356="","",INDEX($A$8:$A$5007,$L1356))</f>
        <v/>
      </c>
      <c r="N1356" s="31" t="str">
        <f>IF($L1356="","",INDEX($B$8:$B$5007,$L1356))</f>
        <v/>
      </c>
      <c r="O1356" s="32" t="str">
        <f>IF($M1356="","",IF($K1356-$M1356&gt;7,"",IF($M1356&lt;=$A1356,"",IF(OR($B1356&lt;=0,$N1356&lt;=0),"",($N1356/$B1356)^(365/($M1356-$A1356))-1))))</f>
        <v/>
      </c>
      <c r="P1356" s="31" t="str">
        <f>IF($B1356="","",IF($P1355="",$B1356,MAX($P1355,$B1356)))</f>
        <v/>
      </c>
      <c r="Q1356" s="32" t="str">
        <f>IF($P1356="","",$B1356/$P1356-1)</f>
        <v/>
      </c>
    </row>
    <row r="1357">
      <c r="A1357" s="11" t="n"/>
      <c r="B1357" s="29" t="n"/>
      <c r="K1357" s="30" t="str">
        <f>IF($A1357="","",EDATE($A1357,12*$E$4))</f>
        <v/>
      </c>
      <c r="L1357" s="19" t="str">
        <f>IF($K1357="","",IF($K1357&gt;MAX($A$8:$A$5007),"",IFERROR(MATCH($K1357,$A$8:$A$5007,1),"")))</f>
        <v/>
      </c>
      <c r="M1357" s="30" t="str">
        <f>IF($L1357="","",INDEX($A$8:$A$5007,$L1357))</f>
        <v/>
      </c>
      <c r="N1357" s="31" t="str">
        <f>IF($L1357="","",INDEX($B$8:$B$5007,$L1357))</f>
        <v/>
      </c>
      <c r="O1357" s="32" t="str">
        <f>IF($M1357="","",IF($K1357-$M1357&gt;7,"",IF($M1357&lt;=$A1357,"",IF(OR($B1357&lt;=0,$N1357&lt;=0),"",($N1357/$B1357)^(365/($M1357-$A1357))-1))))</f>
        <v/>
      </c>
      <c r="P1357" s="31" t="str">
        <f>IF($B1357="","",IF($P1356="",$B1357,MAX($P1356,$B1357)))</f>
        <v/>
      </c>
      <c r="Q1357" s="32" t="str">
        <f>IF($P1357="","",$B1357/$P1357-1)</f>
        <v/>
      </c>
    </row>
    <row r="1358">
      <c r="A1358" s="11" t="n"/>
      <c r="B1358" s="29" t="n"/>
      <c r="K1358" s="30" t="str">
        <f>IF($A1358="","",EDATE($A1358,12*$E$4))</f>
        <v/>
      </c>
      <c r="L1358" s="19" t="str">
        <f>IF($K1358="","",IF($K1358&gt;MAX($A$8:$A$5007),"",IFERROR(MATCH($K1358,$A$8:$A$5007,1),"")))</f>
        <v/>
      </c>
      <c r="M1358" s="30" t="str">
        <f>IF($L1358="","",INDEX($A$8:$A$5007,$L1358))</f>
        <v/>
      </c>
      <c r="N1358" s="31" t="str">
        <f>IF($L1358="","",INDEX($B$8:$B$5007,$L1358))</f>
        <v/>
      </c>
      <c r="O1358" s="32" t="str">
        <f>IF($M1358="","",IF($K1358-$M1358&gt;7,"",IF($M1358&lt;=$A1358,"",IF(OR($B1358&lt;=0,$N1358&lt;=0),"",($N1358/$B1358)^(365/($M1358-$A1358))-1))))</f>
        <v/>
      </c>
      <c r="P1358" s="31" t="str">
        <f>IF($B1358="","",IF($P1357="",$B1358,MAX($P1357,$B1358)))</f>
        <v/>
      </c>
      <c r="Q1358" s="32" t="str">
        <f>IF($P1358="","",$B1358/$P1358-1)</f>
        <v/>
      </c>
    </row>
    <row r="1359">
      <c r="A1359" s="11" t="n"/>
      <c r="B1359" s="29" t="n"/>
      <c r="K1359" s="30" t="str">
        <f>IF($A1359="","",EDATE($A1359,12*$E$4))</f>
        <v/>
      </c>
      <c r="L1359" s="19" t="str">
        <f>IF($K1359="","",IF($K1359&gt;MAX($A$8:$A$5007),"",IFERROR(MATCH($K1359,$A$8:$A$5007,1),"")))</f>
        <v/>
      </c>
      <c r="M1359" s="30" t="str">
        <f>IF($L1359="","",INDEX($A$8:$A$5007,$L1359))</f>
        <v/>
      </c>
      <c r="N1359" s="31" t="str">
        <f>IF($L1359="","",INDEX($B$8:$B$5007,$L1359))</f>
        <v/>
      </c>
      <c r="O1359" s="32" t="str">
        <f>IF($M1359="","",IF($K1359-$M1359&gt;7,"",IF($M1359&lt;=$A1359,"",IF(OR($B1359&lt;=0,$N1359&lt;=0),"",($N1359/$B1359)^(365/($M1359-$A1359))-1))))</f>
        <v/>
      </c>
      <c r="P1359" s="31" t="str">
        <f>IF($B1359="","",IF($P1358="",$B1359,MAX($P1358,$B1359)))</f>
        <v/>
      </c>
      <c r="Q1359" s="32" t="str">
        <f>IF($P1359="","",$B1359/$P1359-1)</f>
        <v/>
      </c>
    </row>
    <row r="1360">
      <c r="A1360" s="11" t="n"/>
      <c r="B1360" s="29" t="n"/>
      <c r="K1360" s="30" t="str">
        <f>IF($A1360="","",EDATE($A1360,12*$E$4))</f>
        <v/>
      </c>
      <c r="L1360" s="19" t="str">
        <f>IF($K1360="","",IF($K1360&gt;MAX($A$8:$A$5007),"",IFERROR(MATCH($K1360,$A$8:$A$5007,1),"")))</f>
        <v/>
      </c>
      <c r="M1360" s="30" t="str">
        <f>IF($L1360="","",INDEX($A$8:$A$5007,$L1360))</f>
        <v/>
      </c>
      <c r="N1360" s="31" t="str">
        <f>IF($L1360="","",INDEX($B$8:$B$5007,$L1360))</f>
        <v/>
      </c>
      <c r="O1360" s="32" t="str">
        <f>IF($M1360="","",IF($K1360-$M1360&gt;7,"",IF($M1360&lt;=$A1360,"",IF(OR($B1360&lt;=0,$N1360&lt;=0),"",($N1360/$B1360)^(365/($M1360-$A1360))-1))))</f>
        <v/>
      </c>
      <c r="P1360" s="31" t="str">
        <f>IF($B1360="","",IF($P1359="",$B1360,MAX($P1359,$B1360)))</f>
        <v/>
      </c>
      <c r="Q1360" s="32" t="str">
        <f>IF($P1360="","",$B1360/$P1360-1)</f>
        <v/>
      </c>
    </row>
    <row r="1361">
      <c r="A1361" s="11" t="n"/>
      <c r="B1361" s="29" t="n"/>
      <c r="K1361" s="30" t="str">
        <f>IF($A1361="","",EDATE($A1361,12*$E$4))</f>
        <v/>
      </c>
      <c r="L1361" s="19" t="str">
        <f>IF($K1361="","",IF($K1361&gt;MAX($A$8:$A$5007),"",IFERROR(MATCH($K1361,$A$8:$A$5007,1),"")))</f>
        <v/>
      </c>
      <c r="M1361" s="30" t="str">
        <f>IF($L1361="","",INDEX($A$8:$A$5007,$L1361))</f>
        <v/>
      </c>
      <c r="N1361" s="31" t="str">
        <f>IF($L1361="","",INDEX($B$8:$B$5007,$L1361))</f>
        <v/>
      </c>
      <c r="O1361" s="32" t="str">
        <f>IF($M1361="","",IF($K1361-$M1361&gt;7,"",IF($M1361&lt;=$A1361,"",IF(OR($B1361&lt;=0,$N1361&lt;=0),"",($N1361/$B1361)^(365/($M1361-$A1361))-1))))</f>
        <v/>
      </c>
      <c r="P1361" s="31" t="str">
        <f>IF($B1361="","",IF($P1360="",$B1361,MAX($P1360,$B1361)))</f>
        <v/>
      </c>
      <c r="Q1361" s="32" t="str">
        <f>IF($P1361="","",$B1361/$P1361-1)</f>
        <v/>
      </c>
    </row>
    <row r="1362">
      <c r="A1362" s="11" t="n"/>
      <c r="B1362" s="29" t="n"/>
      <c r="K1362" s="30" t="str">
        <f>IF($A1362="","",EDATE($A1362,12*$E$4))</f>
        <v/>
      </c>
      <c r="L1362" s="19" t="str">
        <f>IF($K1362="","",IF($K1362&gt;MAX($A$8:$A$5007),"",IFERROR(MATCH($K1362,$A$8:$A$5007,1),"")))</f>
        <v/>
      </c>
      <c r="M1362" s="30" t="str">
        <f>IF($L1362="","",INDEX($A$8:$A$5007,$L1362))</f>
        <v/>
      </c>
      <c r="N1362" s="31" t="str">
        <f>IF($L1362="","",INDEX($B$8:$B$5007,$L1362))</f>
        <v/>
      </c>
      <c r="O1362" s="32" t="str">
        <f>IF($M1362="","",IF($K1362-$M1362&gt;7,"",IF($M1362&lt;=$A1362,"",IF(OR($B1362&lt;=0,$N1362&lt;=0),"",($N1362/$B1362)^(365/($M1362-$A1362))-1))))</f>
        <v/>
      </c>
      <c r="P1362" s="31" t="str">
        <f>IF($B1362="","",IF($P1361="",$B1362,MAX($P1361,$B1362)))</f>
        <v/>
      </c>
      <c r="Q1362" s="32" t="str">
        <f>IF($P1362="","",$B1362/$P1362-1)</f>
        <v/>
      </c>
    </row>
    <row r="1363">
      <c r="A1363" s="11" t="n"/>
      <c r="B1363" s="29" t="n"/>
      <c r="K1363" s="30" t="str">
        <f>IF($A1363="","",EDATE($A1363,12*$E$4))</f>
        <v/>
      </c>
      <c r="L1363" s="19" t="str">
        <f>IF($K1363="","",IF($K1363&gt;MAX($A$8:$A$5007),"",IFERROR(MATCH($K1363,$A$8:$A$5007,1),"")))</f>
        <v/>
      </c>
      <c r="M1363" s="30" t="str">
        <f>IF($L1363="","",INDEX($A$8:$A$5007,$L1363))</f>
        <v/>
      </c>
      <c r="N1363" s="31" t="str">
        <f>IF($L1363="","",INDEX($B$8:$B$5007,$L1363))</f>
        <v/>
      </c>
      <c r="O1363" s="32" t="str">
        <f>IF($M1363="","",IF($K1363-$M1363&gt;7,"",IF($M1363&lt;=$A1363,"",IF(OR($B1363&lt;=0,$N1363&lt;=0),"",($N1363/$B1363)^(365/($M1363-$A1363))-1))))</f>
        <v/>
      </c>
      <c r="P1363" s="31" t="str">
        <f>IF($B1363="","",IF($P1362="",$B1363,MAX($P1362,$B1363)))</f>
        <v/>
      </c>
      <c r="Q1363" s="32" t="str">
        <f>IF($P1363="","",$B1363/$P1363-1)</f>
        <v/>
      </c>
    </row>
    <row r="1364">
      <c r="A1364" s="11" t="n"/>
      <c r="B1364" s="29" t="n"/>
      <c r="K1364" s="30" t="str">
        <f>IF($A1364="","",EDATE($A1364,12*$E$4))</f>
        <v/>
      </c>
      <c r="L1364" s="19" t="str">
        <f>IF($K1364="","",IF($K1364&gt;MAX($A$8:$A$5007),"",IFERROR(MATCH($K1364,$A$8:$A$5007,1),"")))</f>
        <v/>
      </c>
      <c r="M1364" s="30" t="str">
        <f>IF($L1364="","",INDEX($A$8:$A$5007,$L1364))</f>
        <v/>
      </c>
      <c r="N1364" s="31" t="str">
        <f>IF($L1364="","",INDEX($B$8:$B$5007,$L1364))</f>
        <v/>
      </c>
      <c r="O1364" s="32" t="str">
        <f>IF($M1364="","",IF($K1364-$M1364&gt;7,"",IF($M1364&lt;=$A1364,"",IF(OR($B1364&lt;=0,$N1364&lt;=0),"",($N1364/$B1364)^(365/($M1364-$A1364))-1))))</f>
        <v/>
      </c>
      <c r="P1364" s="31" t="str">
        <f>IF($B1364="","",IF($P1363="",$B1364,MAX($P1363,$B1364)))</f>
        <v/>
      </c>
      <c r="Q1364" s="32" t="str">
        <f>IF($P1364="","",$B1364/$P1364-1)</f>
        <v/>
      </c>
    </row>
    <row r="1365">
      <c r="A1365" s="11" t="n"/>
      <c r="B1365" s="29" t="n"/>
      <c r="K1365" s="30" t="str">
        <f>IF($A1365="","",EDATE($A1365,12*$E$4))</f>
        <v/>
      </c>
      <c r="L1365" s="19" t="str">
        <f>IF($K1365="","",IF($K1365&gt;MAX($A$8:$A$5007),"",IFERROR(MATCH($K1365,$A$8:$A$5007,1),"")))</f>
        <v/>
      </c>
      <c r="M1365" s="30" t="str">
        <f>IF($L1365="","",INDEX($A$8:$A$5007,$L1365))</f>
        <v/>
      </c>
      <c r="N1365" s="31" t="str">
        <f>IF($L1365="","",INDEX($B$8:$B$5007,$L1365))</f>
        <v/>
      </c>
      <c r="O1365" s="32" t="str">
        <f>IF($M1365="","",IF($K1365-$M1365&gt;7,"",IF($M1365&lt;=$A1365,"",IF(OR($B1365&lt;=0,$N1365&lt;=0),"",($N1365/$B1365)^(365/($M1365-$A1365))-1))))</f>
        <v/>
      </c>
      <c r="P1365" s="31" t="str">
        <f>IF($B1365="","",IF($P1364="",$B1365,MAX($P1364,$B1365)))</f>
        <v/>
      </c>
      <c r="Q1365" s="32" t="str">
        <f>IF($P1365="","",$B1365/$P1365-1)</f>
        <v/>
      </c>
    </row>
    <row r="1366">
      <c r="A1366" s="11" t="n"/>
      <c r="B1366" s="29" t="n"/>
      <c r="K1366" s="30" t="str">
        <f>IF($A1366="","",EDATE($A1366,12*$E$4))</f>
        <v/>
      </c>
      <c r="L1366" s="19" t="str">
        <f>IF($K1366="","",IF($K1366&gt;MAX($A$8:$A$5007),"",IFERROR(MATCH($K1366,$A$8:$A$5007,1),"")))</f>
        <v/>
      </c>
      <c r="M1366" s="30" t="str">
        <f>IF($L1366="","",INDEX($A$8:$A$5007,$L1366))</f>
        <v/>
      </c>
      <c r="N1366" s="31" t="str">
        <f>IF($L1366="","",INDEX($B$8:$B$5007,$L1366))</f>
        <v/>
      </c>
      <c r="O1366" s="32" t="str">
        <f>IF($M1366="","",IF($K1366-$M1366&gt;7,"",IF($M1366&lt;=$A1366,"",IF(OR($B1366&lt;=0,$N1366&lt;=0),"",($N1366/$B1366)^(365/($M1366-$A1366))-1))))</f>
        <v/>
      </c>
      <c r="P1366" s="31" t="str">
        <f>IF($B1366="","",IF($P1365="",$B1366,MAX($P1365,$B1366)))</f>
        <v/>
      </c>
      <c r="Q1366" s="32" t="str">
        <f>IF($P1366="","",$B1366/$P1366-1)</f>
        <v/>
      </c>
    </row>
    <row r="1367">
      <c r="A1367" s="11" t="n"/>
      <c r="B1367" s="29" t="n"/>
      <c r="K1367" s="30" t="str">
        <f>IF($A1367="","",EDATE($A1367,12*$E$4))</f>
        <v/>
      </c>
      <c r="L1367" s="19" t="str">
        <f>IF($K1367="","",IF($K1367&gt;MAX($A$8:$A$5007),"",IFERROR(MATCH($K1367,$A$8:$A$5007,1),"")))</f>
        <v/>
      </c>
      <c r="M1367" s="30" t="str">
        <f>IF($L1367="","",INDEX($A$8:$A$5007,$L1367))</f>
        <v/>
      </c>
      <c r="N1367" s="31" t="str">
        <f>IF($L1367="","",INDEX($B$8:$B$5007,$L1367))</f>
        <v/>
      </c>
      <c r="O1367" s="32" t="str">
        <f>IF($M1367="","",IF($K1367-$M1367&gt;7,"",IF($M1367&lt;=$A1367,"",IF(OR($B1367&lt;=0,$N1367&lt;=0),"",($N1367/$B1367)^(365/($M1367-$A1367))-1))))</f>
        <v/>
      </c>
      <c r="P1367" s="31" t="str">
        <f>IF($B1367="","",IF($P1366="",$B1367,MAX($P1366,$B1367)))</f>
        <v/>
      </c>
      <c r="Q1367" s="32" t="str">
        <f>IF($P1367="","",$B1367/$P1367-1)</f>
        <v/>
      </c>
    </row>
    <row r="1368">
      <c r="A1368" s="11" t="n"/>
      <c r="B1368" s="29" t="n"/>
      <c r="K1368" s="30" t="str">
        <f>IF($A1368="","",EDATE($A1368,12*$E$4))</f>
        <v/>
      </c>
      <c r="L1368" s="19" t="str">
        <f>IF($K1368="","",IF($K1368&gt;MAX($A$8:$A$5007),"",IFERROR(MATCH($K1368,$A$8:$A$5007,1),"")))</f>
        <v/>
      </c>
      <c r="M1368" s="30" t="str">
        <f>IF($L1368="","",INDEX($A$8:$A$5007,$L1368))</f>
        <v/>
      </c>
      <c r="N1368" s="31" t="str">
        <f>IF($L1368="","",INDEX($B$8:$B$5007,$L1368))</f>
        <v/>
      </c>
      <c r="O1368" s="32" t="str">
        <f>IF($M1368="","",IF($K1368-$M1368&gt;7,"",IF($M1368&lt;=$A1368,"",IF(OR($B1368&lt;=0,$N1368&lt;=0),"",($N1368/$B1368)^(365/($M1368-$A1368))-1))))</f>
        <v/>
      </c>
      <c r="P1368" s="31" t="str">
        <f>IF($B1368="","",IF($P1367="",$B1368,MAX($P1367,$B1368)))</f>
        <v/>
      </c>
      <c r="Q1368" s="32" t="str">
        <f>IF($P1368="","",$B1368/$P1368-1)</f>
        <v/>
      </c>
    </row>
    <row r="1369">
      <c r="A1369" s="11" t="n"/>
      <c r="B1369" s="29" t="n"/>
      <c r="K1369" s="30" t="str">
        <f>IF($A1369="","",EDATE($A1369,12*$E$4))</f>
        <v/>
      </c>
      <c r="L1369" s="19" t="str">
        <f>IF($K1369="","",IF($K1369&gt;MAX($A$8:$A$5007),"",IFERROR(MATCH($K1369,$A$8:$A$5007,1),"")))</f>
        <v/>
      </c>
      <c r="M1369" s="30" t="str">
        <f>IF($L1369="","",INDEX($A$8:$A$5007,$L1369))</f>
        <v/>
      </c>
      <c r="N1369" s="31" t="str">
        <f>IF($L1369="","",INDEX($B$8:$B$5007,$L1369))</f>
        <v/>
      </c>
      <c r="O1369" s="32" t="str">
        <f>IF($M1369="","",IF($K1369-$M1369&gt;7,"",IF($M1369&lt;=$A1369,"",IF(OR($B1369&lt;=0,$N1369&lt;=0),"",($N1369/$B1369)^(365/($M1369-$A1369))-1))))</f>
        <v/>
      </c>
      <c r="P1369" s="31" t="str">
        <f>IF($B1369="","",IF($P1368="",$B1369,MAX($P1368,$B1369)))</f>
        <v/>
      </c>
      <c r="Q1369" s="32" t="str">
        <f>IF($P1369="","",$B1369/$P1369-1)</f>
        <v/>
      </c>
    </row>
    <row r="1370">
      <c r="A1370" s="11" t="n"/>
      <c r="B1370" s="29" t="n"/>
      <c r="K1370" s="30" t="str">
        <f>IF($A1370="","",EDATE($A1370,12*$E$4))</f>
        <v/>
      </c>
      <c r="L1370" s="19" t="str">
        <f>IF($K1370="","",IF($K1370&gt;MAX($A$8:$A$5007),"",IFERROR(MATCH($K1370,$A$8:$A$5007,1),"")))</f>
        <v/>
      </c>
      <c r="M1370" s="30" t="str">
        <f>IF($L1370="","",INDEX($A$8:$A$5007,$L1370))</f>
        <v/>
      </c>
      <c r="N1370" s="31" t="str">
        <f>IF($L1370="","",INDEX($B$8:$B$5007,$L1370))</f>
        <v/>
      </c>
      <c r="O1370" s="32" t="str">
        <f>IF($M1370="","",IF($K1370-$M1370&gt;7,"",IF($M1370&lt;=$A1370,"",IF(OR($B1370&lt;=0,$N1370&lt;=0),"",($N1370/$B1370)^(365/($M1370-$A1370))-1))))</f>
        <v/>
      </c>
      <c r="P1370" s="31" t="str">
        <f>IF($B1370="","",IF($P1369="",$B1370,MAX($P1369,$B1370)))</f>
        <v/>
      </c>
      <c r="Q1370" s="32" t="str">
        <f>IF($P1370="","",$B1370/$P1370-1)</f>
        <v/>
      </c>
    </row>
    <row r="1371">
      <c r="A1371" s="11" t="n"/>
      <c r="B1371" s="29" t="n"/>
      <c r="K1371" s="30" t="str">
        <f>IF($A1371="","",EDATE($A1371,12*$E$4))</f>
        <v/>
      </c>
      <c r="L1371" s="19" t="str">
        <f>IF($K1371="","",IF($K1371&gt;MAX($A$8:$A$5007),"",IFERROR(MATCH($K1371,$A$8:$A$5007,1),"")))</f>
        <v/>
      </c>
      <c r="M1371" s="30" t="str">
        <f>IF($L1371="","",INDEX($A$8:$A$5007,$L1371))</f>
        <v/>
      </c>
      <c r="N1371" s="31" t="str">
        <f>IF($L1371="","",INDEX($B$8:$B$5007,$L1371))</f>
        <v/>
      </c>
      <c r="O1371" s="32" t="str">
        <f>IF($M1371="","",IF($K1371-$M1371&gt;7,"",IF($M1371&lt;=$A1371,"",IF(OR($B1371&lt;=0,$N1371&lt;=0),"",($N1371/$B1371)^(365/($M1371-$A1371))-1))))</f>
        <v/>
      </c>
      <c r="P1371" s="31" t="str">
        <f>IF($B1371="","",IF($P1370="",$B1371,MAX($P1370,$B1371)))</f>
        <v/>
      </c>
      <c r="Q1371" s="32" t="str">
        <f>IF($P1371="","",$B1371/$P1371-1)</f>
        <v/>
      </c>
    </row>
    <row r="1372">
      <c r="A1372" s="11" t="n"/>
      <c r="B1372" s="29" t="n"/>
      <c r="K1372" s="30" t="str">
        <f>IF($A1372="","",EDATE($A1372,12*$E$4))</f>
        <v/>
      </c>
      <c r="L1372" s="19" t="str">
        <f>IF($K1372="","",IF($K1372&gt;MAX($A$8:$A$5007),"",IFERROR(MATCH($K1372,$A$8:$A$5007,1),"")))</f>
        <v/>
      </c>
      <c r="M1372" s="30" t="str">
        <f>IF($L1372="","",INDEX($A$8:$A$5007,$L1372))</f>
        <v/>
      </c>
      <c r="N1372" s="31" t="str">
        <f>IF($L1372="","",INDEX($B$8:$B$5007,$L1372))</f>
        <v/>
      </c>
      <c r="O1372" s="32" t="str">
        <f>IF($M1372="","",IF($K1372-$M1372&gt;7,"",IF($M1372&lt;=$A1372,"",IF(OR($B1372&lt;=0,$N1372&lt;=0),"",($N1372/$B1372)^(365/($M1372-$A1372))-1))))</f>
        <v/>
      </c>
      <c r="P1372" s="31" t="str">
        <f>IF($B1372="","",IF($P1371="",$B1372,MAX($P1371,$B1372)))</f>
        <v/>
      </c>
      <c r="Q1372" s="32" t="str">
        <f>IF($P1372="","",$B1372/$P1372-1)</f>
        <v/>
      </c>
    </row>
    <row r="1373">
      <c r="A1373" s="11" t="n"/>
      <c r="B1373" s="29" t="n"/>
      <c r="K1373" s="30" t="str">
        <f>IF($A1373="","",EDATE($A1373,12*$E$4))</f>
        <v/>
      </c>
      <c r="L1373" s="19" t="str">
        <f>IF($K1373="","",IF($K1373&gt;MAX($A$8:$A$5007),"",IFERROR(MATCH($K1373,$A$8:$A$5007,1),"")))</f>
        <v/>
      </c>
      <c r="M1373" s="30" t="str">
        <f>IF($L1373="","",INDEX($A$8:$A$5007,$L1373))</f>
        <v/>
      </c>
      <c r="N1373" s="31" t="str">
        <f>IF($L1373="","",INDEX($B$8:$B$5007,$L1373))</f>
        <v/>
      </c>
      <c r="O1373" s="32" t="str">
        <f>IF($M1373="","",IF($K1373-$M1373&gt;7,"",IF($M1373&lt;=$A1373,"",IF(OR($B1373&lt;=0,$N1373&lt;=0),"",($N1373/$B1373)^(365/($M1373-$A1373))-1))))</f>
        <v/>
      </c>
      <c r="P1373" s="31" t="str">
        <f>IF($B1373="","",IF($P1372="",$B1373,MAX($P1372,$B1373)))</f>
        <v/>
      </c>
      <c r="Q1373" s="32" t="str">
        <f>IF($P1373="","",$B1373/$P1373-1)</f>
        <v/>
      </c>
    </row>
    <row r="1374">
      <c r="A1374" s="11" t="n"/>
      <c r="B1374" s="29" t="n"/>
      <c r="K1374" s="30" t="str">
        <f>IF($A1374="","",EDATE($A1374,12*$E$4))</f>
        <v/>
      </c>
      <c r="L1374" s="19" t="str">
        <f>IF($K1374="","",IF($K1374&gt;MAX($A$8:$A$5007),"",IFERROR(MATCH($K1374,$A$8:$A$5007,1),"")))</f>
        <v/>
      </c>
      <c r="M1374" s="30" t="str">
        <f>IF($L1374="","",INDEX($A$8:$A$5007,$L1374))</f>
        <v/>
      </c>
      <c r="N1374" s="31" t="str">
        <f>IF($L1374="","",INDEX($B$8:$B$5007,$L1374))</f>
        <v/>
      </c>
      <c r="O1374" s="32" t="str">
        <f>IF($M1374="","",IF($K1374-$M1374&gt;7,"",IF($M1374&lt;=$A1374,"",IF(OR($B1374&lt;=0,$N1374&lt;=0),"",($N1374/$B1374)^(365/($M1374-$A1374))-1))))</f>
        <v/>
      </c>
      <c r="P1374" s="31" t="str">
        <f>IF($B1374="","",IF($P1373="",$B1374,MAX($P1373,$B1374)))</f>
        <v/>
      </c>
      <c r="Q1374" s="32" t="str">
        <f>IF($P1374="","",$B1374/$P1374-1)</f>
        <v/>
      </c>
    </row>
    <row r="1375">
      <c r="A1375" s="11" t="n"/>
      <c r="B1375" s="29" t="n"/>
      <c r="K1375" s="30" t="str">
        <f>IF($A1375="","",EDATE($A1375,12*$E$4))</f>
        <v/>
      </c>
      <c r="L1375" s="19" t="str">
        <f>IF($K1375="","",IF($K1375&gt;MAX($A$8:$A$5007),"",IFERROR(MATCH($K1375,$A$8:$A$5007,1),"")))</f>
        <v/>
      </c>
      <c r="M1375" s="30" t="str">
        <f>IF($L1375="","",INDEX($A$8:$A$5007,$L1375))</f>
        <v/>
      </c>
      <c r="N1375" s="31" t="str">
        <f>IF($L1375="","",INDEX($B$8:$B$5007,$L1375))</f>
        <v/>
      </c>
      <c r="O1375" s="32" t="str">
        <f>IF($M1375="","",IF($K1375-$M1375&gt;7,"",IF($M1375&lt;=$A1375,"",IF(OR($B1375&lt;=0,$N1375&lt;=0),"",($N1375/$B1375)^(365/($M1375-$A1375))-1))))</f>
        <v/>
      </c>
      <c r="P1375" s="31" t="str">
        <f>IF($B1375="","",IF($P1374="",$B1375,MAX($P1374,$B1375)))</f>
        <v/>
      </c>
      <c r="Q1375" s="32" t="str">
        <f>IF($P1375="","",$B1375/$P1375-1)</f>
        <v/>
      </c>
    </row>
    <row r="1376">
      <c r="A1376" s="11" t="n"/>
      <c r="B1376" s="29" t="n"/>
      <c r="K1376" s="30" t="str">
        <f>IF($A1376="","",EDATE($A1376,12*$E$4))</f>
        <v/>
      </c>
      <c r="L1376" s="19" t="str">
        <f>IF($K1376="","",IF($K1376&gt;MAX($A$8:$A$5007),"",IFERROR(MATCH($K1376,$A$8:$A$5007,1),"")))</f>
        <v/>
      </c>
      <c r="M1376" s="30" t="str">
        <f>IF($L1376="","",INDEX($A$8:$A$5007,$L1376))</f>
        <v/>
      </c>
      <c r="N1376" s="31" t="str">
        <f>IF($L1376="","",INDEX($B$8:$B$5007,$L1376))</f>
        <v/>
      </c>
      <c r="O1376" s="32" t="str">
        <f>IF($M1376="","",IF($K1376-$M1376&gt;7,"",IF($M1376&lt;=$A1376,"",IF(OR($B1376&lt;=0,$N1376&lt;=0),"",($N1376/$B1376)^(365/($M1376-$A1376))-1))))</f>
        <v/>
      </c>
      <c r="P1376" s="31" t="str">
        <f>IF($B1376="","",IF($P1375="",$B1376,MAX($P1375,$B1376)))</f>
        <v/>
      </c>
      <c r="Q1376" s="32" t="str">
        <f>IF($P1376="","",$B1376/$P1376-1)</f>
        <v/>
      </c>
    </row>
    <row r="1377">
      <c r="A1377" s="11" t="n"/>
      <c r="B1377" s="29" t="n"/>
      <c r="K1377" s="30" t="str">
        <f>IF($A1377="","",EDATE($A1377,12*$E$4))</f>
        <v/>
      </c>
      <c r="L1377" s="19" t="str">
        <f>IF($K1377="","",IF($K1377&gt;MAX($A$8:$A$5007),"",IFERROR(MATCH($K1377,$A$8:$A$5007,1),"")))</f>
        <v/>
      </c>
      <c r="M1377" s="30" t="str">
        <f>IF($L1377="","",INDEX($A$8:$A$5007,$L1377))</f>
        <v/>
      </c>
      <c r="N1377" s="31" t="str">
        <f>IF($L1377="","",INDEX($B$8:$B$5007,$L1377))</f>
        <v/>
      </c>
      <c r="O1377" s="32" t="str">
        <f>IF($M1377="","",IF($K1377-$M1377&gt;7,"",IF($M1377&lt;=$A1377,"",IF(OR($B1377&lt;=0,$N1377&lt;=0),"",($N1377/$B1377)^(365/($M1377-$A1377))-1))))</f>
        <v/>
      </c>
      <c r="P1377" s="31" t="str">
        <f>IF($B1377="","",IF($P1376="",$B1377,MAX($P1376,$B1377)))</f>
        <v/>
      </c>
      <c r="Q1377" s="32" t="str">
        <f>IF($P1377="","",$B1377/$P1377-1)</f>
        <v/>
      </c>
    </row>
    <row r="1378">
      <c r="A1378" s="11" t="n"/>
      <c r="B1378" s="29" t="n"/>
      <c r="K1378" s="30" t="str">
        <f>IF($A1378="","",EDATE($A1378,12*$E$4))</f>
        <v/>
      </c>
      <c r="L1378" s="19" t="str">
        <f>IF($K1378="","",IF($K1378&gt;MAX($A$8:$A$5007),"",IFERROR(MATCH($K1378,$A$8:$A$5007,1),"")))</f>
        <v/>
      </c>
      <c r="M1378" s="30" t="str">
        <f>IF($L1378="","",INDEX($A$8:$A$5007,$L1378))</f>
        <v/>
      </c>
      <c r="N1378" s="31" t="str">
        <f>IF($L1378="","",INDEX($B$8:$B$5007,$L1378))</f>
        <v/>
      </c>
      <c r="O1378" s="32" t="str">
        <f>IF($M1378="","",IF($K1378-$M1378&gt;7,"",IF($M1378&lt;=$A1378,"",IF(OR($B1378&lt;=0,$N1378&lt;=0),"",($N1378/$B1378)^(365/($M1378-$A1378))-1))))</f>
        <v/>
      </c>
      <c r="P1378" s="31" t="str">
        <f>IF($B1378="","",IF($P1377="",$B1378,MAX($P1377,$B1378)))</f>
        <v/>
      </c>
      <c r="Q1378" s="32" t="str">
        <f>IF($P1378="","",$B1378/$P1378-1)</f>
        <v/>
      </c>
    </row>
    <row r="1379">
      <c r="A1379" s="11" t="n"/>
      <c r="B1379" s="29" t="n"/>
      <c r="K1379" s="30" t="str">
        <f>IF($A1379="","",EDATE($A1379,12*$E$4))</f>
        <v/>
      </c>
      <c r="L1379" s="19" t="str">
        <f>IF($K1379="","",IF($K1379&gt;MAX($A$8:$A$5007),"",IFERROR(MATCH($K1379,$A$8:$A$5007,1),"")))</f>
        <v/>
      </c>
      <c r="M1379" s="30" t="str">
        <f>IF($L1379="","",INDEX($A$8:$A$5007,$L1379))</f>
        <v/>
      </c>
      <c r="N1379" s="31" t="str">
        <f>IF($L1379="","",INDEX($B$8:$B$5007,$L1379))</f>
        <v/>
      </c>
      <c r="O1379" s="32" t="str">
        <f>IF($M1379="","",IF($K1379-$M1379&gt;7,"",IF($M1379&lt;=$A1379,"",IF(OR($B1379&lt;=0,$N1379&lt;=0),"",($N1379/$B1379)^(365/($M1379-$A1379))-1))))</f>
        <v/>
      </c>
      <c r="P1379" s="31" t="str">
        <f>IF($B1379="","",IF($P1378="",$B1379,MAX($P1378,$B1379)))</f>
        <v/>
      </c>
      <c r="Q1379" s="32" t="str">
        <f>IF($P1379="","",$B1379/$P1379-1)</f>
        <v/>
      </c>
    </row>
    <row r="1380">
      <c r="A1380" s="11" t="n"/>
      <c r="B1380" s="29" t="n"/>
      <c r="K1380" s="30" t="str">
        <f>IF($A1380="","",EDATE($A1380,12*$E$4))</f>
        <v/>
      </c>
      <c r="L1380" s="19" t="str">
        <f>IF($K1380="","",IF($K1380&gt;MAX($A$8:$A$5007),"",IFERROR(MATCH($K1380,$A$8:$A$5007,1),"")))</f>
        <v/>
      </c>
      <c r="M1380" s="30" t="str">
        <f>IF($L1380="","",INDEX($A$8:$A$5007,$L1380))</f>
        <v/>
      </c>
      <c r="N1380" s="31" t="str">
        <f>IF($L1380="","",INDEX($B$8:$B$5007,$L1380))</f>
        <v/>
      </c>
      <c r="O1380" s="32" t="str">
        <f>IF($M1380="","",IF($K1380-$M1380&gt;7,"",IF($M1380&lt;=$A1380,"",IF(OR($B1380&lt;=0,$N1380&lt;=0),"",($N1380/$B1380)^(365/($M1380-$A1380))-1))))</f>
        <v/>
      </c>
      <c r="P1380" s="31" t="str">
        <f>IF($B1380="","",IF($P1379="",$B1380,MAX($P1379,$B1380)))</f>
        <v/>
      </c>
      <c r="Q1380" s="32" t="str">
        <f>IF($P1380="","",$B1380/$P1380-1)</f>
        <v/>
      </c>
    </row>
    <row r="1381">
      <c r="A1381" s="11" t="n"/>
      <c r="B1381" s="29" t="n"/>
      <c r="K1381" s="30" t="str">
        <f>IF($A1381="","",EDATE($A1381,12*$E$4))</f>
        <v/>
      </c>
      <c r="L1381" s="19" t="str">
        <f>IF($K1381="","",IF($K1381&gt;MAX($A$8:$A$5007),"",IFERROR(MATCH($K1381,$A$8:$A$5007,1),"")))</f>
        <v/>
      </c>
      <c r="M1381" s="30" t="str">
        <f>IF($L1381="","",INDEX($A$8:$A$5007,$L1381))</f>
        <v/>
      </c>
      <c r="N1381" s="31" t="str">
        <f>IF($L1381="","",INDEX($B$8:$B$5007,$L1381))</f>
        <v/>
      </c>
      <c r="O1381" s="32" t="str">
        <f>IF($M1381="","",IF($K1381-$M1381&gt;7,"",IF($M1381&lt;=$A1381,"",IF(OR($B1381&lt;=0,$N1381&lt;=0),"",($N1381/$B1381)^(365/($M1381-$A1381))-1))))</f>
        <v/>
      </c>
      <c r="P1381" s="31" t="str">
        <f>IF($B1381="","",IF($P1380="",$B1381,MAX($P1380,$B1381)))</f>
        <v/>
      </c>
      <c r="Q1381" s="32" t="str">
        <f>IF($P1381="","",$B1381/$P1381-1)</f>
        <v/>
      </c>
    </row>
    <row r="1382">
      <c r="A1382" s="11" t="n"/>
      <c r="B1382" s="29" t="n"/>
      <c r="K1382" s="30" t="str">
        <f>IF($A1382="","",EDATE($A1382,12*$E$4))</f>
        <v/>
      </c>
      <c r="L1382" s="19" t="str">
        <f>IF($K1382="","",IF($K1382&gt;MAX($A$8:$A$5007),"",IFERROR(MATCH($K1382,$A$8:$A$5007,1),"")))</f>
        <v/>
      </c>
      <c r="M1382" s="30" t="str">
        <f>IF($L1382="","",INDEX($A$8:$A$5007,$L1382))</f>
        <v/>
      </c>
      <c r="N1382" s="31" t="str">
        <f>IF($L1382="","",INDEX($B$8:$B$5007,$L1382))</f>
        <v/>
      </c>
      <c r="O1382" s="32" t="str">
        <f>IF($M1382="","",IF($K1382-$M1382&gt;7,"",IF($M1382&lt;=$A1382,"",IF(OR($B1382&lt;=0,$N1382&lt;=0),"",($N1382/$B1382)^(365/($M1382-$A1382))-1))))</f>
        <v/>
      </c>
      <c r="P1382" s="31" t="str">
        <f>IF($B1382="","",IF($P1381="",$B1382,MAX($P1381,$B1382)))</f>
        <v/>
      </c>
      <c r="Q1382" s="32" t="str">
        <f>IF($P1382="","",$B1382/$P1382-1)</f>
        <v/>
      </c>
    </row>
    <row r="1383">
      <c r="A1383" s="11" t="n"/>
      <c r="B1383" s="29" t="n"/>
      <c r="K1383" s="30" t="str">
        <f>IF($A1383="","",EDATE($A1383,12*$E$4))</f>
        <v/>
      </c>
      <c r="L1383" s="19" t="str">
        <f>IF($K1383="","",IF($K1383&gt;MAX($A$8:$A$5007),"",IFERROR(MATCH($K1383,$A$8:$A$5007,1),"")))</f>
        <v/>
      </c>
      <c r="M1383" s="30" t="str">
        <f>IF($L1383="","",INDEX($A$8:$A$5007,$L1383))</f>
        <v/>
      </c>
      <c r="N1383" s="31" t="str">
        <f>IF($L1383="","",INDEX($B$8:$B$5007,$L1383))</f>
        <v/>
      </c>
      <c r="O1383" s="32" t="str">
        <f>IF($M1383="","",IF($K1383-$M1383&gt;7,"",IF($M1383&lt;=$A1383,"",IF(OR($B1383&lt;=0,$N1383&lt;=0),"",($N1383/$B1383)^(365/($M1383-$A1383))-1))))</f>
        <v/>
      </c>
      <c r="P1383" s="31" t="str">
        <f>IF($B1383="","",IF($P1382="",$B1383,MAX($P1382,$B1383)))</f>
        <v/>
      </c>
      <c r="Q1383" s="32" t="str">
        <f>IF($P1383="","",$B1383/$P1383-1)</f>
        <v/>
      </c>
    </row>
    <row r="1384">
      <c r="A1384" s="11" t="n"/>
      <c r="B1384" s="29" t="n"/>
      <c r="K1384" s="30" t="str">
        <f>IF($A1384="","",EDATE($A1384,12*$E$4))</f>
        <v/>
      </c>
      <c r="L1384" s="19" t="str">
        <f>IF($K1384="","",IF($K1384&gt;MAX($A$8:$A$5007),"",IFERROR(MATCH($K1384,$A$8:$A$5007,1),"")))</f>
        <v/>
      </c>
      <c r="M1384" s="30" t="str">
        <f>IF($L1384="","",INDEX($A$8:$A$5007,$L1384))</f>
        <v/>
      </c>
      <c r="N1384" s="31" t="str">
        <f>IF($L1384="","",INDEX($B$8:$B$5007,$L1384))</f>
        <v/>
      </c>
      <c r="O1384" s="32" t="str">
        <f>IF($M1384="","",IF($K1384-$M1384&gt;7,"",IF($M1384&lt;=$A1384,"",IF(OR($B1384&lt;=0,$N1384&lt;=0),"",($N1384/$B1384)^(365/($M1384-$A1384))-1))))</f>
        <v/>
      </c>
      <c r="P1384" s="31" t="str">
        <f>IF($B1384="","",IF($P1383="",$B1384,MAX($P1383,$B1384)))</f>
        <v/>
      </c>
      <c r="Q1384" s="32" t="str">
        <f>IF($P1384="","",$B1384/$P1384-1)</f>
        <v/>
      </c>
    </row>
    <row r="1385">
      <c r="A1385" s="11" t="n"/>
      <c r="B1385" s="29" t="n"/>
      <c r="K1385" s="30" t="str">
        <f>IF($A1385="","",EDATE($A1385,12*$E$4))</f>
        <v/>
      </c>
      <c r="L1385" s="19" t="str">
        <f>IF($K1385="","",IF($K1385&gt;MAX($A$8:$A$5007),"",IFERROR(MATCH($K1385,$A$8:$A$5007,1),"")))</f>
        <v/>
      </c>
      <c r="M1385" s="30" t="str">
        <f>IF($L1385="","",INDEX($A$8:$A$5007,$L1385))</f>
        <v/>
      </c>
      <c r="N1385" s="31" t="str">
        <f>IF($L1385="","",INDEX($B$8:$B$5007,$L1385))</f>
        <v/>
      </c>
      <c r="O1385" s="32" t="str">
        <f>IF($M1385="","",IF($K1385-$M1385&gt;7,"",IF($M1385&lt;=$A1385,"",IF(OR($B1385&lt;=0,$N1385&lt;=0),"",($N1385/$B1385)^(365/($M1385-$A1385))-1))))</f>
        <v/>
      </c>
      <c r="P1385" s="31" t="str">
        <f>IF($B1385="","",IF($P1384="",$B1385,MAX($P1384,$B1385)))</f>
        <v/>
      </c>
      <c r="Q1385" s="32" t="str">
        <f>IF($P1385="","",$B1385/$P1385-1)</f>
        <v/>
      </c>
    </row>
    <row r="1386">
      <c r="A1386" s="11" t="n"/>
      <c r="B1386" s="29" t="n"/>
      <c r="K1386" s="30" t="str">
        <f>IF($A1386="","",EDATE($A1386,12*$E$4))</f>
        <v/>
      </c>
      <c r="L1386" s="19" t="str">
        <f>IF($K1386="","",IF($K1386&gt;MAX($A$8:$A$5007),"",IFERROR(MATCH($K1386,$A$8:$A$5007,1),"")))</f>
        <v/>
      </c>
      <c r="M1386" s="30" t="str">
        <f>IF($L1386="","",INDEX($A$8:$A$5007,$L1386))</f>
        <v/>
      </c>
      <c r="N1386" s="31" t="str">
        <f>IF($L1386="","",INDEX($B$8:$B$5007,$L1386))</f>
        <v/>
      </c>
      <c r="O1386" s="32" t="str">
        <f>IF($M1386="","",IF($K1386-$M1386&gt;7,"",IF($M1386&lt;=$A1386,"",IF(OR($B1386&lt;=0,$N1386&lt;=0),"",($N1386/$B1386)^(365/($M1386-$A1386))-1))))</f>
        <v/>
      </c>
      <c r="P1386" s="31" t="str">
        <f>IF($B1386="","",IF($P1385="",$B1386,MAX($P1385,$B1386)))</f>
        <v/>
      </c>
      <c r="Q1386" s="32" t="str">
        <f>IF($P1386="","",$B1386/$P1386-1)</f>
        <v/>
      </c>
    </row>
    <row r="1387">
      <c r="A1387" s="11" t="n"/>
      <c r="B1387" s="29" t="n"/>
      <c r="K1387" s="30" t="str">
        <f>IF($A1387="","",EDATE($A1387,12*$E$4))</f>
        <v/>
      </c>
      <c r="L1387" s="19" t="str">
        <f>IF($K1387="","",IF($K1387&gt;MAX($A$8:$A$5007),"",IFERROR(MATCH($K1387,$A$8:$A$5007,1),"")))</f>
        <v/>
      </c>
      <c r="M1387" s="30" t="str">
        <f>IF($L1387="","",INDEX($A$8:$A$5007,$L1387))</f>
        <v/>
      </c>
      <c r="N1387" s="31" t="str">
        <f>IF($L1387="","",INDEX($B$8:$B$5007,$L1387))</f>
        <v/>
      </c>
      <c r="O1387" s="32" t="str">
        <f>IF($M1387="","",IF($K1387-$M1387&gt;7,"",IF($M1387&lt;=$A1387,"",IF(OR($B1387&lt;=0,$N1387&lt;=0),"",($N1387/$B1387)^(365/($M1387-$A1387))-1))))</f>
        <v/>
      </c>
      <c r="P1387" s="31" t="str">
        <f>IF($B1387="","",IF($P1386="",$B1387,MAX($P1386,$B1387)))</f>
        <v/>
      </c>
      <c r="Q1387" s="32" t="str">
        <f>IF($P1387="","",$B1387/$P1387-1)</f>
        <v/>
      </c>
    </row>
    <row r="1388">
      <c r="A1388" s="11" t="n"/>
      <c r="B1388" s="29" t="n"/>
      <c r="K1388" s="30" t="str">
        <f>IF($A1388="","",EDATE($A1388,12*$E$4))</f>
        <v/>
      </c>
      <c r="L1388" s="19" t="str">
        <f>IF($K1388="","",IF($K1388&gt;MAX($A$8:$A$5007),"",IFERROR(MATCH($K1388,$A$8:$A$5007,1),"")))</f>
        <v/>
      </c>
      <c r="M1388" s="30" t="str">
        <f>IF($L1388="","",INDEX($A$8:$A$5007,$L1388))</f>
        <v/>
      </c>
      <c r="N1388" s="31" t="str">
        <f>IF($L1388="","",INDEX($B$8:$B$5007,$L1388))</f>
        <v/>
      </c>
      <c r="O1388" s="32" t="str">
        <f>IF($M1388="","",IF($K1388-$M1388&gt;7,"",IF($M1388&lt;=$A1388,"",IF(OR($B1388&lt;=0,$N1388&lt;=0),"",($N1388/$B1388)^(365/($M1388-$A1388))-1))))</f>
        <v/>
      </c>
      <c r="P1388" s="31" t="str">
        <f>IF($B1388="","",IF($P1387="",$B1388,MAX($P1387,$B1388)))</f>
        <v/>
      </c>
      <c r="Q1388" s="32" t="str">
        <f>IF($P1388="","",$B1388/$P1388-1)</f>
        <v/>
      </c>
    </row>
    <row r="1389">
      <c r="A1389" s="11" t="n"/>
      <c r="B1389" s="29" t="n"/>
      <c r="K1389" s="30" t="str">
        <f>IF($A1389="","",EDATE($A1389,12*$E$4))</f>
        <v/>
      </c>
      <c r="L1389" s="19" t="str">
        <f>IF($K1389="","",IF($K1389&gt;MAX($A$8:$A$5007),"",IFERROR(MATCH($K1389,$A$8:$A$5007,1),"")))</f>
        <v/>
      </c>
      <c r="M1389" s="30" t="str">
        <f>IF($L1389="","",INDEX($A$8:$A$5007,$L1389))</f>
        <v/>
      </c>
      <c r="N1389" s="31" t="str">
        <f>IF($L1389="","",INDEX($B$8:$B$5007,$L1389))</f>
        <v/>
      </c>
      <c r="O1389" s="32" t="str">
        <f>IF($M1389="","",IF($K1389-$M1389&gt;7,"",IF($M1389&lt;=$A1389,"",IF(OR($B1389&lt;=0,$N1389&lt;=0),"",($N1389/$B1389)^(365/($M1389-$A1389))-1))))</f>
        <v/>
      </c>
      <c r="P1389" s="31" t="str">
        <f>IF($B1389="","",IF($P1388="",$B1389,MAX($P1388,$B1389)))</f>
        <v/>
      </c>
      <c r="Q1389" s="32" t="str">
        <f>IF($P1389="","",$B1389/$P1389-1)</f>
        <v/>
      </c>
    </row>
    <row r="1390">
      <c r="A1390" s="11" t="n"/>
      <c r="B1390" s="29" t="n"/>
      <c r="K1390" s="30" t="str">
        <f>IF($A1390="","",EDATE($A1390,12*$E$4))</f>
        <v/>
      </c>
      <c r="L1390" s="19" t="str">
        <f>IF($K1390="","",IF($K1390&gt;MAX($A$8:$A$5007),"",IFERROR(MATCH($K1390,$A$8:$A$5007,1),"")))</f>
        <v/>
      </c>
      <c r="M1390" s="30" t="str">
        <f>IF($L1390="","",INDEX($A$8:$A$5007,$L1390))</f>
        <v/>
      </c>
      <c r="N1390" s="31" t="str">
        <f>IF($L1390="","",INDEX($B$8:$B$5007,$L1390))</f>
        <v/>
      </c>
      <c r="O1390" s="32" t="str">
        <f>IF($M1390="","",IF($K1390-$M1390&gt;7,"",IF($M1390&lt;=$A1390,"",IF(OR($B1390&lt;=0,$N1390&lt;=0),"",($N1390/$B1390)^(365/($M1390-$A1390))-1))))</f>
        <v/>
      </c>
      <c r="P1390" s="31" t="str">
        <f>IF($B1390="","",IF($P1389="",$B1390,MAX($P1389,$B1390)))</f>
        <v/>
      </c>
      <c r="Q1390" s="32" t="str">
        <f>IF($P1390="","",$B1390/$P1390-1)</f>
        <v/>
      </c>
    </row>
    <row r="1391">
      <c r="A1391" s="11" t="n"/>
      <c r="B1391" s="29" t="n"/>
      <c r="K1391" s="30" t="str">
        <f>IF($A1391="","",EDATE($A1391,12*$E$4))</f>
        <v/>
      </c>
      <c r="L1391" s="19" t="str">
        <f>IF($K1391="","",IF($K1391&gt;MAX($A$8:$A$5007),"",IFERROR(MATCH($K1391,$A$8:$A$5007,1),"")))</f>
        <v/>
      </c>
      <c r="M1391" s="30" t="str">
        <f>IF($L1391="","",INDEX($A$8:$A$5007,$L1391))</f>
        <v/>
      </c>
      <c r="N1391" s="31" t="str">
        <f>IF($L1391="","",INDEX($B$8:$B$5007,$L1391))</f>
        <v/>
      </c>
      <c r="O1391" s="32" t="str">
        <f>IF($M1391="","",IF($K1391-$M1391&gt;7,"",IF($M1391&lt;=$A1391,"",IF(OR($B1391&lt;=0,$N1391&lt;=0),"",($N1391/$B1391)^(365/($M1391-$A1391))-1))))</f>
        <v/>
      </c>
      <c r="P1391" s="31" t="str">
        <f>IF($B1391="","",IF($P1390="",$B1391,MAX($P1390,$B1391)))</f>
        <v/>
      </c>
      <c r="Q1391" s="32" t="str">
        <f>IF($P1391="","",$B1391/$P1391-1)</f>
        <v/>
      </c>
    </row>
    <row r="1392">
      <c r="A1392" s="11" t="n"/>
      <c r="B1392" s="29" t="n"/>
      <c r="K1392" s="30" t="str">
        <f>IF($A1392="","",EDATE($A1392,12*$E$4))</f>
        <v/>
      </c>
      <c r="L1392" s="19" t="str">
        <f>IF($K1392="","",IF($K1392&gt;MAX($A$8:$A$5007),"",IFERROR(MATCH($K1392,$A$8:$A$5007,1),"")))</f>
        <v/>
      </c>
      <c r="M1392" s="30" t="str">
        <f>IF($L1392="","",INDEX($A$8:$A$5007,$L1392))</f>
        <v/>
      </c>
      <c r="N1392" s="31" t="str">
        <f>IF($L1392="","",INDEX($B$8:$B$5007,$L1392))</f>
        <v/>
      </c>
      <c r="O1392" s="32" t="str">
        <f>IF($M1392="","",IF($K1392-$M1392&gt;7,"",IF($M1392&lt;=$A1392,"",IF(OR($B1392&lt;=0,$N1392&lt;=0),"",($N1392/$B1392)^(365/($M1392-$A1392))-1))))</f>
        <v/>
      </c>
      <c r="P1392" s="31" t="str">
        <f>IF($B1392="","",IF($P1391="",$B1392,MAX($P1391,$B1392)))</f>
        <v/>
      </c>
      <c r="Q1392" s="32" t="str">
        <f>IF($P1392="","",$B1392/$P1392-1)</f>
        <v/>
      </c>
    </row>
    <row r="1393">
      <c r="A1393" s="11" t="n"/>
      <c r="B1393" s="29" t="n"/>
      <c r="K1393" s="30" t="str">
        <f>IF($A1393="","",EDATE($A1393,12*$E$4))</f>
        <v/>
      </c>
      <c r="L1393" s="19" t="str">
        <f>IF($K1393="","",IF($K1393&gt;MAX($A$8:$A$5007),"",IFERROR(MATCH($K1393,$A$8:$A$5007,1),"")))</f>
        <v/>
      </c>
      <c r="M1393" s="30" t="str">
        <f>IF($L1393="","",INDEX($A$8:$A$5007,$L1393))</f>
        <v/>
      </c>
      <c r="N1393" s="31" t="str">
        <f>IF($L1393="","",INDEX($B$8:$B$5007,$L1393))</f>
        <v/>
      </c>
      <c r="O1393" s="32" t="str">
        <f>IF($M1393="","",IF($K1393-$M1393&gt;7,"",IF($M1393&lt;=$A1393,"",IF(OR($B1393&lt;=0,$N1393&lt;=0),"",($N1393/$B1393)^(365/($M1393-$A1393))-1))))</f>
        <v/>
      </c>
      <c r="P1393" s="31" t="str">
        <f>IF($B1393="","",IF($P1392="",$B1393,MAX($P1392,$B1393)))</f>
        <v/>
      </c>
      <c r="Q1393" s="32" t="str">
        <f>IF($P1393="","",$B1393/$P1393-1)</f>
        <v/>
      </c>
    </row>
    <row r="1394">
      <c r="A1394" s="11" t="n"/>
      <c r="B1394" s="29" t="n"/>
      <c r="K1394" s="30" t="str">
        <f>IF($A1394="","",EDATE($A1394,12*$E$4))</f>
        <v/>
      </c>
      <c r="L1394" s="19" t="str">
        <f>IF($K1394="","",IF($K1394&gt;MAX($A$8:$A$5007),"",IFERROR(MATCH($K1394,$A$8:$A$5007,1),"")))</f>
        <v/>
      </c>
      <c r="M1394" s="30" t="str">
        <f>IF($L1394="","",INDEX($A$8:$A$5007,$L1394))</f>
        <v/>
      </c>
      <c r="N1394" s="31" t="str">
        <f>IF($L1394="","",INDEX($B$8:$B$5007,$L1394))</f>
        <v/>
      </c>
      <c r="O1394" s="32" t="str">
        <f>IF($M1394="","",IF($K1394-$M1394&gt;7,"",IF($M1394&lt;=$A1394,"",IF(OR($B1394&lt;=0,$N1394&lt;=0),"",($N1394/$B1394)^(365/($M1394-$A1394))-1))))</f>
        <v/>
      </c>
      <c r="P1394" s="31" t="str">
        <f>IF($B1394="","",IF($P1393="",$B1394,MAX($P1393,$B1394)))</f>
        <v/>
      </c>
      <c r="Q1394" s="32" t="str">
        <f>IF($P1394="","",$B1394/$P1394-1)</f>
        <v/>
      </c>
    </row>
    <row r="1395">
      <c r="A1395" s="11" t="n"/>
      <c r="B1395" s="29" t="n"/>
      <c r="K1395" s="30" t="str">
        <f>IF($A1395="","",EDATE($A1395,12*$E$4))</f>
        <v/>
      </c>
      <c r="L1395" s="19" t="str">
        <f>IF($K1395="","",IF($K1395&gt;MAX($A$8:$A$5007),"",IFERROR(MATCH($K1395,$A$8:$A$5007,1),"")))</f>
        <v/>
      </c>
      <c r="M1395" s="30" t="str">
        <f>IF($L1395="","",INDEX($A$8:$A$5007,$L1395))</f>
        <v/>
      </c>
      <c r="N1395" s="31" t="str">
        <f>IF($L1395="","",INDEX($B$8:$B$5007,$L1395))</f>
        <v/>
      </c>
      <c r="O1395" s="32" t="str">
        <f>IF($M1395="","",IF($K1395-$M1395&gt;7,"",IF($M1395&lt;=$A1395,"",IF(OR($B1395&lt;=0,$N1395&lt;=0),"",($N1395/$B1395)^(365/($M1395-$A1395))-1))))</f>
        <v/>
      </c>
      <c r="P1395" s="31" t="str">
        <f>IF($B1395="","",IF($P1394="",$B1395,MAX($P1394,$B1395)))</f>
        <v/>
      </c>
      <c r="Q1395" s="32" t="str">
        <f>IF($P1395="","",$B1395/$P1395-1)</f>
        <v/>
      </c>
    </row>
    <row r="1396">
      <c r="A1396" s="11" t="n"/>
      <c r="B1396" s="29" t="n"/>
      <c r="K1396" s="30" t="str">
        <f>IF($A1396="","",EDATE($A1396,12*$E$4))</f>
        <v/>
      </c>
      <c r="L1396" s="19" t="str">
        <f>IF($K1396="","",IF($K1396&gt;MAX($A$8:$A$5007),"",IFERROR(MATCH($K1396,$A$8:$A$5007,1),"")))</f>
        <v/>
      </c>
      <c r="M1396" s="30" t="str">
        <f>IF($L1396="","",INDEX($A$8:$A$5007,$L1396))</f>
        <v/>
      </c>
      <c r="N1396" s="31" t="str">
        <f>IF($L1396="","",INDEX($B$8:$B$5007,$L1396))</f>
        <v/>
      </c>
      <c r="O1396" s="32" t="str">
        <f>IF($M1396="","",IF($K1396-$M1396&gt;7,"",IF($M1396&lt;=$A1396,"",IF(OR($B1396&lt;=0,$N1396&lt;=0),"",($N1396/$B1396)^(365/($M1396-$A1396))-1))))</f>
        <v/>
      </c>
      <c r="P1396" s="31" t="str">
        <f>IF($B1396="","",IF($P1395="",$B1396,MAX($P1395,$B1396)))</f>
        <v/>
      </c>
      <c r="Q1396" s="32" t="str">
        <f>IF($P1396="","",$B1396/$P1396-1)</f>
        <v/>
      </c>
    </row>
    <row r="1397">
      <c r="A1397" s="11" t="n"/>
      <c r="B1397" s="29" t="n"/>
      <c r="K1397" s="30" t="str">
        <f>IF($A1397="","",EDATE($A1397,12*$E$4))</f>
        <v/>
      </c>
      <c r="L1397" s="19" t="str">
        <f>IF($K1397="","",IF($K1397&gt;MAX($A$8:$A$5007),"",IFERROR(MATCH($K1397,$A$8:$A$5007,1),"")))</f>
        <v/>
      </c>
      <c r="M1397" s="30" t="str">
        <f>IF($L1397="","",INDEX($A$8:$A$5007,$L1397))</f>
        <v/>
      </c>
      <c r="N1397" s="31" t="str">
        <f>IF($L1397="","",INDEX($B$8:$B$5007,$L1397))</f>
        <v/>
      </c>
      <c r="O1397" s="32" t="str">
        <f>IF($M1397="","",IF($K1397-$M1397&gt;7,"",IF($M1397&lt;=$A1397,"",IF(OR($B1397&lt;=0,$N1397&lt;=0),"",($N1397/$B1397)^(365/($M1397-$A1397))-1))))</f>
        <v/>
      </c>
      <c r="P1397" s="31" t="str">
        <f>IF($B1397="","",IF($P1396="",$B1397,MAX($P1396,$B1397)))</f>
        <v/>
      </c>
      <c r="Q1397" s="32" t="str">
        <f>IF($P1397="","",$B1397/$P1397-1)</f>
        <v/>
      </c>
    </row>
    <row r="1398">
      <c r="A1398" s="11" t="n"/>
      <c r="B1398" s="29" t="n"/>
      <c r="K1398" s="30" t="str">
        <f>IF($A1398="","",EDATE($A1398,12*$E$4))</f>
        <v/>
      </c>
      <c r="L1398" s="19" t="str">
        <f>IF($K1398="","",IF($K1398&gt;MAX($A$8:$A$5007),"",IFERROR(MATCH($K1398,$A$8:$A$5007,1),"")))</f>
        <v/>
      </c>
      <c r="M1398" s="30" t="str">
        <f>IF($L1398="","",INDEX($A$8:$A$5007,$L1398))</f>
        <v/>
      </c>
      <c r="N1398" s="31" t="str">
        <f>IF($L1398="","",INDEX($B$8:$B$5007,$L1398))</f>
        <v/>
      </c>
      <c r="O1398" s="32" t="str">
        <f>IF($M1398="","",IF($K1398-$M1398&gt;7,"",IF($M1398&lt;=$A1398,"",IF(OR($B1398&lt;=0,$N1398&lt;=0),"",($N1398/$B1398)^(365/($M1398-$A1398))-1))))</f>
        <v/>
      </c>
      <c r="P1398" s="31" t="str">
        <f>IF($B1398="","",IF($P1397="",$B1398,MAX($P1397,$B1398)))</f>
        <v/>
      </c>
      <c r="Q1398" s="32" t="str">
        <f>IF($P1398="","",$B1398/$P1398-1)</f>
        <v/>
      </c>
    </row>
    <row r="1399">
      <c r="A1399" s="11" t="n"/>
      <c r="B1399" s="29" t="n"/>
      <c r="K1399" s="30" t="str">
        <f>IF($A1399="","",EDATE($A1399,12*$E$4))</f>
        <v/>
      </c>
      <c r="L1399" s="19" t="str">
        <f>IF($K1399="","",IF($K1399&gt;MAX($A$8:$A$5007),"",IFERROR(MATCH($K1399,$A$8:$A$5007,1),"")))</f>
        <v/>
      </c>
      <c r="M1399" s="30" t="str">
        <f>IF($L1399="","",INDEX($A$8:$A$5007,$L1399))</f>
        <v/>
      </c>
      <c r="N1399" s="31" t="str">
        <f>IF($L1399="","",INDEX($B$8:$B$5007,$L1399))</f>
        <v/>
      </c>
      <c r="O1399" s="32" t="str">
        <f>IF($M1399="","",IF($K1399-$M1399&gt;7,"",IF($M1399&lt;=$A1399,"",IF(OR($B1399&lt;=0,$N1399&lt;=0),"",($N1399/$B1399)^(365/($M1399-$A1399))-1))))</f>
        <v/>
      </c>
      <c r="P1399" s="31" t="str">
        <f>IF($B1399="","",IF($P1398="",$B1399,MAX($P1398,$B1399)))</f>
        <v/>
      </c>
      <c r="Q1399" s="32" t="str">
        <f>IF($P1399="","",$B1399/$P1399-1)</f>
        <v/>
      </c>
    </row>
    <row r="1400">
      <c r="A1400" s="11" t="n"/>
      <c r="B1400" s="29" t="n"/>
      <c r="K1400" s="30" t="str">
        <f>IF($A1400="","",EDATE($A1400,12*$E$4))</f>
        <v/>
      </c>
      <c r="L1400" s="19" t="str">
        <f>IF($K1400="","",IF($K1400&gt;MAX($A$8:$A$5007),"",IFERROR(MATCH($K1400,$A$8:$A$5007,1),"")))</f>
        <v/>
      </c>
      <c r="M1400" s="30" t="str">
        <f>IF($L1400="","",INDEX($A$8:$A$5007,$L1400))</f>
        <v/>
      </c>
      <c r="N1400" s="31" t="str">
        <f>IF($L1400="","",INDEX($B$8:$B$5007,$L1400))</f>
        <v/>
      </c>
      <c r="O1400" s="32" t="str">
        <f>IF($M1400="","",IF($K1400-$M1400&gt;7,"",IF($M1400&lt;=$A1400,"",IF(OR($B1400&lt;=0,$N1400&lt;=0),"",($N1400/$B1400)^(365/($M1400-$A1400))-1))))</f>
        <v/>
      </c>
      <c r="P1400" s="31" t="str">
        <f>IF($B1400="","",IF($P1399="",$B1400,MAX($P1399,$B1400)))</f>
        <v/>
      </c>
      <c r="Q1400" s="32" t="str">
        <f>IF($P1400="","",$B1400/$P1400-1)</f>
        <v/>
      </c>
    </row>
    <row r="1401">
      <c r="A1401" s="11" t="n"/>
      <c r="B1401" s="29" t="n"/>
      <c r="K1401" s="30" t="str">
        <f>IF($A1401="","",EDATE($A1401,12*$E$4))</f>
        <v/>
      </c>
      <c r="L1401" s="19" t="str">
        <f>IF($K1401="","",IF($K1401&gt;MAX($A$8:$A$5007),"",IFERROR(MATCH($K1401,$A$8:$A$5007,1),"")))</f>
        <v/>
      </c>
      <c r="M1401" s="30" t="str">
        <f>IF($L1401="","",INDEX($A$8:$A$5007,$L1401))</f>
        <v/>
      </c>
      <c r="N1401" s="31" t="str">
        <f>IF($L1401="","",INDEX($B$8:$B$5007,$L1401))</f>
        <v/>
      </c>
      <c r="O1401" s="32" t="str">
        <f>IF($M1401="","",IF($K1401-$M1401&gt;7,"",IF($M1401&lt;=$A1401,"",IF(OR($B1401&lt;=0,$N1401&lt;=0),"",($N1401/$B1401)^(365/($M1401-$A1401))-1))))</f>
        <v/>
      </c>
      <c r="P1401" s="31" t="str">
        <f>IF($B1401="","",IF($P1400="",$B1401,MAX($P1400,$B1401)))</f>
        <v/>
      </c>
      <c r="Q1401" s="32" t="str">
        <f>IF($P1401="","",$B1401/$P1401-1)</f>
        <v/>
      </c>
    </row>
    <row r="1402">
      <c r="A1402" s="11" t="n"/>
      <c r="B1402" s="29" t="n"/>
      <c r="K1402" s="30" t="str">
        <f>IF($A1402="","",EDATE($A1402,12*$E$4))</f>
        <v/>
      </c>
      <c r="L1402" s="19" t="str">
        <f>IF($K1402="","",IF($K1402&gt;MAX($A$8:$A$5007),"",IFERROR(MATCH($K1402,$A$8:$A$5007,1),"")))</f>
        <v/>
      </c>
      <c r="M1402" s="30" t="str">
        <f>IF($L1402="","",INDEX($A$8:$A$5007,$L1402))</f>
        <v/>
      </c>
      <c r="N1402" s="31" t="str">
        <f>IF($L1402="","",INDEX($B$8:$B$5007,$L1402))</f>
        <v/>
      </c>
      <c r="O1402" s="32" t="str">
        <f>IF($M1402="","",IF($K1402-$M1402&gt;7,"",IF($M1402&lt;=$A1402,"",IF(OR($B1402&lt;=0,$N1402&lt;=0),"",($N1402/$B1402)^(365/($M1402-$A1402))-1))))</f>
        <v/>
      </c>
      <c r="P1402" s="31" t="str">
        <f>IF($B1402="","",IF($P1401="",$B1402,MAX($P1401,$B1402)))</f>
        <v/>
      </c>
      <c r="Q1402" s="32" t="str">
        <f>IF($P1402="","",$B1402/$P1402-1)</f>
        <v/>
      </c>
    </row>
    <row r="1403">
      <c r="A1403" s="11" t="n"/>
      <c r="B1403" s="29" t="n"/>
      <c r="K1403" s="30" t="str">
        <f>IF($A1403="","",EDATE($A1403,12*$E$4))</f>
        <v/>
      </c>
      <c r="L1403" s="19" t="str">
        <f>IF($K1403="","",IF($K1403&gt;MAX($A$8:$A$5007),"",IFERROR(MATCH($K1403,$A$8:$A$5007,1),"")))</f>
        <v/>
      </c>
      <c r="M1403" s="30" t="str">
        <f>IF($L1403="","",INDEX($A$8:$A$5007,$L1403))</f>
        <v/>
      </c>
      <c r="N1403" s="31" t="str">
        <f>IF($L1403="","",INDEX($B$8:$B$5007,$L1403))</f>
        <v/>
      </c>
      <c r="O1403" s="32" t="str">
        <f>IF($M1403="","",IF($K1403-$M1403&gt;7,"",IF($M1403&lt;=$A1403,"",IF(OR($B1403&lt;=0,$N1403&lt;=0),"",($N1403/$B1403)^(365/($M1403-$A1403))-1))))</f>
        <v/>
      </c>
      <c r="P1403" s="31" t="str">
        <f>IF($B1403="","",IF($P1402="",$B1403,MAX($P1402,$B1403)))</f>
        <v/>
      </c>
      <c r="Q1403" s="32" t="str">
        <f>IF($P1403="","",$B1403/$P1403-1)</f>
        <v/>
      </c>
    </row>
    <row r="1404">
      <c r="A1404" s="11" t="n"/>
      <c r="B1404" s="29" t="n"/>
      <c r="K1404" s="30" t="str">
        <f>IF($A1404="","",EDATE($A1404,12*$E$4))</f>
        <v/>
      </c>
      <c r="L1404" s="19" t="str">
        <f>IF($K1404="","",IF($K1404&gt;MAX($A$8:$A$5007),"",IFERROR(MATCH($K1404,$A$8:$A$5007,1),"")))</f>
        <v/>
      </c>
      <c r="M1404" s="30" t="str">
        <f>IF($L1404="","",INDEX($A$8:$A$5007,$L1404))</f>
        <v/>
      </c>
      <c r="N1404" s="31" t="str">
        <f>IF($L1404="","",INDEX($B$8:$B$5007,$L1404))</f>
        <v/>
      </c>
      <c r="O1404" s="32" t="str">
        <f>IF($M1404="","",IF($K1404-$M1404&gt;7,"",IF($M1404&lt;=$A1404,"",IF(OR($B1404&lt;=0,$N1404&lt;=0),"",($N1404/$B1404)^(365/($M1404-$A1404))-1))))</f>
        <v/>
      </c>
      <c r="P1404" s="31" t="str">
        <f>IF($B1404="","",IF($P1403="",$B1404,MAX($P1403,$B1404)))</f>
        <v/>
      </c>
      <c r="Q1404" s="32" t="str">
        <f>IF($P1404="","",$B1404/$P1404-1)</f>
        <v/>
      </c>
    </row>
    <row r="1405">
      <c r="A1405" s="11" t="n"/>
      <c r="B1405" s="29" t="n"/>
      <c r="K1405" s="30" t="str">
        <f>IF($A1405="","",EDATE($A1405,12*$E$4))</f>
        <v/>
      </c>
      <c r="L1405" s="19" t="str">
        <f>IF($K1405="","",IF($K1405&gt;MAX($A$8:$A$5007),"",IFERROR(MATCH($K1405,$A$8:$A$5007,1),"")))</f>
        <v/>
      </c>
      <c r="M1405" s="30" t="str">
        <f>IF($L1405="","",INDEX($A$8:$A$5007,$L1405))</f>
        <v/>
      </c>
      <c r="N1405" s="31" t="str">
        <f>IF($L1405="","",INDEX($B$8:$B$5007,$L1405))</f>
        <v/>
      </c>
      <c r="O1405" s="32" t="str">
        <f>IF($M1405="","",IF($K1405-$M1405&gt;7,"",IF($M1405&lt;=$A1405,"",IF(OR($B1405&lt;=0,$N1405&lt;=0),"",($N1405/$B1405)^(365/($M1405-$A1405))-1))))</f>
        <v/>
      </c>
      <c r="P1405" s="31" t="str">
        <f>IF($B1405="","",IF($P1404="",$B1405,MAX($P1404,$B1405)))</f>
        <v/>
      </c>
      <c r="Q1405" s="32" t="str">
        <f>IF($P1405="","",$B1405/$P1405-1)</f>
        <v/>
      </c>
    </row>
    <row r="1406">
      <c r="A1406" s="11" t="n"/>
      <c r="B1406" s="29" t="n"/>
      <c r="K1406" s="30" t="str">
        <f>IF($A1406="","",EDATE($A1406,12*$E$4))</f>
        <v/>
      </c>
      <c r="L1406" s="19" t="str">
        <f>IF($K1406="","",IF($K1406&gt;MAX($A$8:$A$5007),"",IFERROR(MATCH($K1406,$A$8:$A$5007,1),"")))</f>
        <v/>
      </c>
      <c r="M1406" s="30" t="str">
        <f>IF($L1406="","",INDEX($A$8:$A$5007,$L1406))</f>
        <v/>
      </c>
      <c r="N1406" s="31" t="str">
        <f>IF($L1406="","",INDEX($B$8:$B$5007,$L1406))</f>
        <v/>
      </c>
      <c r="O1406" s="32" t="str">
        <f>IF($M1406="","",IF($K1406-$M1406&gt;7,"",IF($M1406&lt;=$A1406,"",IF(OR($B1406&lt;=0,$N1406&lt;=0),"",($N1406/$B1406)^(365/($M1406-$A1406))-1))))</f>
        <v/>
      </c>
      <c r="P1406" s="31" t="str">
        <f>IF($B1406="","",IF($P1405="",$B1406,MAX($P1405,$B1406)))</f>
        <v/>
      </c>
      <c r="Q1406" s="32" t="str">
        <f>IF($P1406="","",$B1406/$P1406-1)</f>
        <v/>
      </c>
    </row>
    <row r="1407">
      <c r="A1407" s="11" t="n"/>
      <c r="B1407" s="29" t="n"/>
      <c r="K1407" s="30" t="str">
        <f>IF($A1407="","",EDATE($A1407,12*$E$4))</f>
        <v/>
      </c>
      <c r="L1407" s="19" t="str">
        <f>IF($K1407="","",IF($K1407&gt;MAX($A$8:$A$5007),"",IFERROR(MATCH($K1407,$A$8:$A$5007,1),"")))</f>
        <v/>
      </c>
      <c r="M1407" s="30" t="str">
        <f>IF($L1407="","",INDEX($A$8:$A$5007,$L1407))</f>
        <v/>
      </c>
      <c r="N1407" s="31" t="str">
        <f>IF($L1407="","",INDEX($B$8:$B$5007,$L1407))</f>
        <v/>
      </c>
      <c r="O1407" s="32" t="str">
        <f>IF($M1407="","",IF($K1407-$M1407&gt;7,"",IF($M1407&lt;=$A1407,"",IF(OR($B1407&lt;=0,$N1407&lt;=0),"",($N1407/$B1407)^(365/($M1407-$A1407))-1))))</f>
        <v/>
      </c>
      <c r="P1407" s="31" t="str">
        <f>IF($B1407="","",IF($P1406="",$B1407,MAX($P1406,$B1407)))</f>
        <v/>
      </c>
      <c r="Q1407" s="32" t="str">
        <f>IF($P1407="","",$B1407/$P1407-1)</f>
        <v/>
      </c>
    </row>
    <row r="1408">
      <c r="A1408" s="11" t="n"/>
      <c r="B1408" s="29" t="n"/>
      <c r="K1408" s="30" t="str">
        <f>IF($A1408="","",EDATE($A1408,12*$E$4))</f>
        <v/>
      </c>
      <c r="L1408" s="19" t="str">
        <f>IF($K1408="","",IF($K1408&gt;MAX($A$8:$A$5007),"",IFERROR(MATCH($K1408,$A$8:$A$5007,1),"")))</f>
        <v/>
      </c>
      <c r="M1408" s="30" t="str">
        <f>IF($L1408="","",INDEX($A$8:$A$5007,$L1408))</f>
        <v/>
      </c>
      <c r="N1408" s="31" t="str">
        <f>IF($L1408="","",INDEX($B$8:$B$5007,$L1408))</f>
        <v/>
      </c>
      <c r="O1408" s="32" t="str">
        <f>IF($M1408="","",IF($K1408-$M1408&gt;7,"",IF($M1408&lt;=$A1408,"",IF(OR($B1408&lt;=0,$N1408&lt;=0),"",($N1408/$B1408)^(365/($M1408-$A1408))-1))))</f>
        <v/>
      </c>
      <c r="P1408" s="31" t="str">
        <f>IF($B1408="","",IF($P1407="",$B1408,MAX($P1407,$B1408)))</f>
        <v/>
      </c>
      <c r="Q1408" s="32" t="str">
        <f>IF($P1408="","",$B1408/$P1408-1)</f>
        <v/>
      </c>
    </row>
    <row r="1409">
      <c r="A1409" s="11" t="n"/>
      <c r="B1409" s="29" t="n"/>
      <c r="K1409" s="30" t="str">
        <f>IF($A1409="","",EDATE($A1409,12*$E$4))</f>
        <v/>
      </c>
      <c r="L1409" s="19" t="str">
        <f>IF($K1409="","",IF($K1409&gt;MAX($A$8:$A$5007),"",IFERROR(MATCH($K1409,$A$8:$A$5007,1),"")))</f>
        <v/>
      </c>
      <c r="M1409" s="30" t="str">
        <f>IF($L1409="","",INDEX($A$8:$A$5007,$L1409))</f>
        <v/>
      </c>
      <c r="N1409" s="31" t="str">
        <f>IF($L1409="","",INDEX($B$8:$B$5007,$L1409))</f>
        <v/>
      </c>
      <c r="O1409" s="32" t="str">
        <f>IF($M1409="","",IF($K1409-$M1409&gt;7,"",IF($M1409&lt;=$A1409,"",IF(OR($B1409&lt;=0,$N1409&lt;=0),"",($N1409/$B1409)^(365/($M1409-$A1409))-1))))</f>
        <v/>
      </c>
      <c r="P1409" s="31" t="str">
        <f>IF($B1409="","",IF($P1408="",$B1409,MAX($P1408,$B1409)))</f>
        <v/>
      </c>
      <c r="Q1409" s="32" t="str">
        <f>IF($P1409="","",$B1409/$P1409-1)</f>
        <v/>
      </c>
    </row>
    <row r="1410">
      <c r="A1410" s="11" t="n"/>
      <c r="B1410" s="29" t="n"/>
      <c r="K1410" s="30" t="str">
        <f>IF($A1410="","",EDATE($A1410,12*$E$4))</f>
        <v/>
      </c>
      <c r="L1410" s="19" t="str">
        <f>IF($K1410="","",IF($K1410&gt;MAX($A$8:$A$5007),"",IFERROR(MATCH($K1410,$A$8:$A$5007,1),"")))</f>
        <v/>
      </c>
      <c r="M1410" s="30" t="str">
        <f>IF($L1410="","",INDEX($A$8:$A$5007,$L1410))</f>
        <v/>
      </c>
      <c r="N1410" s="31" t="str">
        <f>IF($L1410="","",INDEX($B$8:$B$5007,$L1410))</f>
        <v/>
      </c>
      <c r="O1410" s="32" t="str">
        <f>IF($M1410="","",IF($K1410-$M1410&gt;7,"",IF($M1410&lt;=$A1410,"",IF(OR($B1410&lt;=0,$N1410&lt;=0),"",($N1410/$B1410)^(365/($M1410-$A1410))-1))))</f>
        <v/>
      </c>
      <c r="P1410" s="31" t="str">
        <f>IF($B1410="","",IF($P1409="",$B1410,MAX($P1409,$B1410)))</f>
        <v/>
      </c>
      <c r="Q1410" s="32" t="str">
        <f>IF($P1410="","",$B1410/$P1410-1)</f>
        <v/>
      </c>
    </row>
    <row r="1411">
      <c r="A1411" s="11" t="n"/>
      <c r="B1411" s="29" t="n"/>
      <c r="K1411" s="30" t="str">
        <f>IF($A1411="","",EDATE($A1411,12*$E$4))</f>
        <v/>
      </c>
      <c r="L1411" s="19" t="str">
        <f>IF($K1411="","",IF($K1411&gt;MAX($A$8:$A$5007),"",IFERROR(MATCH($K1411,$A$8:$A$5007,1),"")))</f>
        <v/>
      </c>
      <c r="M1411" s="30" t="str">
        <f>IF($L1411="","",INDEX($A$8:$A$5007,$L1411))</f>
        <v/>
      </c>
      <c r="N1411" s="31" t="str">
        <f>IF($L1411="","",INDEX($B$8:$B$5007,$L1411))</f>
        <v/>
      </c>
      <c r="O1411" s="32" t="str">
        <f>IF($M1411="","",IF($K1411-$M1411&gt;7,"",IF($M1411&lt;=$A1411,"",IF(OR($B1411&lt;=0,$N1411&lt;=0),"",($N1411/$B1411)^(365/($M1411-$A1411))-1))))</f>
        <v/>
      </c>
      <c r="P1411" s="31" t="str">
        <f>IF($B1411="","",IF($P1410="",$B1411,MAX($P1410,$B1411)))</f>
        <v/>
      </c>
      <c r="Q1411" s="32" t="str">
        <f>IF($P1411="","",$B1411/$P1411-1)</f>
        <v/>
      </c>
    </row>
    <row r="1412">
      <c r="A1412" s="11" t="n"/>
      <c r="B1412" s="29" t="n"/>
      <c r="K1412" s="30" t="str">
        <f>IF($A1412="","",EDATE($A1412,12*$E$4))</f>
        <v/>
      </c>
      <c r="L1412" s="19" t="str">
        <f>IF($K1412="","",IF($K1412&gt;MAX($A$8:$A$5007),"",IFERROR(MATCH($K1412,$A$8:$A$5007,1),"")))</f>
        <v/>
      </c>
      <c r="M1412" s="30" t="str">
        <f>IF($L1412="","",INDEX($A$8:$A$5007,$L1412))</f>
        <v/>
      </c>
      <c r="N1412" s="31" t="str">
        <f>IF($L1412="","",INDEX($B$8:$B$5007,$L1412))</f>
        <v/>
      </c>
      <c r="O1412" s="32" t="str">
        <f>IF($M1412="","",IF($K1412-$M1412&gt;7,"",IF($M1412&lt;=$A1412,"",IF(OR($B1412&lt;=0,$N1412&lt;=0),"",($N1412/$B1412)^(365/($M1412-$A1412))-1))))</f>
        <v/>
      </c>
      <c r="P1412" s="31" t="str">
        <f>IF($B1412="","",IF($P1411="",$B1412,MAX($P1411,$B1412)))</f>
        <v/>
      </c>
      <c r="Q1412" s="32" t="str">
        <f>IF($P1412="","",$B1412/$P1412-1)</f>
        <v/>
      </c>
    </row>
    <row r="1413">
      <c r="A1413" s="11" t="n"/>
      <c r="B1413" s="29" t="n"/>
      <c r="K1413" s="30" t="str">
        <f>IF($A1413="","",EDATE($A1413,12*$E$4))</f>
        <v/>
      </c>
      <c r="L1413" s="19" t="str">
        <f>IF($K1413="","",IF($K1413&gt;MAX($A$8:$A$5007),"",IFERROR(MATCH($K1413,$A$8:$A$5007,1),"")))</f>
        <v/>
      </c>
      <c r="M1413" s="30" t="str">
        <f>IF($L1413="","",INDEX($A$8:$A$5007,$L1413))</f>
        <v/>
      </c>
      <c r="N1413" s="31" t="str">
        <f>IF($L1413="","",INDEX($B$8:$B$5007,$L1413))</f>
        <v/>
      </c>
      <c r="O1413" s="32" t="str">
        <f>IF($M1413="","",IF($K1413-$M1413&gt;7,"",IF($M1413&lt;=$A1413,"",IF(OR($B1413&lt;=0,$N1413&lt;=0),"",($N1413/$B1413)^(365/($M1413-$A1413))-1))))</f>
        <v/>
      </c>
      <c r="P1413" s="31" t="str">
        <f>IF($B1413="","",IF($P1412="",$B1413,MAX($P1412,$B1413)))</f>
        <v/>
      </c>
      <c r="Q1413" s="32" t="str">
        <f>IF($P1413="","",$B1413/$P1413-1)</f>
        <v/>
      </c>
    </row>
    <row r="1414">
      <c r="A1414" s="11" t="n"/>
      <c r="B1414" s="29" t="n"/>
      <c r="K1414" s="30" t="str">
        <f>IF($A1414="","",EDATE($A1414,12*$E$4))</f>
        <v/>
      </c>
      <c r="L1414" s="19" t="str">
        <f>IF($K1414="","",IF($K1414&gt;MAX($A$8:$A$5007),"",IFERROR(MATCH($K1414,$A$8:$A$5007,1),"")))</f>
        <v/>
      </c>
      <c r="M1414" s="30" t="str">
        <f>IF($L1414="","",INDEX($A$8:$A$5007,$L1414))</f>
        <v/>
      </c>
      <c r="N1414" s="31" t="str">
        <f>IF($L1414="","",INDEX($B$8:$B$5007,$L1414))</f>
        <v/>
      </c>
      <c r="O1414" s="32" t="str">
        <f>IF($M1414="","",IF($K1414-$M1414&gt;7,"",IF($M1414&lt;=$A1414,"",IF(OR($B1414&lt;=0,$N1414&lt;=0),"",($N1414/$B1414)^(365/($M1414-$A1414))-1))))</f>
        <v/>
      </c>
      <c r="P1414" s="31" t="str">
        <f>IF($B1414="","",IF($P1413="",$B1414,MAX($P1413,$B1414)))</f>
        <v/>
      </c>
      <c r="Q1414" s="32" t="str">
        <f>IF($P1414="","",$B1414/$P1414-1)</f>
        <v/>
      </c>
    </row>
    <row r="1415">
      <c r="A1415" s="11" t="n"/>
      <c r="B1415" s="29" t="n"/>
      <c r="K1415" s="30" t="str">
        <f>IF($A1415="","",EDATE($A1415,12*$E$4))</f>
        <v/>
      </c>
      <c r="L1415" s="19" t="str">
        <f>IF($K1415="","",IF($K1415&gt;MAX($A$8:$A$5007),"",IFERROR(MATCH($K1415,$A$8:$A$5007,1),"")))</f>
        <v/>
      </c>
      <c r="M1415" s="30" t="str">
        <f>IF($L1415="","",INDEX($A$8:$A$5007,$L1415))</f>
        <v/>
      </c>
      <c r="N1415" s="31" t="str">
        <f>IF($L1415="","",INDEX($B$8:$B$5007,$L1415))</f>
        <v/>
      </c>
      <c r="O1415" s="32" t="str">
        <f>IF($M1415="","",IF($K1415-$M1415&gt;7,"",IF($M1415&lt;=$A1415,"",IF(OR($B1415&lt;=0,$N1415&lt;=0),"",($N1415/$B1415)^(365/($M1415-$A1415))-1))))</f>
        <v/>
      </c>
      <c r="P1415" s="31" t="str">
        <f>IF($B1415="","",IF($P1414="",$B1415,MAX($P1414,$B1415)))</f>
        <v/>
      </c>
      <c r="Q1415" s="32" t="str">
        <f>IF($P1415="","",$B1415/$P1415-1)</f>
        <v/>
      </c>
    </row>
    <row r="1416">
      <c r="A1416" s="11" t="n"/>
      <c r="B1416" s="29" t="n"/>
      <c r="K1416" s="30" t="str">
        <f>IF($A1416="","",EDATE($A1416,12*$E$4))</f>
        <v/>
      </c>
      <c r="L1416" s="19" t="str">
        <f>IF($K1416="","",IF($K1416&gt;MAX($A$8:$A$5007),"",IFERROR(MATCH($K1416,$A$8:$A$5007,1),"")))</f>
        <v/>
      </c>
      <c r="M1416" s="30" t="str">
        <f>IF($L1416="","",INDEX($A$8:$A$5007,$L1416))</f>
        <v/>
      </c>
      <c r="N1416" s="31" t="str">
        <f>IF($L1416="","",INDEX($B$8:$B$5007,$L1416))</f>
        <v/>
      </c>
      <c r="O1416" s="32" t="str">
        <f>IF($M1416="","",IF($K1416-$M1416&gt;7,"",IF($M1416&lt;=$A1416,"",IF(OR($B1416&lt;=0,$N1416&lt;=0),"",($N1416/$B1416)^(365/($M1416-$A1416))-1))))</f>
        <v/>
      </c>
      <c r="P1416" s="31" t="str">
        <f>IF($B1416="","",IF($P1415="",$B1416,MAX($P1415,$B1416)))</f>
        <v/>
      </c>
      <c r="Q1416" s="32" t="str">
        <f>IF($P1416="","",$B1416/$P1416-1)</f>
        <v/>
      </c>
    </row>
    <row r="1417">
      <c r="A1417" s="11" t="n"/>
      <c r="B1417" s="29" t="n"/>
      <c r="K1417" s="30" t="str">
        <f>IF($A1417="","",EDATE($A1417,12*$E$4))</f>
        <v/>
      </c>
      <c r="L1417" s="19" t="str">
        <f>IF($K1417="","",IF($K1417&gt;MAX($A$8:$A$5007),"",IFERROR(MATCH($K1417,$A$8:$A$5007,1),"")))</f>
        <v/>
      </c>
      <c r="M1417" s="30" t="str">
        <f>IF($L1417="","",INDEX($A$8:$A$5007,$L1417))</f>
        <v/>
      </c>
      <c r="N1417" s="31" t="str">
        <f>IF($L1417="","",INDEX($B$8:$B$5007,$L1417))</f>
        <v/>
      </c>
      <c r="O1417" s="32" t="str">
        <f>IF($M1417="","",IF($K1417-$M1417&gt;7,"",IF($M1417&lt;=$A1417,"",IF(OR($B1417&lt;=0,$N1417&lt;=0),"",($N1417/$B1417)^(365/($M1417-$A1417))-1))))</f>
        <v/>
      </c>
      <c r="P1417" s="31" t="str">
        <f>IF($B1417="","",IF($P1416="",$B1417,MAX($P1416,$B1417)))</f>
        <v/>
      </c>
      <c r="Q1417" s="32" t="str">
        <f>IF($P1417="","",$B1417/$P1417-1)</f>
        <v/>
      </c>
    </row>
    <row r="1418">
      <c r="A1418" s="11" t="n"/>
      <c r="B1418" s="29" t="n"/>
      <c r="K1418" s="30" t="str">
        <f>IF($A1418="","",EDATE($A1418,12*$E$4))</f>
        <v/>
      </c>
      <c r="L1418" s="19" t="str">
        <f>IF($K1418="","",IF($K1418&gt;MAX($A$8:$A$5007),"",IFERROR(MATCH($K1418,$A$8:$A$5007,1),"")))</f>
        <v/>
      </c>
      <c r="M1418" s="30" t="str">
        <f>IF($L1418="","",INDEX($A$8:$A$5007,$L1418))</f>
        <v/>
      </c>
      <c r="N1418" s="31" t="str">
        <f>IF($L1418="","",INDEX($B$8:$B$5007,$L1418))</f>
        <v/>
      </c>
      <c r="O1418" s="32" t="str">
        <f>IF($M1418="","",IF($K1418-$M1418&gt;7,"",IF($M1418&lt;=$A1418,"",IF(OR($B1418&lt;=0,$N1418&lt;=0),"",($N1418/$B1418)^(365/($M1418-$A1418))-1))))</f>
        <v/>
      </c>
      <c r="P1418" s="31" t="str">
        <f>IF($B1418="","",IF($P1417="",$B1418,MAX($P1417,$B1418)))</f>
        <v/>
      </c>
      <c r="Q1418" s="32" t="str">
        <f>IF($P1418="","",$B1418/$P1418-1)</f>
        <v/>
      </c>
    </row>
    <row r="1419">
      <c r="A1419" s="11" t="n"/>
      <c r="B1419" s="29" t="n"/>
      <c r="K1419" s="30" t="str">
        <f>IF($A1419="","",EDATE($A1419,12*$E$4))</f>
        <v/>
      </c>
      <c r="L1419" s="19" t="str">
        <f>IF($K1419="","",IF($K1419&gt;MAX($A$8:$A$5007),"",IFERROR(MATCH($K1419,$A$8:$A$5007,1),"")))</f>
        <v/>
      </c>
      <c r="M1419" s="30" t="str">
        <f>IF($L1419="","",INDEX($A$8:$A$5007,$L1419))</f>
        <v/>
      </c>
      <c r="N1419" s="31" t="str">
        <f>IF($L1419="","",INDEX($B$8:$B$5007,$L1419))</f>
        <v/>
      </c>
      <c r="O1419" s="32" t="str">
        <f>IF($M1419="","",IF($K1419-$M1419&gt;7,"",IF($M1419&lt;=$A1419,"",IF(OR($B1419&lt;=0,$N1419&lt;=0),"",($N1419/$B1419)^(365/($M1419-$A1419))-1))))</f>
        <v/>
      </c>
      <c r="P1419" s="31" t="str">
        <f>IF($B1419="","",IF($P1418="",$B1419,MAX($P1418,$B1419)))</f>
        <v/>
      </c>
      <c r="Q1419" s="32" t="str">
        <f>IF($P1419="","",$B1419/$P1419-1)</f>
        <v/>
      </c>
    </row>
    <row r="1420">
      <c r="A1420" s="11" t="n"/>
      <c r="B1420" s="29" t="n"/>
      <c r="K1420" s="30" t="str">
        <f>IF($A1420="","",EDATE($A1420,12*$E$4))</f>
        <v/>
      </c>
      <c r="L1420" s="19" t="str">
        <f>IF($K1420="","",IF($K1420&gt;MAX($A$8:$A$5007),"",IFERROR(MATCH($K1420,$A$8:$A$5007,1),"")))</f>
        <v/>
      </c>
      <c r="M1420" s="30" t="str">
        <f>IF($L1420="","",INDEX($A$8:$A$5007,$L1420))</f>
        <v/>
      </c>
      <c r="N1420" s="31" t="str">
        <f>IF($L1420="","",INDEX($B$8:$B$5007,$L1420))</f>
        <v/>
      </c>
      <c r="O1420" s="32" t="str">
        <f>IF($M1420="","",IF($K1420-$M1420&gt;7,"",IF($M1420&lt;=$A1420,"",IF(OR($B1420&lt;=0,$N1420&lt;=0),"",($N1420/$B1420)^(365/($M1420-$A1420))-1))))</f>
        <v/>
      </c>
      <c r="P1420" s="31" t="str">
        <f>IF($B1420="","",IF($P1419="",$B1420,MAX($P1419,$B1420)))</f>
        <v/>
      </c>
      <c r="Q1420" s="32" t="str">
        <f>IF($P1420="","",$B1420/$P1420-1)</f>
        <v/>
      </c>
    </row>
    <row r="1421">
      <c r="A1421" s="11" t="n"/>
      <c r="B1421" s="29" t="n"/>
      <c r="K1421" s="30" t="str">
        <f>IF($A1421="","",EDATE($A1421,12*$E$4))</f>
        <v/>
      </c>
      <c r="L1421" s="19" t="str">
        <f>IF($K1421="","",IF($K1421&gt;MAX($A$8:$A$5007),"",IFERROR(MATCH($K1421,$A$8:$A$5007,1),"")))</f>
        <v/>
      </c>
      <c r="M1421" s="30" t="str">
        <f>IF($L1421="","",INDEX($A$8:$A$5007,$L1421))</f>
        <v/>
      </c>
      <c r="N1421" s="31" t="str">
        <f>IF($L1421="","",INDEX($B$8:$B$5007,$L1421))</f>
        <v/>
      </c>
      <c r="O1421" s="32" t="str">
        <f>IF($M1421="","",IF($K1421-$M1421&gt;7,"",IF($M1421&lt;=$A1421,"",IF(OR($B1421&lt;=0,$N1421&lt;=0),"",($N1421/$B1421)^(365/($M1421-$A1421))-1))))</f>
        <v/>
      </c>
      <c r="P1421" s="31" t="str">
        <f>IF($B1421="","",IF($P1420="",$B1421,MAX($P1420,$B1421)))</f>
        <v/>
      </c>
      <c r="Q1421" s="32" t="str">
        <f>IF($P1421="","",$B1421/$P1421-1)</f>
        <v/>
      </c>
    </row>
    <row r="1422">
      <c r="A1422" s="11" t="n"/>
      <c r="B1422" s="29" t="n"/>
      <c r="K1422" s="30" t="str">
        <f>IF($A1422="","",EDATE($A1422,12*$E$4))</f>
        <v/>
      </c>
      <c r="L1422" s="19" t="str">
        <f>IF($K1422="","",IF($K1422&gt;MAX($A$8:$A$5007),"",IFERROR(MATCH($K1422,$A$8:$A$5007,1),"")))</f>
        <v/>
      </c>
      <c r="M1422" s="30" t="str">
        <f>IF($L1422="","",INDEX($A$8:$A$5007,$L1422))</f>
        <v/>
      </c>
      <c r="N1422" s="31" t="str">
        <f>IF($L1422="","",INDEX($B$8:$B$5007,$L1422))</f>
        <v/>
      </c>
      <c r="O1422" s="32" t="str">
        <f>IF($M1422="","",IF($K1422-$M1422&gt;7,"",IF($M1422&lt;=$A1422,"",IF(OR($B1422&lt;=0,$N1422&lt;=0),"",($N1422/$B1422)^(365/($M1422-$A1422))-1))))</f>
        <v/>
      </c>
      <c r="P1422" s="31" t="str">
        <f>IF($B1422="","",IF($P1421="",$B1422,MAX($P1421,$B1422)))</f>
        <v/>
      </c>
      <c r="Q1422" s="32" t="str">
        <f>IF($P1422="","",$B1422/$P1422-1)</f>
        <v/>
      </c>
    </row>
    <row r="1423">
      <c r="A1423" s="11" t="n"/>
      <c r="B1423" s="29" t="n"/>
      <c r="K1423" s="30" t="str">
        <f>IF($A1423="","",EDATE($A1423,12*$E$4))</f>
        <v/>
      </c>
      <c r="L1423" s="19" t="str">
        <f>IF($K1423="","",IF($K1423&gt;MAX($A$8:$A$5007),"",IFERROR(MATCH($K1423,$A$8:$A$5007,1),"")))</f>
        <v/>
      </c>
      <c r="M1423" s="30" t="str">
        <f>IF($L1423="","",INDEX($A$8:$A$5007,$L1423))</f>
        <v/>
      </c>
      <c r="N1423" s="31" t="str">
        <f>IF($L1423="","",INDEX($B$8:$B$5007,$L1423))</f>
        <v/>
      </c>
      <c r="O1423" s="32" t="str">
        <f>IF($M1423="","",IF($K1423-$M1423&gt;7,"",IF($M1423&lt;=$A1423,"",IF(OR($B1423&lt;=0,$N1423&lt;=0),"",($N1423/$B1423)^(365/($M1423-$A1423))-1))))</f>
        <v/>
      </c>
      <c r="P1423" s="31" t="str">
        <f>IF($B1423="","",IF($P1422="",$B1423,MAX($P1422,$B1423)))</f>
        <v/>
      </c>
      <c r="Q1423" s="32" t="str">
        <f>IF($P1423="","",$B1423/$P1423-1)</f>
        <v/>
      </c>
    </row>
    <row r="1424">
      <c r="A1424" s="11" t="n"/>
      <c r="B1424" s="29" t="n"/>
      <c r="K1424" s="30" t="str">
        <f>IF($A1424="","",EDATE($A1424,12*$E$4))</f>
        <v/>
      </c>
      <c r="L1424" s="19" t="str">
        <f>IF($K1424="","",IF($K1424&gt;MAX($A$8:$A$5007),"",IFERROR(MATCH($K1424,$A$8:$A$5007,1),"")))</f>
        <v/>
      </c>
      <c r="M1424" s="30" t="str">
        <f>IF($L1424="","",INDEX($A$8:$A$5007,$L1424))</f>
        <v/>
      </c>
      <c r="N1424" s="31" t="str">
        <f>IF($L1424="","",INDEX($B$8:$B$5007,$L1424))</f>
        <v/>
      </c>
      <c r="O1424" s="32" t="str">
        <f>IF($M1424="","",IF($K1424-$M1424&gt;7,"",IF($M1424&lt;=$A1424,"",IF(OR($B1424&lt;=0,$N1424&lt;=0),"",($N1424/$B1424)^(365/($M1424-$A1424))-1))))</f>
        <v/>
      </c>
      <c r="P1424" s="31" t="str">
        <f>IF($B1424="","",IF($P1423="",$B1424,MAX($P1423,$B1424)))</f>
        <v/>
      </c>
      <c r="Q1424" s="32" t="str">
        <f>IF($P1424="","",$B1424/$P1424-1)</f>
        <v/>
      </c>
    </row>
    <row r="1425">
      <c r="A1425" s="11" t="n"/>
      <c r="B1425" s="29" t="n"/>
      <c r="K1425" s="30" t="str">
        <f>IF($A1425="","",EDATE($A1425,12*$E$4))</f>
        <v/>
      </c>
      <c r="L1425" s="19" t="str">
        <f>IF($K1425="","",IF($K1425&gt;MAX($A$8:$A$5007),"",IFERROR(MATCH($K1425,$A$8:$A$5007,1),"")))</f>
        <v/>
      </c>
      <c r="M1425" s="30" t="str">
        <f>IF($L1425="","",INDEX($A$8:$A$5007,$L1425))</f>
        <v/>
      </c>
      <c r="N1425" s="31" t="str">
        <f>IF($L1425="","",INDEX($B$8:$B$5007,$L1425))</f>
        <v/>
      </c>
      <c r="O1425" s="32" t="str">
        <f>IF($M1425="","",IF($K1425-$M1425&gt;7,"",IF($M1425&lt;=$A1425,"",IF(OR($B1425&lt;=0,$N1425&lt;=0),"",($N1425/$B1425)^(365/($M1425-$A1425))-1))))</f>
        <v/>
      </c>
      <c r="P1425" s="31" t="str">
        <f>IF($B1425="","",IF($P1424="",$B1425,MAX($P1424,$B1425)))</f>
        <v/>
      </c>
      <c r="Q1425" s="32" t="str">
        <f>IF($P1425="","",$B1425/$P1425-1)</f>
        <v/>
      </c>
    </row>
    <row r="1426">
      <c r="A1426" s="11" t="n"/>
      <c r="B1426" s="29" t="n"/>
      <c r="K1426" s="30" t="str">
        <f>IF($A1426="","",EDATE($A1426,12*$E$4))</f>
        <v/>
      </c>
      <c r="L1426" s="19" t="str">
        <f>IF($K1426="","",IF($K1426&gt;MAX($A$8:$A$5007),"",IFERROR(MATCH($K1426,$A$8:$A$5007,1),"")))</f>
        <v/>
      </c>
      <c r="M1426" s="30" t="str">
        <f>IF($L1426="","",INDEX($A$8:$A$5007,$L1426))</f>
        <v/>
      </c>
      <c r="N1426" s="31" t="str">
        <f>IF($L1426="","",INDEX($B$8:$B$5007,$L1426))</f>
        <v/>
      </c>
      <c r="O1426" s="32" t="str">
        <f>IF($M1426="","",IF($K1426-$M1426&gt;7,"",IF($M1426&lt;=$A1426,"",IF(OR($B1426&lt;=0,$N1426&lt;=0),"",($N1426/$B1426)^(365/($M1426-$A1426))-1))))</f>
        <v/>
      </c>
      <c r="P1426" s="31" t="str">
        <f>IF($B1426="","",IF($P1425="",$B1426,MAX($P1425,$B1426)))</f>
        <v/>
      </c>
      <c r="Q1426" s="32" t="str">
        <f>IF($P1426="","",$B1426/$P1426-1)</f>
        <v/>
      </c>
    </row>
    <row r="1427">
      <c r="A1427" s="11" t="n"/>
      <c r="B1427" s="29" t="n"/>
      <c r="K1427" s="30" t="str">
        <f>IF($A1427="","",EDATE($A1427,12*$E$4))</f>
        <v/>
      </c>
      <c r="L1427" s="19" t="str">
        <f>IF($K1427="","",IF($K1427&gt;MAX($A$8:$A$5007),"",IFERROR(MATCH($K1427,$A$8:$A$5007,1),"")))</f>
        <v/>
      </c>
      <c r="M1427" s="30" t="str">
        <f>IF($L1427="","",INDEX($A$8:$A$5007,$L1427))</f>
        <v/>
      </c>
      <c r="N1427" s="31" t="str">
        <f>IF($L1427="","",INDEX($B$8:$B$5007,$L1427))</f>
        <v/>
      </c>
      <c r="O1427" s="32" t="str">
        <f>IF($M1427="","",IF($K1427-$M1427&gt;7,"",IF($M1427&lt;=$A1427,"",IF(OR($B1427&lt;=0,$N1427&lt;=0),"",($N1427/$B1427)^(365/($M1427-$A1427))-1))))</f>
        <v/>
      </c>
      <c r="P1427" s="31" t="str">
        <f>IF($B1427="","",IF($P1426="",$B1427,MAX($P1426,$B1427)))</f>
        <v/>
      </c>
      <c r="Q1427" s="32" t="str">
        <f>IF($P1427="","",$B1427/$P1427-1)</f>
        <v/>
      </c>
    </row>
    <row r="1428">
      <c r="A1428" s="11" t="n"/>
      <c r="B1428" s="29" t="n"/>
      <c r="K1428" s="30" t="str">
        <f>IF($A1428="","",EDATE($A1428,12*$E$4))</f>
        <v/>
      </c>
      <c r="L1428" s="19" t="str">
        <f>IF($K1428="","",IF($K1428&gt;MAX($A$8:$A$5007),"",IFERROR(MATCH($K1428,$A$8:$A$5007,1),"")))</f>
        <v/>
      </c>
      <c r="M1428" s="30" t="str">
        <f>IF($L1428="","",INDEX($A$8:$A$5007,$L1428))</f>
        <v/>
      </c>
      <c r="N1428" s="31" t="str">
        <f>IF($L1428="","",INDEX($B$8:$B$5007,$L1428))</f>
        <v/>
      </c>
      <c r="O1428" s="32" t="str">
        <f>IF($M1428="","",IF($K1428-$M1428&gt;7,"",IF($M1428&lt;=$A1428,"",IF(OR($B1428&lt;=0,$N1428&lt;=0),"",($N1428/$B1428)^(365/($M1428-$A1428))-1))))</f>
        <v/>
      </c>
      <c r="P1428" s="31" t="str">
        <f>IF($B1428="","",IF($P1427="",$B1428,MAX($P1427,$B1428)))</f>
        <v/>
      </c>
      <c r="Q1428" s="32" t="str">
        <f>IF($P1428="","",$B1428/$P1428-1)</f>
        <v/>
      </c>
    </row>
    <row r="1429">
      <c r="A1429" s="11" t="n"/>
      <c r="B1429" s="29" t="n"/>
      <c r="K1429" s="30" t="str">
        <f>IF($A1429="","",EDATE($A1429,12*$E$4))</f>
        <v/>
      </c>
      <c r="L1429" s="19" t="str">
        <f>IF($K1429="","",IF($K1429&gt;MAX($A$8:$A$5007),"",IFERROR(MATCH($K1429,$A$8:$A$5007,1),"")))</f>
        <v/>
      </c>
      <c r="M1429" s="30" t="str">
        <f>IF($L1429="","",INDEX($A$8:$A$5007,$L1429))</f>
        <v/>
      </c>
      <c r="N1429" s="31" t="str">
        <f>IF($L1429="","",INDEX($B$8:$B$5007,$L1429))</f>
        <v/>
      </c>
      <c r="O1429" s="32" t="str">
        <f>IF($M1429="","",IF($K1429-$M1429&gt;7,"",IF($M1429&lt;=$A1429,"",IF(OR($B1429&lt;=0,$N1429&lt;=0),"",($N1429/$B1429)^(365/($M1429-$A1429))-1))))</f>
        <v/>
      </c>
      <c r="P1429" s="31" t="str">
        <f>IF($B1429="","",IF($P1428="",$B1429,MAX($P1428,$B1429)))</f>
        <v/>
      </c>
      <c r="Q1429" s="32" t="str">
        <f>IF($P1429="","",$B1429/$P1429-1)</f>
        <v/>
      </c>
    </row>
    <row r="1430">
      <c r="A1430" s="11" t="n"/>
      <c r="B1430" s="29" t="n"/>
      <c r="K1430" s="30" t="str">
        <f>IF($A1430="","",EDATE($A1430,12*$E$4))</f>
        <v/>
      </c>
      <c r="L1430" s="19" t="str">
        <f>IF($K1430="","",IF($K1430&gt;MAX($A$8:$A$5007),"",IFERROR(MATCH($K1430,$A$8:$A$5007,1),"")))</f>
        <v/>
      </c>
      <c r="M1430" s="30" t="str">
        <f>IF($L1430="","",INDEX($A$8:$A$5007,$L1430))</f>
        <v/>
      </c>
      <c r="N1430" s="31" t="str">
        <f>IF($L1430="","",INDEX($B$8:$B$5007,$L1430))</f>
        <v/>
      </c>
      <c r="O1430" s="32" t="str">
        <f>IF($M1430="","",IF($K1430-$M1430&gt;7,"",IF($M1430&lt;=$A1430,"",IF(OR($B1430&lt;=0,$N1430&lt;=0),"",($N1430/$B1430)^(365/($M1430-$A1430))-1))))</f>
        <v/>
      </c>
      <c r="P1430" s="31" t="str">
        <f>IF($B1430="","",IF($P1429="",$B1430,MAX($P1429,$B1430)))</f>
        <v/>
      </c>
      <c r="Q1430" s="32" t="str">
        <f>IF($P1430="","",$B1430/$P1430-1)</f>
        <v/>
      </c>
    </row>
    <row r="1431">
      <c r="A1431" s="11" t="n"/>
      <c r="B1431" s="29" t="n"/>
      <c r="K1431" s="30" t="str">
        <f>IF($A1431="","",EDATE($A1431,12*$E$4))</f>
        <v/>
      </c>
      <c r="L1431" s="19" t="str">
        <f>IF($K1431="","",IF($K1431&gt;MAX($A$8:$A$5007),"",IFERROR(MATCH($K1431,$A$8:$A$5007,1),"")))</f>
        <v/>
      </c>
      <c r="M1431" s="30" t="str">
        <f>IF($L1431="","",INDEX($A$8:$A$5007,$L1431))</f>
        <v/>
      </c>
      <c r="N1431" s="31" t="str">
        <f>IF($L1431="","",INDEX($B$8:$B$5007,$L1431))</f>
        <v/>
      </c>
      <c r="O1431" s="32" t="str">
        <f>IF($M1431="","",IF($K1431-$M1431&gt;7,"",IF($M1431&lt;=$A1431,"",IF(OR($B1431&lt;=0,$N1431&lt;=0),"",($N1431/$B1431)^(365/($M1431-$A1431))-1))))</f>
        <v/>
      </c>
      <c r="P1431" s="31" t="str">
        <f>IF($B1431="","",IF($P1430="",$B1431,MAX($P1430,$B1431)))</f>
        <v/>
      </c>
      <c r="Q1431" s="32" t="str">
        <f>IF($P1431="","",$B1431/$P1431-1)</f>
        <v/>
      </c>
    </row>
    <row r="1432">
      <c r="A1432" s="11" t="n"/>
      <c r="B1432" s="29" t="n"/>
      <c r="K1432" s="30" t="str">
        <f>IF($A1432="","",EDATE($A1432,12*$E$4))</f>
        <v/>
      </c>
      <c r="L1432" s="19" t="str">
        <f>IF($K1432="","",IF($K1432&gt;MAX($A$8:$A$5007),"",IFERROR(MATCH($K1432,$A$8:$A$5007,1),"")))</f>
        <v/>
      </c>
      <c r="M1432" s="30" t="str">
        <f>IF($L1432="","",INDEX($A$8:$A$5007,$L1432))</f>
        <v/>
      </c>
      <c r="N1432" s="31" t="str">
        <f>IF($L1432="","",INDEX($B$8:$B$5007,$L1432))</f>
        <v/>
      </c>
      <c r="O1432" s="32" t="str">
        <f>IF($M1432="","",IF($K1432-$M1432&gt;7,"",IF($M1432&lt;=$A1432,"",IF(OR($B1432&lt;=0,$N1432&lt;=0),"",($N1432/$B1432)^(365/($M1432-$A1432))-1))))</f>
        <v/>
      </c>
      <c r="P1432" s="31" t="str">
        <f>IF($B1432="","",IF($P1431="",$B1432,MAX($P1431,$B1432)))</f>
        <v/>
      </c>
      <c r="Q1432" s="32" t="str">
        <f>IF($P1432="","",$B1432/$P1432-1)</f>
        <v/>
      </c>
    </row>
    <row r="1433">
      <c r="A1433" s="11" t="n"/>
      <c r="B1433" s="29" t="n"/>
      <c r="K1433" s="30" t="str">
        <f>IF($A1433="","",EDATE($A1433,12*$E$4))</f>
        <v/>
      </c>
      <c r="L1433" s="19" t="str">
        <f>IF($K1433="","",IF($K1433&gt;MAX($A$8:$A$5007),"",IFERROR(MATCH($K1433,$A$8:$A$5007,1),"")))</f>
        <v/>
      </c>
      <c r="M1433" s="30" t="str">
        <f>IF($L1433="","",INDEX($A$8:$A$5007,$L1433))</f>
        <v/>
      </c>
      <c r="N1433" s="31" t="str">
        <f>IF($L1433="","",INDEX($B$8:$B$5007,$L1433))</f>
        <v/>
      </c>
      <c r="O1433" s="32" t="str">
        <f>IF($M1433="","",IF($K1433-$M1433&gt;7,"",IF($M1433&lt;=$A1433,"",IF(OR($B1433&lt;=0,$N1433&lt;=0),"",($N1433/$B1433)^(365/($M1433-$A1433))-1))))</f>
        <v/>
      </c>
      <c r="P1433" s="31" t="str">
        <f>IF($B1433="","",IF($P1432="",$B1433,MAX($P1432,$B1433)))</f>
        <v/>
      </c>
      <c r="Q1433" s="32" t="str">
        <f>IF($P1433="","",$B1433/$P1433-1)</f>
        <v/>
      </c>
    </row>
    <row r="1434">
      <c r="A1434" s="11" t="n"/>
      <c r="B1434" s="29" t="n"/>
      <c r="K1434" s="30" t="str">
        <f>IF($A1434="","",EDATE($A1434,12*$E$4))</f>
        <v/>
      </c>
      <c r="L1434" s="19" t="str">
        <f>IF($K1434="","",IF($K1434&gt;MAX($A$8:$A$5007),"",IFERROR(MATCH($K1434,$A$8:$A$5007,1),"")))</f>
        <v/>
      </c>
      <c r="M1434" s="30" t="str">
        <f>IF($L1434="","",INDEX($A$8:$A$5007,$L1434))</f>
        <v/>
      </c>
      <c r="N1434" s="31" t="str">
        <f>IF($L1434="","",INDEX($B$8:$B$5007,$L1434))</f>
        <v/>
      </c>
      <c r="O1434" s="32" t="str">
        <f>IF($M1434="","",IF($K1434-$M1434&gt;7,"",IF($M1434&lt;=$A1434,"",IF(OR($B1434&lt;=0,$N1434&lt;=0),"",($N1434/$B1434)^(365/($M1434-$A1434))-1))))</f>
        <v/>
      </c>
      <c r="P1434" s="31" t="str">
        <f>IF($B1434="","",IF($P1433="",$B1434,MAX($P1433,$B1434)))</f>
        <v/>
      </c>
      <c r="Q1434" s="32" t="str">
        <f>IF($P1434="","",$B1434/$P1434-1)</f>
        <v/>
      </c>
    </row>
    <row r="1435">
      <c r="A1435" s="11" t="n"/>
      <c r="B1435" s="29" t="n"/>
      <c r="K1435" s="30" t="str">
        <f>IF($A1435="","",EDATE($A1435,12*$E$4))</f>
        <v/>
      </c>
      <c r="L1435" s="19" t="str">
        <f>IF($K1435="","",IF($K1435&gt;MAX($A$8:$A$5007),"",IFERROR(MATCH($K1435,$A$8:$A$5007,1),"")))</f>
        <v/>
      </c>
      <c r="M1435" s="30" t="str">
        <f>IF($L1435="","",INDEX($A$8:$A$5007,$L1435))</f>
        <v/>
      </c>
      <c r="N1435" s="31" t="str">
        <f>IF($L1435="","",INDEX($B$8:$B$5007,$L1435))</f>
        <v/>
      </c>
      <c r="O1435" s="32" t="str">
        <f>IF($M1435="","",IF($K1435-$M1435&gt;7,"",IF($M1435&lt;=$A1435,"",IF(OR($B1435&lt;=0,$N1435&lt;=0),"",($N1435/$B1435)^(365/($M1435-$A1435))-1))))</f>
        <v/>
      </c>
      <c r="P1435" s="31" t="str">
        <f>IF($B1435="","",IF($P1434="",$B1435,MAX($P1434,$B1435)))</f>
        <v/>
      </c>
      <c r="Q1435" s="32" t="str">
        <f>IF($P1435="","",$B1435/$P1435-1)</f>
        <v/>
      </c>
    </row>
    <row r="1436">
      <c r="A1436" s="11" t="n"/>
      <c r="B1436" s="29" t="n"/>
      <c r="K1436" s="30" t="str">
        <f>IF($A1436="","",EDATE($A1436,12*$E$4))</f>
        <v/>
      </c>
      <c r="L1436" s="19" t="str">
        <f>IF($K1436="","",IF($K1436&gt;MAX($A$8:$A$5007),"",IFERROR(MATCH($K1436,$A$8:$A$5007,1),"")))</f>
        <v/>
      </c>
      <c r="M1436" s="30" t="str">
        <f>IF($L1436="","",INDEX($A$8:$A$5007,$L1436))</f>
        <v/>
      </c>
      <c r="N1436" s="31" t="str">
        <f>IF($L1436="","",INDEX($B$8:$B$5007,$L1436))</f>
        <v/>
      </c>
      <c r="O1436" s="32" t="str">
        <f>IF($M1436="","",IF($K1436-$M1436&gt;7,"",IF($M1436&lt;=$A1436,"",IF(OR($B1436&lt;=0,$N1436&lt;=0),"",($N1436/$B1436)^(365/($M1436-$A1436))-1))))</f>
        <v/>
      </c>
      <c r="P1436" s="31" t="str">
        <f>IF($B1436="","",IF($P1435="",$B1436,MAX($P1435,$B1436)))</f>
        <v/>
      </c>
      <c r="Q1436" s="32" t="str">
        <f>IF($P1436="","",$B1436/$P1436-1)</f>
        <v/>
      </c>
    </row>
    <row r="1437">
      <c r="A1437" s="11" t="n"/>
      <c r="B1437" s="29" t="n"/>
      <c r="K1437" s="30" t="str">
        <f>IF($A1437="","",EDATE($A1437,12*$E$4))</f>
        <v/>
      </c>
      <c r="L1437" s="19" t="str">
        <f>IF($K1437="","",IF($K1437&gt;MAX($A$8:$A$5007),"",IFERROR(MATCH($K1437,$A$8:$A$5007,1),"")))</f>
        <v/>
      </c>
      <c r="M1437" s="30" t="str">
        <f>IF($L1437="","",INDEX($A$8:$A$5007,$L1437))</f>
        <v/>
      </c>
      <c r="N1437" s="31" t="str">
        <f>IF($L1437="","",INDEX($B$8:$B$5007,$L1437))</f>
        <v/>
      </c>
      <c r="O1437" s="32" t="str">
        <f>IF($M1437="","",IF($K1437-$M1437&gt;7,"",IF($M1437&lt;=$A1437,"",IF(OR($B1437&lt;=0,$N1437&lt;=0),"",($N1437/$B1437)^(365/($M1437-$A1437))-1))))</f>
        <v/>
      </c>
      <c r="P1437" s="31" t="str">
        <f>IF($B1437="","",IF($P1436="",$B1437,MAX($P1436,$B1437)))</f>
        <v/>
      </c>
      <c r="Q1437" s="32" t="str">
        <f>IF($P1437="","",$B1437/$P1437-1)</f>
        <v/>
      </c>
    </row>
    <row r="1438">
      <c r="A1438" s="11" t="n"/>
      <c r="B1438" s="29" t="n"/>
      <c r="K1438" s="30" t="str">
        <f>IF($A1438="","",EDATE($A1438,12*$E$4))</f>
        <v/>
      </c>
      <c r="L1438" s="19" t="str">
        <f>IF($K1438="","",IF($K1438&gt;MAX($A$8:$A$5007),"",IFERROR(MATCH($K1438,$A$8:$A$5007,1),"")))</f>
        <v/>
      </c>
      <c r="M1438" s="30" t="str">
        <f>IF($L1438="","",INDEX($A$8:$A$5007,$L1438))</f>
        <v/>
      </c>
      <c r="N1438" s="31" t="str">
        <f>IF($L1438="","",INDEX($B$8:$B$5007,$L1438))</f>
        <v/>
      </c>
      <c r="O1438" s="32" t="str">
        <f>IF($M1438="","",IF($K1438-$M1438&gt;7,"",IF($M1438&lt;=$A1438,"",IF(OR($B1438&lt;=0,$N1438&lt;=0),"",($N1438/$B1438)^(365/($M1438-$A1438))-1))))</f>
        <v/>
      </c>
      <c r="P1438" s="31" t="str">
        <f>IF($B1438="","",IF($P1437="",$B1438,MAX($P1437,$B1438)))</f>
        <v/>
      </c>
      <c r="Q1438" s="32" t="str">
        <f>IF($P1438="","",$B1438/$P1438-1)</f>
        <v/>
      </c>
    </row>
    <row r="1439">
      <c r="A1439" s="11" t="n"/>
      <c r="B1439" s="29" t="n"/>
      <c r="K1439" s="30" t="str">
        <f>IF($A1439="","",EDATE($A1439,12*$E$4))</f>
        <v/>
      </c>
      <c r="L1439" s="19" t="str">
        <f>IF($K1439="","",IF($K1439&gt;MAX($A$8:$A$5007),"",IFERROR(MATCH($K1439,$A$8:$A$5007,1),"")))</f>
        <v/>
      </c>
      <c r="M1439" s="30" t="str">
        <f>IF($L1439="","",INDEX($A$8:$A$5007,$L1439))</f>
        <v/>
      </c>
      <c r="N1439" s="31" t="str">
        <f>IF($L1439="","",INDEX($B$8:$B$5007,$L1439))</f>
        <v/>
      </c>
      <c r="O1439" s="32" t="str">
        <f>IF($M1439="","",IF($K1439-$M1439&gt;7,"",IF($M1439&lt;=$A1439,"",IF(OR($B1439&lt;=0,$N1439&lt;=0),"",($N1439/$B1439)^(365/($M1439-$A1439))-1))))</f>
        <v/>
      </c>
      <c r="P1439" s="31" t="str">
        <f>IF($B1439="","",IF($P1438="",$B1439,MAX($P1438,$B1439)))</f>
        <v/>
      </c>
      <c r="Q1439" s="32" t="str">
        <f>IF($P1439="","",$B1439/$P1439-1)</f>
        <v/>
      </c>
    </row>
    <row r="1440">
      <c r="A1440" s="11" t="n"/>
      <c r="B1440" s="29" t="n"/>
      <c r="K1440" s="30" t="str">
        <f>IF($A1440="","",EDATE($A1440,12*$E$4))</f>
        <v/>
      </c>
      <c r="L1440" s="19" t="str">
        <f>IF($K1440="","",IF($K1440&gt;MAX($A$8:$A$5007),"",IFERROR(MATCH($K1440,$A$8:$A$5007,1),"")))</f>
        <v/>
      </c>
      <c r="M1440" s="30" t="str">
        <f>IF($L1440="","",INDEX($A$8:$A$5007,$L1440))</f>
        <v/>
      </c>
      <c r="N1440" s="31" t="str">
        <f>IF($L1440="","",INDEX($B$8:$B$5007,$L1440))</f>
        <v/>
      </c>
      <c r="O1440" s="32" t="str">
        <f>IF($M1440="","",IF($K1440-$M1440&gt;7,"",IF($M1440&lt;=$A1440,"",IF(OR($B1440&lt;=0,$N1440&lt;=0),"",($N1440/$B1440)^(365/($M1440-$A1440))-1))))</f>
        <v/>
      </c>
      <c r="P1440" s="31" t="str">
        <f>IF($B1440="","",IF($P1439="",$B1440,MAX($P1439,$B1440)))</f>
        <v/>
      </c>
      <c r="Q1440" s="32" t="str">
        <f>IF($P1440="","",$B1440/$P1440-1)</f>
        <v/>
      </c>
    </row>
    <row r="1441">
      <c r="A1441" s="11" t="n"/>
      <c r="B1441" s="29" t="n"/>
      <c r="K1441" s="30" t="str">
        <f>IF($A1441="","",EDATE($A1441,12*$E$4))</f>
        <v/>
      </c>
      <c r="L1441" s="19" t="str">
        <f>IF($K1441="","",IF($K1441&gt;MAX($A$8:$A$5007),"",IFERROR(MATCH($K1441,$A$8:$A$5007,1),"")))</f>
        <v/>
      </c>
      <c r="M1441" s="30" t="str">
        <f>IF($L1441="","",INDEX($A$8:$A$5007,$L1441))</f>
        <v/>
      </c>
      <c r="N1441" s="31" t="str">
        <f>IF($L1441="","",INDEX($B$8:$B$5007,$L1441))</f>
        <v/>
      </c>
      <c r="O1441" s="32" t="str">
        <f>IF($M1441="","",IF($K1441-$M1441&gt;7,"",IF($M1441&lt;=$A1441,"",IF(OR($B1441&lt;=0,$N1441&lt;=0),"",($N1441/$B1441)^(365/($M1441-$A1441))-1))))</f>
        <v/>
      </c>
      <c r="P1441" s="31" t="str">
        <f>IF($B1441="","",IF($P1440="",$B1441,MAX($P1440,$B1441)))</f>
        <v/>
      </c>
      <c r="Q1441" s="32" t="str">
        <f>IF($P1441="","",$B1441/$P1441-1)</f>
        <v/>
      </c>
    </row>
    <row r="1442">
      <c r="A1442" s="11" t="n"/>
      <c r="B1442" s="29" t="n"/>
      <c r="K1442" s="30" t="str">
        <f>IF($A1442="","",EDATE($A1442,12*$E$4))</f>
        <v/>
      </c>
      <c r="L1442" s="19" t="str">
        <f>IF($K1442="","",IF($K1442&gt;MAX($A$8:$A$5007),"",IFERROR(MATCH($K1442,$A$8:$A$5007,1),"")))</f>
        <v/>
      </c>
      <c r="M1442" s="30" t="str">
        <f>IF($L1442="","",INDEX($A$8:$A$5007,$L1442))</f>
        <v/>
      </c>
      <c r="N1442" s="31" t="str">
        <f>IF($L1442="","",INDEX($B$8:$B$5007,$L1442))</f>
        <v/>
      </c>
      <c r="O1442" s="32" t="str">
        <f>IF($M1442="","",IF($K1442-$M1442&gt;7,"",IF($M1442&lt;=$A1442,"",IF(OR($B1442&lt;=0,$N1442&lt;=0),"",($N1442/$B1442)^(365/($M1442-$A1442))-1))))</f>
        <v/>
      </c>
      <c r="P1442" s="31" t="str">
        <f>IF($B1442="","",IF($P1441="",$B1442,MAX($P1441,$B1442)))</f>
        <v/>
      </c>
      <c r="Q1442" s="32" t="str">
        <f>IF($P1442="","",$B1442/$P1442-1)</f>
        <v/>
      </c>
    </row>
    <row r="1443">
      <c r="A1443" s="11" t="n"/>
      <c r="B1443" s="29" t="n"/>
      <c r="K1443" s="30" t="str">
        <f>IF($A1443="","",EDATE($A1443,12*$E$4))</f>
        <v/>
      </c>
      <c r="L1443" s="19" t="str">
        <f>IF($K1443="","",IF($K1443&gt;MAX($A$8:$A$5007),"",IFERROR(MATCH($K1443,$A$8:$A$5007,1),"")))</f>
        <v/>
      </c>
      <c r="M1443" s="30" t="str">
        <f>IF($L1443="","",INDEX($A$8:$A$5007,$L1443))</f>
        <v/>
      </c>
      <c r="N1443" s="31" t="str">
        <f>IF($L1443="","",INDEX($B$8:$B$5007,$L1443))</f>
        <v/>
      </c>
      <c r="O1443" s="32" t="str">
        <f>IF($M1443="","",IF($K1443-$M1443&gt;7,"",IF($M1443&lt;=$A1443,"",IF(OR($B1443&lt;=0,$N1443&lt;=0),"",($N1443/$B1443)^(365/($M1443-$A1443))-1))))</f>
        <v/>
      </c>
      <c r="P1443" s="31" t="str">
        <f>IF($B1443="","",IF($P1442="",$B1443,MAX($P1442,$B1443)))</f>
        <v/>
      </c>
      <c r="Q1443" s="32" t="str">
        <f>IF($P1443="","",$B1443/$P1443-1)</f>
        <v/>
      </c>
    </row>
    <row r="1444">
      <c r="A1444" s="11" t="n"/>
      <c r="B1444" s="29" t="n"/>
      <c r="K1444" s="30" t="str">
        <f>IF($A1444="","",EDATE($A1444,12*$E$4))</f>
        <v/>
      </c>
      <c r="L1444" s="19" t="str">
        <f>IF($K1444="","",IF($K1444&gt;MAX($A$8:$A$5007),"",IFERROR(MATCH($K1444,$A$8:$A$5007,1),"")))</f>
        <v/>
      </c>
      <c r="M1444" s="30" t="str">
        <f>IF($L1444="","",INDEX($A$8:$A$5007,$L1444))</f>
        <v/>
      </c>
      <c r="N1444" s="31" t="str">
        <f>IF($L1444="","",INDEX($B$8:$B$5007,$L1444))</f>
        <v/>
      </c>
      <c r="O1444" s="32" t="str">
        <f>IF($M1444="","",IF($K1444-$M1444&gt;7,"",IF($M1444&lt;=$A1444,"",IF(OR($B1444&lt;=0,$N1444&lt;=0),"",($N1444/$B1444)^(365/($M1444-$A1444))-1))))</f>
        <v/>
      </c>
      <c r="P1444" s="31" t="str">
        <f>IF($B1444="","",IF($P1443="",$B1444,MAX($P1443,$B1444)))</f>
        <v/>
      </c>
      <c r="Q1444" s="32" t="str">
        <f>IF($P1444="","",$B1444/$P1444-1)</f>
        <v/>
      </c>
    </row>
    <row r="1445">
      <c r="A1445" s="11" t="n"/>
      <c r="B1445" s="29" t="n"/>
      <c r="K1445" s="30" t="str">
        <f>IF($A1445="","",EDATE($A1445,12*$E$4))</f>
        <v/>
      </c>
      <c r="L1445" s="19" t="str">
        <f>IF($K1445="","",IF($K1445&gt;MAX($A$8:$A$5007),"",IFERROR(MATCH($K1445,$A$8:$A$5007,1),"")))</f>
        <v/>
      </c>
      <c r="M1445" s="30" t="str">
        <f>IF($L1445="","",INDEX($A$8:$A$5007,$L1445))</f>
        <v/>
      </c>
      <c r="N1445" s="31" t="str">
        <f>IF($L1445="","",INDEX($B$8:$B$5007,$L1445))</f>
        <v/>
      </c>
      <c r="O1445" s="32" t="str">
        <f>IF($M1445="","",IF($K1445-$M1445&gt;7,"",IF($M1445&lt;=$A1445,"",IF(OR($B1445&lt;=0,$N1445&lt;=0),"",($N1445/$B1445)^(365/($M1445-$A1445))-1))))</f>
        <v/>
      </c>
      <c r="P1445" s="31" t="str">
        <f>IF($B1445="","",IF($P1444="",$B1445,MAX($P1444,$B1445)))</f>
        <v/>
      </c>
      <c r="Q1445" s="32" t="str">
        <f>IF($P1445="","",$B1445/$P1445-1)</f>
        <v/>
      </c>
    </row>
    <row r="1446">
      <c r="A1446" s="11" t="n"/>
      <c r="B1446" s="29" t="n"/>
      <c r="K1446" s="30" t="str">
        <f>IF($A1446="","",EDATE($A1446,12*$E$4))</f>
        <v/>
      </c>
      <c r="L1446" s="19" t="str">
        <f>IF($K1446="","",IF($K1446&gt;MAX($A$8:$A$5007),"",IFERROR(MATCH($K1446,$A$8:$A$5007,1),"")))</f>
        <v/>
      </c>
      <c r="M1446" s="30" t="str">
        <f>IF($L1446="","",INDEX($A$8:$A$5007,$L1446))</f>
        <v/>
      </c>
      <c r="N1446" s="31" t="str">
        <f>IF($L1446="","",INDEX($B$8:$B$5007,$L1446))</f>
        <v/>
      </c>
      <c r="O1446" s="32" t="str">
        <f>IF($M1446="","",IF($K1446-$M1446&gt;7,"",IF($M1446&lt;=$A1446,"",IF(OR($B1446&lt;=0,$N1446&lt;=0),"",($N1446/$B1446)^(365/($M1446-$A1446))-1))))</f>
        <v/>
      </c>
      <c r="P1446" s="31" t="str">
        <f>IF($B1446="","",IF($P1445="",$B1446,MAX($P1445,$B1446)))</f>
        <v/>
      </c>
      <c r="Q1446" s="32" t="str">
        <f>IF($P1446="","",$B1446/$P1446-1)</f>
        <v/>
      </c>
    </row>
    <row r="1447">
      <c r="A1447" s="11" t="n"/>
      <c r="B1447" s="29" t="n"/>
      <c r="K1447" s="30" t="str">
        <f>IF($A1447="","",EDATE($A1447,12*$E$4))</f>
        <v/>
      </c>
      <c r="L1447" s="19" t="str">
        <f>IF($K1447="","",IF($K1447&gt;MAX($A$8:$A$5007),"",IFERROR(MATCH($K1447,$A$8:$A$5007,1),"")))</f>
        <v/>
      </c>
      <c r="M1447" s="30" t="str">
        <f>IF($L1447="","",INDEX($A$8:$A$5007,$L1447))</f>
        <v/>
      </c>
      <c r="N1447" s="31" t="str">
        <f>IF($L1447="","",INDEX($B$8:$B$5007,$L1447))</f>
        <v/>
      </c>
      <c r="O1447" s="32" t="str">
        <f>IF($M1447="","",IF($K1447-$M1447&gt;7,"",IF($M1447&lt;=$A1447,"",IF(OR($B1447&lt;=0,$N1447&lt;=0),"",($N1447/$B1447)^(365/($M1447-$A1447))-1))))</f>
        <v/>
      </c>
      <c r="P1447" s="31" t="str">
        <f>IF($B1447="","",IF($P1446="",$B1447,MAX($P1446,$B1447)))</f>
        <v/>
      </c>
      <c r="Q1447" s="32" t="str">
        <f>IF($P1447="","",$B1447/$P1447-1)</f>
        <v/>
      </c>
    </row>
    <row r="1448">
      <c r="A1448" s="11" t="n"/>
      <c r="B1448" s="29" t="n"/>
      <c r="K1448" s="30" t="str">
        <f>IF($A1448="","",EDATE($A1448,12*$E$4))</f>
        <v/>
      </c>
      <c r="L1448" s="19" t="str">
        <f>IF($K1448="","",IF($K1448&gt;MAX($A$8:$A$5007),"",IFERROR(MATCH($K1448,$A$8:$A$5007,1),"")))</f>
        <v/>
      </c>
      <c r="M1448" s="30" t="str">
        <f>IF($L1448="","",INDEX($A$8:$A$5007,$L1448))</f>
        <v/>
      </c>
      <c r="N1448" s="31" t="str">
        <f>IF($L1448="","",INDEX($B$8:$B$5007,$L1448))</f>
        <v/>
      </c>
      <c r="O1448" s="32" t="str">
        <f>IF($M1448="","",IF($K1448-$M1448&gt;7,"",IF($M1448&lt;=$A1448,"",IF(OR($B1448&lt;=0,$N1448&lt;=0),"",($N1448/$B1448)^(365/($M1448-$A1448))-1))))</f>
        <v/>
      </c>
      <c r="P1448" s="31" t="str">
        <f>IF($B1448="","",IF($P1447="",$B1448,MAX($P1447,$B1448)))</f>
        <v/>
      </c>
      <c r="Q1448" s="32" t="str">
        <f>IF($P1448="","",$B1448/$P1448-1)</f>
        <v/>
      </c>
    </row>
    <row r="1449">
      <c r="A1449" s="11" t="n"/>
      <c r="B1449" s="29" t="n"/>
      <c r="K1449" s="30" t="str">
        <f>IF($A1449="","",EDATE($A1449,12*$E$4))</f>
        <v/>
      </c>
      <c r="L1449" s="19" t="str">
        <f>IF($K1449="","",IF($K1449&gt;MAX($A$8:$A$5007),"",IFERROR(MATCH($K1449,$A$8:$A$5007,1),"")))</f>
        <v/>
      </c>
      <c r="M1449" s="30" t="str">
        <f>IF($L1449="","",INDEX($A$8:$A$5007,$L1449))</f>
        <v/>
      </c>
      <c r="N1449" s="31" t="str">
        <f>IF($L1449="","",INDEX($B$8:$B$5007,$L1449))</f>
        <v/>
      </c>
      <c r="O1449" s="32" t="str">
        <f>IF($M1449="","",IF($K1449-$M1449&gt;7,"",IF($M1449&lt;=$A1449,"",IF(OR($B1449&lt;=0,$N1449&lt;=0),"",($N1449/$B1449)^(365/($M1449-$A1449))-1))))</f>
        <v/>
      </c>
      <c r="P1449" s="31" t="str">
        <f>IF($B1449="","",IF($P1448="",$B1449,MAX($P1448,$B1449)))</f>
        <v/>
      </c>
      <c r="Q1449" s="32" t="str">
        <f>IF($P1449="","",$B1449/$P1449-1)</f>
        <v/>
      </c>
    </row>
    <row r="1450">
      <c r="A1450" s="11" t="n"/>
      <c r="B1450" s="29" t="n"/>
      <c r="K1450" s="30" t="str">
        <f>IF($A1450="","",EDATE($A1450,12*$E$4))</f>
        <v/>
      </c>
      <c r="L1450" s="19" t="str">
        <f>IF($K1450="","",IF($K1450&gt;MAX($A$8:$A$5007),"",IFERROR(MATCH($K1450,$A$8:$A$5007,1),"")))</f>
        <v/>
      </c>
      <c r="M1450" s="30" t="str">
        <f>IF($L1450="","",INDEX($A$8:$A$5007,$L1450))</f>
        <v/>
      </c>
      <c r="N1450" s="31" t="str">
        <f>IF($L1450="","",INDEX($B$8:$B$5007,$L1450))</f>
        <v/>
      </c>
      <c r="O1450" s="32" t="str">
        <f>IF($M1450="","",IF($K1450-$M1450&gt;7,"",IF($M1450&lt;=$A1450,"",IF(OR($B1450&lt;=0,$N1450&lt;=0),"",($N1450/$B1450)^(365/($M1450-$A1450))-1))))</f>
        <v/>
      </c>
      <c r="P1450" s="31" t="str">
        <f>IF($B1450="","",IF($P1449="",$B1450,MAX($P1449,$B1450)))</f>
        <v/>
      </c>
      <c r="Q1450" s="32" t="str">
        <f>IF($P1450="","",$B1450/$P1450-1)</f>
        <v/>
      </c>
    </row>
    <row r="1451">
      <c r="A1451" s="11" t="n"/>
      <c r="B1451" s="29" t="n"/>
      <c r="K1451" s="30" t="str">
        <f>IF($A1451="","",EDATE($A1451,12*$E$4))</f>
        <v/>
      </c>
      <c r="L1451" s="19" t="str">
        <f>IF($K1451="","",IF($K1451&gt;MAX($A$8:$A$5007),"",IFERROR(MATCH($K1451,$A$8:$A$5007,1),"")))</f>
        <v/>
      </c>
      <c r="M1451" s="30" t="str">
        <f>IF($L1451="","",INDEX($A$8:$A$5007,$L1451))</f>
        <v/>
      </c>
      <c r="N1451" s="31" t="str">
        <f>IF($L1451="","",INDEX($B$8:$B$5007,$L1451))</f>
        <v/>
      </c>
      <c r="O1451" s="32" t="str">
        <f>IF($M1451="","",IF($K1451-$M1451&gt;7,"",IF($M1451&lt;=$A1451,"",IF(OR($B1451&lt;=0,$N1451&lt;=0),"",($N1451/$B1451)^(365/($M1451-$A1451))-1))))</f>
        <v/>
      </c>
      <c r="P1451" s="31" t="str">
        <f>IF($B1451="","",IF($P1450="",$B1451,MAX($P1450,$B1451)))</f>
        <v/>
      </c>
      <c r="Q1451" s="32" t="str">
        <f>IF($P1451="","",$B1451/$P1451-1)</f>
        <v/>
      </c>
    </row>
    <row r="1452">
      <c r="A1452" s="11" t="n"/>
      <c r="B1452" s="29" t="n"/>
      <c r="K1452" s="30" t="str">
        <f>IF($A1452="","",EDATE($A1452,12*$E$4))</f>
        <v/>
      </c>
      <c r="L1452" s="19" t="str">
        <f>IF($K1452="","",IF($K1452&gt;MAX($A$8:$A$5007),"",IFERROR(MATCH($K1452,$A$8:$A$5007,1),"")))</f>
        <v/>
      </c>
      <c r="M1452" s="30" t="str">
        <f>IF($L1452="","",INDEX($A$8:$A$5007,$L1452))</f>
        <v/>
      </c>
      <c r="N1452" s="31" t="str">
        <f>IF($L1452="","",INDEX($B$8:$B$5007,$L1452))</f>
        <v/>
      </c>
      <c r="O1452" s="32" t="str">
        <f>IF($M1452="","",IF($K1452-$M1452&gt;7,"",IF($M1452&lt;=$A1452,"",IF(OR($B1452&lt;=0,$N1452&lt;=0),"",($N1452/$B1452)^(365/($M1452-$A1452))-1))))</f>
        <v/>
      </c>
      <c r="P1452" s="31" t="str">
        <f>IF($B1452="","",IF($P1451="",$B1452,MAX($P1451,$B1452)))</f>
        <v/>
      </c>
      <c r="Q1452" s="32" t="str">
        <f>IF($P1452="","",$B1452/$P1452-1)</f>
        <v/>
      </c>
    </row>
    <row r="1453">
      <c r="A1453" s="11" t="n"/>
      <c r="B1453" s="29" t="n"/>
      <c r="K1453" s="30" t="str">
        <f>IF($A1453="","",EDATE($A1453,12*$E$4))</f>
        <v/>
      </c>
      <c r="L1453" s="19" t="str">
        <f>IF($K1453="","",IF($K1453&gt;MAX($A$8:$A$5007),"",IFERROR(MATCH($K1453,$A$8:$A$5007,1),"")))</f>
        <v/>
      </c>
      <c r="M1453" s="30" t="str">
        <f>IF($L1453="","",INDEX($A$8:$A$5007,$L1453))</f>
        <v/>
      </c>
      <c r="N1453" s="31" t="str">
        <f>IF($L1453="","",INDEX($B$8:$B$5007,$L1453))</f>
        <v/>
      </c>
      <c r="O1453" s="32" t="str">
        <f>IF($M1453="","",IF($K1453-$M1453&gt;7,"",IF($M1453&lt;=$A1453,"",IF(OR($B1453&lt;=0,$N1453&lt;=0),"",($N1453/$B1453)^(365/($M1453-$A1453))-1))))</f>
        <v/>
      </c>
      <c r="P1453" s="31" t="str">
        <f>IF($B1453="","",IF($P1452="",$B1453,MAX($P1452,$B1453)))</f>
        <v/>
      </c>
      <c r="Q1453" s="32" t="str">
        <f>IF($P1453="","",$B1453/$P1453-1)</f>
        <v/>
      </c>
    </row>
    <row r="1454">
      <c r="A1454" s="11" t="n"/>
      <c r="B1454" s="29" t="n"/>
      <c r="K1454" s="30" t="str">
        <f>IF($A1454="","",EDATE($A1454,12*$E$4))</f>
        <v/>
      </c>
      <c r="L1454" s="19" t="str">
        <f>IF($K1454="","",IF($K1454&gt;MAX($A$8:$A$5007),"",IFERROR(MATCH($K1454,$A$8:$A$5007,1),"")))</f>
        <v/>
      </c>
      <c r="M1454" s="30" t="str">
        <f>IF($L1454="","",INDEX($A$8:$A$5007,$L1454))</f>
        <v/>
      </c>
      <c r="N1454" s="31" t="str">
        <f>IF($L1454="","",INDEX($B$8:$B$5007,$L1454))</f>
        <v/>
      </c>
      <c r="O1454" s="32" t="str">
        <f>IF($M1454="","",IF($K1454-$M1454&gt;7,"",IF($M1454&lt;=$A1454,"",IF(OR($B1454&lt;=0,$N1454&lt;=0),"",($N1454/$B1454)^(365/($M1454-$A1454))-1))))</f>
        <v/>
      </c>
      <c r="P1454" s="31" t="str">
        <f>IF($B1454="","",IF($P1453="",$B1454,MAX($P1453,$B1454)))</f>
        <v/>
      </c>
      <c r="Q1454" s="32" t="str">
        <f>IF($P1454="","",$B1454/$P1454-1)</f>
        <v/>
      </c>
    </row>
    <row r="1455">
      <c r="A1455" s="11" t="n"/>
      <c r="B1455" s="29" t="n"/>
      <c r="K1455" s="30" t="str">
        <f>IF($A1455="","",EDATE($A1455,12*$E$4))</f>
        <v/>
      </c>
      <c r="L1455" s="19" t="str">
        <f>IF($K1455="","",IF($K1455&gt;MAX($A$8:$A$5007),"",IFERROR(MATCH($K1455,$A$8:$A$5007,1),"")))</f>
        <v/>
      </c>
      <c r="M1455" s="30" t="str">
        <f>IF($L1455="","",INDEX($A$8:$A$5007,$L1455))</f>
        <v/>
      </c>
      <c r="N1455" s="31" t="str">
        <f>IF($L1455="","",INDEX($B$8:$B$5007,$L1455))</f>
        <v/>
      </c>
      <c r="O1455" s="32" t="str">
        <f>IF($M1455="","",IF($K1455-$M1455&gt;7,"",IF($M1455&lt;=$A1455,"",IF(OR($B1455&lt;=0,$N1455&lt;=0),"",($N1455/$B1455)^(365/($M1455-$A1455))-1))))</f>
        <v/>
      </c>
      <c r="P1455" s="31" t="str">
        <f>IF($B1455="","",IF($P1454="",$B1455,MAX($P1454,$B1455)))</f>
        <v/>
      </c>
      <c r="Q1455" s="32" t="str">
        <f>IF($P1455="","",$B1455/$P1455-1)</f>
        <v/>
      </c>
    </row>
    <row r="1456">
      <c r="A1456" s="11" t="n"/>
      <c r="B1456" s="29" t="n"/>
      <c r="K1456" s="30" t="str">
        <f>IF($A1456="","",EDATE($A1456,12*$E$4))</f>
        <v/>
      </c>
      <c r="L1456" s="19" t="str">
        <f>IF($K1456="","",IF($K1456&gt;MAX($A$8:$A$5007),"",IFERROR(MATCH($K1456,$A$8:$A$5007,1),"")))</f>
        <v/>
      </c>
      <c r="M1456" s="30" t="str">
        <f>IF($L1456="","",INDEX($A$8:$A$5007,$L1456))</f>
        <v/>
      </c>
      <c r="N1456" s="31" t="str">
        <f>IF($L1456="","",INDEX($B$8:$B$5007,$L1456))</f>
        <v/>
      </c>
      <c r="O1456" s="32" t="str">
        <f>IF($M1456="","",IF($K1456-$M1456&gt;7,"",IF($M1456&lt;=$A1456,"",IF(OR($B1456&lt;=0,$N1456&lt;=0),"",($N1456/$B1456)^(365/($M1456-$A1456))-1))))</f>
        <v/>
      </c>
      <c r="P1456" s="31" t="str">
        <f>IF($B1456="","",IF($P1455="",$B1456,MAX($P1455,$B1456)))</f>
        <v/>
      </c>
      <c r="Q1456" s="32" t="str">
        <f>IF($P1456="","",$B1456/$P1456-1)</f>
        <v/>
      </c>
    </row>
    <row r="1457">
      <c r="A1457" s="11" t="n"/>
      <c r="B1457" s="29" t="n"/>
      <c r="K1457" s="30" t="str">
        <f>IF($A1457="","",EDATE($A1457,12*$E$4))</f>
        <v/>
      </c>
      <c r="L1457" s="19" t="str">
        <f>IF($K1457="","",IF($K1457&gt;MAX($A$8:$A$5007),"",IFERROR(MATCH($K1457,$A$8:$A$5007,1),"")))</f>
        <v/>
      </c>
      <c r="M1457" s="30" t="str">
        <f>IF($L1457="","",INDEX($A$8:$A$5007,$L1457))</f>
        <v/>
      </c>
      <c r="N1457" s="31" t="str">
        <f>IF($L1457="","",INDEX($B$8:$B$5007,$L1457))</f>
        <v/>
      </c>
      <c r="O1457" s="32" t="str">
        <f>IF($M1457="","",IF($K1457-$M1457&gt;7,"",IF($M1457&lt;=$A1457,"",IF(OR($B1457&lt;=0,$N1457&lt;=0),"",($N1457/$B1457)^(365/($M1457-$A1457))-1))))</f>
        <v/>
      </c>
      <c r="P1457" s="31" t="str">
        <f>IF($B1457="","",IF($P1456="",$B1457,MAX($P1456,$B1457)))</f>
        <v/>
      </c>
      <c r="Q1457" s="32" t="str">
        <f>IF($P1457="","",$B1457/$P1457-1)</f>
        <v/>
      </c>
    </row>
    <row r="1458">
      <c r="A1458" s="11" t="n"/>
      <c r="B1458" s="29" t="n"/>
      <c r="K1458" s="30" t="str">
        <f>IF($A1458="","",EDATE($A1458,12*$E$4))</f>
        <v/>
      </c>
      <c r="L1458" s="19" t="str">
        <f>IF($K1458="","",IF($K1458&gt;MAX($A$8:$A$5007),"",IFERROR(MATCH($K1458,$A$8:$A$5007,1),"")))</f>
        <v/>
      </c>
      <c r="M1458" s="30" t="str">
        <f>IF($L1458="","",INDEX($A$8:$A$5007,$L1458))</f>
        <v/>
      </c>
      <c r="N1458" s="31" t="str">
        <f>IF($L1458="","",INDEX($B$8:$B$5007,$L1458))</f>
        <v/>
      </c>
      <c r="O1458" s="32" t="str">
        <f>IF($M1458="","",IF($K1458-$M1458&gt;7,"",IF($M1458&lt;=$A1458,"",IF(OR($B1458&lt;=0,$N1458&lt;=0),"",($N1458/$B1458)^(365/($M1458-$A1458))-1))))</f>
        <v/>
      </c>
      <c r="P1458" s="31" t="str">
        <f>IF($B1458="","",IF($P1457="",$B1458,MAX($P1457,$B1458)))</f>
        <v/>
      </c>
      <c r="Q1458" s="32" t="str">
        <f>IF($P1458="","",$B1458/$P1458-1)</f>
        <v/>
      </c>
    </row>
    <row r="1459">
      <c r="A1459" s="11" t="n"/>
      <c r="B1459" s="29" t="n"/>
      <c r="K1459" s="30" t="str">
        <f>IF($A1459="","",EDATE($A1459,12*$E$4))</f>
        <v/>
      </c>
      <c r="L1459" s="19" t="str">
        <f>IF($K1459="","",IF($K1459&gt;MAX($A$8:$A$5007),"",IFERROR(MATCH($K1459,$A$8:$A$5007,1),"")))</f>
        <v/>
      </c>
      <c r="M1459" s="30" t="str">
        <f>IF($L1459="","",INDEX($A$8:$A$5007,$L1459))</f>
        <v/>
      </c>
      <c r="N1459" s="31" t="str">
        <f>IF($L1459="","",INDEX($B$8:$B$5007,$L1459))</f>
        <v/>
      </c>
      <c r="O1459" s="32" t="str">
        <f>IF($M1459="","",IF($K1459-$M1459&gt;7,"",IF($M1459&lt;=$A1459,"",IF(OR($B1459&lt;=0,$N1459&lt;=0),"",($N1459/$B1459)^(365/($M1459-$A1459))-1))))</f>
        <v/>
      </c>
      <c r="P1459" s="31" t="str">
        <f>IF($B1459="","",IF($P1458="",$B1459,MAX($P1458,$B1459)))</f>
        <v/>
      </c>
      <c r="Q1459" s="32" t="str">
        <f>IF($P1459="","",$B1459/$P1459-1)</f>
        <v/>
      </c>
    </row>
    <row r="1460">
      <c r="A1460" s="11" t="n"/>
      <c r="B1460" s="29" t="n"/>
      <c r="K1460" s="30" t="str">
        <f>IF($A1460="","",EDATE($A1460,12*$E$4))</f>
        <v/>
      </c>
      <c r="L1460" s="19" t="str">
        <f>IF($K1460="","",IF($K1460&gt;MAX($A$8:$A$5007),"",IFERROR(MATCH($K1460,$A$8:$A$5007,1),"")))</f>
        <v/>
      </c>
      <c r="M1460" s="30" t="str">
        <f>IF($L1460="","",INDEX($A$8:$A$5007,$L1460))</f>
        <v/>
      </c>
      <c r="N1460" s="31" t="str">
        <f>IF($L1460="","",INDEX($B$8:$B$5007,$L1460))</f>
        <v/>
      </c>
      <c r="O1460" s="32" t="str">
        <f>IF($M1460="","",IF($K1460-$M1460&gt;7,"",IF($M1460&lt;=$A1460,"",IF(OR($B1460&lt;=0,$N1460&lt;=0),"",($N1460/$B1460)^(365/($M1460-$A1460))-1))))</f>
        <v/>
      </c>
      <c r="P1460" s="31" t="str">
        <f>IF($B1460="","",IF($P1459="",$B1460,MAX($P1459,$B1460)))</f>
        <v/>
      </c>
      <c r="Q1460" s="32" t="str">
        <f>IF($P1460="","",$B1460/$P1460-1)</f>
        <v/>
      </c>
    </row>
    <row r="1461">
      <c r="A1461" s="11" t="n"/>
      <c r="B1461" s="29" t="n"/>
      <c r="K1461" s="30" t="str">
        <f>IF($A1461="","",EDATE($A1461,12*$E$4))</f>
        <v/>
      </c>
      <c r="L1461" s="19" t="str">
        <f>IF($K1461="","",IF($K1461&gt;MAX($A$8:$A$5007),"",IFERROR(MATCH($K1461,$A$8:$A$5007,1),"")))</f>
        <v/>
      </c>
      <c r="M1461" s="30" t="str">
        <f>IF($L1461="","",INDEX($A$8:$A$5007,$L1461))</f>
        <v/>
      </c>
      <c r="N1461" s="31" t="str">
        <f>IF($L1461="","",INDEX($B$8:$B$5007,$L1461))</f>
        <v/>
      </c>
      <c r="O1461" s="32" t="str">
        <f>IF($M1461="","",IF($K1461-$M1461&gt;7,"",IF($M1461&lt;=$A1461,"",IF(OR($B1461&lt;=0,$N1461&lt;=0),"",($N1461/$B1461)^(365/($M1461-$A1461))-1))))</f>
        <v/>
      </c>
      <c r="P1461" s="31" t="str">
        <f>IF($B1461="","",IF($P1460="",$B1461,MAX($P1460,$B1461)))</f>
        <v/>
      </c>
      <c r="Q1461" s="32" t="str">
        <f>IF($P1461="","",$B1461/$P1461-1)</f>
        <v/>
      </c>
    </row>
    <row r="1462">
      <c r="A1462" s="11" t="n"/>
      <c r="B1462" s="29" t="n"/>
      <c r="K1462" s="30" t="str">
        <f>IF($A1462="","",EDATE($A1462,12*$E$4))</f>
        <v/>
      </c>
      <c r="L1462" s="19" t="str">
        <f>IF($K1462="","",IF($K1462&gt;MAX($A$8:$A$5007),"",IFERROR(MATCH($K1462,$A$8:$A$5007,1),"")))</f>
        <v/>
      </c>
      <c r="M1462" s="30" t="str">
        <f>IF($L1462="","",INDEX($A$8:$A$5007,$L1462))</f>
        <v/>
      </c>
      <c r="N1462" s="31" t="str">
        <f>IF($L1462="","",INDEX($B$8:$B$5007,$L1462))</f>
        <v/>
      </c>
      <c r="O1462" s="32" t="str">
        <f>IF($M1462="","",IF($K1462-$M1462&gt;7,"",IF($M1462&lt;=$A1462,"",IF(OR($B1462&lt;=0,$N1462&lt;=0),"",($N1462/$B1462)^(365/($M1462-$A1462))-1))))</f>
        <v/>
      </c>
      <c r="P1462" s="31" t="str">
        <f>IF($B1462="","",IF($P1461="",$B1462,MAX($P1461,$B1462)))</f>
        <v/>
      </c>
      <c r="Q1462" s="32" t="str">
        <f>IF($P1462="","",$B1462/$P1462-1)</f>
        <v/>
      </c>
    </row>
    <row r="1463">
      <c r="A1463" s="11" t="n"/>
      <c r="B1463" s="29" t="n"/>
      <c r="K1463" s="30" t="str">
        <f>IF($A1463="","",EDATE($A1463,12*$E$4))</f>
        <v/>
      </c>
      <c r="L1463" s="19" t="str">
        <f>IF($K1463="","",IF($K1463&gt;MAX($A$8:$A$5007),"",IFERROR(MATCH($K1463,$A$8:$A$5007,1),"")))</f>
        <v/>
      </c>
      <c r="M1463" s="30" t="str">
        <f>IF($L1463="","",INDEX($A$8:$A$5007,$L1463))</f>
        <v/>
      </c>
      <c r="N1463" s="31" t="str">
        <f>IF($L1463="","",INDEX($B$8:$B$5007,$L1463))</f>
        <v/>
      </c>
      <c r="O1463" s="32" t="str">
        <f>IF($M1463="","",IF($K1463-$M1463&gt;7,"",IF($M1463&lt;=$A1463,"",IF(OR($B1463&lt;=0,$N1463&lt;=0),"",($N1463/$B1463)^(365/($M1463-$A1463))-1))))</f>
        <v/>
      </c>
      <c r="P1463" s="31" t="str">
        <f>IF($B1463="","",IF($P1462="",$B1463,MAX($P1462,$B1463)))</f>
        <v/>
      </c>
      <c r="Q1463" s="32" t="str">
        <f>IF($P1463="","",$B1463/$P1463-1)</f>
        <v/>
      </c>
    </row>
    <row r="1464">
      <c r="A1464" s="11" t="n"/>
      <c r="B1464" s="29" t="n"/>
      <c r="K1464" s="30" t="str">
        <f>IF($A1464="","",EDATE($A1464,12*$E$4))</f>
        <v/>
      </c>
      <c r="L1464" s="19" t="str">
        <f>IF($K1464="","",IF($K1464&gt;MAX($A$8:$A$5007),"",IFERROR(MATCH($K1464,$A$8:$A$5007,1),"")))</f>
        <v/>
      </c>
      <c r="M1464" s="30" t="str">
        <f>IF($L1464="","",INDEX($A$8:$A$5007,$L1464))</f>
        <v/>
      </c>
      <c r="N1464" s="31" t="str">
        <f>IF($L1464="","",INDEX($B$8:$B$5007,$L1464))</f>
        <v/>
      </c>
      <c r="O1464" s="32" t="str">
        <f>IF($M1464="","",IF($K1464-$M1464&gt;7,"",IF($M1464&lt;=$A1464,"",IF(OR($B1464&lt;=0,$N1464&lt;=0),"",($N1464/$B1464)^(365/($M1464-$A1464))-1))))</f>
        <v/>
      </c>
      <c r="P1464" s="31" t="str">
        <f>IF($B1464="","",IF($P1463="",$B1464,MAX($P1463,$B1464)))</f>
        <v/>
      </c>
      <c r="Q1464" s="32" t="str">
        <f>IF($P1464="","",$B1464/$P1464-1)</f>
        <v/>
      </c>
    </row>
    <row r="1465">
      <c r="A1465" s="11" t="n"/>
      <c r="B1465" s="29" t="n"/>
      <c r="K1465" s="30" t="str">
        <f>IF($A1465="","",EDATE($A1465,12*$E$4))</f>
        <v/>
      </c>
      <c r="L1465" s="19" t="str">
        <f>IF($K1465="","",IF($K1465&gt;MAX($A$8:$A$5007),"",IFERROR(MATCH($K1465,$A$8:$A$5007,1),"")))</f>
        <v/>
      </c>
      <c r="M1465" s="30" t="str">
        <f>IF($L1465="","",INDEX($A$8:$A$5007,$L1465))</f>
        <v/>
      </c>
      <c r="N1465" s="31" t="str">
        <f>IF($L1465="","",INDEX($B$8:$B$5007,$L1465))</f>
        <v/>
      </c>
      <c r="O1465" s="32" t="str">
        <f>IF($M1465="","",IF($K1465-$M1465&gt;7,"",IF($M1465&lt;=$A1465,"",IF(OR($B1465&lt;=0,$N1465&lt;=0),"",($N1465/$B1465)^(365/($M1465-$A1465))-1))))</f>
        <v/>
      </c>
      <c r="P1465" s="31" t="str">
        <f>IF($B1465="","",IF($P1464="",$B1465,MAX($P1464,$B1465)))</f>
        <v/>
      </c>
      <c r="Q1465" s="32" t="str">
        <f>IF($P1465="","",$B1465/$P1465-1)</f>
        <v/>
      </c>
    </row>
    <row r="1466">
      <c r="A1466" s="11" t="n"/>
      <c r="B1466" s="29" t="n"/>
      <c r="K1466" s="30" t="str">
        <f>IF($A1466="","",EDATE($A1466,12*$E$4))</f>
        <v/>
      </c>
      <c r="L1466" s="19" t="str">
        <f>IF($K1466="","",IF($K1466&gt;MAX($A$8:$A$5007),"",IFERROR(MATCH($K1466,$A$8:$A$5007,1),"")))</f>
        <v/>
      </c>
      <c r="M1466" s="30" t="str">
        <f>IF($L1466="","",INDEX($A$8:$A$5007,$L1466))</f>
        <v/>
      </c>
      <c r="N1466" s="31" t="str">
        <f>IF($L1466="","",INDEX($B$8:$B$5007,$L1466))</f>
        <v/>
      </c>
      <c r="O1466" s="32" t="str">
        <f>IF($M1466="","",IF($K1466-$M1466&gt;7,"",IF($M1466&lt;=$A1466,"",IF(OR($B1466&lt;=0,$N1466&lt;=0),"",($N1466/$B1466)^(365/($M1466-$A1466))-1))))</f>
        <v/>
      </c>
      <c r="P1466" s="31" t="str">
        <f>IF($B1466="","",IF($P1465="",$B1466,MAX($P1465,$B1466)))</f>
        <v/>
      </c>
      <c r="Q1466" s="32" t="str">
        <f>IF($P1466="","",$B1466/$P1466-1)</f>
        <v/>
      </c>
    </row>
    <row r="1467">
      <c r="A1467" s="11" t="n"/>
      <c r="B1467" s="29" t="n"/>
      <c r="K1467" s="30" t="str">
        <f>IF($A1467="","",EDATE($A1467,12*$E$4))</f>
        <v/>
      </c>
      <c r="L1467" s="19" t="str">
        <f>IF($K1467="","",IF($K1467&gt;MAX($A$8:$A$5007),"",IFERROR(MATCH($K1467,$A$8:$A$5007,1),"")))</f>
        <v/>
      </c>
      <c r="M1467" s="30" t="str">
        <f>IF($L1467="","",INDEX($A$8:$A$5007,$L1467))</f>
        <v/>
      </c>
      <c r="N1467" s="31" t="str">
        <f>IF($L1467="","",INDEX($B$8:$B$5007,$L1467))</f>
        <v/>
      </c>
      <c r="O1467" s="32" t="str">
        <f>IF($M1467="","",IF($K1467-$M1467&gt;7,"",IF($M1467&lt;=$A1467,"",IF(OR($B1467&lt;=0,$N1467&lt;=0),"",($N1467/$B1467)^(365/($M1467-$A1467))-1))))</f>
        <v/>
      </c>
      <c r="P1467" s="31" t="str">
        <f>IF($B1467="","",IF($P1466="",$B1467,MAX($P1466,$B1467)))</f>
        <v/>
      </c>
      <c r="Q1467" s="32" t="str">
        <f>IF($P1467="","",$B1467/$P1467-1)</f>
        <v/>
      </c>
    </row>
    <row r="1468">
      <c r="A1468" s="11" t="n"/>
      <c r="B1468" s="29" t="n"/>
      <c r="K1468" s="30" t="str">
        <f>IF($A1468="","",EDATE($A1468,12*$E$4))</f>
        <v/>
      </c>
      <c r="L1468" s="19" t="str">
        <f>IF($K1468="","",IF($K1468&gt;MAX($A$8:$A$5007),"",IFERROR(MATCH($K1468,$A$8:$A$5007,1),"")))</f>
        <v/>
      </c>
      <c r="M1468" s="30" t="str">
        <f>IF($L1468="","",INDEX($A$8:$A$5007,$L1468))</f>
        <v/>
      </c>
      <c r="N1468" s="31" t="str">
        <f>IF($L1468="","",INDEX($B$8:$B$5007,$L1468))</f>
        <v/>
      </c>
      <c r="O1468" s="32" t="str">
        <f>IF($M1468="","",IF($K1468-$M1468&gt;7,"",IF($M1468&lt;=$A1468,"",IF(OR($B1468&lt;=0,$N1468&lt;=0),"",($N1468/$B1468)^(365/($M1468-$A1468))-1))))</f>
        <v/>
      </c>
      <c r="P1468" s="31" t="str">
        <f>IF($B1468="","",IF($P1467="",$B1468,MAX($P1467,$B1468)))</f>
        <v/>
      </c>
      <c r="Q1468" s="32" t="str">
        <f>IF($P1468="","",$B1468/$P1468-1)</f>
        <v/>
      </c>
    </row>
    <row r="1469">
      <c r="A1469" s="11" t="n"/>
      <c r="B1469" s="29" t="n"/>
      <c r="K1469" s="30" t="str">
        <f>IF($A1469="","",EDATE($A1469,12*$E$4))</f>
        <v/>
      </c>
      <c r="L1469" s="19" t="str">
        <f>IF($K1469="","",IF($K1469&gt;MAX($A$8:$A$5007),"",IFERROR(MATCH($K1469,$A$8:$A$5007,1),"")))</f>
        <v/>
      </c>
      <c r="M1469" s="30" t="str">
        <f>IF($L1469="","",INDEX($A$8:$A$5007,$L1469))</f>
        <v/>
      </c>
      <c r="N1469" s="31" t="str">
        <f>IF($L1469="","",INDEX($B$8:$B$5007,$L1469))</f>
        <v/>
      </c>
      <c r="O1469" s="32" t="str">
        <f>IF($M1469="","",IF($K1469-$M1469&gt;7,"",IF($M1469&lt;=$A1469,"",IF(OR($B1469&lt;=0,$N1469&lt;=0),"",($N1469/$B1469)^(365/($M1469-$A1469))-1))))</f>
        <v/>
      </c>
      <c r="P1469" s="31" t="str">
        <f>IF($B1469="","",IF($P1468="",$B1469,MAX($P1468,$B1469)))</f>
        <v/>
      </c>
      <c r="Q1469" s="32" t="str">
        <f>IF($P1469="","",$B1469/$P1469-1)</f>
        <v/>
      </c>
    </row>
    <row r="1470">
      <c r="A1470" s="11" t="n"/>
      <c r="B1470" s="29" t="n"/>
      <c r="K1470" s="30" t="str">
        <f>IF($A1470="","",EDATE($A1470,12*$E$4))</f>
        <v/>
      </c>
      <c r="L1470" s="19" t="str">
        <f>IF($K1470="","",IF($K1470&gt;MAX($A$8:$A$5007),"",IFERROR(MATCH($K1470,$A$8:$A$5007,1),"")))</f>
        <v/>
      </c>
      <c r="M1470" s="30" t="str">
        <f>IF($L1470="","",INDEX($A$8:$A$5007,$L1470))</f>
        <v/>
      </c>
      <c r="N1470" s="31" t="str">
        <f>IF($L1470="","",INDEX($B$8:$B$5007,$L1470))</f>
        <v/>
      </c>
      <c r="O1470" s="32" t="str">
        <f>IF($M1470="","",IF($K1470-$M1470&gt;7,"",IF($M1470&lt;=$A1470,"",IF(OR($B1470&lt;=0,$N1470&lt;=0),"",($N1470/$B1470)^(365/($M1470-$A1470))-1))))</f>
        <v/>
      </c>
      <c r="P1470" s="31" t="str">
        <f>IF($B1470="","",IF($P1469="",$B1470,MAX($P1469,$B1470)))</f>
        <v/>
      </c>
      <c r="Q1470" s="32" t="str">
        <f>IF($P1470="","",$B1470/$P1470-1)</f>
        <v/>
      </c>
    </row>
    <row r="1471">
      <c r="A1471" s="11" t="n"/>
      <c r="B1471" s="29" t="n"/>
      <c r="K1471" s="30" t="str">
        <f>IF($A1471="","",EDATE($A1471,12*$E$4))</f>
        <v/>
      </c>
      <c r="L1471" s="19" t="str">
        <f>IF($K1471="","",IF($K1471&gt;MAX($A$8:$A$5007),"",IFERROR(MATCH($K1471,$A$8:$A$5007,1),"")))</f>
        <v/>
      </c>
      <c r="M1471" s="30" t="str">
        <f>IF($L1471="","",INDEX($A$8:$A$5007,$L1471))</f>
        <v/>
      </c>
      <c r="N1471" s="31" t="str">
        <f>IF($L1471="","",INDEX($B$8:$B$5007,$L1471))</f>
        <v/>
      </c>
      <c r="O1471" s="32" t="str">
        <f>IF($M1471="","",IF($K1471-$M1471&gt;7,"",IF($M1471&lt;=$A1471,"",IF(OR($B1471&lt;=0,$N1471&lt;=0),"",($N1471/$B1471)^(365/($M1471-$A1471))-1))))</f>
        <v/>
      </c>
      <c r="P1471" s="31" t="str">
        <f>IF($B1471="","",IF($P1470="",$B1471,MAX($P1470,$B1471)))</f>
        <v/>
      </c>
      <c r="Q1471" s="32" t="str">
        <f>IF($P1471="","",$B1471/$P1471-1)</f>
        <v/>
      </c>
    </row>
    <row r="1472">
      <c r="A1472" s="11" t="n"/>
      <c r="B1472" s="29" t="n"/>
      <c r="K1472" s="30" t="str">
        <f>IF($A1472="","",EDATE($A1472,12*$E$4))</f>
        <v/>
      </c>
      <c r="L1472" s="19" t="str">
        <f>IF($K1472="","",IF($K1472&gt;MAX($A$8:$A$5007),"",IFERROR(MATCH($K1472,$A$8:$A$5007,1),"")))</f>
        <v/>
      </c>
      <c r="M1472" s="30" t="str">
        <f>IF($L1472="","",INDEX($A$8:$A$5007,$L1472))</f>
        <v/>
      </c>
      <c r="N1472" s="31" t="str">
        <f>IF($L1472="","",INDEX($B$8:$B$5007,$L1472))</f>
        <v/>
      </c>
      <c r="O1472" s="32" t="str">
        <f>IF($M1472="","",IF($K1472-$M1472&gt;7,"",IF($M1472&lt;=$A1472,"",IF(OR($B1472&lt;=0,$N1472&lt;=0),"",($N1472/$B1472)^(365/($M1472-$A1472))-1))))</f>
        <v/>
      </c>
      <c r="P1472" s="31" t="str">
        <f>IF($B1472="","",IF($P1471="",$B1472,MAX($P1471,$B1472)))</f>
        <v/>
      </c>
      <c r="Q1472" s="32" t="str">
        <f>IF($P1472="","",$B1472/$P1472-1)</f>
        <v/>
      </c>
    </row>
    <row r="1473">
      <c r="A1473" s="11" t="n"/>
      <c r="B1473" s="29" t="n"/>
      <c r="K1473" s="30" t="str">
        <f>IF($A1473="","",EDATE($A1473,12*$E$4))</f>
        <v/>
      </c>
      <c r="L1473" s="19" t="str">
        <f>IF($K1473="","",IF($K1473&gt;MAX($A$8:$A$5007),"",IFERROR(MATCH($K1473,$A$8:$A$5007,1),"")))</f>
        <v/>
      </c>
      <c r="M1473" s="30" t="str">
        <f>IF($L1473="","",INDEX($A$8:$A$5007,$L1473))</f>
        <v/>
      </c>
      <c r="N1473" s="31" t="str">
        <f>IF($L1473="","",INDEX($B$8:$B$5007,$L1473))</f>
        <v/>
      </c>
      <c r="O1473" s="32" t="str">
        <f>IF($M1473="","",IF($K1473-$M1473&gt;7,"",IF($M1473&lt;=$A1473,"",IF(OR($B1473&lt;=0,$N1473&lt;=0),"",($N1473/$B1473)^(365/($M1473-$A1473))-1))))</f>
        <v/>
      </c>
      <c r="P1473" s="31" t="str">
        <f>IF($B1473="","",IF($P1472="",$B1473,MAX($P1472,$B1473)))</f>
        <v/>
      </c>
      <c r="Q1473" s="32" t="str">
        <f>IF($P1473="","",$B1473/$P1473-1)</f>
        <v/>
      </c>
    </row>
    <row r="1474">
      <c r="A1474" s="11" t="n"/>
      <c r="B1474" s="29" t="n"/>
      <c r="K1474" s="30" t="str">
        <f>IF($A1474="","",EDATE($A1474,12*$E$4))</f>
        <v/>
      </c>
      <c r="L1474" s="19" t="str">
        <f>IF($K1474="","",IF($K1474&gt;MAX($A$8:$A$5007),"",IFERROR(MATCH($K1474,$A$8:$A$5007,1),"")))</f>
        <v/>
      </c>
      <c r="M1474" s="30" t="str">
        <f>IF($L1474="","",INDEX($A$8:$A$5007,$L1474))</f>
        <v/>
      </c>
      <c r="N1474" s="31" t="str">
        <f>IF($L1474="","",INDEX($B$8:$B$5007,$L1474))</f>
        <v/>
      </c>
      <c r="O1474" s="32" t="str">
        <f>IF($M1474="","",IF($K1474-$M1474&gt;7,"",IF($M1474&lt;=$A1474,"",IF(OR($B1474&lt;=0,$N1474&lt;=0),"",($N1474/$B1474)^(365/($M1474-$A1474))-1))))</f>
        <v/>
      </c>
      <c r="P1474" s="31" t="str">
        <f>IF($B1474="","",IF($P1473="",$B1474,MAX($P1473,$B1474)))</f>
        <v/>
      </c>
      <c r="Q1474" s="32" t="str">
        <f>IF($P1474="","",$B1474/$P1474-1)</f>
        <v/>
      </c>
    </row>
    <row r="1475">
      <c r="A1475" s="11" t="n"/>
      <c r="B1475" s="29" t="n"/>
      <c r="K1475" s="30" t="str">
        <f>IF($A1475="","",EDATE($A1475,12*$E$4))</f>
        <v/>
      </c>
      <c r="L1475" s="19" t="str">
        <f>IF($K1475="","",IF($K1475&gt;MAX($A$8:$A$5007),"",IFERROR(MATCH($K1475,$A$8:$A$5007,1),"")))</f>
        <v/>
      </c>
      <c r="M1475" s="30" t="str">
        <f>IF($L1475="","",INDEX($A$8:$A$5007,$L1475))</f>
        <v/>
      </c>
      <c r="N1475" s="31" t="str">
        <f>IF($L1475="","",INDEX($B$8:$B$5007,$L1475))</f>
        <v/>
      </c>
      <c r="O1475" s="32" t="str">
        <f>IF($M1475="","",IF($K1475-$M1475&gt;7,"",IF($M1475&lt;=$A1475,"",IF(OR($B1475&lt;=0,$N1475&lt;=0),"",($N1475/$B1475)^(365/($M1475-$A1475))-1))))</f>
        <v/>
      </c>
      <c r="P1475" s="31" t="str">
        <f>IF($B1475="","",IF($P1474="",$B1475,MAX($P1474,$B1475)))</f>
        <v/>
      </c>
      <c r="Q1475" s="32" t="str">
        <f>IF($P1475="","",$B1475/$P1475-1)</f>
        <v/>
      </c>
    </row>
    <row r="1476">
      <c r="A1476" s="11" t="n"/>
      <c r="B1476" s="29" t="n"/>
      <c r="K1476" s="30" t="str">
        <f>IF($A1476="","",EDATE($A1476,12*$E$4))</f>
        <v/>
      </c>
      <c r="L1476" s="19" t="str">
        <f>IF($K1476="","",IF($K1476&gt;MAX($A$8:$A$5007),"",IFERROR(MATCH($K1476,$A$8:$A$5007,1),"")))</f>
        <v/>
      </c>
      <c r="M1476" s="30" t="str">
        <f>IF($L1476="","",INDEX($A$8:$A$5007,$L1476))</f>
        <v/>
      </c>
      <c r="N1476" s="31" t="str">
        <f>IF($L1476="","",INDEX($B$8:$B$5007,$L1476))</f>
        <v/>
      </c>
      <c r="O1476" s="32" t="str">
        <f>IF($M1476="","",IF($K1476-$M1476&gt;7,"",IF($M1476&lt;=$A1476,"",IF(OR($B1476&lt;=0,$N1476&lt;=0),"",($N1476/$B1476)^(365/($M1476-$A1476))-1))))</f>
        <v/>
      </c>
      <c r="P1476" s="31" t="str">
        <f>IF($B1476="","",IF($P1475="",$B1476,MAX($P1475,$B1476)))</f>
        <v/>
      </c>
      <c r="Q1476" s="32" t="str">
        <f>IF($P1476="","",$B1476/$P1476-1)</f>
        <v/>
      </c>
    </row>
    <row r="1477">
      <c r="A1477" s="11" t="n"/>
      <c r="B1477" s="29" t="n"/>
      <c r="K1477" s="30" t="str">
        <f>IF($A1477="","",EDATE($A1477,12*$E$4))</f>
        <v/>
      </c>
      <c r="L1477" s="19" t="str">
        <f>IF($K1477="","",IF($K1477&gt;MAX($A$8:$A$5007),"",IFERROR(MATCH($K1477,$A$8:$A$5007,1),"")))</f>
        <v/>
      </c>
      <c r="M1477" s="30" t="str">
        <f>IF($L1477="","",INDEX($A$8:$A$5007,$L1477))</f>
        <v/>
      </c>
      <c r="N1477" s="31" t="str">
        <f>IF($L1477="","",INDEX($B$8:$B$5007,$L1477))</f>
        <v/>
      </c>
      <c r="O1477" s="32" t="str">
        <f>IF($M1477="","",IF($K1477-$M1477&gt;7,"",IF($M1477&lt;=$A1477,"",IF(OR($B1477&lt;=0,$N1477&lt;=0),"",($N1477/$B1477)^(365/($M1477-$A1477))-1))))</f>
        <v/>
      </c>
      <c r="P1477" s="31" t="str">
        <f>IF($B1477="","",IF($P1476="",$B1477,MAX($P1476,$B1477)))</f>
        <v/>
      </c>
      <c r="Q1477" s="32" t="str">
        <f>IF($P1477="","",$B1477/$P1477-1)</f>
        <v/>
      </c>
    </row>
    <row r="1478">
      <c r="A1478" s="11" t="n"/>
      <c r="B1478" s="29" t="n"/>
      <c r="K1478" s="30" t="str">
        <f>IF($A1478="","",EDATE($A1478,12*$E$4))</f>
        <v/>
      </c>
      <c r="L1478" s="19" t="str">
        <f>IF($K1478="","",IF($K1478&gt;MAX($A$8:$A$5007),"",IFERROR(MATCH($K1478,$A$8:$A$5007,1),"")))</f>
        <v/>
      </c>
      <c r="M1478" s="30" t="str">
        <f>IF($L1478="","",INDEX($A$8:$A$5007,$L1478))</f>
        <v/>
      </c>
      <c r="N1478" s="31" t="str">
        <f>IF($L1478="","",INDEX($B$8:$B$5007,$L1478))</f>
        <v/>
      </c>
      <c r="O1478" s="32" t="str">
        <f>IF($M1478="","",IF($K1478-$M1478&gt;7,"",IF($M1478&lt;=$A1478,"",IF(OR($B1478&lt;=0,$N1478&lt;=0),"",($N1478/$B1478)^(365/($M1478-$A1478))-1))))</f>
        <v/>
      </c>
      <c r="P1478" s="31" t="str">
        <f>IF($B1478="","",IF($P1477="",$B1478,MAX($P1477,$B1478)))</f>
        <v/>
      </c>
      <c r="Q1478" s="32" t="str">
        <f>IF($P1478="","",$B1478/$P1478-1)</f>
        <v/>
      </c>
    </row>
    <row r="1479">
      <c r="A1479" s="11" t="n"/>
      <c r="B1479" s="29" t="n"/>
      <c r="K1479" s="30" t="str">
        <f>IF($A1479="","",EDATE($A1479,12*$E$4))</f>
        <v/>
      </c>
      <c r="L1479" s="19" t="str">
        <f>IF($K1479="","",IF($K1479&gt;MAX($A$8:$A$5007),"",IFERROR(MATCH($K1479,$A$8:$A$5007,1),"")))</f>
        <v/>
      </c>
      <c r="M1479" s="30" t="str">
        <f>IF($L1479="","",INDEX($A$8:$A$5007,$L1479))</f>
        <v/>
      </c>
      <c r="N1479" s="31" t="str">
        <f>IF($L1479="","",INDEX($B$8:$B$5007,$L1479))</f>
        <v/>
      </c>
      <c r="O1479" s="32" t="str">
        <f>IF($M1479="","",IF($K1479-$M1479&gt;7,"",IF($M1479&lt;=$A1479,"",IF(OR($B1479&lt;=0,$N1479&lt;=0),"",($N1479/$B1479)^(365/($M1479-$A1479))-1))))</f>
        <v/>
      </c>
      <c r="P1479" s="31" t="str">
        <f>IF($B1479="","",IF($P1478="",$B1479,MAX($P1478,$B1479)))</f>
        <v/>
      </c>
      <c r="Q1479" s="32" t="str">
        <f>IF($P1479="","",$B1479/$P1479-1)</f>
        <v/>
      </c>
    </row>
    <row r="1480">
      <c r="A1480" s="11" t="n"/>
      <c r="B1480" s="29" t="n"/>
      <c r="K1480" s="30" t="str">
        <f>IF($A1480="","",EDATE($A1480,12*$E$4))</f>
        <v/>
      </c>
      <c r="L1480" s="19" t="str">
        <f>IF($K1480="","",IF($K1480&gt;MAX($A$8:$A$5007),"",IFERROR(MATCH($K1480,$A$8:$A$5007,1),"")))</f>
        <v/>
      </c>
      <c r="M1480" s="30" t="str">
        <f>IF($L1480="","",INDEX($A$8:$A$5007,$L1480))</f>
        <v/>
      </c>
      <c r="N1480" s="31" t="str">
        <f>IF($L1480="","",INDEX($B$8:$B$5007,$L1480))</f>
        <v/>
      </c>
      <c r="O1480" s="32" t="str">
        <f>IF($M1480="","",IF($K1480-$M1480&gt;7,"",IF($M1480&lt;=$A1480,"",IF(OR($B1480&lt;=0,$N1480&lt;=0),"",($N1480/$B1480)^(365/($M1480-$A1480))-1))))</f>
        <v/>
      </c>
      <c r="P1480" s="31" t="str">
        <f>IF($B1480="","",IF($P1479="",$B1480,MAX($P1479,$B1480)))</f>
        <v/>
      </c>
      <c r="Q1480" s="32" t="str">
        <f>IF($P1480="","",$B1480/$P1480-1)</f>
        <v/>
      </c>
    </row>
    <row r="1481">
      <c r="A1481" s="11" t="n"/>
      <c r="B1481" s="29" t="n"/>
      <c r="K1481" s="30" t="str">
        <f>IF($A1481="","",EDATE($A1481,12*$E$4))</f>
        <v/>
      </c>
      <c r="L1481" s="19" t="str">
        <f>IF($K1481="","",IF($K1481&gt;MAX($A$8:$A$5007),"",IFERROR(MATCH($K1481,$A$8:$A$5007,1),"")))</f>
        <v/>
      </c>
      <c r="M1481" s="30" t="str">
        <f>IF($L1481="","",INDEX($A$8:$A$5007,$L1481))</f>
        <v/>
      </c>
      <c r="N1481" s="31" t="str">
        <f>IF($L1481="","",INDEX($B$8:$B$5007,$L1481))</f>
        <v/>
      </c>
      <c r="O1481" s="32" t="str">
        <f>IF($M1481="","",IF($K1481-$M1481&gt;7,"",IF($M1481&lt;=$A1481,"",IF(OR($B1481&lt;=0,$N1481&lt;=0),"",($N1481/$B1481)^(365/($M1481-$A1481))-1))))</f>
        <v/>
      </c>
      <c r="P1481" s="31" t="str">
        <f>IF($B1481="","",IF($P1480="",$B1481,MAX($P1480,$B1481)))</f>
        <v/>
      </c>
      <c r="Q1481" s="32" t="str">
        <f>IF($P1481="","",$B1481/$P1481-1)</f>
        <v/>
      </c>
    </row>
    <row r="1482">
      <c r="A1482" s="11" t="n"/>
      <c r="B1482" s="29" t="n"/>
      <c r="K1482" s="30" t="str">
        <f>IF($A1482="","",EDATE($A1482,12*$E$4))</f>
        <v/>
      </c>
      <c r="L1482" s="19" t="str">
        <f>IF($K1482="","",IF($K1482&gt;MAX($A$8:$A$5007),"",IFERROR(MATCH($K1482,$A$8:$A$5007,1),"")))</f>
        <v/>
      </c>
      <c r="M1482" s="30" t="str">
        <f>IF($L1482="","",INDEX($A$8:$A$5007,$L1482))</f>
        <v/>
      </c>
      <c r="N1482" s="31" t="str">
        <f>IF($L1482="","",INDEX($B$8:$B$5007,$L1482))</f>
        <v/>
      </c>
      <c r="O1482" s="32" t="str">
        <f>IF($M1482="","",IF($K1482-$M1482&gt;7,"",IF($M1482&lt;=$A1482,"",IF(OR($B1482&lt;=0,$N1482&lt;=0),"",($N1482/$B1482)^(365/($M1482-$A1482))-1))))</f>
        <v/>
      </c>
      <c r="P1482" s="31" t="str">
        <f>IF($B1482="","",IF($P1481="",$B1482,MAX($P1481,$B1482)))</f>
        <v/>
      </c>
      <c r="Q1482" s="32" t="str">
        <f>IF($P1482="","",$B1482/$P1482-1)</f>
        <v/>
      </c>
    </row>
    <row r="1483">
      <c r="A1483" s="11" t="n"/>
      <c r="B1483" s="29" t="n"/>
      <c r="K1483" s="30" t="str">
        <f>IF($A1483="","",EDATE($A1483,12*$E$4))</f>
        <v/>
      </c>
      <c r="L1483" s="19" t="str">
        <f>IF($K1483="","",IF($K1483&gt;MAX($A$8:$A$5007),"",IFERROR(MATCH($K1483,$A$8:$A$5007,1),"")))</f>
        <v/>
      </c>
      <c r="M1483" s="30" t="str">
        <f>IF($L1483="","",INDEX($A$8:$A$5007,$L1483))</f>
        <v/>
      </c>
      <c r="N1483" s="31" t="str">
        <f>IF($L1483="","",INDEX($B$8:$B$5007,$L1483))</f>
        <v/>
      </c>
      <c r="O1483" s="32" t="str">
        <f>IF($M1483="","",IF($K1483-$M1483&gt;7,"",IF($M1483&lt;=$A1483,"",IF(OR($B1483&lt;=0,$N1483&lt;=0),"",($N1483/$B1483)^(365/($M1483-$A1483))-1))))</f>
        <v/>
      </c>
      <c r="P1483" s="31" t="str">
        <f>IF($B1483="","",IF($P1482="",$B1483,MAX($P1482,$B1483)))</f>
        <v/>
      </c>
      <c r="Q1483" s="32" t="str">
        <f>IF($P1483="","",$B1483/$P1483-1)</f>
        <v/>
      </c>
    </row>
    <row r="1484">
      <c r="A1484" s="11" t="n"/>
      <c r="B1484" s="29" t="n"/>
      <c r="K1484" s="30" t="str">
        <f>IF($A1484="","",EDATE($A1484,12*$E$4))</f>
        <v/>
      </c>
      <c r="L1484" s="19" t="str">
        <f>IF($K1484="","",IF($K1484&gt;MAX($A$8:$A$5007),"",IFERROR(MATCH($K1484,$A$8:$A$5007,1),"")))</f>
        <v/>
      </c>
      <c r="M1484" s="30" t="str">
        <f>IF($L1484="","",INDEX($A$8:$A$5007,$L1484))</f>
        <v/>
      </c>
      <c r="N1484" s="31" t="str">
        <f>IF($L1484="","",INDEX($B$8:$B$5007,$L1484))</f>
        <v/>
      </c>
      <c r="O1484" s="32" t="str">
        <f>IF($M1484="","",IF($K1484-$M1484&gt;7,"",IF($M1484&lt;=$A1484,"",IF(OR($B1484&lt;=0,$N1484&lt;=0),"",($N1484/$B1484)^(365/($M1484-$A1484))-1))))</f>
        <v/>
      </c>
      <c r="P1484" s="31" t="str">
        <f>IF($B1484="","",IF($P1483="",$B1484,MAX($P1483,$B1484)))</f>
        <v/>
      </c>
      <c r="Q1484" s="32" t="str">
        <f>IF($P1484="","",$B1484/$P1484-1)</f>
        <v/>
      </c>
    </row>
    <row r="1485">
      <c r="A1485" s="11" t="n"/>
      <c r="B1485" s="29" t="n"/>
      <c r="K1485" s="30" t="str">
        <f>IF($A1485="","",EDATE($A1485,12*$E$4))</f>
        <v/>
      </c>
      <c r="L1485" s="19" t="str">
        <f>IF($K1485="","",IF($K1485&gt;MAX($A$8:$A$5007),"",IFERROR(MATCH($K1485,$A$8:$A$5007,1),"")))</f>
        <v/>
      </c>
      <c r="M1485" s="30" t="str">
        <f>IF($L1485="","",INDEX($A$8:$A$5007,$L1485))</f>
        <v/>
      </c>
      <c r="N1485" s="31" t="str">
        <f>IF($L1485="","",INDEX($B$8:$B$5007,$L1485))</f>
        <v/>
      </c>
      <c r="O1485" s="32" t="str">
        <f>IF($M1485="","",IF($K1485-$M1485&gt;7,"",IF($M1485&lt;=$A1485,"",IF(OR($B1485&lt;=0,$N1485&lt;=0),"",($N1485/$B1485)^(365/($M1485-$A1485))-1))))</f>
        <v/>
      </c>
      <c r="P1485" s="31" t="str">
        <f>IF($B1485="","",IF($P1484="",$B1485,MAX($P1484,$B1485)))</f>
        <v/>
      </c>
      <c r="Q1485" s="32" t="str">
        <f>IF($P1485="","",$B1485/$P1485-1)</f>
        <v/>
      </c>
    </row>
    <row r="1486">
      <c r="A1486" s="11" t="n"/>
      <c r="B1486" s="29" t="n"/>
      <c r="K1486" s="30" t="str">
        <f>IF($A1486="","",EDATE($A1486,12*$E$4))</f>
        <v/>
      </c>
      <c r="L1486" s="19" t="str">
        <f>IF($K1486="","",IF($K1486&gt;MAX($A$8:$A$5007),"",IFERROR(MATCH($K1486,$A$8:$A$5007,1),"")))</f>
        <v/>
      </c>
      <c r="M1486" s="30" t="str">
        <f>IF($L1486="","",INDEX($A$8:$A$5007,$L1486))</f>
        <v/>
      </c>
      <c r="N1486" s="31" t="str">
        <f>IF($L1486="","",INDEX($B$8:$B$5007,$L1486))</f>
        <v/>
      </c>
      <c r="O1486" s="32" t="str">
        <f>IF($M1486="","",IF($K1486-$M1486&gt;7,"",IF($M1486&lt;=$A1486,"",IF(OR($B1486&lt;=0,$N1486&lt;=0),"",($N1486/$B1486)^(365/($M1486-$A1486))-1))))</f>
        <v/>
      </c>
      <c r="P1486" s="31" t="str">
        <f>IF($B1486="","",IF($P1485="",$B1486,MAX($P1485,$B1486)))</f>
        <v/>
      </c>
      <c r="Q1486" s="32" t="str">
        <f>IF($P1486="","",$B1486/$P1486-1)</f>
        <v/>
      </c>
    </row>
    <row r="1487">
      <c r="A1487" s="11" t="n"/>
      <c r="B1487" s="29" t="n"/>
      <c r="K1487" s="30" t="str">
        <f>IF($A1487="","",EDATE($A1487,12*$E$4))</f>
        <v/>
      </c>
      <c r="L1487" s="19" t="str">
        <f>IF($K1487="","",IF($K1487&gt;MAX($A$8:$A$5007),"",IFERROR(MATCH($K1487,$A$8:$A$5007,1),"")))</f>
        <v/>
      </c>
      <c r="M1487" s="30" t="str">
        <f>IF($L1487="","",INDEX($A$8:$A$5007,$L1487))</f>
        <v/>
      </c>
      <c r="N1487" s="31" t="str">
        <f>IF($L1487="","",INDEX($B$8:$B$5007,$L1487))</f>
        <v/>
      </c>
      <c r="O1487" s="32" t="str">
        <f>IF($M1487="","",IF($K1487-$M1487&gt;7,"",IF($M1487&lt;=$A1487,"",IF(OR($B1487&lt;=0,$N1487&lt;=0),"",($N1487/$B1487)^(365/($M1487-$A1487))-1))))</f>
        <v/>
      </c>
      <c r="P1487" s="31" t="str">
        <f>IF($B1487="","",IF($P1486="",$B1487,MAX($P1486,$B1487)))</f>
        <v/>
      </c>
      <c r="Q1487" s="32" t="str">
        <f>IF($P1487="","",$B1487/$P1487-1)</f>
        <v/>
      </c>
    </row>
    <row r="1488">
      <c r="A1488" s="11" t="n"/>
      <c r="B1488" s="29" t="n"/>
      <c r="K1488" s="30" t="str">
        <f>IF($A1488="","",EDATE($A1488,12*$E$4))</f>
        <v/>
      </c>
      <c r="L1488" s="19" t="str">
        <f>IF($K1488="","",IF($K1488&gt;MAX($A$8:$A$5007),"",IFERROR(MATCH($K1488,$A$8:$A$5007,1),"")))</f>
        <v/>
      </c>
      <c r="M1488" s="30" t="str">
        <f>IF($L1488="","",INDEX($A$8:$A$5007,$L1488))</f>
        <v/>
      </c>
      <c r="N1488" s="31" t="str">
        <f>IF($L1488="","",INDEX($B$8:$B$5007,$L1488))</f>
        <v/>
      </c>
      <c r="O1488" s="32" t="str">
        <f>IF($M1488="","",IF($K1488-$M1488&gt;7,"",IF($M1488&lt;=$A1488,"",IF(OR($B1488&lt;=0,$N1488&lt;=0),"",($N1488/$B1488)^(365/($M1488-$A1488))-1))))</f>
        <v/>
      </c>
      <c r="P1488" s="31" t="str">
        <f>IF($B1488="","",IF($P1487="",$B1488,MAX($P1487,$B1488)))</f>
        <v/>
      </c>
      <c r="Q1488" s="32" t="str">
        <f>IF($P1488="","",$B1488/$P1488-1)</f>
        <v/>
      </c>
    </row>
    <row r="1489">
      <c r="A1489" s="11" t="n"/>
      <c r="B1489" s="29" t="n"/>
      <c r="K1489" s="30" t="str">
        <f>IF($A1489="","",EDATE($A1489,12*$E$4))</f>
        <v/>
      </c>
      <c r="L1489" s="19" t="str">
        <f>IF($K1489="","",IF($K1489&gt;MAX($A$8:$A$5007),"",IFERROR(MATCH($K1489,$A$8:$A$5007,1),"")))</f>
        <v/>
      </c>
      <c r="M1489" s="30" t="str">
        <f>IF($L1489="","",INDEX($A$8:$A$5007,$L1489))</f>
        <v/>
      </c>
      <c r="N1489" s="31" t="str">
        <f>IF($L1489="","",INDEX($B$8:$B$5007,$L1489))</f>
        <v/>
      </c>
      <c r="O1489" s="32" t="str">
        <f>IF($M1489="","",IF($K1489-$M1489&gt;7,"",IF($M1489&lt;=$A1489,"",IF(OR($B1489&lt;=0,$N1489&lt;=0),"",($N1489/$B1489)^(365/($M1489-$A1489))-1))))</f>
        <v/>
      </c>
      <c r="P1489" s="31" t="str">
        <f>IF($B1489="","",IF($P1488="",$B1489,MAX($P1488,$B1489)))</f>
        <v/>
      </c>
      <c r="Q1489" s="32" t="str">
        <f>IF($P1489="","",$B1489/$P1489-1)</f>
        <v/>
      </c>
    </row>
    <row r="1490">
      <c r="A1490" s="11" t="n"/>
      <c r="B1490" s="29" t="n"/>
      <c r="K1490" s="30" t="str">
        <f>IF($A1490="","",EDATE($A1490,12*$E$4))</f>
        <v/>
      </c>
      <c r="L1490" s="19" t="str">
        <f>IF($K1490="","",IF($K1490&gt;MAX($A$8:$A$5007),"",IFERROR(MATCH($K1490,$A$8:$A$5007,1),"")))</f>
        <v/>
      </c>
      <c r="M1490" s="30" t="str">
        <f>IF($L1490="","",INDEX($A$8:$A$5007,$L1490))</f>
        <v/>
      </c>
      <c r="N1490" s="31" t="str">
        <f>IF($L1490="","",INDEX($B$8:$B$5007,$L1490))</f>
        <v/>
      </c>
      <c r="O1490" s="32" t="str">
        <f>IF($M1490="","",IF($K1490-$M1490&gt;7,"",IF($M1490&lt;=$A1490,"",IF(OR($B1490&lt;=0,$N1490&lt;=0),"",($N1490/$B1490)^(365/($M1490-$A1490))-1))))</f>
        <v/>
      </c>
      <c r="P1490" s="31" t="str">
        <f>IF($B1490="","",IF($P1489="",$B1490,MAX($P1489,$B1490)))</f>
        <v/>
      </c>
      <c r="Q1490" s="32" t="str">
        <f>IF($P1490="","",$B1490/$P1490-1)</f>
        <v/>
      </c>
    </row>
    <row r="1491">
      <c r="A1491" s="11" t="n"/>
      <c r="B1491" s="29" t="n"/>
      <c r="K1491" s="30" t="str">
        <f>IF($A1491="","",EDATE($A1491,12*$E$4))</f>
        <v/>
      </c>
      <c r="L1491" s="19" t="str">
        <f>IF($K1491="","",IF($K1491&gt;MAX($A$8:$A$5007),"",IFERROR(MATCH($K1491,$A$8:$A$5007,1),"")))</f>
        <v/>
      </c>
      <c r="M1491" s="30" t="str">
        <f>IF($L1491="","",INDEX($A$8:$A$5007,$L1491))</f>
        <v/>
      </c>
      <c r="N1491" s="31" t="str">
        <f>IF($L1491="","",INDEX($B$8:$B$5007,$L1491))</f>
        <v/>
      </c>
      <c r="O1491" s="32" t="str">
        <f>IF($M1491="","",IF($K1491-$M1491&gt;7,"",IF($M1491&lt;=$A1491,"",IF(OR($B1491&lt;=0,$N1491&lt;=0),"",($N1491/$B1491)^(365/($M1491-$A1491))-1))))</f>
        <v/>
      </c>
      <c r="P1491" s="31" t="str">
        <f>IF($B1491="","",IF($P1490="",$B1491,MAX($P1490,$B1491)))</f>
        <v/>
      </c>
      <c r="Q1491" s="32" t="str">
        <f>IF($P1491="","",$B1491/$P1491-1)</f>
        <v/>
      </c>
    </row>
    <row r="1492">
      <c r="A1492" s="11" t="n"/>
      <c r="B1492" s="29" t="n"/>
      <c r="K1492" s="30" t="str">
        <f>IF($A1492="","",EDATE($A1492,12*$E$4))</f>
        <v/>
      </c>
      <c r="L1492" s="19" t="str">
        <f>IF($K1492="","",IF($K1492&gt;MAX($A$8:$A$5007),"",IFERROR(MATCH($K1492,$A$8:$A$5007,1),"")))</f>
        <v/>
      </c>
      <c r="M1492" s="30" t="str">
        <f>IF($L1492="","",INDEX($A$8:$A$5007,$L1492))</f>
        <v/>
      </c>
      <c r="N1492" s="31" t="str">
        <f>IF($L1492="","",INDEX($B$8:$B$5007,$L1492))</f>
        <v/>
      </c>
      <c r="O1492" s="32" t="str">
        <f>IF($M1492="","",IF($K1492-$M1492&gt;7,"",IF($M1492&lt;=$A1492,"",IF(OR($B1492&lt;=0,$N1492&lt;=0),"",($N1492/$B1492)^(365/($M1492-$A1492))-1))))</f>
        <v/>
      </c>
      <c r="P1492" s="31" t="str">
        <f>IF($B1492="","",IF($P1491="",$B1492,MAX($P1491,$B1492)))</f>
        <v/>
      </c>
      <c r="Q1492" s="32" t="str">
        <f>IF($P1492="","",$B1492/$P1492-1)</f>
        <v/>
      </c>
    </row>
    <row r="1493">
      <c r="A1493" s="11" t="n"/>
      <c r="B1493" s="29" t="n"/>
      <c r="K1493" s="30" t="str">
        <f>IF($A1493="","",EDATE($A1493,12*$E$4))</f>
        <v/>
      </c>
      <c r="L1493" s="19" t="str">
        <f>IF($K1493="","",IF($K1493&gt;MAX($A$8:$A$5007),"",IFERROR(MATCH($K1493,$A$8:$A$5007,1),"")))</f>
        <v/>
      </c>
      <c r="M1493" s="30" t="str">
        <f>IF($L1493="","",INDEX($A$8:$A$5007,$L1493))</f>
        <v/>
      </c>
      <c r="N1493" s="31" t="str">
        <f>IF($L1493="","",INDEX($B$8:$B$5007,$L1493))</f>
        <v/>
      </c>
      <c r="O1493" s="32" t="str">
        <f>IF($M1493="","",IF($K1493-$M1493&gt;7,"",IF($M1493&lt;=$A1493,"",IF(OR($B1493&lt;=0,$N1493&lt;=0),"",($N1493/$B1493)^(365/($M1493-$A1493))-1))))</f>
        <v/>
      </c>
      <c r="P1493" s="31" t="str">
        <f>IF($B1493="","",IF($P1492="",$B1493,MAX($P1492,$B1493)))</f>
        <v/>
      </c>
      <c r="Q1493" s="32" t="str">
        <f>IF($P1493="","",$B1493/$P1493-1)</f>
        <v/>
      </c>
    </row>
    <row r="1494">
      <c r="A1494" s="11" t="n"/>
      <c r="B1494" s="29" t="n"/>
      <c r="K1494" s="30" t="str">
        <f>IF($A1494="","",EDATE($A1494,12*$E$4))</f>
        <v/>
      </c>
      <c r="L1494" s="19" t="str">
        <f>IF($K1494="","",IF($K1494&gt;MAX($A$8:$A$5007),"",IFERROR(MATCH($K1494,$A$8:$A$5007,1),"")))</f>
        <v/>
      </c>
      <c r="M1494" s="30" t="str">
        <f>IF($L1494="","",INDEX($A$8:$A$5007,$L1494))</f>
        <v/>
      </c>
      <c r="N1494" s="31" t="str">
        <f>IF($L1494="","",INDEX($B$8:$B$5007,$L1494))</f>
        <v/>
      </c>
      <c r="O1494" s="32" t="str">
        <f>IF($M1494="","",IF($K1494-$M1494&gt;7,"",IF($M1494&lt;=$A1494,"",IF(OR($B1494&lt;=0,$N1494&lt;=0),"",($N1494/$B1494)^(365/($M1494-$A1494))-1))))</f>
        <v/>
      </c>
      <c r="P1494" s="31" t="str">
        <f>IF($B1494="","",IF($P1493="",$B1494,MAX($P1493,$B1494)))</f>
        <v/>
      </c>
      <c r="Q1494" s="32" t="str">
        <f>IF($P1494="","",$B1494/$P1494-1)</f>
        <v/>
      </c>
    </row>
    <row r="1495">
      <c r="A1495" s="11" t="n"/>
      <c r="B1495" s="29" t="n"/>
      <c r="K1495" s="30" t="str">
        <f>IF($A1495="","",EDATE($A1495,12*$E$4))</f>
        <v/>
      </c>
      <c r="L1495" s="19" t="str">
        <f>IF($K1495="","",IF($K1495&gt;MAX($A$8:$A$5007),"",IFERROR(MATCH($K1495,$A$8:$A$5007,1),"")))</f>
        <v/>
      </c>
      <c r="M1495" s="30" t="str">
        <f>IF($L1495="","",INDEX($A$8:$A$5007,$L1495))</f>
        <v/>
      </c>
      <c r="N1495" s="31" t="str">
        <f>IF($L1495="","",INDEX($B$8:$B$5007,$L1495))</f>
        <v/>
      </c>
      <c r="O1495" s="32" t="str">
        <f>IF($M1495="","",IF($K1495-$M1495&gt;7,"",IF($M1495&lt;=$A1495,"",IF(OR($B1495&lt;=0,$N1495&lt;=0),"",($N1495/$B1495)^(365/($M1495-$A1495))-1))))</f>
        <v/>
      </c>
      <c r="P1495" s="31" t="str">
        <f>IF($B1495="","",IF($P1494="",$B1495,MAX($P1494,$B1495)))</f>
        <v/>
      </c>
      <c r="Q1495" s="32" t="str">
        <f>IF($P1495="","",$B1495/$P1495-1)</f>
        <v/>
      </c>
    </row>
    <row r="1496">
      <c r="A1496" s="11" t="n"/>
      <c r="B1496" s="29" t="n"/>
      <c r="K1496" s="30" t="str">
        <f>IF($A1496="","",EDATE($A1496,12*$E$4))</f>
        <v/>
      </c>
      <c r="L1496" s="19" t="str">
        <f>IF($K1496="","",IF($K1496&gt;MAX($A$8:$A$5007),"",IFERROR(MATCH($K1496,$A$8:$A$5007,1),"")))</f>
        <v/>
      </c>
      <c r="M1496" s="30" t="str">
        <f>IF($L1496="","",INDEX($A$8:$A$5007,$L1496))</f>
        <v/>
      </c>
      <c r="N1496" s="31" t="str">
        <f>IF($L1496="","",INDEX($B$8:$B$5007,$L1496))</f>
        <v/>
      </c>
      <c r="O1496" s="32" t="str">
        <f>IF($M1496="","",IF($K1496-$M1496&gt;7,"",IF($M1496&lt;=$A1496,"",IF(OR($B1496&lt;=0,$N1496&lt;=0),"",($N1496/$B1496)^(365/($M1496-$A1496))-1))))</f>
        <v/>
      </c>
      <c r="P1496" s="31" t="str">
        <f>IF($B1496="","",IF($P1495="",$B1496,MAX($P1495,$B1496)))</f>
        <v/>
      </c>
      <c r="Q1496" s="32" t="str">
        <f>IF($P1496="","",$B1496/$P1496-1)</f>
        <v/>
      </c>
    </row>
    <row r="1497">
      <c r="A1497" s="11" t="n"/>
      <c r="B1497" s="29" t="n"/>
      <c r="K1497" s="30" t="str">
        <f>IF($A1497="","",EDATE($A1497,12*$E$4))</f>
        <v/>
      </c>
      <c r="L1497" s="19" t="str">
        <f>IF($K1497="","",IF($K1497&gt;MAX($A$8:$A$5007),"",IFERROR(MATCH($K1497,$A$8:$A$5007,1),"")))</f>
        <v/>
      </c>
      <c r="M1497" s="30" t="str">
        <f>IF($L1497="","",INDEX($A$8:$A$5007,$L1497))</f>
        <v/>
      </c>
      <c r="N1497" s="31" t="str">
        <f>IF($L1497="","",INDEX($B$8:$B$5007,$L1497))</f>
        <v/>
      </c>
      <c r="O1497" s="32" t="str">
        <f>IF($M1497="","",IF($K1497-$M1497&gt;7,"",IF($M1497&lt;=$A1497,"",IF(OR($B1497&lt;=0,$N1497&lt;=0),"",($N1497/$B1497)^(365/($M1497-$A1497))-1))))</f>
        <v/>
      </c>
      <c r="P1497" s="31" t="str">
        <f>IF($B1497="","",IF($P1496="",$B1497,MAX($P1496,$B1497)))</f>
        <v/>
      </c>
      <c r="Q1497" s="32" t="str">
        <f>IF($P1497="","",$B1497/$P1497-1)</f>
        <v/>
      </c>
    </row>
    <row r="1498">
      <c r="A1498" s="11" t="n"/>
      <c r="B1498" s="29" t="n"/>
      <c r="K1498" s="30" t="str">
        <f>IF($A1498="","",EDATE($A1498,12*$E$4))</f>
        <v/>
      </c>
      <c r="L1498" s="19" t="str">
        <f>IF($K1498="","",IF($K1498&gt;MAX($A$8:$A$5007),"",IFERROR(MATCH($K1498,$A$8:$A$5007,1),"")))</f>
        <v/>
      </c>
      <c r="M1498" s="30" t="str">
        <f>IF($L1498="","",INDEX($A$8:$A$5007,$L1498))</f>
        <v/>
      </c>
      <c r="N1498" s="31" t="str">
        <f>IF($L1498="","",INDEX($B$8:$B$5007,$L1498))</f>
        <v/>
      </c>
      <c r="O1498" s="32" t="str">
        <f>IF($M1498="","",IF($K1498-$M1498&gt;7,"",IF($M1498&lt;=$A1498,"",IF(OR($B1498&lt;=0,$N1498&lt;=0),"",($N1498/$B1498)^(365/($M1498-$A1498))-1))))</f>
        <v/>
      </c>
      <c r="P1498" s="31" t="str">
        <f>IF($B1498="","",IF($P1497="",$B1498,MAX($P1497,$B1498)))</f>
        <v/>
      </c>
      <c r="Q1498" s="32" t="str">
        <f>IF($P1498="","",$B1498/$P1498-1)</f>
        <v/>
      </c>
    </row>
    <row r="1499">
      <c r="A1499" s="11" t="n"/>
      <c r="B1499" s="29" t="n"/>
      <c r="K1499" s="30" t="str">
        <f>IF($A1499="","",EDATE($A1499,12*$E$4))</f>
        <v/>
      </c>
      <c r="L1499" s="19" t="str">
        <f>IF($K1499="","",IF($K1499&gt;MAX($A$8:$A$5007),"",IFERROR(MATCH($K1499,$A$8:$A$5007,1),"")))</f>
        <v/>
      </c>
      <c r="M1499" s="30" t="str">
        <f>IF($L1499="","",INDEX($A$8:$A$5007,$L1499))</f>
        <v/>
      </c>
      <c r="N1499" s="31" t="str">
        <f>IF($L1499="","",INDEX($B$8:$B$5007,$L1499))</f>
        <v/>
      </c>
      <c r="O1499" s="32" t="str">
        <f>IF($M1499="","",IF($K1499-$M1499&gt;7,"",IF($M1499&lt;=$A1499,"",IF(OR($B1499&lt;=0,$N1499&lt;=0),"",($N1499/$B1499)^(365/($M1499-$A1499))-1))))</f>
        <v/>
      </c>
      <c r="P1499" s="31" t="str">
        <f>IF($B1499="","",IF($P1498="",$B1499,MAX($P1498,$B1499)))</f>
        <v/>
      </c>
      <c r="Q1499" s="32" t="str">
        <f>IF($P1499="","",$B1499/$P1499-1)</f>
        <v/>
      </c>
    </row>
    <row r="1500">
      <c r="A1500" s="11" t="n"/>
      <c r="B1500" s="29" t="n"/>
      <c r="K1500" s="30" t="str">
        <f>IF($A1500="","",EDATE($A1500,12*$E$4))</f>
        <v/>
      </c>
      <c r="L1500" s="19" t="str">
        <f>IF($K1500="","",IF($K1500&gt;MAX($A$8:$A$5007),"",IFERROR(MATCH($K1500,$A$8:$A$5007,1),"")))</f>
        <v/>
      </c>
      <c r="M1500" s="30" t="str">
        <f>IF($L1500="","",INDEX($A$8:$A$5007,$L1500))</f>
        <v/>
      </c>
      <c r="N1500" s="31" t="str">
        <f>IF($L1500="","",INDEX($B$8:$B$5007,$L1500))</f>
        <v/>
      </c>
      <c r="O1500" s="32" t="str">
        <f>IF($M1500="","",IF($K1500-$M1500&gt;7,"",IF($M1500&lt;=$A1500,"",IF(OR($B1500&lt;=0,$N1500&lt;=0),"",($N1500/$B1500)^(365/($M1500-$A1500))-1))))</f>
        <v/>
      </c>
      <c r="P1500" s="31" t="str">
        <f>IF($B1500="","",IF($P1499="",$B1500,MAX($P1499,$B1500)))</f>
        <v/>
      </c>
      <c r="Q1500" s="32" t="str">
        <f>IF($P1500="","",$B1500/$P1500-1)</f>
        <v/>
      </c>
    </row>
    <row r="1501">
      <c r="A1501" s="11" t="n"/>
      <c r="B1501" s="29" t="n"/>
      <c r="K1501" s="30" t="str">
        <f>IF($A1501="","",EDATE($A1501,12*$E$4))</f>
        <v/>
      </c>
      <c r="L1501" s="19" t="str">
        <f>IF($K1501="","",IF($K1501&gt;MAX($A$8:$A$5007),"",IFERROR(MATCH($K1501,$A$8:$A$5007,1),"")))</f>
        <v/>
      </c>
      <c r="M1501" s="30" t="str">
        <f>IF($L1501="","",INDEX($A$8:$A$5007,$L1501))</f>
        <v/>
      </c>
      <c r="N1501" s="31" t="str">
        <f>IF($L1501="","",INDEX($B$8:$B$5007,$L1501))</f>
        <v/>
      </c>
      <c r="O1501" s="32" t="str">
        <f>IF($M1501="","",IF($K1501-$M1501&gt;7,"",IF($M1501&lt;=$A1501,"",IF(OR($B1501&lt;=0,$N1501&lt;=0),"",($N1501/$B1501)^(365/($M1501-$A1501))-1))))</f>
        <v/>
      </c>
      <c r="P1501" s="31" t="str">
        <f>IF($B1501="","",IF($P1500="",$B1501,MAX($P1500,$B1501)))</f>
        <v/>
      </c>
      <c r="Q1501" s="32" t="str">
        <f>IF($P1501="","",$B1501/$P1501-1)</f>
        <v/>
      </c>
    </row>
    <row r="1502">
      <c r="A1502" s="11" t="n"/>
      <c r="B1502" s="29" t="n"/>
      <c r="K1502" s="30" t="str">
        <f>IF($A1502="","",EDATE($A1502,12*$E$4))</f>
        <v/>
      </c>
      <c r="L1502" s="19" t="str">
        <f>IF($K1502="","",IF($K1502&gt;MAX($A$8:$A$5007),"",IFERROR(MATCH($K1502,$A$8:$A$5007,1),"")))</f>
        <v/>
      </c>
      <c r="M1502" s="30" t="str">
        <f>IF($L1502="","",INDEX($A$8:$A$5007,$L1502))</f>
        <v/>
      </c>
      <c r="N1502" s="31" t="str">
        <f>IF($L1502="","",INDEX($B$8:$B$5007,$L1502))</f>
        <v/>
      </c>
      <c r="O1502" s="32" t="str">
        <f>IF($M1502="","",IF($K1502-$M1502&gt;7,"",IF($M1502&lt;=$A1502,"",IF(OR($B1502&lt;=0,$N1502&lt;=0),"",($N1502/$B1502)^(365/($M1502-$A1502))-1))))</f>
        <v/>
      </c>
      <c r="P1502" s="31" t="str">
        <f>IF($B1502="","",IF($P1501="",$B1502,MAX($P1501,$B1502)))</f>
        <v/>
      </c>
      <c r="Q1502" s="32" t="str">
        <f>IF($P1502="","",$B1502/$P1502-1)</f>
        <v/>
      </c>
    </row>
    <row r="1503">
      <c r="A1503" s="11" t="n"/>
      <c r="B1503" s="29" t="n"/>
      <c r="K1503" s="30" t="str">
        <f>IF($A1503="","",EDATE($A1503,12*$E$4))</f>
        <v/>
      </c>
      <c r="L1503" s="19" t="str">
        <f>IF($K1503="","",IF($K1503&gt;MAX($A$8:$A$5007),"",IFERROR(MATCH($K1503,$A$8:$A$5007,1),"")))</f>
        <v/>
      </c>
      <c r="M1503" s="30" t="str">
        <f>IF($L1503="","",INDEX($A$8:$A$5007,$L1503))</f>
        <v/>
      </c>
      <c r="N1503" s="31" t="str">
        <f>IF($L1503="","",INDEX($B$8:$B$5007,$L1503))</f>
        <v/>
      </c>
      <c r="O1503" s="32" t="str">
        <f>IF($M1503="","",IF($K1503-$M1503&gt;7,"",IF($M1503&lt;=$A1503,"",IF(OR($B1503&lt;=0,$N1503&lt;=0),"",($N1503/$B1503)^(365/($M1503-$A1503))-1))))</f>
        <v/>
      </c>
      <c r="P1503" s="31" t="str">
        <f>IF($B1503="","",IF($P1502="",$B1503,MAX($P1502,$B1503)))</f>
        <v/>
      </c>
      <c r="Q1503" s="32" t="str">
        <f>IF($P1503="","",$B1503/$P1503-1)</f>
        <v/>
      </c>
    </row>
    <row r="1504">
      <c r="A1504" s="11" t="n"/>
      <c r="B1504" s="29" t="n"/>
      <c r="K1504" s="30" t="str">
        <f>IF($A1504="","",EDATE($A1504,12*$E$4))</f>
        <v/>
      </c>
      <c r="L1504" s="19" t="str">
        <f>IF($K1504="","",IF($K1504&gt;MAX($A$8:$A$5007),"",IFERROR(MATCH($K1504,$A$8:$A$5007,1),"")))</f>
        <v/>
      </c>
      <c r="M1504" s="30" t="str">
        <f>IF($L1504="","",INDEX($A$8:$A$5007,$L1504))</f>
        <v/>
      </c>
      <c r="N1504" s="31" t="str">
        <f>IF($L1504="","",INDEX($B$8:$B$5007,$L1504))</f>
        <v/>
      </c>
      <c r="O1504" s="32" t="str">
        <f>IF($M1504="","",IF($K1504-$M1504&gt;7,"",IF($M1504&lt;=$A1504,"",IF(OR($B1504&lt;=0,$N1504&lt;=0),"",($N1504/$B1504)^(365/($M1504-$A1504))-1))))</f>
        <v/>
      </c>
      <c r="P1504" s="31" t="str">
        <f>IF($B1504="","",IF($P1503="",$B1504,MAX($P1503,$B1504)))</f>
        <v/>
      </c>
      <c r="Q1504" s="32" t="str">
        <f>IF($P1504="","",$B1504/$P1504-1)</f>
        <v/>
      </c>
    </row>
    <row r="1505">
      <c r="A1505" s="11" t="n"/>
      <c r="B1505" s="29" t="n"/>
      <c r="K1505" s="30" t="str">
        <f>IF($A1505="","",EDATE($A1505,12*$E$4))</f>
        <v/>
      </c>
      <c r="L1505" s="19" t="str">
        <f>IF($K1505="","",IF($K1505&gt;MAX($A$8:$A$5007),"",IFERROR(MATCH($K1505,$A$8:$A$5007,1),"")))</f>
        <v/>
      </c>
      <c r="M1505" s="30" t="str">
        <f>IF($L1505="","",INDEX($A$8:$A$5007,$L1505))</f>
        <v/>
      </c>
      <c r="N1505" s="31" t="str">
        <f>IF($L1505="","",INDEX($B$8:$B$5007,$L1505))</f>
        <v/>
      </c>
      <c r="O1505" s="32" t="str">
        <f>IF($M1505="","",IF($K1505-$M1505&gt;7,"",IF($M1505&lt;=$A1505,"",IF(OR($B1505&lt;=0,$N1505&lt;=0),"",($N1505/$B1505)^(365/($M1505-$A1505))-1))))</f>
        <v/>
      </c>
      <c r="P1505" s="31" t="str">
        <f>IF($B1505="","",IF($P1504="",$B1505,MAX($P1504,$B1505)))</f>
        <v/>
      </c>
      <c r="Q1505" s="32" t="str">
        <f>IF($P1505="","",$B1505/$P1505-1)</f>
        <v/>
      </c>
    </row>
    <row r="1506">
      <c r="A1506" s="11" t="n"/>
      <c r="B1506" s="29" t="n"/>
      <c r="K1506" s="30" t="str">
        <f>IF($A1506="","",EDATE($A1506,12*$E$4))</f>
        <v/>
      </c>
      <c r="L1506" s="19" t="str">
        <f>IF($K1506="","",IF($K1506&gt;MAX($A$8:$A$5007),"",IFERROR(MATCH($K1506,$A$8:$A$5007,1),"")))</f>
        <v/>
      </c>
      <c r="M1506" s="30" t="str">
        <f>IF($L1506="","",INDEX($A$8:$A$5007,$L1506))</f>
        <v/>
      </c>
      <c r="N1506" s="31" t="str">
        <f>IF($L1506="","",INDEX($B$8:$B$5007,$L1506))</f>
        <v/>
      </c>
      <c r="O1506" s="32" t="str">
        <f>IF($M1506="","",IF($K1506-$M1506&gt;7,"",IF($M1506&lt;=$A1506,"",IF(OR($B1506&lt;=0,$N1506&lt;=0),"",($N1506/$B1506)^(365/($M1506-$A1506))-1))))</f>
        <v/>
      </c>
      <c r="P1506" s="31" t="str">
        <f>IF($B1506="","",IF($P1505="",$B1506,MAX($P1505,$B1506)))</f>
        <v/>
      </c>
      <c r="Q1506" s="32" t="str">
        <f>IF($P1506="","",$B1506/$P1506-1)</f>
        <v/>
      </c>
    </row>
    <row r="1507">
      <c r="A1507" s="11" t="n"/>
      <c r="B1507" s="29" t="n"/>
      <c r="K1507" s="30" t="str">
        <f>IF($A1507="","",EDATE($A1507,12*$E$4))</f>
        <v/>
      </c>
      <c r="L1507" s="19" t="str">
        <f>IF($K1507="","",IF($K1507&gt;MAX($A$8:$A$5007),"",IFERROR(MATCH($K1507,$A$8:$A$5007,1),"")))</f>
        <v/>
      </c>
      <c r="M1507" s="30" t="str">
        <f>IF($L1507="","",INDEX($A$8:$A$5007,$L1507))</f>
        <v/>
      </c>
      <c r="N1507" s="31" t="str">
        <f>IF($L1507="","",INDEX($B$8:$B$5007,$L1507))</f>
        <v/>
      </c>
      <c r="O1507" s="32" t="str">
        <f>IF($M1507="","",IF($K1507-$M1507&gt;7,"",IF($M1507&lt;=$A1507,"",IF(OR($B1507&lt;=0,$N1507&lt;=0),"",($N1507/$B1507)^(365/($M1507-$A1507))-1))))</f>
        <v/>
      </c>
      <c r="P1507" s="31" t="str">
        <f>IF($B1507="","",IF($P1506="",$B1507,MAX($P1506,$B1507)))</f>
        <v/>
      </c>
      <c r="Q1507" s="32" t="str">
        <f>IF($P1507="","",$B1507/$P1507-1)</f>
        <v/>
      </c>
    </row>
    <row r="1508">
      <c r="A1508" s="11" t="n"/>
      <c r="B1508" s="29" t="n"/>
      <c r="K1508" s="30" t="str">
        <f>IF($A1508="","",EDATE($A1508,12*$E$4))</f>
        <v/>
      </c>
      <c r="L1508" s="19" t="str">
        <f>IF($K1508="","",IF($K1508&gt;MAX($A$8:$A$5007),"",IFERROR(MATCH($K1508,$A$8:$A$5007,1),"")))</f>
        <v/>
      </c>
      <c r="M1508" s="30" t="str">
        <f>IF($L1508="","",INDEX($A$8:$A$5007,$L1508))</f>
        <v/>
      </c>
      <c r="N1508" s="31" t="str">
        <f>IF($L1508="","",INDEX($B$8:$B$5007,$L1508))</f>
        <v/>
      </c>
      <c r="O1508" s="32" t="str">
        <f>IF($M1508="","",IF($K1508-$M1508&gt;7,"",IF($M1508&lt;=$A1508,"",IF(OR($B1508&lt;=0,$N1508&lt;=0),"",($N1508/$B1508)^(365/($M1508-$A1508))-1))))</f>
        <v/>
      </c>
      <c r="P1508" s="31" t="str">
        <f>IF($B1508="","",IF($P1507="",$B1508,MAX($P1507,$B1508)))</f>
        <v/>
      </c>
      <c r="Q1508" s="32" t="str">
        <f>IF($P1508="","",$B1508/$P1508-1)</f>
        <v/>
      </c>
    </row>
    <row r="1509">
      <c r="A1509" s="11" t="n"/>
      <c r="B1509" s="29" t="n"/>
      <c r="K1509" s="30" t="str">
        <f>IF($A1509="","",EDATE($A1509,12*$E$4))</f>
        <v/>
      </c>
      <c r="L1509" s="19" t="str">
        <f>IF($K1509="","",IF($K1509&gt;MAX($A$8:$A$5007),"",IFERROR(MATCH($K1509,$A$8:$A$5007,1),"")))</f>
        <v/>
      </c>
      <c r="M1509" s="30" t="str">
        <f>IF($L1509="","",INDEX($A$8:$A$5007,$L1509))</f>
        <v/>
      </c>
      <c r="N1509" s="31" t="str">
        <f>IF($L1509="","",INDEX($B$8:$B$5007,$L1509))</f>
        <v/>
      </c>
      <c r="O1509" s="32" t="str">
        <f>IF($M1509="","",IF($K1509-$M1509&gt;7,"",IF($M1509&lt;=$A1509,"",IF(OR($B1509&lt;=0,$N1509&lt;=0),"",($N1509/$B1509)^(365/($M1509-$A1509))-1))))</f>
        <v/>
      </c>
      <c r="P1509" s="31" t="str">
        <f>IF($B1509="","",IF($P1508="",$B1509,MAX($P1508,$B1509)))</f>
        <v/>
      </c>
      <c r="Q1509" s="32" t="str">
        <f>IF($P1509="","",$B1509/$P1509-1)</f>
        <v/>
      </c>
    </row>
    <row r="1510">
      <c r="A1510" s="11" t="n"/>
      <c r="B1510" s="29" t="n"/>
      <c r="K1510" s="30" t="str">
        <f>IF($A1510="","",EDATE($A1510,12*$E$4))</f>
        <v/>
      </c>
      <c r="L1510" s="19" t="str">
        <f>IF($K1510="","",IF($K1510&gt;MAX($A$8:$A$5007),"",IFERROR(MATCH($K1510,$A$8:$A$5007,1),"")))</f>
        <v/>
      </c>
      <c r="M1510" s="30" t="str">
        <f>IF($L1510="","",INDEX($A$8:$A$5007,$L1510))</f>
        <v/>
      </c>
      <c r="N1510" s="31" t="str">
        <f>IF($L1510="","",INDEX($B$8:$B$5007,$L1510))</f>
        <v/>
      </c>
      <c r="O1510" s="32" t="str">
        <f>IF($M1510="","",IF($K1510-$M1510&gt;7,"",IF($M1510&lt;=$A1510,"",IF(OR($B1510&lt;=0,$N1510&lt;=0),"",($N1510/$B1510)^(365/($M1510-$A1510))-1))))</f>
        <v/>
      </c>
      <c r="P1510" s="31" t="str">
        <f>IF($B1510="","",IF($P1509="",$B1510,MAX($P1509,$B1510)))</f>
        <v/>
      </c>
      <c r="Q1510" s="32" t="str">
        <f>IF($P1510="","",$B1510/$P1510-1)</f>
        <v/>
      </c>
    </row>
    <row r="1511">
      <c r="A1511" s="11" t="n"/>
      <c r="B1511" s="29" t="n"/>
      <c r="K1511" s="30" t="str">
        <f>IF($A1511="","",EDATE($A1511,12*$E$4))</f>
        <v/>
      </c>
      <c r="L1511" s="19" t="str">
        <f>IF($K1511="","",IF($K1511&gt;MAX($A$8:$A$5007),"",IFERROR(MATCH($K1511,$A$8:$A$5007,1),"")))</f>
        <v/>
      </c>
      <c r="M1511" s="30" t="str">
        <f>IF($L1511="","",INDEX($A$8:$A$5007,$L1511))</f>
        <v/>
      </c>
      <c r="N1511" s="31" t="str">
        <f>IF($L1511="","",INDEX($B$8:$B$5007,$L1511))</f>
        <v/>
      </c>
      <c r="O1511" s="32" t="str">
        <f>IF($M1511="","",IF($K1511-$M1511&gt;7,"",IF($M1511&lt;=$A1511,"",IF(OR($B1511&lt;=0,$N1511&lt;=0),"",($N1511/$B1511)^(365/($M1511-$A1511))-1))))</f>
        <v/>
      </c>
      <c r="P1511" s="31" t="str">
        <f>IF($B1511="","",IF($P1510="",$B1511,MAX($P1510,$B1511)))</f>
        <v/>
      </c>
      <c r="Q1511" s="32" t="str">
        <f>IF($P1511="","",$B1511/$P1511-1)</f>
        <v/>
      </c>
    </row>
    <row r="1512">
      <c r="A1512" s="11" t="n"/>
      <c r="B1512" s="29" t="n"/>
      <c r="K1512" s="30" t="str">
        <f>IF($A1512="","",EDATE($A1512,12*$E$4))</f>
        <v/>
      </c>
      <c r="L1512" s="19" t="str">
        <f>IF($K1512="","",IF($K1512&gt;MAX($A$8:$A$5007),"",IFERROR(MATCH($K1512,$A$8:$A$5007,1),"")))</f>
        <v/>
      </c>
      <c r="M1512" s="30" t="str">
        <f>IF($L1512="","",INDEX($A$8:$A$5007,$L1512))</f>
        <v/>
      </c>
      <c r="N1512" s="31" t="str">
        <f>IF($L1512="","",INDEX($B$8:$B$5007,$L1512))</f>
        <v/>
      </c>
      <c r="O1512" s="32" t="str">
        <f>IF($M1512="","",IF($K1512-$M1512&gt;7,"",IF($M1512&lt;=$A1512,"",IF(OR($B1512&lt;=0,$N1512&lt;=0),"",($N1512/$B1512)^(365/($M1512-$A1512))-1))))</f>
        <v/>
      </c>
      <c r="P1512" s="31" t="str">
        <f>IF($B1512="","",IF($P1511="",$B1512,MAX($P1511,$B1512)))</f>
        <v/>
      </c>
      <c r="Q1512" s="32" t="str">
        <f>IF($P1512="","",$B1512/$P1512-1)</f>
        <v/>
      </c>
    </row>
    <row r="1513">
      <c r="A1513" s="11" t="n"/>
      <c r="B1513" s="29" t="n"/>
      <c r="K1513" s="30" t="str">
        <f>IF($A1513="","",EDATE($A1513,12*$E$4))</f>
        <v/>
      </c>
      <c r="L1513" s="19" t="str">
        <f>IF($K1513="","",IF($K1513&gt;MAX($A$8:$A$5007),"",IFERROR(MATCH($K1513,$A$8:$A$5007,1),"")))</f>
        <v/>
      </c>
      <c r="M1513" s="30" t="str">
        <f>IF($L1513="","",INDEX($A$8:$A$5007,$L1513))</f>
        <v/>
      </c>
      <c r="N1513" s="31" t="str">
        <f>IF($L1513="","",INDEX($B$8:$B$5007,$L1513))</f>
        <v/>
      </c>
      <c r="O1513" s="32" t="str">
        <f>IF($M1513="","",IF($K1513-$M1513&gt;7,"",IF($M1513&lt;=$A1513,"",IF(OR($B1513&lt;=0,$N1513&lt;=0),"",($N1513/$B1513)^(365/($M1513-$A1513))-1))))</f>
        <v/>
      </c>
      <c r="P1513" s="31" t="str">
        <f>IF($B1513="","",IF($P1512="",$B1513,MAX($P1512,$B1513)))</f>
        <v/>
      </c>
      <c r="Q1513" s="32" t="str">
        <f>IF($P1513="","",$B1513/$P1513-1)</f>
        <v/>
      </c>
    </row>
    <row r="1514">
      <c r="A1514" s="11" t="n"/>
      <c r="B1514" s="29" t="n"/>
      <c r="K1514" s="30" t="str">
        <f>IF($A1514="","",EDATE($A1514,12*$E$4))</f>
        <v/>
      </c>
      <c r="L1514" s="19" t="str">
        <f>IF($K1514="","",IF($K1514&gt;MAX($A$8:$A$5007),"",IFERROR(MATCH($K1514,$A$8:$A$5007,1),"")))</f>
        <v/>
      </c>
      <c r="M1514" s="30" t="str">
        <f>IF($L1514="","",INDEX($A$8:$A$5007,$L1514))</f>
        <v/>
      </c>
      <c r="N1514" s="31" t="str">
        <f>IF($L1514="","",INDEX($B$8:$B$5007,$L1514))</f>
        <v/>
      </c>
      <c r="O1514" s="32" t="str">
        <f>IF($M1514="","",IF($K1514-$M1514&gt;7,"",IF($M1514&lt;=$A1514,"",IF(OR($B1514&lt;=0,$N1514&lt;=0),"",($N1514/$B1514)^(365/($M1514-$A1514))-1))))</f>
        <v/>
      </c>
      <c r="P1514" s="31" t="str">
        <f>IF($B1514="","",IF($P1513="",$B1514,MAX($P1513,$B1514)))</f>
        <v/>
      </c>
      <c r="Q1514" s="32" t="str">
        <f>IF($P1514="","",$B1514/$P1514-1)</f>
        <v/>
      </c>
    </row>
    <row r="1515">
      <c r="A1515" s="11" t="n"/>
      <c r="B1515" s="29" t="n"/>
      <c r="K1515" s="30" t="str">
        <f>IF($A1515="","",EDATE($A1515,12*$E$4))</f>
        <v/>
      </c>
      <c r="L1515" s="19" t="str">
        <f>IF($K1515="","",IF($K1515&gt;MAX($A$8:$A$5007),"",IFERROR(MATCH($K1515,$A$8:$A$5007,1),"")))</f>
        <v/>
      </c>
      <c r="M1515" s="30" t="str">
        <f>IF($L1515="","",INDEX($A$8:$A$5007,$L1515))</f>
        <v/>
      </c>
      <c r="N1515" s="31" t="str">
        <f>IF($L1515="","",INDEX($B$8:$B$5007,$L1515))</f>
        <v/>
      </c>
      <c r="O1515" s="32" t="str">
        <f>IF($M1515="","",IF($K1515-$M1515&gt;7,"",IF($M1515&lt;=$A1515,"",IF(OR($B1515&lt;=0,$N1515&lt;=0),"",($N1515/$B1515)^(365/($M1515-$A1515))-1))))</f>
        <v/>
      </c>
      <c r="P1515" s="31" t="str">
        <f>IF($B1515="","",IF($P1514="",$B1515,MAX($P1514,$B1515)))</f>
        <v/>
      </c>
      <c r="Q1515" s="32" t="str">
        <f>IF($P1515="","",$B1515/$P1515-1)</f>
        <v/>
      </c>
    </row>
    <row r="1516">
      <c r="A1516" s="11" t="n"/>
      <c r="B1516" s="29" t="n"/>
      <c r="K1516" s="30" t="str">
        <f>IF($A1516="","",EDATE($A1516,12*$E$4))</f>
        <v/>
      </c>
      <c r="L1516" s="19" t="str">
        <f>IF($K1516="","",IF($K1516&gt;MAX($A$8:$A$5007),"",IFERROR(MATCH($K1516,$A$8:$A$5007,1),"")))</f>
        <v/>
      </c>
      <c r="M1516" s="30" t="str">
        <f>IF($L1516="","",INDEX($A$8:$A$5007,$L1516))</f>
        <v/>
      </c>
      <c r="N1516" s="31" t="str">
        <f>IF($L1516="","",INDEX($B$8:$B$5007,$L1516))</f>
        <v/>
      </c>
      <c r="O1516" s="32" t="str">
        <f>IF($M1516="","",IF($K1516-$M1516&gt;7,"",IF($M1516&lt;=$A1516,"",IF(OR($B1516&lt;=0,$N1516&lt;=0),"",($N1516/$B1516)^(365/($M1516-$A1516))-1))))</f>
        <v/>
      </c>
      <c r="P1516" s="31" t="str">
        <f>IF($B1516="","",IF($P1515="",$B1516,MAX($P1515,$B1516)))</f>
        <v/>
      </c>
      <c r="Q1516" s="32" t="str">
        <f>IF($P1516="","",$B1516/$P1516-1)</f>
        <v/>
      </c>
    </row>
    <row r="1517">
      <c r="A1517" s="11" t="n"/>
      <c r="B1517" s="29" t="n"/>
      <c r="K1517" s="30" t="str">
        <f>IF($A1517="","",EDATE($A1517,12*$E$4))</f>
        <v/>
      </c>
      <c r="L1517" s="19" t="str">
        <f>IF($K1517="","",IF($K1517&gt;MAX($A$8:$A$5007),"",IFERROR(MATCH($K1517,$A$8:$A$5007,1),"")))</f>
        <v/>
      </c>
      <c r="M1517" s="30" t="str">
        <f>IF($L1517="","",INDEX($A$8:$A$5007,$L1517))</f>
        <v/>
      </c>
      <c r="N1517" s="31" t="str">
        <f>IF($L1517="","",INDEX($B$8:$B$5007,$L1517))</f>
        <v/>
      </c>
      <c r="O1517" s="32" t="str">
        <f>IF($M1517="","",IF($K1517-$M1517&gt;7,"",IF($M1517&lt;=$A1517,"",IF(OR($B1517&lt;=0,$N1517&lt;=0),"",($N1517/$B1517)^(365/($M1517-$A1517))-1))))</f>
        <v/>
      </c>
      <c r="P1517" s="31" t="str">
        <f>IF($B1517="","",IF($P1516="",$B1517,MAX($P1516,$B1517)))</f>
        <v/>
      </c>
      <c r="Q1517" s="32" t="str">
        <f>IF($P1517="","",$B1517/$P1517-1)</f>
        <v/>
      </c>
    </row>
    <row r="1518">
      <c r="A1518" s="11" t="n"/>
      <c r="B1518" s="29" t="n"/>
      <c r="K1518" s="30" t="str">
        <f>IF($A1518="","",EDATE($A1518,12*$E$4))</f>
        <v/>
      </c>
      <c r="L1518" s="19" t="str">
        <f>IF($K1518="","",IF($K1518&gt;MAX($A$8:$A$5007),"",IFERROR(MATCH($K1518,$A$8:$A$5007,1),"")))</f>
        <v/>
      </c>
      <c r="M1518" s="30" t="str">
        <f>IF($L1518="","",INDEX($A$8:$A$5007,$L1518))</f>
        <v/>
      </c>
      <c r="N1518" s="31" t="str">
        <f>IF($L1518="","",INDEX($B$8:$B$5007,$L1518))</f>
        <v/>
      </c>
      <c r="O1518" s="32" t="str">
        <f>IF($M1518="","",IF($K1518-$M1518&gt;7,"",IF($M1518&lt;=$A1518,"",IF(OR($B1518&lt;=0,$N1518&lt;=0),"",($N1518/$B1518)^(365/($M1518-$A1518))-1))))</f>
        <v/>
      </c>
      <c r="P1518" s="31" t="str">
        <f>IF($B1518="","",IF($P1517="",$B1518,MAX($P1517,$B1518)))</f>
        <v/>
      </c>
      <c r="Q1518" s="32" t="str">
        <f>IF($P1518="","",$B1518/$P1518-1)</f>
        <v/>
      </c>
    </row>
    <row r="1519">
      <c r="A1519" s="11" t="n"/>
      <c r="B1519" s="29" t="n"/>
      <c r="K1519" s="30" t="str">
        <f>IF($A1519="","",EDATE($A1519,12*$E$4))</f>
        <v/>
      </c>
      <c r="L1519" s="19" t="str">
        <f>IF($K1519="","",IF($K1519&gt;MAX($A$8:$A$5007),"",IFERROR(MATCH($K1519,$A$8:$A$5007,1),"")))</f>
        <v/>
      </c>
      <c r="M1519" s="30" t="str">
        <f>IF($L1519="","",INDEX($A$8:$A$5007,$L1519))</f>
        <v/>
      </c>
      <c r="N1519" s="31" t="str">
        <f>IF($L1519="","",INDEX($B$8:$B$5007,$L1519))</f>
        <v/>
      </c>
      <c r="O1519" s="32" t="str">
        <f>IF($M1519="","",IF($K1519-$M1519&gt;7,"",IF($M1519&lt;=$A1519,"",IF(OR($B1519&lt;=0,$N1519&lt;=0),"",($N1519/$B1519)^(365/($M1519-$A1519))-1))))</f>
        <v/>
      </c>
      <c r="P1519" s="31" t="str">
        <f>IF($B1519="","",IF($P1518="",$B1519,MAX($P1518,$B1519)))</f>
        <v/>
      </c>
      <c r="Q1519" s="32" t="str">
        <f>IF($P1519="","",$B1519/$P1519-1)</f>
        <v/>
      </c>
    </row>
    <row r="1520">
      <c r="A1520" s="11" t="n"/>
      <c r="B1520" s="29" t="n"/>
      <c r="K1520" s="30" t="str">
        <f>IF($A1520="","",EDATE($A1520,12*$E$4))</f>
        <v/>
      </c>
      <c r="L1520" s="19" t="str">
        <f>IF($K1520="","",IF($K1520&gt;MAX($A$8:$A$5007),"",IFERROR(MATCH($K1520,$A$8:$A$5007,1),"")))</f>
        <v/>
      </c>
      <c r="M1520" s="30" t="str">
        <f>IF($L1520="","",INDEX($A$8:$A$5007,$L1520))</f>
        <v/>
      </c>
      <c r="N1520" s="31" t="str">
        <f>IF($L1520="","",INDEX($B$8:$B$5007,$L1520))</f>
        <v/>
      </c>
      <c r="O1520" s="32" t="str">
        <f>IF($M1520="","",IF($K1520-$M1520&gt;7,"",IF($M1520&lt;=$A1520,"",IF(OR($B1520&lt;=0,$N1520&lt;=0),"",($N1520/$B1520)^(365/($M1520-$A1520))-1))))</f>
        <v/>
      </c>
      <c r="P1520" s="31" t="str">
        <f>IF($B1520="","",IF($P1519="",$B1520,MAX($P1519,$B1520)))</f>
        <v/>
      </c>
      <c r="Q1520" s="32" t="str">
        <f>IF($P1520="","",$B1520/$P1520-1)</f>
        <v/>
      </c>
    </row>
    <row r="1521">
      <c r="A1521" s="11" t="n"/>
      <c r="B1521" s="29" t="n"/>
      <c r="K1521" s="30" t="str">
        <f>IF($A1521="","",EDATE($A1521,12*$E$4))</f>
        <v/>
      </c>
      <c r="L1521" s="19" t="str">
        <f>IF($K1521="","",IF($K1521&gt;MAX($A$8:$A$5007),"",IFERROR(MATCH($K1521,$A$8:$A$5007,1),"")))</f>
        <v/>
      </c>
      <c r="M1521" s="30" t="str">
        <f>IF($L1521="","",INDEX($A$8:$A$5007,$L1521))</f>
        <v/>
      </c>
      <c r="N1521" s="31" t="str">
        <f>IF($L1521="","",INDEX($B$8:$B$5007,$L1521))</f>
        <v/>
      </c>
      <c r="O1521" s="32" t="str">
        <f>IF($M1521="","",IF($K1521-$M1521&gt;7,"",IF($M1521&lt;=$A1521,"",IF(OR($B1521&lt;=0,$N1521&lt;=0),"",($N1521/$B1521)^(365/($M1521-$A1521))-1))))</f>
        <v/>
      </c>
      <c r="P1521" s="31" t="str">
        <f>IF($B1521="","",IF($P1520="",$B1521,MAX($P1520,$B1521)))</f>
        <v/>
      </c>
      <c r="Q1521" s="32" t="str">
        <f>IF($P1521="","",$B1521/$P1521-1)</f>
        <v/>
      </c>
    </row>
    <row r="1522">
      <c r="A1522" s="11" t="n"/>
      <c r="B1522" s="29" t="n"/>
      <c r="K1522" s="30" t="str">
        <f>IF($A1522="","",EDATE($A1522,12*$E$4))</f>
        <v/>
      </c>
      <c r="L1522" s="19" t="str">
        <f>IF($K1522="","",IF($K1522&gt;MAX($A$8:$A$5007),"",IFERROR(MATCH($K1522,$A$8:$A$5007,1),"")))</f>
        <v/>
      </c>
      <c r="M1522" s="30" t="str">
        <f>IF($L1522="","",INDEX($A$8:$A$5007,$L1522))</f>
        <v/>
      </c>
      <c r="N1522" s="31" t="str">
        <f>IF($L1522="","",INDEX($B$8:$B$5007,$L1522))</f>
        <v/>
      </c>
      <c r="O1522" s="32" t="str">
        <f>IF($M1522="","",IF($K1522-$M1522&gt;7,"",IF($M1522&lt;=$A1522,"",IF(OR($B1522&lt;=0,$N1522&lt;=0),"",($N1522/$B1522)^(365/($M1522-$A1522))-1))))</f>
        <v/>
      </c>
      <c r="P1522" s="31" t="str">
        <f>IF($B1522="","",IF($P1521="",$B1522,MAX($P1521,$B1522)))</f>
        <v/>
      </c>
      <c r="Q1522" s="32" t="str">
        <f>IF($P1522="","",$B1522/$P1522-1)</f>
        <v/>
      </c>
    </row>
    <row r="1523">
      <c r="A1523" s="11" t="n"/>
      <c r="B1523" s="29" t="n"/>
      <c r="K1523" s="30" t="str">
        <f>IF($A1523="","",EDATE($A1523,12*$E$4))</f>
        <v/>
      </c>
      <c r="L1523" s="19" t="str">
        <f>IF($K1523="","",IF($K1523&gt;MAX($A$8:$A$5007),"",IFERROR(MATCH($K1523,$A$8:$A$5007,1),"")))</f>
        <v/>
      </c>
      <c r="M1523" s="30" t="str">
        <f>IF($L1523="","",INDEX($A$8:$A$5007,$L1523))</f>
        <v/>
      </c>
      <c r="N1523" s="31" t="str">
        <f>IF($L1523="","",INDEX($B$8:$B$5007,$L1523))</f>
        <v/>
      </c>
      <c r="O1523" s="32" t="str">
        <f>IF($M1523="","",IF($K1523-$M1523&gt;7,"",IF($M1523&lt;=$A1523,"",IF(OR($B1523&lt;=0,$N1523&lt;=0),"",($N1523/$B1523)^(365/($M1523-$A1523))-1))))</f>
        <v/>
      </c>
      <c r="P1523" s="31" t="str">
        <f>IF($B1523="","",IF($P1522="",$B1523,MAX($P1522,$B1523)))</f>
        <v/>
      </c>
      <c r="Q1523" s="32" t="str">
        <f>IF($P1523="","",$B1523/$P1523-1)</f>
        <v/>
      </c>
    </row>
    <row r="1524">
      <c r="A1524" s="11" t="n"/>
      <c r="B1524" s="29" t="n"/>
      <c r="K1524" s="30" t="str">
        <f>IF($A1524="","",EDATE($A1524,12*$E$4))</f>
        <v/>
      </c>
      <c r="L1524" s="19" t="str">
        <f>IF($K1524="","",IF($K1524&gt;MAX($A$8:$A$5007),"",IFERROR(MATCH($K1524,$A$8:$A$5007,1),"")))</f>
        <v/>
      </c>
      <c r="M1524" s="30" t="str">
        <f>IF($L1524="","",INDEX($A$8:$A$5007,$L1524))</f>
        <v/>
      </c>
      <c r="N1524" s="31" t="str">
        <f>IF($L1524="","",INDEX($B$8:$B$5007,$L1524))</f>
        <v/>
      </c>
      <c r="O1524" s="32" t="str">
        <f>IF($M1524="","",IF($K1524-$M1524&gt;7,"",IF($M1524&lt;=$A1524,"",IF(OR($B1524&lt;=0,$N1524&lt;=0),"",($N1524/$B1524)^(365/($M1524-$A1524))-1))))</f>
        <v/>
      </c>
      <c r="P1524" s="31" t="str">
        <f>IF($B1524="","",IF($P1523="",$B1524,MAX($P1523,$B1524)))</f>
        <v/>
      </c>
      <c r="Q1524" s="32" t="str">
        <f>IF($P1524="","",$B1524/$P1524-1)</f>
        <v/>
      </c>
    </row>
    <row r="1525">
      <c r="A1525" s="11" t="n"/>
      <c r="B1525" s="29" t="n"/>
      <c r="K1525" s="30" t="str">
        <f>IF($A1525="","",EDATE($A1525,12*$E$4))</f>
        <v/>
      </c>
      <c r="L1525" s="19" t="str">
        <f>IF($K1525="","",IF($K1525&gt;MAX($A$8:$A$5007),"",IFERROR(MATCH($K1525,$A$8:$A$5007,1),"")))</f>
        <v/>
      </c>
      <c r="M1525" s="30" t="str">
        <f>IF($L1525="","",INDEX($A$8:$A$5007,$L1525))</f>
        <v/>
      </c>
      <c r="N1525" s="31" t="str">
        <f>IF($L1525="","",INDEX($B$8:$B$5007,$L1525))</f>
        <v/>
      </c>
      <c r="O1525" s="32" t="str">
        <f>IF($M1525="","",IF($K1525-$M1525&gt;7,"",IF($M1525&lt;=$A1525,"",IF(OR($B1525&lt;=0,$N1525&lt;=0),"",($N1525/$B1525)^(365/($M1525-$A1525))-1))))</f>
        <v/>
      </c>
      <c r="P1525" s="31" t="str">
        <f>IF($B1525="","",IF($P1524="",$B1525,MAX($P1524,$B1525)))</f>
        <v/>
      </c>
      <c r="Q1525" s="32" t="str">
        <f>IF($P1525="","",$B1525/$P1525-1)</f>
        <v/>
      </c>
    </row>
    <row r="1526">
      <c r="A1526" s="11" t="n"/>
      <c r="B1526" s="29" t="n"/>
      <c r="K1526" s="30" t="str">
        <f>IF($A1526="","",EDATE($A1526,12*$E$4))</f>
        <v/>
      </c>
      <c r="L1526" s="19" t="str">
        <f>IF($K1526="","",IF($K1526&gt;MAX($A$8:$A$5007),"",IFERROR(MATCH($K1526,$A$8:$A$5007,1),"")))</f>
        <v/>
      </c>
      <c r="M1526" s="30" t="str">
        <f>IF($L1526="","",INDEX($A$8:$A$5007,$L1526))</f>
        <v/>
      </c>
      <c r="N1526" s="31" t="str">
        <f>IF($L1526="","",INDEX($B$8:$B$5007,$L1526))</f>
        <v/>
      </c>
      <c r="O1526" s="32" t="str">
        <f>IF($M1526="","",IF($K1526-$M1526&gt;7,"",IF($M1526&lt;=$A1526,"",IF(OR($B1526&lt;=0,$N1526&lt;=0),"",($N1526/$B1526)^(365/($M1526-$A1526))-1))))</f>
        <v/>
      </c>
      <c r="P1526" s="31" t="str">
        <f>IF($B1526="","",IF($P1525="",$B1526,MAX($P1525,$B1526)))</f>
        <v/>
      </c>
      <c r="Q1526" s="32" t="str">
        <f>IF($P1526="","",$B1526/$P1526-1)</f>
        <v/>
      </c>
    </row>
    <row r="1527">
      <c r="A1527" s="11" t="n"/>
      <c r="B1527" s="29" t="n"/>
      <c r="K1527" s="30" t="str">
        <f>IF($A1527="","",EDATE($A1527,12*$E$4))</f>
        <v/>
      </c>
      <c r="L1527" s="19" t="str">
        <f>IF($K1527="","",IF($K1527&gt;MAX($A$8:$A$5007),"",IFERROR(MATCH($K1527,$A$8:$A$5007,1),"")))</f>
        <v/>
      </c>
      <c r="M1527" s="30" t="str">
        <f>IF($L1527="","",INDEX($A$8:$A$5007,$L1527))</f>
        <v/>
      </c>
      <c r="N1527" s="31" t="str">
        <f>IF($L1527="","",INDEX($B$8:$B$5007,$L1527))</f>
        <v/>
      </c>
      <c r="O1527" s="32" t="str">
        <f>IF($M1527="","",IF($K1527-$M1527&gt;7,"",IF($M1527&lt;=$A1527,"",IF(OR($B1527&lt;=0,$N1527&lt;=0),"",($N1527/$B1527)^(365/($M1527-$A1527))-1))))</f>
        <v/>
      </c>
      <c r="P1527" s="31" t="str">
        <f>IF($B1527="","",IF($P1526="",$B1527,MAX($P1526,$B1527)))</f>
        <v/>
      </c>
      <c r="Q1527" s="32" t="str">
        <f>IF($P1527="","",$B1527/$P1527-1)</f>
        <v/>
      </c>
    </row>
    <row r="1528">
      <c r="A1528" s="11" t="n"/>
      <c r="B1528" s="29" t="n"/>
      <c r="K1528" s="30" t="str">
        <f>IF($A1528="","",EDATE($A1528,12*$E$4))</f>
        <v/>
      </c>
      <c r="L1528" s="19" t="str">
        <f>IF($K1528="","",IF($K1528&gt;MAX($A$8:$A$5007),"",IFERROR(MATCH($K1528,$A$8:$A$5007,1),"")))</f>
        <v/>
      </c>
      <c r="M1528" s="30" t="str">
        <f>IF($L1528="","",INDEX($A$8:$A$5007,$L1528))</f>
        <v/>
      </c>
      <c r="N1528" s="31" t="str">
        <f>IF($L1528="","",INDEX($B$8:$B$5007,$L1528))</f>
        <v/>
      </c>
      <c r="O1528" s="32" t="str">
        <f>IF($M1528="","",IF($K1528-$M1528&gt;7,"",IF($M1528&lt;=$A1528,"",IF(OR($B1528&lt;=0,$N1528&lt;=0),"",($N1528/$B1528)^(365/($M1528-$A1528))-1))))</f>
        <v/>
      </c>
      <c r="P1528" s="31" t="str">
        <f>IF($B1528="","",IF($P1527="",$B1528,MAX($P1527,$B1528)))</f>
        <v/>
      </c>
      <c r="Q1528" s="32" t="str">
        <f>IF($P1528="","",$B1528/$P1528-1)</f>
        <v/>
      </c>
    </row>
    <row r="1529">
      <c r="A1529" s="11" t="n"/>
      <c r="B1529" s="29" t="n"/>
      <c r="K1529" s="30" t="str">
        <f>IF($A1529="","",EDATE($A1529,12*$E$4))</f>
        <v/>
      </c>
      <c r="L1529" s="19" t="str">
        <f>IF($K1529="","",IF($K1529&gt;MAX($A$8:$A$5007),"",IFERROR(MATCH($K1529,$A$8:$A$5007,1),"")))</f>
        <v/>
      </c>
      <c r="M1529" s="30" t="str">
        <f>IF($L1529="","",INDEX($A$8:$A$5007,$L1529))</f>
        <v/>
      </c>
      <c r="N1529" s="31" t="str">
        <f>IF($L1529="","",INDEX($B$8:$B$5007,$L1529))</f>
        <v/>
      </c>
      <c r="O1529" s="32" t="str">
        <f>IF($M1529="","",IF($K1529-$M1529&gt;7,"",IF($M1529&lt;=$A1529,"",IF(OR($B1529&lt;=0,$N1529&lt;=0),"",($N1529/$B1529)^(365/($M1529-$A1529))-1))))</f>
        <v/>
      </c>
      <c r="P1529" s="31" t="str">
        <f>IF($B1529="","",IF($P1528="",$B1529,MAX($P1528,$B1529)))</f>
        <v/>
      </c>
      <c r="Q1529" s="32" t="str">
        <f>IF($P1529="","",$B1529/$P1529-1)</f>
        <v/>
      </c>
    </row>
    <row r="1530">
      <c r="A1530" s="11" t="n"/>
      <c r="B1530" s="29" t="n"/>
      <c r="K1530" s="30" t="str">
        <f>IF($A1530="","",EDATE($A1530,12*$E$4))</f>
        <v/>
      </c>
      <c r="L1530" s="19" t="str">
        <f>IF($K1530="","",IF($K1530&gt;MAX($A$8:$A$5007),"",IFERROR(MATCH($K1530,$A$8:$A$5007,1),"")))</f>
        <v/>
      </c>
      <c r="M1530" s="30" t="str">
        <f>IF($L1530="","",INDEX($A$8:$A$5007,$L1530))</f>
        <v/>
      </c>
      <c r="N1530" s="31" t="str">
        <f>IF($L1530="","",INDEX($B$8:$B$5007,$L1530))</f>
        <v/>
      </c>
      <c r="O1530" s="32" t="str">
        <f>IF($M1530="","",IF($K1530-$M1530&gt;7,"",IF($M1530&lt;=$A1530,"",IF(OR($B1530&lt;=0,$N1530&lt;=0),"",($N1530/$B1530)^(365/($M1530-$A1530))-1))))</f>
        <v/>
      </c>
      <c r="P1530" s="31" t="str">
        <f>IF($B1530="","",IF($P1529="",$B1530,MAX($P1529,$B1530)))</f>
        <v/>
      </c>
      <c r="Q1530" s="32" t="str">
        <f>IF($P1530="","",$B1530/$P1530-1)</f>
        <v/>
      </c>
    </row>
    <row r="1531">
      <c r="A1531" s="11" t="n"/>
      <c r="B1531" s="29" t="n"/>
      <c r="K1531" s="30" t="str">
        <f>IF($A1531="","",EDATE($A1531,12*$E$4))</f>
        <v/>
      </c>
      <c r="L1531" s="19" t="str">
        <f>IF($K1531="","",IF($K1531&gt;MAX($A$8:$A$5007),"",IFERROR(MATCH($K1531,$A$8:$A$5007,1),"")))</f>
        <v/>
      </c>
      <c r="M1531" s="30" t="str">
        <f>IF($L1531="","",INDEX($A$8:$A$5007,$L1531))</f>
        <v/>
      </c>
      <c r="N1531" s="31" t="str">
        <f>IF($L1531="","",INDEX($B$8:$B$5007,$L1531))</f>
        <v/>
      </c>
      <c r="O1531" s="32" t="str">
        <f>IF($M1531="","",IF($K1531-$M1531&gt;7,"",IF($M1531&lt;=$A1531,"",IF(OR($B1531&lt;=0,$N1531&lt;=0),"",($N1531/$B1531)^(365/($M1531-$A1531))-1))))</f>
        <v/>
      </c>
      <c r="P1531" s="31" t="str">
        <f>IF($B1531="","",IF($P1530="",$B1531,MAX($P1530,$B1531)))</f>
        <v/>
      </c>
      <c r="Q1531" s="32" t="str">
        <f>IF($P1531="","",$B1531/$P1531-1)</f>
        <v/>
      </c>
    </row>
    <row r="1532">
      <c r="A1532" s="11" t="n"/>
      <c r="B1532" s="29" t="n"/>
      <c r="K1532" s="30" t="str">
        <f>IF($A1532="","",EDATE($A1532,12*$E$4))</f>
        <v/>
      </c>
      <c r="L1532" s="19" t="str">
        <f>IF($K1532="","",IF($K1532&gt;MAX($A$8:$A$5007),"",IFERROR(MATCH($K1532,$A$8:$A$5007,1),"")))</f>
        <v/>
      </c>
      <c r="M1532" s="30" t="str">
        <f>IF($L1532="","",INDEX($A$8:$A$5007,$L1532))</f>
        <v/>
      </c>
      <c r="N1532" s="31" t="str">
        <f>IF($L1532="","",INDEX($B$8:$B$5007,$L1532))</f>
        <v/>
      </c>
      <c r="O1532" s="32" t="str">
        <f>IF($M1532="","",IF($K1532-$M1532&gt;7,"",IF($M1532&lt;=$A1532,"",IF(OR($B1532&lt;=0,$N1532&lt;=0),"",($N1532/$B1532)^(365/($M1532-$A1532))-1))))</f>
        <v/>
      </c>
      <c r="P1532" s="31" t="str">
        <f>IF($B1532="","",IF($P1531="",$B1532,MAX($P1531,$B1532)))</f>
        <v/>
      </c>
      <c r="Q1532" s="32" t="str">
        <f>IF($P1532="","",$B1532/$P1532-1)</f>
        <v/>
      </c>
    </row>
    <row r="1533">
      <c r="A1533" s="11" t="n"/>
      <c r="B1533" s="29" t="n"/>
      <c r="K1533" s="30" t="str">
        <f>IF($A1533="","",EDATE($A1533,12*$E$4))</f>
        <v/>
      </c>
      <c r="L1533" s="19" t="str">
        <f>IF($K1533="","",IF($K1533&gt;MAX($A$8:$A$5007),"",IFERROR(MATCH($K1533,$A$8:$A$5007,1),"")))</f>
        <v/>
      </c>
      <c r="M1533" s="30" t="str">
        <f>IF($L1533="","",INDEX($A$8:$A$5007,$L1533))</f>
        <v/>
      </c>
      <c r="N1533" s="31" t="str">
        <f>IF($L1533="","",INDEX($B$8:$B$5007,$L1533))</f>
        <v/>
      </c>
      <c r="O1533" s="32" t="str">
        <f>IF($M1533="","",IF($K1533-$M1533&gt;7,"",IF($M1533&lt;=$A1533,"",IF(OR($B1533&lt;=0,$N1533&lt;=0),"",($N1533/$B1533)^(365/($M1533-$A1533))-1))))</f>
        <v/>
      </c>
      <c r="P1533" s="31" t="str">
        <f>IF($B1533="","",IF($P1532="",$B1533,MAX($P1532,$B1533)))</f>
        <v/>
      </c>
      <c r="Q1533" s="32" t="str">
        <f>IF($P1533="","",$B1533/$P1533-1)</f>
        <v/>
      </c>
    </row>
    <row r="1534">
      <c r="A1534" s="11" t="n"/>
      <c r="B1534" s="29" t="n"/>
      <c r="K1534" s="30" t="str">
        <f>IF($A1534="","",EDATE($A1534,12*$E$4))</f>
        <v/>
      </c>
      <c r="L1534" s="19" t="str">
        <f>IF($K1534="","",IF($K1534&gt;MAX($A$8:$A$5007),"",IFERROR(MATCH($K1534,$A$8:$A$5007,1),"")))</f>
        <v/>
      </c>
      <c r="M1534" s="30" t="str">
        <f>IF($L1534="","",INDEX($A$8:$A$5007,$L1534))</f>
        <v/>
      </c>
      <c r="N1534" s="31" t="str">
        <f>IF($L1534="","",INDEX($B$8:$B$5007,$L1534))</f>
        <v/>
      </c>
      <c r="O1534" s="32" t="str">
        <f>IF($M1534="","",IF($K1534-$M1534&gt;7,"",IF($M1534&lt;=$A1534,"",IF(OR($B1534&lt;=0,$N1534&lt;=0),"",($N1534/$B1534)^(365/($M1534-$A1534))-1))))</f>
        <v/>
      </c>
      <c r="P1534" s="31" t="str">
        <f>IF($B1534="","",IF($P1533="",$B1534,MAX($P1533,$B1534)))</f>
        <v/>
      </c>
      <c r="Q1534" s="32" t="str">
        <f>IF($P1534="","",$B1534/$P1534-1)</f>
        <v/>
      </c>
    </row>
    <row r="1535">
      <c r="A1535" s="11" t="n"/>
      <c r="B1535" s="29" t="n"/>
      <c r="K1535" s="30" t="str">
        <f>IF($A1535="","",EDATE($A1535,12*$E$4))</f>
        <v/>
      </c>
      <c r="L1535" s="19" t="str">
        <f>IF($K1535="","",IF($K1535&gt;MAX($A$8:$A$5007),"",IFERROR(MATCH($K1535,$A$8:$A$5007,1),"")))</f>
        <v/>
      </c>
      <c r="M1535" s="30" t="str">
        <f>IF($L1535="","",INDEX($A$8:$A$5007,$L1535))</f>
        <v/>
      </c>
      <c r="N1535" s="31" t="str">
        <f>IF($L1535="","",INDEX($B$8:$B$5007,$L1535))</f>
        <v/>
      </c>
      <c r="O1535" s="32" t="str">
        <f>IF($M1535="","",IF($K1535-$M1535&gt;7,"",IF($M1535&lt;=$A1535,"",IF(OR($B1535&lt;=0,$N1535&lt;=0),"",($N1535/$B1535)^(365/($M1535-$A1535))-1))))</f>
        <v/>
      </c>
      <c r="P1535" s="31" t="str">
        <f>IF($B1535="","",IF($P1534="",$B1535,MAX($P1534,$B1535)))</f>
        <v/>
      </c>
      <c r="Q1535" s="32" t="str">
        <f>IF($P1535="","",$B1535/$P1535-1)</f>
        <v/>
      </c>
    </row>
    <row r="1536">
      <c r="A1536" s="11" t="n"/>
      <c r="B1536" s="29" t="n"/>
      <c r="K1536" s="30" t="str">
        <f>IF($A1536="","",EDATE($A1536,12*$E$4))</f>
        <v/>
      </c>
      <c r="L1536" s="19" t="str">
        <f>IF($K1536="","",IF($K1536&gt;MAX($A$8:$A$5007),"",IFERROR(MATCH($K1536,$A$8:$A$5007,1),"")))</f>
        <v/>
      </c>
      <c r="M1536" s="30" t="str">
        <f>IF($L1536="","",INDEX($A$8:$A$5007,$L1536))</f>
        <v/>
      </c>
      <c r="N1536" s="31" t="str">
        <f>IF($L1536="","",INDEX($B$8:$B$5007,$L1536))</f>
        <v/>
      </c>
      <c r="O1536" s="32" t="str">
        <f>IF($M1536="","",IF($K1536-$M1536&gt;7,"",IF($M1536&lt;=$A1536,"",IF(OR($B1536&lt;=0,$N1536&lt;=0),"",($N1536/$B1536)^(365/($M1536-$A1536))-1))))</f>
        <v/>
      </c>
      <c r="P1536" s="31" t="str">
        <f>IF($B1536="","",IF($P1535="",$B1536,MAX($P1535,$B1536)))</f>
        <v/>
      </c>
      <c r="Q1536" s="32" t="str">
        <f>IF($P1536="","",$B1536/$P1536-1)</f>
        <v/>
      </c>
    </row>
    <row r="1537">
      <c r="A1537" s="11" t="n"/>
      <c r="B1537" s="29" t="n"/>
      <c r="K1537" s="30" t="str">
        <f>IF($A1537="","",EDATE($A1537,12*$E$4))</f>
        <v/>
      </c>
      <c r="L1537" s="19" t="str">
        <f>IF($K1537="","",IF($K1537&gt;MAX($A$8:$A$5007),"",IFERROR(MATCH($K1537,$A$8:$A$5007,1),"")))</f>
        <v/>
      </c>
      <c r="M1537" s="30" t="str">
        <f>IF($L1537="","",INDEX($A$8:$A$5007,$L1537))</f>
        <v/>
      </c>
      <c r="N1537" s="31" t="str">
        <f>IF($L1537="","",INDEX($B$8:$B$5007,$L1537))</f>
        <v/>
      </c>
      <c r="O1537" s="32" t="str">
        <f>IF($M1537="","",IF($K1537-$M1537&gt;7,"",IF($M1537&lt;=$A1537,"",IF(OR($B1537&lt;=0,$N1537&lt;=0),"",($N1537/$B1537)^(365/($M1537-$A1537))-1))))</f>
        <v/>
      </c>
      <c r="P1537" s="31" t="str">
        <f>IF($B1537="","",IF($P1536="",$B1537,MAX($P1536,$B1537)))</f>
        <v/>
      </c>
      <c r="Q1537" s="32" t="str">
        <f>IF($P1537="","",$B1537/$P1537-1)</f>
        <v/>
      </c>
    </row>
    <row r="1538">
      <c r="A1538" s="11" t="n"/>
      <c r="B1538" s="29" t="n"/>
      <c r="K1538" s="30" t="str">
        <f>IF($A1538="","",EDATE($A1538,12*$E$4))</f>
        <v/>
      </c>
      <c r="L1538" s="19" t="str">
        <f>IF($K1538="","",IF($K1538&gt;MAX($A$8:$A$5007),"",IFERROR(MATCH($K1538,$A$8:$A$5007,1),"")))</f>
        <v/>
      </c>
      <c r="M1538" s="30" t="str">
        <f>IF($L1538="","",INDEX($A$8:$A$5007,$L1538))</f>
        <v/>
      </c>
      <c r="N1538" s="31" t="str">
        <f>IF($L1538="","",INDEX($B$8:$B$5007,$L1538))</f>
        <v/>
      </c>
      <c r="O1538" s="32" t="str">
        <f>IF($M1538="","",IF($K1538-$M1538&gt;7,"",IF($M1538&lt;=$A1538,"",IF(OR($B1538&lt;=0,$N1538&lt;=0),"",($N1538/$B1538)^(365/($M1538-$A1538))-1))))</f>
        <v/>
      </c>
      <c r="P1538" s="31" t="str">
        <f>IF($B1538="","",IF($P1537="",$B1538,MAX($P1537,$B1538)))</f>
        <v/>
      </c>
      <c r="Q1538" s="32" t="str">
        <f>IF($P1538="","",$B1538/$P1538-1)</f>
        <v/>
      </c>
    </row>
    <row r="1539">
      <c r="A1539" s="11" t="n"/>
      <c r="B1539" s="29" t="n"/>
      <c r="K1539" s="30" t="str">
        <f>IF($A1539="","",EDATE($A1539,12*$E$4))</f>
        <v/>
      </c>
      <c r="L1539" s="19" t="str">
        <f>IF($K1539="","",IF($K1539&gt;MAX($A$8:$A$5007),"",IFERROR(MATCH($K1539,$A$8:$A$5007,1),"")))</f>
        <v/>
      </c>
      <c r="M1539" s="30" t="str">
        <f>IF($L1539="","",INDEX($A$8:$A$5007,$L1539))</f>
        <v/>
      </c>
      <c r="N1539" s="31" t="str">
        <f>IF($L1539="","",INDEX($B$8:$B$5007,$L1539))</f>
        <v/>
      </c>
      <c r="O1539" s="32" t="str">
        <f>IF($M1539="","",IF($K1539-$M1539&gt;7,"",IF($M1539&lt;=$A1539,"",IF(OR($B1539&lt;=0,$N1539&lt;=0),"",($N1539/$B1539)^(365/($M1539-$A1539))-1))))</f>
        <v/>
      </c>
      <c r="P1539" s="31" t="str">
        <f>IF($B1539="","",IF($P1538="",$B1539,MAX($P1538,$B1539)))</f>
        <v/>
      </c>
      <c r="Q1539" s="32" t="str">
        <f>IF($P1539="","",$B1539/$P1539-1)</f>
        <v/>
      </c>
    </row>
    <row r="1540">
      <c r="A1540" s="11" t="n"/>
      <c r="B1540" s="29" t="n"/>
      <c r="K1540" s="30" t="str">
        <f>IF($A1540="","",EDATE($A1540,12*$E$4))</f>
        <v/>
      </c>
      <c r="L1540" s="19" t="str">
        <f>IF($K1540="","",IF($K1540&gt;MAX($A$8:$A$5007),"",IFERROR(MATCH($K1540,$A$8:$A$5007,1),"")))</f>
        <v/>
      </c>
      <c r="M1540" s="30" t="str">
        <f>IF($L1540="","",INDEX($A$8:$A$5007,$L1540))</f>
        <v/>
      </c>
      <c r="N1540" s="31" t="str">
        <f>IF($L1540="","",INDEX($B$8:$B$5007,$L1540))</f>
        <v/>
      </c>
      <c r="O1540" s="32" t="str">
        <f>IF($M1540="","",IF($K1540-$M1540&gt;7,"",IF($M1540&lt;=$A1540,"",IF(OR($B1540&lt;=0,$N1540&lt;=0),"",($N1540/$B1540)^(365/($M1540-$A1540))-1))))</f>
        <v/>
      </c>
      <c r="P1540" s="31" t="str">
        <f>IF($B1540="","",IF($P1539="",$B1540,MAX($P1539,$B1540)))</f>
        <v/>
      </c>
      <c r="Q1540" s="32" t="str">
        <f>IF($P1540="","",$B1540/$P1540-1)</f>
        <v/>
      </c>
    </row>
    <row r="1541">
      <c r="A1541" s="11" t="n"/>
      <c r="B1541" s="29" t="n"/>
      <c r="K1541" s="30" t="str">
        <f>IF($A1541="","",EDATE($A1541,12*$E$4))</f>
        <v/>
      </c>
      <c r="L1541" s="19" t="str">
        <f>IF($K1541="","",IF($K1541&gt;MAX($A$8:$A$5007),"",IFERROR(MATCH($K1541,$A$8:$A$5007,1),"")))</f>
        <v/>
      </c>
      <c r="M1541" s="30" t="str">
        <f>IF($L1541="","",INDEX($A$8:$A$5007,$L1541))</f>
        <v/>
      </c>
      <c r="N1541" s="31" t="str">
        <f>IF($L1541="","",INDEX($B$8:$B$5007,$L1541))</f>
        <v/>
      </c>
      <c r="O1541" s="32" t="str">
        <f>IF($M1541="","",IF($K1541-$M1541&gt;7,"",IF($M1541&lt;=$A1541,"",IF(OR($B1541&lt;=0,$N1541&lt;=0),"",($N1541/$B1541)^(365/($M1541-$A1541))-1))))</f>
        <v/>
      </c>
      <c r="P1541" s="31" t="str">
        <f>IF($B1541="","",IF($P1540="",$B1541,MAX($P1540,$B1541)))</f>
        <v/>
      </c>
      <c r="Q1541" s="32" t="str">
        <f>IF($P1541="","",$B1541/$P1541-1)</f>
        <v/>
      </c>
    </row>
    <row r="1542">
      <c r="A1542" s="11" t="n"/>
      <c r="B1542" s="29" t="n"/>
      <c r="K1542" s="30" t="str">
        <f>IF($A1542="","",EDATE($A1542,12*$E$4))</f>
        <v/>
      </c>
      <c r="L1542" s="19" t="str">
        <f>IF($K1542="","",IF($K1542&gt;MAX($A$8:$A$5007),"",IFERROR(MATCH($K1542,$A$8:$A$5007,1),"")))</f>
        <v/>
      </c>
      <c r="M1542" s="30" t="str">
        <f>IF($L1542="","",INDEX($A$8:$A$5007,$L1542))</f>
        <v/>
      </c>
      <c r="N1542" s="31" t="str">
        <f>IF($L1542="","",INDEX($B$8:$B$5007,$L1542))</f>
        <v/>
      </c>
      <c r="O1542" s="32" t="str">
        <f>IF($M1542="","",IF($K1542-$M1542&gt;7,"",IF($M1542&lt;=$A1542,"",IF(OR($B1542&lt;=0,$N1542&lt;=0),"",($N1542/$B1542)^(365/($M1542-$A1542))-1))))</f>
        <v/>
      </c>
      <c r="P1542" s="31" t="str">
        <f>IF($B1542="","",IF($P1541="",$B1542,MAX($P1541,$B1542)))</f>
        <v/>
      </c>
      <c r="Q1542" s="32" t="str">
        <f>IF($P1542="","",$B1542/$P1542-1)</f>
        <v/>
      </c>
    </row>
    <row r="1543">
      <c r="A1543" s="11" t="n"/>
      <c r="B1543" s="29" t="n"/>
      <c r="K1543" s="30" t="str">
        <f>IF($A1543="","",EDATE($A1543,12*$E$4))</f>
        <v/>
      </c>
      <c r="L1543" s="19" t="str">
        <f>IF($K1543="","",IF($K1543&gt;MAX($A$8:$A$5007),"",IFERROR(MATCH($K1543,$A$8:$A$5007,1),"")))</f>
        <v/>
      </c>
      <c r="M1543" s="30" t="str">
        <f>IF($L1543="","",INDEX($A$8:$A$5007,$L1543))</f>
        <v/>
      </c>
      <c r="N1543" s="31" t="str">
        <f>IF($L1543="","",INDEX($B$8:$B$5007,$L1543))</f>
        <v/>
      </c>
      <c r="O1543" s="32" t="str">
        <f>IF($M1543="","",IF($K1543-$M1543&gt;7,"",IF($M1543&lt;=$A1543,"",IF(OR($B1543&lt;=0,$N1543&lt;=0),"",($N1543/$B1543)^(365/($M1543-$A1543))-1))))</f>
        <v/>
      </c>
      <c r="P1543" s="31" t="str">
        <f>IF($B1543="","",IF($P1542="",$B1543,MAX($P1542,$B1543)))</f>
        <v/>
      </c>
      <c r="Q1543" s="32" t="str">
        <f>IF($P1543="","",$B1543/$P1543-1)</f>
        <v/>
      </c>
    </row>
    <row r="1544">
      <c r="A1544" s="11" t="n"/>
      <c r="B1544" s="29" t="n"/>
      <c r="K1544" s="30" t="str">
        <f>IF($A1544="","",EDATE($A1544,12*$E$4))</f>
        <v/>
      </c>
      <c r="L1544" s="19" t="str">
        <f>IF($K1544="","",IF($K1544&gt;MAX($A$8:$A$5007),"",IFERROR(MATCH($K1544,$A$8:$A$5007,1),"")))</f>
        <v/>
      </c>
      <c r="M1544" s="30" t="str">
        <f>IF($L1544="","",INDEX($A$8:$A$5007,$L1544))</f>
        <v/>
      </c>
      <c r="N1544" s="31" t="str">
        <f>IF($L1544="","",INDEX($B$8:$B$5007,$L1544))</f>
        <v/>
      </c>
      <c r="O1544" s="32" t="str">
        <f>IF($M1544="","",IF($K1544-$M1544&gt;7,"",IF($M1544&lt;=$A1544,"",IF(OR($B1544&lt;=0,$N1544&lt;=0),"",($N1544/$B1544)^(365/($M1544-$A1544))-1))))</f>
        <v/>
      </c>
      <c r="P1544" s="31" t="str">
        <f>IF($B1544="","",IF($P1543="",$B1544,MAX($P1543,$B1544)))</f>
        <v/>
      </c>
      <c r="Q1544" s="32" t="str">
        <f>IF($P1544="","",$B1544/$P1544-1)</f>
        <v/>
      </c>
    </row>
    <row r="1545">
      <c r="A1545" s="11" t="n"/>
      <c r="B1545" s="29" t="n"/>
      <c r="K1545" s="30" t="str">
        <f>IF($A1545="","",EDATE($A1545,12*$E$4))</f>
        <v/>
      </c>
      <c r="L1545" s="19" t="str">
        <f>IF($K1545="","",IF($K1545&gt;MAX($A$8:$A$5007),"",IFERROR(MATCH($K1545,$A$8:$A$5007,1),"")))</f>
        <v/>
      </c>
      <c r="M1545" s="30" t="str">
        <f>IF($L1545="","",INDEX($A$8:$A$5007,$L1545))</f>
        <v/>
      </c>
      <c r="N1545" s="31" t="str">
        <f>IF($L1545="","",INDEX($B$8:$B$5007,$L1545))</f>
        <v/>
      </c>
      <c r="O1545" s="32" t="str">
        <f>IF($M1545="","",IF($K1545-$M1545&gt;7,"",IF($M1545&lt;=$A1545,"",IF(OR($B1545&lt;=0,$N1545&lt;=0),"",($N1545/$B1545)^(365/($M1545-$A1545))-1))))</f>
        <v/>
      </c>
      <c r="P1545" s="31" t="str">
        <f>IF($B1545="","",IF($P1544="",$B1545,MAX($P1544,$B1545)))</f>
        <v/>
      </c>
      <c r="Q1545" s="32" t="str">
        <f>IF($P1545="","",$B1545/$P1545-1)</f>
        <v/>
      </c>
    </row>
    <row r="1546">
      <c r="A1546" s="11" t="n"/>
      <c r="B1546" s="29" t="n"/>
      <c r="K1546" s="30" t="str">
        <f>IF($A1546="","",EDATE($A1546,12*$E$4))</f>
        <v/>
      </c>
      <c r="L1546" s="19" t="str">
        <f>IF($K1546="","",IF($K1546&gt;MAX($A$8:$A$5007),"",IFERROR(MATCH($K1546,$A$8:$A$5007,1),"")))</f>
        <v/>
      </c>
      <c r="M1546" s="30" t="str">
        <f>IF($L1546="","",INDEX($A$8:$A$5007,$L1546))</f>
        <v/>
      </c>
      <c r="N1546" s="31" t="str">
        <f>IF($L1546="","",INDEX($B$8:$B$5007,$L1546))</f>
        <v/>
      </c>
      <c r="O1546" s="32" t="str">
        <f>IF($M1546="","",IF($K1546-$M1546&gt;7,"",IF($M1546&lt;=$A1546,"",IF(OR($B1546&lt;=0,$N1546&lt;=0),"",($N1546/$B1546)^(365/($M1546-$A1546))-1))))</f>
        <v/>
      </c>
      <c r="P1546" s="31" t="str">
        <f>IF($B1546="","",IF($P1545="",$B1546,MAX($P1545,$B1546)))</f>
        <v/>
      </c>
      <c r="Q1546" s="32" t="str">
        <f>IF($P1546="","",$B1546/$P1546-1)</f>
        <v/>
      </c>
    </row>
    <row r="1547">
      <c r="A1547" s="11" t="n"/>
      <c r="B1547" s="29" t="n"/>
      <c r="K1547" s="30" t="str">
        <f>IF($A1547="","",EDATE($A1547,12*$E$4))</f>
        <v/>
      </c>
      <c r="L1547" s="19" t="str">
        <f>IF($K1547="","",IF($K1547&gt;MAX($A$8:$A$5007),"",IFERROR(MATCH($K1547,$A$8:$A$5007,1),"")))</f>
        <v/>
      </c>
      <c r="M1547" s="30" t="str">
        <f>IF($L1547="","",INDEX($A$8:$A$5007,$L1547))</f>
        <v/>
      </c>
      <c r="N1547" s="31" t="str">
        <f>IF($L1547="","",INDEX($B$8:$B$5007,$L1547))</f>
        <v/>
      </c>
      <c r="O1547" s="32" t="str">
        <f>IF($M1547="","",IF($K1547-$M1547&gt;7,"",IF($M1547&lt;=$A1547,"",IF(OR($B1547&lt;=0,$N1547&lt;=0),"",($N1547/$B1547)^(365/($M1547-$A1547))-1))))</f>
        <v/>
      </c>
      <c r="P1547" s="31" t="str">
        <f>IF($B1547="","",IF($P1546="",$B1547,MAX($P1546,$B1547)))</f>
        <v/>
      </c>
      <c r="Q1547" s="32" t="str">
        <f>IF($P1547="","",$B1547/$P1547-1)</f>
        <v/>
      </c>
    </row>
    <row r="1548">
      <c r="A1548" s="11" t="n"/>
      <c r="B1548" s="29" t="n"/>
      <c r="K1548" s="30" t="str">
        <f>IF($A1548="","",EDATE($A1548,12*$E$4))</f>
        <v/>
      </c>
      <c r="L1548" s="19" t="str">
        <f>IF($K1548="","",IF($K1548&gt;MAX($A$8:$A$5007),"",IFERROR(MATCH($K1548,$A$8:$A$5007,1),"")))</f>
        <v/>
      </c>
      <c r="M1548" s="30" t="str">
        <f>IF($L1548="","",INDEX($A$8:$A$5007,$L1548))</f>
        <v/>
      </c>
      <c r="N1548" s="31" t="str">
        <f>IF($L1548="","",INDEX($B$8:$B$5007,$L1548))</f>
        <v/>
      </c>
      <c r="O1548" s="32" t="str">
        <f>IF($M1548="","",IF($K1548-$M1548&gt;7,"",IF($M1548&lt;=$A1548,"",IF(OR($B1548&lt;=0,$N1548&lt;=0),"",($N1548/$B1548)^(365/($M1548-$A1548))-1))))</f>
        <v/>
      </c>
      <c r="P1548" s="31" t="str">
        <f>IF($B1548="","",IF($P1547="",$B1548,MAX($P1547,$B1548)))</f>
        <v/>
      </c>
      <c r="Q1548" s="32" t="str">
        <f>IF($P1548="","",$B1548/$P1548-1)</f>
        <v/>
      </c>
    </row>
    <row r="1549">
      <c r="A1549" s="11" t="n"/>
      <c r="B1549" s="29" t="n"/>
      <c r="K1549" s="30" t="str">
        <f>IF($A1549="","",EDATE($A1549,12*$E$4))</f>
        <v/>
      </c>
      <c r="L1549" s="19" t="str">
        <f>IF($K1549="","",IF($K1549&gt;MAX($A$8:$A$5007),"",IFERROR(MATCH($K1549,$A$8:$A$5007,1),"")))</f>
        <v/>
      </c>
      <c r="M1549" s="30" t="str">
        <f>IF($L1549="","",INDEX($A$8:$A$5007,$L1549))</f>
        <v/>
      </c>
      <c r="N1549" s="31" t="str">
        <f>IF($L1549="","",INDEX($B$8:$B$5007,$L1549))</f>
        <v/>
      </c>
      <c r="O1549" s="32" t="str">
        <f>IF($M1549="","",IF($K1549-$M1549&gt;7,"",IF($M1549&lt;=$A1549,"",IF(OR($B1549&lt;=0,$N1549&lt;=0),"",($N1549/$B1549)^(365/($M1549-$A1549))-1))))</f>
        <v/>
      </c>
      <c r="P1549" s="31" t="str">
        <f>IF($B1549="","",IF($P1548="",$B1549,MAX($P1548,$B1549)))</f>
        <v/>
      </c>
      <c r="Q1549" s="32" t="str">
        <f>IF($P1549="","",$B1549/$P1549-1)</f>
        <v/>
      </c>
    </row>
    <row r="1550">
      <c r="A1550" s="11" t="n"/>
      <c r="B1550" s="29" t="n"/>
      <c r="K1550" s="30" t="str">
        <f>IF($A1550="","",EDATE($A1550,12*$E$4))</f>
        <v/>
      </c>
      <c r="L1550" s="19" t="str">
        <f>IF($K1550="","",IF($K1550&gt;MAX($A$8:$A$5007),"",IFERROR(MATCH($K1550,$A$8:$A$5007,1),"")))</f>
        <v/>
      </c>
      <c r="M1550" s="30" t="str">
        <f>IF($L1550="","",INDEX($A$8:$A$5007,$L1550))</f>
        <v/>
      </c>
      <c r="N1550" s="31" t="str">
        <f>IF($L1550="","",INDEX($B$8:$B$5007,$L1550))</f>
        <v/>
      </c>
      <c r="O1550" s="32" t="str">
        <f>IF($M1550="","",IF($K1550-$M1550&gt;7,"",IF($M1550&lt;=$A1550,"",IF(OR($B1550&lt;=0,$N1550&lt;=0),"",($N1550/$B1550)^(365/($M1550-$A1550))-1))))</f>
        <v/>
      </c>
      <c r="P1550" s="31" t="str">
        <f>IF($B1550="","",IF($P1549="",$B1550,MAX($P1549,$B1550)))</f>
        <v/>
      </c>
      <c r="Q1550" s="32" t="str">
        <f>IF($P1550="","",$B1550/$P1550-1)</f>
        <v/>
      </c>
    </row>
    <row r="1551">
      <c r="A1551" s="11" t="n"/>
      <c r="B1551" s="29" t="n"/>
      <c r="K1551" s="30" t="str">
        <f>IF($A1551="","",EDATE($A1551,12*$E$4))</f>
        <v/>
      </c>
      <c r="L1551" s="19" t="str">
        <f>IF($K1551="","",IF($K1551&gt;MAX($A$8:$A$5007),"",IFERROR(MATCH($K1551,$A$8:$A$5007,1),"")))</f>
        <v/>
      </c>
      <c r="M1551" s="30" t="str">
        <f>IF($L1551="","",INDEX($A$8:$A$5007,$L1551))</f>
        <v/>
      </c>
      <c r="N1551" s="31" t="str">
        <f>IF($L1551="","",INDEX($B$8:$B$5007,$L1551))</f>
        <v/>
      </c>
      <c r="O1551" s="32" t="str">
        <f>IF($M1551="","",IF($K1551-$M1551&gt;7,"",IF($M1551&lt;=$A1551,"",IF(OR($B1551&lt;=0,$N1551&lt;=0),"",($N1551/$B1551)^(365/($M1551-$A1551))-1))))</f>
        <v/>
      </c>
      <c r="P1551" s="31" t="str">
        <f>IF($B1551="","",IF($P1550="",$B1551,MAX($P1550,$B1551)))</f>
        <v/>
      </c>
      <c r="Q1551" s="32" t="str">
        <f>IF($P1551="","",$B1551/$P1551-1)</f>
        <v/>
      </c>
    </row>
    <row r="1552">
      <c r="A1552" s="11" t="n"/>
      <c r="B1552" s="29" t="n"/>
      <c r="K1552" s="30" t="str">
        <f>IF($A1552="","",EDATE($A1552,12*$E$4))</f>
        <v/>
      </c>
      <c r="L1552" s="19" t="str">
        <f>IF($K1552="","",IF($K1552&gt;MAX($A$8:$A$5007),"",IFERROR(MATCH($K1552,$A$8:$A$5007,1),"")))</f>
        <v/>
      </c>
      <c r="M1552" s="30" t="str">
        <f>IF($L1552="","",INDEX($A$8:$A$5007,$L1552))</f>
        <v/>
      </c>
      <c r="N1552" s="31" t="str">
        <f>IF($L1552="","",INDEX($B$8:$B$5007,$L1552))</f>
        <v/>
      </c>
      <c r="O1552" s="32" t="str">
        <f>IF($M1552="","",IF($K1552-$M1552&gt;7,"",IF($M1552&lt;=$A1552,"",IF(OR($B1552&lt;=0,$N1552&lt;=0),"",($N1552/$B1552)^(365/($M1552-$A1552))-1))))</f>
        <v/>
      </c>
      <c r="P1552" s="31" t="str">
        <f>IF($B1552="","",IF($P1551="",$B1552,MAX($P1551,$B1552)))</f>
        <v/>
      </c>
      <c r="Q1552" s="32" t="str">
        <f>IF($P1552="","",$B1552/$P1552-1)</f>
        <v/>
      </c>
    </row>
    <row r="1553">
      <c r="A1553" s="11" t="n"/>
      <c r="B1553" s="29" t="n"/>
      <c r="K1553" s="30" t="str">
        <f>IF($A1553="","",EDATE($A1553,12*$E$4))</f>
        <v/>
      </c>
      <c r="L1553" s="19" t="str">
        <f>IF($K1553="","",IF($K1553&gt;MAX($A$8:$A$5007),"",IFERROR(MATCH($K1553,$A$8:$A$5007,1),"")))</f>
        <v/>
      </c>
      <c r="M1553" s="30" t="str">
        <f>IF($L1553="","",INDEX($A$8:$A$5007,$L1553))</f>
        <v/>
      </c>
      <c r="N1553" s="31" t="str">
        <f>IF($L1553="","",INDEX($B$8:$B$5007,$L1553))</f>
        <v/>
      </c>
      <c r="O1553" s="32" t="str">
        <f>IF($M1553="","",IF($K1553-$M1553&gt;7,"",IF($M1553&lt;=$A1553,"",IF(OR($B1553&lt;=0,$N1553&lt;=0),"",($N1553/$B1553)^(365/($M1553-$A1553))-1))))</f>
        <v/>
      </c>
      <c r="P1553" s="31" t="str">
        <f>IF($B1553="","",IF($P1552="",$B1553,MAX($P1552,$B1553)))</f>
        <v/>
      </c>
      <c r="Q1553" s="32" t="str">
        <f>IF($P1553="","",$B1553/$P1553-1)</f>
        <v/>
      </c>
    </row>
    <row r="1554">
      <c r="A1554" s="11" t="n"/>
      <c r="B1554" s="29" t="n"/>
      <c r="K1554" s="30" t="str">
        <f>IF($A1554="","",EDATE($A1554,12*$E$4))</f>
        <v/>
      </c>
      <c r="L1554" s="19" t="str">
        <f>IF($K1554="","",IF($K1554&gt;MAX($A$8:$A$5007),"",IFERROR(MATCH($K1554,$A$8:$A$5007,1),"")))</f>
        <v/>
      </c>
      <c r="M1554" s="30" t="str">
        <f>IF($L1554="","",INDEX($A$8:$A$5007,$L1554))</f>
        <v/>
      </c>
      <c r="N1554" s="31" t="str">
        <f>IF($L1554="","",INDEX($B$8:$B$5007,$L1554))</f>
        <v/>
      </c>
      <c r="O1554" s="32" t="str">
        <f>IF($M1554="","",IF($K1554-$M1554&gt;7,"",IF($M1554&lt;=$A1554,"",IF(OR($B1554&lt;=0,$N1554&lt;=0),"",($N1554/$B1554)^(365/($M1554-$A1554))-1))))</f>
        <v/>
      </c>
      <c r="P1554" s="31" t="str">
        <f>IF($B1554="","",IF($P1553="",$B1554,MAX($P1553,$B1554)))</f>
        <v/>
      </c>
      <c r="Q1554" s="32" t="str">
        <f>IF($P1554="","",$B1554/$P1554-1)</f>
        <v/>
      </c>
    </row>
    <row r="1555">
      <c r="A1555" s="11" t="n"/>
      <c r="B1555" s="29" t="n"/>
      <c r="K1555" s="30" t="str">
        <f>IF($A1555="","",EDATE($A1555,12*$E$4))</f>
        <v/>
      </c>
      <c r="L1555" s="19" t="str">
        <f>IF($K1555="","",IF($K1555&gt;MAX($A$8:$A$5007),"",IFERROR(MATCH($K1555,$A$8:$A$5007,1),"")))</f>
        <v/>
      </c>
      <c r="M1555" s="30" t="str">
        <f>IF($L1555="","",INDEX($A$8:$A$5007,$L1555))</f>
        <v/>
      </c>
      <c r="N1555" s="31" t="str">
        <f>IF($L1555="","",INDEX($B$8:$B$5007,$L1555))</f>
        <v/>
      </c>
      <c r="O1555" s="32" t="str">
        <f>IF($M1555="","",IF($K1555-$M1555&gt;7,"",IF($M1555&lt;=$A1555,"",IF(OR($B1555&lt;=0,$N1555&lt;=0),"",($N1555/$B1555)^(365/($M1555-$A1555))-1))))</f>
        <v/>
      </c>
      <c r="P1555" s="31" t="str">
        <f>IF($B1555="","",IF($P1554="",$B1555,MAX($P1554,$B1555)))</f>
        <v/>
      </c>
      <c r="Q1555" s="32" t="str">
        <f>IF($P1555="","",$B1555/$P1555-1)</f>
        <v/>
      </c>
    </row>
    <row r="1556">
      <c r="A1556" s="11" t="n"/>
      <c r="B1556" s="29" t="n"/>
      <c r="K1556" s="30" t="str">
        <f>IF($A1556="","",EDATE($A1556,12*$E$4))</f>
        <v/>
      </c>
      <c r="L1556" s="19" t="str">
        <f>IF($K1556="","",IF($K1556&gt;MAX($A$8:$A$5007),"",IFERROR(MATCH($K1556,$A$8:$A$5007,1),"")))</f>
        <v/>
      </c>
      <c r="M1556" s="30" t="str">
        <f>IF($L1556="","",INDEX($A$8:$A$5007,$L1556))</f>
        <v/>
      </c>
      <c r="N1556" s="31" t="str">
        <f>IF($L1556="","",INDEX($B$8:$B$5007,$L1556))</f>
        <v/>
      </c>
      <c r="O1556" s="32" t="str">
        <f>IF($M1556="","",IF($K1556-$M1556&gt;7,"",IF($M1556&lt;=$A1556,"",IF(OR($B1556&lt;=0,$N1556&lt;=0),"",($N1556/$B1556)^(365/($M1556-$A1556))-1))))</f>
        <v/>
      </c>
      <c r="P1556" s="31" t="str">
        <f>IF($B1556="","",IF($P1555="",$B1556,MAX($P1555,$B1556)))</f>
        <v/>
      </c>
      <c r="Q1556" s="32" t="str">
        <f>IF($P1556="","",$B1556/$P1556-1)</f>
        <v/>
      </c>
    </row>
    <row r="1557">
      <c r="A1557" s="11" t="n"/>
      <c r="B1557" s="29" t="n"/>
      <c r="K1557" s="30" t="str">
        <f>IF($A1557="","",EDATE($A1557,12*$E$4))</f>
        <v/>
      </c>
      <c r="L1557" s="19" t="str">
        <f>IF($K1557="","",IF($K1557&gt;MAX($A$8:$A$5007),"",IFERROR(MATCH($K1557,$A$8:$A$5007,1),"")))</f>
        <v/>
      </c>
      <c r="M1557" s="30" t="str">
        <f>IF($L1557="","",INDEX($A$8:$A$5007,$L1557))</f>
        <v/>
      </c>
      <c r="N1557" s="31" t="str">
        <f>IF($L1557="","",INDEX($B$8:$B$5007,$L1557))</f>
        <v/>
      </c>
      <c r="O1557" s="32" t="str">
        <f>IF($M1557="","",IF($K1557-$M1557&gt;7,"",IF($M1557&lt;=$A1557,"",IF(OR($B1557&lt;=0,$N1557&lt;=0),"",($N1557/$B1557)^(365/($M1557-$A1557))-1))))</f>
        <v/>
      </c>
      <c r="P1557" s="31" t="str">
        <f>IF($B1557="","",IF($P1556="",$B1557,MAX($P1556,$B1557)))</f>
        <v/>
      </c>
      <c r="Q1557" s="32" t="str">
        <f>IF($P1557="","",$B1557/$P1557-1)</f>
        <v/>
      </c>
    </row>
    <row r="1558">
      <c r="A1558" s="11" t="n"/>
      <c r="B1558" s="29" t="n"/>
      <c r="K1558" s="30" t="str">
        <f>IF($A1558="","",EDATE($A1558,12*$E$4))</f>
        <v/>
      </c>
      <c r="L1558" s="19" t="str">
        <f>IF($K1558="","",IF($K1558&gt;MAX($A$8:$A$5007),"",IFERROR(MATCH($K1558,$A$8:$A$5007,1),"")))</f>
        <v/>
      </c>
      <c r="M1558" s="30" t="str">
        <f>IF($L1558="","",INDEX($A$8:$A$5007,$L1558))</f>
        <v/>
      </c>
      <c r="N1558" s="31" t="str">
        <f>IF($L1558="","",INDEX($B$8:$B$5007,$L1558))</f>
        <v/>
      </c>
      <c r="O1558" s="32" t="str">
        <f>IF($M1558="","",IF($K1558-$M1558&gt;7,"",IF($M1558&lt;=$A1558,"",IF(OR($B1558&lt;=0,$N1558&lt;=0),"",($N1558/$B1558)^(365/($M1558-$A1558))-1))))</f>
        <v/>
      </c>
      <c r="P1558" s="31" t="str">
        <f>IF($B1558="","",IF($P1557="",$B1558,MAX($P1557,$B1558)))</f>
        <v/>
      </c>
      <c r="Q1558" s="32" t="str">
        <f>IF($P1558="","",$B1558/$P1558-1)</f>
        <v/>
      </c>
    </row>
    <row r="1559">
      <c r="A1559" s="11" t="n"/>
      <c r="B1559" s="29" t="n"/>
      <c r="K1559" s="30" t="str">
        <f>IF($A1559="","",EDATE($A1559,12*$E$4))</f>
        <v/>
      </c>
      <c r="L1559" s="19" t="str">
        <f>IF($K1559="","",IF($K1559&gt;MAX($A$8:$A$5007),"",IFERROR(MATCH($K1559,$A$8:$A$5007,1),"")))</f>
        <v/>
      </c>
      <c r="M1559" s="30" t="str">
        <f>IF($L1559="","",INDEX($A$8:$A$5007,$L1559))</f>
        <v/>
      </c>
      <c r="N1559" s="31" t="str">
        <f>IF($L1559="","",INDEX($B$8:$B$5007,$L1559))</f>
        <v/>
      </c>
      <c r="O1559" s="32" t="str">
        <f>IF($M1559="","",IF($K1559-$M1559&gt;7,"",IF($M1559&lt;=$A1559,"",IF(OR($B1559&lt;=0,$N1559&lt;=0),"",($N1559/$B1559)^(365/($M1559-$A1559))-1))))</f>
        <v/>
      </c>
      <c r="P1559" s="31" t="str">
        <f>IF($B1559="","",IF($P1558="",$B1559,MAX($P1558,$B1559)))</f>
        <v/>
      </c>
      <c r="Q1559" s="32" t="str">
        <f>IF($P1559="","",$B1559/$P1559-1)</f>
        <v/>
      </c>
    </row>
    <row r="1560">
      <c r="A1560" s="11" t="n"/>
      <c r="B1560" s="29" t="n"/>
      <c r="K1560" s="30" t="str">
        <f>IF($A1560="","",EDATE($A1560,12*$E$4))</f>
        <v/>
      </c>
      <c r="L1560" s="19" t="str">
        <f>IF($K1560="","",IF($K1560&gt;MAX($A$8:$A$5007),"",IFERROR(MATCH($K1560,$A$8:$A$5007,1),"")))</f>
        <v/>
      </c>
      <c r="M1560" s="30" t="str">
        <f>IF($L1560="","",INDEX($A$8:$A$5007,$L1560))</f>
        <v/>
      </c>
      <c r="N1560" s="31" t="str">
        <f>IF($L1560="","",INDEX($B$8:$B$5007,$L1560))</f>
        <v/>
      </c>
      <c r="O1560" s="32" t="str">
        <f>IF($M1560="","",IF($K1560-$M1560&gt;7,"",IF($M1560&lt;=$A1560,"",IF(OR($B1560&lt;=0,$N1560&lt;=0),"",($N1560/$B1560)^(365/($M1560-$A1560))-1))))</f>
        <v/>
      </c>
      <c r="P1560" s="31" t="str">
        <f>IF($B1560="","",IF($P1559="",$B1560,MAX($P1559,$B1560)))</f>
        <v/>
      </c>
      <c r="Q1560" s="32" t="str">
        <f>IF($P1560="","",$B1560/$P1560-1)</f>
        <v/>
      </c>
    </row>
    <row r="1561">
      <c r="A1561" s="11" t="n"/>
      <c r="B1561" s="29" t="n"/>
      <c r="K1561" s="30" t="str">
        <f>IF($A1561="","",EDATE($A1561,12*$E$4))</f>
        <v/>
      </c>
      <c r="L1561" s="19" t="str">
        <f>IF($K1561="","",IF($K1561&gt;MAX($A$8:$A$5007),"",IFERROR(MATCH($K1561,$A$8:$A$5007,1),"")))</f>
        <v/>
      </c>
      <c r="M1561" s="30" t="str">
        <f>IF($L1561="","",INDEX($A$8:$A$5007,$L1561))</f>
        <v/>
      </c>
      <c r="N1561" s="31" t="str">
        <f>IF($L1561="","",INDEX($B$8:$B$5007,$L1561))</f>
        <v/>
      </c>
      <c r="O1561" s="32" t="str">
        <f>IF($M1561="","",IF($K1561-$M1561&gt;7,"",IF($M1561&lt;=$A1561,"",IF(OR($B1561&lt;=0,$N1561&lt;=0),"",($N1561/$B1561)^(365/($M1561-$A1561))-1))))</f>
        <v/>
      </c>
      <c r="P1561" s="31" t="str">
        <f>IF($B1561="","",IF($P1560="",$B1561,MAX($P1560,$B1561)))</f>
        <v/>
      </c>
      <c r="Q1561" s="32" t="str">
        <f>IF($P1561="","",$B1561/$P1561-1)</f>
        <v/>
      </c>
    </row>
    <row r="1562">
      <c r="A1562" s="11" t="n"/>
      <c r="B1562" s="29" t="n"/>
      <c r="K1562" s="30" t="str">
        <f>IF($A1562="","",EDATE($A1562,12*$E$4))</f>
        <v/>
      </c>
      <c r="L1562" s="19" t="str">
        <f>IF($K1562="","",IF($K1562&gt;MAX($A$8:$A$5007),"",IFERROR(MATCH($K1562,$A$8:$A$5007,1),"")))</f>
        <v/>
      </c>
      <c r="M1562" s="30" t="str">
        <f>IF($L1562="","",INDEX($A$8:$A$5007,$L1562))</f>
        <v/>
      </c>
      <c r="N1562" s="31" t="str">
        <f>IF($L1562="","",INDEX($B$8:$B$5007,$L1562))</f>
        <v/>
      </c>
      <c r="O1562" s="32" t="str">
        <f>IF($M1562="","",IF($K1562-$M1562&gt;7,"",IF($M1562&lt;=$A1562,"",IF(OR($B1562&lt;=0,$N1562&lt;=0),"",($N1562/$B1562)^(365/($M1562-$A1562))-1))))</f>
        <v/>
      </c>
      <c r="P1562" s="31" t="str">
        <f>IF($B1562="","",IF($P1561="",$B1562,MAX($P1561,$B1562)))</f>
        <v/>
      </c>
      <c r="Q1562" s="32" t="str">
        <f>IF($P1562="","",$B1562/$P1562-1)</f>
        <v/>
      </c>
    </row>
    <row r="1563">
      <c r="A1563" s="11" t="n"/>
      <c r="B1563" s="29" t="n"/>
      <c r="K1563" s="30" t="str">
        <f>IF($A1563="","",EDATE($A1563,12*$E$4))</f>
        <v/>
      </c>
      <c r="L1563" s="19" t="str">
        <f>IF($K1563="","",IF($K1563&gt;MAX($A$8:$A$5007),"",IFERROR(MATCH($K1563,$A$8:$A$5007,1),"")))</f>
        <v/>
      </c>
      <c r="M1563" s="30" t="str">
        <f>IF($L1563="","",INDEX($A$8:$A$5007,$L1563))</f>
        <v/>
      </c>
      <c r="N1563" s="31" t="str">
        <f>IF($L1563="","",INDEX($B$8:$B$5007,$L1563))</f>
        <v/>
      </c>
      <c r="O1563" s="32" t="str">
        <f>IF($M1563="","",IF($K1563-$M1563&gt;7,"",IF($M1563&lt;=$A1563,"",IF(OR($B1563&lt;=0,$N1563&lt;=0),"",($N1563/$B1563)^(365/($M1563-$A1563))-1))))</f>
        <v/>
      </c>
      <c r="P1563" s="31" t="str">
        <f>IF($B1563="","",IF($P1562="",$B1563,MAX($P1562,$B1563)))</f>
        <v/>
      </c>
      <c r="Q1563" s="32" t="str">
        <f>IF($P1563="","",$B1563/$P1563-1)</f>
        <v/>
      </c>
    </row>
    <row r="1564">
      <c r="A1564" s="11" t="n"/>
      <c r="B1564" s="29" t="n"/>
      <c r="K1564" s="30" t="str">
        <f>IF($A1564="","",EDATE($A1564,12*$E$4))</f>
        <v/>
      </c>
      <c r="L1564" s="19" t="str">
        <f>IF($K1564="","",IF($K1564&gt;MAX($A$8:$A$5007),"",IFERROR(MATCH($K1564,$A$8:$A$5007,1),"")))</f>
        <v/>
      </c>
      <c r="M1564" s="30" t="str">
        <f>IF($L1564="","",INDEX($A$8:$A$5007,$L1564))</f>
        <v/>
      </c>
      <c r="N1564" s="31" t="str">
        <f>IF($L1564="","",INDEX($B$8:$B$5007,$L1564))</f>
        <v/>
      </c>
      <c r="O1564" s="32" t="str">
        <f>IF($M1564="","",IF($K1564-$M1564&gt;7,"",IF($M1564&lt;=$A1564,"",IF(OR($B1564&lt;=0,$N1564&lt;=0),"",($N1564/$B1564)^(365/($M1564-$A1564))-1))))</f>
        <v/>
      </c>
      <c r="P1564" s="31" t="str">
        <f>IF($B1564="","",IF($P1563="",$B1564,MAX($P1563,$B1564)))</f>
        <v/>
      </c>
      <c r="Q1564" s="32" t="str">
        <f>IF($P1564="","",$B1564/$P1564-1)</f>
        <v/>
      </c>
    </row>
    <row r="1565">
      <c r="A1565" s="11" t="n"/>
      <c r="B1565" s="29" t="n"/>
      <c r="K1565" s="30" t="str">
        <f>IF($A1565="","",EDATE($A1565,12*$E$4))</f>
        <v/>
      </c>
      <c r="L1565" s="19" t="str">
        <f>IF($K1565="","",IF($K1565&gt;MAX($A$8:$A$5007),"",IFERROR(MATCH($K1565,$A$8:$A$5007,1),"")))</f>
        <v/>
      </c>
      <c r="M1565" s="30" t="str">
        <f>IF($L1565="","",INDEX($A$8:$A$5007,$L1565))</f>
        <v/>
      </c>
      <c r="N1565" s="31" t="str">
        <f>IF($L1565="","",INDEX($B$8:$B$5007,$L1565))</f>
        <v/>
      </c>
      <c r="O1565" s="32" t="str">
        <f>IF($M1565="","",IF($K1565-$M1565&gt;7,"",IF($M1565&lt;=$A1565,"",IF(OR($B1565&lt;=0,$N1565&lt;=0),"",($N1565/$B1565)^(365/($M1565-$A1565))-1))))</f>
        <v/>
      </c>
      <c r="P1565" s="31" t="str">
        <f>IF($B1565="","",IF($P1564="",$B1565,MAX($P1564,$B1565)))</f>
        <v/>
      </c>
      <c r="Q1565" s="32" t="str">
        <f>IF($P1565="","",$B1565/$P1565-1)</f>
        <v/>
      </c>
    </row>
    <row r="1566">
      <c r="A1566" s="11" t="n"/>
      <c r="B1566" s="29" t="n"/>
      <c r="K1566" s="30" t="str">
        <f>IF($A1566="","",EDATE($A1566,12*$E$4))</f>
        <v/>
      </c>
      <c r="L1566" s="19" t="str">
        <f>IF($K1566="","",IF($K1566&gt;MAX($A$8:$A$5007),"",IFERROR(MATCH($K1566,$A$8:$A$5007,1),"")))</f>
        <v/>
      </c>
      <c r="M1566" s="30" t="str">
        <f>IF($L1566="","",INDEX($A$8:$A$5007,$L1566))</f>
        <v/>
      </c>
      <c r="N1566" s="31" t="str">
        <f>IF($L1566="","",INDEX($B$8:$B$5007,$L1566))</f>
        <v/>
      </c>
      <c r="O1566" s="32" t="str">
        <f>IF($M1566="","",IF($K1566-$M1566&gt;7,"",IF($M1566&lt;=$A1566,"",IF(OR($B1566&lt;=0,$N1566&lt;=0),"",($N1566/$B1566)^(365/($M1566-$A1566))-1))))</f>
        <v/>
      </c>
      <c r="P1566" s="31" t="str">
        <f>IF($B1566="","",IF($P1565="",$B1566,MAX($P1565,$B1566)))</f>
        <v/>
      </c>
      <c r="Q1566" s="32" t="str">
        <f>IF($P1566="","",$B1566/$P1566-1)</f>
        <v/>
      </c>
    </row>
    <row r="1567">
      <c r="A1567" s="11" t="n"/>
      <c r="B1567" s="29" t="n"/>
      <c r="K1567" s="30" t="str">
        <f>IF($A1567="","",EDATE($A1567,12*$E$4))</f>
        <v/>
      </c>
      <c r="L1567" s="19" t="str">
        <f>IF($K1567="","",IF($K1567&gt;MAX($A$8:$A$5007),"",IFERROR(MATCH($K1567,$A$8:$A$5007,1),"")))</f>
        <v/>
      </c>
      <c r="M1567" s="30" t="str">
        <f>IF($L1567="","",INDEX($A$8:$A$5007,$L1567))</f>
        <v/>
      </c>
      <c r="N1567" s="31" t="str">
        <f>IF($L1567="","",INDEX($B$8:$B$5007,$L1567))</f>
        <v/>
      </c>
      <c r="O1567" s="32" t="str">
        <f>IF($M1567="","",IF($K1567-$M1567&gt;7,"",IF($M1567&lt;=$A1567,"",IF(OR($B1567&lt;=0,$N1567&lt;=0),"",($N1567/$B1567)^(365/($M1567-$A1567))-1))))</f>
        <v/>
      </c>
      <c r="P1567" s="31" t="str">
        <f>IF($B1567="","",IF($P1566="",$B1567,MAX($P1566,$B1567)))</f>
        <v/>
      </c>
      <c r="Q1567" s="32" t="str">
        <f>IF($P1567="","",$B1567/$P1567-1)</f>
        <v/>
      </c>
    </row>
    <row r="1568">
      <c r="A1568" s="11" t="n"/>
      <c r="B1568" s="29" t="n"/>
      <c r="K1568" s="30" t="str">
        <f>IF($A1568="","",EDATE($A1568,12*$E$4))</f>
        <v/>
      </c>
      <c r="L1568" s="19" t="str">
        <f>IF($K1568="","",IF($K1568&gt;MAX($A$8:$A$5007),"",IFERROR(MATCH($K1568,$A$8:$A$5007,1),"")))</f>
        <v/>
      </c>
      <c r="M1568" s="30" t="str">
        <f>IF($L1568="","",INDEX($A$8:$A$5007,$L1568))</f>
        <v/>
      </c>
      <c r="N1568" s="31" t="str">
        <f>IF($L1568="","",INDEX($B$8:$B$5007,$L1568))</f>
        <v/>
      </c>
      <c r="O1568" s="32" t="str">
        <f>IF($M1568="","",IF($K1568-$M1568&gt;7,"",IF($M1568&lt;=$A1568,"",IF(OR($B1568&lt;=0,$N1568&lt;=0),"",($N1568/$B1568)^(365/($M1568-$A1568))-1))))</f>
        <v/>
      </c>
      <c r="P1568" s="31" t="str">
        <f>IF($B1568="","",IF($P1567="",$B1568,MAX($P1567,$B1568)))</f>
        <v/>
      </c>
      <c r="Q1568" s="32" t="str">
        <f>IF($P1568="","",$B1568/$P1568-1)</f>
        <v/>
      </c>
    </row>
    <row r="1569">
      <c r="A1569" s="11" t="n"/>
      <c r="B1569" s="29" t="n"/>
      <c r="K1569" s="30" t="str">
        <f>IF($A1569="","",EDATE($A1569,12*$E$4))</f>
        <v/>
      </c>
      <c r="L1569" s="19" t="str">
        <f>IF($K1569="","",IF($K1569&gt;MAX($A$8:$A$5007),"",IFERROR(MATCH($K1569,$A$8:$A$5007,1),"")))</f>
        <v/>
      </c>
      <c r="M1569" s="30" t="str">
        <f>IF($L1569="","",INDEX($A$8:$A$5007,$L1569))</f>
        <v/>
      </c>
      <c r="N1569" s="31" t="str">
        <f>IF($L1569="","",INDEX($B$8:$B$5007,$L1569))</f>
        <v/>
      </c>
      <c r="O1569" s="32" t="str">
        <f>IF($M1569="","",IF($K1569-$M1569&gt;7,"",IF($M1569&lt;=$A1569,"",IF(OR($B1569&lt;=0,$N1569&lt;=0),"",($N1569/$B1569)^(365/($M1569-$A1569))-1))))</f>
        <v/>
      </c>
      <c r="P1569" s="31" t="str">
        <f>IF($B1569="","",IF($P1568="",$B1569,MAX($P1568,$B1569)))</f>
        <v/>
      </c>
      <c r="Q1569" s="32" t="str">
        <f>IF($P1569="","",$B1569/$P1569-1)</f>
        <v/>
      </c>
    </row>
    <row r="1570">
      <c r="A1570" s="11" t="n"/>
      <c r="B1570" s="29" t="n"/>
      <c r="K1570" s="30" t="str">
        <f>IF($A1570="","",EDATE($A1570,12*$E$4))</f>
        <v/>
      </c>
      <c r="L1570" s="19" t="str">
        <f>IF($K1570="","",IF($K1570&gt;MAX($A$8:$A$5007),"",IFERROR(MATCH($K1570,$A$8:$A$5007,1),"")))</f>
        <v/>
      </c>
      <c r="M1570" s="30" t="str">
        <f>IF($L1570="","",INDEX($A$8:$A$5007,$L1570))</f>
        <v/>
      </c>
      <c r="N1570" s="31" t="str">
        <f>IF($L1570="","",INDEX($B$8:$B$5007,$L1570))</f>
        <v/>
      </c>
      <c r="O1570" s="32" t="str">
        <f>IF($M1570="","",IF($K1570-$M1570&gt;7,"",IF($M1570&lt;=$A1570,"",IF(OR($B1570&lt;=0,$N1570&lt;=0),"",($N1570/$B1570)^(365/($M1570-$A1570))-1))))</f>
        <v/>
      </c>
      <c r="P1570" s="31" t="str">
        <f>IF($B1570="","",IF($P1569="",$B1570,MAX($P1569,$B1570)))</f>
        <v/>
      </c>
      <c r="Q1570" s="32" t="str">
        <f>IF($P1570="","",$B1570/$P1570-1)</f>
        <v/>
      </c>
    </row>
    <row r="1571">
      <c r="A1571" s="11" t="n"/>
      <c r="B1571" s="29" t="n"/>
      <c r="K1571" s="30" t="str">
        <f>IF($A1571="","",EDATE($A1571,12*$E$4))</f>
        <v/>
      </c>
      <c r="L1571" s="19" t="str">
        <f>IF($K1571="","",IF($K1571&gt;MAX($A$8:$A$5007),"",IFERROR(MATCH($K1571,$A$8:$A$5007,1),"")))</f>
        <v/>
      </c>
      <c r="M1571" s="30" t="str">
        <f>IF($L1571="","",INDEX($A$8:$A$5007,$L1571))</f>
        <v/>
      </c>
      <c r="N1571" s="31" t="str">
        <f>IF($L1571="","",INDEX($B$8:$B$5007,$L1571))</f>
        <v/>
      </c>
      <c r="O1571" s="32" t="str">
        <f>IF($M1571="","",IF($K1571-$M1571&gt;7,"",IF($M1571&lt;=$A1571,"",IF(OR($B1571&lt;=0,$N1571&lt;=0),"",($N1571/$B1571)^(365/($M1571-$A1571))-1))))</f>
        <v/>
      </c>
      <c r="P1571" s="31" t="str">
        <f>IF($B1571="","",IF($P1570="",$B1571,MAX($P1570,$B1571)))</f>
        <v/>
      </c>
      <c r="Q1571" s="32" t="str">
        <f>IF($P1571="","",$B1571/$P1571-1)</f>
        <v/>
      </c>
    </row>
    <row r="1572">
      <c r="A1572" s="11" t="n"/>
      <c r="B1572" s="29" t="n"/>
      <c r="K1572" s="30" t="str">
        <f>IF($A1572="","",EDATE($A1572,12*$E$4))</f>
        <v/>
      </c>
      <c r="L1572" s="19" t="str">
        <f>IF($K1572="","",IF($K1572&gt;MAX($A$8:$A$5007),"",IFERROR(MATCH($K1572,$A$8:$A$5007,1),"")))</f>
        <v/>
      </c>
      <c r="M1572" s="30" t="str">
        <f>IF($L1572="","",INDEX($A$8:$A$5007,$L1572))</f>
        <v/>
      </c>
      <c r="N1572" s="31" t="str">
        <f>IF($L1572="","",INDEX($B$8:$B$5007,$L1572))</f>
        <v/>
      </c>
      <c r="O1572" s="32" t="str">
        <f>IF($M1572="","",IF($K1572-$M1572&gt;7,"",IF($M1572&lt;=$A1572,"",IF(OR($B1572&lt;=0,$N1572&lt;=0),"",($N1572/$B1572)^(365/($M1572-$A1572))-1))))</f>
        <v/>
      </c>
      <c r="P1572" s="31" t="str">
        <f>IF($B1572="","",IF($P1571="",$B1572,MAX($P1571,$B1572)))</f>
        <v/>
      </c>
      <c r="Q1572" s="32" t="str">
        <f>IF($P1572="","",$B1572/$P1572-1)</f>
        <v/>
      </c>
    </row>
    <row r="1573">
      <c r="A1573" s="11" t="n"/>
      <c r="B1573" s="29" t="n"/>
      <c r="K1573" s="30" t="str">
        <f>IF($A1573="","",EDATE($A1573,12*$E$4))</f>
        <v/>
      </c>
      <c r="L1573" s="19" t="str">
        <f>IF($K1573="","",IF($K1573&gt;MAX($A$8:$A$5007),"",IFERROR(MATCH($K1573,$A$8:$A$5007,1),"")))</f>
        <v/>
      </c>
      <c r="M1573" s="30" t="str">
        <f>IF($L1573="","",INDEX($A$8:$A$5007,$L1573))</f>
        <v/>
      </c>
      <c r="N1573" s="31" t="str">
        <f>IF($L1573="","",INDEX($B$8:$B$5007,$L1573))</f>
        <v/>
      </c>
      <c r="O1573" s="32" t="str">
        <f>IF($M1573="","",IF($K1573-$M1573&gt;7,"",IF($M1573&lt;=$A1573,"",IF(OR($B1573&lt;=0,$N1573&lt;=0),"",($N1573/$B1573)^(365/($M1573-$A1573))-1))))</f>
        <v/>
      </c>
      <c r="P1573" s="31" t="str">
        <f>IF($B1573="","",IF($P1572="",$B1573,MAX($P1572,$B1573)))</f>
        <v/>
      </c>
      <c r="Q1573" s="32" t="str">
        <f>IF($P1573="","",$B1573/$P1573-1)</f>
        <v/>
      </c>
    </row>
    <row r="1574">
      <c r="A1574" s="11" t="n"/>
      <c r="B1574" s="29" t="n"/>
      <c r="K1574" s="30" t="str">
        <f>IF($A1574="","",EDATE($A1574,12*$E$4))</f>
        <v/>
      </c>
      <c r="L1574" s="19" t="str">
        <f>IF($K1574="","",IF($K1574&gt;MAX($A$8:$A$5007),"",IFERROR(MATCH($K1574,$A$8:$A$5007,1),"")))</f>
        <v/>
      </c>
      <c r="M1574" s="30" t="str">
        <f>IF($L1574="","",INDEX($A$8:$A$5007,$L1574))</f>
        <v/>
      </c>
      <c r="N1574" s="31" t="str">
        <f>IF($L1574="","",INDEX($B$8:$B$5007,$L1574))</f>
        <v/>
      </c>
      <c r="O1574" s="32" t="str">
        <f>IF($M1574="","",IF($K1574-$M1574&gt;7,"",IF($M1574&lt;=$A1574,"",IF(OR($B1574&lt;=0,$N1574&lt;=0),"",($N1574/$B1574)^(365/($M1574-$A1574))-1))))</f>
        <v/>
      </c>
      <c r="P1574" s="31" t="str">
        <f>IF($B1574="","",IF($P1573="",$B1574,MAX($P1573,$B1574)))</f>
        <v/>
      </c>
      <c r="Q1574" s="32" t="str">
        <f>IF($P1574="","",$B1574/$P1574-1)</f>
        <v/>
      </c>
    </row>
    <row r="1575">
      <c r="A1575" s="11" t="n"/>
      <c r="B1575" s="29" t="n"/>
      <c r="K1575" s="30" t="str">
        <f>IF($A1575="","",EDATE($A1575,12*$E$4))</f>
        <v/>
      </c>
      <c r="L1575" s="19" t="str">
        <f>IF($K1575="","",IF($K1575&gt;MAX($A$8:$A$5007),"",IFERROR(MATCH($K1575,$A$8:$A$5007,1),"")))</f>
        <v/>
      </c>
      <c r="M1575" s="30" t="str">
        <f>IF($L1575="","",INDEX($A$8:$A$5007,$L1575))</f>
        <v/>
      </c>
      <c r="N1575" s="31" t="str">
        <f>IF($L1575="","",INDEX($B$8:$B$5007,$L1575))</f>
        <v/>
      </c>
      <c r="O1575" s="32" t="str">
        <f>IF($M1575="","",IF($K1575-$M1575&gt;7,"",IF($M1575&lt;=$A1575,"",IF(OR($B1575&lt;=0,$N1575&lt;=0),"",($N1575/$B1575)^(365/($M1575-$A1575))-1))))</f>
        <v/>
      </c>
      <c r="P1575" s="31" t="str">
        <f>IF($B1575="","",IF($P1574="",$B1575,MAX($P1574,$B1575)))</f>
        <v/>
      </c>
      <c r="Q1575" s="32" t="str">
        <f>IF($P1575="","",$B1575/$P1575-1)</f>
        <v/>
      </c>
    </row>
    <row r="1576">
      <c r="A1576" s="11" t="n"/>
      <c r="B1576" s="29" t="n"/>
      <c r="K1576" s="30" t="str">
        <f>IF($A1576="","",EDATE($A1576,12*$E$4))</f>
        <v/>
      </c>
      <c r="L1576" s="19" t="str">
        <f>IF($K1576="","",IF($K1576&gt;MAX($A$8:$A$5007),"",IFERROR(MATCH($K1576,$A$8:$A$5007,1),"")))</f>
        <v/>
      </c>
      <c r="M1576" s="30" t="str">
        <f>IF($L1576="","",INDEX($A$8:$A$5007,$L1576))</f>
        <v/>
      </c>
      <c r="N1576" s="31" t="str">
        <f>IF($L1576="","",INDEX($B$8:$B$5007,$L1576))</f>
        <v/>
      </c>
      <c r="O1576" s="32" t="str">
        <f>IF($M1576="","",IF($K1576-$M1576&gt;7,"",IF($M1576&lt;=$A1576,"",IF(OR($B1576&lt;=0,$N1576&lt;=0),"",($N1576/$B1576)^(365/($M1576-$A1576))-1))))</f>
        <v/>
      </c>
      <c r="P1576" s="31" t="str">
        <f>IF($B1576="","",IF($P1575="",$B1576,MAX($P1575,$B1576)))</f>
        <v/>
      </c>
      <c r="Q1576" s="32" t="str">
        <f>IF($P1576="","",$B1576/$P1576-1)</f>
        <v/>
      </c>
    </row>
    <row r="1577">
      <c r="A1577" s="11" t="n"/>
      <c r="B1577" s="29" t="n"/>
      <c r="K1577" s="30" t="str">
        <f>IF($A1577="","",EDATE($A1577,12*$E$4))</f>
        <v/>
      </c>
      <c r="L1577" s="19" t="str">
        <f>IF($K1577="","",IF($K1577&gt;MAX($A$8:$A$5007),"",IFERROR(MATCH($K1577,$A$8:$A$5007,1),"")))</f>
        <v/>
      </c>
      <c r="M1577" s="30" t="str">
        <f>IF($L1577="","",INDEX($A$8:$A$5007,$L1577))</f>
        <v/>
      </c>
      <c r="N1577" s="31" t="str">
        <f>IF($L1577="","",INDEX($B$8:$B$5007,$L1577))</f>
        <v/>
      </c>
      <c r="O1577" s="32" t="str">
        <f>IF($M1577="","",IF($K1577-$M1577&gt;7,"",IF($M1577&lt;=$A1577,"",IF(OR($B1577&lt;=0,$N1577&lt;=0),"",($N1577/$B1577)^(365/($M1577-$A1577))-1))))</f>
        <v/>
      </c>
      <c r="P1577" s="31" t="str">
        <f>IF($B1577="","",IF($P1576="",$B1577,MAX($P1576,$B1577)))</f>
        <v/>
      </c>
      <c r="Q1577" s="32" t="str">
        <f>IF($P1577="","",$B1577/$P1577-1)</f>
        <v/>
      </c>
    </row>
    <row r="1578">
      <c r="A1578" s="11" t="n"/>
      <c r="B1578" s="29" t="n"/>
      <c r="K1578" s="30" t="str">
        <f>IF($A1578="","",EDATE($A1578,12*$E$4))</f>
        <v/>
      </c>
      <c r="L1578" s="19" t="str">
        <f>IF($K1578="","",IF($K1578&gt;MAX($A$8:$A$5007),"",IFERROR(MATCH($K1578,$A$8:$A$5007,1),"")))</f>
        <v/>
      </c>
      <c r="M1578" s="30" t="str">
        <f>IF($L1578="","",INDEX($A$8:$A$5007,$L1578))</f>
        <v/>
      </c>
      <c r="N1578" s="31" t="str">
        <f>IF($L1578="","",INDEX($B$8:$B$5007,$L1578))</f>
        <v/>
      </c>
      <c r="O1578" s="32" t="str">
        <f>IF($M1578="","",IF($K1578-$M1578&gt;7,"",IF($M1578&lt;=$A1578,"",IF(OR($B1578&lt;=0,$N1578&lt;=0),"",($N1578/$B1578)^(365/($M1578-$A1578))-1))))</f>
        <v/>
      </c>
      <c r="P1578" s="31" t="str">
        <f>IF($B1578="","",IF($P1577="",$B1578,MAX($P1577,$B1578)))</f>
        <v/>
      </c>
      <c r="Q1578" s="32" t="str">
        <f>IF($P1578="","",$B1578/$P1578-1)</f>
        <v/>
      </c>
    </row>
    <row r="1579">
      <c r="A1579" s="11" t="n"/>
      <c r="B1579" s="29" t="n"/>
      <c r="K1579" s="30" t="str">
        <f>IF($A1579="","",EDATE($A1579,12*$E$4))</f>
        <v/>
      </c>
      <c r="L1579" s="19" t="str">
        <f>IF($K1579="","",IF($K1579&gt;MAX($A$8:$A$5007),"",IFERROR(MATCH($K1579,$A$8:$A$5007,1),"")))</f>
        <v/>
      </c>
      <c r="M1579" s="30" t="str">
        <f>IF($L1579="","",INDEX($A$8:$A$5007,$L1579))</f>
        <v/>
      </c>
      <c r="N1579" s="31" t="str">
        <f>IF($L1579="","",INDEX($B$8:$B$5007,$L1579))</f>
        <v/>
      </c>
      <c r="O1579" s="32" t="str">
        <f>IF($M1579="","",IF($K1579-$M1579&gt;7,"",IF($M1579&lt;=$A1579,"",IF(OR($B1579&lt;=0,$N1579&lt;=0),"",($N1579/$B1579)^(365/($M1579-$A1579))-1))))</f>
        <v/>
      </c>
      <c r="P1579" s="31" t="str">
        <f>IF($B1579="","",IF($P1578="",$B1579,MAX($P1578,$B1579)))</f>
        <v/>
      </c>
      <c r="Q1579" s="32" t="str">
        <f>IF($P1579="","",$B1579/$P1579-1)</f>
        <v/>
      </c>
    </row>
    <row r="1580">
      <c r="A1580" s="11" t="n"/>
      <c r="B1580" s="29" t="n"/>
      <c r="K1580" s="30" t="str">
        <f>IF($A1580="","",EDATE($A1580,12*$E$4))</f>
        <v/>
      </c>
      <c r="L1580" s="19" t="str">
        <f>IF($K1580="","",IF($K1580&gt;MAX($A$8:$A$5007),"",IFERROR(MATCH($K1580,$A$8:$A$5007,1),"")))</f>
        <v/>
      </c>
      <c r="M1580" s="30" t="str">
        <f>IF($L1580="","",INDEX($A$8:$A$5007,$L1580))</f>
        <v/>
      </c>
      <c r="N1580" s="31" t="str">
        <f>IF($L1580="","",INDEX($B$8:$B$5007,$L1580))</f>
        <v/>
      </c>
      <c r="O1580" s="32" t="str">
        <f>IF($M1580="","",IF($K1580-$M1580&gt;7,"",IF($M1580&lt;=$A1580,"",IF(OR($B1580&lt;=0,$N1580&lt;=0),"",($N1580/$B1580)^(365/($M1580-$A1580))-1))))</f>
        <v/>
      </c>
      <c r="P1580" s="31" t="str">
        <f>IF($B1580="","",IF($P1579="",$B1580,MAX($P1579,$B1580)))</f>
        <v/>
      </c>
      <c r="Q1580" s="32" t="str">
        <f>IF($P1580="","",$B1580/$P1580-1)</f>
        <v/>
      </c>
    </row>
    <row r="1581">
      <c r="A1581" s="11" t="n"/>
      <c r="B1581" s="29" t="n"/>
      <c r="K1581" s="30" t="str">
        <f>IF($A1581="","",EDATE($A1581,12*$E$4))</f>
        <v/>
      </c>
      <c r="L1581" s="19" t="str">
        <f>IF($K1581="","",IF($K1581&gt;MAX($A$8:$A$5007),"",IFERROR(MATCH($K1581,$A$8:$A$5007,1),"")))</f>
        <v/>
      </c>
      <c r="M1581" s="30" t="str">
        <f>IF($L1581="","",INDEX($A$8:$A$5007,$L1581))</f>
        <v/>
      </c>
      <c r="N1581" s="31" t="str">
        <f>IF($L1581="","",INDEX($B$8:$B$5007,$L1581))</f>
        <v/>
      </c>
      <c r="O1581" s="32" t="str">
        <f>IF($M1581="","",IF($K1581-$M1581&gt;7,"",IF($M1581&lt;=$A1581,"",IF(OR($B1581&lt;=0,$N1581&lt;=0),"",($N1581/$B1581)^(365/($M1581-$A1581))-1))))</f>
        <v/>
      </c>
      <c r="P1581" s="31" t="str">
        <f>IF($B1581="","",IF($P1580="",$B1581,MAX($P1580,$B1581)))</f>
        <v/>
      </c>
      <c r="Q1581" s="32" t="str">
        <f>IF($P1581="","",$B1581/$P1581-1)</f>
        <v/>
      </c>
    </row>
    <row r="1582">
      <c r="A1582" s="11" t="n"/>
      <c r="B1582" s="29" t="n"/>
      <c r="K1582" s="30" t="str">
        <f>IF($A1582="","",EDATE($A1582,12*$E$4))</f>
        <v/>
      </c>
      <c r="L1582" s="19" t="str">
        <f>IF($K1582="","",IF($K1582&gt;MAX($A$8:$A$5007),"",IFERROR(MATCH($K1582,$A$8:$A$5007,1),"")))</f>
        <v/>
      </c>
      <c r="M1582" s="30" t="str">
        <f>IF($L1582="","",INDEX($A$8:$A$5007,$L1582))</f>
        <v/>
      </c>
      <c r="N1582" s="31" t="str">
        <f>IF($L1582="","",INDEX($B$8:$B$5007,$L1582))</f>
        <v/>
      </c>
      <c r="O1582" s="32" t="str">
        <f>IF($M1582="","",IF($K1582-$M1582&gt;7,"",IF($M1582&lt;=$A1582,"",IF(OR($B1582&lt;=0,$N1582&lt;=0),"",($N1582/$B1582)^(365/($M1582-$A1582))-1))))</f>
        <v/>
      </c>
      <c r="P1582" s="31" t="str">
        <f>IF($B1582="","",IF($P1581="",$B1582,MAX($P1581,$B1582)))</f>
        <v/>
      </c>
      <c r="Q1582" s="32" t="str">
        <f>IF($P1582="","",$B1582/$P1582-1)</f>
        <v/>
      </c>
    </row>
    <row r="1583">
      <c r="A1583" s="11" t="n"/>
      <c r="B1583" s="29" t="n"/>
      <c r="K1583" s="30" t="str">
        <f>IF($A1583="","",EDATE($A1583,12*$E$4))</f>
        <v/>
      </c>
      <c r="L1583" s="19" t="str">
        <f>IF($K1583="","",IF($K1583&gt;MAX($A$8:$A$5007),"",IFERROR(MATCH($K1583,$A$8:$A$5007,1),"")))</f>
        <v/>
      </c>
      <c r="M1583" s="30" t="str">
        <f>IF($L1583="","",INDEX($A$8:$A$5007,$L1583))</f>
        <v/>
      </c>
      <c r="N1583" s="31" t="str">
        <f>IF($L1583="","",INDEX($B$8:$B$5007,$L1583))</f>
        <v/>
      </c>
      <c r="O1583" s="32" t="str">
        <f>IF($M1583="","",IF($K1583-$M1583&gt;7,"",IF($M1583&lt;=$A1583,"",IF(OR($B1583&lt;=0,$N1583&lt;=0),"",($N1583/$B1583)^(365/($M1583-$A1583))-1))))</f>
        <v/>
      </c>
      <c r="P1583" s="31" t="str">
        <f>IF($B1583="","",IF($P1582="",$B1583,MAX($P1582,$B1583)))</f>
        <v/>
      </c>
      <c r="Q1583" s="32" t="str">
        <f>IF($P1583="","",$B1583/$P1583-1)</f>
        <v/>
      </c>
    </row>
    <row r="1584">
      <c r="A1584" s="11" t="n"/>
      <c r="B1584" s="29" t="n"/>
      <c r="K1584" s="30" t="str">
        <f>IF($A1584="","",EDATE($A1584,12*$E$4))</f>
        <v/>
      </c>
      <c r="L1584" s="19" t="str">
        <f>IF($K1584="","",IF($K1584&gt;MAX($A$8:$A$5007),"",IFERROR(MATCH($K1584,$A$8:$A$5007,1),"")))</f>
        <v/>
      </c>
      <c r="M1584" s="30" t="str">
        <f>IF($L1584="","",INDEX($A$8:$A$5007,$L1584))</f>
        <v/>
      </c>
      <c r="N1584" s="31" t="str">
        <f>IF($L1584="","",INDEX($B$8:$B$5007,$L1584))</f>
        <v/>
      </c>
      <c r="O1584" s="32" t="str">
        <f>IF($M1584="","",IF($K1584-$M1584&gt;7,"",IF($M1584&lt;=$A1584,"",IF(OR($B1584&lt;=0,$N1584&lt;=0),"",($N1584/$B1584)^(365/($M1584-$A1584))-1))))</f>
        <v/>
      </c>
      <c r="P1584" s="31" t="str">
        <f>IF($B1584="","",IF($P1583="",$B1584,MAX($P1583,$B1584)))</f>
        <v/>
      </c>
      <c r="Q1584" s="32" t="str">
        <f>IF($P1584="","",$B1584/$P1584-1)</f>
        <v/>
      </c>
    </row>
    <row r="1585">
      <c r="A1585" s="11" t="n"/>
      <c r="B1585" s="29" t="n"/>
      <c r="K1585" s="30" t="str">
        <f>IF($A1585="","",EDATE($A1585,12*$E$4))</f>
        <v/>
      </c>
      <c r="L1585" s="19" t="str">
        <f>IF($K1585="","",IF($K1585&gt;MAX($A$8:$A$5007),"",IFERROR(MATCH($K1585,$A$8:$A$5007,1),"")))</f>
        <v/>
      </c>
      <c r="M1585" s="30" t="str">
        <f>IF($L1585="","",INDEX($A$8:$A$5007,$L1585))</f>
        <v/>
      </c>
      <c r="N1585" s="31" t="str">
        <f>IF($L1585="","",INDEX($B$8:$B$5007,$L1585))</f>
        <v/>
      </c>
      <c r="O1585" s="32" t="str">
        <f>IF($M1585="","",IF($K1585-$M1585&gt;7,"",IF($M1585&lt;=$A1585,"",IF(OR($B1585&lt;=0,$N1585&lt;=0),"",($N1585/$B1585)^(365/($M1585-$A1585))-1))))</f>
        <v/>
      </c>
      <c r="P1585" s="31" t="str">
        <f>IF($B1585="","",IF($P1584="",$B1585,MAX($P1584,$B1585)))</f>
        <v/>
      </c>
      <c r="Q1585" s="32" t="str">
        <f>IF($P1585="","",$B1585/$P1585-1)</f>
        <v/>
      </c>
    </row>
    <row r="1586">
      <c r="A1586" s="11" t="n"/>
      <c r="B1586" s="29" t="n"/>
      <c r="K1586" s="30" t="str">
        <f>IF($A1586="","",EDATE($A1586,12*$E$4))</f>
        <v/>
      </c>
      <c r="L1586" s="19" t="str">
        <f>IF($K1586="","",IF($K1586&gt;MAX($A$8:$A$5007),"",IFERROR(MATCH($K1586,$A$8:$A$5007,1),"")))</f>
        <v/>
      </c>
      <c r="M1586" s="30" t="str">
        <f>IF($L1586="","",INDEX($A$8:$A$5007,$L1586))</f>
        <v/>
      </c>
      <c r="N1586" s="31" t="str">
        <f>IF($L1586="","",INDEX($B$8:$B$5007,$L1586))</f>
        <v/>
      </c>
      <c r="O1586" s="32" t="str">
        <f>IF($M1586="","",IF($K1586-$M1586&gt;7,"",IF($M1586&lt;=$A1586,"",IF(OR($B1586&lt;=0,$N1586&lt;=0),"",($N1586/$B1586)^(365/($M1586-$A1586))-1))))</f>
        <v/>
      </c>
      <c r="P1586" s="31" t="str">
        <f>IF($B1586="","",IF($P1585="",$B1586,MAX($P1585,$B1586)))</f>
        <v/>
      </c>
      <c r="Q1586" s="32" t="str">
        <f>IF($P1586="","",$B1586/$P1586-1)</f>
        <v/>
      </c>
    </row>
    <row r="1587">
      <c r="A1587" s="11" t="n"/>
      <c r="B1587" s="29" t="n"/>
      <c r="K1587" s="30" t="str">
        <f>IF($A1587="","",EDATE($A1587,12*$E$4))</f>
        <v/>
      </c>
      <c r="L1587" s="19" t="str">
        <f>IF($K1587="","",IF($K1587&gt;MAX($A$8:$A$5007),"",IFERROR(MATCH($K1587,$A$8:$A$5007,1),"")))</f>
        <v/>
      </c>
      <c r="M1587" s="30" t="str">
        <f>IF($L1587="","",INDEX($A$8:$A$5007,$L1587))</f>
        <v/>
      </c>
      <c r="N1587" s="31" t="str">
        <f>IF($L1587="","",INDEX($B$8:$B$5007,$L1587))</f>
        <v/>
      </c>
      <c r="O1587" s="32" t="str">
        <f>IF($M1587="","",IF($K1587-$M1587&gt;7,"",IF($M1587&lt;=$A1587,"",IF(OR($B1587&lt;=0,$N1587&lt;=0),"",($N1587/$B1587)^(365/($M1587-$A1587))-1))))</f>
        <v/>
      </c>
      <c r="P1587" s="31" t="str">
        <f>IF($B1587="","",IF($P1586="",$B1587,MAX($P1586,$B1587)))</f>
        <v/>
      </c>
      <c r="Q1587" s="32" t="str">
        <f>IF($P1587="","",$B1587/$P1587-1)</f>
        <v/>
      </c>
    </row>
    <row r="1588">
      <c r="A1588" s="11" t="n"/>
      <c r="B1588" s="29" t="n"/>
      <c r="K1588" s="30" t="str">
        <f>IF($A1588="","",EDATE($A1588,12*$E$4))</f>
        <v/>
      </c>
      <c r="L1588" s="19" t="str">
        <f>IF($K1588="","",IF($K1588&gt;MAX($A$8:$A$5007),"",IFERROR(MATCH($K1588,$A$8:$A$5007,1),"")))</f>
        <v/>
      </c>
      <c r="M1588" s="30" t="str">
        <f>IF($L1588="","",INDEX($A$8:$A$5007,$L1588))</f>
        <v/>
      </c>
      <c r="N1588" s="31" t="str">
        <f>IF($L1588="","",INDEX($B$8:$B$5007,$L1588))</f>
        <v/>
      </c>
      <c r="O1588" s="32" t="str">
        <f>IF($M1588="","",IF($K1588-$M1588&gt;7,"",IF($M1588&lt;=$A1588,"",IF(OR($B1588&lt;=0,$N1588&lt;=0),"",($N1588/$B1588)^(365/($M1588-$A1588))-1))))</f>
        <v/>
      </c>
      <c r="P1588" s="31" t="str">
        <f>IF($B1588="","",IF($P1587="",$B1588,MAX($P1587,$B1588)))</f>
        <v/>
      </c>
      <c r="Q1588" s="32" t="str">
        <f>IF($P1588="","",$B1588/$P1588-1)</f>
        <v/>
      </c>
    </row>
    <row r="1589">
      <c r="A1589" s="11" t="n"/>
      <c r="B1589" s="29" t="n"/>
      <c r="K1589" s="30" t="str">
        <f>IF($A1589="","",EDATE($A1589,12*$E$4))</f>
        <v/>
      </c>
      <c r="L1589" s="19" t="str">
        <f>IF($K1589="","",IF($K1589&gt;MAX($A$8:$A$5007),"",IFERROR(MATCH($K1589,$A$8:$A$5007,1),"")))</f>
        <v/>
      </c>
      <c r="M1589" s="30" t="str">
        <f>IF($L1589="","",INDEX($A$8:$A$5007,$L1589))</f>
        <v/>
      </c>
      <c r="N1589" s="31" t="str">
        <f>IF($L1589="","",INDEX($B$8:$B$5007,$L1589))</f>
        <v/>
      </c>
      <c r="O1589" s="32" t="str">
        <f>IF($M1589="","",IF($K1589-$M1589&gt;7,"",IF($M1589&lt;=$A1589,"",IF(OR($B1589&lt;=0,$N1589&lt;=0),"",($N1589/$B1589)^(365/($M1589-$A1589))-1))))</f>
        <v/>
      </c>
      <c r="P1589" s="31" t="str">
        <f>IF($B1589="","",IF($P1588="",$B1589,MAX($P1588,$B1589)))</f>
        <v/>
      </c>
      <c r="Q1589" s="32" t="str">
        <f>IF($P1589="","",$B1589/$P1589-1)</f>
        <v/>
      </c>
    </row>
    <row r="1590">
      <c r="A1590" s="11" t="n"/>
      <c r="B1590" s="29" t="n"/>
      <c r="K1590" s="30" t="str">
        <f>IF($A1590="","",EDATE($A1590,12*$E$4))</f>
        <v/>
      </c>
      <c r="L1590" s="19" t="str">
        <f>IF($K1590="","",IF($K1590&gt;MAX($A$8:$A$5007),"",IFERROR(MATCH($K1590,$A$8:$A$5007,1),"")))</f>
        <v/>
      </c>
      <c r="M1590" s="30" t="str">
        <f>IF($L1590="","",INDEX($A$8:$A$5007,$L1590))</f>
        <v/>
      </c>
      <c r="N1590" s="31" t="str">
        <f>IF($L1590="","",INDEX($B$8:$B$5007,$L1590))</f>
        <v/>
      </c>
      <c r="O1590" s="32" t="str">
        <f>IF($M1590="","",IF($K1590-$M1590&gt;7,"",IF($M1590&lt;=$A1590,"",IF(OR($B1590&lt;=0,$N1590&lt;=0),"",($N1590/$B1590)^(365/($M1590-$A1590))-1))))</f>
        <v/>
      </c>
      <c r="P1590" s="31" t="str">
        <f>IF($B1590="","",IF($P1589="",$B1590,MAX($P1589,$B1590)))</f>
        <v/>
      </c>
      <c r="Q1590" s="32" t="str">
        <f>IF($P1590="","",$B1590/$P1590-1)</f>
        <v/>
      </c>
    </row>
    <row r="1591">
      <c r="A1591" s="11" t="n"/>
      <c r="B1591" s="29" t="n"/>
      <c r="K1591" s="30" t="str">
        <f>IF($A1591="","",EDATE($A1591,12*$E$4))</f>
        <v/>
      </c>
      <c r="L1591" s="19" t="str">
        <f>IF($K1591="","",IF($K1591&gt;MAX($A$8:$A$5007),"",IFERROR(MATCH($K1591,$A$8:$A$5007,1),"")))</f>
        <v/>
      </c>
      <c r="M1591" s="30" t="str">
        <f>IF($L1591="","",INDEX($A$8:$A$5007,$L1591))</f>
        <v/>
      </c>
      <c r="N1591" s="31" t="str">
        <f>IF($L1591="","",INDEX($B$8:$B$5007,$L1591))</f>
        <v/>
      </c>
      <c r="O1591" s="32" t="str">
        <f>IF($M1591="","",IF($K1591-$M1591&gt;7,"",IF($M1591&lt;=$A1591,"",IF(OR($B1591&lt;=0,$N1591&lt;=0),"",($N1591/$B1591)^(365/($M1591-$A1591))-1))))</f>
        <v/>
      </c>
      <c r="P1591" s="31" t="str">
        <f>IF($B1591="","",IF($P1590="",$B1591,MAX($P1590,$B1591)))</f>
        <v/>
      </c>
      <c r="Q1591" s="32" t="str">
        <f>IF($P1591="","",$B1591/$P1591-1)</f>
        <v/>
      </c>
    </row>
    <row r="1592">
      <c r="A1592" s="11" t="n"/>
      <c r="B1592" s="29" t="n"/>
      <c r="K1592" s="30" t="str">
        <f>IF($A1592="","",EDATE($A1592,12*$E$4))</f>
        <v/>
      </c>
      <c r="L1592" s="19" t="str">
        <f>IF($K1592="","",IF($K1592&gt;MAX($A$8:$A$5007),"",IFERROR(MATCH($K1592,$A$8:$A$5007,1),"")))</f>
        <v/>
      </c>
      <c r="M1592" s="30" t="str">
        <f>IF($L1592="","",INDEX($A$8:$A$5007,$L1592))</f>
        <v/>
      </c>
      <c r="N1592" s="31" t="str">
        <f>IF($L1592="","",INDEX($B$8:$B$5007,$L1592))</f>
        <v/>
      </c>
      <c r="O1592" s="32" t="str">
        <f>IF($M1592="","",IF($K1592-$M1592&gt;7,"",IF($M1592&lt;=$A1592,"",IF(OR($B1592&lt;=0,$N1592&lt;=0),"",($N1592/$B1592)^(365/($M1592-$A1592))-1))))</f>
        <v/>
      </c>
      <c r="P1592" s="31" t="str">
        <f>IF($B1592="","",IF($P1591="",$B1592,MAX($P1591,$B1592)))</f>
        <v/>
      </c>
      <c r="Q1592" s="32" t="str">
        <f>IF($P1592="","",$B1592/$P1592-1)</f>
        <v/>
      </c>
    </row>
    <row r="1593">
      <c r="A1593" s="11" t="n"/>
      <c r="B1593" s="29" t="n"/>
      <c r="K1593" s="30" t="str">
        <f>IF($A1593="","",EDATE($A1593,12*$E$4))</f>
        <v/>
      </c>
      <c r="L1593" s="19" t="str">
        <f>IF($K1593="","",IF($K1593&gt;MAX($A$8:$A$5007),"",IFERROR(MATCH($K1593,$A$8:$A$5007,1),"")))</f>
        <v/>
      </c>
      <c r="M1593" s="30" t="str">
        <f>IF($L1593="","",INDEX($A$8:$A$5007,$L1593))</f>
        <v/>
      </c>
      <c r="N1593" s="31" t="str">
        <f>IF($L1593="","",INDEX($B$8:$B$5007,$L1593))</f>
        <v/>
      </c>
      <c r="O1593" s="32" t="str">
        <f>IF($M1593="","",IF($K1593-$M1593&gt;7,"",IF($M1593&lt;=$A1593,"",IF(OR($B1593&lt;=0,$N1593&lt;=0),"",($N1593/$B1593)^(365/($M1593-$A1593))-1))))</f>
        <v/>
      </c>
      <c r="P1593" s="31" t="str">
        <f>IF($B1593="","",IF($P1592="",$B1593,MAX($P1592,$B1593)))</f>
        <v/>
      </c>
      <c r="Q1593" s="32" t="str">
        <f>IF($P1593="","",$B1593/$P1593-1)</f>
        <v/>
      </c>
    </row>
    <row r="1594">
      <c r="A1594" s="11" t="n"/>
      <c r="B1594" s="29" t="n"/>
      <c r="K1594" s="30" t="str">
        <f>IF($A1594="","",EDATE($A1594,12*$E$4))</f>
        <v/>
      </c>
      <c r="L1594" s="19" t="str">
        <f>IF($K1594="","",IF($K1594&gt;MAX($A$8:$A$5007),"",IFERROR(MATCH($K1594,$A$8:$A$5007,1),"")))</f>
        <v/>
      </c>
      <c r="M1594" s="30" t="str">
        <f>IF($L1594="","",INDEX($A$8:$A$5007,$L1594))</f>
        <v/>
      </c>
      <c r="N1594" s="31" t="str">
        <f>IF($L1594="","",INDEX($B$8:$B$5007,$L1594))</f>
        <v/>
      </c>
      <c r="O1594" s="32" t="str">
        <f>IF($M1594="","",IF($K1594-$M1594&gt;7,"",IF($M1594&lt;=$A1594,"",IF(OR($B1594&lt;=0,$N1594&lt;=0),"",($N1594/$B1594)^(365/($M1594-$A1594))-1))))</f>
        <v/>
      </c>
      <c r="P1594" s="31" t="str">
        <f>IF($B1594="","",IF($P1593="",$B1594,MAX($P1593,$B1594)))</f>
        <v/>
      </c>
      <c r="Q1594" s="32" t="str">
        <f>IF($P1594="","",$B1594/$P1594-1)</f>
        <v/>
      </c>
    </row>
    <row r="1595">
      <c r="A1595" s="11" t="n"/>
      <c r="B1595" s="29" t="n"/>
      <c r="K1595" s="30" t="str">
        <f>IF($A1595="","",EDATE($A1595,12*$E$4))</f>
        <v/>
      </c>
      <c r="L1595" s="19" t="str">
        <f>IF($K1595="","",IF($K1595&gt;MAX($A$8:$A$5007),"",IFERROR(MATCH($K1595,$A$8:$A$5007,1),"")))</f>
        <v/>
      </c>
      <c r="M1595" s="30" t="str">
        <f>IF($L1595="","",INDEX($A$8:$A$5007,$L1595))</f>
        <v/>
      </c>
      <c r="N1595" s="31" t="str">
        <f>IF($L1595="","",INDEX($B$8:$B$5007,$L1595))</f>
        <v/>
      </c>
      <c r="O1595" s="32" t="str">
        <f>IF($M1595="","",IF($K1595-$M1595&gt;7,"",IF($M1595&lt;=$A1595,"",IF(OR($B1595&lt;=0,$N1595&lt;=0),"",($N1595/$B1595)^(365/($M1595-$A1595))-1))))</f>
        <v/>
      </c>
      <c r="P1595" s="31" t="str">
        <f>IF($B1595="","",IF($P1594="",$B1595,MAX($P1594,$B1595)))</f>
        <v/>
      </c>
      <c r="Q1595" s="32" t="str">
        <f>IF($P1595="","",$B1595/$P1595-1)</f>
        <v/>
      </c>
    </row>
    <row r="1596">
      <c r="A1596" s="11" t="n"/>
      <c r="B1596" s="29" t="n"/>
      <c r="K1596" s="30" t="str">
        <f>IF($A1596="","",EDATE($A1596,12*$E$4))</f>
        <v/>
      </c>
      <c r="L1596" s="19" t="str">
        <f>IF($K1596="","",IF($K1596&gt;MAX($A$8:$A$5007),"",IFERROR(MATCH($K1596,$A$8:$A$5007,1),"")))</f>
        <v/>
      </c>
      <c r="M1596" s="30" t="str">
        <f>IF($L1596="","",INDEX($A$8:$A$5007,$L1596))</f>
        <v/>
      </c>
      <c r="N1596" s="31" t="str">
        <f>IF($L1596="","",INDEX($B$8:$B$5007,$L1596))</f>
        <v/>
      </c>
      <c r="O1596" s="32" t="str">
        <f>IF($M1596="","",IF($K1596-$M1596&gt;7,"",IF($M1596&lt;=$A1596,"",IF(OR($B1596&lt;=0,$N1596&lt;=0),"",($N1596/$B1596)^(365/($M1596-$A1596))-1))))</f>
        <v/>
      </c>
      <c r="P1596" s="31" t="str">
        <f>IF($B1596="","",IF($P1595="",$B1596,MAX($P1595,$B1596)))</f>
        <v/>
      </c>
      <c r="Q1596" s="32" t="str">
        <f>IF($P1596="","",$B1596/$P1596-1)</f>
        <v/>
      </c>
    </row>
    <row r="1597">
      <c r="A1597" s="11" t="n"/>
      <c r="B1597" s="29" t="n"/>
      <c r="K1597" s="30" t="str">
        <f>IF($A1597="","",EDATE($A1597,12*$E$4))</f>
        <v/>
      </c>
      <c r="L1597" s="19" t="str">
        <f>IF($K1597="","",IF($K1597&gt;MAX($A$8:$A$5007),"",IFERROR(MATCH($K1597,$A$8:$A$5007,1),"")))</f>
        <v/>
      </c>
      <c r="M1597" s="30" t="str">
        <f>IF($L1597="","",INDEX($A$8:$A$5007,$L1597))</f>
        <v/>
      </c>
      <c r="N1597" s="31" t="str">
        <f>IF($L1597="","",INDEX($B$8:$B$5007,$L1597))</f>
        <v/>
      </c>
      <c r="O1597" s="32" t="str">
        <f>IF($M1597="","",IF($K1597-$M1597&gt;7,"",IF($M1597&lt;=$A1597,"",IF(OR($B1597&lt;=0,$N1597&lt;=0),"",($N1597/$B1597)^(365/($M1597-$A1597))-1))))</f>
        <v/>
      </c>
      <c r="P1597" s="31" t="str">
        <f>IF($B1597="","",IF($P1596="",$B1597,MAX($P1596,$B1597)))</f>
        <v/>
      </c>
      <c r="Q1597" s="32" t="str">
        <f>IF($P1597="","",$B1597/$P1597-1)</f>
        <v/>
      </c>
    </row>
    <row r="1598">
      <c r="A1598" s="11" t="n"/>
      <c r="B1598" s="29" t="n"/>
      <c r="K1598" s="30" t="str">
        <f>IF($A1598="","",EDATE($A1598,12*$E$4))</f>
        <v/>
      </c>
      <c r="L1598" s="19" t="str">
        <f>IF($K1598="","",IF($K1598&gt;MAX($A$8:$A$5007),"",IFERROR(MATCH($K1598,$A$8:$A$5007,1),"")))</f>
        <v/>
      </c>
      <c r="M1598" s="30" t="str">
        <f>IF($L1598="","",INDEX($A$8:$A$5007,$L1598))</f>
        <v/>
      </c>
      <c r="N1598" s="31" t="str">
        <f>IF($L1598="","",INDEX($B$8:$B$5007,$L1598))</f>
        <v/>
      </c>
      <c r="O1598" s="32" t="str">
        <f>IF($M1598="","",IF($K1598-$M1598&gt;7,"",IF($M1598&lt;=$A1598,"",IF(OR($B1598&lt;=0,$N1598&lt;=0),"",($N1598/$B1598)^(365/($M1598-$A1598))-1))))</f>
        <v/>
      </c>
      <c r="P1598" s="31" t="str">
        <f>IF($B1598="","",IF($P1597="",$B1598,MAX($P1597,$B1598)))</f>
        <v/>
      </c>
      <c r="Q1598" s="32" t="str">
        <f>IF($P1598="","",$B1598/$P1598-1)</f>
        <v/>
      </c>
    </row>
    <row r="1599">
      <c r="A1599" s="11" t="n"/>
      <c r="B1599" s="29" t="n"/>
      <c r="K1599" s="30" t="str">
        <f>IF($A1599="","",EDATE($A1599,12*$E$4))</f>
        <v/>
      </c>
      <c r="L1599" s="19" t="str">
        <f>IF($K1599="","",IF($K1599&gt;MAX($A$8:$A$5007),"",IFERROR(MATCH($K1599,$A$8:$A$5007,1),"")))</f>
        <v/>
      </c>
      <c r="M1599" s="30" t="str">
        <f>IF($L1599="","",INDEX($A$8:$A$5007,$L1599))</f>
        <v/>
      </c>
      <c r="N1599" s="31" t="str">
        <f>IF($L1599="","",INDEX($B$8:$B$5007,$L1599))</f>
        <v/>
      </c>
      <c r="O1599" s="32" t="str">
        <f>IF($M1599="","",IF($K1599-$M1599&gt;7,"",IF($M1599&lt;=$A1599,"",IF(OR($B1599&lt;=0,$N1599&lt;=0),"",($N1599/$B1599)^(365/($M1599-$A1599))-1))))</f>
        <v/>
      </c>
      <c r="P1599" s="31" t="str">
        <f>IF($B1599="","",IF($P1598="",$B1599,MAX($P1598,$B1599)))</f>
        <v/>
      </c>
      <c r="Q1599" s="32" t="str">
        <f>IF($P1599="","",$B1599/$P1599-1)</f>
        <v/>
      </c>
    </row>
    <row r="1600">
      <c r="A1600" s="11" t="n"/>
      <c r="B1600" s="29" t="n"/>
      <c r="K1600" s="30" t="str">
        <f>IF($A1600="","",EDATE($A1600,12*$E$4))</f>
        <v/>
      </c>
      <c r="L1600" s="19" t="str">
        <f>IF($K1600="","",IF($K1600&gt;MAX($A$8:$A$5007),"",IFERROR(MATCH($K1600,$A$8:$A$5007,1),"")))</f>
        <v/>
      </c>
      <c r="M1600" s="30" t="str">
        <f>IF($L1600="","",INDEX($A$8:$A$5007,$L1600))</f>
        <v/>
      </c>
      <c r="N1600" s="31" t="str">
        <f>IF($L1600="","",INDEX($B$8:$B$5007,$L1600))</f>
        <v/>
      </c>
      <c r="O1600" s="32" t="str">
        <f>IF($M1600="","",IF($K1600-$M1600&gt;7,"",IF($M1600&lt;=$A1600,"",IF(OR($B1600&lt;=0,$N1600&lt;=0),"",($N1600/$B1600)^(365/($M1600-$A1600))-1))))</f>
        <v/>
      </c>
      <c r="P1600" s="31" t="str">
        <f>IF($B1600="","",IF($P1599="",$B1600,MAX($P1599,$B1600)))</f>
        <v/>
      </c>
      <c r="Q1600" s="32" t="str">
        <f>IF($P1600="","",$B1600/$P1600-1)</f>
        <v/>
      </c>
    </row>
    <row r="1601">
      <c r="A1601" s="11" t="n"/>
      <c r="B1601" s="29" t="n"/>
      <c r="K1601" s="30" t="str">
        <f>IF($A1601="","",EDATE($A1601,12*$E$4))</f>
        <v/>
      </c>
      <c r="L1601" s="19" t="str">
        <f>IF($K1601="","",IF($K1601&gt;MAX($A$8:$A$5007),"",IFERROR(MATCH($K1601,$A$8:$A$5007,1),"")))</f>
        <v/>
      </c>
      <c r="M1601" s="30" t="str">
        <f>IF($L1601="","",INDEX($A$8:$A$5007,$L1601))</f>
        <v/>
      </c>
      <c r="N1601" s="31" t="str">
        <f>IF($L1601="","",INDEX($B$8:$B$5007,$L1601))</f>
        <v/>
      </c>
      <c r="O1601" s="32" t="str">
        <f>IF($M1601="","",IF($K1601-$M1601&gt;7,"",IF($M1601&lt;=$A1601,"",IF(OR($B1601&lt;=0,$N1601&lt;=0),"",($N1601/$B1601)^(365/($M1601-$A1601))-1))))</f>
        <v/>
      </c>
      <c r="P1601" s="31" t="str">
        <f>IF($B1601="","",IF($P1600="",$B1601,MAX($P1600,$B1601)))</f>
        <v/>
      </c>
      <c r="Q1601" s="32" t="str">
        <f>IF($P1601="","",$B1601/$P1601-1)</f>
        <v/>
      </c>
    </row>
    <row r="1602">
      <c r="A1602" s="11" t="n"/>
      <c r="B1602" s="29" t="n"/>
      <c r="K1602" s="30" t="str">
        <f>IF($A1602="","",EDATE($A1602,12*$E$4))</f>
        <v/>
      </c>
      <c r="L1602" s="19" t="str">
        <f>IF($K1602="","",IF($K1602&gt;MAX($A$8:$A$5007),"",IFERROR(MATCH($K1602,$A$8:$A$5007,1),"")))</f>
        <v/>
      </c>
      <c r="M1602" s="30" t="str">
        <f>IF($L1602="","",INDEX($A$8:$A$5007,$L1602))</f>
        <v/>
      </c>
      <c r="N1602" s="31" t="str">
        <f>IF($L1602="","",INDEX($B$8:$B$5007,$L1602))</f>
        <v/>
      </c>
      <c r="O1602" s="32" t="str">
        <f>IF($M1602="","",IF($K1602-$M1602&gt;7,"",IF($M1602&lt;=$A1602,"",IF(OR($B1602&lt;=0,$N1602&lt;=0),"",($N1602/$B1602)^(365/($M1602-$A1602))-1))))</f>
        <v/>
      </c>
      <c r="P1602" s="31" t="str">
        <f>IF($B1602="","",IF($P1601="",$B1602,MAX($P1601,$B1602)))</f>
        <v/>
      </c>
      <c r="Q1602" s="32" t="str">
        <f>IF($P1602="","",$B1602/$P1602-1)</f>
        <v/>
      </c>
    </row>
    <row r="1603">
      <c r="A1603" s="11" t="n"/>
      <c r="B1603" s="29" t="n"/>
      <c r="K1603" s="30" t="str">
        <f>IF($A1603="","",EDATE($A1603,12*$E$4))</f>
        <v/>
      </c>
      <c r="L1603" s="19" t="str">
        <f>IF($K1603="","",IF($K1603&gt;MAX($A$8:$A$5007),"",IFERROR(MATCH($K1603,$A$8:$A$5007,1),"")))</f>
        <v/>
      </c>
      <c r="M1603" s="30" t="str">
        <f>IF($L1603="","",INDEX($A$8:$A$5007,$L1603))</f>
        <v/>
      </c>
      <c r="N1603" s="31" t="str">
        <f>IF($L1603="","",INDEX($B$8:$B$5007,$L1603))</f>
        <v/>
      </c>
      <c r="O1603" s="32" t="str">
        <f>IF($M1603="","",IF($K1603-$M1603&gt;7,"",IF($M1603&lt;=$A1603,"",IF(OR($B1603&lt;=0,$N1603&lt;=0),"",($N1603/$B1603)^(365/($M1603-$A1603))-1))))</f>
        <v/>
      </c>
      <c r="P1603" s="31" t="str">
        <f>IF($B1603="","",IF($P1602="",$B1603,MAX($P1602,$B1603)))</f>
        <v/>
      </c>
      <c r="Q1603" s="32" t="str">
        <f>IF($P1603="","",$B1603/$P1603-1)</f>
        <v/>
      </c>
    </row>
    <row r="1604">
      <c r="A1604" s="11" t="n"/>
      <c r="B1604" s="29" t="n"/>
      <c r="K1604" s="30" t="str">
        <f>IF($A1604="","",EDATE($A1604,12*$E$4))</f>
        <v/>
      </c>
      <c r="L1604" s="19" t="str">
        <f>IF($K1604="","",IF($K1604&gt;MAX($A$8:$A$5007),"",IFERROR(MATCH($K1604,$A$8:$A$5007,1),"")))</f>
        <v/>
      </c>
      <c r="M1604" s="30" t="str">
        <f>IF($L1604="","",INDEX($A$8:$A$5007,$L1604))</f>
        <v/>
      </c>
      <c r="N1604" s="31" t="str">
        <f>IF($L1604="","",INDEX($B$8:$B$5007,$L1604))</f>
        <v/>
      </c>
      <c r="O1604" s="32" t="str">
        <f>IF($M1604="","",IF($K1604-$M1604&gt;7,"",IF($M1604&lt;=$A1604,"",IF(OR($B1604&lt;=0,$N1604&lt;=0),"",($N1604/$B1604)^(365/($M1604-$A1604))-1))))</f>
        <v/>
      </c>
      <c r="P1604" s="31" t="str">
        <f>IF($B1604="","",IF($P1603="",$B1604,MAX($P1603,$B1604)))</f>
        <v/>
      </c>
      <c r="Q1604" s="32" t="str">
        <f>IF($P1604="","",$B1604/$P1604-1)</f>
        <v/>
      </c>
    </row>
    <row r="1605">
      <c r="A1605" s="11" t="n"/>
      <c r="B1605" s="29" t="n"/>
      <c r="K1605" s="30" t="str">
        <f>IF($A1605="","",EDATE($A1605,12*$E$4))</f>
        <v/>
      </c>
      <c r="L1605" s="19" t="str">
        <f>IF($K1605="","",IF($K1605&gt;MAX($A$8:$A$5007),"",IFERROR(MATCH($K1605,$A$8:$A$5007,1),"")))</f>
        <v/>
      </c>
      <c r="M1605" s="30" t="str">
        <f>IF($L1605="","",INDEX($A$8:$A$5007,$L1605))</f>
        <v/>
      </c>
      <c r="N1605" s="31" t="str">
        <f>IF($L1605="","",INDEX($B$8:$B$5007,$L1605))</f>
        <v/>
      </c>
      <c r="O1605" s="32" t="str">
        <f>IF($M1605="","",IF($K1605-$M1605&gt;7,"",IF($M1605&lt;=$A1605,"",IF(OR($B1605&lt;=0,$N1605&lt;=0),"",($N1605/$B1605)^(365/($M1605-$A1605))-1))))</f>
        <v/>
      </c>
      <c r="P1605" s="31" t="str">
        <f>IF($B1605="","",IF($P1604="",$B1605,MAX($P1604,$B1605)))</f>
        <v/>
      </c>
      <c r="Q1605" s="32" t="str">
        <f>IF($P1605="","",$B1605/$P1605-1)</f>
        <v/>
      </c>
    </row>
    <row r="1606">
      <c r="A1606" s="11" t="n"/>
      <c r="B1606" s="29" t="n"/>
      <c r="K1606" s="30" t="str">
        <f>IF($A1606="","",EDATE($A1606,12*$E$4))</f>
        <v/>
      </c>
      <c r="L1606" s="19" t="str">
        <f>IF($K1606="","",IF($K1606&gt;MAX($A$8:$A$5007),"",IFERROR(MATCH($K1606,$A$8:$A$5007,1),"")))</f>
        <v/>
      </c>
      <c r="M1606" s="30" t="str">
        <f>IF($L1606="","",INDEX($A$8:$A$5007,$L1606))</f>
        <v/>
      </c>
      <c r="N1606" s="31" t="str">
        <f>IF($L1606="","",INDEX($B$8:$B$5007,$L1606))</f>
        <v/>
      </c>
      <c r="O1606" s="32" t="str">
        <f>IF($M1606="","",IF($K1606-$M1606&gt;7,"",IF($M1606&lt;=$A1606,"",IF(OR($B1606&lt;=0,$N1606&lt;=0),"",($N1606/$B1606)^(365/($M1606-$A1606))-1))))</f>
        <v/>
      </c>
      <c r="P1606" s="31" t="str">
        <f>IF($B1606="","",IF($P1605="",$B1606,MAX($P1605,$B1606)))</f>
        <v/>
      </c>
      <c r="Q1606" s="32" t="str">
        <f>IF($P1606="","",$B1606/$P1606-1)</f>
        <v/>
      </c>
    </row>
    <row r="1607">
      <c r="A1607" s="11" t="n"/>
      <c r="B1607" s="29" t="n"/>
      <c r="K1607" s="30" t="str">
        <f>IF($A1607="","",EDATE($A1607,12*$E$4))</f>
        <v/>
      </c>
      <c r="L1607" s="19" t="str">
        <f>IF($K1607="","",IF($K1607&gt;MAX($A$8:$A$5007),"",IFERROR(MATCH($K1607,$A$8:$A$5007,1),"")))</f>
        <v/>
      </c>
      <c r="M1607" s="30" t="str">
        <f>IF($L1607="","",INDEX($A$8:$A$5007,$L1607))</f>
        <v/>
      </c>
      <c r="N1607" s="31" t="str">
        <f>IF($L1607="","",INDEX($B$8:$B$5007,$L1607))</f>
        <v/>
      </c>
      <c r="O1607" s="32" t="str">
        <f>IF($M1607="","",IF($K1607-$M1607&gt;7,"",IF($M1607&lt;=$A1607,"",IF(OR($B1607&lt;=0,$N1607&lt;=0),"",($N1607/$B1607)^(365/($M1607-$A1607))-1))))</f>
        <v/>
      </c>
      <c r="P1607" s="31" t="str">
        <f>IF($B1607="","",IF($P1606="",$B1607,MAX($P1606,$B1607)))</f>
        <v/>
      </c>
      <c r="Q1607" s="32" t="str">
        <f>IF($P1607="","",$B1607/$P1607-1)</f>
        <v/>
      </c>
    </row>
    <row r="1608">
      <c r="A1608" s="11" t="n"/>
      <c r="B1608" s="29" t="n"/>
      <c r="K1608" s="30" t="str">
        <f>IF($A1608="","",EDATE($A1608,12*$E$4))</f>
        <v/>
      </c>
      <c r="L1608" s="19" t="str">
        <f>IF($K1608="","",IF($K1608&gt;MAX($A$8:$A$5007),"",IFERROR(MATCH($K1608,$A$8:$A$5007,1),"")))</f>
        <v/>
      </c>
      <c r="M1608" s="30" t="str">
        <f>IF($L1608="","",INDEX($A$8:$A$5007,$L1608))</f>
        <v/>
      </c>
      <c r="N1608" s="31" t="str">
        <f>IF($L1608="","",INDEX($B$8:$B$5007,$L1608))</f>
        <v/>
      </c>
      <c r="O1608" s="32" t="str">
        <f>IF($M1608="","",IF($K1608-$M1608&gt;7,"",IF($M1608&lt;=$A1608,"",IF(OR($B1608&lt;=0,$N1608&lt;=0),"",($N1608/$B1608)^(365/($M1608-$A1608))-1))))</f>
        <v/>
      </c>
      <c r="P1608" s="31" t="str">
        <f>IF($B1608="","",IF($P1607="",$B1608,MAX($P1607,$B1608)))</f>
        <v/>
      </c>
      <c r="Q1608" s="32" t="str">
        <f>IF($P1608="","",$B1608/$P1608-1)</f>
        <v/>
      </c>
    </row>
    <row r="1609">
      <c r="A1609" s="11" t="n"/>
      <c r="B1609" s="29" t="n"/>
      <c r="K1609" s="30" t="str">
        <f>IF($A1609="","",EDATE($A1609,12*$E$4))</f>
        <v/>
      </c>
      <c r="L1609" s="19" t="str">
        <f>IF($K1609="","",IF($K1609&gt;MAX($A$8:$A$5007),"",IFERROR(MATCH($K1609,$A$8:$A$5007,1),"")))</f>
        <v/>
      </c>
      <c r="M1609" s="30" t="str">
        <f>IF($L1609="","",INDEX($A$8:$A$5007,$L1609))</f>
        <v/>
      </c>
      <c r="N1609" s="31" t="str">
        <f>IF($L1609="","",INDEX($B$8:$B$5007,$L1609))</f>
        <v/>
      </c>
      <c r="O1609" s="32" t="str">
        <f>IF($M1609="","",IF($K1609-$M1609&gt;7,"",IF($M1609&lt;=$A1609,"",IF(OR($B1609&lt;=0,$N1609&lt;=0),"",($N1609/$B1609)^(365/($M1609-$A1609))-1))))</f>
        <v/>
      </c>
      <c r="P1609" s="31" t="str">
        <f>IF($B1609="","",IF($P1608="",$B1609,MAX($P1608,$B1609)))</f>
        <v/>
      </c>
      <c r="Q1609" s="32" t="str">
        <f>IF($P1609="","",$B1609/$P1609-1)</f>
        <v/>
      </c>
    </row>
    <row r="1610">
      <c r="A1610" s="11" t="n"/>
      <c r="B1610" s="29" t="n"/>
      <c r="K1610" s="30" t="str">
        <f>IF($A1610="","",EDATE($A1610,12*$E$4))</f>
        <v/>
      </c>
      <c r="L1610" s="19" t="str">
        <f>IF($K1610="","",IF($K1610&gt;MAX($A$8:$A$5007),"",IFERROR(MATCH($K1610,$A$8:$A$5007,1),"")))</f>
        <v/>
      </c>
      <c r="M1610" s="30" t="str">
        <f>IF($L1610="","",INDEX($A$8:$A$5007,$L1610))</f>
        <v/>
      </c>
      <c r="N1610" s="31" t="str">
        <f>IF($L1610="","",INDEX($B$8:$B$5007,$L1610))</f>
        <v/>
      </c>
      <c r="O1610" s="32" t="str">
        <f>IF($M1610="","",IF($K1610-$M1610&gt;7,"",IF($M1610&lt;=$A1610,"",IF(OR($B1610&lt;=0,$N1610&lt;=0),"",($N1610/$B1610)^(365/($M1610-$A1610))-1))))</f>
        <v/>
      </c>
      <c r="P1610" s="31" t="str">
        <f>IF($B1610="","",IF($P1609="",$B1610,MAX($P1609,$B1610)))</f>
        <v/>
      </c>
      <c r="Q1610" s="32" t="str">
        <f>IF($P1610="","",$B1610/$P1610-1)</f>
        <v/>
      </c>
    </row>
    <row r="1611">
      <c r="A1611" s="11" t="n"/>
      <c r="B1611" s="29" t="n"/>
      <c r="K1611" s="30" t="str">
        <f>IF($A1611="","",EDATE($A1611,12*$E$4))</f>
        <v/>
      </c>
      <c r="L1611" s="19" t="str">
        <f>IF($K1611="","",IF($K1611&gt;MAX($A$8:$A$5007),"",IFERROR(MATCH($K1611,$A$8:$A$5007,1),"")))</f>
        <v/>
      </c>
      <c r="M1611" s="30" t="str">
        <f>IF($L1611="","",INDEX($A$8:$A$5007,$L1611))</f>
        <v/>
      </c>
      <c r="N1611" s="31" t="str">
        <f>IF($L1611="","",INDEX($B$8:$B$5007,$L1611))</f>
        <v/>
      </c>
      <c r="O1611" s="32" t="str">
        <f>IF($M1611="","",IF($K1611-$M1611&gt;7,"",IF($M1611&lt;=$A1611,"",IF(OR($B1611&lt;=0,$N1611&lt;=0),"",($N1611/$B1611)^(365/($M1611-$A1611))-1))))</f>
        <v/>
      </c>
      <c r="P1611" s="31" t="str">
        <f>IF($B1611="","",IF($P1610="",$B1611,MAX($P1610,$B1611)))</f>
        <v/>
      </c>
      <c r="Q1611" s="32" t="str">
        <f>IF($P1611="","",$B1611/$P1611-1)</f>
        <v/>
      </c>
    </row>
    <row r="1612">
      <c r="A1612" s="11" t="n"/>
      <c r="B1612" s="29" t="n"/>
      <c r="K1612" s="30" t="str">
        <f>IF($A1612="","",EDATE($A1612,12*$E$4))</f>
        <v/>
      </c>
      <c r="L1612" s="19" t="str">
        <f>IF($K1612="","",IF($K1612&gt;MAX($A$8:$A$5007),"",IFERROR(MATCH($K1612,$A$8:$A$5007,1),"")))</f>
        <v/>
      </c>
      <c r="M1612" s="30" t="str">
        <f>IF($L1612="","",INDEX($A$8:$A$5007,$L1612))</f>
        <v/>
      </c>
      <c r="N1612" s="31" t="str">
        <f>IF($L1612="","",INDEX($B$8:$B$5007,$L1612))</f>
        <v/>
      </c>
      <c r="O1612" s="32" t="str">
        <f>IF($M1612="","",IF($K1612-$M1612&gt;7,"",IF($M1612&lt;=$A1612,"",IF(OR($B1612&lt;=0,$N1612&lt;=0),"",($N1612/$B1612)^(365/($M1612-$A1612))-1))))</f>
        <v/>
      </c>
      <c r="P1612" s="31" t="str">
        <f>IF($B1612="","",IF($P1611="",$B1612,MAX($P1611,$B1612)))</f>
        <v/>
      </c>
      <c r="Q1612" s="32" t="str">
        <f>IF($P1612="","",$B1612/$P1612-1)</f>
        <v/>
      </c>
    </row>
    <row r="1613">
      <c r="A1613" s="11" t="n"/>
      <c r="B1613" s="29" t="n"/>
      <c r="K1613" s="30" t="str">
        <f>IF($A1613="","",EDATE($A1613,12*$E$4))</f>
        <v/>
      </c>
      <c r="L1613" s="19" t="str">
        <f>IF($K1613="","",IF($K1613&gt;MAX($A$8:$A$5007),"",IFERROR(MATCH($K1613,$A$8:$A$5007,1),"")))</f>
        <v/>
      </c>
      <c r="M1613" s="30" t="str">
        <f>IF($L1613="","",INDEX($A$8:$A$5007,$L1613))</f>
        <v/>
      </c>
      <c r="N1613" s="31" t="str">
        <f>IF($L1613="","",INDEX($B$8:$B$5007,$L1613))</f>
        <v/>
      </c>
      <c r="O1613" s="32" t="str">
        <f>IF($M1613="","",IF($K1613-$M1613&gt;7,"",IF($M1613&lt;=$A1613,"",IF(OR($B1613&lt;=0,$N1613&lt;=0),"",($N1613/$B1613)^(365/($M1613-$A1613))-1))))</f>
        <v/>
      </c>
      <c r="P1613" s="31" t="str">
        <f>IF($B1613="","",IF($P1612="",$B1613,MAX($P1612,$B1613)))</f>
        <v/>
      </c>
      <c r="Q1613" s="32" t="str">
        <f>IF($P1613="","",$B1613/$P1613-1)</f>
        <v/>
      </c>
    </row>
    <row r="1614">
      <c r="A1614" s="11" t="n"/>
      <c r="B1614" s="29" t="n"/>
      <c r="K1614" s="30" t="str">
        <f>IF($A1614="","",EDATE($A1614,12*$E$4))</f>
        <v/>
      </c>
      <c r="L1614" s="19" t="str">
        <f>IF($K1614="","",IF($K1614&gt;MAX($A$8:$A$5007),"",IFERROR(MATCH($K1614,$A$8:$A$5007,1),"")))</f>
        <v/>
      </c>
      <c r="M1614" s="30" t="str">
        <f>IF($L1614="","",INDEX($A$8:$A$5007,$L1614))</f>
        <v/>
      </c>
      <c r="N1614" s="31" t="str">
        <f>IF($L1614="","",INDEX($B$8:$B$5007,$L1614))</f>
        <v/>
      </c>
      <c r="O1614" s="32" t="str">
        <f>IF($M1614="","",IF($K1614-$M1614&gt;7,"",IF($M1614&lt;=$A1614,"",IF(OR($B1614&lt;=0,$N1614&lt;=0),"",($N1614/$B1614)^(365/($M1614-$A1614))-1))))</f>
        <v/>
      </c>
      <c r="P1614" s="31" t="str">
        <f>IF($B1614="","",IF($P1613="",$B1614,MAX($P1613,$B1614)))</f>
        <v/>
      </c>
      <c r="Q1614" s="32" t="str">
        <f>IF($P1614="","",$B1614/$P1614-1)</f>
        <v/>
      </c>
    </row>
    <row r="1615">
      <c r="A1615" s="11" t="n"/>
      <c r="B1615" s="29" t="n"/>
      <c r="K1615" s="30" t="str">
        <f>IF($A1615="","",EDATE($A1615,12*$E$4))</f>
        <v/>
      </c>
      <c r="L1615" s="19" t="str">
        <f>IF($K1615="","",IF($K1615&gt;MAX($A$8:$A$5007),"",IFERROR(MATCH($K1615,$A$8:$A$5007,1),"")))</f>
        <v/>
      </c>
      <c r="M1615" s="30" t="str">
        <f>IF($L1615="","",INDEX($A$8:$A$5007,$L1615))</f>
        <v/>
      </c>
      <c r="N1615" s="31" t="str">
        <f>IF($L1615="","",INDEX($B$8:$B$5007,$L1615))</f>
        <v/>
      </c>
      <c r="O1615" s="32" t="str">
        <f>IF($M1615="","",IF($K1615-$M1615&gt;7,"",IF($M1615&lt;=$A1615,"",IF(OR($B1615&lt;=0,$N1615&lt;=0),"",($N1615/$B1615)^(365/($M1615-$A1615))-1))))</f>
        <v/>
      </c>
      <c r="P1615" s="31" t="str">
        <f>IF($B1615="","",IF($P1614="",$B1615,MAX($P1614,$B1615)))</f>
        <v/>
      </c>
      <c r="Q1615" s="32" t="str">
        <f>IF($P1615="","",$B1615/$P1615-1)</f>
        <v/>
      </c>
    </row>
    <row r="1616">
      <c r="A1616" s="11" t="n"/>
      <c r="B1616" s="29" t="n"/>
      <c r="K1616" s="30" t="str">
        <f>IF($A1616="","",EDATE($A1616,12*$E$4))</f>
        <v/>
      </c>
      <c r="L1616" s="19" t="str">
        <f>IF($K1616="","",IF($K1616&gt;MAX($A$8:$A$5007),"",IFERROR(MATCH($K1616,$A$8:$A$5007,1),"")))</f>
        <v/>
      </c>
      <c r="M1616" s="30" t="str">
        <f>IF($L1616="","",INDEX($A$8:$A$5007,$L1616))</f>
        <v/>
      </c>
      <c r="N1616" s="31" t="str">
        <f>IF($L1616="","",INDEX($B$8:$B$5007,$L1616))</f>
        <v/>
      </c>
      <c r="O1616" s="32" t="str">
        <f>IF($M1616="","",IF($K1616-$M1616&gt;7,"",IF($M1616&lt;=$A1616,"",IF(OR($B1616&lt;=0,$N1616&lt;=0),"",($N1616/$B1616)^(365/($M1616-$A1616))-1))))</f>
        <v/>
      </c>
      <c r="P1616" s="31" t="str">
        <f>IF($B1616="","",IF($P1615="",$B1616,MAX($P1615,$B1616)))</f>
        <v/>
      </c>
      <c r="Q1616" s="32" t="str">
        <f>IF($P1616="","",$B1616/$P1616-1)</f>
        <v/>
      </c>
    </row>
    <row r="1617">
      <c r="A1617" s="11" t="n"/>
      <c r="B1617" s="29" t="n"/>
      <c r="K1617" s="30" t="str">
        <f>IF($A1617="","",EDATE($A1617,12*$E$4))</f>
        <v/>
      </c>
      <c r="L1617" s="19" t="str">
        <f>IF($K1617="","",IF($K1617&gt;MAX($A$8:$A$5007),"",IFERROR(MATCH($K1617,$A$8:$A$5007,1),"")))</f>
        <v/>
      </c>
      <c r="M1617" s="30" t="str">
        <f>IF($L1617="","",INDEX($A$8:$A$5007,$L1617))</f>
        <v/>
      </c>
      <c r="N1617" s="31" t="str">
        <f>IF($L1617="","",INDEX($B$8:$B$5007,$L1617))</f>
        <v/>
      </c>
      <c r="O1617" s="32" t="str">
        <f>IF($M1617="","",IF($K1617-$M1617&gt;7,"",IF($M1617&lt;=$A1617,"",IF(OR($B1617&lt;=0,$N1617&lt;=0),"",($N1617/$B1617)^(365/($M1617-$A1617))-1))))</f>
        <v/>
      </c>
      <c r="P1617" s="31" t="str">
        <f>IF($B1617="","",IF($P1616="",$B1617,MAX($P1616,$B1617)))</f>
        <v/>
      </c>
      <c r="Q1617" s="32" t="str">
        <f>IF($P1617="","",$B1617/$P1617-1)</f>
        <v/>
      </c>
    </row>
    <row r="1618">
      <c r="A1618" s="11" t="n"/>
      <c r="B1618" s="29" t="n"/>
      <c r="K1618" s="30" t="str">
        <f>IF($A1618="","",EDATE($A1618,12*$E$4))</f>
        <v/>
      </c>
      <c r="L1618" s="19" t="str">
        <f>IF($K1618="","",IF($K1618&gt;MAX($A$8:$A$5007),"",IFERROR(MATCH($K1618,$A$8:$A$5007,1),"")))</f>
        <v/>
      </c>
      <c r="M1618" s="30" t="str">
        <f>IF($L1618="","",INDEX($A$8:$A$5007,$L1618))</f>
        <v/>
      </c>
      <c r="N1618" s="31" t="str">
        <f>IF($L1618="","",INDEX($B$8:$B$5007,$L1618))</f>
        <v/>
      </c>
      <c r="O1618" s="32" t="str">
        <f>IF($M1618="","",IF($K1618-$M1618&gt;7,"",IF($M1618&lt;=$A1618,"",IF(OR($B1618&lt;=0,$N1618&lt;=0),"",($N1618/$B1618)^(365/($M1618-$A1618))-1))))</f>
        <v/>
      </c>
      <c r="P1618" s="31" t="str">
        <f>IF($B1618="","",IF($P1617="",$B1618,MAX($P1617,$B1618)))</f>
        <v/>
      </c>
      <c r="Q1618" s="32" t="str">
        <f>IF($P1618="","",$B1618/$P1618-1)</f>
        <v/>
      </c>
    </row>
    <row r="1619">
      <c r="A1619" s="11" t="n"/>
      <c r="B1619" s="29" t="n"/>
      <c r="K1619" s="30" t="str">
        <f>IF($A1619="","",EDATE($A1619,12*$E$4))</f>
        <v/>
      </c>
      <c r="L1619" s="19" t="str">
        <f>IF($K1619="","",IF($K1619&gt;MAX($A$8:$A$5007),"",IFERROR(MATCH($K1619,$A$8:$A$5007,1),"")))</f>
        <v/>
      </c>
      <c r="M1619" s="30" t="str">
        <f>IF($L1619="","",INDEX($A$8:$A$5007,$L1619))</f>
        <v/>
      </c>
      <c r="N1619" s="31" t="str">
        <f>IF($L1619="","",INDEX($B$8:$B$5007,$L1619))</f>
        <v/>
      </c>
      <c r="O1619" s="32" t="str">
        <f>IF($M1619="","",IF($K1619-$M1619&gt;7,"",IF($M1619&lt;=$A1619,"",IF(OR($B1619&lt;=0,$N1619&lt;=0),"",($N1619/$B1619)^(365/($M1619-$A1619))-1))))</f>
        <v/>
      </c>
      <c r="P1619" s="31" t="str">
        <f>IF($B1619="","",IF($P1618="",$B1619,MAX($P1618,$B1619)))</f>
        <v/>
      </c>
      <c r="Q1619" s="32" t="str">
        <f>IF($P1619="","",$B1619/$P1619-1)</f>
        <v/>
      </c>
    </row>
    <row r="1620">
      <c r="A1620" s="11" t="n"/>
      <c r="B1620" s="29" t="n"/>
      <c r="K1620" s="30" t="str">
        <f>IF($A1620="","",EDATE($A1620,12*$E$4))</f>
        <v/>
      </c>
      <c r="L1620" s="19" t="str">
        <f>IF($K1620="","",IF($K1620&gt;MAX($A$8:$A$5007),"",IFERROR(MATCH($K1620,$A$8:$A$5007,1),"")))</f>
        <v/>
      </c>
      <c r="M1620" s="30" t="str">
        <f>IF($L1620="","",INDEX($A$8:$A$5007,$L1620))</f>
        <v/>
      </c>
      <c r="N1620" s="31" t="str">
        <f>IF($L1620="","",INDEX($B$8:$B$5007,$L1620))</f>
        <v/>
      </c>
      <c r="O1620" s="32" t="str">
        <f>IF($M1620="","",IF($K1620-$M1620&gt;7,"",IF($M1620&lt;=$A1620,"",IF(OR($B1620&lt;=0,$N1620&lt;=0),"",($N1620/$B1620)^(365/($M1620-$A1620))-1))))</f>
        <v/>
      </c>
      <c r="P1620" s="31" t="str">
        <f>IF($B1620="","",IF($P1619="",$B1620,MAX($P1619,$B1620)))</f>
        <v/>
      </c>
      <c r="Q1620" s="32" t="str">
        <f>IF($P1620="","",$B1620/$P1620-1)</f>
        <v/>
      </c>
    </row>
    <row r="1621">
      <c r="A1621" s="11" t="n"/>
      <c r="B1621" s="29" t="n"/>
      <c r="K1621" s="30" t="str">
        <f>IF($A1621="","",EDATE($A1621,12*$E$4))</f>
        <v/>
      </c>
      <c r="L1621" s="19" t="str">
        <f>IF($K1621="","",IF($K1621&gt;MAX($A$8:$A$5007),"",IFERROR(MATCH($K1621,$A$8:$A$5007,1),"")))</f>
        <v/>
      </c>
      <c r="M1621" s="30" t="str">
        <f>IF($L1621="","",INDEX($A$8:$A$5007,$L1621))</f>
        <v/>
      </c>
      <c r="N1621" s="31" t="str">
        <f>IF($L1621="","",INDEX($B$8:$B$5007,$L1621))</f>
        <v/>
      </c>
      <c r="O1621" s="32" t="str">
        <f>IF($M1621="","",IF($K1621-$M1621&gt;7,"",IF($M1621&lt;=$A1621,"",IF(OR($B1621&lt;=0,$N1621&lt;=0),"",($N1621/$B1621)^(365/($M1621-$A1621))-1))))</f>
        <v/>
      </c>
      <c r="P1621" s="31" t="str">
        <f>IF($B1621="","",IF($P1620="",$B1621,MAX($P1620,$B1621)))</f>
        <v/>
      </c>
      <c r="Q1621" s="32" t="str">
        <f>IF($P1621="","",$B1621/$P1621-1)</f>
        <v/>
      </c>
    </row>
    <row r="1622">
      <c r="A1622" s="11" t="n"/>
      <c r="B1622" s="29" t="n"/>
      <c r="K1622" s="30" t="str">
        <f>IF($A1622="","",EDATE($A1622,12*$E$4))</f>
        <v/>
      </c>
      <c r="L1622" s="19" t="str">
        <f>IF($K1622="","",IF($K1622&gt;MAX($A$8:$A$5007),"",IFERROR(MATCH($K1622,$A$8:$A$5007,1),"")))</f>
        <v/>
      </c>
      <c r="M1622" s="30" t="str">
        <f>IF($L1622="","",INDEX($A$8:$A$5007,$L1622))</f>
        <v/>
      </c>
      <c r="N1622" s="31" t="str">
        <f>IF($L1622="","",INDEX($B$8:$B$5007,$L1622))</f>
        <v/>
      </c>
      <c r="O1622" s="32" t="str">
        <f>IF($M1622="","",IF($K1622-$M1622&gt;7,"",IF($M1622&lt;=$A1622,"",IF(OR($B1622&lt;=0,$N1622&lt;=0),"",($N1622/$B1622)^(365/($M1622-$A1622))-1))))</f>
        <v/>
      </c>
      <c r="P1622" s="31" t="str">
        <f>IF($B1622="","",IF($P1621="",$B1622,MAX($P1621,$B1622)))</f>
        <v/>
      </c>
      <c r="Q1622" s="32" t="str">
        <f>IF($P1622="","",$B1622/$P1622-1)</f>
        <v/>
      </c>
    </row>
    <row r="1623">
      <c r="A1623" s="11" t="n"/>
      <c r="B1623" s="29" t="n"/>
      <c r="K1623" s="30" t="str">
        <f>IF($A1623="","",EDATE($A1623,12*$E$4))</f>
        <v/>
      </c>
      <c r="L1623" s="19" t="str">
        <f>IF($K1623="","",IF($K1623&gt;MAX($A$8:$A$5007),"",IFERROR(MATCH($K1623,$A$8:$A$5007,1),"")))</f>
        <v/>
      </c>
      <c r="M1623" s="30" t="str">
        <f>IF($L1623="","",INDEX($A$8:$A$5007,$L1623))</f>
        <v/>
      </c>
      <c r="N1623" s="31" t="str">
        <f>IF($L1623="","",INDEX($B$8:$B$5007,$L1623))</f>
        <v/>
      </c>
      <c r="O1623" s="32" t="str">
        <f>IF($M1623="","",IF($K1623-$M1623&gt;7,"",IF($M1623&lt;=$A1623,"",IF(OR($B1623&lt;=0,$N1623&lt;=0),"",($N1623/$B1623)^(365/($M1623-$A1623))-1))))</f>
        <v/>
      </c>
      <c r="P1623" s="31" t="str">
        <f>IF($B1623="","",IF($P1622="",$B1623,MAX($P1622,$B1623)))</f>
        <v/>
      </c>
      <c r="Q1623" s="32" t="str">
        <f>IF($P1623="","",$B1623/$P1623-1)</f>
        <v/>
      </c>
    </row>
    <row r="1624">
      <c r="A1624" s="11" t="n"/>
      <c r="B1624" s="29" t="n"/>
      <c r="K1624" s="30" t="str">
        <f>IF($A1624="","",EDATE($A1624,12*$E$4))</f>
        <v/>
      </c>
      <c r="L1624" s="19" t="str">
        <f>IF($K1624="","",IF($K1624&gt;MAX($A$8:$A$5007),"",IFERROR(MATCH($K1624,$A$8:$A$5007,1),"")))</f>
        <v/>
      </c>
      <c r="M1624" s="30" t="str">
        <f>IF($L1624="","",INDEX($A$8:$A$5007,$L1624))</f>
        <v/>
      </c>
      <c r="N1624" s="31" t="str">
        <f>IF($L1624="","",INDEX($B$8:$B$5007,$L1624))</f>
        <v/>
      </c>
      <c r="O1624" s="32" t="str">
        <f>IF($M1624="","",IF($K1624-$M1624&gt;7,"",IF($M1624&lt;=$A1624,"",IF(OR($B1624&lt;=0,$N1624&lt;=0),"",($N1624/$B1624)^(365/($M1624-$A1624))-1))))</f>
        <v/>
      </c>
      <c r="P1624" s="31" t="str">
        <f>IF($B1624="","",IF($P1623="",$B1624,MAX($P1623,$B1624)))</f>
        <v/>
      </c>
      <c r="Q1624" s="32" t="str">
        <f>IF($P1624="","",$B1624/$P1624-1)</f>
        <v/>
      </c>
    </row>
    <row r="1625">
      <c r="A1625" s="11" t="n"/>
      <c r="B1625" s="29" t="n"/>
      <c r="K1625" s="30" t="str">
        <f>IF($A1625="","",EDATE($A1625,12*$E$4))</f>
        <v/>
      </c>
      <c r="L1625" s="19" t="str">
        <f>IF($K1625="","",IF($K1625&gt;MAX($A$8:$A$5007),"",IFERROR(MATCH($K1625,$A$8:$A$5007,1),"")))</f>
        <v/>
      </c>
      <c r="M1625" s="30" t="str">
        <f>IF($L1625="","",INDEX($A$8:$A$5007,$L1625))</f>
        <v/>
      </c>
      <c r="N1625" s="31" t="str">
        <f>IF($L1625="","",INDEX($B$8:$B$5007,$L1625))</f>
        <v/>
      </c>
      <c r="O1625" s="32" t="str">
        <f>IF($M1625="","",IF($K1625-$M1625&gt;7,"",IF($M1625&lt;=$A1625,"",IF(OR($B1625&lt;=0,$N1625&lt;=0),"",($N1625/$B1625)^(365/($M1625-$A1625))-1))))</f>
        <v/>
      </c>
      <c r="P1625" s="31" t="str">
        <f>IF($B1625="","",IF($P1624="",$B1625,MAX($P1624,$B1625)))</f>
        <v/>
      </c>
      <c r="Q1625" s="32" t="str">
        <f>IF($P1625="","",$B1625/$P1625-1)</f>
        <v/>
      </c>
    </row>
    <row r="1626">
      <c r="A1626" s="11" t="n"/>
      <c r="B1626" s="29" t="n"/>
      <c r="K1626" s="30" t="str">
        <f>IF($A1626="","",EDATE($A1626,12*$E$4))</f>
        <v/>
      </c>
      <c r="L1626" s="19" t="str">
        <f>IF($K1626="","",IF($K1626&gt;MAX($A$8:$A$5007),"",IFERROR(MATCH($K1626,$A$8:$A$5007,1),"")))</f>
        <v/>
      </c>
      <c r="M1626" s="30" t="str">
        <f>IF($L1626="","",INDEX($A$8:$A$5007,$L1626))</f>
        <v/>
      </c>
      <c r="N1626" s="31" t="str">
        <f>IF($L1626="","",INDEX($B$8:$B$5007,$L1626))</f>
        <v/>
      </c>
      <c r="O1626" s="32" t="str">
        <f>IF($M1626="","",IF($K1626-$M1626&gt;7,"",IF($M1626&lt;=$A1626,"",IF(OR($B1626&lt;=0,$N1626&lt;=0),"",($N1626/$B1626)^(365/($M1626-$A1626))-1))))</f>
        <v/>
      </c>
      <c r="P1626" s="31" t="str">
        <f>IF($B1626="","",IF($P1625="",$B1626,MAX($P1625,$B1626)))</f>
        <v/>
      </c>
      <c r="Q1626" s="32" t="str">
        <f>IF($P1626="","",$B1626/$P1626-1)</f>
        <v/>
      </c>
    </row>
    <row r="1627">
      <c r="A1627" s="11" t="n"/>
      <c r="B1627" s="29" t="n"/>
      <c r="K1627" s="30" t="str">
        <f>IF($A1627="","",EDATE($A1627,12*$E$4))</f>
        <v/>
      </c>
      <c r="L1627" s="19" t="str">
        <f>IF($K1627="","",IF($K1627&gt;MAX($A$8:$A$5007),"",IFERROR(MATCH($K1627,$A$8:$A$5007,1),"")))</f>
        <v/>
      </c>
      <c r="M1627" s="30" t="str">
        <f>IF($L1627="","",INDEX($A$8:$A$5007,$L1627))</f>
        <v/>
      </c>
      <c r="N1627" s="31" t="str">
        <f>IF($L1627="","",INDEX($B$8:$B$5007,$L1627))</f>
        <v/>
      </c>
      <c r="O1627" s="32" t="str">
        <f>IF($M1627="","",IF($K1627-$M1627&gt;7,"",IF($M1627&lt;=$A1627,"",IF(OR($B1627&lt;=0,$N1627&lt;=0),"",($N1627/$B1627)^(365/($M1627-$A1627))-1))))</f>
        <v/>
      </c>
      <c r="P1627" s="31" t="str">
        <f>IF($B1627="","",IF($P1626="",$B1627,MAX($P1626,$B1627)))</f>
        <v/>
      </c>
      <c r="Q1627" s="32" t="str">
        <f>IF($P1627="","",$B1627/$P1627-1)</f>
        <v/>
      </c>
    </row>
    <row r="1628">
      <c r="A1628" s="11" t="n"/>
      <c r="B1628" s="29" t="n"/>
      <c r="K1628" s="30" t="str">
        <f>IF($A1628="","",EDATE($A1628,12*$E$4))</f>
        <v/>
      </c>
      <c r="L1628" s="19" t="str">
        <f>IF($K1628="","",IF($K1628&gt;MAX($A$8:$A$5007),"",IFERROR(MATCH($K1628,$A$8:$A$5007,1),"")))</f>
        <v/>
      </c>
      <c r="M1628" s="30" t="str">
        <f>IF($L1628="","",INDEX($A$8:$A$5007,$L1628))</f>
        <v/>
      </c>
      <c r="N1628" s="31" t="str">
        <f>IF($L1628="","",INDEX($B$8:$B$5007,$L1628))</f>
        <v/>
      </c>
      <c r="O1628" s="32" t="str">
        <f>IF($M1628="","",IF($K1628-$M1628&gt;7,"",IF($M1628&lt;=$A1628,"",IF(OR($B1628&lt;=0,$N1628&lt;=0),"",($N1628/$B1628)^(365/($M1628-$A1628))-1))))</f>
        <v/>
      </c>
      <c r="P1628" s="31" t="str">
        <f>IF($B1628="","",IF($P1627="",$B1628,MAX($P1627,$B1628)))</f>
        <v/>
      </c>
      <c r="Q1628" s="32" t="str">
        <f>IF($P1628="","",$B1628/$P1628-1)</f>
        <v/>
      </c>
    </row>
    <row r="1629">
      <c r="A1629" s="11" t="n"/>
      <c r="B1629" s="29" t="n"/>
      <c r="K1629" s="30" t="str">
        <f>IF($A1629="","",EDATE($A1629,12*$E$4))</f>
        <v/>
      </c>
      <c r="L1629" s="19" t="str">
        <f>IF($K1629="","",IF($K1629&gt;MAX($A$8:$A$5007),"",IFERROR(MATCH($K1629,$A$8:$A$5007,1),"")))</f>
        <v/>
      </c>
      <c r="M1629" s="30" t="str">
        <f>IF($L1629="","",INDEX($A$8:$A$5007,$L1629))</f>
        <v/>
      </c>
      <c r="N1629" s="31" t="str">
        <f>IF($L1629="","",INDEX($B$8:$B$5007,$L1629))</f>
        <v/>
      </c>
      <c r="O1629" s="32" t="str">
        <f>IF($M1629="","",IF($K1629-$M1629&gt;7,"",IF($M1629&lt;=$A1629,"",IF(OR($B1629&lt;=0,$N1629&lt;=0),"",($N1629/$B1629)^(365/($M1629-$A1629))-1))))</f>
        <v/>
      </c>
      <c r="P1629" s="31" t="str">
        <f>IF($B1629="","",IF($P1628="",$B1629,MAX($P1628,$B1629)))</f>
        <v/>
      </c>
      <c r="Q1629" s="32" t="str">
        <f>IF($P1629="","",$B1629/$P1629-1)</f>
        <v/>
      </c>
    </row>
    <row r="1630">
      <c r="A1630" s="11" t="n"/>
      <c r="B1630" s="29" t="n"/>
      <c r="K1630" s="30" t="str">
        <f>IF($A1630="","",EDATE($A1630,12*$E$4))</f>
        <v/>
      </c>
      <c r="L1630" s="19" t="str">
        <f>IF($K1630="","",IF($K1630&gt;MAX($A$8:$A$5007),"",IFERROR(MATCH($K1630,$A$8:$A$5007,1),"")))</f>
        <v/>
      </c>
      <c r="M1630" s="30" t="str">
        <f>IF($L1630="","",INDEX($A$8:$A$5007,$L1630))</f>
        <v/>
      </c>
      <c r="N1630" s="31" t="str">
        <f>IF($L1630="","",INDEX($B$8:$B$5007,$L1630))</f>
        <v/>
      </c>
      <c r="O1630" s="32" t="str">
        <f>IF($M1630="","",IF($K1630-$M1630&gt;7,"",IF($M1630&lt;=$A1630,"",IF(OR($B1630&lt;=0,$N1630&lt;=0),"",($N1630/$B1630)^(365/($M1630-$A1630))-1))))</f>
        <v/>
      </c>
      <c r="P1630" s="31" t="str">
        <f>IF($B1630="","",IF($P1629="",$B1630,MAX($P1629,$B1630)))</f>
        <v/>
      </c>
      <c r="Q1630" s="32" t="str">
        <f>IF($P1630="","",$B1630/$P1630-1)</f>
        <v/>
      </c>
    </row>
    <row r="1631">
      <c r="A1631" s="11" t="n"/>
      <c r="B1631" s="29" t="n"/>
      <c r="K1631" s="30" t="str">
        <f>IF($A1631="","",EDATE($A1631,12*$E$4))</f>
        <v/>
      </c>
      <c r="L1631" s="19" t="str">
        <f>IF($K1631="","",IF($K1631&gt;MAX($A$8:$A$5007),"",IFERROR(MATCH($K1631,$A$8:$A$5007,1),"")))</f>
        <v/>
      </c>
      <c r="M1631" s="30" t="str">
        <f>IF($L1631="","",INDEX($A$8:$A$5007,$L1631))</f>
        <v/>
      </c>
      <c r="N1631" s="31" t="str">
        <f>IF($L1631="","",INDEX($B$8:$B$5007,$L1631))</f>
        <v/>
      </c>
      <c r="O1631" s="32" t="str">
        <f>IF($M1631="","",IF($K1631-$M1631&gt;7,"",IF($M1631&lt;=$A1631,"",IF(OR($B1631&lt;=0,$N1631&lt;=0),"",($N1631/$B1631)^(365/($M1631-$A1631))-1))))</f>
        <v/>
      </c>
      <c r="P1631" s="31" t="str">
        <f>IF($B1631="","",IF($P1630="",$B1631,MAX($P1630,$B1631)))</f>
        <v/>
      </c>
      <c r="Q1631" s="32" t="str">
        <f>IF($P1631="","",$B1631/$P1631-1)</f>
        <v/>
      </c>
    </row>
    <row r="1632">
      <c r="A1632" s="11" t="n"/>
      <c r="B1632" s="29" t="n"/>
      <c r="K1632" s="30" t="str">
        <f>IF($A1632="","",EDATE($A1632,12*$E$4))</f>
        <v/>
      </c>
      <c r="L1632" s="19" t="str">
        <f>IF($K1632="","",IF($K1632&gt;MAX($A$8:$A$5007),"",IFERROR(MATCH($K1632,$A$8:$A$5007,1),"")))</f>
        <v/>
      </c>
      <c r="M1632" s="30" t="str">
        <f>IF($L1632="","",INDEX($A$8:$A$5007,$L1632))</f>
        <v/>
      </c>
      <c r="N1632" s="31" t="str">
        <f>IF($L1632="","",INDEX($B$8:$B$5007,$L1632))</f>
        <v/>
      </c>
      <c r="O1632" s="32" t="str">
        <f>IF($M1632="","",IF($K1632-$M1632&gt;7,"",IF($M1632&lt;=$A1632,"",IF(OR($B1632&lt;=0,$N1632&lt;=0),"",($N1632/$B1632)^(365/($M1632-$A1632))-1))))</f>
        <v/>
      </c>
      <c r="P1632" s="31" t="str">
        <f>IF($B1632="","",IF($P1631="",$B1632,MAX($P1631,$B1632)))</f>
        <v/>
      </c>
      <c r="Q1632" s="32" t="str">
        <f>IF($P1632="","",$B1632/$P1632-1)</f>
        <v/>
      </c>
    </row>
    <row r="1633">
      <c r="A1633" s="11" t="n"/>
      <c r="B1633" s="29" t="n"/>
      <c r="K1633" s="30" t="str">
        <f>IF($A1633="","",EDATE($A1633,12*$E$4))</f>
        <v/>
      </c>
      <c r="L1633" s="19" t="str">
        <f>IF($K1633="","",IF($K1633&gt;MAX($A$8:$A$5007),"",IFERROR(MATCH($K1633,$A$8:$A$5007,1),"")))</f>
        <v/>
      </c>
      <c r="M1633" s="30" t="str">
        <f>IF($L1633="","",INDEX($A$8:$A$5007,$L1633))</f>
        <v/>
      </c>
      <c r="N1633" s="31" t="str">
        <f>IF($L1633="","",INDEX($B$8:$B$5007,$L1633))</f>
        <v/>
      </c>
      <c r="O1633" s="32" t="str">
        <f>IF($M1633="","",IF($K1633-$M1633&gt;7,"",IF($M1633&lt;=$A1633,"",IF(OR($B1633&lt;=0,$N1633&lt;=0),"",($N1633/$B1633)^(365/($M1633-$A1633))-1))))</f>
        <v/>
      </c>
      <c r="P1633" s="31" t="str">
        <f>IF($B1633="","",IF($P1632="",$B1633,MAX($P1632,$B1633)))</f>
        <v/>
      </c>
      <c r="Q1633" s="32" t="str">
        <f>IF($P1633="","",$B1633/$P1633-1)</f>
        <v/>
      </c>
    </row>
    <row r="1634">
      <c r="A1634" s="11" t="n"/>
      <c r="B1634" s="29" t="n"/>
      <c r="K1634" s="30" t="str">
        <f>IF($A1634="","",EDATE($A1634,12*$E$4))</f>
        <v/>
      </c>
      <c r="L1634" s="19" t="str">
        <f>IF($K1634="","",IF($K1634&gt;MAX($A$8:$A$5007),"",IFERROR(MATCH($K1634,$A$8:$A$5007,1),"")))</f>
        <v/>
      </c>
      <c r="M1634" s="30" t="str">
        <f>IF($L1634="","",INDEX($A$8:$A$5007,$L1634))</f>
        <v/>
      </c>
      <c r="N1634" s="31" t="str">
        <f>IF($L1634="","",INDEX($B$8:$B$5007,$L1634))</f>
        <v/>
      </c>
      <c r="O1634" s="32" t="str">
        <f>IF($M1634="","",IF($K1634-$M1634&gt;7,"",IF($M1634&lt;=$A1634,"",IF(OR($B1634&lt;=0,$N1634&lt;=0),"",($N1634/$B1634)^(365/($M1634-$A1634))-1))))</f>
        <v/>
      </c>
      <c r="P1634" s="31" t="str">
        <f>IF($B1634="","",IF($P1633="",$B1634,MAX($P1633,$B1634)))</f>
        <v/>
      </c>
      <c r="Q1634" s="32" t="str">
        <f>IF($P1634="","",$B1634/$P1634-1)</f>
        <v/>
      </c>
    </row>
    <row r="1635">
      <c r="A1635" s="11" t="n"/>
      <c r="B1635" s="29" t="n"/>
      <c r="K1635" s="30" t="str">
        <f>IF($A1635="","",EDATE($A1635,12*$E$4))</f>
        <v/>
      </c>
      <c r="L1635" s="19" t="str">
        <f>IF($K1635="","",IF($K1635&gt;MAX($A$8:$A$5007),"",IFERROR(MATCH($K1635,$A$8:$A$5007,1),"")))</f>
        <v/>
      </c>
      <c r="M1635" s="30" t="str">
        <f>IF($L1635="","",INDEX($A$8:$A$5007,$L1635))</f>
        <v/>
      </c>
      <c r="N1635" s="31" t="str">
        <f>IF($L1635="","",INDEX($B$8:$B$5007,$L1635))</f>
        <v/>
      </c>
      <c r="O1635" s="32" t="str">
        <f>IF($M1635="","",IF($K1635-$M1635&gt;7,"",IF($M1635&lt;=$A1635,"",IF(OR($B1635&lt;=0,$N1635&lt;=0),"",($N1635/$B1635)^(365/($M1635-$A1635))-1))))</f>
        <v/>
      </c>
      <c r="P1635" s="31" t="str">
        <f>IF($B1635="","",IF($P1634="",$B1635,MAX($P1634,$B1635)))</f>
        <v/>
      </c>
      <c r="Q1635" s="32" t="str">
        <f>IF($P1635="","",$B1635/$P1635-1)</f>
        <v/>
      </c>
    </row>
    <row r="1636">
      <c r="A1636" s="11" t="n"/>
      <c r="B1636" s="29" t="n"/>
      <c r="K1636" s="30" t="str">
        <f>IF($A1636="","",EDATE($A1636,12*$E$4))</f>
        <v/>
      </c>
      <c r="L1636" s="19" t="str">
        <f>IF($K1636="","",IF($K1636&gt;MAX($A$8:$A$5007),"",IFERROR(MATCH($K1636,$A$8:$A$5007,1),"")))</f>
        <v/>
      </c>
      <c r="M1636" s="30" t="str">
        <f>IF($L1636="","",INDEX($A$8:$A$5007,$L1636))</f>
        <v/>
      </c>
      <c r="N1636" s="31" t="str">
        <f>IF($L1636="","",INDEX($B$8:$B$5007,$L1636))</f>
        <v/>
      </c>
      <c r="O1636" s="32" t="str">
        <f>IF($M1636="","",IF($K1636-$M1636&gt;7,"",IF($M1636&lt;=$A1636,"",IF(OR($B1636&lt;=0,$N1636&lt;=0),"",($N1636/$B1636)^(365/($M1636-$A1636))-1))))</f>
        <v/>
      </c>
      <c r="P1636" s="31" t="str">
        <f>IF($B1636="","",IF($P1635="",$B1636,MAX($P1635,$B1636)))</f>
        <v/>
      </c>
      <c r="Q1636" s="32" t="str">
        <f>IF($P1636="","",$B1636/$P1636-1)</f>
        <v/>
      </c>
    </row>
    <row r="1637">
      <c r="A1637" s="11" t="n"/>
      <c r="B1637" s="29" t="n"/>
      <c r="K1637" s="30" t="str">
        <f>IF($A1637="","",EDATE($A1637,12*$E$4))</f>
        <v/>
      </c>
      <c r="L1637" s="19" t="str">
        <f>IF($K1637="","",IF($K1637&gt;MAX($A$8:$A$5007),"",IFERROR(MATCH($K1637,$A$8:$A$5007,1),"")))</f>
        <v/>
      </c>
      <c r="M1637" s="30" t="str">
        <f>IF($L1637="","",INDEX($A$8:$A$5007,$L1637))</f>
        <v/>
      </c>
      <c r="N1637" s="31" t="str">
        <f>IF($L1637="","",INDEX($B$8:$B$5007,$L1637))</f>
        <v/>
      </c>
      <c r="O1637" s="32" t="str">
        <f>IF($M1637="","",IF($K1637-$M1637&gt;7,"",IF($M1637&lt;=$A1637,"",IF(OR($B1637&lt;=0,$N1637&lt;=0),"",($N1637/$B1637)^(365/($M1637-$A1637))-1))))</f>
        <v/>
      </c>
      <c r="P1637" s="31" t="str">
        <f>IF($B1637="","",IF($P1636="",$B1637,MAX($P1636,$B1637)))</f>
        <v/>
      </c>
      <c r="Q1637" s="32" t="str">
        <f>IF($P1637="","",$B1637/$P1637-1)</f>
        <v/>
      </c>
    </row>
    <row r="1638">
      <c r="A1638" s="11" t="n"/>
      <c r="B1638" s="29" t="n"/>
      <c r="K1638" s="30" t="str">
        <f>IF($A1638="","",EDATE($A1638,12*$E$4))</f>
        <v/>
      </c>
      <c r="L1638" s="19" t="str">
        <f>IF($K1638="","",IF($K1638&gt;MAX($A$8:$A$5007),"",IFERROR(MATCH($K1638,$A$8:$A$5007,1),"")))</f>
        <v/>
      </c>
      <c r="M1638" s="30" t="str">
        <f>IF($L1638="","",INDEX($A$8:$A$5007,$L1638))</f>
        <v/>
      </c>
      <c r="N1638" s="31" t="str">
        <f>IF($L1638="","",INDEX($B$8:$B$5007,$L1638))</f>
        <v/>
      </c>
      <c r="O1638" s="32" t="str">
        <f>IF($M1638="","",IF($K1638-$M1638&gt;7,"",IF($M1638&lt;=$A1638,"",IF(OR($B1638&lt;=0,$N1638&lt;=0),"",($N1638/$B1638)^(365/($M1638-$A1638))-1))))</f>
        <v/>
      </c>
      <c r="P1638" s="31" t="str">
        <f>IF($B1638="","",IF($P1637="",$B1638,MAX($P1637,$B1638)))</f>
        <v/>
      </c>
      <c r="Q1638" s="32" t="str">
        <f>IF($P1638="","",$B1638/$P1638-1)</f>
        <v/>
      </c>
    </row>
    <row r="1639">
      <c r="A1639" s="11" t="n"/>
      <c r="B1639" s="29" t="n"/>
      <c r="K1639" s="30" t="str">
        <f>IF($A1639="","",EDATE($A1639,12*$E$4))</f>
        <v/>
      </c>
      <c r="L1639" s="19" t="str">
        <f>IF($K1639="","",IF($K1639&gt;MAX($A$8:$A$5007),"",IFERROR(MATCH($K1639,$A$8:$A$5007,1),"")))</f>
        <v/>
      </c>
      <c r="M1639" s="30" t="str">
        <f>IF($L1639="","",INDEX($A$8:$A$5007,$L1639))</f>
        <v/>
      </c>
      <c r="N1639" s="31" t="str">
        <f>IF($L1639="","",INDEX($B$8:$B$5007,$L1639))</f>
        <v/>
      </c>
      <c r="O1639" s="32" t="str">
        <f>IF($M1639="","",IF($K1639-$M1639&gt;7,"",IF($M1639&lt;=$A1639,"",IF(OR($B1639&lt;=0,$N1639&lt;=0),"",($N1639/$B1639)^(365/($M1639-$A1639))-1))))</f>
        <v/>
      </c>
      <c r="P1639" s="31" t="str">
        <f>IF($B1639="","",IF($P1638="",$B1639,MAX($P1638,$B1639)))</f>
        <v/>
      </c>
      <c r="Q1639" s="32" t="str">
        <f>IF($P1639="","",$B1639/$P1639-1)</f>
        <v/>
      </c>
    </row>
    <row r="1640">
      <c r="A1640" s="11" t="n"/>
      <c r="B1640" s="29" t="n"/>
      <c r="K1640" s="30" t="str">
        <f>IF($A1640="","",EDATE($A1640,12*$E$4))</f>
        <v/>
      </c>
      <c r="L1640" s="19" t="str">
        <f>IF($K1640="","",IF($K1640&gt;MAX($A$8:$A$5007),"",IFERROR(MATCH($K1640,$A$8:$A$5007,1),"")))</f>
        <v/>
      </c>
      <c r="M1640" s="30" t="str">
        <f>IF($L1640="","",INDEX($A$8:$A$5007,$L1640))</f>
        <v/>
      </c>
      <c r="N1640" s="31" t="str">
        <f>IF($L1640="","",INDEX($B$8:$B$5007,$L1640))</f>
        <v/>
      </c>
      <c r="O1640" s="32" t="str">
        <f>IF($M1640="","",IF($K1640-$M1640&gt;7,"",IF($M1640&lt;=$A1640,"",IF(OR($B1640&lt;=0,$N1640&lt;=0),"",($N1640/$B1640)^(365/($M1640-$A1640))-1))))</f>
        <v/>
      </c>
      <c r="P1640" s="31" t="str">
        <f>IF($B1640="","",IF($P1639="",$B1640,MAX($P1639,$B1640)))</f>
        <v/>
      </c>
      <c r="Q1640" s="32" t="str">
        <f>IF($P1640="","",$B1640/$P1640-1)</f>
        <v/>
      </c>
    </row>
    <row r="1641">
      <c r="A1641" s="11" t="n"/>
      <c r="B1641" s="29" t="n"/>
      <c r="K1641" s="30" t="str">
        <f>IF($A1641="","",EDATE($A1641,12*$E$4))</f>
        <v/>
      </c>
      <c r="L1641" s="19" t="str">
        <f>IF($K1641="","",IF($K1641&gt;MAX($A$8:$A$5007),"",IFERROR(MATCH($K1641,$A$8:$A$5007,1),"")))</f>
        <v/>
      </c>
      <c r="M1641" s="30" t="str">
        <f>IF($L1641="","",INDEX($A$8:$A$5007,$L1641))</f>
        <v/>
      </c>
      <c r="N1641" s="31" t="str">
        <f>IF($L1641="","",INDEX($B$8:$B$5007,$L1641))</f>
        <v/>
      </c>
      <c r="O1641" s="32" t="str">
        <f>IF($M1641="","",IF($K1641-$M1641&gt;7,"",IF($M1641&lt;=$A1641,"",IF(OR($B1641&lt;=0,$N1641&lt;=0),"",($N1641/$B1641)^(365/($M1641-$A1641))-1))))</f>
        <v/>
      </c>
      <c r="P1641" s="31" t="str">
        <f>IF($B1641="","",IF($P1640="",$B1641,MAX($P1640,$B1641)))</f>
        <v/>
      </c>
      <c r="Q1641" s="32" t="str">
        <f>IF($P1641="","",$B1641/$P1641-1)</f>
        <v/>
      </c>
    </row>
    <row r="1642">
      <c r="A1642" s="11" t="n"/>
      <c r="B1642" s="29" t="n"/>
      <c r="K1642" s="30" t="str">
        <f>IF($A1642="","",EDATE($A1642,12*$E$4))</f>
        <v/>
      </c>
      <c r="L1642" s="19" t="str">
        <f>IF($K1642="","",IF($K1642&gt;MAX($A$8:$A$5007),"",IFERROR(MATCH($K1642,$A$8:$A$5007,1),"")))</f>
        <v/>
      </c>
      <c r="M1642" s="30" t="str">
        <f>IF($L1642="","",INDEX($A$8:$A$5007,$L1642))</f>
        <v/>
      </c>
      <c r="N1642" s="31" t="str">
        <f>IF($L1642="","",INDEX($B$8:$B$5007,$L1642))</f>
        <v/>
      </c>
      <c r="O1642" s="32" t="str">
        <f>IF($M1642="","",IF($K1642-$M1642&gt;7,"",IF($M1642&lt;=$A1642,"",IF(OR($B1642&lt;=0,$N1642&lt;=0),"",($N1642/$B1642)^(365/($M1642-$A1642))-1))))</f>
        <v/>
      </c>
      <c r="P1642" s="31" t="str">
        <f>IF($B1642="","",IF($P1641="",$B1642,MAX($P1641,$B1642)))</f>
        <v/>
      </c>
      <c r="Q1642" s="32" t="str">
        <f>IF($P1642="","",$B1642/$P1642-1)</f>
        <v/>
      </c>
    </row>
    <row r="1643">
      <c r="A1643" s="11" t="n"/>
      <c r="B1643" s="29" t="n"/>
      <c r="K1643" s="30" t="str">
        <f>IF($A1643="","",EDATE($A1643,12*$E$4))</f>
        <v/>
      </c>
      <c r="L1643" s="19" t="str">
        <f>IF($K1643="","",IF($K1643&gt;MAX($A$8:$A$5007),"",IFERROR(MATCH($K1643,$A$8:$A$5007,1),"")))</f>
        <v/>
      </c>
      <c r="M1643" s="30" t="str">
        <f>IF($L1643="","",INDEX($A$8:$A$5007,$L1643))</f>
        <v/>
      </c>
      <c r="N1643" s="31" t="str">
        <f>IF($L1643="","",INDEX($B$8:$B$5007,$L1643))</f>
        <v/>
      </c>
      <c r="O1643" s="32" t="str">
        <f>IF($M1643="","",IF($K1643-$M1643&gt;7,"",IF($M1643&lt;=$A1643,"",IF(OR($B1643&lt;=0,$N1643&lt;=0),"",($N1643/$B1643)^(365/($M1643-$A1643))-1))))</f>
        <v/>
      </c>
      <c r="P1643" s="31" t="str">
        <f>IF($B1643="","",IF($P1642="",$B1643,MAX($P1642,$B1643)))</f>
        <v/>
      </c>
      <c r="Q1643" s="32" t="str">
        <f>IF($P1643="","",$B1643/$P1643-1)</f>
        <v/>
      </c>
    </row>
    <row r="1644">
      <c r="A1644" s="11" t="n"/>
      <c r="B1644" s="29" t="n"/>
      <c r="K1644" s="30" t="str">
        <f>IF($A1644="","",EDATE($A1644,12*$E$4))</f>
        <v/>
      </c>
      <c r="L1644" s="19" t="str">
        <f>IF($K1644="","",IF($K1644&gt;MAX($A$8:$A$5007),"",IFERROR(MATCH($K1644,$A$8:$A$5007,1),"")))</f>
        <v/>
      </c>
      <c r="M1644" s="30" t="str">
        <f>IF($L1644="","",INDEX($A$8:$A$5007,$L1644))</f>
        <v/>
      </c>
      <c r="N1644" s="31" t="str">
        <f>IF($L1644="","",INDEX($B$8:$B$5007,$L1644))</f>
        <v/>
      </c>
      <c r="O1644" s="32" t="str">
        <f>IF($M1644="","",IF($K1644-$M1644&gt;7,"",IF($M1644&lt;=$A1644,"",IF(OR($B1644&lt;=0,$N1644&lt;=0),"",($N1644/$B1644)^(365/($M1644-$A1644))-1))))</f>
        <v/>
      </c>
      <c r="P1644" s="31" t="str">
        <f>IF($B1644="","",IF($P1643="",$B1644,MAX($P1643,$B1644)))</f>
        <v/>
      </c>
      <c r="Q1644" s="32" t="str">
        <f>IF($P1644="","",$B1644/$P1644-1)</f>
        <v/>
      </c>
    </row>
    <row r="1645">
      <c r="A1645" s="11" t="n"/>
      <c r="B1645" s="29" t="n"/>
      <c r="K1645" s="30" t="str">
        <f>IF($A1645="","",EDATE($A1645,12*$E$4))</f>
        <v/>
      </c>
      <c r="L1645" s="19" t="str">
        <f>IF($K1645="","",IF($K1645&gt;MAX($A$8:$A$5007),"",IFERROR(MATCH($K1645,$A$8:$A$5007,1),"")))</f>
        <v/>
      </c>
      <c r="M1645" s="30" t="str">
        <f>IF($L1645="","",INDEX($A$8:$A$5007,$L1645))</f>
        <v/>
      </c>
      <c r="N1645" s="31" t="str">
        <f>IF($L1645="","",INDEX($B$8:$B$5007,$L1645))</f>
        <v/>
      </c>
      <c r="O1645" s="32" t="str">
        <f>IF($M1645="","",IF($K1645-$M1645&gt;7,"",IF($M1645&lt;=$A1645,"",IF(OR($B1645&lt;=0,$N1645&lt;=0),"",($N1645/$B1645)^(365/($M1645-$A1645))-1))))</f>
        <v/>
      </c>
      <c r="P1645" s="31" t="str">
        <f>IF($B1645="","",IF($P1644="",$B1645,MAX($P1644,$B1645)))</f>
        <v/>
      </c>
      <c r="Q1645" s="32" t="str">
        <f>IF($P1645="","",$B1645/$P1645-1)</f>
        <v/>
      </c>
    </row>
    <row r="1646">
      <c r="A1646" s="11" t="n"/>
      <c r="B1646" s="29" t="n"/>
      <c r="K1646" s="30" t="str">
        <f>IF($A1646="","",EDATE($A1646,12*$E$4))</f>
        <v/>
      </c>
      <c r="L1646" s="19" t="str">
        <f>IF($K1646="","",IF($K1646&gt;MAX($A$8:$A$5007),"",IFERROR(MATCH($K1646,$A$8:$A$5007,1),"")))</f>
        <v/>
      </c>
      <c r="M1646" s="30" t="str">
        <f>IF($L1646="","",INDEX($A$8:$A$5007,$L1646))</f>
        <v/>
      </c>
      <c r="N1646" s="31" t="str">
        <f>IF($L1646="","",INDEX($B$8:$B$5007,$L1646))</f>
        <v/>
      </c>
      <c r="O1646" s="32" t="str">
        <f>IF($M1646="","",IF($K1646-$M1646&gt;7,"",IF($M1646&lt;=$A1646,"",IF(OR($B1646&lt;=0,$N1646&lt;=0),"",($N1646/$B1646)^(365/($M1646-$A1646))-1))))</f>
        <v/>
      </c>
      <c r="P1646" s="31" t="str">
        <f>IF($B1646="","",IF($P1645="",$B1646,MAX($P1645,$B1646)))</f>
        <v/>
      </c>
      <c r="Q1646" s="32" t="str">
        <f>IF($P1646="","",$B1646/$P1646-1)</f>
        <v/>
      </c>
    </row>
    <row r="1647">
      <c r="A1647" s="11" t="n"/>
      <c r="B1647" s="29" t="n"/>
      <c r="K1647" s="30" t="str">
        <f>IF($A1647="","",EDATE($A1647,12*$E$4))</f>
        <v/>
      </c>
      <c r="L1647" s="19" t="str">
        <f>IF($K1647="","",IF($K1647&gt;MAX($A$8:$A$5007),"",IFERROR(MATCH($K1647,$A$8:$A$5007,1),"")))</f>
        <v/>
      </c>
      <c r="M1647" s="30" t="str">
        <f>IF($L1647="","",INDEX($A$8:$A$5007,$L1647))</f>
        <v/>
      </c>
      <c r="N1647" s="31" t="str">
        <f>IF($L1647="","",INDEX($B$8:$B$5007,$L1647))</f>
        <v/>
      </c>
      <c r="O1647" s="32" t="str">
        <f>IF($M1647="","",IF($K1647-$M1647&gt;7,"",IF($M1647&lt;=$A1647,"",IF(OR($B1647&lt;=0,$N1647&lt;=0),"",($N1647/$B1647)^(365/($M1647-$A1647))-1))))</f>
        <v/>
      </c>
      <c r="P1647" s="31" t="str">
        <f>IF($B1647="","",IF($P1646="",$B1647,MAX($P1646,$B1647)))</f>
        <v/>
      </c>
      <c r="Q1647" s="32" t="str">
        <f>IF($P1647="","",$B1647/$P1647-1)</f>
        <v/>
      </c>
    </row>
    <row r="1648">
      <c r="A1648" s="11" t="n"/>
      <c r="B1648" s="29" t="n"/>
      <c r="K1648" s="30" t="str">
        <f>IF($A1648="","",EDATE($A1648,12*$E$4))</f>
        <v/>
      </c>
      <c r="L1648" s="19" t="str">
        <f>IF($K1648="","",IF($K1648&gt;MAX($A$8:$A$5007),"",IFERROR(MATCH($K1648,$A$8:$A$5007,1),"")))</f>
        <v/>
      </c>
      <c r="M1648" s="30" t="str">
        <f>IF($L1648="","",INDEX($A$8:$A$5007,$L1648))</f>
        <v/>
      </c>
      <c r="N1648" s="31" t="str">
        <f>IF($L1648="","",INDEX($B$8:$B$5007,$L1648))</f>
        <v/>
      </c>
      <c r="O1648" s="32" t="str">
        <f>IF($M1648="","",IF($K1648-$M1648&gt;7,"",IF($M1648&lt;=$A1648,"",IF(OR($B1648&lt;=0,$N1648&lt;=0),"",($N1648/$B1648)^(365/($M1648-$A1648))-1))))</f>
        <v/>
      </c>
      <c r="P1648" s="31" t="str">
        <f>IF($B1648="","",IF($P1647="",$B1648,MAX($P1647,$B1648)))</f>
        <v/>
      </c>
      <c r="Q1648" s="32" t="str">
        <f>IF($P1648="","",$B1648/$P1648-1)</f>
        <v/>
      </c>
    </row>
    <row r="1649">
      <c r="A1649" s="11" t="n"/>
      <c r="B1649" s="29" t="n"/>
      <c r="K1649" s="30" t="str">
        <f>IF($A1649="","",EDATE($A1649,12*$E$4))</f>
        <v/>
      </c>
      <c r="L1649" s="19" t="str">
        <f>IF($K1649="","",IF($K1649&gt;MAX($A$8:$A$5007),"",IFERROR(MATCH($K1649,$A$8:$A$5007,1),"")))</f>
        <v/>
      </c>
      <c r="M1649" s="30" t="str">
        <f>IF($L1649="","",INDEX($A$8:$A$5007,$L1649))</f>
        <v/>
      </c>
      <c r="N1649" s="31" t="str">
        <f>IF($L1649="","",INDEX($B$8:$B$5007,$L1649))</f>
        <v/>
      </c>
      <c r="O1649" s="32" t="str">
        <f>IF($M1649="","",IF($K1649-$M1649&gt;7,"",IF($M1649&lt;=$A1649,"",IF(OR($B1649&lt;=0,$N1649&lt;=0),"",($N1649/$B1649)^(365/($M1649-$A1649))-1))))</f>
        <v/>
      </c>
      <c r="P1649" s="31" t="str">
        <f>IF($B1649="","",IF($P1648="",$B1649,MAX($P1648,$B1649)))</f>
        <v/>
      </c>
      <c r="Q1649" s="32" t="str">
        <f>IF($P1649="","",$B1649/$P1649-1)</f>
        <v/>
      </c>
    </row>
    <row r="1650">
      <c r="A1650" s="11" t="n"/>
      <c r="B1650" s="29" t="n"/>
      <c r="K1650" s="30" t="str">
        <f>IF($A1650="","",EDATE($A1650,12*$E$4))</f>
        <v/>
      </c>
      <c r="L1650" s="19" t="str">
        <f>IF($K1650="","",IF($K1650&gt;MAX($A$8:$A$5007),"",IFERROR(MATCH($K1650,$A$8:$A$5007,1),"")))</f>
        <v/>
      </c>
      <c r="M1650" s="30" t="str">
        <f>IF($L1650="","",INDEX($A$8:$A$5007,$L1650))</f>
        <v/>
      </c>
      <c r="N1650" s="31" t="str">
        <f>IF($L1650="","",INDEX($B$8:$B$5007,$L1650))</f>
        <v/>
      </c>
      <c r="O1650" s="32" t="str">
        <f>IF($M1650="","",IF($K1650-$M1650&gt;7,"",IF($M1650&lt;=$A1650,"",IF(OR($B1650&lt;=0,$N1650&lt;=0),"",($N1650/$B1650)^(365/($M1650-$A1650))-1))))</f>
        <v/>
      </c>
      <c r="P1650" s="31" t="str">
        <f>IF($B1650="","",IF($P1649="",$B1650,MAX($P1649,$B1650)))</f>
        <v/>
      </c>
      <c r="Q1650" s="32" t="str">
        <f>IF($P1650="","",$B1650/$P1650-1)</f>
        <v/>
      </c>
    </row>
    <row r="1651">
      <c r="A1651" s="11" t="n"/>
      <c r="B1651" s="29" t="n"/>
      <c r="K1651" s="30" t="str">
        <f>IF($A1651="","",EDATE($A1651,12*$E$4))</f>
        <v/>
      </c>
      <c r="L1651" s="19" t="str">
        <f>IF($K1651="","",IF($K1651&gt;MAX($A$8:$A$5007),"",IFERROR(MATCH($K1651,$A$8:$A$5007,1),"")))</f>
        <v/>
      </c>
      <c r="M1651" s="30" t="str">
        <f>IF($L1651="","",INDEX($A$8:$A$5007,$L1651))</f>
        <v/>
      </c>
      <c r="N1651" s="31" t="str">
        <f>IF($L1651="","",INDEX($B$8:$B$5007,$L1651))</f>
        <v/>
      </c>
      <c r="O1651" s="32" t="str">
        <f>IF($M1651="","",IF($K1651-$M1651&gt;7,"",IF($M1651&lt;=$A1651,"",IF(OR($B1651&lt;=0,$N1651&lt;=0),"",($N1651/$B1651)^(365/($M1651-$A1651))-1))))</f>
        <v/>
      </c>
      <c r="P1651" s="31" t="str">
        <f>IF($B1651="","",IF($P1650="",$B1651,MAX($P1650,$B1651)))</f>
        <v/>
      </c>
      <c r="Q1651" s="32" t="str">
        <f>IF($P1651="","",$B1651/$P1651-1)</f>
        <v/>
      </c>
    </row>
    <row r="1652">
      <c r="A1652" s="11" t="n"/>
      <c r="B1652" s="29" t="n"/>
      <c r="K1652" s="30" t="str">
        <f>IF($A1652="","",EDATE($A1652,12*$E$4))</f>
        <v/>
      </c>
      <c r="L1652" s="19" t="str">
        <f>IF($K1652="","",IF($K1652&gt;MAX($A$8:$A$5007),"",IFERROR(MATCH($K1652,$A$8:$A$5007,1),"")))</f>
        <v/>
      </c>
      <c r="M1652" s="30" t="str">
        <f>IF($L1652="","",INDEX($A$8:$A$5007,$L1652))</f>
        <v/>
      </c>
      <c r="N1652" s="31" t="str">
        <f>IF($L1652="","",INDEX($B$8:$B$5007,$L1652))</f>
        <v/>
      </c>
      <c r="O1652" s="32" t="str">
        <f>IF($M1652="","",IF($K1652-$M1652&gt;7,"",IF($M1652&lt;=$A1652,"",IF(OR($B1652&lt;=0,$N1652&lt;=0),"",($N1652/$B1652)^(365/($M1652-$A1652))-1))))</f>
        <v/>
      </c>
      <c r="P1652" s="31" t="str">
        <f>IF($B1652="","",IF($P1651="",$B1652,MAX($P1651,$B1652)))</f>
        <v/>
      </c>
      <c r="Q1652" s="32" t="str">
        <f>IF($P1652="","",$B1652/$P1652-1)</f>
        <v/>
      </c>
    </row>
    <row r="1653">
      <c r="A1653" s="11" t="n"/>
      <c r="B1653" s="29" t="n"/>
      <c r="K1653" s="30" t="str">
        <f>IF($A1653="","",EDATE($A1653,12*$E$4))</f>
        <v/>
      </c>
      <c r="L1653" s="19" t="str">
        <f>IF($K1653="","",IF($K1653&gt;MAX($A$8:$A$5007),"",IFERROR(MATCH($K1653,$A$8:$A$5007,1),"")))</f>
        <v/>
      </c>
      <c r="M1653" s="30" t="str">
        <f>IF($L1653="","",INDEX($A$8:$A$5007,$L1653))</f>
        <v/>
      </c>
      <c r="N1653" s="31" t="str">
        <f>IF($L1653="","",INDEX($B$8:$B$5007,$L1653))</f>
        <v/>
      </c>
      <c r="O1653" s="32" t="str">
        <f>IF($M1653="","",IF($K1653-$M1653&gt;7,"",IF($M1653&lt;=$A1653,"",IF(OR($B1653&lt;=0,$N1653&lt;=0),"",($N1653/$B1653)^(365/($M1653-$A1653))-1))))</f>
        <v/>
      </c>
      <c r="P1653" s="31" t="str">
        <f>IF($B1653="","",IF($P1652="",$B1653,MAX($P1652,$B1653)))</f>
        <v/>
      </c>
      <c r="Q1653" s="32" t="str">
        <f>IF($P1653="","",$B1653/$P1653-1)</f>
        <v/>
      </c>
    </row>
    <row r="1654">
      <c r="A1654" s="11" t="n"/>
      <c r="B1654" s="29" t="n"/>
      <c r="K1654" s="30" t="str">
        <f>IF($A1654="","",EDATE($A1654,12*$E$4))</f>
        <v/>
      </c>
      <c r="L1654" s="19" t="str">
        <f>IF($K1654="","",IF($K1654&gt;MAX($A$8:$A$5007),"",IFERROR(MATCH($K1654,$A$8:$A$5007,1),"")))</f>
        <v/>
      </c>
      <c r="M1654" s="30" t="str">
        <f>IF($L1654="","",INDEX($A$8:$A$5007,$L1654))</f>
        <v/>
      </c>
      <c r="N1654" s="31" t="str">
        <f>IF($L1654="","",INDEX($B$8:$B$5007,$L1654))</f>
        <v/>
      </c>
      <c r="O1654" s="32" t="str">
        <f>IF($M1654="","",IF($K1654-$M1654&gt;7,"",IF($M1654&lt;=$A1654,"",IF(OR($B1654&lt;=0,$N1654&lt;=0),"",($N1654/$B1654)^(365/($M1654-$A1654))-1))))</f>
        <v/>
      </c>
      <c r="P1654" s="31" t="str">
        <f>IF($B1654="","",IF($P1653="",$B1654,MAX($P1653,$B1654)))</f>
        <v/>
      </c>
      <c r="Q1654" s="32" t="str">
        <f>IF($P1654="","",$B1654/$P1654-1)</f>
        <v/>
      </c>
    </row>
    <row r="1655">
      <c r="A1655" s="11" t="n"/>
      <c r="B1655" s="29" t="n"/>
      <c r="K1655" s="30" t="str">
        <f>IF($A1655="","",EDATE($A1655,12*$E$4))</f>
        <v/>
      </c>
      <c r="L1655" s="19" t="str">
        <f>IF($K1655="","",IF($K1655&gt;MAX($A$8:$A$5007),"",IFERROR(MATCH($K1655,$A$8:$A$5007,1),"")))</f>
        <v/>
      </c>
      <c r="M1655" s="30" t="str">
        <f>IF($L1655="","",INDEX($A$8:$A$5007,$L1655))</f>
        <v/>
      </c>
      <c r="N1655" s="31" t="str">
        <f>IF($L1655="","",INDEX($B$8:$B$5007,$L1655))</f>
        <v/>
      </c>
      <c r="O1655" s="32" t="str">
        <f>IF($M1655="","",IF($K1655-$M1655&gt;7,"",IF($M1655&lt;=$A1655,"",IF(OR($B1655&lt;=0,$N1655&lt;=0),"",($N1655/$B1655)^(365/($M1655-$A1655))-1))))</f>
        <v/>
      </c>
      <c r="P1655" s="31" t="str">
        <f>IF($B1655="","",IF($P1654="",$B1655,MAX($P1654,$B1655)))</f>
        <v/>
      </c>
      <c r="Q1655" s="32" t="str">
        <f>IF($P1655="","",$B1655/$P1655-1)</f>
        <v/>
      </c>
    </row>
    <row r="1656">
      <c r="A1656" s="11" t="n"/>
      <c r="B1656" s="29" t="n"/>
      <c r="K1656" s="30" t="str">
        <f>IF($A1656="","",EDATE($A1656,12*$E$4))</f>
        <v/>
      </c>
      <c r="L1656" s="19" t="str">
        <f>IF($K1656="","",IF($K1656&gt;MAX($A$8:$A$5007),"",IFERROR(MATCH($K1656,$A$8:$A$5007,1),"")))</f>
        <v/>
      </c>
      <c r="M1656" s="30" t="str">
        <f>IF($L1656="","",INDEX($A$8:$A$5007,$L1656))</f>
        <v/>
      </c>
      <c r="N1656" s="31" t="str">
        <f>IF($L1656="","",INDEX($B$8:$B$5007,$L1656))</f>
        <v/>
      </c>
      <c r="O1656" s="32" t="str">
        <f>IF($M1656="","",IF($K1656-$M1656&gt;7,"",IF($M1656&lt;=$A1656,"",IF(OR($B1656&lt;=0,$N1656&lt;=0),"",($N1656/$B1656)^(365/($M1656-$A1656))-1))))</f>
        <v/>
      </c>
      <c r="P1656" s="31" t="str">
        <f>IF($B1656="","",IF($P1655="",$B1656,MAX($P1655,$B1656)))</f>
        <v/>
      </c>
      <c r="Q1656" s="32" t="str">
        <f>IF($P1656="","",$B1656/$P1656-1)</f>
        <v/>
      </c>
    </row>
    <row r="1657">
      <c r="A1657" s="11" t="n"/>
      <c r="B1657" s="29" t="n"/>
      <c r="K1657" s="30" t="str">
        <f>IF($A1657="","",EDATE($A1657,12*$E$4))</f>
        <v/>
      </c>
      <c r="L1657" s="19" t="str">
        <f>IF($K1657="","",IF($K1657&gt;MAX($A$8:$A$5007),"",IFERROR(MATCH($K1657,$A$8:$A$5007,1),"")))</f>
        <v/>
      </c>
      <c r="M1657" s="30" t="str">
        <f>IF($L1657="","",INDEX($A$8:$A$5007,$L1657))</f>
        <v/>
      </c>
      <c r="N1657" s="31" t="str">
        <f>IF($L1657="","",INDEX($B$8:$B$5007,$L1657))</f>
        <v/>
      </c>
      <c r="O1657" s="32" t="str">
        <f>IF($M1657="","",IF($K1657-$M1657&gt;7,"",IF($M1657&lt;=$A1657,"",IF(OR($B1657&lt;=0,$N1657&lt;=0),"",($N1657/$B1657)^(365/($M1657-$A1657))-1))))</f>
        <v/>
      </c>
      <c r="P1657" s="31" t="str">
        <f>IF($B1657="","",IF($P1656="",$B1657,MAX($P1656,$B1657)))</f>
        <v/>
      </c>
      <c r="Q1657" s="32" t="str">
        <f>IF($P1657="","",$B1657/$P1657-1)</f>
        <v/>
      </c>
    </row>
    <row r="1658">
      <c r="A1658" s="11" t="n"/>
      <c r="B1658" s="29" t="n"/>
      <c r="K1658" s="30" t="str">
        <f>IF($A1658="","",EDATE($A1658,12*$E$4))</f>
        <v/>
      </c>
      <c r="L1658" s="19" t="str">
        <f>IF($K1658="","",IF($K1658&gt;MAX($A$8:$A$5007),"",IFERROR(MATCH($K1658,$A$8:$A$5007,1),"")))</f>
        <v/>
      </c>
      <c r="M1658" s="30" t="str">
        <f>IF($L1658="","",INDEX($A$8:$A$5007,$L1658))</f>
        <v/>
      </c>
      <c r="N1658" s="31" t="str">
        <f>IF($L1658="","",INDEX($B$8:$B$5007,$L1658))</f>
        <v/>
      </c>
      <c r="O1658" s="32" t="str">
        <f>IF($M1658="","",IF($K1658-$M1658&gt;7,"",IF($M1658&lt;=$A1658,"",IF(OR($B1658&lt;=0,$N1658&lt;=0),"",($N1658/$B1658)^(365/($M1658-$A1658))-1))))</f>
        <v/>
      </c>
      <c r="P1658" s="31" t="str">
        <f>IF($B1658="","",IF($P1657="",$B1658,MAX($P1657,$B1658)))</f>
        <v/>
      </c>
      <c r="Q1658" s="32" t="str">
        <f>IF($P1658="","",$B1658/$P1658-1)</f>
        <v/>
      </c>
    </row>
    <row r="1659">
      <c r="A1659" s="11" t="n"/>
      <c r="B1659" s="29" t="n"/>
      <c r="K1659" s="30" t="str">
        <f>IF($A1659="","",EDATE($A1659,12*$E$4))</f>
        <v/>
      </c>
      <c r="L1659" s="19" t="str">
        <f>IF($K1659="","",IF($K1659&gt;MAX($A$8:$A$5007),"",IFERROR(MATCH($K1659,$A$8:$A$5007,1),"")))</f>
        <v/>
      </c>
      <c r="M1659" s="30" t="str">
        <f>IF($L1659="","",INDEX($A$8:$A$5007,$L1659))</f>
        <v/>
      </c>
      <c r="N1659" s="31" t="str">
        <f>IF($L1659="","",INDEX($B$8:$B$5007,$L1659))</f>
        <v/>
      </c>
      <c r="O1659" s="32" t="str">
        <f>IF($M1659="","",IF($K1659-$M1659&gt;7,"",IF($M1659&lt;=$A1659,"",IF(OR($B1659&lt;=0,$N1659&lt;=0),"",($N1659/$B1659)^(365/($M1659-$A1659))-1))))</f>
        <v/>
      </c>
      <c r="P1659" s="31" t="str">
        <f>IF($B1659="","",IF($P1658="",$B1659,MAX($P1658,$B1659)))</f>
        <v/>
      </c>
      <c r="Q1659" s="32" t="str">
        <f>IF($P1659="","",$B1659/$P1659-1)</f>
        <v/>
      </c>
    </row>
    <row r="1660">
      <c r="A1660" s="11" t="n"/>
      <c r="B1660" s="29" t="n"/>
      <c r="K1660" s="30" t="str">
        <f>IF($A1660="","",EDATE($A1660,12*$E$4))</f>
        <v/>
      </c>
      <c r="L1660" s="19" t="str">
        <f>IF($K1660="","",IF($K1660&gt;MAX($A$8:$A$5007),"",IFERROR(MATCH($K1660,$A$8:$A$5007,1),"")))</f>
        <v/>
      </c>
      <c r="M1660" s="30" t="str">
        <f>IF($L1660="","",INDEX($A$8:$A$5007,$L1660))</f>
        <v/>
      </c>
      <c r="N1660" s="31" t="str">
        <f>IF($L1660="","",INDEX($B$8:$B$5007,$L1660))</f>
        <v/>
      </c>
      <c r="O1660" s="32" t="str">
        <f>IF($M1660="","",IF($K1660-$M1660&gt;7,"",IF($M1660&lt;=$A1660,"",IF(OR($B1660&lt;=0,$N1660&lt;=0),"",($N1660/$B1660)^(365/($M1660-$A1660))-1))))</f>
        <v/>
      </c>
      <c r="P1660" s="31" t="str">
        <f>IF($B1660="","",IF($P1659="",$B1660,MAX($P1659,$B1660)))</f>
        <v/>
      </c>
      <c r="Q1660" s="32" t="str">
        <f>IF($P1660="","",$B1660/$P1660-1)</f>
        <v/>
      </c>
    </row>
    <row r="1661">
      <c r="A1661" s="11" t="n"/>
      <c r="B1661" s="29" t="n"/>
      <c r="K1661" s="30" t="str">
        <f>IF($A1661="","",EDATE($A1661,12*$E$4))</f>
        <v/>
      </c>
      <c r="L1661" s="19" t="str">
        <f>IF($K1661="","",IF($K1661&gt;MAX($A$8:$A$5007),"",IFERROR(MATCH($K1661,$A$8:$A$5007,1),"")))</f>
        <v/>
      </c>
      <c r="M1661" s="30" t="str">
        <f>IF($L1661="","",INDEX($A$8:$A$5007,$L1661))</f>
        <v/>
      </c>
      <c r="N1661" s="31" t="str">
        <f>IF($L1661="","",INDEX($B$8:$B$5007,$L1661))</f>
        <v/>
      </c>
      <c r="O1661" s="32" t="str">
        <f>IF($M1661="","",IF($K1661-$M1661&gt;7,"",IF($M1661&lt;=$A1661,"",IF(OR($B1661&lt;=0,$N1661&lt;=0),"",($N1661/$B1661)^(365/($M1661-$A1661))-1))))</f>
        <v/>
      </c>
      <c r="P1661" s="31" t="str">
        <f>IF($B1661="","",IF($P1660="",$B1661,MAX($P1660,$B1661)))</f>
        <v/>
      </c>
      <c r="Q1661" s="32" t="str">
        <f>IF($P1661="","",$B1661/$P1661-1)</f>
        <v/>
      </c>
    </row>
    <row r="1662">
      <c r="A1662" s="11" t="n"/>
      <c r="B1662" s="29" t="n"/>
      <c r="K1662" s="30" t="str">
        <f>IF($A1662="","",EDATE($A1662,12*$E$4))</f>
        <v/>
      </c>
      <c r="L1662" s="19" t="str">
        <f>IF($K1662="","",IF($K1662&gt;MAX($A$8:$A$5007),"",IFERROR(MATCH($K1662,$A$8:$A$5007,1),"")))</f>
        <v/>
      </c>
      <c r="M1662" s="30" t="str">
        <f>IF($L1662="","",INDEX($A$8:$A$5007,$L1662))</f>
        <v/>
      </c>
      <c r="N1662" s="31" t="str">
        <f>IF($L1662="","",INDEX($B$8:$B$5007,$L1662))</f>
        <v/>
      </c>
      <c r="O1662" s="32" t="str">
        <f>IF($M1662="","",IF($K1662-$M1662&gt;7,"",IF($M1662&lt;=$A1662,"",IF(OR($B1662&lt;=0,$N1662&lt;=0),"",($N1662/$B1662)^(365/($M1662-$A1662))-1))))</f>
        <v/>
      </c>
      <c r="P1662" s="31" t="str">
        <f>IF($B1662="","",IF($P1661="",$B1662,MAX($P1661,$B1662)))</f>
        <v/>
      </c>
      <c r="Q1662" s="32" t="str">
        <f>IF($P1662="","",$B1662/$P1662-1)</f>
        <v/>
      </c>
    </row>
    <row r="1663">
      <c r="A1663" s="11" t="n"/>
      <c r="B1663" s="29" t="n"/>
      <c r="K1663" s="30" t="str">
        <f>IF($A1663="","",EDATE($A1663,12*$E$4))</f>
        <v/>
      </c>
      <c r="L1663" s="19" t="str">
        <f>IF($K1663="","",IF($K1663&gt;MAX($A$8:$A$5007),"",IFERROR(MATCH($K1663,$A$8:$A$5007,1),"")))</f>
        <v/>
      </c>
      <c r="M1663" s="30" t="str">
        <f>IF($L1663="","",INDEX($A$8:$A$5007,$L1663))</f>
        <v/>
      </c>
      <c r="N1663" s="31" t="str">
        <f>IF($L1663="","",INDEX($B$8:$B$5007,$L1663))</f>
        <v/>
      </c>
      <c r="O1663" s="32" t="str">
        <f>IF($M1663="","",IF($K1663-$M1663&gt;7,"",IF($M1663&lt;=$A1663,"",IF(OR($B1663&lt;=0,$N1663&lt;=0),"",($N1663/$B1663)^(365/($M1663-$A1663))-1))))</f>
        <v/>
      </c>
      <c r="P1663" s="31" t="str">
        <f>IF($B1663="","",IF($P1662="",$B1663,MAX($P1662,$B1663)))</f>
        <v/>
      </c>
      <c r="Q1663" s="32" t="str">
        <f>IF($P1663="","",$B1663/$P1663-1)</f>
        <v/>
      </c>
    </row>
    <row r="1664">
      <c r="A1664" s="11" t="n"/>
      <c r="B1664" s="29" t="n"/>
      <c r="K1664" s="30" t="str">
        <f>IF($A1664="","",EDATE($A1664,12*$E$4))</f>
        <v/>
      </c>
      <c r="L1664" s="19" t="str">
        <f>IF($K1664="","",IF($K1664&gt;MAX($A$8:$A$5007),"",IFERROR(MATCH($K1664,$A$8:$A$5007,1),"")))</f>
        <v/>
      </c>
      <c r="M1664" s="30" t="str">
        <f>IF($L1664="","",INDEX($A$8:$A$5007,$L1664))</f>
        <v/>
      </c>
      <c r="N1664" s="31" t="str">
        <f>IF($L1664="","",INDEX($B$8:$B$5007,$L1664))</f>
        <v/>
      </c>
      <c r="O1664" s="32" t="str">
        <f>IF($M1664="","",IF($K1664-$M1664&gt;7,"",IF($M1664&lt;=$A1664,"",IF(OR($B1664&lt;=0,$N1664&lt;=0),"",($N1664/$B1664)^(365/($M1664-$A1664))-1))))</f>
        <v/>
      </c>
      <c r="P1664" s="31" t="str">
        <f>IF($B1664="","",IF($P1663="",$B1664,MAX($P1663,$B1664)))</f>
        <v/>
      </c>
      <c r="Q1664" s="32" t="str">
        <f>IF($P1664="","",$B1664/$P1664-1)</f>
        <v/>
      </c>
    </row>
    <row r="1665">
      <c r="A1665" s="11" t="n"/>
      <c r="B1665" s="29" t="n"/>
      <c r="K1665" s="30" t="str">
        <f>IF($A1665="","",EDATE($A1665,12*$E$4))</f>
        <v/>
      </c>
      <c r="L1665" s="19" t="str">
        <f>IF($K1665="","",IF($K1665&gt;MAX($A$8:$A$5007),"",IFERROR(MATCH($K1665,$A$8:$A$5007,1),"")))</f>
        <v/>
      </c>
      <c r="M1665" s="30" t="str">
        <f>IF($L1665="","",INDEX($A$8:$A$5007,$L1665))</f>
        <v/>
      </c>
      <c r="N1665" s="31" t="str">
        <f>IF($L1665="","",INDEX($B$8:$B$5007,$L1665))</f>
        <v/>
      </c>
      <c r="O1665" s="32" t="str">
        <f>IF($M1665="","",IF($K1665-$M1665&gt;7,"",IF($M1665&lt;=$A1665,"",IF(OR($B1665&lt;=0,$N1665&lt;=0),"",($N1665/$B1665)^(365/($M1665-$A1665))-1))))</f>
        <v/>
      </c>
      <c r="P1665" s="31" t="str">
        <f>IF($B1665="","",IF($P1664="",$B1665,MAX($P1664,$B1665)))</f>
        <v/>
      </c>
      <c r="Q1665" s="32" t="str">
        <f>IF($P1665="","",$B1665/$P1665-1)</f>
        <v/>
      </c>
    </row>
    <row r="1666">
      <c r="A1666" s="11" t="n"/>
      <c r="B1666" s="29" t="n"/>
      <c r="K1666" s="30" t="str">
        <f>IF($A1666="","",EDATE($A1666,12*$E$4))</f>
        <v/>
      </c>
      <c r="L1666" s="19" t="str">
        <f>IF($K1666="","",IF($K1666&gt;MAX($A$8:$A$5007),"",IFERROR(MATCH($K1666,$A$8:$A$5007,1),"")))</f>
        <v/>
      </c>
      <c r="M1666" s="30" t="str">
        <f>IF($L1666="","",INDEX($A$8:$A$5007,$L1666))</f>
        <v/>
      </c>
      <c r="N1666" s="31" t="str">
        <f>IF($L1666="","",INDEX($B$8:$B$5007,$L1666))</f>
        <v/>
      </c>
      <c r="O1666" s="32" t="str">
        <f>IF($M1666="","",IF($K1666-$M1666&gt;7,"",IF($M1666&lt;=$A1666,"",IF(OR($B1666&lt;=0,$N1666&lt;=0),"",($N1666/$B1666)^(365/($M1666-$A1666))-1))))</f>
        <v/>
      </c>
      <c r="P1666" s="31" t="str">
        <f>IF($B1666="","",IF($P1665="",$B1666,MAX($P1665,$B1666)))</f>
        <v/>
      </c>
      <c r="Q1666" s="32" t="str">
        <f>IF($P1666="","",$B1666/$P1666-1)</f>
        <v/>
      </c>
    </row>
    <row r="1667">
      <c r="A1667" s="11" t="n"/>
      <c r="B1667" s="29" t="n"/>
      <c r="K1667" s="30" t="str">
        <f>IF($A1667="","",EDATE($A1667,12*$E$4))</f>
        <v/>
      </c>
      <c r="L1667" s="19" t="str">
        <f>IF($K1667="","",IF($K1667&gt;MAX($A$8:$A$5007),"",IFERROR(MATCH($K1667,$A$8:$A$5007,1),"")))</f>
        <v/>
      </c>
      <c r="M1667" s="30" t="str">
        <f>IF($L1667="","",INDEX($A$8:$A$5007,$L1667))</f>
        <v/>
      </c>
      <c r="N1667" s="31" t="str">
        <f>IF($L1667="","",INDEX($B$8:$B$5007,$L1667))</f>
        <v/>
      </c>
      <c r="O1667" s="32" t="str">
        <f>IF($M1667="","",IF($K1667-$M1667&gt;7,"",IF($M1667&lt;=$A1667,"",IF(OR($B1667&lt;=0,$N1667&lt;=0),"",($N1667/$B1667)^(365/($M1667-$A1667))-1))))</f>
        <v/>
      </c>
      <c r="P1667" s="31" t="str">
        <f>IF($B1667="","",IF($P1666="",$B1667,MAX($P1666,$B1667)))</f>
        <v/>
      </c>
      <c r="Q1667" s="32" t="str">
        <f>IF($P1667="","",$B1667/$P1667-1)</f>
        <v/>
      </c>
    </row>
    <row r="1668">
      <c r="A1668" s="11" t="n"/>
      <c r="B1668" s="29" t="n"/>
      <c r="K1668" s="30" t="str">
        <f>IF($A1668="","",EDATE($A1668,12*$E$4))</f>
        <v/>
      </c>
      <c r="L1668" s="19" t="str">
        <f>IF($K1668="","",IF($K1668&gt;MAX($A$8:$A$5007),"",IFERROR(MATCH($K1668,$A$8:$A$5007,1),"")))</f>
        <v/>
      </c>
      <c r="M1668" s="30" t="str">
        <f>IF($L1668="","",INDEX($A$8:$A$5007,$L1668))</f>
        <v/>
      </c>
      <c r="N1668" s="31" t="str">
        <f>IF($L1668="","",INDEX($B$8:$B$5007,$L1668))</f>
        <v/>
      </c>
      <c r="O1668" s="32" t="str">
        <f>IF($M1668="","",IF($K1668-$M1668&gt;7,"",IF($M1668&lt;=$A1668,"",IF(OR($B1668&lt;=0,$N1668&lt;=0),"",($N1668/$B1668)^(365/($M1668-$A1668))-1))))</f>
        <v/>
      </c>
      <c r="P1668" s="31" t="str">
        <f>IF($B1668="","",IF($P1667="",$B1668,MAX($P1667,$B1668)))</f>
        <v/>
      </c>
      <c r="Q1668" s="32" t="str">
        <f>IF($P1668="","",$B1668/$P1668-1)</f>
        <v/>
      </c>
    </row>
    <row r="1669">
      <c r="A1669" s="11" t="n"/>
      <c r="B1669" s="29" t="n"/>
      <c r="K1669" s="30" t="str">
        <f>IF($A1669="","",EDATE($A1669,12*$E$4))</f>
        <v/>
      </c>
      <c r="L1669" s="19" t="str">
        <f>IF($K1669="","",IF($K1669&gt;MAX($A$8:$A$5007),"",IFERROR(MATCH($K1669,$A$8:$A$5007,1),"")))</f>
        <v/>
      </c>
      <c r="M1669" s="30" t="str">
        <f>IF($L1669="","",INDEX($A$8:$A$5007,$L1669))</f>
        <v/>
      </c>
      <c r="N1669" s="31" t="str">
        <f>IF($L1669="","",INDEX($B$8:$B$5007,$L1669))</f>
        <v/>
      </c>
      <c r="O1669" s="32" t="str">
        <f>IF($M1669="","",IF($K1669-$M1669&gt;7,"",IF($M1669&lt;=$A1669,"",IF(OR($B1669&lt;=0,$N1669&lt;=0),"",($N1669/$B1669)^(365/($M1669-$A1669))-1))))</f>
        <v/>
      </c>
      <c r="P1669" s="31" t="str">
        <f>IF($B1669="","",IF($P1668="",$B1669,MAX($P1668,$B1669)))</f>
        <v/>
      </c>
      <c r="Q1669" s="32" t="str">
        <f>IF($P1669="","",$B1669/$P1669-1)</f>
        <v/>
      </c>
    </row>
    <row r="1670">
      <c r="A1670" s="11" t="n"/>
      <c r="B1670" s="29" t="n"/>
      <c r="K1670" s="30" t="str">
        <f>IF($A1670="","",EDATE($A1670,12*$E$4))</f>
        <v/>
      </c>
      <c r="L1670" s="19" t="str">
        <f>IF($K1670="","",IF($K1670&gt;MAX($A$8:$A$5007),"",IFERROR(MATCH($K1670,$A$8:$A$5007,1),"")))</f>
        <v/>
      </c>
      <c r="M1670" s="30" t="str">
        <f>IF($L1670="","",INDEX($A$8:$A$5007,$L1670))</f>
        <v/>
      </c>
      <c r="N1670" s="31" t="str">
        <f>IF($L1670="","",INDEX($B$8:$B$5007,$L1670))</f>
        <v/>
      </c>
      <c r="O1670" s="32" t="str">
        <f>IF($M1670="","",IF($K1670-$M1670&gt;7,"",IF($M1670&lt;=$A1670,"",IF(OR($B1670&lt;=0,$N1670&lt;=0),"",($N1670/$B1670)^(365/($M1670-$A1670))-1))))</f>
        <v/>
      </c>
      <c r="P1670" s="31" t="str">
        <f>IF($B1670="","",IF($P1669="",$B1670,MAX($P1669,$B1670)))</f>
        <v/>
      </c>
      <c r="Q1670" s="32" t="str">
        <f>IF($P1670="","",$B1670/$P1670-1)</f>
        <v/>
      </c>
    </row>
    <row r="1671">
      <c r="A1671" s="11" t="n"/>
      <c r="B1671" s="29" t="n"/>
      <c r="K1671" s="30" t="str">
        <f>IF($A1671="","",EDATE($A1671,12*$E$4))</f>
        <v/>
      </c>
      <c r="L1671" s="19" t="str">
        <f>IF($K1671="","",IF($K1671&gt;MAX($A$8:$A$5007),"",IFERROR(MATCH($K1671,$A$8:$A$5007,1),"")))</f>
        <v/>
      </c>
      <c r="M1671" s="30" t="str">
        <f>IF($L1671="","",INDEX($A$8:$A$5007,$L1671))</f>
        <v/>
      </c>
      <c r="N1671" s="31" t="str">
        <f>IF($L1671="","",INDEX($B$8:$B$5007,$L1671))</f>
        <v/>
      </c>
      <c r="O1671" s="32" t="str">
        <f>IF($M1671="","",IF($K1671-$M1671&gt;7,"",IF($M1671&lt;=$A1671,"",IF(OR($B1671&lt;=0,$N1671&lt;=0),"",($N1671/$B1671)^(365/($M1671-$A1671))-1))))</f>
        <v/>
      </c>
      <c r="P1671" s="31" t="str">
        <f>IF($B1671="","",IF($P1670="",$B1671,MAX($P1670,$B1671)))</f>
        <v/>
      </c>
      <c r="Q1671" s="32" t="str">
        <f>IF($P1671="","",$B1671/$P1671-1)</f>
        <v/>
      </c>
    </row>
    <row r="1672">
      <c r="A1672" s="11" t="n"/>
      <c r="B1672" s="29" t="n"/>
      <c r="K1672" s="30" t="str">
        <f>IF($A1672="","",EDATE($A1672,12*$E$4))</f>
        <v/>
      </c>
      <c r="L1672" s="19" t="str">
        <f>IF($K1672="","",IF($K1672&gt;MAX($A$8:$A$5007),"",IFERROR(MATCH($K1672,$A$8:$A$5007,1),"")))</f>
        <v/>
      </c>
      <c r="M1672" s="30" t="str">
        <f>IF($L1672="","",INDEX($A$8:$A$5007,$L1672))</f>
        <v/>
      </c>
      <c r="N1672" s="31" t="str">
        <f>IF($L1672="","",INDEX($B$8:$B$5007,$L1672))</f>
        <v/>
      </c>
      <c r="O1672" s="32" t="str">
        <f>IF($M1672="","",IF($K1672-$M1672&gt;7,"",IF($M1672&lt;=$A1672,"",IF(OR($B1672&lt;=0,$N1672&lt;=0),"",($N1672/$B1672)^(365/($M1672-$A1672))-1))))</f>
        <v/>
      </c>
      <c r="P1672" s="31" t="str">
        <f>IF($B1672="","",IF($P1671="",$B1672,MAX($P1671,$B1672)))</f>
        <v/>
      </c>
      <c r="Q1672" s="32" t="str">
        <f>IF($P1672="","",$B1672/$P1672-1)</f>
        <v/>
      </c>
    </row>
    <row r="1673">
      <c r="A1673" s="11" t="n"/>
      <c r="B1673" s="29" t="n"/>
      <c r="K1673" s="30" t="str">
        <f>IF($A1673="","",EDATE($A1673,12*$E$4))</f>
        <v/>
      </c>
      <c r="L1673" s="19" t="str">
        <f>IF($K1673="","",IF($K1673&gt;MAX($A$8:$A$5007),"",IFERROR(MATCH($K1673,$A$8:$A$5007,1),"")))</f>
        <v/>
      </c>
      <c r="M1673" s="30" t="str">
        <f>IF($L1673="","",INDEX($A$8:$A$5007,$L1673))</f>
        <v/>
      </c>
      <c r="N1673" s="31" t="str">
        <f>IF($L1673="","",INDEX($B$8:$B$5007,$L1673))</f>
        <v/>
      </c>
      <c r="O1673" s="32" t="str">
        <f>IF($M1673="","",IF($K1673-$M1673&gt;7,"",IF($M1673&lt;=$A1673,"",IF(OR($B1673&lt;=0,$N1673&lt;=0),"",($N1673/$B1673)^(365/($M1673-$A1673))-1))))</f>
        <v/>
      </c>
      <c r="P1673" s="31" t="str">
        <f>IF($B1673="","",IF($P1672="",$B1673,MAX($P1672,$B1673)))</f>
        <v/>
      </c>
      <c r="Q1673" s="32" t="str">
        <f>IF($P1673="","",$B1673/$P1673-1)</f>
        <v/>
      </c>
    </row>
    <row r="1674">
      <c r="A1674" s="11" t="n"/>
      <c r="B1674" s="29" t="n"/>
      <c r="K1674" s="30" t="str">
        <f>IF($A1674="","",EDATE($A1674,12*$E$4))</f>
        <v/>
      </c>
      <c r="L1674" s="19" t="str">
        <f>IF($K1674="","",IF($K1674&gt;MAX($A$8:$A$5007),"",IFERROR(MATCH($K1674,$A$8:$A$5007,1),"")))</f>
        <v/>
      </c>
      <c r="M1674" s="30" t="str">
        <f>IF($L1674="","",INDEX($A$8:$A$5007,$L1674))</f>
        <v/>
      </c>
      <c r="N1674" s="31" t="str">
        <f>IF($L1674="","",INDEX($B$8:$B$5007,$L1674))</f>
        <v/>
      </c>
      <c r="O1674" s="32" t="str">
        <f>IF($M1674="","",IF($K1674-$M1674&gt;7,"",IF($M1674&lt;=$A1674,"",IF(OR($B1674&lt;=0,$N1674&lt;=0),"",($N1674/$B1674)^(365/($M1674-$A1674))-1))))</f>
        <v/>
      </c>
      <c r="P1674" s="31" t="str">
        <f>IF($B1674="","",IF($P1673="",$B1674,MAX($P1673,$B1674)))</f>
        <v/>
      </c>
      <c r="Q1674" s="32" t="str">
        <f>IF($P1674="","",$B1674/$P1674-1)</f>
        <v/>
      </c>
    </row>
    <row r="1675">
      <c r="A1675" s="11" t="n"/>
      <c r="B1675" s="29" t="n"/>
      <c r="K1675" s="30" t="str">
        <f>IF($A1675="","",EDATE($A1675,12*$E$4))</f>
        <v/>
      </c>
      <c r="L1675" s="19" t="str">
        <f>IF($K1675="","",IF($K1675&gt;MAX($A$8:$A$5007),"",IFERROR(MATCH($K1675,$A$8:$A$5007,1),"")))</f>
        <v/>
      </c>
      <c r="M1675" s="30" t="str">
        <f>IF($L1675="","",INDEX($A$8:$A$5007,$L1675))</f>
        <v/>
      </c>
      <c r="N1675" s="31" t="str">
        <f>IF($L1675="","",INDEX($B$8:$B$5007,$L1675))</f>
        <v/>
      </c>
      <c r="O1675" s="32" t="str">
        <f>IF($M1675="","",IF($K1675-$M1675&gt;7,"",IF($M1675&lt;=$A1675,"",IF(OR($B1675&lt;=0,$N1675&lt;=0),"",($N1675/$B1675)^(365/($M1675-$A1675))-1))))</f>
        <v/>
      </c>
      <c r="P1675" s="31" t="str">
        <f>IF($B1675="","",IF($P1674="",$B1675,MAX($P1674,$B1675)))</f>
        <v/>
      </c>
      <c r="Q1675" s="32" t="str">
        <f>IF($P1675="","",$B1675/$P1675-1)</f>
        <v/>
      </c>
    </row>
    <row r="1676">
      <c r="A1676" s="11" t="n"/>
      <c r="B1676" s="29" t="n"/>
      <c r="K1676" s="30" t="str">
        <f>IF($A1676="","",EDATE($A1676,12*$E$4))</f>
        <v/>
      </c>
      <c r="L1676" s="19" t="str">
        <f>IF($K1676="","",IF($K1676&gt;MAX($A$8:$A$5007),"",IFERROR(MATCH($K1676,$A$8:$A$5007,1),"")))</f>
        <v/>
      </c>
      <c r="M1676" s="30" t="str">
        <f>IF($L1676="","",INDEX($A$8:$A$5007,$L1676))</f>
        <v/>
      </c>
      <c r="N1676" s="31" t="str">
        <f>IF($L1676="","",INDEX($B$8:$B$5007,$L1676))</f>
        <v/>
      </c>
      <c r="O1676" s="32" t="str">
        <f>IF($M1676="","",IF($K1676-$M1676&gt;7,"",IF($M1676&lt;=$A1676,"",IF(OR($B1676&lt;=0,$N1676&lt;=0),"",($N1676/$B1676)^(365/($M1676-$A1676))-1))))</f>
        <v/>
      </c>
      <c r="P1676" s="31" t="str">
        <f>IF($B1676="","",IF($P1675="",$B1676,MAX($P1675,$B1676)))</f>
        <v/>
      </c>
      <c r="Q1676" s="32" t="str">
        <f>IF($P1676="","",$B1676/$P1676-1)</f>
        <v/>
      </c>
    </row>
    <row r="1677">
      <c r="A1677" s="11" t="n"/>
      <c r="B1677" s="29" t="n"/>
      <c r="K1677" s="30" t="str">
        <f>IF($A1677="","",EDATE($A1677,12*$E$4))</f>
        <v/>
      </c>
      <c r="L1677" s="19" t="str">
        <f>IF($K1677="","",IF($K1677&gt;MAX($A$8:$A$5007),"",IFERROR(MATCH($K1677,$A$8:$A$5007,1),"")))</f>
        <v/>
      </c>
      <c r="M1677" s="30" t="str">
        <f>IF($L1677="","",INDEX($A$8:$A$5007,$L1677))</f>
        <v/>
      </c>
      <c r="N1677" s="31" t="str">
        <f>IF($L1677="","",INDEX($B$8:$B$5007,$L1677))</f>
        <v/>
      </c>
      <c r="O1677" s="32" t="str">
        <f>IF($M1677="","",IF($K1677-$M1677&gt;7,"",IF($M1677&lt;=$A1677,"",IF(OR($B1677&lt;=0,$N1677&lt;=0),"",($N1677/$B1677)^(365/($M1677-$A1677))-1))))</f>
        <v/>
      </c>
      <c r="P1677" s="31" t="str">
        <f>IF($B1677="","",IF($P1676="",$B1677,MAX($P1676,$B1677)))</f>
        <v/>
      </c>
      <c r="Q1677" s="32" t="str">
        <f>IF($P1677="","",$B1677/$P1677-1)</f>
        <v/>
      </c>
    </row>
    <row r="1678">
      <c r="A1678" s="11" t="n"/>
      <c r="B1678" s="29" t="n"/>
      <c r="K1678" s="30" t="str">
        <f>IF($A1678="","",EDATE($A1678,12*$E$4))</f>
        <v/>
      </c>
      <c r="L1678" s="19" t="str">
        <f>IF($K1678="","",IF($K1678&gt;MAX($A$8:$A$5007),"",IFERROR(MATCH($K1678,$A$8:$A$5007,1),"")))</f>
        <v/>
      </c>
      <c r="M1678" s="30" t="str">
        <f>IF($L1678="","",INDEX($A$8:$A$5007,$L1678))</f>
        <v/>
      </c>
      <c r="N1678" s="31" t="str">
        <f>IF($L1678="","",INDEX($B$8:$B$5007,$L1678))</f>
        <v/>
      </c>
      <c r="O1678" s="32" t="str">
        <f>IF($M1678="","",IF($K1678-$M1678&gt;7,"",IF($M1678&lt;=$A1678,"",IF(OR($B1678&lt;=0,$N1678&lt;=0),"",($N1678/$B1678)^(365/($M1678-$A1678))-1))))</f>
        <v/>
      </c>
      <c r="P1678" s="31" t="str">
        <f>IF($B1678="","",IF($P1677="",$B1678,MAX($P1677,$B1678)))</f>
        <v/>
      </c>
      <c r="Q1678" s="32" t="str">
        <f>IF($P1678="","",$B1678/$P1678-1)</f>
        <v/>
      </c>
    </row>
    <row r="1679">
      <c r="A1679" s="11" t="n"/>
      <c r="B1679" s="29" t="n"/>
      <c r="K1679" s="30" t="str">
        <f>IF($A1679="","",EDATE($A1679,12*$E$4))</f>
        <v/>
      </c>
      <c r="L1679" s="19" t="str">
        <f>IF($K1679="","",IF($K1679&gt;MAX($A$8:$A$5007),"",IFERROR(MATCH($K1679,$A$8:$A$5007,1),"")))</f>
        <v/>
      </c>
      <c r="M1679" s="30" t="str">
        <f>IF($L1679="","",INDEX($A$8:$A$5007,$L1679))</f>
        <v/>
      </c>
      <c r="N1679" s="31" t="str">
        <f>IF($L1679="","",INDEX($B$8:$B$5007,$L1679))</f>
        <v/>
      </c>
      <c r="O1679" s="32" t="str">
        <f>IF($M1679="","",IF($K1679-$M1679&gt;7,"",IF($M1679&lt;=$A1679,"",IF(OR($B1679&lt;=0,$N1679&lt;=0),"",($N1679/$B1679)^(365/($M1679-$A1679))-1))))</f>
        <v/>
      </c>
      <c r="P1679" s="31" t="str">
        <f>IF($B1679="","",IF($P1678="",$B1679,MAX($P1678,$B1679)))</f>
        <v/>
      </c>
      <c r="Q1679" s="32" t="str">
        <f>IF($P1679="","",$B1679/$P1679-1)</f>
        <v/>
      </c>
    </row>
    <row r="1680">
      <c r="A1680" s="11" t="n"/>
      <c r="B1680" s="29" t="n"/>
      <c r="K1680" s="30" t="str">
        <f>IF($A1680="","",EDATE($A1680,12*$E$4))</f>
        <v/>
      </c>
      <c r="L1680" s="19" t="str">
        <f>IF($K1680="","",IF($K1680&gt;MAX($A$8:$A$5007),"",IFERROR(MATCH($K1680,$A$8:$A$5007,1),"")))</f>
        <v/>
      </c>
      <c r="M1680" s="30" t="str">
        <f>IF($L1680="","",INDEX($A$8:$A$5007,$L1680))</f>
        <v/>
      </c>
      <c r="N1680" s="31" t="str">
        <f>IF($L1680="","",INDEX($B$8:$B$5007,$L1680))</f>
        <v/>
      </c>
      <c r="O1680" s="32" t="str">
        <f>IF($M1680="","",IF($K1680-$M1680&gt;7,"",IF($M1680&lt;=$A1680,"",IF(OR($B1680&lt;=0,$N1680&lt;=0),"",($N1680/$B1680)^(365/($M1680-$A1680))-1))))</f>
        <v/>
      </c>
      <c r="P1680" s="31" t="str">
        <f>IF($B1680="","",IF($P1679="",$B1680,MAX($P1679,$B1680)))</f>
        <v/>
      </c>
      <c r="Q1680" s="32" t="str">
        <f>IF($P1680="","",$B1680/$P1680-1)</f>
        <v/>
      </c>
    </row>
    <row r="1681">
      <c r="A1681" s="11" t="n"/>
      <c r="B1681" s="29" t="n"/>
      <c r="K1681" s="30" t="str">
        <f>IF($A1681="","",EDATE($A1681,12*$E$4))</f>
        <v/>
      </c>
      <c r="L1681" s="19" t="str">
        <f>IF($K1681="","",IF($K1681&gt;MAX($A$8:$A$5007),"",IFERROR(MATCH($K1681,$A$8:$A$5007,1),"")))</f>
        <v/>
      </c>
      <c r="M1681" s="30" t="str">
        <f>IF($L1681="","",INDEX($A$8:$A$5007,$L1681))</f>
        <v/>
      </c>
      <c r="N1681" s="31" t="str">
        <f>IF($L1681="","",INDEX($B$8:$B$5007,$L1681))</f>
        <v/>
      </c>
      <c r="O1681" s="32" t="str">
        <f>IF($M1681="","",IF($K1681-$M1681&gt;7,"",IF($M1681&lt;=$A1681,"",IF(OR($B1681&lt;=0,$N1681&lt;=0),"",($N1681/$B1681)^(365/($M1681-$A1681))-1))))</f>
        <v/>
      </c>
      <c r="P1681" s="31" t="str">
        <f>IF($B1681="","",IF($P1680="",$B1681,MAX($P1680,$B1681)))</f>
        <v/>
      </c>
      <c r="Q1681" s="32" t="str">
        <f>IF($P1681="","",$B1681/$P1681-1)</f>
        <v/>
      </c>
    </row>
    <row r="1682">
      <c r="A1682" s="11" t="n"/>
      <c r="B1682" s="29" t="n"/>
      <c r="K1682" s="30" t="str">
        <f>IF($A1682="","",EDATE($A1682,12*$E$4))</f>
        <v/>
      </c>
      <c r="L1682" s="19" t="str">
        <f>IF($K1682="","",IF($K1682&gt;MAX($A$8:$A$5007),"",IFERROR(MATCH($K1682,$A$8:$A$5007,1),"")))</f>
        <v/>
      </c>
      <c r="M1682" s="30" t="str">
        <f>IF($L1682="","",INDEX($A$8:$A$5007,$L1682))</f>
        <v/>
      </c>
      <c r="N1682" s="31" t="str">
        <f>IF($L1682="","",INDEX($B$8:$B$5007,$L1682))</f>
        <v/>
      </c>
      <c r="O1682" s="32" t="str">
        <f>IF($M1682="","",IF($K1682-$M1682&gt;7,"",IF($M1682&lt;=$A1682,"",IF(OR($B1682&lt;=0,$N1682&lt;=0),"",($N1682/$B1682)^(365/($M1682-$A1682))-1))))</f>
        <v/>
      </c>
      <c r="P1682" s="31" t="str">
        <f>IF($B1682="","",IF($P1681="",$B1682,MAX($P1681,$B1682)))</f>
        <v/>
      </c>
      <c r="Q1682" s="32" t="str">
        <f>IF($P1682="","",$B1682/$P1682-1)</f>
        <v/>
      </c>
    </row>
    <row r="1683">
      <c r="A1683" s="11" t="n"/>
      <c r="B1683" s="29" t="n"/>
      <c r="K1683" s="30" t="str">
        <f>IF($A1683="","",EDATE($A1683,12*$E$4))</f>
        <v/>
      </c>
      <c r="L1683" s="19" t="str">
        <f>IF($K1683="","",IF($K1683&gt;MAX($A$8:$A$5007),"",IFERROR(MATCH($K1683,$A$8:$A$5007,1),"")))</f>
        <v/>
      </c>
      <c r="M1683" s="30" t="str">
        <f>IF($L1683="","",INDEX($A$8:$A$5007,$L1683))</f>
        <v/>
      </c>
      <c r="N1683" s="31" t="str">
        <f>IF($L1683="","",INDEX($B$8:$B$5007,$L1683))</f>
        <v/>
      </c>
      <c r="O1683" s="32" t="str">
        <f>IF($M1683="","",IF($K1683-$M1683&gt;7,"",IF($M1683&lt;=$A1683,"",IF(OR($B1683&lt;=0,$N1683&lt;=0),"",($N1683/$B1683)^(365/($M1683-$A1683))-1))))</f>
        <v/>
      </c>
      <c r="P1683" s="31" t="str">
        <f>IF($B1683="","",IF($P1682="",$B1683,MAX($P1682,$B1683)))</f>
        <v/>
      </c>
      <c r="Q1683" s="32" t="str">
        <f>IF($P1683="","",$B1683/$P1683-1)</f>
        <v/>
      </c>
    </row>
    <row r="1684">
      <c r="A1684" s="11" t="n"/>
      <c r="B1684" s="29" t="n"/>
      <c r="K1684" s="30" t="str">
        <f>IF($A1684="","",EDATE($A1684,12*$E$4))</f>
        <v/>
      </c>
      <c r="L1684" s="19" t="str">
        <f>IF($K1684="","",IF($K1684&gt;MAX($A$8:$A$5007),"",IFERROR(MATCH($K1684,$A$8:$A$5007,1),"")))</f>
        <v/>
      </c>
      <c r="M1684" s="30" t="str">
        <f>IF($L1684="","",INDEX($A$8:$A$5007,$L1684))</f>
        <v/>
      </c>
      <c r="N1684" s="31" t="str">
        <f>IF($L1684="","",INDEX($B$8:$B$5007,$L1684))</f>
        <v/>
      </c>
      <c r="O1684" s="32" t="str">
        <f>IF($M1684="","",IF($K1684-$M1684&gt;7,"",IF($M1684&lt;=$A1684,"",IF(OR($B1684&lt;=0,$N1684&lt;=0),"",($N1684/$B1684)^(365/($M1684-$A1684))-1))))</f>
        <v/>
      </c>
      <c r="P1684" s="31" t="str">
        <f>IF($B1684="","",IF($P1683="",$B1684,MAX($P1683,$B1684)))</f>
        <v/>
      </c>
      <c r="Q1684" s="32" t="str">
        <f>IF($P1684="","",$B1684/$P1684-1)</f>
        <v/>
      </c>
    </row>
    <row r="1685">
      <c r="A1685" s="11" t="n"/>
      <c r="B1685" s="29" t="n"/>
      <c r="K1685" s="30" t="str">
        <f>IF($A1685="","",EDATE($A1685,12*$E$4))</f>
        <v/>
      </c>
      <c r="L1685" s="19" t="str">
        <f>IF($K1685="","",IF($K1685&gt;MAX($A$8:$A$5007),"",IFERROR(MATCH($K1685,$A$8:$A$5007,1),"")))</f>
        <v/>
      </c>
      <c r="M1685" s="30" t="str">
        <f>IF($L1685="","",INDEX($A$8:$A$5007,$L1685))</f>
        <v/>
      </c>
      <c r="N1685" s="31" t="str">
        <f>IF($L1685="","",INDEX($B$8:$B$5007,$L1685))</f>
        <v/>
      </c>
      <c r="O1685" s="32" t="str">
        <f>IF($M1685="","",IF($K1685-$M1685&gt;7,"",IF($M1685&lt;=$A1685,"",IF(OR($B1685&lt;=0,$N1685&lt;=0),"",($N1685/$B1685)^(365/($M1685-$A1685))-1))))</f>
        <v/>
      </c>
      <c r="P1685" s="31" t="str">
        <f>IF($B1685="","",IF($P1684="",$B1685,MAX($P1684,$B1685)))</f>
        <v/>
      </c>
      <c r="Q1685" s="32" t="str">
        <f>IF($P1685="","",$B1685/$P1685-1)</f>
        <v/>
      </c>
    </row>
    <row r="1686">
      <c r="A1686" s="11" t="n"/>
      <c r="B1686" s="29" t="n"/>
      <c r="K1686" s="30" t="str">
        <f>IF($A1686="","",EDATE($A1686,12*$E$4))</f>
        <v/>
      </c>
      <c r="L1686" s="19" t="str">
        <f>IF($K1686="","",IF($K1686&gt;MAX($A$8:$A$5007),"",IFERROR(MATCH($K1686,$A$8:$A$5007,1),"")))</f>
        <v/>
      </c>
      <c r="M1686" s="30" t="str">
        <f>IF($L1686="","",INDEX($A$8:$A$5007,$L1686))</f>
        <v/>
      </c>
      <c r="N1686" s="31" t="str">
        <f>IF($L1686="","",INDEX($B$8:$B$5007,$L1686))</f>
        <v/>
      </c>
      <c r="O1686" s="32" t="str">
        <f>IF($M1686="","",IF($K1686-$M1686&gt;7,"",IF($M1686&lt;=$A1686,"",IF(OR($B1686&lt;=0,$N1686&lt;=0),"",($N1686/$B1686)^(365/($M1686-$A1686))-1))))</f>
        <v/>
      </c>
      <c r="P1686" s="31" t="str">
        <f>IF($B1686="","",IF($P1685="",$B1686,MAX($P1685,$B1686)))</f>
        <v/>
      </c>
      <c r="Q1686" s="32" t="str">
        <f>IF($P1686="","",$B1686/$P1686-1)</f>
        <v/>
      </c>
    </row>
    <row r="1687">
      <c r="A1687" s="11" t="n"/>
      <c r="B1687" s="29" t="n"/>
      <c r="K1687" s="30" t="str">
        <f>IF($A1687="","",EDATE($A1687,12*$E$4))</f>
        <v/>
      </c>
      <c r="L1687" s="19" t="str">
        <f>IF($K1687="","",IF($K1687&gt;MAX($A$8:$A$5007),"",IFERROR(MATCH($K1687,$A$8:$A$5007,1),"")))</f>
        <v/>
      </c>
      <c r="M1687" s="30" t="str">
        <f>IF($L1687="","",INDEX($A$8:$A$5007,$L1687))</f>
        <v/>
      </c>
      <c r="N1687" s="31" t="str">
        <f>IF($L1687="","",INDEX($B$8:$B$5007,$L1687))</f>
        <v/>
      </c>
      <c r="O1687" s="32" t="str">
        <f>IF($M1687="","",IF($K1687-$M1687&gt;7,"",IF($M1687&lt;=$A1687,"",IF(OR($B1687&lt;=0,$N1687&lt;=0),"",($N1687/$B1687)^(365/($M1687-$A1687))-1))))</f>
        <v/>
      </c>
      <c r="P1687" s="31" t="str">
        <f>IF($B1687="","",IF($P1686="",$B1687,MAX($P1686,$B1687)))</f>
        <v/>
      </c>
      <c r="Q1687" s="32" t="str">
        <f>IF($P1687="","",$B1687/$P1687-1)</f>
        <v/>
      </c>
    </row>
    <row r="1688">
      <c r="A1688" s="11" t="n"/>
      <c r="B1688" s="29" t="n"/>
      <c r="K1688" s="30" t="str">
        <f>IF($A1688="","",EDATE($A1688,12*$E$4))</f>
        <v/>
      </c>
      <c r="L1688" s="19" t="str">
        <f>IF($K1688="","",IF($K1688&gt;MAX($A$8:$A$5007),"",IFERROR(MATCH($K1688,$A$8:$A$5007,1),"")))</f>
        <v/>
      </c>
      <c r="M1688" s="30" t="str">
        <f>IF($L1688="","",INDEX($A$8:$A$5007,$L1688))</f>
        <v/>
      </c>
      <c r="N1688" s="31" t="str">
        <f>IF($L1688="","",INDEX($B$8:$B$5007,$L1688))</f>
        <v/>
      </c>
      <c r="O1688" s="32" t="str">
        <f>IF($M1688="","",IF($K1688-$M1688&gt;7,"",IF($M1688&lt;=$A1688,"",IF(OR($B1688&lt;=0,$N1688&lt;=0),"",($N1688/$B1688)^(365/($M1688-$A1688))-1))))</f>
        <v/>
      </c>
      <c r="P1688" s="31" t="str">
        <f>IF($B1688="","",IF($P1687="",$B1688,MAX($P1687,$B1688)))</f>
        <v/>
      </c>
      <c r="Q1688" s="32" t="str">
        <f>IF($P1688="","",$B1688/$P1688-1)</f>
        <v/>
      </c>
    </row>
    <row r="1689">
      <c r="A1689" s="11" t="n"/>
      <c r="B1689" s="29" t="n"/>
      <c r="K1689" s="30" t="str">
        <f>IF($A1689="","",EDATE($A1689,12*$E$4))</f>
        <v/>
      </c>
      <c r="L1689" s="19" t="str">
        <f>IF($K1689="","",IF($K1689&gt;MAX($A$8:$A$5007),"",IFERROR(MATCH($K1689,$A$8:$A$5007,1),"")))</f>
        <v/>
      </c>
      <c r="M1689" s="30" t="str">
        <f>IF($L1689="","",INDEX($A$8:$A$5007,$L1689))</f>
        <v/>
      </c>
      <c r="N1689" s="31" t="str">
        <f>IF($L1689="","",INDEX($B$8:$B$5007,$L1689))</f>
        <v/>
      </c>
      <c r="O1689" s="32" t="str">
        <f>IF($M1689="","",IF($K1689-$M1689&gt;7,"",IF($M1689&lt;=$A1689,"",IF(OR($B1689&lt;=0,$N1689&lt;=0),"",($N1689/$B1689)^(365/($M1689-$A1689))-1))))</f>
        <v/>
      </c>
      <c r="P1689" s="31" t="str">
        <f>IF($B1689="","",IF($P1688="",$B1689,MAX($P1688,$B1689)))</f>
        <v/>
      </c>
      <c r="Q1689" s="32" t="str">
        <f>IF($P1689="","",$B1689/$P1689-1)</f>
        <v/>
      </c>
    </row>
    <row r="1690">
      <c r="A1690" s="11" t="n"/>
      <c r="B1690" s="29" t="n"/>
      <c r="K1690" s="30" t="str">
        <f>IF($A1690="","",EDATE($A1690,12*$E$4))</f>
        <v/>
      </c>
      <c r="L1690" s="19" t="str">
        <f>IF($K1690="","",IF($K1690&gt;MAX($A$8:$A$5007),"",IFERROR(MATCH($K1690,$A$8:$A$5007,1),"")))</f>
        <v/>
      </c>
      <c r="M1690" s="30" t="str">
        <f>IF($L1690="","",INDEX($A$8:$A$5007,$L1690))</f>
        <v/>
      </c>
      <c r="N1690" s="31" t="str">
        <f>IF($L1690="","",INDEX($B$8:$B$5007,$L1690))</f>
        <v/>
      </c>
      <c r="O1690" s="32" t="str">
        <f>IF($M1690="","",IF($K1690-$M1690&gt;7,"",IF($M1690&lt;=$A1690,"",IF(OR($B1690&lt;=0,$N1690&lt;=0),"",($N1690/$B1690)^(365/($M1690-$A1690))-1))))</f>
        <v/>
      </c>
      <c r="P1690" s="31" t="str">
        <f>IF($B1690="","",IF($P1689="",$B1690,MAX($P1689,$B1690)))</f>
        <v/>
      </c>
      <c r="Q1690" s="32" t="str">
        <f>IF($P1690="","",$B1690/$P1690-1)</f>
        <v/>
      </c>
    </row>
    <row r="1691">
      <c r="A1691" s="11" t="n"/>
      <c r="B1691" s="29" t="n"/>
      <c r="K1691" s="30" t="str">
        <f>IF($A1691="","",EDATE($A1691,12*$E$4))</f>
        <v/>
      </c>
      <c r="L1691" s="19" t="str">
        <f>IF($K1691="","",IF($K1691&gt;MAX($A$8:$A$5007),"",IFERROR(MATCH($K1691,$A$8:$A$5007,1),"")))</f>
        <v/>
      </c>
      <c r="M1691" s="30" t="str">
        <f>IF($L1691="","",INDEX($A$8:$A$5007,$L1691))</f>
        <v/>
      </c>
      <c r="N1691" s="31" t="str">
        <f>IF($L1691="","",INDEX($B$8:$B$5007,$L1691))</f>
        <v/>
      </c>
      <c r="O1691" s="32" t="str">
        <f>IF($M1691="","",IF($K1691-$M1691&gt;7,"",IF($M1691&lt;=$A1691,"",IF(OR($B1691&lt;=0,$N1691&lt;=0),"",($N1691/$B1691)^(365/($M1691-$A1691))-1))))</f>
        <v/>
      </c>
      <c r="P1691" s="31" t="str">
        <f>IF($B1691="","",IF($P1690="",$B1691,MAX($P1690,$B1691)))</f>
        <v/>
      </c>
      <c r="Q1691" s="32" t="str">
        <f>IF($P1691="","",$B1691/$P1691-1)</f>
        <v/>
      </c>
    </row>
    <row r="1692">
      <c r="A1692" s="11" t="n"/>
      <c r="B1692" s="29" t="n"/>
      <c r="K1692" s="30" t="str">
        <f>IF($A1692="","",EDATE($A1692,12*$E$4))</f>
        <v/>
      </c>
      <c r="L1692" s="19" t="str">
        <f>IF($K1692="","",IF($K1692&gt;MAX($A$8:$A$5007),"",IFERROR(MATCH($K1692,$A$8:$A$5007,1),"")))</f>
        <v/>
      </c>
      <c r="M1692" s="30" t="str">
        <f>IF($L1692="","",INDEX($A$8:$A$5007,$L1692))</f>
        <v/>
      </c>
      <c r="N1692" s="31" t="str">
        <f>IF($L1692="","",INDEX($B$8:$B$5007,$L1692))</f>
        <v/>
      </c>
      <c r="O1692" s="32" t="str">
        <f>IF($M1692="","",IF($K1692-$M1692&gt;7,"",IF($M1692&lt;=$A1692,"",IF(OR($B1692&lt;=0,$N1692&lt;=0),"",($N1692/$B1692)^(365/($M1692-$A1692))-1))))</f>
        <v/>
      </c>
      <c r="P1692" s="31" t="str">
        <f>IF($B1692="","",IF($P1691="",$B1692,MAX($P1691,$B1692)))</f>
        <v/>
      </c>
      <c r="Q1692" s="32" t="str">
        <f>IF($P1692="","",$B1692/$P1692-1)</f>
        <v/>
      </c>
    </row>
    <row r="1693">
      <c r="A1693" s="11" t="n"/>
      <c r="B1693" s="29" t="n"/>
      <c r="K1693" s="30" t="str">
        <f>IF($A1693="","",EDATE($A1693,12*$E$4))</f>
        <v/>
      </c>
      <c r="L1693" s="19" t="str">
        <f>IF($K1693="","",IF($K1693&gt;MAX($A$8:$A$5007),"",IFERROR(MATCH($K1693,$A$8:$A$5007,1),"")))</f>
        <v/>
      </c>
      <c r="M1693" s="30" t="str">
        <f>IF($L1693="","",INDEX($A$8:$A$5007,$L1693))</f>
        <v/>
      </c>
      <c r="N1693" s="31" t="str">
        <f>IF($L1693="","",INDEX($B$8:$B$5007,$L1693))</f>
        <v/>
      </c>
      <c r="O1693" s="32" t="str">
        <f>IF($M1693="","",IF($K1693-$M1693&gt;7,"",IF($M1693&lt;=$A1693,"",IF(OR($B1693&lt;=0,$N1693&lt;=0),"",($N1693/$B1693)^(365/($M1693-$A1693))-1))))</f>
        <v/>
      </c>
      <c r="P1693" s="31" t="str">
        <f>IF($B1693="","",IF($P1692="",$B1693,MAX($P1692,$B1693)))</f>
        <v/>
      </c>
      <c r="Q1693" s="32" t="str">
        <f>IF($P1693="","",$B1693/$P1693-1)</f>
        <v/>
      </c>
    </row>
    <row r="1694">
      <c r="A1694" s="11" t="n"/>
      <c r="B1694" s="29" t="n"/>
      <c r="K1694" s="30" t="str">
        <f>IF($A1694="","",EDATE($A1694,12*$E$4))</f>
        <v/>
      </c>
      <c r="L1694" s="19" t="str">
        <f>IF($K1694="","",IF($K1694&gt;MAX($A$8:$A$5007),"",IFERROR(MATCH($K1694,$A$8:$A$5007,1),"")))</f>
        <v/>
      </c>
      <c r="M1694" s="30" t="str">
        <f>IF($L1694="","",INDEX($A$8:$A$5007,$L1694))</f>
        <v/>
      </c>
      <c r="N1694" s="31" t="str">
        <f>IF($L1694="","",INDEX($B$8:$B$5007,$L1694))</f>
        <v/>
      </c>
      <c r="O1694" s="32" t="str">
        <f>IF($M1694="","",IF($K1694-$M1694&gt;7,"",IF($M1694&lt;=$A1694,"",IF(OR($B1694&lt;=0,$N1694&lt;=0),"",($N1694/$B1694)^(365/($M1694-$A1694))-1))))</f>
        <v/>
      </c>
      <c r="P1694" s="31" t="str">
        <f>IF($B1694="","",IF($P1693="",$B1694,MAX($P1693,$B1694)))</f>
        <v/>
      </c>
      <c r="Q1694" s="32" t="str">
        <f>IF($P1694="","",$B1694/$P1694-1)</f>
        <v/>
      </c>
    </row>
    <row r="1695">
      <c r="A1695" s="11" t="n"/>
      <c r="B1695" s="29" t="n"/>
      <c r="K1695" s="30" t="str">
        <f>IF($A1695="","",EDATE($A1695,12*$E$4))</f>
        <v/>
      </c>
      <c r="L1695" s="19" t="str">
        <f>IF($K1695="","",IF($K1695&gt;MAX($A$8:$A$5007),"",IFERROR(MATCH($K1695,$A$8:$A$5007,1),"")))</f>
        <v/>
      </c>
      <c r="M1695" s="30" t="str">
        <f>IF($L1695="","",INDEX($A$8:$A$5007,$L1695))</f>
        <v/>
      </c>
      <c r="N1695" s="31" t="str">
        <f>IF($L1695="","",INDEX($B$8:$B$5007,$L1695))</f>
        <v/>
      </c>
      <c r="O1695" s="32" t="str">
        <f>IF($M1695="","",IF($K1695-$M1695&gt;7,"",IF($M1695&lt;=$A1695,"",IF(OR($B1695&lt;=0,$N1695&lt;=0),"",($N1695/$B1695)^(365/($M1695-$A1695))-1))))</f>
        <v/>
      </c>
      <c r="P1695" s="31" t="str">
        <f>IF($B1695="","",IF($P1694="",$B1695,MAX($P1694,$B1695)))</f>
        <v/>
      </c>
      <c r="Q1695" s="32" t="str">
        <f>IF($P1695="","",$B1695/$P1695-1)</f>
        <v/>
      </c>
    </row>
    <row r="1696">
      <c r="A1696" s="11" t="n"/>
      <c r="B1696" s="29" t="n"/>
      <c r="K1696" s="30" t="str">
        <f>IF($A1696="","",EDATE($A1696,12*$E$4))</f>
        <v/>
      </c>
      <c r="L1696" s="19" t="str">
        <f>IF($K1696="","",IF($K1696&gt;MAX($A$8:$A$5007),"",IFERROR(MATCH($K1696,$A$8:$A$5007,1),"")))</f>
        <v/>
      </c>
      <c r="M1696" s="30" t="str">
        <f>IF($L1696="","",INDEX($A$8:$A$5007,$L1696))</f>
        <v/>
      </c>
      <c r="N1696" s="31" t="str">
        <f>IF($L1696="","",INDEX($B$8:$B$5007,$L1696))</f>
        <v/>
      </c>
      <c r="O1696" s="32" t="str">
        <f>IF($M1696="","",IF($K1696-$M1696&gt;7,"",IF($M1696&lt;=$A1696,"",IF(OR($B1696&lt;=0,$N1696&lt;=0),"",($N1696/$B1696)^(365/($M1696-$A1696))-1))))</f>
        <v/>
      </c>
      <c r="P1696" s="31" t="str">
        <f>IF($B1696="","",IF($P1695="",$B1696,MAX($P1695,$B1696)))</f>
        <v/>
      </c>
      <c r="Q1696" s="32" t="str">
        <f>IF($P1696="","",$B1696/$P1696-1)</f>
        <v/>
      </c>
    </row>
    <row r="1697">
      <c r="A1697" s="11" t="n"/>
      <c r="B1697" s="29" t="n"/>
      <c r="K1697" s="30" t="str">
        <f>IF($A1697="","",EDATE($A1697,12*$E$4))</f>
        <v/>
      </c>
      <c r="L1697" s="19" t="str">
        <f>IF($K1697="","",IF($K1697&gt;MAX($A$8:$A$5007),"",IFERROR(MATCH($K1697,$A$8:$A$5007,1),"")))</f>
        <v/>
      </c>
      <c r="M1697" s="30" t="str">
        <f>IF($L1697="","",INDEX($A$8:$A$5007,$L1697))</f>
        <v/>
      </c>
      <c r="N1697" s="31" t="str">
        <f>IF($L1697="","",INDEX($B$8:$B$5007,$L1697))</f>
        <v/>
      </c>
      <c r="O1697" s="32" t="str">
        <f>IF($M1697="","",IF($K1697-$M1697&gt;7,"",IF($M1697&lt;=$A1697,"",IF(OR($B1697&lt;=0,$N1697&lt;=0),"",($N1697/$B1697)^(365/($M1697-$A1697))-1))))</f>
        <v/>
      </c>
      <c r="P1697" s="31" t="str">
        <f>IF($B1697="","",IF($P1696="",$B1697,MAX($P1696,$B1697)))</f>
        <v/>
      </c>
      <c r="Q1697" s="32" t="str">
        <f>IF($P1697="","",$B1697/$P1697-1)</f>
        <v/>
      </c>
    </row>
    <row r="1698">
      <c r="A1698" s="11" t="n"/>
      <c r="B1698" s="29" t="n"/>
      <c r="K1698" s="30" t="str">
        <f>IF($A1698="","",EDATE($A1698,12*$E$4))</f>
        <v/>
      </c>
      <c r="L1698" s="19" t="str">
        <f>IF($K1698="","",IF($K1698&gt;MAX($A$8:$A$5007),"",IFERROR(MATCH($K1698,$A$8:$A$5007,1),"")))</f>
        <v/>
      </c>
      <c r="M1698" s="30" t="str">
        <f>IF($L1698="","",INDEX($A$8:$A$5007,$L1698))</f>
        <v/>
      </c>
      <c r="N1698" s="31" t="str">
        <f>IF($L1698="","",INDEX($B$8:$B$5007,$L1698))</f>
        <v/>
      </c>
      <c r="O1698" s="32" t="str">
        <f>IF($M1698="","",IF($K1698-$M1698&gt;7,"",IF($M1698&lt;=$A1698,"",IF(OR($B1698&lt;=0,$N1698&lt;=0),"",($N1698/$B1698)^(365/($M1698-$A1698))-1))))</f>
        <v/>
      </c>
      <c r="P1698" s="31" t="str">
        <f>IF($B1698="","",IF($P1697="",$B1698,MAX($P1697,$B1698)))</f>
        <v/>
      </c>
      <c r="Q1698" s="32" t="str">
        <f>IF($P1698="","",$B1698/$P1698-1)</f>
        <v/>
      </c>
    </row>
    <row r="1699">
      <c r="A1699" s="11" t="n"/>
      <c r="B1699" s="29" t="n"/>
      <c r="K1699" s="30" t="str">
        <f>IF($A1699="","",EDATE($A1699,12*$E$4))</f>
        <v/>
      </c>
      <c r="L1699" s="19" t="str">
        <f>IF($K1699="","",IF($K1699&gt;MAX($A$8:$A$5007),"",IFERROR(MATCH($K1699,$A$8:$A$5007,1),"")))</f>
        <v/>
      </c>
      <c r="M1699" s="30" t="str">
        <f>IF($L1699="","",INDEX($A$8:$A$5007,$L1699))</f>
        <v/>
      </c>
      <c r="N1699" s="31" t="str">
        <f>IF($L1699="","",INDEX($B$8:$B$5007,$L1699))</f>
        <v/>
      </c>
      <c r="O1699" s="32" t="str">
        <f>IF($M1699="","",IF($K1699-$M1699&gt;7,"",IF($M1699&lt;=$A1699,"",IF(OR($B1699&lt;=0,$N1699&lt;=0),"",($N1699/$B1699)^(365/($M1699-$A1699))-1))))</f>
        <v/>
      </c>
      <c r="P1699" s="31" t="str">
        <f>IF($B1699="","",IF($P1698="",$B1699,MAX($P1698,$B1699)))</f>
        <v/>
      </c>
      <c r="Q1699" s="32" t="str">
        <f>IF($P1699="","",$B1699/$P1699-1)</f>
        <v/>
      </c>
    </row>
    <row r="1700">
      <c r="A1700" s="11" t="n"/>
      <c r="B1700" s="29" t="n"/>
      <c r="K1700" s="30" t="str">
        <f>IF($A1700="","",EDATE($A1700,12*$E$4))</f>
        <v/>
      </c>
      <c r="L1700" s="19" t="str">
        <f>IF($K1700="","",IF($K1700&gt;MAX($A$8:$A$5007),"",IFERROR(MATCH($K1700,$A$8:$A$5007,1),"")))</f>
        <v/>
      </c>
      <c r="M1700" s="30" t="str">
        <f>IF($L1700="","",INDEX($A$8:$A$5007,$L1700))</f>
        <v/>
      </c>
      <c r="N1700" s="31" t="str">
        <f>IF($L1700="","",INDEX($B$8:$B$5007,$L1700))</f>
        <v/>
      </c>
      <c r="O1700" s="32" t="str">
        <f>IF($M1700="","",IF($K1700-$M1700&gt;7,"",IF($M1700&lt;=$A1700,"",IF(OR($B1700&lt;=0,$N1700&lt;=0),"",($N1700/$B1700)^(365/($M1700-$A1700))-1))))</f>
        <v/>
      </c>
      <c r="P1700" s="31" t="str">
        <f>IF($B1700="","",IF($P1699="",$B1700,MAX($P1699,$B1700)))</f>
        <v/>
      </c>
      <c r="Q1700" s="32" t="str">
        <f>IF($P1700="","",$B1700/$P1700-1)</f>
        <v/>
      </c>
    </row>
    <row r="1701">
      <c r="A1701" s="11" t="n"/>
      <c r="B1701" s="29" t="n"/>
      <c r="K1701" s="30" t="str">
        <f>IF($A1701="","",EDATE($A1701,12*$E$4))</f>
        <v/>
      </c>
      <c r="L1701" s="19" t="str">
        <f>IF($K1701="","",IF($K1701&gt;MAX($A$8:$A$5007),"",IFERROR(MATCH($K1701,$A$8:$A$5007,1),"")))</f>
        <v/>
      </c>
      <c r="M1701" s="30" t="str">
        <f>IF($L1701="","",INDEX($A$8:$A$5007,$L1701))</f>
        <v/>
      </c>
      <c r="N1701" s="31" t="str">
        <f>IF($L1701="","",INDEX($B$8:$B$5007,$L1701))</f>
        <v/>
      </c>
      <c r="O1701" s="32" t="str">
        <f>IF($M1701="","",IF($K1701-$M1701&gt;7,"",IF($M1701&lt;=$A1701,"",IF(OR($B1701&lt;=0,$N1701&lt;=0),"",($N1701/$B1701)^(365/($M1701-$A1701))-1))))</f>
        <v/>
      </c>
      <c r="P1701" s="31" t="str">
        <f>IF($B1701="","",IF($P1700="",$B1701,MAX($P1700,$B1701)))</f>
        <v/>
      </c>
      <c r="Q1701" s="32" t="str">
        <f>IF($P1701="","",$B1701/$P1701-1)</f>
        <v/>
      </c>
    </row>
    <row r="1702">
      <c r="A1702" s="11" t="n"/>
      <c r="B1702" s="29" t="n"/>
      <c r="K1702" s="30" t="str">
        <f>IF($A1702="","",EDATE($A1702,12*$E$4))</f>
        <v/>
      </c>
      <c r="L1702" s="19" t="str">
        <f>IF($K1702="","",IF($K1702&gt;MAX($A$8:$A$5007),"",IFERROR(MATCH($K1702,$A$8:$A$5007,1),"")))</f>
        <v/>
      </c>
      <c r="M1702" s="30" t="str">
        <f>IF($L1702="","",INDEX($A$8:$A$5007,$L1702))</f>
        <v/>
      </c>
      <c r="N1702" s="31" t="str">
        <f>IF($L1702="","",INDEX($B$8:$B$5007,$L1702))</f>
        <v/>
      </c>
      <c r="O1702" s="32" t="str">
        <f>IF($M1702="","",IF($K1702-$M1702&gt;7,"",IF($M1702&lt;=$A1702,"",IF(OR($B1702&lt;=0,$N1702&lt;=0),"",($N1702/$B1702)^(365/($M1702-$A1702))-1))))</f>
        <v/>
      </c>
      <c r="P1702" s="31" t="str">
        <f>IF($B1702="","",IF($P1701="",$B1702,MAX($P1701,$B1702)))</f>
        <v/>
      </c>
      <c r="Q1702" s="32" t="str">
        <f>IF($P1702="","",$B1702/$P1702-1)</f>
        <v/>
      </c>
    </row>
    <row r="1703">
      <c r="A1703" s="11" t="n"/>
      <c r="B1703" s="29" t="n"/>
      <c r="K1703" s="30" t="str">
        <f>IF($A1703="","",EDATE($A1703,12*$E$4))</f>
        <v/>
      </c>
      <c r="L1703" s="19" t="str">
        <f>IF($K1703="","",IF($K1703&gt;MAX($A$8:$A$5007),"",IFERROR(MATCH($K1703,$A$8:$A$5007,1),"")))</f>
        <v/>
      </c>
      <c r="M1703" s="30" t="str">
        <f>IF($L1703="","",INDEX($A$8:$A$5007,$L1703))</f>
        <v/>
      </c>
      <c r="N1703" s="31" t="str">
        <f>IF($L1703="","",INDEX($B$8:$B$5007,$L1703))</f>
        <v/>
      </c>
      <c r="O1703" s="32" t="str">
        <f>IF($M1703="","",IF($K1703-$M1703&gt;7,"",IF($M1703&lt;=$A1703,"",IF(OR($B1703&lt;=0,$N1703&lt;=0),"",($N1703/$B1703)^(365/($M1703-$A1703))-1))))</f>
        <v/>
      </c>
      <c r="P1703" s="31" t="str">
        <f>IF($B1703="","",IF($P1702="",$B1703,MAX($P1702,$B1703)))</f>
        <v/>
      </c>
      <c r="Q1703" s="32" t="str">
        <f>IF($P1703="","",$B1703/$P1703-1)</f>
        <v/>
      </c>
    </row>
    <row r="1704">
      <c r="A1704" s="11" t="n"/>
      <c r="B1704" s="29" t="n"/>
      <c r="K1704" s="30" t="str">
        <f>IF($A1704="","",EDATE($A1704,12*$E$4))</f>
        <v/>
      </c>
      <c r="L1704" s="19" t="str">
        <f>IF($K1704="","",IF($K1704&gt;MAX($A$8:$A$5007),"",IFERROR(MATCH($K1704,$A$8:$A$5007,1),"")))</f>
        <v/>
      </c>
      <c r="M1704" s="30" t="str">
        <f>IF($L1704="","",INDEX($A$8:$A$5007,$L1704))</f>
        <v/>
      </c>
      <c r="N1704" s="31" t="str">
        <f>IF($L1704="","",INDEX($B$8:$B$5007,$L1704))</f>
        <v/>
      </c>
      <c r="O1704" s="32" t="str">
        <f>IF($M1704="","",IF($K1704-$M1704&gt;7,"",IF($M1704&lt;=$A1704,"",IF(OR($B1704&lt;=0,$N1704&lt;=0),"",($N1704/$B1704)^(365/($M1704-$A1704))-1))))</f>
        <v/>
      </c>
      <c r="P1704" s="31" t="str">
        <f>IF($B1704="","",IF($P1703="",$B1704,MAX($P1703,$B1704)))</f>
        <v/>
      </c>
      <c r="Q1704" s="32" t="str">
        <f>IF($P1704="","",$B1704/$P1704-1)</f>
        <v/>
      </c>
    </row>
    <row r="1705">
      <c r="A1705" s="11" t="n"/>
      <c r="B1705" s="29" t="n"/>
      <c r="K1705" s="30" t="str">
        <f>IF($A1705="","",EDATE($A1705,12*$E$4))</f>
        <v/>
      </c>
      <c r="L1705" s="19" t="str">
        <f>IF($K1705="","",IF($K1705&gt;MAX($A$8:$A$5007),"",IFERROR(MATCH($K1705,$A$8:$A$5007,1),"")))</f>
        <v/>
      </c>
      <c r="M1705" s="30" t="str">
        <f>IF($L1705="","",INDEX($A$8:$A$5007,$L1705))</f>
        <v/>
      </c>
      <c r="N1705" s="31" t="str">
        <f>IF($L1705="","",INDEX($B$8:$B$5007,$L1705))</f>
        <v/>
      </c>
      <c r="O1705" s="32" t="str">
        <f>IF($M1705="","",IF($K1705-$M1705&gt;7,"",IF($M1705&lt;=$A1705,"",IF(OR($B1705&lt;=0,$N1705&lt;=0),"",($N1705/$B1705)^(365/($M1705-$A1705))-1))))</f>
        <v/>
      </c>
      <c r="P1705" s="31" t="str">
        <f>IF($B1705="","",IF($P1704="",$B1705,MAX($P1704,$B1705)))</f>
        <v/>
      </c>
      <c r="Q1705" s="32" t="str">
        <f>IF($P1705="","",$B1705/$P1705-1)</f>
        <v/>
      </c>
    </row>
    <row r="1706">
      <c r="A1706" s="11" t="n"/>
      <c r="B1706" s="29" t="n"/>
      <c r="K1706" s="30" t="str">
        <f>IF($A1706="","",EDATE($A1706,12*$E$4))</f>
        <v/>
      </c>
      <c r="L1706" s="19" t="str">
        <f>IF($K1706="","",IF($K1706&gt;MAX($A$8:$A$5007),"",IFERROR(MATCH($K1706,$A$8:$A$5007,1),"")))</f>
        <v/>
      </c>
      <c r="M1706" s="30" t="str">
        <f>IF($L1706="","",INDEX($A$8:$A$5007,$L1706))</f>
        <v/>
      </c>
      <c r="N1706" s="31" t="str">
        <f>IF($L1706="","",INDEX($B$8:$B$5007,$L1706))</f>
        <v/>
      </c>
      <c r="O1706" s="32" t="str">
        <f>IF($M1706="","",IF($K1706-$M1706&gt;7,"",IF($M1706&lt;=$A1706,"",IF(OR($B1706&lt;=0,$N1706&lt;=0),"",($N1706/$B1706)^(365/($M1706-$A1706))-1))))</f>
        <v/>
      </c>
      <c r="P1706" s="31" t="str">
        <f>IF($B1706="","",IF($P1705="",$B1706,MAX($P1705,$B1706)))</f>
        <v/>
      </c>
      <c r="Q1706" s="32" t="str">
        <f>IF($P1706="","",$B1706/$P1706-1)</f>
        <v/>
      </c>
    </row>
    <row r="1707">
      <c r="A1707" s="11" t="n"/>
      <c r="B1707" s="29" t="n"/>
      <c r="K1707" s="30" t="str">
        <f>IF($A1707="","",EDATE($A1707,12*$E$4))</f>
        <v/>
      </c>
      <c r="L1707" s="19" t="str">
        <f>IF($K1707="","",IF($K1707&gt;MAX($A$8:$A$5007),"",IFERROR(MATCH($K1707,$A$8:$A$5007,1),"")))</f>
        <v/>
      </c>
      <c r="M1707" s="30" t="str">
        <f>IF($L1707="","",INDEX($A$8:$A$5007,$L1707))</f>
        <v/>
      </c>
      <c r="N1707" s="31" t="str">
        <f>IF($L1707="","",INDEX($B$8:$B$5007,$L1707))</f>
        <v/>
      </c>
      <c r="O1707" s="32" t="str">
        <f>IF($M1707="","",IF($K1707-$M1707&gt;7,"",IF($M1707&lt;=$A1707,"",IF(OR($B1707&lt;=0,$N1707&lt;=0),"",($N1707/$B1707)^(365/($M1707-$A1707))-1))))</f>
        <v/>
      </c>
      <c r="P1707" s="31" t="str">
        <f>IF($B1707="","",IF($P1706="",$B1707,MAX($P1706,$B1707)))</f>
        <v/>
      </c>
      <c r="Q1707" s="32" t="str">
        <f>IF($P1707="","",$B1707/$P1707-1)</f>
        <v/>
      </c>
    </row>
    <row r="1708">
      <c r="A1708" s="11" t="n"/>
      <c r="B1708" s="29" t="n"/>
      <c r="K1708" s="30" t="str">
        <f>IF($A1708="","",EDATE($A1708,12*$E$4))</f>
        <v/>
      </c>
      <c r="L1708" s="19" t="str">
        <f>IF($K1708="","",IF($K1708&gt;MAX($A$8:$A$5007),"",IFERROR(MATCH($K1708,$A$8:$A$5007,1),"")))</f>
        <v/>
      </c>
      <c r="M1708" s="30" t="str">
        <f>IF($L1708="","",INDEX($A$8:$A$5007,$L1708))</f>
        <v/>
      </c>
      <c r="N1708" s="31" t="str">
        <f>IF($L1708="","",INDEX($B$8:$B$5007,$L1708))</f>
        <v/>
      </c>
      <c r="O1708" s="32" t="str">
        <f>IF($M1708="","",IF($K1708-$M1708&gt;7,"",IF($M1708&lt;=$A1708,"",IF(OR($B1708&lt;=0,$N1708&lt;=0),"",($N1708/$B1708)^(365/($M1708-$A1708))-1))))</f>
        <v/>
      </c>
      <c r="P1708" s="31" t="str">
        <f>IF($B1708="","",IF($P1707="",$B1708,MAX($P1707,$B1708)))</f>
        <v/>
      </c>
      <c r="Q1708" s="32" t="str">
        <f>IF($P1708="","",$B1708/$P1708-1)</f>
        <v/>
      </c>
    </row>
    <row r="1709">
      <c r="A1709" s="11" t="n"/>
      <c r="B1709" s="29" t="n"/>
      <c r="K1709" s="30" t="str">
        <f>IF($A1709="","",EDATE($A1709,12*$E$4))</f>
        <v/>
      </c>
      <c r="L1709" s="19" t="str">
        <f>IF($K1709="","",IF($K1709&gt;MAX($A$8:$A$5007),"",IFERROR(MATCH($K1709,$A$8:$A$5007,1),"")))</f>
        <v/>
      </c>
      <c r="M1709" s="30" t="str">
        <f>IF($L1709="","",INDEX($A$8:$A$5007,$L1709))</f>
        <v/>
      </c>
      <c r="N1709" s="31" t="str">
        <f>IF($L1709="","",INDEX($B$8:$B$5007,$L1709))</f>
        <v/>
      </c>
      <c r="O1709" s="32" t="str">
        <f>IF($M1709="","",IF($K1709-$M1709&gt;7,"",IF($M1709&lt;=$A1709,"",IF(OR($B1709&lt;=0,$N1709&lt;=0),"",($N1709/$B1709)^(365/($M1709-$A1709))-1))))</f>
        <v/>
      </c>
      <c r="P1709" s="31" t="str">
        <f>IF($B1709="","",IF($P1708="",$B1709,MAX($P1708,$B1709)))</f>
        <v/>
      </c>
      <c r="Q1709" s="32" t="str">
        <f>IF($P1709="","",$B1709/$P1709-1)</f>
        <v/>
      </c>
    </row>
    <row r="1710">
      <c r="A1710" s="11" t="n"/>
      <c r="B1710" s="29" t="n"/>
      <c r="K1710" s="30" t="str">
        <f>IF($A1710="","",EDATE($A1710,12*$E$4))</f>
        <v/>
      </c>
      <c r="L1710" s="19" t="str">
        <f>IF($K1710="","",IF($K1710&gt;MAX($A$8:$A$5007),"",IFERROR(MATCH($K1710,$A$8:$A$5007,1),"")))</f>
        <v/>
      </c>
      <c r="M1710" s="30" t="str">
        <f>IF($L1710="","",INDEX($A$8:$A$5007,$L1710))</f>
        <v/>
      </c>
      <c r="N1710" s="31" t="str">
        <f>IF($L1710="","",INDEX($B$8:$B$5007,$L1710))</f>
        <v/>
      </c>
      <c r="O1710" s="32" t="str">
        <f>IF($M1710="","",IF($K1710-$M1710&gt;7,"",IF($M1710&lt;=$A1710,"",IF(OR($B1710&lt;=0,$N1710&lt;=0),"",($N1710/$B1710)^(365/($M1710-$A1710))-1))))</f>
        <v/>
      </c>
      <c r="P1710" s="31" t="str">
        <f>IF($B1710="","",IF($P1709="",$B1710,MAX($P1709,$B1710)))</f>
        <v/>
      </c>
      <c r="Q1710" s="32" t="str">
        <f>IF($P1710="","",$B1710/$P1710-1)</f>
        <v/>
      </c>
    </row>
    <row r="1711">
      <c r="A1711" s="11" t="n"/>
      <c r="B1711" s="29" t="n"/>
      <c r="K1711" s="30" t="str">
        <f>IF($A1711="","",EDATE($A1711,12*$E$4))</f>
        <v/>
      </c>
      <c r="L1711" s="19" t="str">
        <f>IF($K1711="","",IF($K1711&gt;MAX($A$8:$A$5007),"",IFERROR(MATCH($K1711,$A$8:$A$5007,1),"")))</f>
        <v/>
      </c>
      <c r="M1711" s="30" t="str">
        <f>IF($L1711="","",INDEX($A$8:$A$5007,$L1711))</f>
        <v/>
      </c>
      <c r="N1711" s="31" t="str">
        <f>IF($L1711="","",INDEX($B$8:$B$5007,$L1711))</f>
        <v/>
      </c>
      <c r="O1711" s="32" t="str">
        <f>IF($M1711="","",IF($K1711-$M1711&gt;7,"",IF($M1711&lt;=$A1711,"",IF(OR($B1711&lt;=0,$N1711&lt;=0),"",($N1711/$B1711)^(365/($M1711-$A1711))-1))))</f>
        <v/>
      </c>
      <c r="P1711" s="31" t="str">
        <f>IF($B1711="","",IF($P1710="",$B1711,MAX($P1710,$B1711)))</f>
        <v/>
      </c>
      <c r="Q1711" s="32" t="str">
        <f>IF($P1711="","",$B1711/$P1711-1)</f>
        <v/>
      </c>
    </row>
    <row r="1712">
      <c r="A1712" s="11" t="n"/>
      <c r="B1712" s="29" t="n"/>
      <c r="K1712" s="30" t="str">
        <f>IF($A1712="","",EDATE($A1712,12*$E$4))</f>
        <v/>
      </c>
      <c r="L1712" s="19" t="str">
        <f>IF($K1712="","",IF($K1712&gt;MAX($A$8:$A$5007),"",IFERROR(MATCH($K1712,$A$8:$A$5007,1),"")))</f>
        <v/>
      </c>
      <c r="M1712" s="30" t="str">
        <f>IF($L1712="","",INDEX($A$8:$A$5007,$L1712))</f>
        <v/>
      </c>
      <c r="N1712" s="31" t="str">
        <f>IF($L1712="","",INDEX($B$8:$B$5007,$L1712))</f>
        <v/>
      </c>
      <c r="O1712" s="32" t="str">
        <f>IF($M1712="","",IF($K1712-$M1712&gt;7,"",IF($M1712&lt;=$A1712,"",IF(OR($B1712&lt;=0,$N1712&lt;=0),"",($N1712/$B1712)^(365/($M1712-$A1712))-1))))</f>
        <v/>
      </c>
      <c r="P1712" s="31" t="str">
        <f>IF($B1712="","",IF($P1711="",$B1712,MAX($P1711,$B1712)))</f>
        <v/>
      </c>
      <c r="Q1712" s="32" t="str">
        <f>IF($P1712="","",$B1712/$P1712-1)</f>
        <v/>
      </c>
    </row>
    <row r="1713">
      <c r="A1713" s="11" t="n"/>
      <c r="B1713" s="29" t="n"/>
      <c r="K1713" s="30" t="str">
        <f>IF($A1713="","",EDATE($A1713,12*$E$4))</f>
        <v/>
      </c>
      <c r="L1713" s="19" t="str">
        <f>IF($K1713="","",IF($K1713&gt;MAX($A$8:$A$5007),"",IFERROR(MATCH($K1713,$A$8:$A$5007,1),"")))</f>
        <v/>
      </c>
      <c r="M1713" s="30" t="str">
        <f>IF($L1713="","",INDEX($A$8:$A$5007,$L1713))</f>
        <v/>
      </c>
      <c r="N1713" s="31" t="str">
        <f>IF($L1713="","",INDEX($B$8:$B$5007,$L1713))</f>
        <v/>
      </c>
      <c r="O1713" s="32" t="str">
        <f>IF($M1713="","",IF($K1713-$M1713&gt;7,"",IF($M1713&lt;=$A1713,"",IF(OR($B1713&lt;=0,$N1713&lt;=0),"",($N1713/$B1713)^(365/($M1713-$A1713))-1))))</f>
        <v/>
      </c>
      <c r="P1713" s="31" t="str">
        <f>IF($B1713="","",IF($P1712="",$B1713,MAX($P1712,$B1713)))</f>
        <v/>
      </c>
      <c r="Q1713" s="32" t="str">
        <f>IF($P1713="","",$B1713/$P1713-1)</f>
        <v/>
      </c>
    </row>
    <row r="1714">
      <c r="A1714" s="11" t="n"/>
      <c r="B1714" s="29" t="n"/>
      <c r="K1714" s="30" t="str">
        <f>IF($A1714="","",EDATE($A1714,12*$E$4))</f>
        <v/>
      </c>
      <c r="L1714" s="19" t="str">
        <f>IF($K1714="","",IF($K1714&gt;MAX($A$8:$A$5007),"",IFERROR(MATCH($K1714,$A$8:$A$5007,1),"")))</f>
        <v/>
      </c>
      <c r="M1714" s="30" t="str">
        <f>IF($L1714="","",INDEX($A$8:$A$5007,$L1714))</f>
        <v/>
      </c>
      <c r="N1714" s="31" t="str">
        <f>IF($L1714="","",INDEX($B$8:$B$5007,$L1714))</f>
        <v/>
      </c>
      <c r="O1714" s="32" t="str">
        <f>IF($M1714="","",IF($K1714-$M1714&gt;7,"",IF($M1714&lt;=$A1714,"",IF(OR($B1714&lt;=0,$N1714&lt;=0),"",($N1714/$B1714)^(365/($M1714-$A1714))-1))))</f>
        <v/>
      </c>
      <c r="P1714" s="31" t="str">
        <f>IF($B1714="","",IF($P1713="",$B1714,MAX($P1713,$B1714)))</f>
        <v/>
      </c>
      <c r="Q1714" s="32" t="str">
        <f>IF($P1714="","",$B1714/$P1714-1)</f>
        <v/>
      </c>
    </row>
    <row r="1715">
      <c r="A1715" s="11" t="n"/>
      <c r="B1715" s="29" t="n"/>
      <c r="K1715" s="30" t="str">
        <f>IF($A1715="","",EDATE($A1715,12*$E$4))</f>
        <v/>
      </c>
      <c r="L1715" s="19" t="str">
        <f>IF($K1715="","",IF($K1715&gt;MAX($A$8:$A$5007),"",IFERROR(MATCH($K1715,$A$8:$A$5007,1),"")))</f>
        <v/>
      </c>
      <c r="M1715" s="30" t="str">
        <f>IF($L1715="","",INDEX($A$8:$A$5007,$L1715))</f>
        <v/>
      </c>
      <c r="N1715" s="31" t="str">
        <f>IF($L1715="","",INDEX($B$8:$B$5007,$L1715))</f>
        <v/>
      </c>
      <c r="O1715" s="32" t="str">
        <f>IF($M1715="","",IF($K1715-$M1715&gt;7,"",IF($M1715&lt;=$A1715,"",IF(OR($B1715&lt;=0,$N1715&lt;=0),"",($N1715/$B1715)^(365/($M1715-$A1715))-1))))</f>
        <v/>
      </c>
      <c r="P1715" s="31" t="str">
        <f>IF($B1715="","",IF($P1714="",$B1715,MAX($P1714,$B1715)))</f>
        <v/>
      </c>
      <c r="Q1715" s="32" t="str">
        <f>IF($P1715="","",$B1715/$P1715-1)</f>
        <v/>
      </c>
    </row>
    <row r="1716">
      <c r="A1716" s="11" t="n"/>
      <c r="B1716" s="29" t="n"/>
      <c r="K1716" s="30" t="str">
        <f>IF($A1716="","",EDATE($A1716,12*$E$4))</f>
        <v/>
      </c>
      <c r="L1716" s="19" t="str">
        <f>IF($K1716="","",IF($K1716&gt;MAX($A$8:$A$5007),"",IFERROR(MATCH($K1716,$A$8:$A$5007,1),"")))</f>
        <v/>
      </c>
      <c r="M1716" s="30" t="str">
        <f>IF($L1716="","",INDEX($A$8:$A$5007,$L1716))</f>
        <v/>
      </c>
      <c r="N1716" s="31" t="str">
        <f>IF($L1716="","",INDEX($B$8:$B$5007,$L1716))</f>
        <v/>
      </c>
      <c r="O1716" s="32" t="str">
        <f>IF($M1716="","",IF($K1716-$M1716&gt;7,"",IF($M1716&lt;=$A1716,"",IF(OR($B1716&lt;=0,$N1716&lt;=0),"",($N1716/$B1716)^(365/($M1716-$A1716))-1))))</f>
        <v/>
      </c>
      <c r="P1716" s="31" t="str">
        <f>IF($B1716="","",IF($P1715="",$B1716,MAX($P1715,$B1716)))</f>
        <v/>
      </c>
      <c r="Q1716" s="32" t="str">
        <f>IF($P1716="","",$B1716/$P1716-1)</f>
        <v/>
      </c>
    </row>
    <row r="1717">
      <c r="A1717" s="11" t="n"/>
      <c r="B1717" s="29" t="n"/>
      <c r="K1717" s="30" t="str">
        <f>IF($A1717="","",EDATE($A1717,12*$E$4))</f>
        <v/>
      </c>
      <c r="L1717" s="19" t="str">
        <f>IF($K1717="","",IF($K1717&gt;MAX($A$8:$A$5007),"",IFERROR(MATCH($K1717,$A$8:$A$5007,1),"")))</f>
        <v/>
      </c>
      <c r="M1717" s="30" t="str">
        <f>IF($L1717="","",INDEX($A$8:$A$5007,$L1717))</f>
        <v/>
      </c>
      <c r="N1717" s="31" t="str">
        <f>IF($L1717="","",INDEX($B$8:$B$5007,$L1717))</f>
        <v/>
      </c>
      <c r="O1717" s="32" t="str">
        <f>IF($M1717="","",IF($K1717-$M1717&gt;7,"",IF($M1717&lt;=$A1717,"",IF(OR($B1717&lt;=0,$N1717&lt;=0),"",($N1717/$B1717)^(365/($M1717-$A1717))-1))))</f>
        <v/>
      </c>
      <c r="P1717" s="31" t="str">
        <f>IF($B1717="","",IF($P1716="",$B1717,MAX($P1716,$B1717)))</f>
        <v/>
      </c>
      <c r="Q1717" s="32" t="str">
        <f>IF($P1717="","",$B1717/$P1717-1)</f>
        <v/>
      </c>
    </row>
    <row r="1718">
      <c r="A1718" s="11" t="n"/>
      <c r="B1718" s="29" t="n"/>
      <c r="K1718" s="30" t="str">
        <f>IF($A1718="","",EDATE($A1718,12*$E$4))</f>
        <v/>
      </c>
      <c r="L1718" s="19" t="str">
        <f>IF($K1718="","",IF($K1718&gt;MAX($A$8:$A$5007),"",IFERROR(MATCH($K1718,$A$8:$A$5007,1),"")))</f>
        <v/>
      </c>
      <c r="M1718" s="30" t="str">
        <f>IF($L1718="","",INDEX($A$8:$A$5007,$L1718))</f>
        <v/>
      </c>
      <c r="N1718" s="31" t="str">
        <f>IF($L1718="","",INDEX($B$8:$B$5007,$L1718))</f>
        <v/>
      </c>
      <c r="O1718" s="32" t="str">
        <f>IF($M1718="","",IF($K1718-$M1718&gt;7,"",IF($M1718&lt;=$A1718,"",IF(OR($B1718&lt;=0,$N1718&lt;=0),"",($N1718/$B1718)^(365/($M1718-$A1718))-1))))</f>
        <v/>
      </c>
      <c r="P1718" s="31" t="str">
        <f>IF($B1718="","",IF($P1717="",$B1718,MAX($P1717,$B1718)))</f>
        <v/>
      </c>
      <c r="Q1718" s="32" t="str">
        <f>IF($P1718="","",$B1718/$P1718-1)</f>
        <v/>
      </c>
    </row>
    <row r="1719">
      <c r="A1719" s="11" t="n"/>
      <c r="B1719" s="29" t="n"/>
      <c r="K1719" s="30" t="str">
        <f>IF($A1719="","",EDATE($A1719,12*$E$4))</f>
        <v/>
      </c>
      <c r="L1719" s="19" t="str">
        <f>IF($K1719="","",IF($K1719&gt;MAX($A$8:$A$5007),"",IFERROR(MATCH($K1719,$A$8:$A$5007,1),"")))</f>
        <v/>
      </c>
      <c r="M1719" s="30" t="str">
        <f>IF($L1719="","",INDEX($A$8:$A$5007,$L1719))</f>
        <v/>
      </c>
      <c r="N1719" s="31" t="str">
        <f>IF($L1719="","",INDEX($B$8:$B$5007,$L1719))</f>
        <v/>
      </c>
      <c r="O1719" s="32" t="str">
        <f>IF($M1719="","",IF($K1719-$M1719&gt;7,"",IF($M1719&lt;=$A1719,"",IF(OR($B1719&lt;=0,$N1719&lt;=0),"",($N1719/$B1719)^(365/($M1719-$A1719))-1))))</f>
        <v/>
      </c>
      <c r="P1719" s="31" t="str">
        <f>IF($B1719="","",IF($P1718="",$B1719,MAX($P1718,$B1719)))</f>
        <v/>
      </c>
      <c r="Q1719" s="32" t="str">
        <f>IF($P1719="","",$B1719/$P1719-1)</f>
        <v/>
      </c>
    </row>
    <row r="1720">
      <c r="A1720" s="11" t="n"/>
      <c r="B1720" s="29" t="n"/>
      <c r="K1720" s="30" t="str">
        <f>IF($A1720="","",EDATE($A1720,12*$E$4))</f>
        <v/>
      </c>
      <c r="L1720" s="19" t="str">
        <f>IF($K1720="","",IF($K1720&gt;MAX($A$8:$A$5007),"",IFERROR(MATCH($K1720,$A$8:$A$5007,1),"")))</f>
        <v/>
      </c>
      <c r="M1720" s="30" t="str">
        <f>IF($L1720="","",INDEX($A$8:$A$5007,$L1720))</f>
        <v/>
      </c>
      <c r="N1720" s="31" t="str">
        <f>IF($L1720="","",INDEX($B$8:$B$5007,$L1720))</f>
        <v/>
      </c>
      <c r="O1720" s="32" t="str">
        <f>IF($M1720="","",IF($K1720-$M1720&gt;7,"",IF($M1720&lt;=$A1720,"",IF(OR($B1720&lt;=0,$N1720&lt;=0),"",($N1720/$B1720)^(365/($M1720-$A1720))-1))))</f>
        <v/>
      </c>
      <c r="P1720" s="31" t="str">
        <f>IF($B1720="","",IF($P1719="",$B1720,MAX($P1719,$B1720)))</f>
        <v/>
      </c>
      <c r="Q1720" s="32" t="str">
        <f>IF($P1720="","",$B1720/$P1720-1)</f>
        <v/>
      </c>
    </row>
    <row r="1721">
      <c r="A1721" s="11" t="n"/>
      <c r="B1721" s="29" t="n"/>
      <c r="K1721" s="30" t="str">
        <f>IF($A1721="","",EDATE($A1721,12*$E$4))</f>
        <v/>
      </c>
      <c r="L1721" s="19" t="str">
        <f>IF($K1721="","",IF($K1721&gt;MAX($A$8:$A$5007),"",IFERROR(MATCH($K1721,$A$8:$A$5007,1),"")))</f>
        <v/>
      </c>
      <c r="M1721" s="30" t="str">
        <f>IF($L1721="","",INDEX($A$8:$A$5007,$L1721))</f>
        <v/>
      </c>
      <c r="N1721" s="31" t="str">
        <f>IF($L1721="","",INDEX($B$8:$B$5007,$L1721))</f>
        <v/>
      </c>
      <c r="O1721" s="32" t="str">
        <f>IF($M1721="","",IF($K1721-$M1721&gt;7,"",IF($M1721&lt;=$A1721,"",IF(OR($B1721&lt;=0,$N1721&lt;=0),"",($N1721/$B1721)^(365/($M1721-$A1721))-1))))</f>
        <v/>
      </c>
      <c r="P1721" s="31" t="str">
        <f>IF($B1721="","",IF($P1720="",$B1721,MAX($P1720,$B1721)))</f>
        <v/>
      </c>
      <c r="Q1721" s="32" t="str">
        <f>IF($P1721="","",$B1721/$P1721-1)</f>
        <v/>
      </c>
    </row>
    <row r="1722">
      <c r="A1722" s="11" t="n"/>
      <c r="B1722" s="29" t="n"/>
      <c r="K1722" s="30" t="str">
        <f>IF($A1722="","",EDATE($A1722,12*$E$4))</f>
        <v/>
      </c>
      <c r="L1722" s="19" t="str">
        <f>IF($K1722="","",IF($K1722&gt;MAX($A$8:$A$5007),"",IFERROR(MATCH($K1722,$A$8:$A$5007,1),"")))</f>
        <v/>
      </c>
      <c r="M1722" s="30" t="str">
        <f>IF($L1722="","",INDEX($A$8:$A$5007,$L1722))</f>
        <v/>
      </c>
      <c r="N1722" s="31" t="str">
        <f>IF($L1722="","",INDEX($B$8:$B$5007,$L1722))</f>
        <v/>
      </c>
      <c r="O1722" s="32" t="str">
        <f>IF($M1722="","",IF($K1722-$M1722&gt;7,"",IF($M1722&lt;=$A1722,"",IF(OR($B1722&lt;=0,$N1722&lt;=0),"",($N1722/$B1722)^(365/($M1722-$A1722))-1))))</f>
        <v/>
      </c>
      <c r="P1722" s="31" t="str">
        <f>IF($B1722="","",IF($P1721="",$B1722,MAX($P1721,$B1722)))</f>
        <v/>
      </c>
      <c r="Q1722" s="32" t="str">
        <f>IF($P1722="","",$B1722/$P1722-1)</f>
        <v/>
      </c>
    </row>
    <row r="1723">
      <c r="A1723" s="11" t="n"/>
      <c r="B1723" s="29" t="n"/>
      <c r="K1723" s="30" t="str">
        <f>IF($A1723="","",EDATE($A1723,12*$E$4))</f>
        <v/>
      </c>
      <c r="L1723" s="19" t="str">
        <f>IF($K1723="","",IF($K1723&gt;MAX($A$8:$A$5007),"",IFERROR(MATCH($K1723,$A$8:$A$5007,1),"")))</f>
        <v/>
      </c>
      <c r="M1723" s="30" t="str">
        <f>IF($L1723="","",INDEX($A$8:$A$5007,$L1723))</f>
        <v/>
      </c>
      <c r="N1723" s="31" t="str">
        <f>IF($L1723="","",INDEX($B$8:$B$5007,$L1723))</f>
        <v/>
      </c>
      <c r="O1723" s="32" t="str">
        <f>IF($M1723="","",IF($K1723-$M1723&gt;7,"",IF($M1723&lt;=$A1723,"",IF(OR($B1723&lt;=0,$N1723&lt;=0),"",($N1723/$B1723)^(365/($M1723-$A1723))-1))))</f>
        <v/>
      </c>
      <c r="P1723" s="31" t="str">
        <f>IF($B1723="","",IF($P1722="",$B1723,MAX($P1722,$B1723)))</f>
        <v/>
      </c>
      <c r="Q1723" s="32" t="str">
        <f>IF($P1723="","",$B1723/$P1723-1)</f>
        <v/>
      </c>
    </row>
    <row r="1724">
      <c r="A1724" s="11" t="n"/>
      <c r="B1724" s="29" t="n"/>
      <c r="K1724" s="30" t="str">
        <f>IF($A1724="","",EDATE($A1724,12*$E$4))</f>
        <v/>
      </c>
      <c r="L1724" s="19" t="str">
        <f>IF($K1724="","",IF($K1724&gt;MAX($A$8:$A$5007),"",IFERROR(MATCH($K1724,$A$8:$A$5007,1),"")))</f>
        <v/>
      </c>
      <c r="M1724" s="30" t="str">
        <f>IF($L1724="","",INDEX($A$8:$A$5007,$L1724))</f>
        <v/>
      </c>
      <c r="N1724" s="31" t="str">
        <f>IF($L1724="","",INDEX($B$8:$B$5007,$L1724))</f>
        <v/>
      </c>
      <c r="O1724" s="32" t="str">
        <f>IF($M1724="","",IF($K1724-$M1724&gt;7,"",IF($M1724&lt;=$A1724,"",IF(OR($B1724&lt;=0,$N1724&lt;=0),"",($N1724/$B1724)^(365/($M1724-$A1724))-1))))</f>
        <v/>
      </c>
      <c r="P1724" s="31" t="str">
        <f>IF($B1724="","",IF($P1723="",$B1724,MAX($P1723,$B1724)))</f>
        <v/>
      </c>
      <c r="Q1724" s="32" t="str">
        <f>IF($P1724="","",$B1724/$P1724-1)</f>
        <v/>
      </c>
    </row>
    <row r="1725">
      <c r="A1725" s="11" t="n"/>
      <c r="B1725" s="29" t="n"/>
      <c r="K1725" s="30" t="str">
        <f>IF($A1725="","",EDATE($A1725,12*$E$4))</f>
        <v/>
      </c>
      <c r="L1725" s="19" t="str">
        <f>IF($K1725="","",IF($K1725&gt;MAX($A$8:$A$5007),"",IFERROR(MATCH($K1725,$A$8:$A$5007,1),"")))</f>
        <v/>
      </c>
      <c r="M1725" s="30" t="str">
        <f>IF($L1725="","",INDEX($A$8:$A$5007,$L1725))</f>
        <v/>
      </c>
      <c r="N1725" s="31" t="str">
        <f>IF($L1725="","",INDEX($B$8:$B$5007,$L1725))</f>
        <v/>
      </c>
      <c r="O1725" s="32" t="str">
        <f>IF($M1725="","",IF($K1725-$M1725&gt;7,"",IF($M1725&lt;=$A1725,"",IF(OR($B1725&lt;=0,$N1725&lt;=0),"",($N1725/$B1725)^(365/($M1725-$A1725))-1))))</f>
        <v/>
      </c>
      <c r="P1725" s="31" t="str">
        <f>IF($B1725="","",IF($P1724="",$B1725,MAX($P1724,$B1725)))</f>
        <v/>
      </c>
      <c r="Q1725" s="32" t="str">
        <f>IF($P1725="","",$B1725/$P1725-1)</f>
        <v/>
      </c>
    </row>
    <row r="1726">
      <c r="A1726" s="11" t="n"/>
      <c r="B1726" s="29" t="n"/>
      <c r="K1726" s="30" t="str">
        <f>IF($A1726="","",EDATE($A1726,12*$E$4))</f>
        <v/>
      </c>
      <c r="L1726" s="19" t="str">
        <f>IF($K1726="","",IF($K1726&gt;MAX($A$8:$A$5007),"",IFERROR(MATCH($K1726,$A$8:$A$5007,1),"")))</f>
        <v/>
      </c>
      <c r="M1726" s="30" t="str">
        <f>IF($L1726="","",INDEX($A$8:$A$5007,$L1726))</f>
        <v/>
      </c>
      <c r="N1726" s="31" t="str">
        <f>IF($L1726="","",INDEX($B$8:$B$5007,$L1726))</f>
        <v/>
      </c>
      <c r="O1726" s="32" t="str">
        <f>IF($M1726="","",IF($K1726-$M1726&gt;7,"",IF($M1726&lt;=$A1726,"",IF(OR($B1726&lt;=0,$N1726&lt;=0),"",($N1726/$B1726)^(365/($M1726-$A1726))-1))))</f>
        <v/>
      </c>
      <c r="P1726" s="31" t="str">
        <f>IF($B1726="","",IF($P1725="",$B1726,MAX($P1725,$B1726)))</f>
        <v/>
      </c>
      <c r="Q1726" s="32" t="str">
        <f>IF($P1726="","",$B1726/$P1726-1)</f>
        <v/>
      </c>
    </row>
    <row r="1727">
      <c r="A1727" s="11" t="n"/>
      <c r="B1727" s="29" t="n"/>
      <c r="K1727" s="30" t="str">
        <f>IF($A1727="","",EDATE($A1727,12*$E$4))</f>
        <v/>
      </c>
      <c r="L1727" s="19" t="str">
        <f>IF($K1727="","",IF($K1727&gt;MAX($A$8:$A$5007),"",IFERROR(MATCH($K1727,$A$8:$A$5007,1),"")))</f>
        <v/>
      </c>
      <c r="M1727" s="30" t="str">
        <f>IF($L1727="","",INDEX($A$8:$A$5007,$L1727))</f>
        <v/>
      </c>
      <c r="N1727" s="31" t="str">
        <f>IF($L1727="","",INDEX($B$8:$B$5007,$L1727))</f>
        <v/>
      </c>
      <c r="O1727" s="32" t="str">
        <f>IF($M1727="","",IF($K1727-$M1727&gt;7,"",IF($M1727&lt;=$A1727,"",IF(OR($B1727&lt;=0,$N1727&lt;=0),"",($N1727/$B1727)^(365/($M1727-$A1727))-1))))</f>
        <v/>
      </c>
      <c r="P1727" s="31" t="str">
        <f>IF($B1727="","",IF($P1726="",$B1727,MAX($P1726,$B1727)))</f>
        <v/>
      </c>
      <c r="Q1727" s="32" t="str">
        <f>IF($P1727="","",$B1727/$P1727-1)</f>
        <v/>
      </c>
    </row>
    <row r="1728">
      <c r="A1728" s="11" t="n"/>
      <c r="B1728" s="29" t="n"/>
      <c r="K1728" s="30" t="str">
        <f>IF($A1728="","",EDATE($A1728,12*$E$4))</f>
        <v/>
      </c>
      <c r="L1728" s="19" t="str">
        <f>IF($K1728="","",IF($K1728&gt;MAX($A$8:$A$5007),"",IFERROR(MATCH($K1728,$A$8:$A$5007,1),"")))</f>
        <v/>
      </c>
      <c r="M1728" s="30" t="str">
        <f>IF($L1728="","",INDEX($A$8:$A$5007,$L1728))</f>
        <v/>
      </c>
      <c r="N1728" s="31" t="str">
        <f>IF($L1728="","",INDEX($B$8:$B$5007,$L1728))</f>
        <v/>
      </c>
      <c r="O1728" s="32" t="str">
        <f>IF($M1728="","",IF($K1728-$M1728&gt;7,"",IF($M1728&lt;=$A1728,"",IF(OR($B1728&lt;=0,$N1728&lt;=0),"",($N1728/$B1728)^(365/($M1728-$A1728))-1))))</f>
        <v/>
      </c>
      <c r="P1728" s="31" t="str">
        <f>IF($B1728="","",IF($P1727="",$B1728,MAX($P1727,$B1728)))</f>
        <v/>
      </c>
      <c r="Q1728" s="32" t="str">
        <f>IF($P1728="","",$B1728/$P1728-1)</f>
        <v/>
      </c>
    </row>
    <row r="1729">
      <c r="A1729" s="11" t="n"/>
      <c r="B1729" s="29" t="n"/>
      <c r="K1729" s="30" t="str">
        <f>IF($A1729="","",EDATE($A1729,12*$E$4))</f>
        <v/>
      </c>
      <c r="L1729" s="19" t="str">
        <f>IF($K1729="","",IF($K1729&gt;MAX($A$8:$A$5007),"",IFERROR(MATCH($K1729,$A$8:$A$5007,1),"")))</f>
        <v/>
      </c>
      <c r="M1729" s="30" t="str">
        <f>IF($L1729="","",INDEX($A$8:$A$5007,$L1729))</f>
        <v/>
      </c>
      <c r="N1729" s="31" t="str">
        <f>IF($L1729="","",INDEX($B$8:$B$5007,$L1729))</f>
        <v/>
      </c>
      <c r="O1729" s="32" t="str">
        <f>IF($M1729="","",IF($K1729-$M1729&gt;7,"",IF($M1729&lt;=$A1729,"",IF(OR($B1729&lt;=0,$N1729&lt;=0),"",($N1729/$B1729)^(365/($M1729-$A1729))-1))))</f>
        <v/>
      </c>
      <c r="P1729" s="31" t="str">
        <f>IF($B1729="","",IF($P1728="",$B1729,MAX($P1728,$B1729)))</f>
        <v/>
      </c>
      <c r="Q1729" s="32" t="str">
        <f>IF($P1729="","",$B1729/$P1729-1)</f>
        <v/>
      </c>
    </row>
    <row r="1730">
      <c r="A1730" s="11" t="n"/>
      <c r="B1730" s="29" t="n"/>
      <c r="K1730" s="30" t="str">
        <f>IF($A1730="","",EDATE($A1730,12*$E$4))</f>
        <v/>
      </c>
      <c r="L1730" s="19" t="str">
        <f>IF($K1730="","",IF($K1730&gt;MAX($A$8:$A$5007),"",IFERROR(MATCH($K1730,$A$8:$A$5007,1),"")))</f>
        <v/>
      </c>
      <c r="M1730" s="30" t="str">
        <f>IF($L1730="","",INDEX($A$8:$A$5007,$L1730))</f>
        <v/>
      </c>
      <c r="N1730" s="31" t="str">
        <f>IF($L1730="","",INDEX($B$8:$B$5007,$L1730))</f>
        <v/>
      </c>
      <c r="O1730" s="32" t="str">
        <f>IF($M1730="","",IF($K1730-$M1730&gt;7,"",IF($M1730&lt;=$A1730,"",IF(OR($B1730&lt;=0,$N1730&lt;=0),"",($N1730/$B1730)^(365/($M1730-$A1730))-1))))</f>
        <v/>
      </c>
      <c r="P1730" s="31" t="str">
        <f>IF($B1730="","",IF($P1729="",$B1730,MAX($P1729,$B1730)))</f>
        <v/>
      </c>
      <c r="Q1730" s="32" t="str">
        <f>IF($P1730="","",$B1730/$P1730-1)</f>
        <v/>
      </c>
    </row>
    <row r="1731">
      <c r="A1731" s="11" t="n"/>
      <c r="B1731" s="29" t="n"/>
      <c r="K1731" s="30" t="str">
        <f>IF($A1731="","",EDATE($A1731,12*$E$4))</f>
        <v/>
      </c>
      <c r="L1731" s="19" t="str">
        <f>IF($K1731="","",IF($K1731&gt;MAX($A$8:$A$5007),"",IFERROR(MATCH($K1731,$A$8:$A$5007,1),"")))</f>
        <v/>
      </c>
      <c r="M1731" s="30" t="str">
        <f>IF($L1731="","",INDEX($A$8:$A$5007,$L1731))</f>
        <v/>
      </c>
      <c r="N1731" s="31" t="str">
        <f>IF($L1731="","",INDEX($B$8:$B$5007,$L1731))</f>
        <v/>
      </c>
      <c r="O1731" s="32" t="str">
        <f>IF($M1731="","",IF($K1731-$M1731&gt;7,"",IF($M1731&lt;=$A1731,"",IF(OR($B1731&lt;=0,$N1731&lt;=0),"",($N1731/$B1731)^(365/($M1731-$A1731))-1))))</f>
        <v/>
      </c>
      <c r="P1731" s="31" t="str">
        <f>IF($B1731="","",IF($P1730="",$B1731,MAX($P1730,$B1731)))</f>
        <v/>
      </c>
      <c r="Q1731" s="32" t="str">
        <f>IF($P1731="","",$B1731/$P1731-1)</f>
        <v/>
      </c>
    </row>
    <row r="1732">
      <c r="A1732" s="11" t="n"/>
      <c r="B1732" s="29" t="n"/>
      <c r="K1732" s="30" t="str">
        <f>IF($A1732="","",EDATE($A1732,12*$E$4))</f>
        <v/>
      </c>
      <c r="L1732" s="19" t="str">
        <f>IF($K1732="","",IF($K1732&gt;MAX($A$8:$A$5007),"",IFERROR(MATCH($K1732,$A$8:$A$5007,1),"")))</f>
        <v/>
      </c>
      <c r="M1732" s="30" t="str">
        <f>IF($L1732="","",INDEX($A$8:$A$5007,$L1732))</f>
        <v/>
      </c>
      <c r="N1732" s="31" t="str">
        <f>IF($L1732="","",INDEX($B$8:$B$5007,$L1732))</f>
        <v/>
      </c>
      <c r="O1732" s="32" t="str">
        <f>IF($M1732="","",IF($K1732-$M1732&gt;7,"",IF($M1732&lt;=$A1732,"",IF(OR($B1732&lt;=0,$N1732&lt;=0),"",($N1732/$B1732)^(365/($M1732-$A1732))-1))))</f>
        <v/>
      </c>
      <c r="P1732" s="31" t="str">
        <f>IF($B1732="","",IF($P1731="",$B1732,MAX($P1731,$B1732)))</f>
        <v/>
      </c>
      <c r="Q1732" s="32" t="str">
        <f>IF($P1732="","",$B1732/$P1732-1)</f>
        <v/>
      </c>
    </row>
    <row r="1733">
      <c r="A1733" s="11" t="n"/>
      <c r="B1733" s="29" t="n"/>
      <c r="K1733" s="30" t="str">
        <f>IF($A1733="","",EDATE($A1733,12*$E$4))</f>
        <v/>
      </c>
      <c r="L1733" s="19" t="str">
        <f>IF($K1733="","",IF($K1733&gt;MAX($A$8:$A$5007),"",IFERROR(MATCH($K1733,$A$8:$A$5007,1),"")))</f>
        <v/>
      </c>
      <c r="M1733" s="30" t="str">
        <f>IF($L1733="","",INDEX($A$8:$A$5007,$L1733))</f>
        <v/>
      </c>
      <c r="N1733" s="31" t="str">
        <f>IF($L1733="","",INDEX($B$8:$B$5007,$L1733))</f>
        <v/>
      </c>
      <c r="O1733" s="32" t="str">
        <f>IF($M1733="","",IF($K1733-$M1733&gt;7,"",IF($M1733&lt;=$A1733,"",IF(OR($B1733&lt;=0,$N1733&lt;=0),"",($N1733/$B1733)^(365/($M1733-$A1733))-1))))</f>
        <v/>
      </c>
      <c r="P1733" s="31" t="str">
        <f>IF($B1733="","",IF($P1732="",$B1733,MAX($P1732,$B1733)))</f>
        <v/>
      </c>
      <c r="Q1733" s="32" t="str">
        <f>IF($P1733="","",$B1733/$P1733-1)</f>
        <v/>
      </c>
    </row>
    <row r="1734">
      <c r="A1734" s="11" t="n"/>
      <c r="B1734" s="29" t="n"/>
      <c r="K1734" s="30" t="str">
        <f>IF($A1734="","",EDATE($A1734,12*$E$4))</f>
        <v/>
      </c>
      <c r="L1734" s="19" t="str">
        <f>IF($K1734="","",IF($K1734&gt;MAX($A$8:$A$5007),"",IFERROR(MATCH($K1734,$A$8:$A$5007,1),"")))</f>
        <v/>
      </c>
      <c r="M1734" s="30" t="str">
        <f>IF($L1734="","",INDEX($A$8:$A$5007,$L1734))</f>
        <v/>
      </c>
      <c r="N1734" s="31" t="str">
        <f>IF($L1734="","",INDEX($B$8:$B$5007,$L1734))</f>
        <v/>
      </c>
      <c r="O1734" s="32" t="str">
        <f>IF($M1734="","",IF($K1734-$M1734&gt;7,"",IF($M1734&lt;=$A1734,"",IF(OR($B1734&lt;=0,$N1734&lt;=0),"",($N1734/$B1734)^(365/($M1734-$A1734))-1))))</f>
        <v/>
      </c>
      <c r="P1734" s="31" t="str">
        <f>IF($B1734="","",IF($P1733="",$B1734,MAX($P1733,$B1734)))</f>
        <v/>
      </c>
      <c r="Q1734" s="32" t="str">
        <f>IF($P1734="","",$B1734/$P1734-1)</f>
        <v/>
      </c>
    </row>
    <row r="1735">
      <c r="A1735" s="11" t="n"/>
      <c r="B1735" s="29" t="n"/>
      <c r="K1735" s="30" t="str">
        <f>IF($A1735="","",EDATE($A1735,12*$E$4))</f>
        <v/>
      </c>
      <c r="L1735" s="19" t="str">
        <f>IF($K1735="","",IF($K1735&gt;MAX($A$8:$A$5007),"",IFERROR(MATCH($K1735,$A$8:$A$5007,1),"")))</f>
        <v/>
      </c>
      <c r="M1735" s="30" t="str">
        <f>IF($L1735="","",INDEX($A$8:$A$5007,$L1735))</f>
        <v/>
      </c>
      <c r="N1735" s="31" t="str">
        <f>IF($L1735="","",INDEX($B$8:$B$5007,$L1735))</f>
        <v/>
      </c>
      <c r="O1735" s="32" t="str">
        <f>IF($M1735="","",IF($K1735-$M1735&gt;7,"",IF($M1735&lt;=$A1735,"",IF(OR($B1735&lt;=0,$N1735&lt;=0),"",($N1735/$B1735)^(365/($M1735-$A1735))-1))))</f>
        <v/>
      </c>
      <c r="P1735" s="31" t="str">
        <f>IF($B1735="","",IF($P1734="",$B1735,MAX($P1734,$B1735)))</f>
        <v/>
      </c>
      <c r="Q1735" s="32" t="str">
        <f>IF($P1735="","",$B1735/$P1735-1)</f>
        <v/>
      </c>
    </row>
    <row r="1736">
      <c r="A1736" s="11" t="n"/>
      <c r="B1736" s="29" t="n"/>
      <c r="K1736" s="30" t="str">
        <f>IF($A1736="","",EDATE($A1736,12*$E$4))</f>
        <v/>
      </c>
      <c r="L1736" s="19" t="str">
        <f>IF($K1736="","",IF($K1736&gt;MAX($A$8:$A$5007),"",IFERROR(MATCH($K1736,$A$8:$A$5007,1),"")))</f>
        <v/>
      </c>
      <c r="M1736" s="30" t="str">
        <f>IF($L1736="","",INDEX($A$8:$A$5007,$L1736))</f>
        <v/>
      </c>
      <c r="N1736" s="31" t="str">
        <f>IF($L1736="","",INDEX($B$8:$B$5007,$L1736))</f>
        <v/>
      </c>
      <c r="O1736" s="32" t="str">
        <f>IF($M1736="","",IF($K1736-$M1736&gt;7,"",IF($M1736&lt;=$A1736,"",IF(OR($B1736&lt;=0,$N1736&lt;=0),"",($N1736/$B1736)^(365/($M1736-$A1736))-1))))</f>
        <v/>
      </c>
      <c r="P1736" s="31" t="str">
        <f>IF($B1736="","",IF($P1735="",$B1736,MAX($P1735,$B1736)))</f>
        <v/>
      </c>
      <c r="Q1736" s="32" t="str">
        <f>IF($P1736="","",$B1736/$P1736-1)</f>
        <v/>
      </c>
    </row>
    <row r="1737">
      <c r="A1737" s="11" t="n"/>
      <c r="B1737" s="29" t="n"/>
      <c r="K1737" s="30" t="str">
        <f>IF($A1737="","",EDATE($A1737,12*$E$4))</f>
        <v/>
      </c>
      <c r="L1737" s="19" t="str">
        <f>IF($K1737="","",IF($K1737&gt;MAX($A$8:$A$5007),"",IFERROR(MATCH($K1737,$A$8:$A$5007,1),"")))</f>
        <v/>
      </c>
      <c r="M1737" s="30" t="str">
        <f>IF($L1737="","",INDEX($A$8:$A$5007,$L1737))</f>
        <v/>
      </c>
      <c r="N1737" s="31" t="str">
        <f>IF($L1737="","",INDEX($B$8:$B$5007,$L1737))</f>
        <v/>
      </c>
      <c r="O1737" s="32" t="str">
        <f>IF($M1737="","",IF($K1737-$M1737&gt;7,"",IF($M1737&lt;=$A1737,"",IF(OR($B1737&lt;=0,$N1737&lt;=0),"",($N1737/$B1737)^(365/($M1737-$A1737))-1))))</f>
        <v/>
      </c>
      <c r="P1737" s="31" t="str">
        <f>IF($B1737="","",IF($P1736="",$B1737,MAX($P1736,$B1737)))</f>
        <v/>
      </c>
      <c r="Q1737" s="32" t="str">
        <f>IF($P1737="","",$B1737/$P1737-1)</f>
        <v/>
      </c>
    </row>
    <row r="1738">
      <c r="A1738" s="11" t="n"/>
      <c r="B1738" s="29" t="n"/>
      <c r="K1738" s="30" t="str">
        <f>IF($A1738="","",EDATE($A1738,12*$E$4))</f>
        <v/>
      </c>
      <c r="L1738" s="19" t="str">
        <f>IF($K1738="","",IF($K1738&gt;MAX($A$8:$A$5007),"",IFERROR(MATCH($K1738,$A$8:$A$5007,1),"")))</f>
        <v/>
      </c>
      <c r="M1738" s="30" t="str">
        <f>IF($L1738="","",INDEX($A$8:$A$5007,$L1738))</f>
        <v/>
      </c>
      <c r="N1738" s="31" t="str">
        <f>IF($L1738="","",INDEX($B$8:$B$5007,$L1738))</f>
        <v/>
      </c>
      <c r="O1738" s="32" t="str">
        <f>IF($M1738="","",IF($K1738-$M1738&gt;7,"",IF($M1738&lt;=$A1738,"",IF(OR($B1738&lt;=0,$N1738&lt;=0),"",($N1738/$B1738)^(365/($M1738-$A1738))-1))))</f>
        <v/>
      </c>
      <c r="P1738" s="31" t="str">
        <f>IF($B1738="","",IF($P1737="",$B1738,MAX($P1737,$B1738)))</f>
        <v/>
      </c>
      <c r="Q1738" s="32" t="str">
        <f>IF($P1738="","",$B1738/$P1738-1)</f>
        <v/>
      </c>
    </row>
    <row r="1739">
      <c r="A1739" s="11" t="n"/>
      <c r="B1739" s="29" t="n"/>
      <c r="K1739" s="30" t="str">
        <f>IF($A1739="","",EDATE($A1739,12*$E$4))</f>
        <v/>
      </c>
      <c r="L1739" s="19" t="str">
        <f>IF($K1739="","",IF($K1739&gt;MAX($A$8:$A$5007),"",IFERROR(MATCH($K1739,$A$8:$A$5007,1),"")))</f>
        <v/>
      </c>
      <c r="M1739" s="30" t="str">
        <f>IF($L1739="","",INDEX($A$8:$A$5007,$L1739))</f>
        <v/>
      </c>
      <c r="N1739" s="31" t="str">
        <f>IF($L1739="","",INDEX($B$8:$B$5007,$L1739))</f>
        <v/>
      </c>
      <c r="O1739" s="32" t="str">
        <f>IF($M1739="","",IF($K1739-$M1739&gt;7,"",IF($M1739&lt;=$A1739,"",IF(OR($B1739&lt;=0,$N1739&lt;=0),"",($N1739/$B1739)^(365/($M1739-$A1739))-1))))</f>
        <v/>
      </c>
      <c r="P1739" s="31" t="str">
        <f>IF($B1739="","",IF($P1738="",$B1739,MAX($P1738,$B1739)))</f>
        <v/>
      </c>
      <c r="Q1739" s="32" t="str">
        <f>IF($P1739="","",$B1739/$P1739-1)</f>
        <v/>
      </c>
    </row>
    <row r="1740">
      <c r="A1740" s="11" t="n"/>
      <c r="B1740" s="29" t="n"/>
      <c r="K1740" s="30" t="str">
        <f>IF($A1740="","",EDATE($A1740,12*$E$4))</f>
        <v/>
      </c>
      <c r="L1740" s="19" t="str">
        <f>IF($K1740="","",IF($K1740&gt;MAX($A$8:$A$5007),"",IFERROR(MATCH($K1740,$A$8:$A$5007,1),"")))</f>
        <v/>
      </c>
      <c r="M1740" s="30" t="str">
        <f>IF($L1740="","",INDEX($A$8:$A$5007,$L1740))</f>
        <v/>
      </c>
      <c r="N1740" s="31" t="str">
        <f>IF($L1740="","",INDEX($B$8:$B$5007,$L1740))</f>
        <v/>
      </c>
      <c r="O1740" s="32" t="str">
        <f>IF($M1740="","",IF($K1740-$M1740&gt;7,"",IF($M1740&lt;=$A1740,"",IF(OR($B1740&lt;=0,$N1740&lt;=0),"",($N1740/$B1740)^(365/($M1740-$A1740))-1))))</f>
        <v/>
      </c>
      <c r="P1740" s="31" t="str">
        <f>IF($B1740="","",IF($P1739="",$B1740,MAX($P1739,$B1740)))</f>
        <v/>
      </c>
      <c r="Q1740" s="32" t="str">
        <f>IF($P1740="","",$B1740/$P1740-1)</f>
        <v/>
      </c>
    </row>
    <row r="1741">
      <c r="A1741" s="11" t="n"/>
      <c r="B1741" s="29" t="n"/>
      <c r="K1741" s="30" t="str">
        <f>IF($A1741="","",EDATE($A1741,12*$E$4))</f>
        <v/>
      </c>
      <c r="L1741" s="19" t="str">
        <f>IF($K1741="","",IF($K1741&gt;MAX($A$8:$A$5007),"",IFERROR(MATCH($K1741,$A$8:$A$5007,1),"")))</f>
        <v/>
      </c>
      <c r="M1741" s="30" t="str">
        <f>IF($L1741="","",INDEX($A$8:$A$5007,$L1741))</f>
        <v/>
      </c>
      <c r="N1741" s="31" t="str">
        <f>IF($L1741="","",INDEX($B$8:$B$5007,$L1741))</f>
        <v/>
      </c>
      <c r="O1741" s="32" t="str">
        <f>IF($M1741="","",IF($K1741-$M1741&gt;7,"",IF($M1741&lt;=$A1741,"",IF(OR($B1741&lt;=0,$N1741&lt;=0),"",($N1741/$B1741)^(365/($M1741-$A1741))-1))))</f>
        <v/>
      </c>
      <c r="P1741" s="31" t="str">
        <f>IF($B1741="","",IF($P1740="",$B1741,MAX($P1740,$B1741)))</f>
        <v/>
      </c>
      <c r="Q1741" s="32" t="str">
        <f>IF($P1741="","",$B1741/$P1741-1)</f>
        <v/>
      </c>
    </row>
    <row r="1742">
      <c r="A1742" s="11" t="n"/>
      <c r="B1742" s="29" t="n"/>
      <c r="K1742" s="30" t="str">
        <f>IF($A1742="","",EDATE($A1742,12*$E$4))</f>
        <v/>
      </c>
      <c r="L1742" s="19" t="str">
        <f>IF($K1742="","",IF($K1742&gt;MAX($A$8:$A$5007),"",IFERROR(MATCH($K1742,$A$8:$A$5007,1),"")))</f>
        <v/>
      </c>
      <c r="M1742" s="30" t="str">
        <f>IF($L1742="","",INDEX($A$8:$A$5007,$L1742))</f>
        <v/>
      </c>
      <c r="N1742" s="31" t="str">
        <f>IF($L1742="","",INDEX($B$8:$B$5007,$L1742))</f>
        <v/>
      </c>
      <c r="O1742" s="32" t="str">
        <f>IF($M1742="","",IF($K1742-$M1742&gt;7,"",IF($M1742&lt;=$A1742,"",IF(OR($B1742&lt;=0,$N1742&lt;=0),"",($N1742/$B1742)^(365/($M1742-$A1742))-1))))</f>
        <v/>
      </c>
      <c r="P1742" s="31" t="str">
        <f>IF($B1742="","",IF($P1741="",$B1742,MAX($P1741,$B1742)))</f>
        <v/>
      </c>
      <c r="Q1742" s="32" t="str">
        <f>IF($P1742="","",$B1742/$P1742-1)</f>
        <v/>
      </c>
    </row>
    <row r="1743">
      <c r="A1743" s="11" t="n"/>
      <c r="B1743" s="29" t="n"/>
      <c r="K1743" s="30" t="str">
        <f>IF($A1743="","",EDATE($A1743,12*$E$4))</f>
        <v/>
      </c>
      <c r="L1743" s="19" t="str">
        <f>IF($K1743="","",IF($K1743&gt;MAX($A$8:$A$5007),"",IFERROR(MATCH($K1743,$A$8:$A$5007,1),"")))</f>
        <v/>
      </c>
      <c r="M1743" s="30" t="str">
        <f>IF($L1743="","",INDEX($A$8:$A$5007,$L1743))</f>
        <v/>
      </c>
      <c r="N1743" s="31" t="str">
        <f>IF($L1743="","",INDEX($B$8:$B$5007,$L1743))</f>
        <v/>
      </c>
      <c r="O1743" s="32" t="str">
        <f>IF($M1743="","",IF($K1743-$M1743&gt;7,"",IF($M1743&lt;=$A1743,"",IF(OR($B1743&lt;=0,$N1743&lt;=0),"",($N1743/$B1743)^(365/($M1743-$A1743))-1))))</f>
        <v/>
      </c>
      <c r="P1743" s="31" t="str">
        <f>IF($B1743="","",IF($P1742="",$B1743,MAX($P1742,$B1743)))</f>
        <v/>
      </c>
      <c r="Q1743" s="32" t="str">
        <f>IF($P1743="","",$B1743/$P1743-1)</f>
        <v/>
      </c>
    </row>
    <row r="1744">
      <c r="A1744" s="11" t="n"/>
      <c r="B1744" s="29" t="n"/>
      <c r="K1744" s="30" t="str">
        <f>IF($A1744="","",EDATE($A1744,12*$E$4))</f>
        <v/>
      </c>
      <c r="L1744" s="19" t="str">
        <f>IF($K1744="","",IF($K1744&gt;MAX($A$8:$A$5007),"",IFERROR(MATCH($K1744,$A$8:$A$5007,1),"")))</f>
        <v/>
      </c>
      <c r="M1744" s="30" t="str">
        <f>IF($L1744="","",INDEX($A$8:$A$5007,$L1744))</f>
        <v/>
      </c>
      <c r="N1744" s="31" t="str">
        <f>IF($L1744="","",INDEX($B$8:$B$5007,$L1744))</f>
        <v/>
      </c>
      <c r="O1744" s="32" t="str">
        <f>IF($M1744="","",IF($K1744-$M1744&gt;7,"",IF($M1744&lt;=$A1744,"",IF(OR($B1744&lt;=0,$N1744&lt;=0),"",($N1744/$B1744)^(365/($M1744-$A1744))-1))))</f>
        <v/>
      </c>
      <c r="P1744" s="31" t="str">
        <f>IF($B1744="","",IF($P1743="",$B1744,MAX($P1743,$B1744)))</f>
        <v/>
      </c>
      <c r="Q1744" s="32" t="str">
        <f>IF($P1744="","",$B1744/$P1744-1)</f>
        <v/>
      </c>
    </row>
    <row r="1745">
      <c r="A1745" s="11" t="n"/>
      <c r="B1745" s="29" t="n"/>
      <c r="K1745" s="30" t="str">
        <f>IF($A1745="","",EDATE($A1745,12*$E$4))</f>
        <v/>
      </c>
      <c r="L1745" s="19" t="str">
        <f>IF($K1745="","",IF($K1745&gt;MAX($A$8:$A$5007),"",IFERROR(MATCH($K1745,$A$8:$A$5007,1),"")))</f>
        <v/>
      </c>
      <c r="M1745" s="30" t="str">
        <f>IF($L1745="","",INDEX($A$8:$A$5007,$L1745))</f>
        <v/>
      </c>
      <c r="N1745" s="31" t="str">
        <f>IF($L1745="","",INDEX($B$8:$B$5007,$L1745))</f>
        <v/>
      </c>
      <c r="O1745" s="32" t="str">
        <f>IF($M1745="","",IF($K1745-$M1745&gt;7,"",IF($M1745&lt;=$A1745,"",IF(OR($B1745&lt;=0,$N1745&lt;=0),"",($N1745/$B1745)^(365/($M1745-$A1745))-1))))</f>
        <v/>
      </c>
      <c r="P1745" s="31" t="str">
        <f>IF($B1745="","",IF($P1744="",$B1745,MAX($P1744,$B1745)))</f>
        <v/>
      </c>
      <c r="Q1745" s="32" t="str">
        <f>IF($P1745="","",$B1745/$P1745-1)</f>
        <v/>
      </c>
    </row>
    <row r="1746">
      <c r="A1746" s="11" t="n"/>
      <c r="B1746" s="29" t="n"/>
      <c r="K1746" s="30" t="str">
        <f>IF($A1746="","",EDATE($A1746,12*$E$4))</f>
        <v/>
      </c>
      <c r="L1746" s="19" t="str">
        <f>IF($K1746="","",IF($K1746&gt;MAX($A$8:$A$5007),"",IFERROR(MATCH($K1746,$A$8:$A$5007,1),"")))</f>
        <v/>
      </c>
      <c r="M1746" s="30" t="str">
        <f>IF($L1746="","",INDEX($A$8:$A$5007,$L1746))</f>
        <v/>
      </c>
      <c r="N1746" s="31" t="str">
        <f>IF($L1746="","",INDEX($B$8:$B$5007,$L1746))</f>
        <v/>
      </c>
      <c r="O1746" s="32" t="str">
        <f>IF($M1746="","",IF($K1746-$M1746&gt;7,"",IF($M1746&lt;=$A1746,"",IF(OR($B1746&lt;=0,$N1746&lt;=0),"",($N1746/$B1746)^(365/($M1746-$A1746))-1))))</f>
        <v/>
      </c>
      <c r="P1746" s="31" t="str">
        <f>IF($B1746="","",IF($P1745="",$B1746,MAX($P1745,$B1746)))</f>
        <v/>
      </c>
      <c r="Q1746" s="32" t="str">
        <f>IF($P1746="","",$B1746/$P1746-1)</f>
        <v/>
      </c>
    </row>
    <row r="1747">
      <c r="A1747" s="11" t="n"/>
      <c r="B1747" s="29" t="n"/>
      <c r="K1747" s="30" t="str">
        <f>IF($A1747="","",EDATE($A1747,12*$E$4))</f>
        <v/>
      </c>
      <c r="L1747" s="19" t="str">
        <f>IF($K1747="","",IF($K1747&gt;MAX($A$8:$A$5007),"",IFERROR(MATCH($K1747,$A$8:$A$5007,1),"")))</f>
        <v/>
      </c>
      <c r="M1747" s="30" t="str">
        <f>IF($L1747="","",INDEX($A$8:$A$5007,$L1747))</f>
        <v/>
      </c>
      <c r="N1747" s="31" t="str">
        <f>IF($L1747="","",INDEX($B$8:$B$5007,$L1747))</f>
        <v/>
      </c>
      <c r="O1747" s="32" t="str">
        <f>IF($M1747="","",IF($K1747-$M1747&gt;7,"",IF($M1747&lt;=$A1747,"",IF(OR($B1747&lt;=0,$N1747&lt;=0),"",($N1747/$B1747)^(365/($M1747-$A1747))-1))))</f>
        <v/>
      </c>
      <c r="P1747" s="31" t="str">
        <f>IF($B1747="","",IF($P1746="",$B1747,MAX($P1746,$B1747)))</f>
        <v/>
      </c>
      <c r="Q1747" s="32" t="str">
        <f>IF($P1747="","",$B1747/$P1747-1)</f>
        <v/>
      </c>
    </row>
    <row r="1748">
      <c r="A1748" s="11" t="n"/>
      <c r="B1748" s="29" t="n"/>
      <c r="K1748" s="30" t="str">
        <f>IF($A1748="","",EDATE($A1748,12*$E$4))</f>
        <v/>
      </c>
      <c r="L1748" s="19" t="str">
        <f>IF($K1748="","",IF($K1748&gt;MAX($A$8:$A$5007),"",IFERROR(MATCH($K1748,$A$8:$A$5007,1),"")))</f>
        <v/>
      </c>
      <c r="M1748" s="30" t="str">
        <f>IF($L1748="","",INDEX($A$8:$A$5007,$L1748))</f>
        <v/>
      </c>
      <c r="N1748" s="31" t="str">
        <f>IF($L1748="","",INDEX($B$8:$B$5007,$L1748))</f>
        <v/>
      </c>
      <c r="O1748" s="32" t="str">
        <f>IF($M1748="","",IF($K1748-$M1748&gt;7,"",IF($M1748&lt;=$A1748,"",IF(OR($B1748&lt;=0,$N1748&lt;=0),"",($N1748/$B1748)^(365/($M1748-$A1748))-1))))</f>
        <v/>
      </c>
      <c r="P1748" s="31" t="str">
        <f>IF($B1748="","",IF($P1747="",$B1748,MAX($P1747,$B1748)))</f>
        <v/>
      </c>
      <c r="Q1748" s="32" t="str">
        <f>IF($P1748="","",$B1748/$P1748-1)</f>
        <v/>
      </c>
    </row>
    <row r="1749">
      <c r="A1749" s="11" t="n"/>
      <c r="B1749" s="29" t="n"/>
      <c r="K1749" s="30" t="str">
        <f>IF($A1749="","",EDATE($A1749,12*$E$4))</f>
        <v/>
      </c>
      <c r="L1749" s="19" t="str">
        <f>IF($K1749="","",IF($K1749&gt;MAX($A$8:$A$5007),"",IFERROR(MATCH($K1749,$A$8:$A$5007,1),"")))</f>
        <v/>
      </c>
      <c r="M1749" s="30" t="str">
        <f>IF($L1749="","",INDEX($A$8:$A$5007,$L1749))</f>
        <v/>
      </c>
      <c r="N1749" s="31" t="str">
        <f>IF($L1749="","",INDEX($B$8:$B$5007,$L1749))</f>
        <v/>
      </c>
      <c r="O1749" s="32" t="str">
        <f>IF($M1749="","",IF($K1749-$M1749&gt;7,"",IF($M1749&lt;=$A1749,"",IF(OR($B1749&lt;=0,$N1749&lt;=0),"",($N1749/$B1749)^(365/($M1749-$A1749))-1))))</f>
        <v/>
      </c>
      <c r="P1749" s="31" t="str">
        <f>IF($B1749="","",IF($P1748="",$B1749,MAX($P1748,$B1749)))</f>
        <v/>
      </c>
      <c r="Q1749" s="32" t="str">
        <f>IF($P1749="","",$B1749/$P1749-1)</f>
        <v/>
      </c>
    </row>
    <row r="1750">
      <c r="A1750" s="11" t="n"/>
      <c r="B1750" s="29" t="n"/>
      <c r="K1750" s="30" t="str">
        <f>IF($A1750="","",EDATE($A1750,12*$E$4))</f>
        <v/>
      </c>
      <c r="L1750" s="19" t="str">
        <f>IF($K1750="","",IF($K1750&gt;MAX($A$8:$A$5007),"",IFERROR(MATCH($K1750,$A$8:$A$5007,1),"")))</f>
        <v/>
      </c>
      <c r="M1750" s="30" t="str">
        <f>IF($L1750="","",INDEX($A$8:$A$5007,$L1750))</f>
        <v/>
      </c>
      <c r="N1750" s="31" t="str">
        <f>IF($L1750="","",INDEX($B$8:$B$5007,$L1750))</f>
        <v/>
      </c>
      <c r="O1750" s="32" t="str">
        <f>IF($M1750="","",IF($K1750-$M1750&gt;7,"",IF($M1750&lt;=$A1750,"",IF(OR($B1750&lt;=0,$N1750&lt;=0),"",($N1750/$B1750)^(365/($M1750-$A1750))-1))))</f>
        <v/>
      </c>
      <c r="P1750" s="31" t="str">
        <f>IF($B1750="","",IF($P1749="",$B1750,MAX($P1749,$B1750)))</f>
        <v/>
      </c>
      <c r="Q1750" s="32" t="str">
        <f>IF($P1750="","",$B1750/$P1750-1)</f>
        <v/>
      </c>
    </row>
    <row r="1751">
      <c r="A1751" s="11" t="n"/>
      <c r="B1751" s="29" t="n"/>
      <c r="K1751" s="30" t="str">
        <f>IF($A1751="","",EDATE($A1751,12*$E$4))</f>
        <v/>
      </c>
      <c r="L1751" s="19" t="str">
        <f>IF($K1751="","",IF($K1751&gt;MAX($A$8:$A$5007),"",IFERROR(MATCH($K1751,$A$8:$A$5007,1),"")))</f>
        <v/>
      </c>
      <c r="M1751" s="30" t="str">
        <f>IF($L1751="","",INDEX($A$8:$A$5007,$L1751))</f>
        <v/>
      </c>
      <c r="N1751" s="31" t="str">
        <f>IF($L1751="","",INDEX($B$8:$B$5007,$L1751))</f>
        <v/>
      </c>
      <c r="O1751" s="32" t="str">
        <f>IF($M1751="","",IF($K1751-$M1751&gt;7,"",IF($M1751&lt;=$A1751,"",IF(OR($B1751&lt;=0,$N1751&lt;=0),"",($N1751/$B1751)^(365/($M1751-$A1751))-1))))</f>
        <v/>
      </c>
      <c r="P1751" s="31" t="str">
        <f>IF($B1751="","",IF($P1750="",$B1751,MAX($P1750,$B1751)))</f>
        <v/>
      </c>
      <c r="Q1751" s="32" t="str">
        <f>IF($P1751="","",$B1751/$P1751-1)</f>
        <v/>
      </c>
    </row>
    <row r="1752">
      <c r="A1752" s="11" t="n"/>
      <c r="B1752" s="29" t="n"/>
      <c r="K1752" s="30" t="str">
        <f>IF($A1752="","",EDATE($A1752,12*$E$4))</f>
        <v/>
      </c>
      <c r="L1752" s="19" t="str">
        <f>IF($K1752="","",IF($K1752&gt;MAX($A$8:$A$5007),"",IFERROR(MATCH($K1752,$A$8:$A$5007,1),"")))</f>
        <v/>
      </c>
      <c r="M1752" s="30" t="str">
        <f>IF($L1752="","",INDEX($A$8:$A$5007,$L1752))</f>
        <v/>
      </c>
      <c r="N1752" s="31" t="str">
        <f>IF($L1752="","",INDEX($B$8:$B$5007,$L1752))</f>
        <v/>
      </c>
      <c r="O1752" s="32" t="str">
        <f>IF($M1752="","",IF($K1752-$M1752&gt;7,"",IF($M1752&lt;=$A1752,"",IF(OR($B1752&lt;=0,$N1752&lt;=0),"",($N1752/$B1752)^(365/($M1752-$A1752))-1))))</f>
        <v/>
      </c>
      <c r="P1752" s="31" t="str">
        <f>IF($B1752="","",IF($P1751="",$B1752,MAX($P1751,$B1752)))</f>
        <v/>
      </c>
      <c r="Q1752" s="32" t="str">
        <f>IF($P1752="","",$B1752/$P1752-1)</f>
        <v/>
      </c>
    </row>
    <row r="1753">
      <c r="A1753" s="11" t="n"/>
      <c r="B1753" s="29" t="n"/>
      <c r="K1753" s="30" t="str">
        <f>IF($A1753="","",EDATE($A1753,12*$E$4))</f>
        <v/>
      </c>
      <c r="L1753" s="19" t="str">
        <f>IF($K1753="","",IF($K1753&gt;MAX($A$8:$A$5007),"",IFERROR(MATCH($K1753,$A$8:$A$5007,1),"")))</f>
        <v/>
      </c>
      <c r="M1753" s="30" t="str">
        <f>IF($L1753="","",INDEX($A$8:$A$5007,$L1753))</f>
        <v/>
      </c>
      <c r="N1753" s="31" t="str">
        <f>IF($L1753="","",INDEX($B$8:$B$5007,$L1753))</f>
        <v/>
      </c>
      <c r="O1753" s="32" t="str">
        <f>IF($M1753="","",IF($K1753-$M1753&gt;7,"",IF($M1753&lt;=$A1753,"",IF(OR($B1753&lt;=0,$N1753&lt;=0),"",($N1753/$B1753)^(365/($M1753-$A1753))-1))))</f>
        <v/>
      </c>
      <c r="P1753" s="31" t="str">
        <f>IF($B1753="","",IF($P1752="",$B1753,MAX($P1752,$B1753)))</f>
        <v/>
      </c>
      <c r="Q1753" s="32" t="str">
        <f>IF($P1753="","",$B1753/$P1753-1)</f>
        <v/>
      </c>
    </row>
    <row r="1754">
      <c r="A1754" s="11" t="n"/>
      <c r="B1754" s="29" t="n"/>
      <c r="K1754" s="30" t="str">
        <f>IF($A1754="","",EDATE($A1754,12*$E$4))</f>
        <v/>
      </c>
      <c r="L1754" s="19" t="str">
        <f>IF($K1754="","",IF($K1754&gt;MAX($A$8:$A$5007),"",IFERROR(MATCH($K1754,$A$8:$A$5007,1),"")))</f>
        <v/>
      </c>
      <c r="M1754" s="30" t="str">
        <f>IF($L1754="","",INDEX($A$8:$A$5007,$L1754))</f>
        <v/>
      </c>
      <c r="N1754" s="31" t="str">
        <f>IF($L1754="","",INDEX($B$8:$B$5007,$L1754))</f>
        <v/>
      </c>
      <c r="O1754" s="32" t="str">
        <f>IF($M1754="","",IF($K1754-$M1754&gt;7,"",IF($M1754&lt;=$A1754,"",IF(OR($B1754&lt;=0,$N1754&lt;=0),"",($N1754/$B1754)^(365/($M1754-$A1754))-1))))</f>
        <v/>
      </c>
      <c r="P1754" s="31" t="str">
        <f>IF($B1754="","",IF($P1753="",$B1754,MAX($P1753,$B1754)))</f>
        <v/>
      </c>
      <c r="Q1754" s="32" t="str">
        <f>IF($P1754="","",$B1754/$P1754-1)</f>
        <v/>
      </c>
    </row>
    <row r="1755">
      <c r="A1755" s="11" t="n"/>
      <c r="B1755" s="29" t="n"/>
      <c r="K1755" s="30" t="str">
        <f>IF($A1755="","",EDATE($A1755,12*$E$4))</f>
        <v/>
      </c>
      <c r="L1755" s="19" t="str">
        <f>IF($K1755="","",IF($K1755&gt;MAX($A$8:$A$5007),"",IFERROR(MATCH($K1755,$A$8:$A$5007,1),"")))</f>
        <v/>
      </c>
      <c r="M1755" s="30" t="str">
        <f>IF($L1755="","",INDEX($A$8:$A$5007,$L1755))</f>
        <v/>
      </c>
      <c r="N1755" s="31" t="str">
        <f>IF($L1755="","",INDEX($B$8:$B$5007,$L1755))</f>
        <v/>
      </c>
      <c r="O1755" s="32" t="str">
        <f>IF($M1755="","",IF($K1755-$M1755&gt;7,"",IF($M1755&lt;=$A1755,"",IF(OR($B1755&lt;=0,$N1755&lt;=0),"",($N1755/$B1755)^(365/($M1755-$A1755))-1))))</f>
        <v/>
      </c>
      <c r="P1755" s="31" t="str">
        <f>IF($B1755="","",IF($P1754="",$B1755,MAX($P1754,$B1755)))</f>
        <v/>
      </c>
      <c r="Q1755" s="32" t="str">
        <f>IF($P1755="","",$B1755/$P1755-1)</f>
        <v/>
      </c>
    </row>
    <row r="1756">
      <c r="A1756" s="11" t="n"/>
      <c r="B1756" s="29" t="n"/>
      <c r="K1756" s="30" t="str">
        <f>IF($A1756="","",EDATE($A1756,12*$E$4))</f>
        <v/>
      </c>
      <c r="L1756" s="19" t="str">
        <f>IF($K1756="","",IF($K1756&gt;MAX($A$8:$A$5007),"",IFERROR(MATCH($K1756,$A$8:$A$5007,1),"")))</f>
        <v/>
      </c>
      <c r="M1756" s="30" t="str">
        <f>IF($L1756="","",INDEX($A$8:$A$5007,$L1756))</f>
        <v/>
      </c>
      <c r="N1756" s="31" t="str">
        <f>IF($L1756="","",INDEX($B$8:$B$5007,$L1756))</f>
        <v/>
      </c>
      <c r="O1756" s="32" t="str">
        <f>IF($M1756="","",IF($K1756-$M1756&gt;7,"",IF($M1756&lt;=$A1756,"",IF(OR($B1756&lt;=0,$N1756&lt;=0),"",($N1756/$B1756)^(365/($M1756-$A1756))-1))))</f>
        <v/>
      </c>
      <c r="P1756" s="31" t="str">
        <f>IF($B1756="","",IF($P1755="",$B1756,MAX($P1755,$B1756)))</f>
        <v/>
      </c>
      <c r="Q1756" s="32" t="str">
        <f>IF($P1756="","",$B1756/$P1756-1)</f>
        <v/>
      </c>
    </row>
    <row r="1757">
      <c r="A1757" s="11" t="n"/>
      <c r="B1757" s="29" t="n"/>
      <c r="K1757" s="30" t="str">
        <f>IF($A1757="","",EDATE($A1757,12*$E$4))</f>
        <v/>
      </c>
      <c r="L1757" s="19" t="str">
        <f>IF($K1757="","",IF($K1757&gt;MAX($A$8:$A$5007),"",IFERROR(MATCH($K1757,$A$8:$A$5007,1),"")))</f>
        <v/>
      </c>
      <c r="M1757" s="30" t="str">
        <f>IF($L1757="","",INDEX($A$8:$A$5007,$L1757))</f>
        <v/>
      </c>
      <c r="N1757" s="31" t="str">
        <f>IF($L1757="","",INDEX($B$8:$B$5007,$L1757))</f>
        <v/>
      </c>
      <c r="O1757" s="32" t="str">
        <f>IF($M1757="","",IF($K1757-$M1757&gt;7,"",IF($M1757&lt;=$A1757,"",IF(OR($B1757&lt;=0,$N1757&lt;=0),"",($N1757/$B1757)^(365/($M1757-$A1757))-1))))</f>
        <v/>
      </c>
      <c r="P1757" s="31" t="str">
        <f>IF($B1757="","",IF($P1756="",$B1757,MAX($P1756,$B1757)))</f>
        <v/>
      </c>
      <c r="Q1757" s="32" t="str">
        <f>IF($P1757="","",$B1757/$P1757-1)</f>
        <v/>
      </c>
    </row>
    <row r="1758">
      <c r="A1758" s="11" t="n"/>
      <c r="B1758" s="29" t="n"/>
      <c r="K1758" s="30" t="str">
        <f>IF($A1758="","",EDATE($A1758,12*$E$4))</f>
        <v/>
      </c>
      <c r="L1758" s="19" t="str">
        <f>IF($K1758="","",IF($K1758&gt;MAX($A$8:$A$5007),"",IFERROR(MATCH($K1758,$A$8:$A$5007,1),"")))</f>
        <v/>
      </c>
      <c r="M1758" s="30" t="str">
        <f>IF($L1758="","",INDEX($A$8:$A$5007,$L1758))</f>
        <v/>
      </c>
      <c r="N1758" s="31" t="str">
        <f>IF($L1758="","",INDEX($B$8:$B$5007,$L1758))</f>
        <v/>
      </c>
      <c r="O1758" s="32" t="str">
        <f>IF($M1758="","",IF($K1758-$M1758&gt;7,"",IF($M1758&lt;=$A1758,"",IF(OR($B1758&lt;=0,$N1758&lt;=0),"",($N1758/$B1758)^(365/($M1758-$A1758))-1))))</f>
        <v/>
      </c>
      <c r="P1758" s="31" t="str">
        <f>IF($B1758="","",IF($P1757="",$B1758,MAX($P1757,$B1758)))</f>
        <v/>
      </c>
      <c r="Q1758" s="32" t="str">
        <f>IF($P1758="","",$B1758/$P1758-1)</f>
        <v/>
      </c>
    </row>
    <row r="1759">
      <c r="A1759" s="11" t="n"/>
      <c r="B1759" s="29" t="n"/>
      <c r="K1759" s="30" t="str">
        <f>IF($A1759="","",EDATE($A1759,12*$E$4))</f>
        <v/>
      </c>
      <c r="L1759" s="19" t="str">
        <f>IF($K1759="","",IF($K1759&gt;MAX($A$8:$A$5007),"",IFERROR(MATCH($K1759,$A$8:$A$5007,1),"")))</f>
        <v/>
      </c>
      <c r="M1759" s="30" t="str">
        <f>IF($L1759="","",INDEX($A$8:$A$5007,$L1759))</f>
        <v/>
      </c>
      <c r="N1759" s="31" t="str">
        <f>IF($L1759="","",INDEX($B$8:$B$5007,$L1759))</f>
        <v/>
      </c>
      <c r="O1759" s="32" t="str">
        <f>IF($M1759="","",IF($K1759-$M1759&gt;7,"",IF($M1759&lt;=$A1759,"",IF(OR($B1759&lt;=0,$N1759&lt;=0),"",($N1759/$B1759)^(365/($M1759-$A1759))-1))))</f>
        <v/>
      </c>
      <c r="P1759" s="31" t="str">
        <f>IF($B1759="","",IF($P1758="",$B1759,MAX($P1758,$B1759)))</f>
        <v/>
      </c>
      <c r="Q1759" s="32" t="str">
        <f>IF($P1759="","",$B1759/$P1759-1)</f>
        <v/>
      </c>
    </row>
    <row r="1760">
      <c r="A1760" s="11" t="n"/>
      <c r="B1760" s="29" t="n"/>
      <c r="K1760" s="30" t="str">
        <f>IF($A1760="","",EDATE($A1760,12*$E$4))</f>
        <v/>
      </c>
      <c r="L1760" s="19" t="str">
        <f>IF($K1760="","",IF($K1760&gt;MAX($A$8:$A$5007),"",IFERROR(MATCH($K1760,$A$8:$A$5007,1),"")))</f>
        <v/>
      </c>
      <c r="M1760" s="30" t="str">
        <f>IF($L1760="","",INDEX($A$8:$A$5007,$L1760))</f>
        <v/>
      </c>
      <c r="N1760" s="31" t="str">
        <f>IF($L1760="","",INDEX($B$8:$B$5007,$L1760))</f>
        <v/>
      </c>
      <c r="O1760" s="32" t="str">
        <f>IF($M1760="","",IF($K1760-$M1760&gt;7,"",IF($M1760&lt;=$A1760,"",IF(OR($B1760&lt;=0,$N1760&lt;=0),"",($N1760/$B1760)^(365/($M1760-$A1760))-1))))</f>
        <v/>
      </c>
      <c r="P1760" s="31" t="str">
        <f>IF($B1760="","",IF($P1759="",$B1760,MAX($P1759,$B1760)))</f>
        <v/>
      </c>
      <c r="Q1760" s="32" t="str">
        <f>IF($P1760="","",$B1760/$P1760-1)</f>
        <v/>
      </c>
    </row>
    <row r="1761">
      <c r="A1761" s="11" t="n"/>
      <c r="B1761" s="29" t="n"/>
      <c r="K1761" s="30" t="str">
        <f>IF($A1761="","",EDATE($A1761,12*$E$4))</f>
        <v/>
      </c>
      <c r="L1761" s="19" t="str">
        <f>IF($K1761="","",IF($K1761&gt;MAX($A$8:$A$5007),"",IFERROR(MATCH($K1761,$A$8:$A$5007,1),"")))</f>
        <v/>
      </c>
      <c r="M1761" s="30" t="str">
        <f>IF($L1761="","",INDEX($A$8:$A$5007,$L1761))</f>
        <v/>
      </c>
      <c r="N1761" s="31" t="str">
        <f>IF($L1761="","",INDEX($B$8:$B$5007,$L1761))</f>
        <v/>
      </c>
      <c r="O1761" s="32" t="str">
        <f>IF($M1761="","",IF($K1761-$M1761&gt;7,"",IF($M1761&lt;=$A1761,"",IF(OR($B1761&lt;=0,$N1761&lt;=0),"",($N1761/$B1761)^(365/($M1761-$A1761))-1))))</f>
        <v/>
      </c>
      <c r="P1761" s="31" t="str">
        <f>IF($B1761="","",IF($P1760="",$B1761,MAX($P1760,$B1761)))</f>
        <v/>
      </c>
      <c r="Q1761" s="32" t="str">
        <f>IF($P1761="","",$B1761/$P1761-1)</f>
        <v/>
      </c>
    </row>
    <row r="1762">
      <c r="A1762" s="11" t="n"/>
      <c r="B1762" s="29" t="n"/>
      <c r="K1762" s="30" t="str">
        <f>IF($A1762="","",EDATE($A1762,12*$E$4))</f>
        <v/>
      </c>
      <c r="L1762" s="19" t="str">
        <f>IF($K1762="","",IF($K1762&gt;MAX($A$8:$A$5007),"",IFERROR(MATCH($K1762,$A$8:$A$5007,1),"")))</f>
        <v/>
      </c>
      <c r="M1762" s="30" t="str">
        <f>IF($L1762="","",INDEX($A$8:$A$5007,$L1762))</f>
        <v/>
      </c>
      <c r="N1762" s="31" t="str">
        <f>IF($L1762="","",INDEX($B$8:$B$5007,$L1762))</f>
        <v/>
      </c>
      <c r="O1762" s="32" t="str">
        <f>IF($M1762="","",IF($K1762-$M1762&gt;7,"",IF($M1762&lt;=$A1762,"",IF(OR($B1762&lt;=0,$N1762&lt;=0),"",($N1762/$B1762)^(365/($M1762-$A1762))-1))))</f>
        <v/>
      </c>
      <c r="P1762" s="31" t="str">
        <f>IF($B1762="","",IF($P1761="",$B1762,MAX($P1761,$B1762)))</f>
        <v/>
      </c>
      <c r="Q1762" s="32" t="str">
        <f>IF($P1762="","",$B1762/$P1762-1)</f>
        <v/>
      </c>
    </row>
    <row r="1763">
      <c r="A1763" s="11" t="n"/>
      <c r="B1763" s="29" t="n"/>
      <c r="K1763" s="30" t="str">
        <f>IF($A1763="","",EDATE($A1763,12*$E$4))</f>
        <v/>
      </c>
      <c r="L1763" s="19" t="str">
        <f>IF($K1763="","",IF($K1763&gt;MAX($A$8:$A$5007),"",IFERROR(MATCH($K1763,$A$8:$A$5007,1),"")))</f>
        <v/>
      </c>
      <c r="M1763" s="30" t="str">
        <f>IF($L1763="","",INDEX($A$8:$A$5007,$L1763))</f>
        <v/>
      </c>
      <c r="N1763" s="31" t="str">
        <f>IF($L1763="","",INDEX($B$8:$B$5007,$L1763))</f>
        <v/>
      </c>
      <c r="O1763" s="32" t="str">
        <f>IF($M1763="","",IF($K1763-$M1763&gt;7,"",IF($M1763&lt;=$A1763,"",IF(OR($B1763&lt;=0,$N1763&lt;=0),"",($N1763/$B1763)^(365/($M1763-$A1763))-1))))</f>
        <v/>
      </c>
      <c r="P1763" s="31" t="str">
        <f>IF($B1763="","",IF($P1762="",$B1763,MAX($P1762,$B1763)))</f>
        <v/>
      </c>
      <c r="Q1763" s="32" t="str">
        <f>IF($P1763="","",$B1763/$P1763-1)</f>
        <v/>
      </c>
    </row>
    <row r="1764">
      <c r="A1764" s="11" t="n"/>
      <c r="B1764" s="29" t="n"/>
      <c r="K1764" s="30" t="str">
        <f>IF($A1764="","",EDATE($A1764,12*$E$4))</f>
        <v/>
      </c>
      <c r="L1764" s="19" t="str">
        <f>IF($K1764="","",IF($K1764&gt;MAX($A$8:$A$5007),"",IFERROR(MATCH($K1764,$A$8:$A$5007,1),"")))</f>
        <v/>
      </c>
      <c r="M1764" s="30" t="str">
        <f>IF($L1764="","",INDEX($A$8:$A$5007,$L1764))</f>
        <v/>
      </c>
      <c r="N1764" s="31" t="str">
        <f>IF($L1764="","",INDEX($B$8:$B$5007,$L1764))</f>
        <v/>
      </c>
      <c r="O1764" s="32" t="str">
        <f>IF($M1764="","",IF($K1764-$M1764&gt;7,"",IF($M1764&lt;=$A1764,"",IF(OR($B1764&lt;=0,$N1764&lt;=0),"",($N1764/$B1764)^(365/($M1764-$A1764))-1))))</f>
        <v/>
      </c>
      <c r="P1764" s="31" t="str">
        <f>IF($B1764="","",IF($P1763="",$B1764,MAX($P1763,$B1764)))</f>
        <v/>
      </c>
      <c r="Q1764" s="32" t="str">
        <f>IF($P1764="","",$B1764/$P1764-1)</f>
        <v/>
      </c>
    </row>
    <row r="1765">
      <c r="A1765" s="11" t="n"/>
      <c r="B1765" s="29" t="n"/>
      <c r="K1765" s="30" t="str">
        <f>IF($A1765="","",EDATE($A1765,12*$E$4))</f>
        <v/>
      </c>
      <c r="L1765" s="19" t="str">
        <f>IF($K1765="","",IF($K1765&gt;MAX($A$8:$A$5007),"",IFERROR(MATCH($K1765,$A$8:$A$5007,1),"")))</f>
        <v/>
      </c>
      <c r="M1765" s="30" t="str">
        <f>IF($L1765="","",INDEX($A$8:$A$5007,$L1765))</f>
        <v/>
      </c>
      <c r="N1765" s="31" t="str">
        <f>IF($L1765="","",INDEX($B$8:$B$5007,$L1765))</f>
        <v/>
      </c>
      <c r="O1765" s="32" t="str">
        <f>IF($M1765="","",IF($K1765-$M1765&gt;7,"",IF($M1765&lt;=$A1765,"",IF(OR($B1765&lt;=0,$N1765&lt;=0),"",($N1765/$B1765)^(365/($M1765-$A1765))-1))))</f>
        <v/>
      </c>
      <c r="P1765" s="31" t="str">
        <f>IF($B1765="","",IF($P1764="",$B1765,MAX($P1764,$B1765)))</f>
        <v/>
      </c>
      <c r="Q1765" s="32" t="str">
        <f>IF($P1765="","",$B1765/$P1765-1)</f>
        <v/>
      </c>
    </row>
    <row r="1766">
      <c r="A1766" s="11" t="n"/>
      <c r="B1766" s="29" t="n"/>
      <c r="K1766" s="30" t="str">
        <f>IF($A1766="","",EDATE($A1766,12*$E$4))</f>
        <v/>
      </c>
      <c r="L1766" s="19" t="str">
        <f>IF($K1766="","",IF($K1766&gt;MAX($A$8:$A$5007),"",IFERROR(MATCH($K1766,$A$8:$A$5007,1),"")))</f>
        <v/>
      </c>
      <c r="M1766" s="30" t="str">
        <f>IF($L1766="","",INDEX($A$8:$A$5007,$L1766))</f>
        <v/>
      </c>
      <c r="N1766" s="31" t="str">
        <f>IF($L1766="","",INDEX($B$8:$B$5007,$L1766))</f>
        <v/>
      </c>
      <c r="O1766" s="32" t="str">
        <f>IF($M1766="","",IF($K1766-$M1766&gt;7,"",IF($M1766&lt;=$A1766,"",IF(OR($B1766&lt;=0,$N1766&lt;=0),"",($N1766/$B1766)^(365/($M1766-$A1766))-1))))</f>
        <v/>
      </c>
      <c r="P1766" s="31" t="str">
        <f>IF($B1766="","",IF($P1765="",$B1766,MAX($P1765,$B1766)))</f>
        <v/>
      </c>
      <c r="Q1766" s="32" t="str">
        <f>IF($P1766="","",$B1766/$P1766-1)</f>
        <v/>
      </c>
    </row>
    <row r="1767">
      <c r="A1767" s="11" t="n"/>
      <c r="B1767" s="29" t="n"/>
      <c r="K1767" s="30" t="str">
        <f>IF($A1767="","",EDATE($A1767,12*$E$4))</f>
        <v/>
      </c>
      <c r="L1767" s="19" t="str">
        <f>IF($K1767="","",IF($K1767&gt;MAX($A$8:$A$5007),"",IFERROR(MATCH($K1767,$A$8:$A$5007,1),"")))</f>
        <v/>
      </c>
      <c r="M1767" s="30" t="str">
        <f>IF($L1767="","",INDEX($A$8:$A$5007,$L1767))</f>
        <v/>
      </c>
      <c r="N1767" s="31" t="str">
        <f>IF($L1767="","",INDEX($B$8:$B$5007,$L1767))</f>
        <v/>
      </c>
      <c r="O1767" s="32" t="str">
        <f>IF($M1767="","",IF($K1767-$M1767&gt;7,"",IF($M1767&lt;=$A1767,"",IF(OR($B1767&lt;=0,$N1767&lt;=0),"",($N1767/$B1767)^(365/($M1767-$A1767))-1))))</f>
        <v/>
      </c>
      <c r="P1767" s="31" t="str">
        <f>IF($B1767="","",IF($P1766="",$B1767,MAX($P1766,$B1767)))</f>
        <v/>
      </c>
      <c r="Q1767" s="32" t="str">
        <f>IF($P1767="","",$B1767/$P1767-1)</f>
        <v/>
      </c>
    </row>
    <row r="1768">
      <c r="A1768" s="11" t="n"/>
      <c r="B1768" s="29" t="n"/>
      <c r="K1768" s="30" t="str">
        <f>IF($A1768="","",EDATE($A1768,12*$E$4))</f>
        <v/>
      </c>
      <c r="L1768" s="19" t="str">
        <f>IF($K1768="","",IF($K1768&gt;MAX($A$8:$A$5007),"",IFERROR(MATCH($K1768,$A$8:$A$5007,1),"")))</f>
        <v/>
      </c>
      <c r="M1768" s="30" t="str">
        <f>IF($L1768="","",INDEX($A$8:$A$5007,$L1768))</f>
        <v/>
      </c>
      <c r="N1768" s="31" t="str">
        <f>IF($L1768="","",INDEX($B$8:$B$5007,$L1768))</f>
        <v/>
      </c>
      <c r="O1768" s="32" t="str">
        <f>IF($M1768="","",IF($K1768-$M1768&gt;7,"",IF($M1768&lt;=$A1768,"",IF(OR($B1768&lt;=0,$N1768&lt;=0),"",($N1768/$B1768)^(365/($M1768-$A1768))-1))))</f>
        <v/>
      </c>
      <c r="P1768" s="31" t="str">
        <f>IF($B1768="","",IF($P1767="",$B1768,MAX($P1767,$B1768)))</f>
        <v/>
      </c>
      <c r="Q1768" s="32" t="str">
        <f>IF($P1768="","",$B1768/$P1768-1)</f>
        <v/>
      </c>
    </row>
    <row r="1769">
      <c r="A1769" s="11" t="n"/>
      <c r="B1769" s="29" t="n"/>
      <c r="K1769" s="30" t="str">
        <f>IF($A1769="","",EDATE($A1769,12*$E$4))</f>
        <v/>
      </c>
      <c r="L1769" s="19" t="str">
        <f>IF($K1769="","",IF($K1769&gt;MAX($A$8:$A$5007),"",IFERROR(MATCH($K1769,$A$8:$A$5007,1),"")))</f>
        <v/>
      </c>
      <c r="M1769" s="30" t="str">
        <f>IF($L1769="","",INDEX($A$8:$A$5007,$L1769))</f>
        <v/>
      </c>
      <c r="N1769" s="31" t="str">
        <f>IF($L1769="","",INDEX($B$8:$B$5007,$L1769))</f>
        <v/>
      </c>
      <c r="O1769" s="32" t="str">
        <f>IF($M1769="","",IF($K1769-$M1769&gt;7,"",IF($M1769&lt;=$A1769,"",IF(OR($B1769&lt;=0,$N1769&lt;=0),"",($N1769/$B1769)^(365/($M1769-$A1769))-1))))</f>
        <v/>
      </c>
      <c r="P1769" s="31" t="str">
        <f>IF($B1769="","",IF($P1768="",$B1769,MAX($P1768,$B1769)))</f>
        <v/>
      </c>
      <c r="Q1769" s="32" t="str">
        <f>IF($P1769="","",$B1769/$P1769-1)</f>
        <v/>
      </c>
    </row>
    <row r="1770">
      <c r="A1770" s="11" t="n"/>
      <c r="B1770" s="29" t="n"/>
      <c r="K1770" s="30" t="str">
        <f>IF($A1770="","",EDATE($A1770,12*$E$4))</f>
        <v/>
      </c>
      <c r="L1770" s="19" t="str">
        <f>IF($K1770="","",IF($K1770&gt;MAX($A$8:$A$5007),"",IFERROR(MATCH($K1770,$A$8:$A$5007,1),"")))</f>
        <v/>
      </c>
      <c r="M1770" s="30" t="str">
        <f>IF($L1770="","",INDEX($A$8:$A$5007,$L1770))</f>
        <v/>
      </c>
      <c r="N1770" s="31" t="str">
        <f>IF($L1770="","",INDEX($B$8:$B$5007,$L1770))</f>
        <v/>
      </c>
      <c r="O1770" s="32" t="str">
        <f>IF($M1770="","",IF($K1770-$M1770&gt;7,"",IF($M1770&lt;=$A1770,"",IF(OR($B1770&lt;=0,$N1770&lt;=0),"",($N1770/$B1770)^(365/($M1770-$A1770))-1))))</f>
        <v/>
      </c>
      <c r="P1770" s="31" t="str">
        <f>IF($B1770="","",IF($P1769="",$B1770,MAX($P1769,$B1770)))</f>
        <v/>
      </c>
      <c r="Q1770" s="32" t="str">
        <f>IF($P1770="","",$B1770/$P1770-1)</f>
        <v/>
      </c>
    </row>
    <row r="1771">
      <c r="A1771" s="11" t="n"/>
      <c r="B1771" s="29" t="n"/>
      <c r="K1771" s="30" t="str">
        <f>IF($A1771="","",EDATE($A1771,12*$E$4))</f>
        <v/>
      </c>
      <c r="L1771" s="19" t="str">
        <f>IF($K1771="","",IF($K1771&gt;MAX($A$8:$A$5007),"",IFERROR(MATCH($K1771,$A$8:$A$5007,1),"")))</f>
        <v/>
      </c>
      <c r="M1771" s="30" t="str">
        <f>IF($L1771="","",INDEX($A$8:$A$5007,$L1771))</f>
        <v/>
      </c>
      <c r="N1771" s="31" t="str">
        <f>IF($L1771="","",INDEX($B$8:$B$5007,$L1771))</f>
        <v/>
      </c>
      <c r="O1771" s="32" t="str">
        <f>IF($M1771="","",IF($K1771-$M1771&gt;7,"",IF($M1771&lt;=$A1771,"",IF(OR($B1771&lt;=0,$N1771&lt;=0),"",($N1771/$B1771)^(365/($M1771-$A1771))-1))))</f>
        <v/>
      </c>
      <c r="P1771" s="31" t="str">
        <f>IF($B1771="","",IF($P1770="",$B1771,MAX($P1770,$B1771)))</f>
        <v/>
      </c>
      <c r="Q1771" s="32" t="str">
        <f>IF($P1771="","",$B1771/$P1771-1)</f>
        <v/>
      </c>
    </row>
    <row r="1772">
      <c r="A1772" s="11" t="n"/>
      <c r="B1772" s="29" t="n"/>
      <c r="K1772" s="30" t="str">
        <f>IF($A1772="","",EDATE($A1772,12*$E$4))</f>
        <v/>
      </c>
      <c r="L1772" s="19" t="str">
        <f>IF($K1772="","",IF($K1772&gt;MAX($A$8:$A$5007),"",IFERROR(MATCH($K1772,$A$8:$A$5007,1),"")))</f>
        <v/>
      </c>
      <c r="M1772" s="30" t="str">
        <f>IF($L1772="","",INDEX($A$8:$A$5007,$L1772))</f>
        <v/>
      </c>
      <c r="N1772" s="31" t="str">
        <f>IF($L1772="","",INDEX($B$8:$B$5007,$L1772))</f>
        <v/>
      </c>
      <c r="O1772" s="32" t="str">
        <f>IF($M1772="","",IF($K1772-$M1772&gt;7,"",IF($M1772&lt;=$A1772,"",IF(OR($B1772&lt;=0,$N1772&lt;=0),"",($N1772/$B1772)^(365/($M1772-$A1772))-1))))</f>
        <v/>
      </c>
      <c r="P1772" s="31" t="str">
        <f>IF($B1772="","",IF($P1771="",$B1772,MAX($P1771,$B1772)))</f>
        <v/>
      </c>
      <c r="Q1772" s="32" t="str">
        <f>IF($P1772="","",$B1772/$P1772-1)</f>
        <v/>
      </c>
    </row>
    <row r="1773">
      <c r="A1773" s="11" t="n"/>
      <c r="B1773" s="29" t="n"/>
      <c r="K1773" s="30" t="str">
        <f>IF($A1773="","",EDATE($A1773,12*$E$4))</f>
        <v/>
      </c>
      <c r="L1773" s="19" t="str">
        <f>IF($K1773="","",IF($K1773&gt;MAX($A$8:$A$5007),"",IFERROR(MATCH($K1773,$A$8:$A$5007,1),"")))</f>
        <v/>
      </c>
      <c r="M1773" s="30" t="str">
        <f>IF($L1773="","",INDEX($A$8:$A$5007,$L1773))</f>
        <v/>
      </c>
      <c r="N1773" s="31" t="str">
        <f>IF($L1773="","",INDEX($B$8:$B$5007,$L1773))</f>
        <v/>
      </c>
      <c r="O1773" s="32" t="str">
        <f>IF($M1773="","",IF($K1773-$M1773&gt;7,"",IF($M1773&lt;=$A1773,"",IF(OR($B1773&lt;=0,$N1773&lt;=0),"",($N1773/$B1773)^(365/($M1773-$A1773))-1))))</f>
        <v/>
      </c>
      <c r="P1773" s="31" t="str">
        <f>IF($B1773="","",IF($P1772="",$B1773,MAX($P1772,$B1773)))</f>
        <v/>
      </c>
      <c r="Q1773" s="32" t="str">
        <f>IF($P1773="","",$B1773/$P1773-1)</f>
        <v/>
      </c>
    </row>
    <row r="1774">
      <c r="A1774" s="11" t="n"/>
      <c r="B1774" s="29" t="n"/>
      <c r="K1774" s="30" t="str">
        <f>IF($A1774="","",EDATE($A1774,12*$E$4))</f>
        <v/>
      </c>
      <c r="L1774" s="19" t="str">
        <f>IF($K1774="","",IF($K1774&gt;MAX($A$8:$A$5007),"",IFERROR(MATCH($K1774,$A$8:$A$5007,1),"")))</f>
        <v/>
      </c>
      <c r="M1774" s="30" t="str">
        <f>IF($L1774="","",INDEX($A$8:$A$5007,$L1774))</f>
        <v/>
      </c>
      <c r="N1774" s="31" t="str">
        <f>IF($L1774="","",INDEX($B$8:$B$5007,$L1774))</f>
        <v/>
      </c>
      <c r="O1774" s="32" t="str">
        <f>IF($M1774="","",IF($K1774-$M1774&gt;7,"",IF($M1774&lt;=$A1774,"",IF(OR($B1774&lt;=0,$N1774&lt;=0),"",($N1774/$B1774)^(365/($M1774-$A1774))-1))))</f>
        <v/>
      </c>
      <c r="P1774" s="31" t="str">
        <f>IF($B1774="","",IF($P1773="",$B1774,MAX($P1773,$B1774)))</f>
        <v/>
      </c>
      <c r="Q1774" s="32" t="str">
        <f>IF($P1774="","",$B1774/$P1774-1)</f>
        <v/>
      </c>
    </row>
    <row r="1775">
      <c r="A1775" s="11" t="n"/>
      <c r="B1775" s="29" t="n"/>
      <c r="K1775" s="30" t="str">
        <f>IF($A1775="","",EDATE($A1775,12*$E$4))</f>
        <v/>
      </c>
      <c r="L1775" s="19" t="str">
        <f>IF($K1775="","",IF($K1775&gt;MAX($A$8:$A$5007),"",IFERROR(MATCH($K1775,$A$8:$A$5007,1),"")))</f>
        <v/>
      </c>
      <c r="M1775" s="30" t="str">
        <f>IF($L1775="","",INDEX($A$8:$A$5007,$L1775))</f>
        <v/>
      </c>
      <c r="N1775" s="31" t="str">
        <f>IF($L1775="","",INDEX($B$8:$B$5007,$L1775))</f>
        <v/>
      </c>
      <c r="O1775" s="32" t="str">
        <f>IF($M1775="","",IF($K1775-$M1775&gt;7,"",IF($M1775&lt;=$A1775,"",IF(OR($B1775&lt;=0,$N1775&lt;=0),"",($N1775/$B1775)^(365/($M1775-$A1775))-1))))</f>
        <v/>
      </c>
      <c r="P1775" s="31" t="str">
        <f>IF($B1775="","",IF($P1774="",$B1775,MAX($P1774,$B1775)))</f>
        <v/>
      </c>
      <c r="Q1775" s="32" t="str">
        <f>IF($P1775="","",$B1775/$P1775-1)</f>
        <v/>
      </c>
    </row>
    <row r="1776">
      <c r="A1776" s="11" t="n"/>
      <c r="B1776" s="29" t="n"/>
      <c r="K1776" s="30" t="str">
        <f>IF($A1776="","",EDATE($A1776,12*$E$4))</f>
        <v/>
      </c>
      <c r="L1776" s="19" t="str">
        <f>IF($K1776="","",IF($K1776&gt;MAX($A$8:$A$5007),"",IFERROR(MATCH($K1776,$A$8:$A$5007,1),"")))</f>
        <v/>
      </c>
      <c r="M1776" s="30" t="str">
        <f>IF($L1776="","",INDEX($A$8:$A$5007,$L1776))</f>
        <v/>
      </c>
      <c r="N1776" s="31" t="str">
        <f>IF($L1776="","",INDEX($B$8:$B$5007,$L1776))</f>
        <v/>
      </c>
      <c r="O1776" s="32" t="str">
        <f>IF($M1776="","",IF($K1776-$M1776&gt;7,"",IF($M1776&lt;=$A1776,"",IF(OR($B1776&lt;=0,$N1776&lt;=0),"",($N1776/$B1776)^(365/($M1776-$A1776))-1))))</f>
        <v/>
      </c>
      <c r="P1776" s="31" t="str">
        <f>IF($B1776="","",IF($P1775="",$B1776,MAX($P1775,$B1776)))</f>
        <v/>
      </c>
      <c r="Q1776" s="32" t="str">
        <f>IF($P1776="","",$B1776/$P1776-1)</f>
        <v/>
      </c>
    </row>
    <row r="1777">
      <c r="A1777" s="11" t="n"/>
      <c r="B1777" s="29" t="n"/>
      <c r="K1777" s="30" t="str">
        <f>IF($A1777="","",EDATE($A1777,12*$E$4))</f>
        <v/>
      </c>
      <c r="L1777" s="19" t="str">
        <f>IF($K1777="","",IF($K1777&gt;MAX($A$8:$A$5007),"",IFERROR(MATCH($K1777,$A$8:$A$5007,1),"")))</f>
        <v/>
      </c>
      <c r="M1777" s="30" t="str">
        <f>IF($L1777="","",INDEX($A$8:$A$5007,$L1777))</f>
        <v/>
      </c>
      <c r="N1777" s="31" t="str">
        <f>IF($L1777="","",INDEX($B$8:$B$5007,$L1777))</f>
        <v/>
      </c>
      <c r="O1777" s="32" t="str">
        <f>IF($M1777="","",IF($K1777-$M1777&gt;7,"",IF($M1777&lt;=$A1777,"",IF(OR($B1777&lt;=0,$N1777&lt;=0),"",($N1777/$B1777)^(365/($M1777-$A1777))-1))))</f>
        <v/>
      </c>
      <c r="P1777" s="31" t="str">
        <f>IF($B1777="","",IF($P1776="",$B1777,MAX($P1776,$B1777)))</f>
        <v/>
      </c>
      <c r="Q1777" s="32" t="str">
        <f>IF($P1777="","",$B1777/$P1777-1)</f>
        <v/>
      </c>
    </row>
    <row r="1778">
      <c r="A1778" s="11" t="n"/>
      <c r="B1778" s="29" t="n"/>
      <c r="K1778" s="30" t="str">
        <f>IF($A1778="","",EDATE($A1778,12*$E$4))</f>
        <v/>
      </c>
      <c r="L1778" s="19" t="str">
        <f>IF($K1778="","",IF($K1778&gt;MAX($A$8:$A$5007),"",IFERROR(MATCH($K1778,$A$8:$A$5007,1),"")))</f>
        <v/>
      </c>
      <c r="M1778" s="30" t="str">
        <f>IF($L1778="","",INDEX($A$8:$A$5007,$L1778))</f>
        <v/>
      </c>
      <c r="N1778" s="31" t="str">
        <f>IF($L1778="","",INDEX($B$8:$B$5007,$L1778))</f>
        <v/>
      </c>
      <c r="O1778" s="32" t="str">
        <f>IF($M1778="","",IF($K1778-$M1778&gt;7,"",IF($M1778&lt;=$A1778,"",IF(OR($B1778&lt;=0,$N1778&lt;=0),"",($N1778/$B1778)^(365/($M1778-$A1778))-1))))</f>
        <v/>
      </c>
      <c r="P1778" s="31" t="str">
        <f>IF($B1778="","",IF($P1777="",$B1778,MAX($P1777,$B1778)))</f>
        <v/>
      </c>
      <c r="Q1778" s="32" t="str">
        <f>IF($P1778="","",$B1778/$P1778-1)</f>
        <v/>
      </c>
    </row>
    <row r="1779">
      <c r="A1779" s="11" t="n"/>
      <c r="B1779" s="29" t="n"/>
      <c r="K1779" s="30" t="str">
        <f>IF($A1779="","",EDATE($A1779,12*$E$4))</f>
        <v/>
      </c>
      <c r="L1779" s="19" t="str">
        <f>IF($K1779="","",IF($K1779&gt;MAX($A$8:$A$5007),"",IFERROR(MATCH($K1779,$A$8:$A$5007,1),"")))</f>
        <v/>
      </c>
      <c r="M1779" s="30" t="str">
        <f>IF($L1779="","",INDEX($A$8:$A$5007,$L1779))</f>
        <v/>
      </c>
      <c r="N1779" s="31" t="str">
        <f>IF($L1779="","",INDEX($B$8:$B$5007,$L1779))</f>
        <v/>
      </c>
      <c r="O1779" s="32" t="str">
        <f>IF($M1779="","",IF($K1779-$M1779&gt;7,"",IF($M1779&lt;=$A1779,"",IF(OR($B1779&lt;=0,$N1779&lt;=0),"",($N1779/$B1779)^(365/($M1779-$A1779))-1))))</f>
        <v/>
      </c>
      <c r="P1779" s="31" t="str">
        <f>IF($B1779="","",IF($P1778="",$B1779,MAX($P1778,$B1779)))</f>
        <v/>
      </c>
      <c r="Q1779" s="32" t="str">
        <f>IF($P1779="","",$B1779/$P1779-1)</f>
        <v/>
      </c>
    </row>
    <row r="1780">
      <c r="A1780" s="11" t="n"/>
      <c r="B1780" s="29" t="n"/>
      <c r="K1780" s="30" t="str">
        <f>IF($A1780="","",EDATE($A1780,12*$E$4))</f>
        <v/>
      </c>
      <c r="L1780" s="19" t="str">
        <f>IF($K1780="","",IF($K1780&gt;MAX($A$8:$A$5007),"",IFERROR(MATCH($K1780,$A$8:$A$5007,1),"")))</f>
        <v/>
      </c>
      <c r="M1780" s="30" t="str">
        <f>IF($L1780="","",INDEX($A$8:$A$5007,$L1780))</f>
        <v/>
      </c>
      <c r="N1780" s="31" t="str">
        <f>IF($L1780="","",INDEX($B$8:$B$5007,$L1780))</f>
        <v/>
      </c>
      <c r="O1780" s="32" t="str">
        <f>IF($M1780="","",IF($K1780-$M1780&gt;7,"",IF($M1780&lt;=$A1780,"",IF(OR($B1780&lt;=0,$N1780&lt;=0),"",($N1780/$B1780)^(365/($M1780-$A1780))-1))))</f>
        <v/>
      </c>
      <c r="P1780" s="31" t="str">
        <f>IF($B1780="","",IF($P1779="",$B1780,MAX($P1779,$B1780)))</f>
        <v/>
      </c>
      <c r="Q1780" s="32" t="str">
        <f>IF($P1780="","",$B1780/$P1780-1)</f>
        <v/>
      </c>
    </row>
    <row r="1781">
      <c r="A1781" s="11" t="n"/>
      <c r="B1781" s="29" t="n"/>
      <c r="K1781" s="30" t="str">
        <f>IF($A1781="","",EDATE($A1781,12*$E$4))</f>
        <v/>
      </c>
      <c r="L1781" s="19" t="str">
        <f>IF($K1781="","",IF($K1781&gt;MAX($A$8:$A$5007),"",IFERROR(MATCH($K1781,$A$8:$A$5007,1),"")))</f>
        <v/>
      </c>
      <c r="M1781" s="30" t="str">
        <f>IF($L1781="","",INDEX($A$8:$A$5007,$L1781))</f>
        <v/>
      </c>
      <c r="N1781" s="31" t="str">
        <f>IF($L1781="","",INDEX($B$8:$B$5007,$L1781))</f>
        <v/>
      </c>
      <c r="O1781" s="32" t="str">
        <f>IF($M1781="","",IF($K1781-$M1781&gt;7,"",IF($M1781&lt;=$A1781,"",IF(OR($B1781&lt;=0,$N1781&lt;=0),"",($N1781/$B1781)^(365/($M1781-$A1781))-1))))</f>
        <v/>
      </c>
      <c r="P1781" s="31" t="str">
        <f>IF($B1781="","",IF($P1780="",$B1781,MAX($P1780,$B1781)))</f>
        <v/>
      </c>
      <c r="Q1781" s="32" t="str">
        <f>IF($P1781="","",$B1781/$P1781-1)</f>
        <v/>
      </c>
    </row>
    <row r="1782">
      <c r="A1782" s="11" t="n"/>
      <c r="B1782" s="29" t="n"/>
      <c r="K1782" s="30" t="str">
        <f>IF($A1782="","",EDATE($A1782,12*$E$4))</f>
        <v/>
      </c>
      <c r="L1782" s="19" t="str">
        <f>IF($K1782="","",IF($K1782&gt;MAX($A$8:$A$5007),"",IFERROR(MATCH($K1782,$A$8:$A$5007,1),"")))</f>
        <v/>
      </c>
      <c r="M1782" s="30" t="str">
        <f>IF($L1782="","",INDEX($A$8:$A$5007,$L1782))</f>
        <v/>
      </c>
      <c r="N1782" s="31" t="str">
        <f>IF($L1782="","",INDEX($B$8:$B$5007,$L1782))</f>
        <v/>
      </c>
      <c r="O1782" s="32" t="str">
        <f>IF($M1782="","",IF($K1782-$M1782&gt;7,"",IF($M1782&lt;=$A1782,"",IF(OR($B1782&lt;=0,$N1782&lt;=0),"",($N1782/$B1782)^(365/($M1782-$A1782))-1))))</f>
        <v/>
      </c>
      <c r="P1782" s="31" t="str">
        <f>IF($B1782="","",IF($P1781="",$B1782,MAX($P1781,$B1782)))</f>
        <v/>
      </c>
      <c r="Q1782" s="32" t="str">
        <f>IF($P1782="","",$B1782/$P1782-1)</f>
        <v/>
      </c>
    </row>
    <row r="1783">
      <c r="A1783" s="11" t="n"/>
      <c r="B1783" s="29" t="n"/>
      <c r="K1783" s="30" t="str">
        <f>IF($A1783="","",EDATE($A1783,12*$E$4))</f>
        <v/>
      </c>
      <c r="L1783" s="19" t="str">
        <f>IF($K1783="","",IF($K1783&gt;MAX($A$8:$A$5007),"",IFERROR(MATCH($K1783,$A$8:$A$5007,1),"")))</f>
        <v/>
      </c>
      <c r="M1783" s="30" t="str">
        <f>IF($L1783="","",INDEX($A$8:$A$5007,$L1783))</f>
        <v/>
      </c>
      <c r="N1783" s="31" t="str">
        <f>IF($L1783="","",INDEX($B$8:$B$5007,$L1783))</f>
        <v/>
      </c>
      <c r="O1783" s="32" t="str">
        <f>IF($M1783="","",IF($K1783-$M1783&gt;7,"",IF($M1783&lt;=$A1783,"",IF(OR($B1783&lt;=0,$N1783&lt;=0),"",($N1783/$B1783)^(365/($M1783-$A1783))-1))))</f>
        <v/>
      </c>
      <c r="P1783" s="31" t="str">
        <f>IF($B1783="","",IF($P1782="",$B1783,MAX($P1782,$B1783)))</f>
        <v/>
      </c>
      <c r="Q1783" s="32" t="str">
        <f>IF($P1783="","",$B1783/$P1783-1)</f>
        <v/>
      </c>
    </row>
    <row r="1784">
      <c r="A1784" s="11" t="n"/>
      <c r="B1784" s="29" t="n"/>
      <c r="K1784" s="30" t="str">
        <f>IF($A1784="","",EDATE($A1784,12*$E$4))</f>
        <v/>
      </c>
      <c r="L1784" s="19" t="str">
        <f>IF($K1784="","",IF($K1784&gt;MAX($A$8:$A$5007),"",IFERROR(MATCH($K1784,$A$8:$A$5007,1),"")))</f>
        <v/>
      </c>
      <c r="M1784" s="30" t="str">
        <f>IF($L1784="","",INDEX($A$8:$A$5007,$L1784))</f>
        <v/>
      </c>
      <c r="N1784" s="31" t="str">
        <f>IF($L1784="","",INDEX($B$8:$B$5007,$L1784))</f>
        <v/>
      </c>
      <c r="O1784" s="32" t="str">
        <f>IF($M1784="","",IF($K1784-$M1784&gt;7,"",IF($M1784&lt;=$A1784,"",IF(OR($B1784&lt;=0,$N1784&lt;=0),"",($N1784/$B1784)^(365/($M1784-$A1784))-1))))</f>
        <v/>
      </c>
      <c r="P1784" s="31" t="str">
        <f>IF($B1784="","",IF($P1783="",$B1784,MAX($P1783,$B1784)))</f>
        <v/>
      </c>
      <c r="Q1784" s="32" t="str">
        <f>IF($P1784="","",$B1784/$P1784-1)</f>
        <v/>
      </c>
    </row>
    <row r="1785">
      <c r="A1785" s="11" t="n"/>
      <c r="B1785" s="29" t="n"/>
      <c r="K1785" s="30" t="str">
        <f>IF($A1785="","",EDATE($A1785,12*$E$4))</f>
        <v/>
      </c>
      <c r="L1785" s="19" t="str">
        <f>IF($K1785="","",IF($K1785&gt;MAX($A$8:$A$5007),"",IFERROR(MATCH($K1785,$A$8:$A$5007,1),"")))</f>
        <v/>
      </c>
      <c r="M1785" s="30" t="str">
        <f>IF($L1785="","",INDEX($A$8:$A$5007,$L1785))</f>
        <v/>
      </c>
      <c r="N1785" s="31" t="str">
        <f>IF($L1785="","",INDEX($B$8:$B$5007,$L1785))</f>
        <v/>
      </c>
      <c r="O1785" s="32" t="str">
        <f>IF($M1785="","",IF($K1785-$M1785&gt;7,"",IF($M1785&lt;=$A1785,"",IF(OR($B1785&lt;=0,$N1785&lt;=0),"",($N1785/$B1785)^(365/($M1785-$A1785))-1))))</f>
        <v/>
      </c>
      <c r="P1785" s="31" t="str">
        <f>IF($B1785="","",IF($P1784="",$B1785,MAX($P1784,$B1785)))</f>
        <v/>
      </c>
      <c r="Q1785" s="32" t="str">
        <f>IF($P1785="","",$B1785/$P1785-1)</f>
        <v/>
      </c>
    </row>
    <row r="1786">
      <c r="A1786" s="11" t="n"/>
      <c r="B1786" s="29" t="n"/>
      <c r="K1786" s="30" t="str">
        <f>IF($A1786="","",EDATE($A1786,12*$E$4))</f>
        <v/>
      </c>
      <c r="L1786" s="19" t="str">
        <f>IF($K1786="","",IF($K1786&gt;MAX($A$8:$A$5007),"",IFERROR(MATCH($K1786,$A$8:$A$5007,1),"")))</f>
        <v/>
      </c>
      <c r="M1786" s="30" t="str">
        <f>IF($L1786="","",INDEX($A$8:$A$5007,$L1786))</f>
        <v/>
      </c>
      <c r="N1786" s="31" t="str">
        <f>IF($L1786="","",INDEX($B$8:$B$5007,$L1786))</f>
        <v/>
      </c>
      <c r="O1786" s="32" t="str">
        <f>IF($M1786="","",IF($K1786-$M1786&gt;7,"",IF($M1786&lt;=$A1786,"",IF(OR($B1786&lt;=0,$N1786&lt;=0),"",($N1786/$B1786)^(365/($M1786-$A1786))-1))))</f>
        <v/>
      </c>
      <c r="P1786" s="31" t="str">
        <f>IF($B1786="","",IF($P1785="",$B1786,MAX($P1785,$B1786)))</f>
        <v/>
      </c>
      <c r="Q1786" s="32" t="str">
        <f>IF($P1786="","",$B1786/$P1786-1)</f>
        <v/>
      </c>
    </row>
    <row r="1787">
      <c r="A1787" s="11" t="n"/>
      <c r="B1787" s="29" t="n"/>
      <c r="K1787" s="30" t="str">
        <f>IF($A1787="","",EDATE($A1787,12*$E$4))</f>
        <v/>
      </c>
      <c r="L1787" s="19" t="str">
        <f>IF($K1787="","",IF($K1787&gt;MAX($A$8:$A$5007),"",IFERROR(MATCH($K1787,$A$8:$A$5007,1),"")))</f>
        <v/>
      </c>
      <c r="M1787" s="30" t="str">
        <f>IF($L1787="","",INDEX($A$8:$A$5007,$L1787))</f>
        <v/>
      </c>
      <c r="N1787" s="31" t="str">
        <f>IF($L1787="","",INDEX($B$8:$B$5007,$L1787))</f>
        <v/>
      </c>
      <c r="O1787" s="32" t="str">
        <f>IF($M1787="","",IF($K1787-$M1787&gt;7,"",IF($M1787&lt;=$A1787,"",IF(OR($B1787&lt;=0,$N1787&lt;=0),"",($N1787/$B1787)^(365/($M1787-$A1787))-1))))</f>
        <v/>
      </c>
      <c r="P1787" s="31" t="str">
        <f>IF($B1787="","",IF($P1786="",$B1787,MAX($P1786,$B1787)))</f>
        <v/>
      </c>
      <c r="Q1787" s="32" t="str">
        <f>IF($P1787="","",$B1787/$P1787-1)</f>
        <v/>
      </c>
    </row>
    <row r="1788">
      <c r="A1788" s="11" t="n"/>
      <c r="B1788" s="29" t="n"/>
      <c r="K1788" s="30" t="str">
        <f>IF($A1788="","",EDATE($A1788,12*$E$4))</f>
        <v/>
      </c>
      <c r="L1788" s="19" t="str">
        <f>IF($K1788="","",IF($K1788&gt;MAX($A$8:$A$5007),"",IFERROR(MATCH($K1788,$A$8:$A$5007,1),"")))</f>
        <v/>
      </c>
      <c r="M1788" s="30" t="str">
        <f>IF($L1788="","",INDEX($A$8:$A$5007,$L1788))</f>
        <v/>
      </c>
      <c r="N1788" s="31" t="str">
        <f>IF($L1788="","",INDEX($B$8:$B$5007,$L1788))</f>
        <v/>
      </c>
      <c r="O1788" s="32" t="str">
        <f>IF($M1788="","",IF($K1788-$M1788&gt;7,"",IF($M1788&lt;=$A1788,"",IF(OR($B1788&lt;=0,$N1788&lt;=0),"",($N1788/$B1788)^(365/($M1788-$A1788))-1))))</f>
        <v/>
      </c>
      <c r="P1788" s="31" t="str">
        <f>IF($B1788="","",IF($P1787="",$B1788,MAX($P1787,$B1788)))</f>
        <v/>
      </c>
      <c r="Q1788" s="32" t="str">
        <f>IF($P1788="","",$B1788/$P1788-1)</f>
        <v/>
      </c>
    </row>
    <row r="1789">
      <c r="A1789" s="11" t="n"/>
      <c r="B1789" s="29" t="n"/>
      <c r="K1789" s="30" t="str">
        <f>IF($A1789="","",EDATE($A1789,12*$E$4))</f>
        <v/>
      </c>
      <c r="L1789" s="19" t="str">
        <f>IF($K1789="","",IF($K1789&gt;MAX($A$8:$A$5007),"",IFERROR(MATCH($K1789,$A$8:$A$5007,1),"")))</f>
        <v/>
      </c>
      <c r="M1789" s="30" t="str">
        <f>IF($L1789="","",INDEX($A$8:$A$5007,$L1789))</f>
        <v/>
      </c>
      <c r="N1789" s="31" t="str">
        <f>IF($L1789="","",INDEX($B$8:$B$5007,$L1789))</f>
        <v/>
      </c>
      <c r="O1789" s="32" t="str">
        <f>IF($M1789="","",IF($K1789-$M1789&gt;7,"",IF($M1789&lt;=$A1789,"",IF(OR($B1789&lt;=0,$N1789&lt;=0),"",($N1789/$B1789)^(365/($M1789-$A1789))-1))))</f>
        <v/>
      </c>
      <c r="P1789" s="31" t="str">
        <f>IF($B1789="","",IF($P1788="",$B1789,MAX($P1788,$B1789)))</f>
        <v/>
      </c>
      <c r="Q1789" s="32" t="str">
        <f>IF($P1789="","",$B1789/$P1789-1)</f>
        <v/>
      </c>
    </row>
    <row r="1790">
      <c r="A1790" s="11" t="n"/>
      <c r="B1790" s="29" t="n"/>
      <c r="K1790" s="30" t="str">
        <f>IF($A1790="","",EDATE($A1790,12*$E$4))</f>
        <v/>
      </c>
      <c r="L1790" s="19" t="str">
        <f>IF($K1790="","",IF($K1790&gt;MAX($A$8:$A$5007),"",IFERROR(MATCH($K1790,$A$8:$A$5007,1),"")))</f>
        <v/>
      </c>
      <c r="M1790" s="30" t="str">
        <f>IF($L1790="","",INDEX($A$8:$A$5007,$L1790))</f>
        <v/>
      </c>
      <c r="N1790" s="31" t="str">
        <f>IF($L1790="","",INDEX($B$8:$B$5007,$L1790))</f>
        <v/>
      </c>
      <c r="O1790" s="32" t="str">
        <f>IF($M1790="","",IF($K1790-$M1790&gt;7,"",IF($M1790&lt;=$A1790,"",IF(OR($B1790&lt;=0,$N1790&lt;=0),"",($N1790/$B1790)^(365/($M1790-$A1790))-1))))</f>
        <v/>
      </c>
      <c r="P1790" s="31" t="str">
        <f>IF($B1790="","",IF($P1789="",$B1790,MAX($P1789,$B1790)))</f>
        <v/>
      </c>
      <c r="Q1790" s="32" t="str">
        <f>IF($P1790="","",$B1790/$P1790-1)</f>
        <v/>
      </c>
    </row>
    <row r="1791">
      <c r="A1791" s="11" t="n"/>
      <c r="B1791" s="29" t="n"/>
      <c r="K1791" s="30" t="str">
        <f>IF($A1791="","",EDATE($A1791,12*$E$4))</f>
        <v/>
      </c>
      <c r="L1791" s="19" t="str">
        <f>IF($K1791="","",IF($K1791&gt;MAX($A$8:$A$5007),"",IFERROR(MATCH($K1791,$A$8:$A$5007,1),"")))</f>
        <v/>
      </c>
      <c r="M1791" s="30" t="str">
        <f>IF($L1791="","",INDEX($A$8:$A$5007,$L1791))</f>
        <v/>
      </c>
      <c r="N1791" s="31" t="str">
        <f>IF($L1791="","",INDEX($B$8:$B$5007,$L1791))</f>
        <v/>
      </c>
      <c r="O1791" s="32" t="str">
        <f>IF($M1791="","",IF($K1791-$M1791&gt;7,"",IF($M1791&lt;=$A1791,"",IF(OR($B1791&lt;=0,$N1791&lt;=0),"",($N1791/$B1791)^(365/($M1791-$A1791))-1))))</f>
        <v/>
      </c>
      <c r="P1791" s="31" t="str">
        <f>IF($B1791="","",IF($P1790="",$B1791,MAX($P1790,$B1791)))</f>
        <v/>
      </c>
      <c r="Q1791" s="32" t="str">
        <f>IF($P1791="","",$B1791/$P1791-1)</f>
        <v/>
      </c>
    </row>
    <row r="1792">
      <c r="A1792" s="11" t="n"/>
      <c r="B1792" s="29" t="n"/>
      <c r="K1792" s="30" t="str">
        <f>IF($A1792="","",EDATE($A1792,12*$E$4))</f>
        <v/>
      </c>
      <c r="L1792" s="19" t="str">
        <f>IF($K1792="","",IF($K1792&gt;MAX($A$8:$A$5007),"",IFERROR(MATCH($K1792,$A$8:$A$5007,1),"")))</f>
        <v/>
      </c>
      <c r="M1792" s="30" t="str">
        <f>IF($L1792="","",INDEX($A$8:$A$5007,$L1792))</f>
        <v/>
      </c>
      <c r="N1792" s="31" t="str">
        <f>IF($L1792="","",INDEX($B$8:$B$5007,$L1792))</f>
        <v/>
      </c>
      <c r="O1792" s="32" t="str">
        <f>IF($M1792="","",IF($K1792-$M1792&gt;7,"",IF($M1792&lt;=$A1792,"",IF(OR($B1792&lt;=0,$N1792&lt;=0),"",($N1792/$B1792)^(365/($M1792-$A1792))-1))))</f>
        <v/>
      </c>
      <c r="P1792" s="31" t="str">
        <f>IF($B1792="","",IF($P1791="",$B1792,MAX($P1791,$B1792)))</f>
        <v/>
      </c>
      <c r="Q1792" s="32" t="str">
        <f>IF($P1792="","",$B1792/$P1792-1)</f>
        <v/>
      </c>
    </row>
    <row r="1793">
      <c r="A1793" s="11" t="n"/>
      <c r="B1793" s="29" t="n"/>
      <c r="K1793" s="30" t="str">
        <f>IF($A1793="","",EDATE($A1793,12*$E$4))</f>
        <v/>
      </c>
      <c r="L1793" s="19" t="str">
        <f>IF($K1793="","",IF($K1793&gt;MAX($A$8:$A$5007),"",IFERROR(MATCH($K1793,$A$8:$A$5007,1),"")))</f>
        <v/>
      </c>
      <c r="M1793" s="30" t="str">
        <f>IF($L1793="","",INDEX($A$8:$A$5007,$L1793))</f>
        <v/>
      </c>
      <c r="N1793" s="31" t="str">
        <f>IF($L1793="","",INDEX($B$8:$B$5007,$L1793))</f>
        <v/>
      </c>
      <c r="O1793" s="32" t="str">
        <f>IF($M1793="","",IF($K1793-$M1793&gt;7,"",IF($M1793&lt;=$A1793,"",IF(OR($B1793&lt;=0,$N1793&lt;=0),"",($N1793/$B1793)^(365/($M1793-$A1793))-1))))</f>
        <v/>
      </c>
      <c r="P1793" s="31" t="str">
        <f>IF($B1793="","",IF($P1792="",$B1793,MAX($P1792,$B1793)))</f>
        <v/>
      </c>
      <c r="Q1793" s="32" t="str">
        <f>IF($P1793="","",$B1793/$P1793-1)</f>
        <v/>
      </c>
    </row>
    <row r="1794">
      <c r="A1794" s="11" t="n"/>
      <c r="B1794" s="29" t="n"/>
      <c r="K1794" s="30" t="str">
        <f>IF($A1794="","",EDATE($A1794,12*$E$4))</f>
        <v/>
      </c>
      <c r="L1794" s="19" t="str">
        <f>IF($K1794="","",IF($K1794&gt;MAX($A$8:$A$5007),"",IFERROR(MATCH($K1794,$A$8:$A$5007,1),"")))</f>
        <v/>
      </c>
      <c r="M1794" s="30" t="str">
        <f>IF($L1794="","",INDEX($A$8:$A$5007,$L1794))</f>
        <v/>
      </c>
      <c r="N1794" s="31" t="str">
        <f>IF($L1794="","",INDEX($B$8:$B$5007,$L1794))</f>
        <v/>
      </c>
      <c r="O1794" s="32" t="str">
        <f>IF($M1794="","",IF($K1794-$M1794&gt;7,"",IF($M1794&lt;=$A1794,"",IF(OR($B1794&lt;=0,$N1794&lt;=0),"",($N1794/$B1794)^(365/($M1794-$A1794))-1))))</f>
        <v/>
      </c>
      <c r="P1794" s="31" t="str">
        <f>IF($B1794="","",IF($P1793="",$B1794,MAX($P1793,$B1794)))</f>
        <v/>
      </c>
      <c r="Q1794" s="32" t="str">
        <f>IF($P1794="","",$B1794/$P1794-1)</f>
        <v/>
      </c>
    </row>
    <row r="1795">
      <c r="A1795" s="11" t="n"/>
      <c r="B1795" s="29" t="n"/>
      <c r="K1795" s="30" t="str">
        <f>IF($A1795="","",EDATE($A1795,12*$E$4))</f>
        <v/>
      </c>
      <c r="L1795" s="19" t="str">
        <f>IF($K1795="","",IF($K1795&gt;MAX($A$8:$A$5007),"",IFERROR(MATCH($K1795,$A$8:$A$5007,1),"")))</f>
        <v/>
      </c>
      <c r="M1795" s="30" t="str">
        <f>IF($L1795="","",INDEX($A$8:$A$5007,$L1795))</f>
        <v/>
      </c>
      <c r="N1795" s="31" t="str">
        <f>IF($L1795="","",INDEX($B$8:$B$5007,$L1795))</f>
        <v/>
      </c>
      <c r="O1795" s="32" t="str">
        <f>IF($M1795="","",IF($K1795-$M1795&gt;7,"",IF($M1795&lt;=$A1795,"",IF(OR($B1795&lt;=0,$N1795&lt;=0),"",($N1795/$B1795)^(365/($M1795-$A1795))-1))))</f>
        <v/>
      </c>
      <c r="P1795" s="31" t="str">
        <f>IF($B1795="","",IF($P1794="",$B1795,MAX($P1794,$B1795)))</f>
        <v/>
      </c>
      <c r="Q1795" s="32" t="str">
        <f>IF($P1795="","",$B1795/$P1795-1)</f>
        <v/>
      </c>
    </row>
    <row r="1796">
      <c r="A1796" s="11" t="n"/>
      <c r="B1796" s="29" t="n"/>
      <c r="K1796" s="30" t="str">
        <f>IF($A1796="","",EDATE($A1796,12*$E$4))</f>
        <v/>
      </c>
      <c r="L1796" s="19" t="str">
        <f>IF($K1796="","",IF($K1796&gt;MAX($A$8:$A$5007),"",IFERROR(MATCH($K1796,$A$8:$A$5007,1),"")))</f>
        <v/>
      </c>
      <c r="M1796" s="30" t="str">
        <f>IF($L1796="","",INDEX($A$8:$A$5007,$L1796))</f>
        <v/>
      </c>
      <c r="N1796" s="31" t="str">
        <f>IF($L1796="","",INDEX($B$8:$B$5007,$L1796))</f>
        <v/>
      </c>
      <c r="O1796" s="32" t="str">
        <f>IF($M1796="","",IF($K1796-$M1796&gt;7,"",IF($M1796&lt;=$A1796,"",IF(OR($B1796&lt;=0,$N1796&lt;=0),"",($N1796/$B1796)^(365/($M1796-$A1796))-1))))</f>
        <v/>
      </c>
      <c r="P1796" s="31" t="str">
        <f>IF($B1796="","",IF($P1795="",$B1796,MAX($P1795,$B1796)))</f>
        <v/>
      </c>
      <c r="Q1796" s="32" t="str">
        <f>IF($P1796="","",$B1796/$P1796-1)</f>
        <v/>
      </c>
    </row>
    <row r="1797">
      <c r="A1797" s="11" t="n"/>
      <c r="B1797" s="29" t="n"/>
      <c r="K1797" s="30" t="str">
        <f>IF($A1797="","",EDATE($A1797,12*$E$4))</f>
        <v/>
      </c>
      <c r="L1797" s="19" t="str">
        <f>IF($K1797="","",IF($K1797&gt;MAX($A$8:$A$5007),"",IFERROR(MATCH($K1797,$A$8:$A$5007,1),"")))</f>
        <v/>
      </c>
      <c r="M1797" s="30" t="str">
        <f>IF($L1797="","",INDEX($A$8:$A$5007,$L1797))</f>
        <v/>
      </c>
      <c r="N1797" s="31" t="str">
        <f>IF($L1797="","",INDEX($B$8:$B$5007,$L1797))</f>
        <v/>
      </c>
      <c r="O1797" s="32" t="str">
        <f>IF($M1797="","",IF($K1797-$M1797&gt;7,"",IF($M1797&lt;=$A1797,"",IF(OR($B1797&lt;=0,$N1797&lt;=0),"",($N1797/$B1797)^(365/($M1797-$A1797))-1))))</f>
        <v/>
      </c>
      <c r="P1797" s="31" t="str">
        <f>IF($B1797="","",IF($P1796="",$B1797,MAX($P1796,$B1797)))</f>
        <v/>
      </c>
      <c r="Q1797" s="32" t="str">
        <f>IF($P1797="","",$B1797/$P1797-1)</f>
        <v/>
      </c>
    </row>
    <row r="1798">
      <c r="A1798" s="11" t="n"/>
      <c r="B1798" s="29" t="n"/>
      <c r="K1798" s="30" t="str">
        <f>IF($A1798="","",EDATE($A1798,12*$E$4))</f>
        <v/>
      </c>
      <c r="L1798" s="19" t="str">
        <f>IF($K1798="","",IF($K1798&gt;MAX($A$8:$A$5007),"",IFERROR(MATCH($K1798,$A$8:$A$5007,1),"")))</f>
        <v/>
      </c>
      <c r="M1798" s="30" t="str">
        <f>IF($L1798="","",INDEX($A$8:$A$5007,$L1798))</f>
        <v/>
      </c>
      <c r="N1798" s="31" t="str">
        <f>IF($L1798="","",INDEX($B$8:$B$5007,$L1798))</f>
        <v/>
      </c>
      <c r="O1798" s="32" t="str">
        <f>IF($M1798="","",IF($K1798-$M1798&gt;7,"",IF($M1798&lt;=$A1798,"",IF(OR($B1798&lt;=0,$N1798&lt;=0),"",($N1798/$B1798)^(365/($M1798-$A1798))-1))))</f>
        <v/>
      </c>
      <c r="P1798" s="31" t="str">
        <f>IF($B1798="","",IF($P1797="",$B1798,MAX($P1797,$B1798)))</f>
        <v/>
      </c>
      <c r="Q1798" s="32" t="str">
        <f>IF($P1798="","",$B1798/$P1798-1)</f>
        <v/>
      </c>
    </row>
    <row r="1799">
      <c r="A1799" s="11" t="n"/>
      <c r="B1799" s="29" t="n"/>
      <c r="K1799" s="30" t="str">
        <f>IF($A1799="","",EDATE($A1799,12*$E$4))</f>
        <v/>
      </c>
      <c r="L1799" s="19" t="str">
        <f>IF($K1799="","",IF($K1799&gt;MAX($A$8:$A$5007),"",IFERROR(MATCH($K1799,$A$8:$A$5007,1),"")))</f>
        <v/>
      </c>
      <c r="M1799" s="30" t="str">
        <f>IF($L1799="","",INDEX($A$8:$A$5007,$L1799))</f>
        <v/>
      </c>
      <c r="N1799" s="31" t="str">
        <f>IF($L1799="","",INDEX($B$8:$B$5007,$L1799))</f>
        <v/>
      </c>
      <c r="O1799" s="32" t="str">
        <f>IF($M1799="","",IF($K1799-$M1799&gt;7,"",IF($M1799&lt;=$A1799,"",IF(OR($B1799&lt;=0,$N1799&lt;=0),"",($N1799/$B1799)^(365/($M1799-$A1799))-1))))</f>
        <v/>
      </c>
      <c r="P1799" s="31" t="str">
        <f>IF($B1799="","",IF($P1798="",$B1799,MAX($P1798,$B1799)))</f>
        <v/>
      </c>
      <c r="Q1799" s="32" t="str">
        <f>IF($P1799="","",$B1799/$P1799-1)</f>
        <v/>
      </c>
    </row>
    <row r="1800">
      <c r="A1800" s="11" t="n"/>
      <c r="B1800" s="29" t="n"/>
      <c r="K1800" s="30" t="str">
        <f>IF($A1800="","",EDATE($A1800,12*$E$4))</f>
        <v/>
      </c>
      <c r="L1800" s="19" t="str">
        <f>IF($K1800="","",IF($K1800&gt;MAX($A$8:$A$5007),"",IFERROR(MATCH($K1800,$A$8:$A$5007,1),"")))</f>
        <v/>
      </c>
      <c r="M1800" s="30" t="str">
        <f>IF($L1800="","",INDEX($A$8:$A$5007,$L1800))</f>
        <v/>
      </c>
      <c r="N1800" s="31" t="str">
        <f>IF($L1800="","",INDEX($B$8:$B$5007,$L1800))</f>
        <v/>
      </c>
      <c r="O1800" s="32" t="str">
        <f>IF($M1800="","",IF($K1800-$M1800&gt;7,"",IF($M1800&lt;=$A1800,"",IF(OR($B1800&lt;=0,$N1800&lt;=0),"",($N1800/$B1800)^(365/($M1800-$A1800))-1))))</f>
        <v/>
      </c>
      <c r="P1800" s="31" t="str">
        <f>IF($B1800="","",IF($P1799="",$B1800,MAX($P1799,$B1800)))</f>
        <v/>
      </c>
      <c r="Q1800" s="32" t="str">
        <f>IF($P1800="","",$B1800/$P1800-1)</f>
        <v/>
      </c>
    </row>
    <row r="1801">
      <c r="A1801" s="11" t="n"/>
      <c r="B1801" s="29" t="n"/>
      <c r="K1801" s="30" t="str">
        <f>IF($A1801="","",EDATE($A1801,12*$E$4))</f>
        <v/>
      </c>
      <c r="L1801" s="19" t="str">
        <f>IF($K1801="","",IF($K1801&gt;MAX($A$8:$A$5007),"",IFERROR(MATCH($K1801,$A$8:$A$5007,1),"")))</f>
        <v/>
      </c>
      <c r="M1801" s="30" t="str">
        <f>IF($L1801="","",INDEX($A$8:$A$5007,$L1801))</f>
        <v/>
      </c>
      <c r="N1801" s="31" t="str">
        <f>IF($L1801="","",INDEX($B$8:$B$5007,$L1801))</f>
        <v/>
      </c>
      <c r="O1801" s="32" t="str">
        <f>IF($M1801="","",IF($K1801-$M1801&gt;7,"",IF($M1801&lt;=$A1801,"",IF(OR($B1801&lt;=0,$N1801&lt;=0),"",($N1801/$B1801)^(365/($M1801-$A1801))-1))))</f>
        <v/>
      </c>
      <c r="P1801" s="31" t="str">
        <f>IF($B1801="","",IF($P1800="",$B1801,MAX($P1800,$B1801)))</f>
        <v/>
      </c>
      <c r="Q1801" s="32" t="str">
        <f>IF($P1801="","",$B1801/$P1801-1)</f>
        <v/>
      </c>
    </row>
    <row r="1802">
      <c r="A1802" s="11" t="n"/>
      <c r="B1802" s="29" t="n"/>
      <c r="K1802" s="30" t="str">
        <f>IF($A1802="","",EDATE($A1802,12*$E$4))</f>
        <v/>
      </c>
      <c r="L1802" s="19" t="str">
        <f>IF($K1802="","",IF($K1802&gt;MAX($A$8:$A$5007),"",IFERROR(MATCH($K1802,$A$8:$A$5007,1),"")))</f>
        <v/>
      </c>
      <c r="M1802" s="30" t="str">
        <f>IF($L1802="","",INDEX($A$8:$A$5007,$L1802))</f>
        <v/>
      </c>
      <c r="N1802" s="31" t="str">
        <f>IF($L1802="","",INDEX($B$8:$B$5007,$L1802))</f>
        <v/>
      </c>
      <c r="O1802" s="32" t="str">
        <f>IF($M1802="","",IF($K1802-$M1802&gt;7,"",IF($M1802&lt;=$A1802,"",IF(OR($B1802&lt;=0,$N1802&lt;=0),"",($N1802/$B1802)^(365/($M1802-$A1802))-1))))</f>
        <v/>
      </c>
      <c r="P1802" s="31" t="str">
        <f>IF($B1802="","",IF($P1801="",$B1802,MAX($P1801,$B1802)))</f>
        <v/>
      </c>
      <c r="Q1802" s="32" t="str">
        <f>IF($P1802="","",$B1802/$P1802-1)</f>
        <v/>
      </c>
    </row>
    <row r="1803">
      <c r="A1803" s="11" t="n"/>
      <c r="B1803" s="29" t="n"/>
      <c r="K1803" s="30" t="str">
        <f>IF($A1803="","",EDATE($A1803,12*$E$4))</f>
        <v/>
      </c>
      <c r="L1803" s="19" t="str">
        <f>IF($K1803="","",IF($K1803&gt;MAX($A$8:$A$5007),"",IFERROR(MATCH($K1803,$A$8:$A$5007,1),"")))</f>
        <v/>
      </c>
      <c r="M1803" s="30" t="str">
        <f>IF($L1803="","",INDEX($A$8:$A$5007,$L1803))</f>
        <v/>
      </c>
      <c r="N1803" s="31" t="str">
        <f>IF($L1803="","",INDEX($B$8:$B$5007,$L1803))</f>
        <v/>
      </c>
      <c r="O1803" s="32" t="str">
        <f>IF($M1803="","",IF($K1803-$M1803&gt;7,"",IF($M1803&lt;=$A1803,"",IF(OR($B1803&lt;=0,$N1803&lt;=0),"",($N1803/$B1803)^(365/($M1803-$A1803))-1))))</f>
        <v/>
      </c>
      <c r="P1803" s="31" t="str">
        <f>IF($B1803="","",IF($P1802="",$B1803,MAX($P1802,$B1803)))</f>
        <v/>
      </c>
      <c r="Q1803" s="32" t="str">
        <f>IF($P1803="","",$B1803/$P1803-1)</f>
        <v/>
      </c>
    </row>
    <row r="1804">
      <c r="A1804" s="11" t="n"/>
      <c r="B1804" s="29" t="n"/>
      <c r="K1804" s="30" t="str">
        <f>IF($A1804="","",EDATE($A1804,12*$E$4))</f>
        <v/>
      </c>
      <c r="L1804" s="19" t="str">
        <f>IF($K1804="","",IF($K1804&gt;MAX($A$8:$A$5007),"",IFERROR(MATCH($K1804,$A$8:$A$5007,1),"")))</f>
        <v/>
      </c>
      <c r="M1804" s="30" t="str">
        <f>IF($L1804="","",INDEX($A$8:$A$5007,$L1804))</f>
        <v/>
      </c>
      <c r="N1804" s="31" t="str">
        <f>IF($L1804="","",INDEX($B$8:$B$5007,$L1804))</f>
        <v/>
      </c>
      <c r="O1804" s="32" t="str">
        <f>IF($M1804="","",IF($K1804-$M1804&gt;7,"",IF($M1804&lt;=$A1804,"",IF(OR($B1804&lt;=0,$N1804&lt;=0),"",($N1804/$B1804)^(365/($M1804-$A1804))-1))))</f>
        <v/>
      </c>
      <c r="P1804" s="31" t="str">
        <f>IF($B1804="","",IF($P1803="",$B1804,MAX($P1803,$B1804)))</f>
        <v/>
      </c>
      <c r="Q1804" s="32" t="str">
        <f>IF($P1804="","",$B1804/$P1804-1)</f>
        <v/>
      </c>
    </row>
    <row r="1805">
      <c r="A1805" s="11" t="n"/>
      <c r="B1805" s="29" t="n"/>
      <c r="K1805" s="30" t="str">
        <f>IF($A1805="","",EDATE($A1805,12*$E$4))</f>
        <v/>
      </c>
      <c r="L1805" s="19" t="str">
        <f>IF($K1805="","",IF($K1805&gt;MAX($A$8:$A$5007),"",IFERROR(MATCH($K1805,$A$8:$A$5007,1),"")))</f>
        <v/>
      </c>
      <c r="M1805" s="30" t="str">
        <f>IF($L1805="","",INDEX($A$8:$A$5007,$L1805))</f>
        <v/>
      </c>
      <c r="N1805" s="31" t="str">
        <f>IF($L1805="","",INDEX($B$8:$B$5007,$L1805))</f>
        <v/>
      </c>
      <c r="O1805" s="32" t="str">
        <f>IF($M1805="","",IF($K1805-$M1805&gt;7,"",IF($M1805&lt;=$A1805,"",IF(OR($B1805&lt;=0,$N1805&lt;=0),"",($N1805/$B1805)^(365/($M1805-$A1805))-1))))</f>
        <v/>
      </c>
      <c r="P1805" s="31" t="str">
        <f>IF($B1805="","",IF($P1804="",$B1805,MAX($P1804,$B1805)))</f>
        <v/>
      </c>
      <c r="Q1805" s="32" t="str">
        <f>IF($P1805="","",$B1805/$P1805-1)</f>
        <v/>
      </c>
    </row>
    <row r="1806">
      <c r="A1806" s="11" t="n"/>
      <c r="B1806" s="29" t="n"/>
      <c r="K1806" s="30" t="str">
        <f>IF($A1806="","",EDATE($A1806,12*$E$4))</f>
        <v/>
      </c>
      <c r="L1806" s="19" t="str">
        <f>IF($K1806="","",IF($K1806&gt;MAX($A$8:$A$5007),"",IFERROR(MATCH($K1806,$A$8:$A$5007,1),"")))</f>
        <v/>
      </c>
      <c r="M1806" s="30" t="str">
        <f>IF($L1806="","",INDEX($A$8:$A$5007,$L1806))</f>
        <v/>
      </c>
      <c r="N1806" s="31" t="str">
        <f>IF($L1806="","",INDEX($B$8:$B$5007,$L1806))</f>
        <v/>
      </c>
      <c r="O1806" s="32" t="str">
        <f>IF($M1806="","",IF($K1806-$M1806&gt;7,"",IF($M1806&lt;=$A1806,"",IF(OR($B1806&lt;=0,$N1806&lt;=0),"",($N1806/$B1806)^(365/($M1806-$A1806))-1))))</f>
        <v/>
      </c>
      <c r="P1806" s="31" t="str">
        <f>IF($B1806="","",IF($P1805="",$B1806,MAX($P1805,$B1806)))</f>
        <v/>
      </c>
      <c r="Q1806" s="32" t="str">
        <f>IF($P1806="","",$B1806/$P1806-1)</f>
        <v/>
      </c>
    </row>
    <row r="1807">
      <c r="A1807" s="11" t="n"/>
      <c r="B1807" s="29" t="n"/>
      <c r="K1807" s="30" t="str">
        <f>IF($A1807="","",EDATE($A1807,12*$E$4))</f>
        <v/>
      </c>
      <c r="L1807" s="19" t="str">
        <f>IF($K1807="","",IF($K1807&gt;MAX($A$8:$A$5007),"",IFERROR(MATCH($K1807,$A$8:$A$5007,1),"")))</f>
        <v/>
      </c>
      <c r="M1807" s="30" t="str">
        <f>IF($L1807="","",INDEX($A$8:$A$5007,$L1807))</f>
        <v/>
      </c>
      <c r="N1807" s="31" t="str">
        <f>IF($L1807="","",INDEX($B$8:$B$5007,$L1807))</f>
        <v/>
      </c>
      <c r="O1807" s="32" t="str">
        <f>IF($M1807="","",IF($K1807-$M1807&gt;7,"",IF($M1807&lt;=$A1807,"",IF(OR($B1807&lt;=0,$N1807&lt;=0),"",($N1807/$B1807)^(365/($M1807-$A1807))-1))))</f>
        <v/>
      </c>
      <c r="P1807" s="31" t="str">
        <f>IF($B1807="","",IF($P1806="",$B1807,MAX($P1806,$B1807)))</f>
        <v/>
      </c>
      <c r="Q1807" s="32" t="str">
        <f>IF($P1807="","",$B1807/$P1807-1)</f>
        <v/>
      </c>
    </row>
    <row r="1808">
      <c r="A1808" s="11" t="n"/>
      <c r="B1808" s="29" t="n"/>
      <c r="K1808" s="30" t="str">
        <f>IF($A1808="","",EDATE($A1808,12*$E$4))</f>
        <v/>
      </c>
      <c r="L1808" s="19" t="str">
        <f>IF($K1808="","",IF($K1808&gt;MAX($A$8:$A$5007),"",IFERROR(MATCH($K1808,$A$8:$A$5007,1),"")))</f>
        <v/>
      </c>
      <c r="M1808" s="30" t="str">
        <f>IF($L1808="","",INDEX($A$8:$A$5007,$L1808))</f>
        <v/>
      </c>
      <c r="N1808" s="31" t="str">
        <f>IF($L1808="","",INDEX($B$8:$B$5007,$L1808))</f>
        <v/>
      </c>
      <c r="O1808" s="32" t="str">
        <f>IF($M1808="","",IF($K1808-$M1808&gt;7,"",IF($M1808&lt;=$A1808,"",IF(OR($B1808&lt;=0,$N1808&lt;=0),"",($N1808/$B1808)^(365/($M1808-$A1808))-1))))</f>
        <v/>
      </c>
      <c r="P1808" s="31" t="str">
        <f>IF($B1808="","",IF($P1807="",$B1808,MAX($P1807,$B1808)))</f>
        <v/>
      </c>
      <c r="Q1808" s="32" t="str">
        <f>IF($P1808="","",$B1808/$P1808-1)</f>
        <v/>
      </c>
    </row>
    <row r="1809">
      <c r="A1809" s="11" t="n"/>
      <c r="B1809" s="29" t="n"/>
      <c r="K1809" s="30" t="str">
        <f>IF($A1809="","",EDATE($A1809,12*$E$4))</f>
        <v/>
      </c>
      <c r="L1809" s="19" t="str">
        <f>IF($K1809="","",IF($K1809&gt;MAX($A$8:$A$5007),"",IFERROR(MATCH($K1809,$A$8:$A$5007,1),"")))</f>
        <v/>
      </c>
      <c r="M1809" s="30" t="str">
        <f>IF($L1809="","",INDEX($A$8:$A$5007,$L1809))</f>
        <v/>
      </c>
      <c r="N1809" s="31" t="str">
        <f>IF($L1809="","",INDEX($B$8:$B$5007,$L1809))</f>
        <v/>
      </c>
      <c r="O1809" s="32" t="str">
        <f>IF($M1809="","",IF($K1809-$M1809&gt;7,"",IF($M1809&lt;=$A1809,"",IF(OR($B1809&lt;=0,$N1809&lt;=0),"",($N1809/$B1809)^(365/($M1809-$A1809))-1))))</f>
        <v/>
      </c>
      <c r="P1809" s="31" t="str">
        <f>IF($B1809="","",IF($P1808="",$B1809,MAX($P1808,$B1809)))</f>
        <v/>
      </c>
      <c r="Q1809" s="32" t="str">
        <f>IF($P1809="","",$B1809/$P1809-1)</f>
        <v/>
      </c>
    </row>
    <row r="1810">
      <c r="A1810" s="11" t="n"/>
      <c r="B1810" s="29" t="n"/>
      <c r="K1810" s="30" t="str">
        <f>IF($A1810="","",EDATE($A1810,12*$E$4))</f>
        <v/>
      </c>
      <c r="L1810" s="19" t="str">
        <f>IF($K1810="","",IF($K1810&gt;MAX($A$8:$A$5007),"",IFERROR(MATCH($K1810,$A$8:$A$5007,1),"")))</f>
        <v/>
      </c>
      <c r="M1810" s="30" t="str">
        <f>IF($L1810="","",INDEX($A$8:$A$5007,$L1810))</f>
        <v/>
      </c>
      <c r="N1810" s="31" t="str">
        <f>IF($L1810="","",INDEX($B$8:$B$5007,$L1810))</f>
        <v/>
      </c>
      <c r="O1810" s="32" t="str">
        <f>IF($M1810="","",IF($K1810-$M1810&gt;7,"",IF($M1810&lt;=$A1810,"",IF(OR($B1810&lt;=0,$N1810&lt;=0),"",($N1810/$B1810)^(365/($M1810-$A1810))-1))))</f>
        <v/>
      </c>
      <c r="P1810" s="31" t="str">
        <f>IF($B1810="","",IF($P1809="",$B1810,MAX($P1809,$B1810)))</f>
        <v/>
      </c>
      <c r="Q1810" s="32" t="str">
        <f>IF($P1810="","",$B1810/$P1810-1)</f>
        <v/>
      </c>
    </row>
    <row r="1811">
      <c r="A1811" s="11" t="n"/>
      <c r="B1811" s="29" t="n"/>
      <c r="K1811" s="30" t="str">
        <f>IF($A1811="","",EDATE($A1811,12*$E$4))</f>
        <v/>
      </c>
      <c r="L1811" s="19" t="str">
        <f>IF($K1811="","",IF($K1811&gt;MAX($A$8:$A$5007),"",IFERROR(MATCH($K1811,$A$8:$A$5007,1),"")))</f>
        <v/>
      </c>
      <c r="M1811" s="30" t="str">
        <f>IF($L1811="","",INDEX($A$8:$A$5007,$L1811))</f>
        <v/>
      </c>
      <c r="N1811" s="31" t="str">
        <f>IF($L1811="","",INDEX($B$8:$B$5007,$L1811))</f>
        <v/>
      </c>
      <c r="O1811" s="32" t="str">
        <f>IF($M1811="","",IF($K1811-$M1811&gt;7,"",IF($M1811&lt;=$A1811,"",IF(OR($B1811&lt;=0,$N1811&lt;=0),"",($N1811/$B1811)^(365/($M1811-$A1811))-1))))</f>
        <v/>
      </c>
      <c r="P1811" s="31" t="str">
        <f>IF($B1811="","",IF($P1810="",$B1811,MAX($P1810,$B1811)))</f>
        <v/>
      </c>
      <c r="Q1811" s="32" t="str">
        <f>IF($P1811="","",$B1811/$P1811-1)</f>
        <v/>
      </c>
    </row>
    <row r="1812">
      <c r="A1812" s="11" t="n"/>
      <c r="B1812" s="29" t="n"/>
      <c r="K1812" s="30" t="str">
        <f>IF($A1812="","",EDATE($A1812,12*$E$4))</f>
        <v/>
      </c>
      <c r="L1812" s="19" t="str">
        <f>IF($K1812="","",IF($K1812&gt;MAX($A$8:$A$5007),"",IFERROR(MATCH($K1812,$A$8:$A$5007,1),"")))</f>
        <v/>
      </c>
      <c r="M1812" s="30" t="str">
        <f>IF($L1812="","",INDEX($A$8:$A$5007,$L1812))</f>
        <v/>
      </c>
      <c r="N1812" s="31" t="str">
        <f>IF($L1812="","",INDEX($B$8:$B$5007,$L1812))</f>
        <v/>
      </c>
      <c r="O1812" s="32" t="str">
        <f>IF($M1812="","",IF($K1812-$M1812&gt;7,"",IF($M1812&lt;=$A1812,"",IF(OR($B1812&lt;=0,$N1812&lt;=0),"",($N1812/$B1812)^(365/($M1812-$A1812))-1))))</f>
        <v/>
      </c>
      <c r="P1812" s="31" t="str">
        <f>IF($B1812="","",IF($P1811="",$B1812,MAX($P1811,$B1812)))</f>
        <v/>
      </c>
      <c r="Q1812" s="32" t="str">
        <f>IF($P1812="","",$B1812/$P1812-1)</f>
        <v/>
      </c>
    </row>
    <row r="1813">
      <c r="A1813" s="11" t="n"/>
      <c r="B1813" s="29" t="n"/>
      <c r="K1813" s="30" t="str">
        <f>IF($A1813="","",EDATE($A1813,12*$E$4))</f>
        <v/>
      </c>
      <c r="L1813" s="19" t="str">
        <f>IF($K1813="","",IF($K1813&gt;MAX($A$8:$A$5007),"",IFERROR(MATCH($K1813,$A$8:$A$5007,1),"")))</f>
        <v/>
      </c>
      <c r="M1813" s="30" t="str">
        <f>IF($L1813="","",INDEX($A$8:$A$5007,$L1813))</f>
        <v/>
      </c>
      <c r="N1813" s="31" t="str">
        <f>IF($L1813="","",INDEX($B$8:$B$5007,$L1813))</f>
        <v/>
      </c>
      <c r="O1813" s="32" t="str">
        <f>IF($M1813="","",IF($K1813-$M1813&gt;7,"",IF($M1813&lt;=$A1813,"",IF(OR($B1813&lt;=0,$N1813&lt;=0),"",($N1813/$B1813)^(365/($M1813-$A1813))-1))))</f>
        <v/>
      </c>
      <c r="P1813" s="31" t="str">
        <f>IF($B1813="","",IF($P1812="",$B1813,MAX($P1812,$B1813)))</f>
        <v/>
      </c>
      <c r="Q1813" s="32" t="str">
        <f>IF($P1813="","",$B1813/$P1813-1)</f>
        <v/>
      </c>
    </row>
    <row r="1814">
      <c r="A1814" s="11" t="n"/>
      <c r="B1814" s="29" t="n"/>
      <c r="K1814" s="30" t="str">
        <f>IF($A1814="","",EDATE($A1814,12*$E$4))</f>
        <v/>
      </c>
      <c r="L1814" s="19" t="str">
        <f>IF($K1814="","",IF($K1814&gt;MAX($A$8:$A$5007),"",IFERROR(MATCH($K1814,$A$8:$A$5007,1),"")))</f>
        <v/>
      </c>
      <c r="M1814" s="30" t="str">
        <f>IF($L1814="","",INDEX($A$8:$A$5007,$L1814))</f>
        <v/>
      </c>
      <c r="N1814" s="31" t="str">
        <f>IF($L1814="","",INDEX($B$8:$B$5007,$L1814))</f>
        <v/>
      </c>
      <c r="O1814" s="32" t="str">
        <f>IF($M1814="","",IF($K1814-$M1814&gt;7,"",IF($M1814&lt;=$A1814,"",IF(OR($B1814&lt;=0,$N1814&lt;=0),"",($N1814/$B1814)^(365/($M1814-$A1814))-1))))</f>
        <v/>
      </c>
      <c r="P1814" s="31" t="str">
        <f>IF($B1814="","",IF($P1813="",$B1814,MAX($P1813,$B1814)))</f>
        <v/>
      </c>
      <c r="Q1814" s="32" t="str">
        <f>IF($P1814="","",$B1814/$P1814-1)</f>
        <v/>
      </c>
    </row>
    <row r="1815">
      <c r="A1815" s="11" t="n"/>
      <c r="B1815" s="29" t="n"/>
      <c r="K1815" s="30" t="str">
        <f>IF($A1815="","",EDATE($A1815,12*$E$4))</f>
        <v/>
      </c>
      <c r="L1815" s="19" t="str">
        <f>IF($K1815="","",IF($K1815&gt;MAX($A$8:$A$5007),"",IFERROR(MATCH($K1815,$A$8:$A$5007,1),"")))</f>
        <v/>
      </c>
      <c r="M1815" s="30" t="str">
        <f>IF($L1815="","",INDEX($A$8:$A$5007,$L1815))</f>
        <v/>
      </c>
      <c r="N1815" s="31" t="str">
        <f>IF($L1815="","",INDEX($B$8:$B$5007,$L1815))</f>
        <v/>
      </c>
      <c r="O1815" s="32" t="str">
        <f>IF($M1815="","",IF($K1815-$M1815&gt;7,"",IF($M1815&lt;=$A1815,"",IF(OR($B1815&lt;=0,$N1815&lt;=0),"",($N1815/$B1815)^(365/($M1815-$A1815))-1))))</f>
        <v/>
      </c>
      <c r="P1815" s="31" t="str">
        <f>IF($B1815="","",IF($P1814="",$B1815,MAX($P1814,$B1815)))</f>
        <v/>
      </c>
      <c r="Q1815" s="32" t="str">
        <f>IF($P1815="","",$B1815/$P1815-1)</f>
        <v/>
      </c>
    </row>
    <row r="1816">
      <c r="A1816" s="11" t="n"/>
      <c r="B1816" s="29" t="n"/>
      <c r="K1816" s="30" t="str">
        <f>IF($A1816="","",EDATE($A1816,12*$E$4))</f>
        <v/>
      </c>
      <c r="L1816" s="19" t="str">
        <f>IF($K1816="","",IF($K1816&gt;MAX($A$8:$A$5007),"",IFERROR(MATCH($K1816,$A$8:$A$5007,1),"")))</f>
        <v/>
      </c>
      <c r="M1816" s="30" t="str">
        <f>IF($L1816="","",INDEX($A$8:$A$5007,$L1816))</f>
        <v/>
      </c>
      <c r="N1816" s="31" t="str">
        <f>IF($L1816="","",INDEX($B$8:$B$5007,$L1816))</f>
        <v/>
      </c>
      <c r="O1816" s="32" t="str">
        <f>IF($M1816="","",IF($K1816-$M1816&gt;7,"",IF($M1816&lt;=$A1816,"",IF(OR($B1816&lt;=0,$N1816&lt;=0),"",($N1816/$B1816)^(365/($M1816-$A1816))-1))))</f>
        <v/>
      </c>
      <c r="P1816" s="31" t="str">
        <f>IF($B1816="","",IF($P1815="",$B1816,MAX($P1815,$B1816)))</f>
        <v/>
      </c>
      <c r="Q1816" s="32" t="str">
        <f>IF($P1816="","",$B1816/$P1816-1)</f>
        <v/>
      </c>
    </row>
    <row r="1817">
      <c r="A1817" s="11" t="n"/>
      <c r="B1817" s="29" t="n"/>
      <c r="K1817" s="30" t="str">
        <f>IF($A1817="","",EDATE($A1817,12*$E$4))</f>
        <v/>
      </c>
      <c r="L1817" s="19" t="str">
        <f>IF($K1817="","",IF($K1817&gt;MAX($A$8:$A$5007),"",IFERROR(MATCH($K1817,$A$8:$A$5007,1),"")))</f>
        <v/>
      </c>
      <c r="M1817" s="30" t="str">
        <f>IF($L1817="","",INDEX($A$8:$A$5007,$L1817))</f>
        <v/>
      </c>
      <c r="N1817" s="31" t="str">
        <f>IF($L1817="","",INDEX($B$8:$B$5007,$L1817))</f>
        <v/>
      </c>
      <c r="O1817" s="32" t="str">
        <f>IF($M1817="","",IF($K1817-$M1817&gt;7,"",IF($M1817&lt;=$A1817,"",IF(OR($B1817&lt;=0,$N1817&lt;=0),"",($N1817/$B1817)^(365/($M1817-$A1817))-1))))</f>
        <v/>
      </c>
      <c r="P1817" s="31" t="str">
        <f>IF($B1817="","",IF($P1816="",$B1817,MAX($P1816,$B1817)))</f>
        <v/>
      </c>
      <c r="Q1817" s="32" t="str">
        <f>IF($P1817="","",$B1817/$P1817-1)</f>
        <v/>
      </c>
    </row>
    <row r="1818">
      <c r="A1818" s="11" t="n"/>
      <c r="B1818" s="29" t="n"/>
      <c r="K1818" s="30" t="str">
        <f>IF($A1818="","",EDATE($A1818,12*$E$4))</f>
        <v/>
      </c>
      <c r="L1818" s="19" t="str">
        <f>IF($K1818="","",IF($K1818&gt;MAX($A$8:$A$5007),"",IFERROR(MATCH($K1818,$A$8:$A$5007,1),"")))</f>
        <v/>
      </c>
      <c r="M1818" s="30" t="str">
        <f>IF($L1818="","",INDEX($A$8:$A$5007,$L1818))</f>
        <v/>
      </c>
      <c r="N1818" s="31" t="str">
        <f>IF($L1818="","",INDEX($B$8:$B$5007,$L1818))</f>
        <v/>
      </c>
      <c r="O1818" s="32" t="str">
        <f>IF($M1818="","",IF($K1818-$M1818&gt;7,"",IF($M1818&lt;=$A1818,"",IF(OR($B1818&lt;=0,$N1818&lt;=0),"",($N1818/$B1818)^(365/($M1818-$A1818))-1))))</f>
        <v/>
      </c>
      <c r="P1818" s="31" t="str">
        <f>IF($B1818="","",IF($P1817="",$B1818,MAX($P1817,$B1818)))</f>
        <v/>
      </c>
      <c r="Q1818" s="32" t="str">
        <f>IF($P1818="","",$B1818/$P1818-1)</f>
        <v/>
      </c>
    </row>
    <row r="1819">
      <c r="A1819" s="11" t="n"/>
      <c r="B1819" s="29" t="n"/>
      <c r="K1819" s="30" t="str">
        <f>IF($A1819="","",EDATE($A1819,12*$E$4))</f>
        <v/>
      </c>
      <c r="L1819" s="19" t="str">
        <f>IF($K1819="","",IF($K1819&gt;MAX($A$8:$A$5007),"",IFERROR(MATCH($K1819,$A$8:$A$5007,1),"")))</f>
        <v/>
      </c>
      <c r="M1819" s="30" t="str">
        <f>IF($L1819="","",INDEX($A$8:$A$5007,$L1819))</f>
        <v/>
      </c>
      <c r="N1819" s="31" t="str">
        <f>IF($L1819="","",INDEX($B$8:$B$5007,$L1819))</f>
        <v/>
      </c>
      <c r="O1819" s="32" t="str">
        <f>IF($M1819="","",IF($K1819-$M1819&gt;7,"",IF($M1819&lt;=$A1819,"",IF(OR($B1819&lt;=0,$N1819&lt;=0),"",($N1819/$B1819)^(365/($M1819-$A1819))-1))))</f>
        <v/>
      </c>
      <c r="P1819" s="31" t="str">
        <f>IF($B1819="","",IF($P1818="",$B1819,MAX($P1818,$B1819)))</f>
        <v/>
      </c>
      <c r="Q1819" s="32" t="str">
        <f>IF($P1819="","",$B1819/$P1819-1)</f>
        <v/>
      </c>
    </row>
    <row r="1820">
      <c r="A1820" s="11" t="n"/>
      <c r="B1820" s="29" t="n"/>
      <c r="K1820" s="30" t="str">
        <f>IF($A1820="","",EDATE($A1820,12*$E$4))</f>
        <v/>
      </c>
      <c r="L1820" s="19" t="str">
        <f>IF($K1820="","",IF($K1820&gt;MAX($A$8:$A$5007),"",IFERROR(MATCH($K1820,$A$8:$A$5007,1),"")))</f>
        <v/>
      </c>
      <c r="M1820" s="30" t="str">
        <f>IF($L1820="","",INDEX($A$8:$A$5007,$L1820))</f>
        <v/>
      </c>
      <c r="N1820" s="31" t="str">
        <f>IF($L1820="","",INDEX($B$8:$B$5007,$L1820))</f>
        <v/>
      </c>
      <c r="O1820" s="32" t="str">
        <f>IF($M1820="","",IF($K1820-$M1820&gt;7,"",IF($M1820&lt;=$A1820,"",IF(OR($B1820&lt;=0,$N1820&lt;=0),"",($N1820/$B1820)^(365/($M1820-$A1820))-1))))</f>
        <v/>
      </c>
      <c r="P1820" s="31" t="str">
        <f>IF($B1820="","",IF($P1819="",$B1820,MAX($P1819,$B1820)))</f>
        <v/>
      </c>
      <c r="Q1820" s="32" t="str">
        <f>IF($P1820="","",$B1820/$P1820-1)</f>
        <v/>
      </c>
    </row>
    <row r="1821">
      <c r="A1821" s="11" t="n"/>
      <c r="B1821" s="29" t="n"/>
      <c r="K1821" s="30" t="str">
        <f>IF($A1821="","",EDATE($A1821,12*$E$4))</f>
        <v/>
      </c>
      <c r="L1821" s="19" t="str">
        <f>IF($K1821="","",IF($K1821&gt;MAX($A$8:$A$5007),"",IFERROR(MATCH($K1821,$A$8:$A$5007,1),"")))</f>
        <v/>
      </c>
      <c r="M1821" s="30" t="str">
        <f>IF($L1821="","",INDEX($A$8:$A$5007,$L1821))</f>
        <v/>
      </c>
      <c r="N1821" s="31" t="str">
        <f>IF($L1821="","",INDEX($B$8:$B$5007,$L1821))</f>
        <v/>
      </c>
      <c r="O1821" s="32" t="str">
        <f>IF($M1821="","",IF($K1821-$M1821&gt;7,"",IF($M1821&lt;=$A1821,"",IF(OR($B1821&lt;=0,$N1821&lt;=0),"",($N1821/$B1821)^(365/($M1821-$A1821))-1))))</f>
        <v/>
      </c>
      <c r="P1821" s="31" t="str">
        <f>IF($B1821="","",IF($P1820="",$B1821,MAX($P1820,$B1821)))</f>
        <v/>
      </c>
      <c r="Q1821" s="32" t="str">
        <f>IF($P1821="","",$B1821/$P1821-1)</f>
        <v/>
      </c>
    </row>
    <row r="1822">
      <c r="A1822" s="11" t="n"/>
      <c r="B1822" s="29" t="n"/>
      <c r="K1822" s="30" t="str">
        <f>IF($A1822="","",EDATE($A1822,12*$E$4))</f>
        <v/>
      </c>
      <c r="L1822" s="19" t="str">
        <f>IF($K1822="","",IF($K1822&gt;MAX($A$8:$A$5007),"",IFERROR(MATCH($K1822,$A$8:$A$5007,1),"")))</f>
        <v/>
      </c>
      <c r="M1822" s="30" t="str">
        <f>IF($L1822="","",INDEX($A$8:$A$5007,$L1822))</f>
        <v/>
      </c>
      <c r="N1822" s="31" t="str">
        <f>IF($L1822="","",INDEX($B$8:$B$5007,$L1822))</f>
        <v/>
      </c>
      <c r="O1822" s="32" t="str">
        <f>IF($M1822="","",IF($K1822-$M1822&gt;7,"",IF($M1822&lt;=$A1822,"",IF(OR($B1822&lt;=0,$N1822&lt;=0),"",($N1822/$B1822)^(365/($M1822-$A1822))-1))))</f>
        <v/>
      </c>
      <c r="P1822" s="31" t="str">
        <f>IF($B1822="","",IF($P1821="",$B1822,MAX($P1821,$B1822)))</f>
        <v/>
      </c>
      <c r="Q1822" s="32" t="str">
        <f>IF($P1822="","",$B1822/$P1822-1)</f>
        <v/>
      </c>
    </row>
    <row r="1823">
      <c r="A1823" s="11" t="n"/>
      <c r="B1823" s="29" t="n"/>
      <c r="K1823" s="30" t="str">
        <f>IF($A1823="","",EDATE($A1823,12*$E$4))</f>
        <v/>
      </c>
      <c r="L1823" s="19" t="str">
        <f>IF($K1823="","",IF($K1823&gt;MAX($A$8:$A$5007),"",IFERROR(MATCH($K1823,$A$8:$A$5007,1),"")))</f>
        <v/>
      </c>
      <c r="M1823" s="30" t="str">
        <f>IF($L1823="","",INDEX($A$8:$A$5007,$L1823))</f>
        <v/>
      </c>
      <c r="N1823" s="31" t="str">
        <f>IF($L1823="","",INDEX($B$8:$B$5007,$L1823))</f>
        <v/>
      </c>
      <c r="O1823" s="32" t="str">
        <f>IF($M1823="","",IF($K1823-$M1823&gt;7,"",IF($M1823&lt;=$A1823,"",IF(OR($B1823&lt;=0,$N1823&lt;=0),"",($N1823/$B1823)^(365/($M1823-$A1823))-1))))</f>
        <v/>
      </c>
      <c r="P1823" s="31" t="str">
        <f>IF($B1823="","",IF($P1822="",$B1823,MAX($P1822,$B1823)))</f>
        <v/>
      </c>
      <c r="Q1823" s="32" t="str">
        <f>IF($P1823="","",$B1823/$P1823-1)</f>
        <v/>
      </c>
    </row>
    <row r="1824">
      <c r="A1824" s="11" t="n"/>
      <c r="B1824" s="29" t="n"/>
      <c r="K1824" s="30" t="str">
        <f>IF($A1824="","",EDATE($A1824,12*$E$4))</f>
        <v/>
      </c>
      <c r="L1824" s="19" t="str">
        <f>IF($K1824="","",IF($K1824&gt;MAX($A$8:$A$5007),"",IFERROR(MATCH($K1824,$A$8:$A$5007,1),"")))</f>
        <v/>
      </c>
      <c r="M1824" s="30" t="str">
        <f>IF($L1824="","",INDEX($A$8:$A$5007,$L1824))</f>
        <v/>
      </c>
      <c r="N1824" s="31" t="str">
        <f>IF($L1824="","",INDEX($B$8:$B$5007,$L1824))</f>
        <v/>
      </c>
      <c r="O1824" s="32" t="str">
        <f>IF($M1824="","",IF($K1824-$M1824&gt;7,"",IF($M1824&lt;=$A1824,"",IF(OR($B1824&lt;=0,$N1824&lt;=0),"",($N1824/$B1824)^(365/($M1824-$A1824))-1))))</f>
        <v/>
      </c>
      <c r="P1824" s="31" t="str">
        <f>IF($B1824="","",IF($P1823="",$B1824,MAX($P1823,$B1824)))</f>
        <v/>
      </c>
      <c r="Q1824" s="32" t="str">
        <f>IF($P1824="","",$B1824/$P1824-1)</f>
        <v/>
      </c>
    </row>
    <row r="1825">
      <c r="A1825" s="11" t="n"/>
      <c r="B1825" s="29" t="n"/>
      <c r="K1825" s="30" t="str">
        <f>IF($A1825="","",EDATE($A1825,12*$E$4))</f>
        <v/>
      </c>
      <c r="L1825" s="19" t="str">
        <f>IF($K1825="","",IF($K1825&gt;MAX($A$8:$A$5007),"",IFERROR(MATCH($K1825,$A$8:$A$5007,1),"")))</f>
        <v/>
      </c>
      <c r="M1825" s="30" t="str">
        <f>IF($L1825="","",INDEX($A$8:$A$5007,$L1825))</f>
        <v/>
      </c>
      <c r="N1825" s="31" t="str">
        <f>IF($L1825="","",INDEX($B$8:$B$5007,$L1825))</f>
        <v/>
      </c>
      <c r="O1825" s="32" t="str">
        <f>IF($M1825="","",IF($K1825-$M1825&gt;7,"",IF($M1825&lt;=$A1825,"",IF(OR($B1825&lt;=0,$N1825&lt;=0),"",($N1825/$B1825)^(365/($M1825-$A1825))-1))))</f>
        <v/>
      </c>
      <c r="P1825" s="31" t="str">
        <f>IF($B1825="","",IF($P1824="",$B1825,MAX($P1824,$B1825)))</f>
        <v/>
      </c>
      <c r="Q1825" s="32" t="str">
        <f>IF($P1825="","",$B1825/$P1825-1)</f>
        <v/>
      </c>
    </row>
    <row r="1826">
      <c r="A1826" s="11" t="n"/>
      <c r="B1826" s="29" t="n"/>
      <c r="K1826" s="30" t="str">
        <f>IF($A1826="","",EDATE($A1826,12*$E$4))</f>
        <v/>
      </c>
      <c r="L1826" s="19" t="str">
        <f>IF($K1826="","",IF($K1826&gt;MAX($A$8:$A$5007),"",IFERROR(MATCH($K1826,$A$8:$A$5007,1),"")))</f>
        <v/>
      </c>
      <c r="M1826" s="30" t="str">
        <f>IF($L1826="","",INDEX($A$8:$A$5007,$L1826))</f>
        <v/>
      </c>
      <c r="N1826" s="31" t="str">
        <f>IF($L1826="","",INDEX($B$8:$B$5007,$L1826))</f>
        <v/>
      </c>
      <c r="O1826" s="32" t="str">
        <f>IF($M1826="","",IF($K1826-$M1826&gt;7,"",IF($M1826&lt;=$A1826,"",IF(OR($B1826&lt;=0,$N1826&lt;=0),"",($N1826/$B1826)^(365/($M1826-$A1826))-1))))</f>
        <v/>
      </c>
      <c r="P1826" s="31" t="str">
        <f>IF($B1826="","",IF($P1825="",$B1826,MAX($P1825,$B1826)))</f>
        <v/>
      </c>
      <c r="Q1826" s="32" t="str">
        <f>IF($P1826="","",$B1826/$P1826-1)</f>
        <v/>
      </c>
    </row>
    <row r="1827">
      <c r="A1827" s="11" t="n"/>
      <c r="B1827" s="29" t="n"/>
      <c r="K1827" s="30" t="str">
        <f>IF($A1827="","",EDATE($A1827,12*$E$4))</f>
        <v/>
      </c>
      <c r="L1827" s="19" t="str">
        <f>IF($K1827="","",IF($K1827&gt;MAX($A$8:$A$5007),"",IFERROR(MATCH($K1827,$A$8:$A$5007,1),"")))</f>
        <v/>
      </c>
      <c r="M1827" s="30" t="str">
        <f>IF($L1827="","",INDEX($A$8:$A$5007,$L1827))</f>
        <v/>
      </c>
      <c r="N1827" s="31" t="str">
        <f>IF($L1827="","",INDEX($B$8:$B$5007,$L1827))</f>
        <v/>
      </c>
      <c r="O1827" s="32" t="str">
        <f>IF($M1827="","",IF($K1827-$M1827&gt;7,"",IF($M1827&lt;=$A1827,"",IF(OR($B1827&lt;=0,$N1827&lt;=0),"",($N1827/$B1827)^(365/($M1827-$A1827))-1))))</f>
        <v/>
      </c>
      <c r="P1827" s="31" t="str">
        <f>IF($B1827="","",IF($P1826="",$B1827,MAX($P1826,$B1827)))</f>
        <v/>
      </c>
      <c r="Q1827" s="32" t="str">
        <f>IF($P1827="","",$B1827/$P1827-1)</f>
        <v/>
      </c>
    </row>
    <row r="1828">
      <c r="A1828" s="11" t="n"/>
      <c r="B1828" s="29" t="n"/>
      <c r="K1828" s="30" t="str">
        <f>IF($A1828="","",EDATE($A1828,12*$E$4))</f>
        <v/>
      </c>
      <c r="L1828" s="19" t="str">
        <f>IF($K1828="","",IF($K1828&gt;MAX($A$8:$A$5007),"",IFERROR(MATCH($K1828,$A$8:$A$5007,1),"")))</f>
        <v/>
      </c>
      <c r="M1828" s="30" t="str">
        <f>IF($L1828="","",INDEX($A$8:$A$5007,$L1828))</f>
        <v/>
      </c>
      <c r="N1828" s="31" t="str">
        <f>IF($L1828="","",INDEX($B$8:$B$5007,$L1828))</f>
        <v/>
      </c>
      <c r="O1828" s="32" t="str">
        <f>IF($M1828="","",IF($K1828-$M1828&gt;7,"",IF($M1828&lt;=$A1828,"",IF(OR($B1828&lt;=0,$N1828&lt;=0),"",($N1828/$B1828)^(365/($M1828-$A1828))-1))))</f>
        <v/>
      </c>
      <c r="P1828" s="31" t="str">
        <f>IF($B1828="","",IF($P1827="",$B1828,MAX($P1827,$B1828)))</f>
        <v/>
      </c>
      <c r="Q1828" s="32" t="str">
        <f>IF($P1828="","",$B1828/$P1828-1)</f>
        <v/>
      </c>
    </row>
    <row r="1829">
      <c r="A1829" s="11" t="n"/>
      <c r="B1829" s="29" t="n"/>
      <c r="K1829" s="30" t="str">
        <f>IF($A1829="","",EDATE($A1829,12*$E$4))</f>
        <v/>
      </c>
      <c r="L1829" s="19" t="str">
        <f>IF($K1829="","",IF($K1829&gt;MAX($A$8:$A$5007),"",IFERROR(MATCH($K1829,$A$8:$A$5007,1),"")))</f>
        <v/>
      </c>
      <c r="M1829" s="30" t="str">
        <f>IF($L1829="","",INDEX($A$8:$A$5007,$L1829))</f>
        <v/>
      </c>
      <c r="N1829" s="31" t="str">
        <f>IF($L1829="","",INDEX($B$8:$B$5007,$L1829))</f>
        <v/>
      </c>
      <c r="O1829" s="32" t="str">
        <f>IF($M1829="","",IF($K1829-$M1829&gt;7,"",IF($M1829&lt;=$A1829,"",IF(OR($B1829&lt;=0,$N1829&lt;=0),"",($N1829/$B1829)^(365/($M1829-$A1829))-1))))</f>
        <v/>
      </c>
      <c r="P1829" s="31" t="str">
        <f>IF($B1829="","",IF($P1828="",$B1829,MAX($P1828,$B1829)))</f>
        <v/>
      </c>
      <c r="Q1829" s="32" t="str">
        <f>IF($P1829="","",$B1829/$P1829-1)</f>
        <v/>
      </c>
    </row>
    <row r="1830">
      <c r="A1830" s="11" t="n"/>
      <c r="B1830" s="29" t="n"/>
      <c r="K1830" s="30" t="str">
        <f>IF($A1830="","",EDATE($A1830,12*$E$4))</f>
        <v/>
      </c>
      <c r="L1830" s="19" t="str">
        <f>IF($K1830="","",IF($K1830&gt;MAX($A$8:$A$5007),"",IFERROR(MATCH($K1830,$A$8:$A$5007,1),"")))</f>
        <v/>
      </c>
      <c r="M1830" s="30" t="str">
        <f>IF($L1830="","",INDEX($A$8:$A$5007,$L1830))</f>
        <v/>
      </c>
      <c r="N1830" s="31" t="str">
        <f>IF($L1830="","",INDEX($B$8:$B$5007,$L1830))</f>
        <v/>
      </c>
      <c r="O1830" s="32" t="str">
        <f>IF($M1830="","",IF($K1830-$M1830&gt;7,"",IF($M1830&lt;=$A1830,"",IF(OR($B1830&lt;=0,$N1830&lt;=0),"",($N1830/$B1830)^(365/($M1830-$A1830))-1))))</f>
        <v/>
      </c>
      <c r="P1830" s="31" t="str">
        <f>IF($B1830="","",IF($P1829="",$B1830,MAX($P1829,$B1830)))</f>
        <v/>
      </c>
      <c r="Q1830" s="32" t="str">
        <f>IF($P1830="","",$B1830/$P1830-1)</f>
        <v/>
      </c>
    </row>
    <row r="1831">
      <c r="A1831" s="11" t="n"/>
      <c r="B1831" s="29" t="n"/>
      <c r="K1831" s="30" t="str">
        <f>IF($A1831="","",EDATE($A1831,12*$E$4))</f>
        <v/>
      </c>
      <c r="L1831" s="19" t="str">
        <f>IF($K1831="","",IF($K1831&gt;MAX($A$8:$A$5007),"",IFERROR(MATCH($K1831,$A$8:$A$5007,1),"")))</f>
        <v/>
      </c>
      <c r="M1831" s="30" t="str">
        <f>IF($L1831="","",INDEX($A$8:$A$5007,$L1831))</f>
        <v/>
      </c>
      <c r="N1831" s="31" t="str">
        <f>IF($L1831="","",INDEX($B$8:$B$5007,$L1831))</f>
        <v/>
      </c>
      <c r="O1831" s="32" t="str">
        <f>IF($M1831="","",IF($K1831-$M1831&gt;7,"",IF($M1831&lt;=$A1831,"",IF(OR($B1831&lt;=0,$N1831&lt;=0),"",($N1831/$B1831)^(365/($M1831-$A1831))-1))))</f>
        <v/>
      </c>
      <c r="P1831" s="31" t="str">
        <f>IF($B1831="","",IF($P1830="",$B1831,MAX($P1830,$B1831)))</f>
        <v/>
      </c>
      <c r="Q1831" s="32" t="str">
        <f>IF($P1831="","",$B1831/$P1831-1)</f>
        <v/>
      </c>
    </row>
    <row r="1832">
      <c r="A1832" s="11" t="n"/>
      <c r="B1832" s="29" t="n"/>
      <c r="K1832" s="30" t="str">
        <f>IF($A1832="","",EDATE($A1832,12*$E$4))</f>
        <v/>
      </c>
      <c r="L1832" s="19" t="str">
        <f>IF($K1832="","",IF($K1832&gt;MAX($A$8:$A$5007),"",IFERROR(MATCH($K1832,$A$8:$A$5007,1),"")))</f>
        <v/>
      </c>
      <c r="M1832" s="30" t="str">
        <f>IF($L1832="","",INDEX($A$8:$A$5007,$L1832))</f>
        <v/>
      </c>
      <c r="N1832" s="31" t="str">
        <f>IF($L1832="","",INDEX($B$8:$B$5007,$L1832))</f>
        <v/>
      </c>
      <c r="O1832" s="32" t="str">
        <f>IF($M1832="","",IF($K1832-$M1832&gt;7,"",IF($M1832&lt;=$A1832,"",IF(OR($B1832&lt;=0,$N1832&lt;=0),"",($N1832/$B1832)^(365/($M1832-$A1832))-1))))</f>
        <v/>
      </c>
      <c r="P1832" s="31" t="str">
        <f>IF($B1832="","",IF($P1831="",$B1832,MAX($P1831,$B1832)))</f>
        <v/>
      </c>
      <c r="Q1832" s="32" t="str">
        <f>IF($P1832="","",$B1832/$P1832-1)</f>
        <v/>
      </c>
    </row>
    <row r="1833">
      <c r="A1833" s="11" t="n"/>
      <c r="B1833" s="29" t="n"/>
      <c r="K1833" s="30" t="str">
        <f>IF($A1833="","",EDATE($A1833,12*$E$4))</f>
        <v/>
      </c>
      <c r="L1833" s="19" t="str">
        <f>IF($K1833="","",IF($K1833&gt;MAX($A$8:$A$5007),"",IFERROR(MATCH($K1833,$A$8:$A$5007,1),"")))</f>
        <v/>
      </c>
      <c r="M1833" s="30" t="str">
        <f>IF($L1833="","",INDEX($A$8:$A$5007,$L1833))</f>
        <v/>
      </c>
      <c r="N1833" s="31" t="str">
        <f>IF($L1833="","",INDEX($B$8:$B$5007,$L1833))</f>
        <v/>
      </c>
      <c r="O1833" s="32" t="str">
        <f>IF($M1833="","",IF($K1833-$M1833&gt;7,"",IF($M1833&lt;=$A1833,"",IF(OR($B1833&lt;=0,$N1833&lt;=0),"",($N1833/$B1833)^(365/($M1833-$A1833))-1))))</f>
        <v/>
      </c>
      <c r="P1833" s="31" t="str">
        <f>IF($B1833="","",IF($P1832="",$B1833,MAX($P1832,$B1833)))</f>
        <v/>
      </c>
      <c r="Q1833" s="32" t="str">
        <f>IF($P1833="","",$B1833/$P1833-1)</f>
        <v/>
      </c>
    </row>
    <row r="1834">
      <c r="A1834" s="11" t="n"/>
      <c r="B1834" s="29" t="n"/>
      <c r="K1834" s="30" t="str">
        <f>IF($A1834="","",EDATE($A1834,12*$E$4))</f>
        <v/>
      </c>
      <c r="L1834" s="19" t="str">
        <f>IF($K1834="","",IF($K1834&gt;MAX($A$8:$A$5007),"",IFERROR(MATCH($K1834,$A$8:$A$5007,1),"")))</f>
        <v/>
      </c>
      <c r="M1834" s="30" t="str">
        <f>IF($L1834="","",INDEX($A$8:$A$5007,$L1834))</f>
        <v/>
      </c>
      <c r="N1834" s="31" t="str">
        <f>IF($L1834="","",INDEX($B$8:$B$5007,$L1834))</f>
        <v/>
      </c>
      <c r="O1834" s="32" t="str">
        <f>IF($M1834="","",IF($K1834-$M1834&gt;7,"",IF($M1834&lt;=$A1834,"",IF(OR($B1834&lt;=0,$N1834&lt;=0),"",($N1834/$B1834)^(365/($M1834-$A1834))-1))))</f>
        <v/>
      </c>
      <c r="P1834" s="31" t="str">
        <f>IF($B1834="","",IF($P1833="",$B1834,MAX($P1833,$B1834)))</f>
        <v/>
      </c>
      <c r="Q1834" s="32" t="str">
        <f>IF($P1834="","",$B1834/$P1834-1)</f>
        <v/>
      </c>
    </row>
    <row r="1835">
      <c r="A1835" s="11" t="n"/>
      <c r="B1835" s="29" t="n"/>
      <c r="K1835" s="30" t="str">
        <f>IF($A1835="","",EDATE($A1835,12*$E$4))</f>
        <v/>
      </c>
      <c r="L1835" s="19" t="str">
        <f>IF($K1835="","",IF($K1835&gt;MAX($A$8:$A$5007),"",IFERROR(MATCH($K1835,$A$8:$A$5007,1),"")))</f>
        <v/>
      </c>
      <c r="M1835" s="30" t="str">
        <f>IF($L1835="","",INDEX($A$8:$A$5007,$L1835))</f>
        <v/>
      </c>
      <c r="N1835" s="31" t="str">
        <f>IF($L1835="","",INDEX($B$8:$B$5007,$L1835))</f>
        <v/>
      </c>
      <c r="O1835" s="32" t="str">
        <f>IF($M1835="","",IF($K1835-$M1835&gt;7,"",IF($M1835&lt;=$A1835,"",IF(OR($B1835&lt;=0,$N1835&lt;=0),"",($N1835/$B1835)^(365/($M1835-$A1835))-1))))</f>
        <v/>
      </c>
      <c r="P1835" s="31" t="str">
        <f>IF($B1835="","",IF($P1834="",$B1835,MAX($P1834,$B1835)))</f>
        <v/>
      </c>
      <c r="Q1835" s="32" t="str">
        <f>IF($P1835="","",$B1835/$P1835-1)</f>
        <v/>
      </c>
    </row>
    <row r="1836">
      <c r="A1836" s="11" t="n"/>
      <c r="B1836" s="29" t="n"/>
      <c r="K1836" s="30" t="str">
        <f>IF($A1836="","",EDATE($A1836,12*$E$4))</f>
        <v/>
      </c>
      <c r="L1836" s="19" t="str">
        <f>IF($K1836="","",IF($K1836&gt;MAX($A$8:$A$5007),"",IFERROR(MATCH($K1836,$A$8:$A$5007,1),"")))</f>
        <v/>
      </c>
      <c r="M1836" s="30" t="str">
        <f>IF($L1836="","",INDEX($A$8:$A$5007,$L1836))</f>
        <v/>
      </c>
      <c r="N1836" s="31" t="str">
        <f>IF($L1836="","",INDEX($B$8:$B$5007,$L1836))</f>
        <v/>
      </c>
      <c r="O1836" s="32" t="str">
        <f>IF($M1836="","",IF($K1836-$M1836&gt;7,"",IF($M1836&lt;=$A1836,"",IF(OR($B1836&lt;=0,$N1836&lt;=0),"",($N1836/$B1836)^(365/($M1836-$A1836))-1))))</f>
        <v/>
      </c>
      <c r="P1836" s="31" t="str">
        <f>IF($B1836="","",IF($P1835="",$B1836,MAX($P1835,$B1836)))</f>
        <v/>
      </c>
      <c r="Q1836" s="32" t="str">
        <f>IF($P1836="","",$B1836/$P1836-1)</f>
        <v/>
      </c>
    </row>
    <row r="1837">
      <c r="A1837" s="11" t="n"/>
      <c r="B1837" s="29" t="n"/>
      <c r="K1837" s="30" t="str">
        <f>IF($A1837="","",EDATE($A1837,12*$E$4))</f>
        <v/>
      </c>
      <c r="L1837" s="19" t="str">
        <f>IF($K1837="","",IF($K1837&gt;MAX($A$8:$A$5007),"",IFERROR(MATCH($K1837,$A$8:$A$5007,1),"")))</f>
        <v/>
      </c>
      <c r="M1837" s="30" t="str">
        <f>IF($L1837="","",INDEX($A$8:$A$5007,$L1837))</f>
        <v/>
      </c>
      <c r="N1837" s="31" t="str">
        <f>IF($L1837="","",INDEX($B$8:$B$5007,$L1837))</f>
        <v/>
      </c>
      <c r="O1837" s="32" t="str">
        <f>IF($M1837="","",IF($K1837-$M1837&gt;7,"",IF($M1837&lt;=$A1837,"",IF(OR($B1837&lt;=0,$N1837&lt;=0),"",($N1837/$B1837)^(365/($M1837-$A1837))-1))))</f>
        <v/>
      </c>
      <c r="P1837" s="31" t="str">
        <f>IF($B1837="","",IF($P1836="",$B1837,MAX($P1836,$B1837)))</f>
        <v/>
      </c>
      <c r="Q1837" s="32" t="str">
        <f>IF($P1837="","",$B1837/$P1837-1)</f>
        <v/>
      </c>
    </row>
    <row r="1838">
      <c r="A1838" s="11" t="n"/>
      <c r="B1838" s="29" t="n"/>
      <c r="K1838" s="30" t="str">
        <f>IF($A1838="","",EDATE($A1838,12*$E$4))</f>
        <v/>
      </c>
      <c r="L1838" s="19" t="str">
        <f>IF($K1838="","",IF($K1838&gt;MAX($A$8:$A$5007),"",IFERROR(MATCH($K1838,$A$8:$A$5007,1),"")))</f>
        <v/>
      </c>
      <c r="M1838" s="30" t="str">
        <f>IF($L1838="","",INDEX($A$8:$A$5007,$L1838))</f>
        <v/>
      </c>
      <c r="N1838" s="31" t="str">
        <f>IF($L1838="","",INDEX($B$8:$B$5007,$L1838))</f>
        <v/>
      </c>
      <c r="O1838" s="32" t="str">
        <f>IF($M1838="","",IF($K1838-$M1838&gt;7,"",IF($M1838&lt;=$A1838,"",IF(OR($B1838&lt;=0,$N1838&lt;=0),"",($N1838/$B1838)^(365/($M1838-$A1838))-1))))</f>
        <v/>
      </c>
      <c r="P1838" s="31" t="str">
        <f>IF($B1838="","",IF($P1837="",$B1838,MAX($P1837,$B1838)))</f>
        <v/>
      </c>
      <c r="Q1838" s="32" t="str">
        <f>IF($P1838="","",$B1838/$P1838-1)</f>
        <v/>
      </c>
    </row>
    <row r="1839">
      <c r="A1839" s="11" t="n"/>
      <c r="B1839" s="29" t="n"/>
      <c r="K1839" s="30" t="str">
        <f>IF($A1839="","",EDATE($A1839,12*$E$4))</f>
        <v/>
      </c>
      <c r="L1839" s="19" t="str">
        <f>IF($K1839="","",IF($K1839&gt;MAX($A$8:$A$5007),"",IFERROR(MATCH($K1839,$A$8:$A$5007,1),"")))</f>
        <v/>
      </c>
      <c r="M1839" s="30" t="str">
        <f>IF($L1839="","",INDEX($A$8:$A$5007,$L1839))</f>
        <v/>
      </c>
      <c r="N1839" s="31" t="str">
        <f>IF($L1839="","",INDEX($B$8:$B$5007,$L1839))</f>
        <v/>
      </c>
      <c r="O1839" s="32" t="str">
        <f>IF($M1839="","",IF($K1839-$M1839&gt;7,"",IF($M1839&lt;=$A1839,"",IF(OR($B1839&lt;=0,$N1839&lt;=0),"",($N1839/$B1839)^(365/($M1839-$A1839))-1))))</f>
        <v/>
      </c>
      <c r="P1839" s="31" t="str">
        <f>IF($B1839="","",IF($P1838="",$B1839,MAX($P1838,$B1839)))</f>
        <v/>
      </c>
      <c r="Q1839" s="32" t="str">
        <f>IF($P1839="","",$B1839/$P1839-1)</f>
        <v/>
      </c>
    </row>
    <row r="1840">
      <c r="A1840" s="11" t="n"/>
      <c r="B1840" s="29" t="n"/>
      <c r="K1840" s="30" t="str">
        <f>IF($A1840="","",EDATE($A1840,12*$E$4))</f>
        <v/>
      </c>
      <c r="L1840" s="19" t="str">
        <f>IF($K1840="","",IF($K1840&gt;MAX($A$8:$A$5007),"",IFERROR(MATCH($K1840,$A$8:$A$5007,1),"")))</f>
        <v/>
      </c>
      <c r="M1840" s="30" t="str">
        <f>IF($L1840="","",INDEX($A$8:$A$5007,$L1840))</f>
        <v/>
      </c>
      <c r="N1840" s="31" t="str">
        <f>IF($L1840="","",INDEX($B$8:$B$5007,$L1840))</f>
        <v/>
      </c>
      <c r="O1840" s="32" t="str">
        <f>IF($M1840="","",IF($K1840-$M1840&gt;7,"",IF($M1840&lt;=$A1840,"",IF(OR($B1840&lt;=0,$N1840&lt;=0),"",($N1840/$B1840)^(365/($M1840-$A1840))-1))))</f>
        <v/>
      </c>
      <c r="P1840" s="31" t="str">
        <f>IF($B1840="","",IF($P1839="",$B1840,MAX($P1839,$B1840)))</f>
        <v/>
      </c>
      <c r="Q1840" s="32" t="str">
        <f>IF($P1840="","",$B1840/$P1840-1)</f>
        <v/>
      </c>
    </row>
    <row r="1841">
      <c r="A1841" s="11" t="n"/>
      <c r="B1841" s="29" t="n"/>
      <c r="K1841" s="30" t="str">
        <f>IF($A1841="","",EDATE($A1841,12*$E$4))</f>
        <v/>
      </c>
      <c r="L1841" s="19" t="str">
        <f>IF($K1841="","",IF($K1841&gt;MAX($A$8:$A$5007),"",IFERROR(MATCH($K1841,$A$8:$A$5007,1),"")))</f>
        <v/>
      </c>
      <c r="M1841" s="30" t="str">
        <f>IF($L1841="","",INDEX($A$8:$A$5007,$L1841))</f>
        <v/>
      </c>
      <c r="N1841" s="31" t="str">
        <f>IF($L1841="","",INDEX($B$8:$B$5007,$L1841))</f>
        <v/>
      </c>
      <c r="O1841" s="32" t="str">
        <f>IF($M1841="","",IF($K1841-$M1841&gt;7,"",IF($M1841&lt;=$A1841,"",IF(OR($B1841&lt;=0,$N1841&lt;=0),"",($N1841/$B1841)^(365/($M1841-$A1841))-1))))</f>
        <v/>
      </c>
      <c r="P1841" s="31" t="str">
        <f>IF($B1841="","",IF($P1840="",$B1841,MAX($P1840,$B1841)))</f>
        <v/>
      </c>
      <c r="Q1841" s="32" t="str">
        <f>IF($P1841="","",$B1841/$P1841-1)</f>
        <v/>
      </c>
    </row>
    <row r="1842">
      <c r="A1842" s="11" t="n"/>
      <c r="B1842" s="29" t="n"/>
      <c r="K1842" s="30" t="str">
        <f>IF($A1842="","",EDATE($A1842,12*$E$4))</f>
        <v/>
      </c>
      <c r="L1842" s="19" t="str">
        <f>IF($K1842="","",IF($K1842&gt;MAX($A$8:$A$5007),"",IFERROR(MATCH($K1842,$A$8:$A$5007,1),"")))</f>
        <v/>
      </c>
      <c r="M1842" s="30" t="str">
        <f>IF($L1842="","",INDEX($A$8:$A$5007,$L1842))</f>
        <v/>
      </c>
      <c r="N1842" s="31" t="str">
        <f>IF($L1842="","",INDEX($B$8:$B$5007,$L1842))</f>
        <v/>
      </c>
      <c r="O1842" s="32" t="str">
        <f>IF($M1842="","",IF($K1842-$M1842&gt;7,"",IF($M1842&lt;=$A1842,"",IF(OR($B1842&lt;=0,$N1842&lt;=0),"",($N1842/$B1842)^(365/($M1842-$A1842))-1))))</f>
        <v/>
      </c>
      <c r="P1842" s="31" t="str">
        <f>IF($B1842="","",IF($P1841="",$B1842,MAX($P1841,$B1842)))</f>
        <v/>
      </c>
      <c r="Q1842" s="32" t="str">
        <f>IF($P1842="","",$B1842/$P1842-1)</f>
        <v/>
      </c>
    </row>
    <row r="1843">
      <c r="A1843" s="11" t="n"/>
      <c r="B1843" s="29" t="n"/>
      <c r="K1843" s="30" t="str">
        <f>IF($A1843="","",EDATE($A1843,12*$E$4))</f>
        <v/>
      </c>
      <c r="L1843" s="19" t="str">
        <f>IF($K1843="","",IF($K1843&gt;MAX($A$8:$A$5007),"",IFERROR(MATCH($K1843,$A$8:$A$5007,1),"")))</f>
        <v/>
      </c>
      <c r="M1843" s="30" t="str">
        <f>IF($L1843="","",INDEX($A$8:$A$5007,$L1843))</f>
        <v/>
      </c>
      <c r="N1843" s="31" t="str">
        <f>IF($L1843="","",INDEX($B$8:$B$5007,$L1843))</f>
        <v/>
      </c>
      <c r="O1843" s="32" t="str">
        <f>IF($M1843="","",IF($K1843-$M1843&gt;7,"",IF($M1843&lt;=$A1843,"",IF(OR($B1843&lt;=0,$N1843&lt;=0),"",($N1843/$B1843)^(365/($M1843-$A1843))-1))))</f>
        <v/>
      </c>
      <c r="P1843" s="31" t="str">
        <f>IF($B1843="","",IF($P1842="",$B1843,MAX($P1842,$B1843)))</f>
        <v/>
      </c>
      <c r="Q1843" s="32" t="str">
        <f>IF($P1843="","",$B1843/$P1843-1)</f>
        <v/>
      </c>
    </row>
    <row r="1844">
      <c r="A1844" s="11" t="n"/>
      <c r="B1844" s="29" t="n"/>
      <c r="K1844" s="30" t="str">
        <f>IF($A1844="","",EDATE($A1844,12*$E$4))</f>
        <v/>
      </c>
      <c r="L1844" s="19" t="str">
        <f>IF($K1844="","",IF($K1844&gt;MAX($A$8:$A$5007),"",IFERROR(MATCH($K1844,$A$8:$A$5007,1),"")))</f>
        <v/>
      </c>
      <c r="M1844" s="30" t="str">
        <f>IF($L1844="","",INDEX($A$8:$A$5007,$L1844))</f>
        <v/>
      </c>
      <c r="N1844" s="31" t="str">
        <f>IF($L1844="","",INDEX($B$8:$B$5007,$L1844))</f>
        <v/>
      </c>
      <c r="O1844" s="32" t="str">
        <f>IF($M1844="","",IF($K1844-$M1844&gt;7,"",IF($M1844&lt;=$A1844,"",IF(OR($B1844&lt;=0,$N1844&lt;=0),"",($N1844/$B1844)^(365/($M1844-$A1844))-1))))</f>
        <v/>
      </c>
      <c r="P1844" s="31" t="str">
        <f>IF($B1844="","",IF($P1843="",$B1844,MAX($P1843,$B1844)))</f>
        <v/>
      </c>
      <c r="Q1844" s="32" t="str">
        <f>IF($P1844="","",$B1844/$P1844-1)</f>
        <v/>
      </c>
    </row>
    <row r="1845">
      <c r="A1845" s="11" t="n"/>
      <c r="B1845" s="29" t="n"/>
      <c r="K1845" s="30" t="str">
        <f>IF($A1845="","",EDATE($A1845,12*$E$4))</f>
        <v/>
      </c>
      <c r="L1845" s="19" t="str">
        <f>IF($K1845="","",IF($K1845&gt;MAX($A$8:$A$5007),"",IFERROR(MATCH($K1845,$A$8:$A$5007,1),"")))</f>
        <v/>
      </c>
      <c r="M1845" s="30" t="str">
        <f>IF($L1845="","",INDEX($A$8:$A$5007,$L1845))</f>
        <v/>
      </c>
      <c r="N1845" s="31" t="str">
        <f>IF($L1845="","",INDEX($B$8:$B$5007,$L1845))</f>
        <v/>
      </c>
      <c r="O1845" s="32" t="str">
        <f>IF($M1845="","",IF($K1845-$M1845&gt;7,"",IF($M1845&lt;=$A1845,"",IF(OR($B1845&lt;=0,$N1845&lt;=0),"",($N1845/$B1845)^(365/($M1845-$A1845))-1))))</f>
        <v/>
      </c>
      <c r="P1845" s="31" t="str">
        <f>IF($B1845="","",IF($P1844="",$B1845,MAX($P1844,$B1845)))</f>
        <v/>
      </c>
      <c r="Q1845" s="32" t="str">
        <f>IF($P1845="","",$B1845/$P1845-1)</f>
        <v/>
      </c>
    </row>
    <row r="1846">
      <c r="A1846" s="11" t="n"/>
      <c r="B1846" s="29" t="n"/>
      <c r="K1846" s="30" t="str">
        <f>IF($A1846="","",EDATE($A1846,12*$E$4))</f>
        <v/>
      </c>
      <c r="L1846" s="19" t="str">
        <f>IF($K1846="","",IF($K1846&gt;MAX($A$8:$A$5007),"",IFERROR(MATCH($K1846,$A$8:$A$5007,1),"")))</f>
        <v/>
      </c>
      <c r="M1846" s="30" t="str">
        <f>IF($L1846="","",INDEX($A$8:$A$5007,$L1846))</f>
        <v/>
      </c>
      <c r="N1846" s="31" t="str">
        <f>IF($L1846="","",INDEX($B$8:$B$5007,$L1846))</f>
        <v/>
      </c>
      <c r="O1846" s="32" t="str">
        <f>IF($M1846="","",IF($K1846-$M1846&gt;7,"",IF($M1846&lt;=$A1846,"",IF(OR($B1846&lt;=0,$N1846&lt;=0),"",($N1846/$B1846)^(365/($M1846-$A1846))-1))))</f>
        <v/>
      </c>
      <c r="P1846" s="31" t="str">
        <f>IF($B1846="","",IF($P1845="",$B1846,MAX($P1845,$B1846)))</f>
        <v/>
      </c>
      <c r="Q1846" s="32" t="str">
        <f>IF($P1846="","",$B1846/$P1846-1)</f>
        <v/>
      </c>
    </row>
    <row r="1847">
      <c r="A1847" s="11" t="n"/>
      <c r="B1847" s="29" t="n"/>
      <c r="K1847" s="30" t="str">
        <f>IF($A1847="","",EDATE($A1847,12*$E$4))</f>
        <v/>
      </c>
      <c r="L1847" s="19" t="str">
        <f>IF($K1847="","",IF($K1847&gt;MAX($A$8:$A$5007),"",IFERROR(MATCH($K1847,$A$8:$A$5007,1),"")))</f>
        <v/>
      </c>
      <c r="M1847" s="30" t="str">
        <f>IF($L1847="","",INDEX($A$8:$A$5007,$L1847))</f>
        <v/>
      </c>
      <c r="N1847" s="31" t="str">
        <f>IF($L1847="","",INDEX($B$8:$B$5007,$L1847))</f>
        <v/>
      </c>
      <c r="O1847" s="32" t="str">
        <f>IF($M1847="","",IF($K1847-$M1847&gt;7,"",IF($M1847&lt;=$A1847,"",IF(OR($B1847&lt;=0,$N1847&lt;=0),"",($N1847/$B1847)^(365/($M1847-$A1847))-1))))</f>
        <v/>
      </c>
      <c r="P1847" s="31" t="str">
        <f>IF($B1847="","",IF($P1846="",$B1847,MAX($P1846,$B1847)))</f>
        <v/>
      </c>
      <c r="Q1847" s="32" t="str">
        <f>IF($P1847="","",$B1847/$P1847-1)</f>
        <v/>
      </c>
    </row>
    <row r="1848">
      <c r="A1848" s="11" t="n"/>
      <c r="B1848" s="29" t="n"/>
      <c r="K1848" s="30" t="str">
        <f>IF($A1848="","",EDATE($A1848,12*$E$4))</f>
        <v/>
      </c>
      <c r="L1848" s="19" t="str">
        <f>IF($K1848="","",IF($K1848&gt;MAX($A$8:$A$5007),"",IFERROR(MATCH($K1848,$A$8:$A$5007,1),"")))</f>
        <v/>
      </c>
      <c r="M1848" s="30" t="str">
        <f>IF($L1848="","",INDEX($A$8:$A$5007,$L1848))</f>
        <v/>
      </c>
      <c r="N1848" s="31" t="str">
        <f>IF($L1848="","",INDEX($B$8:$B$5007,$L1848))</f>
        <v/>
      </c>
      <c r="O1848" s="32" t="str">
        <f>IF($M1848="","",IF($K1848-$M1848&gt;7,"",IF($M1848&lt;=$A1848,"",IF(OR($B1848&lt;=0,$N1848&lt;=0),"",($N1848/$B1848)^(365/($M1848-$A1848))-1))))</f>
        <v/>
      </c>
      <c r="P1848" s="31" t="str">
        <f>IF($B1848="","",IF($P1847="",$B1848,MAX($P1847,$B1848)))</f>
        <v/>
      </c>
      <c r="Q1848" s="32" t="str">
        <f>IF($P1848="","",$B1848/$P1848-1)</f>
        <v/>
      </c>
    </row>
    <row r="1849">
      <c r="A1849" s="11" t="n"/>
      <c r="B1849" s="29" t="n"/>
      <c r="K1849" s="30" t="str">
        <f>IF($A1849="","",EDATE($A1849,12*$E$4))</f>
        <v/>
      </c>
      <c r="L1849" s="19" t="str">
        <f>IF($K1849="","",IF($K1849&gt;MAX($A$8:$A$5007),"",IFERROR(MATCH($K1849,$A$8:$A$5007,1),"")))</f>
        <v/>
      </c>
      <c r="M1849" s="30" t="str">
        <f>IF($L1849="","",INDEX($A$8:$A$5007,$L1849))</f>
        <v/>
      </c>
      <c r="N1849" s="31" t="str">
        <f>IF($L1849="","",INDEX($B$8:$B$5007,$L1849))</f>
        <v/>
      </c>
      <c r="O1849" s="32" t="str">
        <f>IF($M1849="","",IF($K1849-$M1849&gt;7,"",IF($M1849&lt;=$A1849,"",IF(OR($B1849&lt;=0,$N1849&lt;=0),"",($N1849/$B1849)^(365/($M1849-$A1849))-1))))</f>
        <v/>
      </c>
      <c r="P1849" s="31" t="str">
        <f>IF($B1849="","",IF($P1848="",$B1849,MAX($P1848,$B1849)))</f>
        <v/>
      </c>
      <c r="Q1849" s="32" t="str">
        <f>IF($P1849="","",$B1849/$P1849-1)</f>
        <v/>
      </c>
    </row>
    <row r="1850">
      <c r="A1850" s="11" t="n"/>
      <c r="B1850" s="29" t="n"/>
      <c r="K1850" s="30" t="str">
        <f>IF($A1850="","",EDATE($A1850,12*$E$4))</f>
        <v/>
      </c>
      <c r="L1850" s="19" t="str">
        <f>IF($K1850="","",IF($K1850&gt;MAX($A$8:$A$5007),"",IFERROR(MATCH($K1850,$A$8:$A$5007,1),"")))</f>
        <v/>
      </c>
      <c r="M1850" s="30" t="str">
        <f>IF($L1850="","",INDEX($A$8:$A$5007,$L1850))</f>
        <v/>
      </c>
      <c r="N1850" s="31" t="str">
        <f>IF($L1850="","",INDEX($B$8:$B$5007,$L1850))</f>
        <v/>
      </c>
      <c r="O1850" s="32" t="str">
        <f>IF($M1850="","",IF($K1850-$M1850&gt;7,"",IF($M1850&lt;=$A1850,"",IF(OR($B1850&lt;=0,$N1850&lt;=0),"",($N1850/$B1850)^(365/($M1850-$A1850))-1))))</f>
        <v/>
      </c>
      <c r="P1850" s="31" t="str">
        <f>IF($B1850="","",IF($P1849="",$B1850,MAX($P1849,$B1850)))</f>
        <v/>
      </c>
      <c r="Q1850" s="32" t="str">
        <f>IF($P1850="","",$B1850/$P1850-1)</f>
        <v/>
      </c>
    </row>
    <row r="1851">
      <c r="A1851" s="11" t="n"/>
      <c r="B1851" s="29" t="n"/>
      <c r="K1851" s="30" t="str">
        <f>IF($A1851="","",EDATE($A1851,12*$E$4))</f>
        <v/>
      </c>
      <c r="L1851" s="19" t="str">
        <f>IF($K1851="","",IF($K1851&gt;MAX($A$8:$A$5007),"",IFERROR(MATCH($K1851,$A$8:$A$5007,1),"")))</f>
        <v/>
      </c>
      <c r="M1851" s="30" t="str">
        <f>IF($L1851="","",INDEX($A$8:$A$5007,$L1851))</f>
        <v/>
      </c>
      <c r="N1851" s="31" t="str">
        <f>IF($L1851="","",INDEX($B$8:$B$5007,$L1851))</f>
        <v/>
      </c>
      <c r="O1851" s="32" t="str">
        <f>IF($M1851="","",IF($K1851-$M1851&gt;7,"",IF($M1851&lt;=$A1851,"",IF(OR($B1851&lt;=0,$N1851&lt;=0),"",($N1851/$B1851)^(365/($M1851-$A1851))-1))))</f>
        <v/>
      </c>
      <c r="P1851" s="31" t="str">
        <f>IF($B1851="","",IF($P1850="",$B1851,MAX($P1850,$B1851)))</f>
        <v/>
      </c>
      <c r="Q1851" s="32" t="str">
        <f>IF($P1851="","",$B1851/$P1851-1)</f>
        <v/>
      </c>
    </row>
    <row r="1852">
      <c r="A1852" s="11" t="n"/>
      <c r="B1852" s="29" t="n"/>
      <c r="K1852" s="30" t="str">
        <f>IF($A1852="","",EDATE($A1852,12*$E$4))</f>
        <v/>
      </c>
      <c r="L1852" s="19" t="str">
        <f>IF($K1852="","",IF($K1852&gt;MAX($A$8:$A$5007),"",IFERROR(MATCH($K1852,$A$8:$A$5007,1),"")))</f>
        <v/>
      </c>
      <c r="M1852" s="30" t="str">
        <f>IF($L1852="","",INDEX($A$8:$A$5007,$L1852))</f>
        <v/>
      </c>
      <c r="N1852" s="31" t="str">
        <f>IF($L1852="","",INDEX($B$8:$B$5007,$L1852))</f>
        <v/>
      </c>
      <c r="O1852" s="32" t="str">
        <f>IF($M1852="","",IF($K1852-$M1852&gt;7,"",IF($M1852&lt;=$A1852,"",IF(OR($B1852&lt;=0,$N1852&lt;=0),"",($N1852/$B1852)^(365/($M1852-$A1852))-1))))</f>
        <v/>
      </c>
      <c r="P1852" s="31" t="str">
        <f>IF($B1852="","",IF($P1851="",$B1852,MAX($P1851,$B1852)))</f>
        <v/>
      </c>
      <c r="Q1852" s="32" t="str">
        <f>IF($P1852="","",$B1852/$P1852-1)</f>
        <v/>
      </c>
    </row>
    <row r="1853">
      <c r="A1853" s="11" t="n"/>
      <c r="B1853" s="29" t="n"/>
      <c r="K1853" s="30" t="str">
        <f>IF($A1853="","",EDATE($A1853,12*$E$4))</f>
        <v/>
      </c>
      <c r="L1853" s="19" t="str">
        <f>IF($K1853="","",IF($K1853&gt;MAX($A$8:$A$5007),"",IFERROR(MATCH($K1853,$A$8:$A$5007,1),"")))</f>
        <v/>
      </c>
      <c r="M1853" s="30" t="str">
        <f>IF($L1853="","",INDEX($A$8:$A$5007,$L1853))</f>
        <v/>
      </c>
      <c r="N1853" s="31" t="str">
        <f>IF($L1853="","",INDEX($B$8:$B$5007,$L1853))</f>
        <v/>
      </c>
      <c r="O1853" s="32" t="str">
        <f>IF($M1853="","",IF($K1853-$M1853&gt;7,"",IF($M1853&lt;=$A1853,"",IF(OR($B1853&lt;=0,$N1853&lt;=0),"",($N1853/$B1853)^(365/($M1853-$A1853))-1))))</f>
        <v/>
      </c>
      <c r="P1853" s="31" t="str">
        <f>IF($B1853="","",IF($P1852="",$B1853,MAX($P1852,$B1853)))</f>
        <v/>
      </c>
      <c r="Q1853" s="32" t="str">
        <f>IF($P1853="","",$B1853/$P1853-1)</f>
        <v/>
      </c>
    </row>
    <row r="1854">
      <c r="A1854" s="11" t="n"/>
      <c r="B1854" s="29" t="n"/>
      <c r="K1854" s="30" t="str">
        <f>IF($A1854="","",EDATE($A1854,12*$E$4))</f>
        <v/>
      </c>
      <c r="L1854" s="19" t="str">
        <f>IF($K1854="","",IF($K1854&gt;MAX($A$8:$A$5007),"",IFERROR(MATCH($K1854,$A$8:$A$5007,1),"")))</f>
        <v/>
      </c>
      <c r="M1854" s="30" t="str">
        <f>IF($L1854="","",INDEX($A$8:$A$5007,$L1854))</f>
        <v/>
      </c>
      <c r="N1854" s="31" t="str">
        <f>IF($L1854="","",INDEX($B$8:$B$5007,$L1854))</f>
        <v/>
      </c>
      <c r="O1854" s="32" t="str">
        <f>IF($M1854="","",IF($K1854-$M1854&gt;7,"",IF($M1854&lt;=$A1854,"",IF(OR($B1854&lt;=0,$N1854&lt;=0),"",($N1854/$B1854)^(365/($M1854-$A1854))-1))))</f>
        <v/>
      </c>
      <c r="P1854" s="31" t="str">
        <f>IF($B1854="","",IF($P1853="",$B1854,MAX($P1853,$B1854)))</f>
        <v/>
      </c>
      <c r="Q1854" s="32" t="str">
        <f>IF($P1854="","",$B1854/$P1854-1)</f>
        <v/>
      </c>
    </row>
    <row r="1855">
      <c r="A1855" s="11" t="n"/>
      <c r="B1855" s="29" t="n"/>
      <c r="K1855" s="30" t="str">
        <f>IF($A1855="","",EDATE($A1855,12*$E$4))</f>
        <v/>
      </c>
      <c r="L1855" s="19" t="str">
        <f>IF($K1855="","",IF($K1855&gt;MAX($A$8:$A$5007),"",IFERROR(MATCH($K1855,$A$8:$A$5007,1),"")))</f>
        <v/>
      </c>
      <c r="M1855" s="30" t="str">
        <f>IF($L1855="","",INDEX($A$8:$A$5007,$L1855))</f>
        <v/>
      </c>
      <c r="N1855" s="31" t="str">
        <f>IF($L1855="","",INDEX($B$8:$B$5007,$L1855))</f>
        <v/>
      </c>
      <c r="O1855" s="32" t="str">
        <f>IF($M1855="","",IF($K1855-$M1855&gt;7,"",IF($M1855&lt;=$A1855,"",IF(OR($B1855&lt;=0,$N1855&lt;=0),"",($N1855/$B1855)^(365/($M1855-$A1855))-1))))</f>
        <v/>
      </c>
      <c r="P1855" s="31" t="str">
        <f>IF($B1855="","",IF($P1854="",$B1855,MAX($P1854,$B1855)))</f>
        <v/>
      </c>
      <c r="Q1855" s="32" t="str">
        <f>IF($P1855="","",$B1855/$P1855-1)</f>
        <v/>
      </c>
    </row>
    <row r="1856">
      <c r="A1856" s="11" t="n"/>
      <c r="B1856" s="29" t="n"/>
      <c r="K1856" s="30" t="str">
        <f>IF($A1856="","",EDATE($A1856,12*$E$4))</f>
        <v/>
      </c>
      <c r="L1856" s="19" t="str">
        <f>IF($K1856="","",IF($K1856&gt;MAX($A$8:$A$5007),"",IFERROR(MATCH($K1856,$A$8:$A$5007,1),"")))</f>
        <v/>
      </c>
      <c r="M1856" s="30" t="str">
        <f>IF($L1856="","",INDEX($A$8:$A$5007,$L1856))</f>
        <v/>
      </c>
      <c r="N1856" s="31" t="str">
        <f>IF($L1856="","",INDEX($B$8:$B$5007,$L1856))</f>
        <v/>
      </c>
      <c r="O1856" s="32" t="str">
        <f>IF($M1856="","",IF($K1856-$M1856&gt;7,"",IF($M1856&lt;=$A1856,"",IF(OR($B1856&lt;=0,$N1856&lt;=0),"",($N1856/$B1856)^(365/($M1856-$A1856))-1))))</f>
        <v/>
      </c>
      <c r="P1856" s="31" t="str">
        <f>IF($B1856="","",IF($P1855="",$B1856,MAX($P1855,$B1856)))</f>
        <v/>
      </c>
      <c r="Q1856" s="32" t="str">
        <f>IF($P1856="","",$B1856/$P1856-1)</f>
        <v/>
      </c>
    </row>
    <row r="1857">
      <c r="A1857" s="11" t="n"/>
      <c r="B1857" s="29" t="n"/>
      <c r="K1857" s="30" t="str">
        <f>IF($A1857="","",EDATE($A1857,12*$E$4))</f>
        <v/>
      </c>
      <c r="L1857" s="19" t="str">
        <f>IF($K1857="","",IF($K1857&gt;MAX($A$8:$A$5007),"",IFERROR(MATCH($K1857,$A$8:$A$5007,1),"")))</f>
        <v/>
      </c>
      <c r="M1857" s="30" t="str">
        <f>IF($L1857="","",INDEX($A$8:$A$5007,$L1857))</f>
        <v/>
      </c>
      <c r="N1857" s="31" t="str">
        <f>IF($L1857="","",INDEX($B$8:$B$5007,$L1857))</f>
        <v/>
      </c>
      <c r="O1857" s="32" t="str">
        <f>IF($M1857="","",IF($K1857-$M1857&gt;7,"",IF($M1857&lt;=$A1857,"",IF(OR($B1857&lt;=0,$N1857&lt;=0),"",($N1857/$B1857)^(365/($M1857-$A1857))-1))))</f>
        <v/>
      </c>
      <c r="P1857" s="31" t="str">
        <f>IF($B1857="","",IF($P1856="",$B1857,MAX($P1856,$B1857)))</f>
        <v/>
      </c>
      <c r="Q1857" s="32" t="str">
        <f>IF($P1857="","",$B1857/$P1857-1)</f>
        <v/>
      </c>
    </row>
    <row r="1858">
      <c r="A1858" s="11" t="n"/>
      <c r="B1858" s="29" t="n"/>
      <c r="K1858" s="30" t="str">
        <f>IF($A1858="","",EDATE($A1858,12*$E$4))</f>
        <v/>
      </c>
      <c r="L1858" s="19" t="str">
        <f>IF($K1858="","",IF($K1858&gt;MAX($A$8:$A$5007),"",IFERROR(MATCH($K1858,$A$8:$A$5007,1),"")))</f>
        <v/>
      </c>
      <c r="M1858" s="30" t="str">
        <f>IF($L1858="","",INDEX($A$8:$A$5007,$L1858))</f>
        <v/>
      </c>
      <c r="N1858" s="31" t="str">
        <f>IF($L1858="","",INDEX($B$8:$B$5007,$L1858))</f>
        <v/>
      </c>
      <c r="O1858" s="32" t="str">
        <f>IF($M1858="","",IF($K1858-$M1858&gt;7,"",IF($M1858&lt;=$A1858,"",IF(OR($B1858&lt;=0,$N1858&lt;=0),"",($N1858/$B1858)^(365/($M1858-$A1858))-1))))</f>
        <v/>
      </c>
      <c r="P1858" s="31" t="str">
        <f>IF($B1858="","",IF($P1857="",$B1858,MAX($P1857,$B1858)))</f>
        <v/>
      </c>
      <c r="Q1858" s="32" t="str">
        <f>IF($P1858="","",$B1858/$P1858-1)</f>
        <v/>
      </c>
    </row>
    <row r="1859">
      <c r="A1859" s="11" t="n"/>
      <c r="B1859" s="29" t="n"/>
      <c r="K1859" s="30" t="str">
        <f>IF($A1859="","",EDATE($A1859,12*$E$4))</f>
        <v/>
      </c>
      <c r="L1859" s="19" t="str">
        <f>IF($K1859="","",IF($K1859&gt;MAX($A$8:$A$5007),"",IFERROR(MATCH($K1859,$A$8:$A$5007,1),"")))</f>
        <v/>
      </c>
      <c r="M1859" s="30" t="str">
        <f>IF($L1859="","",INDEX($A$8:$A$5007,$L1859))</f>
        <v/>
      </c>
      <c r="N1859" s="31" t="str">
        <f>IF($L1859="","",INDEX($B$8:$B$5007,$L1859))</f>
        <v/>
      </c>
      <c r="O1859" s="32" t="str">
        <f>IF($M1859="","",IF($K1859-$M1859&gt;7,"",IF($M1859&lt;=$A1859,"",IF(OR($B1859&lt;=0,$N1859&lt;=0),"",($N1859/$B1859)^(365/($M1859-$A1859))-1))))</f>
        <v/>
      </c>
      <c r="P1859" s="31" t="str">
        <f>IF($B1859="","",IF($P1858="",$B1859,MAX($P1858,$B1859)))</f>
        <v/>
      </c>
      <c r="Q1859" s="32" t="str">
        <f>IF($P1859="","",$B1859/$P1859-1)</f>
        <v/>
      </c>
    </row>
    <row r="1860">
      <c r="A1860" s="11" t="n"/>
      <c r="B1860" s="29" t="n"/>
      <c r="K1860" s="30" t="str">
        <f>IF($A1860="","",EDATE($A1860,12*$E$4))</f>
        <v/>
      </c>
      <c r="L1860" s="19" t="str">
        <f>IF($K1860="","",IF($K1860&gt;MAX($A$8:$A$5007),"",IFERROR(MATCH($K1860,$A$8:$A$5007,1),"")))</f>
        <v/>
      </c>
      <c r="M1860" s="30" t="str">
        <f>IF($L1860="","",INDEX($A$8:$A$5007,$L1860))</f>
        <v/>
      </c>
      <c r="N1860" s="31" t="str">
        <f>IF($L1860="","",INDEX($B$8:$B$5007,$L1860))</f>
        <v/>
      </c>
      <c r="O1860" s="32" t="str">
        <f>IF($M1860="","",IF($K1860-$M1860&gt;7,"",IF($M1860&lt;=$A1860,"",IF(OR($B1860&lt;=0,$N1860&lt;=0),"",($N1860/$B1860)^(365/($M1860-$A1860))-1))))</f>
        <v/>
      </c>
      <c r="P1860" s="31" t="str">
        <f>IF($B1860="","",IF($P1859="",$B1860,MAX($P1859,$B1860)))</f>
        <v/>
      </c>
      <c r="Q1860" s="32" t="str">
        <f>IF($P1860="","",$B1860/$P1860-1)</f>
        <v/>
      </c>
    </row>
    <row r="1861">
      <c r="A1861" s="11" t="n"/>
      <c r="B1861" s="29" t="n"/>
      <c r="K1861" s="30" t="str">
        <f>IF($A1861="","",EDATE($A1861,12*$E$4))</f>
        <v/>
      </c>
      <c r="L1861" s="19" t="str">
        <f>IF($K1861="","",IF($K1861&gt;MAX($A$8:$A$5007),"",IFERROR(MATCH($K1861,$A$8:$A$5007,1),"")))</f>
        <v/>
      </c>
      <c r="M1861" s="30" t="str">
        <f>IF($L1861="","",INDEX($A$8:$A$5007,$L1861))</f>
        <v/>
      </c>
      <c r="N1861" s="31" t="str">
        <f>IF($L1861="","",INDEX($B$8:$B$5007,$L1861))</f>
        <v/>
      </c>
      <c r="O1861" s="32" t="str">
        <f>IF($M1861="","",IF($K1861-$M1861&gt;7,"",IF($M1861&lt;=$A1861,"",IF(OR($B1861&lt;=0,$N1861&lt;=0),"",($N1861/$B1861)^(365/($M1861-$A1861))-1))))</f>
        <v/>
      </c>
      <c r="P1861" s="31" t="str">
        <f>IF($B1861="","",IF($P1860="",$B1861,MAX($P1860,$B1861)))</f>
        <v/>
      </c>
      <c r="Q1861" s="32" t="str">
        <f>IF($P1861="","",$B1861/$P1861-1)</f>
        <v/>
      </c>
    </row>
    <row r="1862">
      <c r="A1862" s="11" t="n"/>
      <c r="B1862" s="29" t="n"/>
      <c r="K1862" s="30" t="str">
        <f>IF($A1862="","",EDATE($A1862,12*$E$4))</f>
        <v/>
      </c>
      <c r="L1862" s="19" t="str">
        <f>IF($K1862="","",IF($K1862&gt;MAX($A$8:$A$5007),"",IFERROR(MATCH($K1862,$A$8:$A$5007,1),"")))</f>
        <v/>
      </c>
      <c r="M1862" s="30" t="str">
        <f>IF($L1862="","",INDEX($A$8:$A$5007,$L1862))</f>
        <v/>
      </c>
      <c r="N1862" s="31" t="str">
        <f>IF($L1862="","",INDEX($B$8:$B$5007,$L1862))</f>
        <v/>
      </c>
      <c r="O1862" s="32" t="str">
        <f>IF($M1862="","",IF($K1862-$M1862&gt;7,"",IF($M1862&lt;=$A1862,"",IF(OR($B1862&lt;=0,$N1862&lt;=0),"",($N1862/$B1862)^(365/($M1862-$A1862))-1))))</f>
        <v/>
      </c>
      <c r="P1862" s="31" t="str">
        <f>IF($B1862="","",IF($P1861="",$B1862,MAX($P1861,$B1862)))</f>
        <v/>
      </c>
      <c r="Q1862" s="32" t="str">
        <f>IF($P1862="","",$B1862/$P1862-1)</f>
        <v/>
      </c>
    </row>
    <row r="1863">
      <c r="A1863" s="11" t="n"/>
      <c r="B1863" s="29" t="n"/>
      <c r="K1863" s="30" t="str">
        <f>IF($A1863="","",EDATE($A1863,12*$E$4))</f>
        <v/>
      </c>
      <c r="L1863" s="19" t="str">
        <f>IF($K1863="","",IF($K1863&gt;MAX($A$8:$A$5007),"",IFERROR(MATCH($K1863,$A$8:$A$5007,1),"")))</f>
        <v/>
      </c>
      <c r="M1863" s="30" t="str">
        <f>IF($L1863="","",INDEX($A$8:$A$5007,$L1863))</f>
        <v/>
      </c>
      <c r="N1863" s="31" t="str">
        <f>IF($L1863="","",INDEX($B$8:$B$5007,$L1863))</f>
        <v/>
      </c>
      <c r="O1863" s="32" t="str">
        <f>IF($M1863="","",IF($K1863-$M1863&gt;7,"",IF($M1863&lt;=$A1863,"",IF(OR($B1863&lt;=0,$N1863&lt;=0),"",($N1863/$B1863)^(365/($M1863-$A1863))-1))))</f>
        <v/>
      </c>
      <c r="P1863" s="31" t="str">
        <f>IF($B1863="","",IF($P1862="",$B1863,MAX($P1862,$B1863)))</f>
        <v/>
      </c>
      <c r="Q1863" s="32" t="str">
        <f>IF($P1863="","",$B1863/$P1863-1)</f>
        <v/>
      </c>
    </row>
    <row r="1864">
      <c r="A1864" s="11" t="n"/>
      <c r="B1864" s="29" t="n"/>
      <c r="K1864" s="30" t="str">
        <f>IF($A1864="","",EDATE($A1864,12*$E$4))</f>
        <v/>
      </c>
      <c r="L1864" s="19" t="str">
        <f>IF($K1864="","",IF($K1864&gt;MAX($A$8:$A$5007),"",IFERROR(MATCH($K1864,$A$8:$A$5007,1),"")))</f>
        <v/>
      </c>
      <c r="M1864" s="30" t="str">
        <f>IF($L1864="","",INDEX($A$8:$A$5007,$L1864))</f>
        <v/>
      </c>
      <c r="N1864" s="31" t="str">
        <f>IF($L1864="","",INDEX($B$8:$B$5007,$L1864))</f>
        <v/>
      </c>
      <c r="O1864" s="32" t="str">
        <f>IF($M1864="","",IF($K1864-$M1864&gt;7,"",IF($M1864&lt;=$A1864,"",IF(OR($B1864&lt;=0,$N1864&lt;=0),"",($N1864/$B1864)^(365/($M1864-$A1864))-1))))</f>
        <v/>
      </c>
      <c r="P1864" s="31" t="str">
        <f>IF($B1864="","",IF($P1863="",$B1864,MAX($P1863,$B1864)))</f>
        <v/>
      </c>
      <c r="Q1864" s="32" t="str">
        <f>IF($P1864="","",$B1864/$P1864-1)</f>
        <v/>
      </c>
    </row>
    <row r="1865">
      <c r="A1865" s="11" t="n"/>
      <c r="B1865" s="29" t="n"/>
      <c r="K1865" s="30" t="str">
        <f>IF($A1865="","",EDATE($A1865,12*$E$4))</f>
        <v/>
      </c>
      <c r="L1865" s="19" t="str">
        <f>IF($K1865="","",IF($K1865&gt;MAX($A$8:$A$5007),"",IFERROR(MATCH($K1865,$A$8:$A$5007,1),"")))</f>
        <v/>
      </c>
      <c r="M1865" s="30" t="str">
        <f>IF($L1865="","",INDEX($A$8:$A$5007,$L1865))</f>
        <v/>
      </c>
      <c r="N1865" s="31" t="str">
        <f>IF($L1865="","",INDEX($B$8:$B$5007,$L1865))</f>
        <v/>
      </c>
      <c r="O1865" s="32" t="str">
        <f>IF($M1865="","",IF($K1865-$M1865&gt;7,"",IF($M1865&lt;=$A1865,"",IF(OR($B1865&lt;=0,$N1865&lt;=0),"",($N1865/$B1865)^(365/($M1865-$A1865))-1))))</f>
        <v/>
      </c>
      <c r="P1865" s="31" t="str">
        <f>IF($B1865="","",IF($P1864="",$B1865,MAX($P1864,$B1865)))</f>
        <v/>
      </c>
      <c r="Q1865" s="32" t="str">
        <f>IF($P1865="","",$B1865/$P1865-1)</f>
        <v/>
      </c>
    </row>
    <row r="1866">
      <c r="A1866" s="11" t="n"/>
      <c r="B1866" s="29" t="n"/>
      <c r="K1866" s="30" t="str">
        <f>IF($A1866="","",EDATE($A1866,12*$E$4))</f>
        <v/>
      </c>
      <c r="L1866" s="19" t="str">
        <f>IF($K1866="","",IF($K1866&gt;MAX($A$8:$A$5007),"",IFERROR(MATCH($K1866,$A$8:$A$5007,1),"")))</f>
        <v/>
      </c>
      <c r="M1866" s="30" t="str">
        <f>IF($L1866="","",INDEX($A$8:$A$5007,$L1866))</f>
        <v/>
      </c>
      <c r="N1866" s="31" t="str">
        <f>IF($L1866="","",INDEX($B$8:$B$5007,$L1866))</f>
        <v/>
      </c>
      <c r="O1866" s="32" t="str">
        <f>IF($M1866="","",IF($K1866-$M1866&gt;7,"",IF($M1866&lt;=$A1866,"",IF(OR($B1866&lt;=0,$N1866&lt;=0),"",($N1866/$B1866)^(365/($M1866-$A1866))-1))))</f>
        <v/>
      </c>
      <c r="P1866" s="31" t="str">
        <f>IF($B1866="","",IF($P1865="",$B1866,MAX($P1865,$B1866)))</f>
        <v/>
      </c>
      <c r="Q1866" s="32" t="str">
        <f>IF($P1866="","",$B1866/$P1866-1)</f>
        <v/>
      </c>
    </row>
    <row r="1867">
      <c r="A1867" s="11" t="n"/>
      <c r="B1867" s="29" t="n"/>
      <c r="K1867" s="30" t="str">
        <f>IF($A1867="","",EDATE($A1867,12*$E$4))</f>
        <v/>
      </c>
      <c r="L1867" s="19" t="str">
        <f>IF($K1867="","",IF($K1867&gt;MAX($A$8:$A$5007),"",IFERROR(MATCH($K1867,$A$8:$A$5007,1),"")))</f>
        <v/>
      </c>
      <c r="M1867" s="30" t="str">
        <f>IF($L1867="","",INDEX($A$8:$A$5007,$L1867))</f>
        <v/>
      </c>
      <c r="N1867" s="31" t="str">
        <f>IF($L1867="","",INDEX($B$8:$B$5007,$L1867))</f>
        <v/>
      </c>
      <c r="O1867" s="32" t="str">
        <f>IF($M1867="","",IF($K1867-$M1867&gt;7,"",IF($M1867&lt;=$A1867,"",IF(OR($B1867&lt;=0,$N1867&lt;=0),"",($N1867/$B1867)^(365/($M1867-$A1867))-1))))</f>
        <v/>
      </c>
      <c r="P1867" s="31" t="str">
        <f>IF($B1867="","",IF($P1866="",$B1867,MAX($P1866,$B1867)))</f>
        <v/>
      </c>
      <c r="Q1867" s="32" t="str">
        <f>IF($P1867="","",$B1867/$P1867-1)</f>
        <v/>
      </c>
    </row>
    <row r="1868">
      <c r="A1868" s="11" t="n"/>
      <c r="B1868" s="29" t="n"/>
      <c r="K1868" s="30" t="str">
        <f>IF($A1868="","",EDATE($A1868,12*$E$4))</f>
        <v/>
      </c>
      <c r="L1868" s="19" t="str">
        <f>IF($K1868="","",IF($K1868&gt;MAX($A$8:$A$5007),"",IFERROR(MATCH($K1868,$A$8:$A$5007,1),"")))</f>
        <v/>
      </c>
      <c r="M1868" s="30" t="str">
        <f>IF($L1868="","",INDEX($A$8:$A$5007,$L1868))</f>
        <v/>
      </c>
      <c r="N1868" s="31" t="str">
        <f>IF($L1868="","",INDEX($B$8:$B$5007,$L1868))</f>
        <v/>
      </c>
      <c r="O1868" s="32" t="str">
        <f>IF($M1868="","",IF($K1868-$M1868&gt;7,"",IF($M1868&lt;=$A1868,"",IF(OR($B1868&lt;=0,$N1868&lt;=0),"",($N1868/$B1868)^(365/($M1868-$A1868))-1))))</f>
        <v/>
      </c>
      <c r="P1868" s="31" t="str">
        <f>IF($B1868="","",IF($P1867="",$B1868,MAX($P1867,$B1868)))</f>
        <v/>
      </c>
      <c r="Q1868" s="32" t="str">
        <f>IF($P1868="","",$B1868/$P1868-1)</f>
        <v/>
      </c>
    </row>
    <row r="1869">
      <c r="A1869" s="11" t="n"/>
      <c r="B1869" s="29" t="n"/>
      <c r="K1869" s="30" t="str">
        <f>IF($A1869="","",EDATE($A1869,12*$E$4))</f>
        <v/>
      </c>
      <c r="L1869" s="19" t="str">
        <f>IF($K1869="","",IF($K1869&gt;MAX($A$8:$A$5007),"",IFERROR(MATCH($K1869,$A$8:$A$5007,1),"")))</f>
        <v/>
      </c>
      <c r="M1869" s="30" t="str">
        <f>IF($L1869="","",INDEX($A$8:$A$5007,$L1869))</f>
        <v/>
      </c>
      <c r="N1869" s="31" t="str">
        <f>IF($L1869="","",INDEX($B$8:$B$5007,$L1869))</f>
        <v/>
      </c>
      <c r="O1869" s="32" t="str">
        <f>IF($M1869="","",IF($K1869-$M1869&gt;7,"",IF($M1869&lt;=$A1869,"",IF(OR($B1869&lt;=0,$N1869&lt;=0),"",($N1869/$B1869)^(365/($M1869-$A1869))-1))))</f>
        <v/>
      </c>
      <c r="P1869" s="31" t="str">
        <f>IF($B1869="","",IF($P1868="",$B1869,MAX($P1868,$B1869)))</f>
        <v/>
      </c>
      <c r="Q1869" s="32" t="str">
        <f>IF($P1869="","",$B1869/$P1869-1)</f>
        <v/>
      </c>
    </row>
    <row r="1870">
      <c r="A1870" s="11" t="n"/>
      <c r="B1870" s="29" t="n"/>
      <c r="K1870" s="30" t="str">
        <f>IF($A1870="","",EDATE($A1870,12*$E$4))</f>
        <v/>
      </c>
      <c r="L1870" s="19" t="str">
        <f>IF($K1870="","",IF($K1870&gt;MAX($A$8:$A$5007),"",IFERROR(MATCH($K1870,$A$8:$A$5007,1),"")))</f>
        <v/>
      </c>
      <c r="M1870" s="30" t="str">
        <f>IF($L1870="","",INDEX($A$8:$A$5007,$L1870))</f>
        <v/>
      </c>
      <c r="N1870" s="31" t="str">
        <f>IF($L1870="","",INDEX($B$8:$B$5007,$L1870))</f>
        <v/>
      </c>
      <c r="O1870" s="32" t="str">
        <f>IF($M1870="","",IF($K1870-$M1870&gt;7,"",IF($M1870&lt;=$A1870,"",IF(OR($B1870&lt;=0,$N1870&lt;=0),"",($N1870/$B1870)^(365/($M1870-$A1870))-1))))</f>
        <v/>
      </c>
      <c r="P1870" s="31" t="str">
        <f>IF($B1870="","",IF($P1869="",$B1870,MAX($P1869,$B1870)))</f>
        <v/>
      </c>
      <c r="Q1870" s="32" t="str">
        <f>IF($P1870="","",$B1870/$P1870-1)</f>
        <v/>
      </c>
    </row>
    <row r="1871">
      <c r="A1871" s="11" t="n"/>
      <c r="B1871" s="29" t="n"/>
      <c r="K1871" s="30" t="str">
        <f>IF($A1871="","",EDATE($A1871,12*$E$4))</f>
        <v/>
      </c>
      <c r="L1871" s="19" t="str">
        <f>IF($K1871="","",IF($K1871&gt;MAX($A$8:$A$5007),"",IFERROR(MATCH($K1871,$A$8:$A$5007,1),"")))</f>
        <v/>
      </c>
      <c r="M1871" s="30" t="str">
        <f>IF($L1871="","",INDEX($A$8:$A$5007,$L1871))</f>
        <v/>
      </c>
      <c r="N1871" s="31" t="str">
        <f>IF($L1871="","",INDEX($B$8:$B$5007,$L1871))</f>
        <v/>
      </c>
      <c r="O1871" s="32" t="str">
        <f>IF($M1871="","",IF($K1871-$M1871&gt;7,"",IF($M1871&lt;=$A1871,"",IF(OR($B1871&lt;=0,$N1871&lt;=0),"",($N1871/$B1871)^(365/($M1871-$A1871))-1))))</f>
        <v/>
      </c>
      <c r="P1871" s="31" t="str">
        <f>IF($B1871="","",IF($P1870="",$B1871,MAX($P1870,$B1871)))</f>
        <v/>
      </c>
      <c r="Q1871" s="32" t="str">
        <f>IF($P1871="","",$B1871/$P1871-1)</f>
        <v/>
      </c>
    </row>
    <row r="1872">
      <c r="A1872" s="11" t="n"/>
      <c r="B1872" s="29" t="n"/>
      <c r="K1872" s="30" t="str">
        <f>IF($A1872="","",EDATE($A1872,12*$E$4))</f>
        <v/>
      </c>
      <c r="L1872" s="19" t="str">
        <f>IF($K1872="","",IF($K1872&gt;MAX($A$8:$A$5007),"",IFERROR(MATCH($K1872,$A$8:$A$5007,1),"")))</f>
        <v/>
      </c>
      <c r="M1872" s="30" t="str">
        <f>IF($L1872="","",INDEX($A$8:$A$5007,$L1872))</f>
        <v/>
      </c>
      <c r="N1872" s="31" t="str">
        <f>IF($L1872="","",INDEX($B$8:$B$5007,$L1872))</f>
        <v/>
      </c>
      <c r="O1872" s="32" t="str">
        <f>IF($M1872="","",IF($K1872-$M1872&gt;7,"",IF($M1872&lt;=$A1872,"",IF(OR($B1872&lt;=0,$N1872&lt;=0),"",($N1872/$B1872)^(365/($M1872-$A1872))-1))))</f>
        <v/>
      </c>
      <c r="P1872" s="31" t="str">
        <f>IF($B1872="","",IF($P1871="",$B1872,MAX($P1871,$B1872)))</f>
        <v/>
      </c>
      <c r="Q1872" s="32" t="str">
        <f>IF($P1872="","",$B1872/$P1872-1)</f>
        <v/>
      </c>
    </row>
    <row r="1873">
      <c r="A1873" s="11" t="n"/>
      <c r="B1873" s="29" t="n"/>
      <c r="K1873" s="30" t="str">
        <f>IF($A1873="","",EDATE($A1873,12*$E$4))</f>
        <v/>
      </c>
      <c r="L1873" s="19" t="str">
        <f>IF($K1873="","",IF($K1873&gt;MAX($A$8:$A$5007),"",IFERROR(MATCH($K1873,$A$8:$A$5007,1),"")))</f>
        <v/>
      </c>
      <c r="M1873" s="30" t="str">
        <f>IF($L1873="","",INDEX($A$8:$A$5007,$L1873))</f>
        <v/>
      </c>
      <c r="N1873" s="31" t="str">
        <f>IF($L1873="","",INDEX($B$8:$B$5007,$L1873))</f>
        <v/>
      </c>
      <c r="O1873" s="32" t="str">
        <f>IF($M1873="","",IF($K1873-$M1873&gt;7,"",IF($M1873&lt;=$A1873,"",IF(OR($B1873&lt;=0,$N1873&lt;=0),"",($N1873/$B1873)^(365/($M1873-$A1873))-1))))</f>
        <v/>
      </c>
      <c r="P1873" s="31" t="str">
        <f>IF($B1873="","",IF($P1872="",$B1873,MAX($P1872,$B1873)))</f>
        <v/>
      </c>
      <c r="Q1873" s="32" t="str">
        <f>IF($P1873="","",$B1873/$P1873-1)</f>
        <v/>
      </c>
    </row>
    <row r="1874">
      <c r="A1874" s="11" t="n"/>
      <c r="B1874" s="29" t="n"/>
      <c r="K1874" s="30" t="str">
        <f>IF($A1874="","",EDATE($A1874,12*$E$4))</f>
        <v/>
      </c>
      <c r="L1874" s="19" t="str">
        <f>IF($K1874="","",IF($K1874&gt;MAX($A$8:$A$5007),"",IFERROR(MATCH($K1874,$A$8:$A$5007,1),"")))</f>
        <v/>
      </c>
      <c r="M1874" s="30" t="str">
        <f>IF($L1874="","",INDEX($A$8:$A$5007,$L1874))</f>
        <v/>
      </c>
      <c r="N1874" s="31" t="str">
        <f>IF($L1874="","",INDEX($B$8:$B$5007,$L1874))</f>
        <v/>
      </c>
      <c r="O1874" s="32" t="str">
        <f>IF($M1874="","",IF($K1874-$M1874&gt;7,"",IF($M1874&lt;=$A1874,"",IF(OR($B1874&lt;=0,$N1874&lt;=0),"",($N1874/$B1874)^(365/($M1874-$A1874))-1))))</f>
        <v/>
      </c>
      <c r="P1874" s="31" t="str">
        <f>IF($B1874="","",IF($P1873="",$B1874,MAX($P1873,$B1874)))</f>
        <v/>
      </c>
      <c r="Q1874" s="32" t="str">
        <f>IF($P1874="","",$B1874/$P1874-1)</f>
        <v/>
      </c>
    </row>
    <row r="1875">
      <c r="A1875" s="11" t="n"/>
      <c r="B1875" s="29" t="n"/>
      <c r="K1875" s="30" t="str">
        <f>IF($A1875="","",EDATE($A1875,12*$E$4))</f>
        <v/>
      </c>
      <c r="L1875" s="19" t="str">
        <f>IF($K1875="","",IF($K1875&gt;MAX($A$8:$A$5007),"",IFERROR(MATCH($K1875,$A$8:$A$5007,1),"")))</f>
        <v/>
      </c>
      <c r="M1875" s="30" t="str">
        <f>IF($L1875="","",INDEX($A$8:$A$5007,$L1875))</f>
        <v/>
      </c>
      <c r="N1875" s="31" t="str">
        <f>IF($L1875="","",INDEX($B$8:$B$5007,$L1875))</f>
        <v/>
      </c>
      <c r="O1875" s="32" t="str">
        <f>IF($M1875="","",IF($K1875-$M1875&gt;7,"",IF($M1875&lt;=$A1875,"",IF(OR($B1875&lt;=0,$N1875&lt;=0),"",($N1875/$B1875)^(365/($M1875-$A1875))-1))))</f>
        <v/>
      </c>
      <c r="P1875" s="31" t="str">
        <f>IF($B1875="","",IF($P1874="",$B1875,MAX($P1874,$B1875)))</f>
        <v/>
      </c>
      <c r="Q1875" s="32" t="str">
        <f>IF($P1875="","",$B1875/$P1875-1)</f>
        <v/>
      </c>
    </row>
    <row r="1876">
      <c r="A1876" s="11" t="n"/>
      <c r="B1876" s="29" t="n"/>
      <c r="K1876" s="30" t="str">
        <f>IF($A1876="","",EDATE($A1876,12*$E$4))</f>
        <v/>
      </c>
      <c r="L1876" s="19" t="str">
        <f>IF($K1876="","",IF($K1876&gt;MAX($A$8:$A$5007),"",IFERROR(MATCH($K1876,$A$8:$A$5007,1),"")))</f>
        <v/>
      </c>
      <c r="M1876" s="30" t="str">
        <f>IF($L1876="","",INDEX($A$8:$A$5007,$L1876))</f>
        <v/>
      </c>
      <c r="N1876" s="31" t="str">
        <f>IF($L1876="","",INDEX($B$8:$B$5007,$L1876))</f>
        <v/>
      </c>
      <c r="O1876" s="32" t="str">
        <f>IF($M1876="","",IF($K1876-$M1876&gt;7,"",IF($M1876&lt;=$A1876,"",IF(OR($B1876&lt;=0,$N1876&lt;=0),"",($N1876/$B1876)^(365/($M1876-$A1876))-1))))</f>
        <v/>
      </c>
      <c r="P1876" s="31" t="str">
        <f>IF($B1876="","",IF($P1875="",$B1876,MAX($P1875,$B1876)))</f>
        <v/>
      </c>
      <c r="Q1876" s="32" t="str">
        <f>IF($P1876="","",$B1876/$P1876-1)</f>
        <v/>
      </c>
    </row>
    <row r="1877">
      <c r="A1877" s="11" t="n"/>
      <c r="B1877" s="29" t="n"/>
      <c r="K1877" s="30" t="str">
        <f>IF($A1877="","",EDATE($A1877,12*$E$4))</f>
        <v/>
      </c>
      <c r="L1877" s="19" t="str">
        <f>IF($K1877="","",IF($K1877&gt;MAX($A$8:$A$5007),"",IFERROR(MATCH($K1877,$A$8:$A$5007,1),"")))</f>
        <v/>
      </c>
      <c r="M1877" s="30" t="str">
        <f>IF($L1877="","",INDEX($A$8:$A$5007,$L1877))</f>
        <v/>
      </c>
      <c r="N1877" s="31" t="str">
        <f>IF($L1877="","",INDEX($B$8:$B$5007,$L1877))</f>
        <v/>
      </c>
      <c r="O1877" s="32" t="str">
        <f>IF($M1877="","",IF($K1877-$M1877&gt;7,"",IF($M1877&lt;=$A1877,"",IF(OR($B1877&lt;=0,$N1877&lt;=0),"",($N1877/$B1877)^(365/($M1877-$A1877))-1))))</f>
        <v/>
      </c>
      <c r="P1877" s="31" t="str">
        <f>IF($B1877="","",IF($P1876="",$B1877,MAX($P1876,$B1877)))</f>
        <v/>
      </c>
      <c r="Q1877" s="32" t="str">
        <f>IF($P1877="","",$B1877/$P1877-1)</f>
        <v/>
      </c>
    </row>
    <row r="1878">
      <c r="A1878" s="11" t="n"/>
      <c r="B1878" s="29" t="n"/>
      <c r="K1878" s="30" t="str">
        <f>IF($A1878="","",EDATE($A1878,12*$E$4))</f>
        <v/>
      </c>
      <c r="L1878" s="19" t="str">
        <f>IF($K1878="","",IF($K1878&gt;MAX($A$8:$A$5007),"",IFERROR(MATCH($K1878,$A$8:$A$5007,1),"")))</f>
        <v/>
      </c>
      <c r="M1878" s="30" t="str">
        <f>IF($L1878="","",INDEX($A$8:$A$5007,$L1878))</f>
        <v/>
      </c>
      <c r="N1878" s="31" t="str">
        <f>IF($L1878="","",INDEX($B$8:$B$5007,$L1878))</f>
        <v/>
      </c>
      <c r="O1878" s="32" t="str">
        <f>IF($M1878="","",IF($K1878-$M1878&gt;7,"",IF($M1878&lt;=$A1878,"",IF(OR($B1878&lt;=0,$N1878&lt;=0),"",($N1878/$B1878)^(365/($M1878-$A1878))-1))))</f>
        <v/>
      </c>
      <c r="P1878" s="31" t="str">
        <f>IF($B1878="","",IF($P1877="",$B1878,MAX($P1877,$B1878)))</f>
        <v/>
      </c>
      <c r="Q1878" s="32" t="str">
        <f>IF($P1878="","",$B1878/$P1878-1)</f>
        <v/>
      </c>
    </row>
    <row r="1879">
      <c r="A1879" s="11" t="n"/>
      <c r="B1879" s="29" t="n"/>
      <c r="K1879" s="30" t="str">
        <f>IF($A1879="","",EDATE($A1879,12*$E$4))</f>
        <v/>
      </c>
      <c r="L1879" s="19" t="str">
        <f>IF($K1879="","",IF($K1879&gt;MAX($A$8:$A$5007),"",IFERROR(MATCH($K1879,$A$8:$A$5007,1),"")))</f>
        <v/>
      </c>
      <c r="M1879" s="30" t="str">
        <f>IF($L1879="","",INDEX($A$8:$A$5007,$L1879))</f>
        <v/>
      </c>
      <c r="N1879" s="31" t="str">
        <f>IF($L1879="","",INDEX($B$8:$B$5007,$L1879))</f>
        <v/>
      </c>
      <c r="O1879" s="32" t="str">
        <f>IF($M1879="","",IF($K1879-$M1879&gt;7,"",IF($M1879&lt;=$A1879,"",IF(OR($B1879&lt;=0,$N1879&lt;=0),"",($N1879/$B1879)^(365/($M1879-$A1879))-1))))</f>
        <v/>
      </c>
      <c r="P1879" s="31" t="str">
        <f>IF($B1879="","",IF($P1878="",$B1879,MAX($P1878,$B1879)))</f>
        <v/>
      </c>
      <c r="Q1879" s="32" t="str">
        <f>IF($P1879="","",$B1879/$P1879-1)</f>
        <v/>
      </c>
    </row>
    <row r="1880">
      <c r="A1880" s="11" t="n"/>
      <c r="B1880" s="29" t="n"/>
      <c r="K1880" s="30" t="str">
        <f>IF($A1880="","",EDATE($A1880,12*$E$4))</f>
        <v/>
      </c>
      <c r="L1880" s="19" t="str">
        <f>IF($K1880="","",IF($K1880&gt;MAX($A$8:$A$5007),"",IFERROR(MATCH($K1880,$A$8:$A$5007,1),"")))</f>
        <v/>
      </c>
      <c r="M1880" s="30" t="str">
        <f>IF($L1880="","",INDEX($A$8:$A$5007,$L1880))</f>
        <v/>
      </c>
      <c r="N1880" s="31" t="str">
        <f>IF($L1880="","",INDEX($B$8:$B$5007,$L1880))</f>
        <v/>
      </c>
      <c r="O1880" s="32" t="str">
        <f>IF($M1880="","",IF($K1880-$M1880&gt;7,"",IF($M1880&lt;=$A1880,"",IF(OR($B1880&lt;=0,$N1880&lt;=0),"",($N1880/$B1880)^(365/($M1880-$A1880))-1))))</f>
        <v/>
      </c>
      <c r="P1880" s="31" t="str">
        <f>IF($B1880="","",IF($P1879="",$B1880,MAX($P1879,$B1880)))</f>
        <v/>
      </c>
      <c r="Q1880" s="32" t="str">
        <f>IF($P1880="","",$B1880/$P1880-1)</f>
        <v/>
      </c>
    </row>
    <row r="1881">
      <c r="A1881" s="11" t="n"/>
      <c r="B1881" s="29" t="n"/>
      <c r="K1881" s="30" t="str">
        <f>IF($A1881="","",EDATE($A1881,12*$E$4))</f>
        <v/>
      </c>
      <c r="L1881" s="19" t="str">
        <f>IF($K1881="","",IF($K1881&gt;MAX($A$8:$A$5007),"",IFERROR(MATCH($K1881,$A$8:$A$5007,1),"")))</f>
        <v/>
      </c>
      <c r="M1881" s="30" t="str">
        <f>IF($L1881="","",INDEX($A$8:$A$5007,$L1881))</f>
        <v/>
      </c>
      <c r="N1881" s="31" t="str">
        <f>IF($L1881="","",INDEX($B$8:$B$5007,$L1881))</f>
        <v/>
      </c>
      <c r="O1881" s="32" t="str">
        <f>IF($M1881="","",IF($K1881-$M1881&gt;7,"",IF($M1881&lt;=$A1881,"",IF(OR($B1881&lt;=0,$N1881&lt;=0),"",($N1881/$B1881)^(365/($M1881-$A1881))-1))))</f>
        <v/>
      </c>
      <c r="P1881" s="31" t="str">
        <f>IF($B1881="","",IF($P1880="",$B1881,MAX($P1880,$B1881)))</f>
        <v/>
      </c>
      <c r="Q1881" s="32" t="str">
        <f>IF($P1881="","",$B1881/$P1881-1)</f>
        <v/>
      </c>
    </row>
    <row r="1882">
      <c r="A1882" s="11" t="n"/>
      <c r="B1882" s="29" t="n"/>
      <c r="K1882" s="30" t="str">
        <f>IF($A1882="","",EDATE($A1882,12*$E$4))</f>
        <v/>
      </c>
      <c r="L1882" s="19" t="str">
        <f>IF($K1882="","",IF($K1882&gt;MAX($A$8:$A$5007),"",IFERROR(MATCH($K1882,$A$8:$A$5007,1),"")))</f>
        <v/>
      </c>
      <c r="M1882" s="30" t="str">
        <f>IF($L1882="","",INDEX($A$8:$A$5007,$L1882))</f>
        <v/>
      </c>
      <c r="N1882" s="31" t="str">
        <f>IF($L1882="","",INDEX($B$8:$B$5007,$L1882))</f>
        <v/>
      </c>
      <c r="O1882" s="32" t="str">
        <f>IF($M1882="","",IF($K1882-$M1882&gt;7,"",IF($M1882&lt;=$A1882,"",IF(OR($B1882&lt;=0,$N1882&lt;=0),"",($N1882/$B1882)^(365/($M1882-$A1882))-1))))</f>
        <v/>
      </c>
      <c r="P1882" s="31" t="str">
        <f>IF($B1882="","",IF($P1881="",$B1882,MAX($P1881,$B1882)))</f>
        <v/>
      </c>
      <c r="Q1882" s="32" t="str">
        <f>IF($P1882="","",$B1882/$P1882-1)</f>
        <v/>
      </c>
    </row>
    <row r="1883">
      <c r="A1883" s="11" t="n"/>
      <c r="B1883" s="29" t="n"/>
      <c r="K1883" s="30" t="str">
        <f>IF($A1883="","",EDATE($A1883,12*$E$4))</f>
        <v/>
      </c>
      <c r="L1883" s="19" t="str">
        <f>IF($K1883="","",IF($K1883&gt;MAX($A$8:$A$5007),"",IFERROR(MATCH($K1883,$A$8:$A$5007,1),"")))</f>
        <v/>
      </c>
      <c r="M1883" s="30" t="str">
        <f>IF($L1883="","",INDEX($A$8:$A$5007,$L1883))</f>
        <v/>
      </c>
      <c r="N1883" s="31" t="str">
        <f>IF($L1883="","",INDEX($B$8:$B$5007,$L1883))</f>
        <v/>
      </c>
      <c r="O1883" s="32" t="str">
        <f>IF($M1883="","",IF($K1883-$M1883&gt;7,"",IF($M1883&lt;=$A1883,"",IF(OR($B1883&lt;=0,$N1883&lt;=0),"",($N1883/$B1883)^(365/($M1883-$A1883))-1))))</f>
        <v/>
      </c>
      <c r="P1883" s="31" t="str">
        <f>IF($B1883="","",IF($P1882="",$B1883,MAX($P1882,$B1883)))</f>
        <v/>
      </c>
      <c r="Q1883" s="32" t="str">
        <f>IF($P1883="","",$B1883/$P1883-1)</f>
        <v/>
      </c>
    </row>
    <row r="1884">
      <c r="A1884" s="11" t="n"/>
      <c r="B1884" s="29" t="n"/>
      <c r="K1884" s="30" t="str">
        <f>IF($A1884="","",EDATE($A1884,12*$E$4))</f>
        <v/>
      </c>
      <c r="L1884" s="19" t="str">
        <f>IF($K1884="","",IF($K1884&gt;MAX($A$8:$A$5007),"",IFERROR(MATCH($K1884,$A$8:$A$5007,1),"")))</f>
        <v/>
      </c>
      <c r="M1884" s="30" t="str">
        <f>IF($L1884="","",INDEX($A$8:$A$5007,$L1884))</f>
        <v/>
      </c>
      <c r="N1884" s="31" t="str">
        <f>IF($L1884="","",INDEX($B$8:$B$5007,$L1884))</f>
        <v/>
      </c>
      <c r="O1884" s="32" t="str">
        <f>IF($M1884="","",IF($K1884-$M1884&gt;7,"",IF($M1884&lt;=$A1884,"",IF(OR($B1884&lt;=0,$N1884&lt;=0),"",($N1884/$B1884)^(365/($M1884-$A1884))-1))))</f>
        <v/>
      </c>
      <c r="P1884" s="31" t="str">
        <f>IF($B1884="","",IF($P1883="",$B1884,MAX($P1883,$B1884)))</f>
        <v/>
      </c>
      <c r="Q1884" s="32" t="str">
        <f>IF($P1884="","",$B1884/$P1884-1)</f>
        <v/>
      </c>
    </row>
    <row r="1885">
      <c r="A1885" s="11" t="n"/>
      <c r="B1885" s="29" t="n"/>
      <c r="K1885" s="30" t="str">
        <f>IF($A1885="","",EDATE($A1885,12*$E$4))</f>
        <v/>
      </c>
      <c r="L1885" s="19" t="str">
        <f>IF($K1885="","",IF($K1885&gt;MAX($A$8:$A$5007),"",IFERROR(MATCH($K1885,$A$8:$A$5007,1),"")))</f>
        <v/>
      </c>
      <c r="M1885" s="30" t="str">
        <f>IF($L1885="","",INDEX($A$8:$A$5007,$L1885))</f>
        <v/>
      </c>
      <c r="N1885" s="31" t="str">
        <f>IF($L1885="","",INDEX($B$8:$B$5007,$L1885))</f>
        <v/>
      </c>
      <c r="O1885" s="32" t="str">
        <f>IF($M1885="","",IF($K1885-$M1885&gt;7,"",IF($M1885&lt;=$A1885,"",IF(OR($B1885&lt;=0,$N1885&lt;=0),"",($N1885/$B1885)^(365/($M1885-$A1885))-1))))</f>
        <v/>
      </c>
      <c r="P1885" s="31" t="str">
        <f>IF($B1885="","",IF($P1884="",$B1885,MAX($P1884,$B1885)))</f>
        <v/>
      </c>
      <c r="Q1885" s="32" t="str">
        <f>IF($P1885="","",$B1885/$P1885-1)</f>
        <v/>
      </c>
    </row>
    <row r="1886">
      <c r="A1886" s="11" t="n"/>
      <c r="B1886" s="29" t="n"/>
      <c r="K1886" s="30" t="str">
        <f>IF($A1886="","",EDATE($A1886,12*$E$4))</f>
        <v/>
      </c>
      <c r="L1886" s="19" t="str">
        <f>IF($K1886="","",IF($K1886&gt;MAX($A$8:$A$5007),"",IFERROR(MATCH($K1886,$A$8:$A$5007,1),"")))</f>
        <v/>
      </c>
      <c r="M1886" s="30" t="str">
        <f>IF($L1886="","",INDEX($A$8:$A$5007,$L1886))</f>
        <v/>
      </c>
      <c r="N1886" s="31" t="str">
        <f>IF($L1886="","",INDEX($B$8:$B$5007,$L1886))</f>
        <v/>
      </c>
      <c r="O1886" s="32" t="str">
        <f>IF($M1886="","",IF($K1886-$M1886&gt;7,"",IF($M1886&lt;=$A1886,"",IF(OR($B1886&lt;=0,$N1886&lt;=0),"",($N1886/$B1886)^(365/($M1886-$A1886))-1))))</f>
        <v/>
      </c>
      <c r="P1886" s="31" t="str">
        <f>IF($B1886="","",IF($P1885="",$B1886,MAX($P1885,$B1886)))</f>
        <v/>
      </c>
      <c r="Q1886" s="32" t="str">
        <f>IF($P1886="","",$B1886/$P1886-1)</f>
        <v/>
      </c>
    </row>
    <row r="1887">
      <c r="A1887" s="11" t="n"/>
      <c r="B1887" s="29" t="n"/>
      <c r="K1887" s="30" t="str">
        <f>IF($A1887="","",EDATE($A1887,12*$E$4))</f>
        <v/>
      </c>
      <c r="L1887" s="19" t="str">
        <f>IF($K1887="","",IF($K1887&gt;MAX($A$8:$A$5007),"",IFERROR(MATCH($K1887,$A$8:$A$5007,1),"")))</f>
        <v/>
      </c>
      <c r="M1887" s="30" t="str">
        <f>IF($L1887="","",INDEX($A$8:$A$5007,$L1887))</f>
        <v/>
      </c>
      <c r="N1887" s="31" t="str">
        <f>IF($L1887="","",INDEX($B$8:$B$5007,$L1887))</f>
        <v/>
      </c>
      <c r="O1887" s="32" t="str">
        <f>IF($M1887="","",IF($K1887-$M1887&gt;7,"",IF($M1887&lt;=$A1887,"",IF(OR($B1887&lt;=0,$N1887&lt;=0),"",($N1887/$B1887)^(365/($M1887-$A1887))-1))))</f>
        <v/>
      </c>
      <c r="P1887" s="31" t="str">
        <f>IF($B1887="","",IF($P1886="",$B1887,MAX($P1886,$B1887)))</f>
        <v/>
      </c>
      <c r="Q1887" s="32" t="str">
        <f>IF($P1887="","",$B1887/$P1887-1)</f>
        <v/>
      </c>
    </row>
    <row r="1888">
      <c r="A1888" s="11" t="n"/>
      <c r="B1888" s="29" t="n"/>
      <c r="K1888" s="30" t="str">
        <f>IF($A1888="","",EDATE($A1888,12*$E$4))</f>
        <v/>
      </c>
      <c r="L1888" s="19" t="str">
        <f>IF($K1888="","",IF($K1888&gt;MAX($A$8:$A$5007),"",IFERROR(MATCH($K1888,$A$8:$A$5007,1),"")))</f>
        <v/>
      </c>
      <c r="M1888" s="30" t="str">
        <f>IF($L1888="","",INDEX($A$8:$A$5007,$L1888))</f>
        <v/>
      </c>
      <c r="N1888" s="31" t="str">
        <f>IF($L1888="","",INDEX($B$8:$B$5007,$L1888))</f>
        <v/>
      </c>
      <c r="O1888" s="32" t="str">
        <f>IF($M1888="","",IF($K1888-$M1888&gt;7,"",IF($M1888&lt;=$A1888,"",IF(OR($B1888&lt;=0,$N1888&lt;=0),"",($N1888/$B1888)^(365/($M1888-$A1888))-1))))</f>
        <v/>
      </c>
      <c r="P1888" s="31" t="str">
        <f>IF($B1888="","",IF($P1887="",$B1888,MAX($P1887,$B1888)))</f>
        <v/>
      </c>
      <c r="Q1888" s="32" t="str">
        <f>IF($P1888="","",$B1888/$P1888-1)</f>
        <v/>
      </c>
    </row>
    <row r="1889">
      <c r="A1889" s="11" t="n"/>
      <c r="B1889" s="29" t="n"/>
      <c r="K1889" s="30" t="str">
        <f>IF($A1889="","",EDATE($A1889,12*$E$4))</f>
        <v/>
      </c>
      <c r="L1889" s="19" t="str">
        <f>IF($K1889="","",IF($K1889&gt;MAX($A$8:$A$5007),"",IFERROR(MATCH($K1889,$A$8:$A$5007,1),"")))</f>
        <v/>
      </c>
      <c r="M1889" s="30" t="str">
        <f>IF($L1889="","",INDEX($A$8:$A$5007,$L1889))</f>
        <v/>
      </c>
      <c r="N1889" s="31" t="str">
        <f>IF($L1889="","",INDEX($B$8:$B$5007,$L1889))</f>
        <v/>
      </c>
      <c r="O1889" s="32" t="str">
        <f>IF($M1889="","",IF($K1889-$M1889&gt;7,"",IF($M1889&lt;=$A1889,"",IF(OR($B1889&lt;=0,$N1889&lt;=0),"",($N1889/$B1889)^(365/($M1889-$A1889))-1))))</f>
        <v/>
      </c>
      <c r="P1889" s="31" t="str">
        <f>IF($B1889="","",IF($P1888="",$B1889,MAX($P1888,$B1889)))</f>
        <v/>
      </c>
      <c r="Q1889" s="32" t="str">
        <f>IF($P1889="","",$B1889/$P1889-1)</f>
        <v/>
      </c>
    </row>
    <row r="1890">
      <c r="A1890" s="11" t="n"/>
      <c r="B1890" s="29" t="n"/>
      <c r="K1890" s="30" t="str">
        <f>IF($A1890="","",EDATE($A1890,12*$E$4))</f>
        <v/>
      </c>
      <c r="L1890" s="19" t="str">
        <f>IF($K1890="","",IF($K1890&gt;MAX($A$8:$A$5007),"",IFERROR(MATCH($K1890,$A$8:$A$5007,1),"")))</f>
        <v/>
      </c>
      <c r="M1890" s="30" t="str">
        <f>IF($L1890="","",INDEX($A$8:$A$5007,$L1890))</f>
        <v/>
      </c>
      <c r="N1890" s="31" t="str">
        <f>IF($L1890="","",INDEX($B$8:$B$5007,$L1890))</f>
        <v/>
      </c>
      <c r="O1890" s="32" t="str">
        <f>IF($M1890="","",IF($K1890-$M1890&gt;7,"",IF($M1890&lt;=$A1890,"",IF(OR($B1890&lt;=0,$N1890&lt;=0),"",($N1890/$B1890)^(365/($M1890-$A1890))-1))))</f>
        <v/>
      </c>
      <c r="P1890" s="31" t="str">
        <f>IF($B1890="","",IF($P1889="",$B1890,MAX($P1889,$B1890)))</f>
        <v/>
      </c>
      <c r="Q1890" s="32" t="str">
        <f>IF($P1890="","",$B1890/$P1890-1)</f>
        <v/>
      </c>
    </row>
    <row r="1891">
      <c r="A1891" s="11" t="n"/>
      <c r="B1891" s="29" t="n"/>
      <c r="K1891" s="30" t="str">
        <f>IF($A1891="","",EDATE($A1891,12*$E$4))</f>
        <v/>
      </c>
      <c r="L1891" s="19" t="str">
        <f>IF($K1891="","",IF($K1891&gt;MAX($A$8:$A$5007),"",IFERROR(MATCH($K1891,$A$8:$A$5007,1),"")))</f>
        <v/>
      </c>
      <c r="M1891" s="30" t="str">
        <f>IF($L1891="","",INDEX($A$8:$A$5007,$L1891))</f>
        <v/>
      </c>
      <c r="N1891" s="31" t="str">
        <f>IF($L1891="","",INDEX($B$8:$B$5007,$L1891))</f>
        <v/>
      </c>
      <c r="O1891" s="32" t="str">
        <f>IF($M1891="","",IF($K1891-$M1891&gt;7,"",IF($M1891&lt;=$A1891,"",IF(OR($B1891&lt;=0,$N1891&lt;=0),"",($N1891/$B1891)^(365/($M1891-$A1891))-1))))</f>
        <v/>
      </c>
      <c r="P1891" s="31" t="str">
        <f>IF($B1891="","",IF($P1890="",$B1891,MAX($P1890,$B1891)))</f>
        <v/>
      </c>
      <c r="Q1891" s="32" t="str">
        <f>IF($P1891="","",$B1891/$P1891-1)</f>
        <v/>
      </c>
    </row>
    <row r="1892">
      <c r="A1892" s="11" t="n"/>
      <c r="B1892" s="29" t="n"/>
      <c r="K1892" s="30" t="str">
        <f>IF($A1892="","",EDATE($A1892,12*$E$4))</f>
        <v/>
      </c>
      <c r="L1892" s="19" t="str">
        <f>IF($K1892="","",IF($K1892&gt;MAX($A$8:$A$5007),"",IFERROR(MATCH($K1892,$A$8:$A$5007,1),"")))</f>
        <v/>
      </c>
      <c r="M1892" s="30" t="str">
        <f>IF($L1892="","",INDEX($A$8:$A$5007,$L1892))</f>
        <v/>
      </c>
      <c r="N1892" s="31" t="str">
        <f>IF($L1892="","",INDEX($B$8:$B$5007,$L1892))</f>
        <v/>
      </c>
      <c r="O1892" s="32" t="str">
        <f>IF($M1892="","",IF($K1892-$M1892&gt;7,"",IF($M1892&lt;=$A1892,"",IF(OR($B1892&lt;=0,$N1892&lt;=0),"",($N1892/$B1892)^(365/($M1892-$A1892))-1))))</f>
        <v/>
      </c>
      <c r="P1892" s="31" t="str">
        <f>IF($B1892="","",IF($P1891="",$B1892,MAX($P1891,$B1892)))</f>
        <v/>
      </c>
      <c r="Q1892" s="32" t="str">
        <f>IF($P1892="","",$B1892/$P1892-1)</f>
        <v/>
      </c>
    </row>
    <row r="1893">
      <c r="A1893" s="11" t="n"/>
      <c r="B1893" s="29" t="n"/>
      <c r="K1893" s="30" t="str">
        <f>IF($A1893="","",EDATE($A1893,12*$E$4))</f>
        <v/>
      </c>
      <c r="L1893" s="19" t="str">
        <f>IF($K1893="","",IF($K1893&gt;MAX($A$8:$A$5007),"",IFERROR(MATCH($K1893,$A$8:$A$5007,1),"")))</f>
        <v/>
      </c>
      <c r="M1893" s="30" t="str">
        <f>IF($L1893="","",INDEX($A$8:$A$5007,$L1893))</f>
        <v/>
      </c>
      <c r="N1893" s="31" t="str">
        <f>IF($L1893="","",INDEX($B$8:$B$5007,$L1893))</f>
        <v/>
      </c>
      <c r="O1893" s="32" t="str">
        <f>IF($M1893="","",IF($K1893-$M1893&gt;7,"",IF($M1893&lt;=$A1893,"",IF(OR($B1893&lt;=0,$N1893&lt;=0),"",($N1893/$B1893)^(365/($M1893-$A1893))-1))))</f>
        <v/>
      </c>
      <c r="P1893" s="31" t="str">
        <f>IF($B1893="","",IF($P1892="",$B1893,MAX($P1892,$B1893)))</f>
        <v/>
      </c>
      <c r="Q1893" s="32" t="str">
        <f>IF($P1893="","",$B1893/$P1893-1)</f>
        <v/>
      </c>
    </row>
    <row r="1894">
      <c r="A1894" s="11" t="n"/>
      <c r="B1894" s="29" t="n"/>
      <c r="K1894" s="30" t="str">
        <f>IF($A1894="","",EDATE($A1894,12*$E$4))</f>
        <v/>
      </c>
      <c r="L1894" s="19" t="str">
        <f>IF($K1894="","",IF($K1894&gt;MAX($A$8:$A$5007),"",IFERROR(MATCH($K1894,$A$8:$A$5007,1),"")))</f>
        <v/>
      </c>
      <c r="M1894" s="30" t="str">
        <f>IF($L1894="","",INDEX($A$8:$A$5007,$L1894))</f>
        <v/>
      </c>
      <c r="N1894" s="31" t="str">
        <f>IF($L1894="","",INDEX($B$8:$B$5007,$L1894))</f>
        <v/>
      </c>
      <c r="O1894" s="32" t="str">
        <f>IF($M1894="","",IF($K1894-$M1894&gt;7,"",IF($M1894&lt;=$A1894,"",IF(OR($B1894&lt;=0,$N1894&lt;=0),"",($N1894/$B1894)^(365/($M1894-$A1894))-1))))</f>
        <v/>
      </c>
      <c r="P1894" s="31" t="str">
        <f>IF($B1894="","",IF($P1893="",$B1894,MAX($P1893,$B1894)))</f>
        <v/>
      </c>
      <c r="Q1894" s="32" t="str">
        <f>IF($P1894="","",$B1894/$P1894-1)</f>
        <v/>
      </c>
    </row>
    <row r="1895">
      <c r="A1895" s="11" t="n"/>
      <c r="B1895" s="29" t="n"/>
      <c r="K1895" s="30" t="str">
        <f>IF($A1895="","",EDATE($A1895,12*$E$4))</f>
        <v/>
      </c>
      <c r="L1895" s="19" t="str">
        <f>IF($K1895="","",IF($K1895&gt;MAX($A$8:$A$5007),"",IFERROR(MATCH($K1895,$A$8:$A$5007,1),"")))</f>
        <v/>
      </c>
      <c r="M1895" s="30" t="str">
        <f>IF($L1895="","",INDEX($A$8:$A$5007,$L1895))</f>
        <v/>
      </c>
      <c r="N1895" s="31" t="str">
        <f>IF($L1895="","",INDEX($B$8:$B$5007,$L1895))</f>
        <v/>
      </c>
      <c r="O1895" s="32" t="str">
        <f>IF($M1895="","",IF($K1895-$M1895&gt;7,"",IF($M1895&lt;=$A1895,"",IF(OR($B1895&lt;=0,$N1895&lt;=0),"",($N1895/$B1895)^(365/($M1895-$A1895))-1))))</f>
        <v/>
      </c>
      <c r="P1895" s="31" t="str">
        <f>IF($B1895="","",IF($P1894="",$B1895,MAX($P1894,$B1895)))</f>
        <v/>
      </c>
      <c r="Q1895" s="32" t="str">
        <f>IF($P1895="","",$B1895/$P1895-1)</f>
        <v/>
      </c>
    </row>
    <row r="1896">
      <c r="A1896" s="11" t="n"/>
      <c r="B1896" s="29" t="n"/>
      <c r="K1896" s="30" t="str">
        <f>IF($A1896="","",EDATE($A1896,12*$E$4))</f>
        <v/>
      </c>
      <c r="L1896" s="19" t="str">
        <f>IF($K1896="","",IF($K1896&gt;MAX($A$8:$A$5007),"",IFERROR(MATCH($K1896,$A$8:$A$5007,1),"")))</f>
        <v/>
      </c>
      <c r="M1896" s="30" t="str">
        <f>IF($L1896="","",INDEX($A$8:$A$5007,$L1896))</f>
        <v/>
      </c>
      <c r="N1896" s="31" t="str">
        <f>IF($L1896="","",INDEX($B$8:$B$5007,$L1896))</f>
        <v/>
      </c>
      <c r="O1896" s="32" t="str">
        <f>IF($M1896="","",IF($K1896-$M1896&gt;7,"",IF($M1896&lt;=$A1896,"",IF(OR($B1896&lt;=0,$N1896&lt;=0),"",($N1896/$B1896)^(365/($M1896-$A1896))-1))))</f>
        <v/>
      </c>
      <c r="P1896" s="31" t="str">
        <f>IF($B1896="","",IF($P1895="",$B1896,MAX($P1895,$B1896)))</f>
        <v/>
      </c>
      <c r="Q1896" s="32" t="str">
        <f>IF($P1896="","",$B1896/$P1896-1)</f>
        <v/>
      </c>
    </row>
    <row r="1897">
      <c r="A1897" s="11" t="n"/>
      <c r="B1897" s="29" t="n"/>
      <c r="K1897" s="30" t="str">
        <f>IF($A1897="","",EDATE($A1897,12*$E$4))</f>
        <v/>
      </c>
      <c r="L1897" s="19" t="str">
        <f>IF($K1897="","",IF($K1897&gt;MAX($A$8:$A$5007),"",IFERROR(MATCH($K1897,$A$8:$A$5007,1),"")))</f>
        <v/>
      </c>
      <c r="M1897" s="30" t="str">
        <f>IF($L1897="","",INDEX($A$8:$A$5007,$L1897))</f>
        <v/>
      </c>
      <c r="N1897" s="31" t="str">
        <f>IF($L1897="","",INDEX($B$8:$B$5007,$L1897))</f>
        <v/>
      </c>
      <c r="O1897" s="32" t="str">
        <f>IF($M1897="","",IF($K1897-$M1897&gt;7,"",IF($M1897&lt;=$A1897,"",IF(OR($B1897&lt;=0,$N1897&lt;=0),"",($N1897/$B1897)^(365/($M1897-$A1897))-1))))</f>
        <v/>
      </c>
      <c r="P1897" s="31" t="str">
        <f>IF($B1897="","",IF($P1896="",$B1897,MAX($P1896,$B1897)))</f>
        <v/>
      </c>
      <c r="Q1897" s="32" t="str">
        <f>IF($P1897="","",$B1897/$P1897-1)</f>
        <v/>
      </c>
    </row>
    <row r="1898">
      <c r="A1898" s="11" t="n"/>
      <c r="B1898" s="29" t="n"/>
      <c r="K1898" s="30" t="str">
        <f>IF($A1898="","",EDATE($A1898,12*$E$4))</f>
        <v/>
      </c>
      <c r="L1898" s="19" t="str">
        <f>IF($K1898="","",IF($K1898&gt;MAX($A$8:$A$5007),"",IFERROR(MATCH($K1898,$A$8:$A$5007,1),"")))</f>
        <v/>
      </c>
      <c r="M1898" s="30" t="str">
        <f>IF($L1898="","",INDEX($A$8:$A$5007,$L1898))</f>
        <v/>
      </c>
      <c r="N1898" s="31" t="str">
        <f>IF($L1898="","",INDEX($B$8:$B$5007,$L1898))</f>
        <v/>
      </c>
      <c r="O1898" s="32" t="str">
        <f>IF($M1898="","",IF($K1898-$M1898&gt;7,"",IF($M1898&lt;=$A1898,"",IF(OR($B1898&lt;=0,$N1898&lt;=0),"",($N1898/$B1898)^(365/($M1898-$A1898))-1))))</f>
        <v/>
      </c>
      <c r="P1898" s="31" t="str">
        <f>IF($B1898="","",IF($P1897="",$B1898,MAX($P1897,$B1898)))</f>
        <v/>
      </c>
      <c r="Q1898" s="32" t="str">
        <f>IF($P1898="","",$B1898/$P1898-1)</f>
        <v/>
      </c>
    </row>
    <row r="1899">
      <c r="A1899" s="11" t="n"/>
      <c r="B1899" s="29" t="n"/>
      <c r="K1899" s="30" t="str">
        <f>IF($A1899="","",EDATE($A1899,12*$E$4))</f>
        <v/>
      </c>
      <c r="L1899" s="19" t="str">
        <f>IF($K1899="","",IF($K1899&gt;MAX($A$8:$A$5007),"",IFERROR(MATCH($K1899,$A$8:$A$5007,1),"")))</f>
        <v/>
      </c>
      <c r="M1899" s="30" t="str">
        <f>IF($L1899="","",INDEX($A$8:$A$5007,$L1899))</f>
        <v/>
      </c>
      <c r="N1899" s="31" t="str">
        <f>IF($L1899="","",INDEX($B$8:$B$5007,$L1899))</f>
        <v/>
      </c>
      <c r="O1899" s="32" t="str">
        <f>IF($M1899="","",IF($K1899-$M1899&gt;7,"",IF($M1899&lt;=$A1899,"",IF(OR($B1899&lt;=0,$N1899&lt;=0),"",($N1899/$B1899)^(365/($M1899-$A1899))-1))))</f>
        <v/>
      </c>
      <c r="P1899" s="31" t="str">
        <f>IF($B1899="","",IF($P1898="",$B1899,MAX($P1898,$B1899)))</f>
        <v/>
      </c>
      <c r="Q1899" s="32" t="str">
        <f>IF($P1899="","",$B1899/$P1899-1)</f>
        <v/>
      </c>
    </row>
    <row r="1900">
      <c r="A1900" s="11" t="n"/>
      <c r="B1900" s="29" t="n"/>
      <c r="K1900" s="30" t="str">
        <f>IF($A1900="","",EDATE($A1900,12*$E$4))</f>
        <v/>
      </c>
      <c r="L1900" s="19" t="str">
        <f>IF($K1900="","",IF($K1900&gt;MAX($A$8:$A$5007),"",IFERROR(MATCH($K1900,$A$8:$A$5007,1),"")))</f>
        <v/>
      </c>
      <c r="M1900" s="30" t="str">
        <f>IF($L1900="","",INDEX($A$8:$A$5007,$L1900))</f>
        <v/>
      </c>
      <c r="N1900" s="31" t="str">
        <f>IF($L1900="","",INDEX($B$8:$B$5007,$L1900))</f>
        <v/>
      </c>
      <c r="O1900" s="32" t="str">
        <f>IF($M1900="","",IF($K1900-$M1900&gt;7,"",IF($M1900&lt;=$A1900,"",IF(OR($B1900&lt;=0,$N1900&lt;=0),"",($N1900/$B1900)^(365/($M1900-$A1900))-1))))</f>
        <v/>
      </c>
      <c r="P1900" s="31" t="str">
        <f>IF($B1900="","",IF($P1899="",$B1900,MAX($P1899,$B1900)))</f>
        <v/>
      </c>
      <c r="Q1900" s="32" t="str">
        <f>IF($P1900="","",$B1900/$P1900-1)</f>
        <v/>
      </c>
    </row>
    <row r="1901">
      <c r="A1901" s="11" t="n"/>
      <c r="B1901" s="29" t="n"/>
      <c r="K1901" s="30" t="str">
        <f>IF($A1901="","",EDATE($A1901,12*$E$4))</f>
        <v/>
      </c>
      <c r="L1901" s="19" t="str">
        <f>IF($K1901="","",IF($K1901&gt;MAX($A$8:$A$5007),"",IFERROR(MATCH($K1901,$A$8:$A$5007,1),"")))</f>
        <v/>
      </c>
      <c r="M1901" s="30" t="str">
        <f>IF($L1901="","",INDEX($A$8:$A$5007,$L1901))</f>
        <v/>
      </c>
      <c r="N1901" s="31" t="str">
        <f>IF($L1901="","",INDEX($B$8:$B$5007,$L1901))</f>
        <v/>
      </c>
      <c r="O1901" s="32" t="str">
        <f>IF($M1901="","",IF($K1901-$M1901&gt;7,"",IF($M1901&lt;=$A1901,"",IF(OR($B1901&lt;=0,$N1901&lt;=0),"",($N1901/$B1901)^(365/($M1901-$A1901))-1))))</f>
        <v/>
      </c>
      <c r="P1901" s="31" t="str">
        <f>IF($B1901="","",IF($P1900="",$B1901,MAX($P1900,$B1901)))</f>
        <v/>
      </c>
      <c r="Q1901" s="32" t="str">
        <f>IF($P1901="","",$B1901/$P1901-1)</f>
        <v/>
      </c>
    </row>
    <row r="1902">
      <c r="A1902" s="11" t="n"/>
      <c r="B1902" s="29" t="n"/>
      <c r="K1902" s="30" t="str">
        <f>IF($A1902="","",EDATE($A1902,12*$E$4))</f>
        <v/>
      </c>
      <c r="L1902" s="19" t="str">
        <f>IF($K1902="","",IF($K1902&gt;MAX($A$8:$A$5007),"",IFERROR(MATCH($K1902,$A$8:$A$5007,1),"")))</f>
        <v/>
      </c>
      <c r="M1902" s="30" t="str">
        <f>IF($L1902="","",INDEX($A$8:$A$5007,$L1902))</f>
        <v/>
      </c>
      <c r="N1902" s="31" t="str">
        <f>IF($L1902="","",INDEX($B$8:$B$5007,$L1902))</f>
        <v/>
      </c>
      <c r="O1902" s="32" t="str">
        <f>IF($M1902="","",IF($K1902-$M1902&gt;7,"",IF($M1902&lt;=$A1902,"",IF(OR($B1902&lt;=0,$N1902&lt;=0),"",($N1902/$B1902)^(365/($M1902-$A1902))-1))))</f>
        <v/>
      </c>
      <c r="P1902" s="31" t="str">
        <f>IF($B1902="","",IF($P1901="",$B1902,MAX($P1901,$B1902)))</f>
        <v/>
      </c>
      <c r="Q1902" s="32" t="str">
        <f>IF($P1902="","",$B1902/$P1902-1)</f>
        <v/>
      </c>
    </row>
    <row r="1903">
      <c r="A1903" s="11" t="n"/>
      <c r="B1903" s="29" t="n"/>
      <c r="K1903" s="30" t="str">
        <f>IF($A1903="","",EDATE($A1903,12*$E$4))</f>
        <v/>
      </c>
      <c r="L1903" s="19" t="str">
        <f>IF($K1903="","",IF($K1903&gt;MAX($A$8:$A$5007),"",IFERROR(MATCH($K1903,$A$8:$A$5007,1),"")))</f>
        <v/>
      </c>
      <c r="M1903" s="30" t="str">
        <f>IF($L1903="","",INDEX($A$8:$A$5007,$L1903))</f>
        <v/>
      </c>
      <c r="N1903" s="31" t="str">
        <f>IF($L1903="","",INDEX($B$8:$B$5007,$L1903))</f>
        <v/>
      </c>
      <c r="O1903" s="32" t="str">
        <f>IF($M1903="","",IF($K1903-$M1903&gt;7,"",IF($M1903&lt;=$A1903,"",IF(OR($B1903&lt;=0,$N1903&lt;=0),"",($N1903/$B1903)^(365/($M1903-$A1903))-1))))</f>
        <v/>
      </c>
      <c r="P1903" s="31" t="str">
        <f>IF($B1903="","",IF($P1902="",$B1903,MAX($P1902,$B1903)))</f>
        <v/>
      </c>
      <c r="Q1903" s="32" t="str">
        <f>IF($P1903="","",$B1903/$P1903-1)</f>
        <v/>
      </c>
    </row>
    <row r="1904">
      <c r="A1904" s="11" t="n"/>
      <c r="B1904" s="29" t="n"/>
      <c r="K1904" s="30" t="str">
        <f>IF($A1904="","",EDATE($A1904,12*$E$4))</f>
        <v/>
      </c>
      <c r="L1904" s="19" t="str">
        <f>IF($K1904="","",IF($K1904&gt;MAX($A$8:$A$5007),"",IFERROR(MATCH($K1904,$A$8:$A$5007,1),"")))</f>
        <v/>
      </c>
      <c r="M1904" s="30" t="str">
        <f>IF($L1904="","",INDEX($A$8:$A$5007,$L1904))</f>
        <v/>
      </c>
      <c r="N1904" s="31" t="str">
        <f>IF($L1904="","",INDEX($B$8:$B$5007,$L1904))</f>
        <v/>
      </c>
      <c r="O1904" s="32" t="str">
        <f>IF($M1904="","",IF($K1904-$M1904&gt;7,"",IF($M1904&lt;=$A1904,"",IF(OR($B1904&lt;=0,$N1904&lt;=0),"",($N1904/$B1904)^(365/($M1904-$A1904))-1))))</f>
        <v/>
      </c>
      <c r="P1904" s="31" t="str">
        <f>IF($B1904="","",IF($P1903="",$B1904,MAX($P1903,$B1904)))</f>
        <v/>
      </c>
      <c r="Q1904" s="32" t="str">
        <f>IF($P1904="","",$B1904/$P1904-1)</f>
        <v/>
      </c>
    </row>
    <row r="1905">
      <c r="A1905" s="11" t="n"/>
      <c r="B1905" s="29" t="n"/>
      <c r="K1905" s="30" t="str">
        <f>IF($A1905="","",EDATE($A1905,12*$E$4))</f>
        <v/>
      </c>
      <c r="L1905" s="19" t="str">
        <f>IF($K1905="","",IF($K1905&gt;MAX($A$8:$A$5007),"",IFERROR(MATCH($K1905,$A$8:$A$5007,1),"")))</f>
        <v/>
      </c>
      <c r="M1905" s="30" t="str">
        <f>IF($L1905="","",INDEX($A$8:$A$5007,$L1905))</f>
        <v/>
      </c>
      <c r="N1905" s="31" t="str">
        <f>IF($L1905="","",INDEX($B$8:$B$5007,$L1905))</f>
        <v/>
      </c>
      <c r="O1905" s="32" t="str">
        <f>IF($M1905="","",IF($K1905-$M1905&gt;7,"",IF($M1905&lt;=$A1905,"",IF(OR($B1905&lt;=0,$N1905&lt;=0),"",($N1905/$B1905)^(365/($M1905-$A1905))-1))))</f>
        <v/>
      </c>
      <c r="P1905" s="31" t="str">
        <f>IF($B1905="","",IF($P1904="",$B1905,MAX($P1904,$B1905)))</f>
        <v/>
      </c>
      <c r="Q1905" s="32" t="str">
        <f>IF($P1905="","",$B1905/$P1905-1)</f>
        <v/>
      </c>
    </row>
    <row r="1906">
      <c r="A1906" s="11" t="n"/>
      <c r="B1906" s="29" t="n"/>
      <c r="K1906" s="30" t="str">
        <f>IF($A1906="","",EDATE($A1906,12*$E$4))</f>
        <v/>
      </c>
      <c r="L1906" s="19" t="str">
        <f>IF($K1906="","",IF($K1906&gt;MAX($A$8:$A$5007),"",IFERROR(MATCH($K1906,$A$8:$A$5007,1),"")))</f>
        <v/>
      </c>
      <c r="M1906" s="30" t="str">
        <f>IF($L1906="","",INDEX($A$8:$A$5007,$L1906))</f>
        <v/>
      </c>
      <c r="N1906" s="31" t="str">
        <f>IF($L1906="","",INDEX($B$8:$B$5007,$L1906))</f>
        <v/>
      </c>
      <c r="O1906" s="32" t="str">
        <f>IF($M1906="","",IF($K1906-$M1906&gt;7,"",IF($M1906&lt;=$A1906,"",IF(OR($B1906&lt;=0,$N1906&lt;=0),"",($N1906/$B1906)^(365/($M1906-$A1906))-1))))</f>
        <v/>
      </c>
      <c r="P1906" s="31" t="str">
        <f>IF($B1906="","",IF($P1905="",$B1906,MAX($P1905,$B1906)))</f>
        <v/>
      </c>
      <c r="Q1906" s="32" t="str">
        <f>IF($P1906="","",$B1906/$P1906-1)</f>
        <v/>
      </c>
    </row>
    <row r="1907">
      <c r="A1907" s="11" t="n"/>
      <c r="B1907" s="29" t="n"/>
      <c r="K1907" s="30" t="str">
        <f>IF($A1907="","",EDATE($A1907,12*$E$4))</f>
        <v/>
      </c>
      <c r="L1907" s="19" t="str">
        <f>IF($K1907="","",IF($K1907&gt;MAX($A$8:$A$5007),"",IFERROR(MATCH($K1907,$A$8:$A$5007,1),"")))</f>
        <v/>
      </c>
      <c r="M1907" s="30" t="str">
        <f>IF($L1907="","",INDEX($A$8:$A$5007,$L1907))</f>
        <v/>
      </c>
      <c r="N1907" s="31" t="str">
        <f>IF($L1907="","",INDEX($B$8:$B$5007,$L1907))</f>
        <v/>
      </c>
      <c r="O1907" s="32" t="str">
        <f>IF($M1907="","",IF($K1907-$M1907&gt;7,"",IF($M1907&lt;=$A1907,"",IF(OR($B1907&lt;=0,$N1907&lt;=0),"",($N1907/$B1907)^(365/($M1907-$A1907))-1))))</f>
        <v/>
      </c>
      <c r="P1907" s="31" t="str">
        <f>IF($B1907="","",IF($P1906="",$B1907,MAX($P1906,$B1907)))</f>
        <v/>
      </c>
      <c r="Q1907" s="32" t="str">
        <f>IF($P1907="","",$B1907/$P1907-1)</f>
        <v/>
      </c>
    </row>
    <row r="1908">
      <c r="A1908" s="11" t="n"/>
      <c r="B1908" s="29" t="n"/>
      <c r="K1908" s="30" t="str">
        <f>IF($A1908="","",EDATE($A1908,12*$E$4))</f>
        <v/>
      </c>
      <c r="L1908" s="19" t="str">
        <f>IF($K1908="","",IF($K1908&gt;MAX($A$8:$A$5007),"",IFERROR(MATCH($K1908,$A$8:$A$5007,1),"")))</f>
        <v/>
      </c>
      <c r="M1908" s="30" t="str">
        <f>IF($L1908="","",INDEX($A$8:$A$5007,$L1908))</f>
        <v/>
      </c>
      <c r="N1908" s="31" t="str">
        <f>IF($L1908="","",INDEX($B$8:$B$5007,$L1908))</f>
        <v/>
      </c>
      <c r="O1908" s="32" t="str">
        <f>IF($M1908="","",IF($K1908-$M1908&gt;7,"",IF($M1908&lt;=$A1908,"",IF(OR($B1908&lt;=0,$N1908&lt;=0),"",($N1908/$B1908)^(365/($M1908-$A1908))-1))))</f>
        <v/>
      </c>
      <c r="P1908" s="31" t="str">
        <f>IF($B1908="","",IF($P1907="",$B1908,MAX($P1907,$B1908)))</f>
        <v/>
      </c>
      <c r="Q1908" s="32" t="str">
        <f>IF($P1908="","",$B1908/$P1908-1)</f>
        <v/>
      </c>
    </row>
    <row r="1909">
      <c r="A1909" s="11" t="n"/>
      <c r="B1909" s="29" t="n"/>
      <c r="K1909" s="30" t="str">
        <f>IF($A1909="","",EDATE($A1909,12*$E$4))</f>
        <v/>
      </c>
      <c r="L1909" s="19" t="str">
        <f>IF($K1909="","",IF($K1909&gt;MAX($A$8:$A$5007),"",IFERROR(MATCH($K1909,$A$8:$A$5007,1),"")))</f>
        <v/>
      </c>
      <c r="M1909" s="30" t="str">
        <f>IF($L1909="","",INDEX($A$8:$A$5007,$L1909))</f>
        <v/>
      </c>
      <c r="N1909" s="31" t="str">
        <f>IF($L1909="","",INDEX($B$8:$B$5007,$L1909))</f>
        <v/>
      </c>
      <c r="O1909" s="32" t="str">
        <f>IF($M1909="","",IF($K1909-$M1909&gt;7,"",IF($M1909&lt;=$A1909,"",IF(OR($B1909&lt;=0,$N1909&lt;=0),"",($N1909/$B1909)^(365/($M1909-$A1909))-1))))</f>
        <v/>
      </c>
      <c r="P1909" s="31" t="str">
        <f>IF($B1909="","",IF($P1908="",$B1909,MAX($P1908,$B1909)))</f>
        <v/>
      </c>
      <c r="Q1909" s="32" t="str">
        <f>IF($P1909="","",$B1909/$P1909-1)</f>
        <v/>
      </c>
    </row>
    <row r="1910">
      <c r="A1910" s="11" t="n"/>
      <c r="B1910" s="29" t="n"/>
      <c r="K1910" s="30" t="str">
        <f>IF($A1910="","",EDATE($A1910,12*$E$4))</f>
        <v/>
      </c>
      <c r="L1910" s="19" t="str">
        <f>IF($K1910="","",IF($K1910&gt;MAX($A$8:$A$5007),"",IFERROR(MATCH($K1910,$A$8:$A$5007,1),"")))</f>
        <v/>
      </c>
      <c r="M1910" s="30" t="str">
        <f>IF($L1910="","",INDEX($A$8:$A$5007,$L1910))</f>
        <v/>
      </c>
      <c r="N1910" s="31" t="str">
        <f>IF($L1910="","",INDEX($B$8:$B$5007,$L1910))</f>
        <v/>
      </c>
      <c r="O1910" s="32" t="str">
        <f>IF($M1910="","",IF($K1910-$M1910&gt;7,"",IF($M1910&lt;=$A1910,"",IF(OR($B1910&lt;=0,$N1910&lt;=0),"",($N1910/$B1910)^(365/($M1910-$A1910))-1))))</f>
        <v/>
      </c>
      <c r="P1910" s="31" t="str">
        <f>IF($B1910="","",IF($P1909="",$B1910,MAX($P1909,$B1910)))</f>
        <v/>
      </c>
      <c r="Q1910" s="32" t="str">
        <f>IF($P1910="","",$B1910/$P1910-1)</f>
        <v/>
      </c>
    </row>
    <row r="1911">
      <c r="A1911" s="11" t="n"/>
      <c r="B1911" s="29" t="n"/>
      <c r="K1911" s="30" t="str">
        <f>IF($A1911="","",EDATE($A1911,12*$E$4))</f>
        <v/>
      </c>
      <c r="L1911" s="19" t="str">
        <f>IF($K1911="","",IF($K1911&gt;MAX($A$8:$A$5007),"",IFERROR(MATCH($K1911,$A$8:$A$5007,1),"")))</f>
        <v/>
      </c>
      <c r="M1911" s="30" t="str">
        <f>IF($L1911="","",INDEX($A$8:$A$5007,$L1911))</f>
        <v/>
      </c>
      <c r="N1911" s="31" t="str">
        <f>IF($L1911="","",INDEX($B$8:$B$5007,$L1911))</f>
        <v/>
      </c>
      <c r="O1911" s="32" t="str">
        <f>IF($M1911="","",IF($K1911-$M1911&gt;7,"",IF($M1911&lt;=$A1911,"",IF(OR($B1911&lt;=0,$N1911&lt;=0),"",($N1911/$B1911)^(365/($M1911-$A1911))-1))))</f>
        <v/>
      </c>
      <c r="P1911" s="31" t="str">
        <f>IF($B1911="","",IF($P1910="",$B1911,MAX($P1910,$B1911)))</f>
        <v/>
      </c>
      <c r="Q1911" s="32" t="str">
        <f>IF($P1911="","",$B1911/$P1911-1)</f>
        <v/>
      </c>
    </row>
    <row r="1912">
      <c r="A1912" s="11" t="n"/>
      <c r="B1912" s="29" t="n"/>
      <c r="K1912" s="30" t="str">
        <f>IF($A1912="","",EDATE($A1912,12*$E$4))</f>
        <v/>
      </c>
      <c r="L1912" s="19" t="str">
        <f>IF($K1912="","",IF($K1912&gt;MAX($A$8:$A$5007),"",IFERROR(MATCH($K1912,$A$8:$A$5007,1),"")))</f>
        <v/>
      </c>
      <c r="M1912" s="30" t="str">
        <f>IF($L1912="","",INDEX($A$8:$A$5007,$L1912))</f>
        <v/>
      </c>
      <c r="N1912" s="31" t="str">
        <f>IF($L1912="","",INDEX($B$8:$B$5007,$L1912))</f>
        <v/>
      </c>
      <c r="O1912" s="32" t="str">
        <f>IF($M1912="","",IF($K1912-$M1912&gt;7,"",IF($M1912&lt;=$A1912,"",IF(OR($B1912&lt;=0,$N1912&lt;=0),"",($N1912/$B1912)^(365/($M1912-$A1912))-1))))</f>
        <v/>
      </c>
      <c r="P1912" s="31" t="str">
        <f>IF($B1912="","",IF($P1911="",$B1912,MAX($P1911,$B1912)))</f>
        <v/>
      </c>
      <c r="Q1912" s="32" t="str">
        <f>IF($P1912="","",$B1912/$P1912-1)</f>
        <v/>
      </c>
    </row>
    <row r="1913">
      <c r="A1913" s="11" t="n"/>
      <c r="B1913" s="29" t="n"/>
      <c r="K1913" s="30" t="str">
        <f>IF($A1913="","",EDATE($A1913,12*$E$4))</f>
        <v/>
      </c>
      <c r="L1913" s="19" t="str">
        <f>IF($K1913="","",IF($K1913&gt;MAX($A$8:$A$5007),"",IFERROR(MATCH($K1913,$A$8:$A$5007,1),"")))</f>
        <v/>
      </c>
      <c r="M1913" s="30" t="str">
        <f>IF($L1913="","",INDEX($A$8:$A$5007,$L1913))</f>
        <v/>
      </c>
      <c r="N1913" s="31" t="str">
        <f>IF($L1913="","",INDEX($B$8:$B$5007,$L1913))</f>
        <v/>
      </c>
      <c r="O1913" s="32" t="str">
        <f>IF($M1913="","",IF($K1913-$M1913&gt;7,"",IF($M1913&lt;=$A1913,"",IF(OR($B1913&lt;=0,$N1913&lt;=0),"",($N1913/$B1913)^(365/($M1913-$A1913))-1))))</f>
        <v/>
      </c>
      <c r="P1913" s="31" t="str">
        <f>IF($B1913="","",IF($P1912="",$B1913,MAX($P1912,$B1913)))</f>
        <v/>
      </c>
      <c r="Q1913" s="32" t="str">
        <f>IF($P1913="","",$B1913/$P1913-1)</f>
        <v/>
      </c>
    </row>
    <row r="1914">
      <c r="A1914" s="11" t="n"/>
      <c r="B1914" s="29" t="n"/>
      <c r="K1914" s="30" t="str">
        <f>IF($A1914="","",EDATE($A1914,12*$E$4))</f>
        <v/>
      </c>
      <c r="L1914" s="19" t="str">
        <f>IF($K1914="","",IF($K1914&gt;MAX($A$8:$A$5007),"",IFERROR(MATCH($K1914,$A$8:$A$5007,1),"")))</f>
        <v/>
      </c>
      <c r="M1914" s="30" t="str">
        <f>IF($L1914="","",INDEX($A$8:$A$5007,$L1914))</f>
        <v/>
      </c>
      <c r="N1914" s="31" t="str">
        <f>IF($L1914="","",INDEX($B$8:$B$5007,$L1914))</f>
        <v/>
      </c>
      <c r="O1914" s="32" t="str">
        <f>IF($M1914="","",IF($K1914-$M1914&gt;7,"",IF($M1914&lt;=$A1914,"",IF(OR($B1914&lt;=0,$N1914&lt;=0),"",($N1914/$B1914)^(365/($M1914-$A1914))-1))))</f>
        <v/>
      </c>
      <c r="P1914" s="31" t="str">
        <f>IF($B1914="","",IF($P1913="",$B1914,MAX($P1913,$B1914)))</f>
        <v/>
      </c>
      <c r="Q1914" s="32" t="str">
        <f>IF($P1914="","",$B1914/$P1914-1)</f>
        <v/>
      </c>
    </row>
    <row r="1915">
      <c r="A1915" s="11" t="n"/>
      <c r="B1915" s="29" t="n"/>
      <c r="K1915" s="30" t="str">
        <f>IF($A1915="","",EDATE($A1915,12*$E$4))</f>
        <v/>
      </c>
      <c r="L1915" s="19" t="str">
        <f>IF($K1915="","",IF($K1915&gt;MAX($A$8:$A$5007),"",IFERROR(MATCH($K1915,$A$8:$A$5007,1),"")))</f>
        <v/>
      </c>
      <c r="M1915" s="30" t="str">
        <f>IF($L1915="","",INDEX($A$8:$A$5007,$L1915))</f>
        <v/>
      </c>
      <c r="N1915" s="31" t="str">
        <f>IF($L1915="","",INDEX($B$8:$B$5007,$L1915))</f>
        <v/>
      </c>
      <c r="O1915" s="32" t="str">
        <f>IF($M1915="","",IF($K1915-$M1915&gt;7,"",IF($M1915&lt;=$A1915,"",IF(OR($B1915&lt;=0,$N1915&lt;=0),"",($N1915/$B1915)^(365/($M1915-$A1915))-1))))</f>
        <v/>
      </c>
      <c r="P1915" s="31" t="str">
        <f>IF($B1915="","",IF($P1914="",$B1915,MAX($P1914,$B1915)))</f>
        <v/>
      </c>
      <c r="Q1915" s="32" t="str">
        <f>IF($P1915="","",$B1915/$P1915-1)</f>
        <v/>
      </c>
    </row>
    <row r="1916">
      <c r="A1916" s="11" t="n"/>
      <c r="B1916" s="29" t="n"/>
      <c r="K1916" s="30" t="str">
        <f>IF($A1916="","",EDATE($A1916,12*$E$4))</f>
        <v/>
      </c>
      <c r="L1916" s="19" t="str">
        <f>IF($K1916="","",IF($K1916&gt;MAX($A$8:$A$5007),"",IFERROR(MATCH($K1916,$A$8:$A$5007,1),"")))</f>
        <v/>
      </c>
      <c r="M1916" s="30" t="str">
        <f>IF($L1916="","",INDEX($A$8:$A$5007,$L1916))</f>
        <v/>
      </c>
      <c r="N1916" s="31" t="str">
        <f>IF($L1916="","",INDEX($B$8:$B$5007,$L1916))</f>
        <v/>
      </c>
      <c r="O1916" s="32" t="str">
        <f>IF($M1916="","",IF($K1916-$M1916&gt;7,"",IF($M1916&lt;=$A1916,"",IF(OR($B1916&lt;=0,$N1916&lt;=0),"",($N1916/$B1916)^(365/($M1916-$A1916))-1))))</f>
        <v/>
      </c>
      <c r="P1916" s="31" t="str">
        <f>IF($B1916="","",IF($P1915="",$B1916,MAX($P1915,$B1916)))</f>
        <v/>
      </c>
      <c r="Q1916" s="32" t="str">
        <f>IF($P1916="","",$B1916/$P1916-1)</f>
        <v/>
      </c>
    </row>
    <row r="1917">
      <c r="A1917" s="11" t="n"/>
      <c r="B1917" s="29" t="n"/>
      <c r="K1917" s="30" t="str">
        <f>IF($A1917="","",EDATE($A1917,12*$E$4))</f>
        <v/>
      </c>
      <c r="L1917" s="19" t="str">
        <f>IF($K1917="","",IF($K1917&gt;MAX($A$8:$A$5007),"",IFERROR(MATCH($K1917,$A$8:$A$5007,1),"")))</f>
        <v/>
      </c>
      <c r="M1917" s="30" t="str">
        <f>IF($L1917="","",INDEX($A$8:$A$5007,$L1917))</f>
        <v/>
      </c>
      <c r="N1917" s="31" t="str">
        <f>IF($L1917="","",INDEX($B$8:$B$5007,$L1917))</f>
        <v/>
      </c>
      <c r="O1917" s="32" t="str">
        <f>IF($M1917="","",IF($K1917-$M1917&gt;7,"",IF($M1917&lt;=$A1917,"",IF(OR($B1917&lt;=0,$N1917&lt;=0),"",($N1917/$B1917)^(365/($M1917-$A1917))-1))))</f>
        <v/>
      </c>
      <c r="P1917" s="31" t="str">
        <f>IF($B1917="","",IF($P1916="",$B1917,MAX($P1916,$B1917)))</f>
        <v/>
      </c>
      <c r="Q1917" s="32" t="str">
        <f>IF($P1917="","",$B1917/$P1917-1)</f>
        <v/>
      </c>
    </row>
    <row r="1918">
      <c r="A1918" s="11" t="n"/>
      <c r="B1918" s="29" t="n"/>
      <c r="K1918" s="30" t="str">
        <f>IF($A1918="","",EDATE($A1918,12*$E$4))</f>
        <v/>
      </c>
      <c r="L1918" s="19" t="str">
        <f>IF($K1918="","",IF($K1918&gt;MAX($A$8:$A$5007),"",IFERROR(MATCH($K1918,$A$8:$A$5007,1),"")))</f>
        <v/>
      </c>
      <c r="M1918" s="30" t="str">
        <f>IF($L1918="","",INDEX($A$8:$A$5007,$L1918))</f>
        <v/>
      </c>
      <c r="N1918" s="31" t="str">
        <f>IF($L1918="","",INDEX($B$8:$B$5007,$L1918))</f>
        <v/>
      </c>
      <c r="O1918" s="32" t="str">
        <f>IF($M1918="","",IF($K1918-$M1918&gt;7,"",IF($M1918&lt;=$A1918,"",IF(OR($B1918&lt;=0,$N1918&lt;=0),"",($N1918/$B1918)^(365/($M1918-$A1918))-1))))</f>
        <v/>
      </c>
      <c r="P1918" s="31" t="str">
        <f>IF($B1918="","",IF($P1917="",$B1918,MAX($P1917,$B1918)))</f>
        <v/>
      </c>
      <c r="Q1918" s="32" t="str">
        <f>IF($P1918="","",$B1918/$P1918-1)</f>
        <v/>
      </c>
    </row>
    <row r="1919">
      <c r="A1919" s="11" t="n"/>
      <c r="B1919" s="29" t="n"/>
      <c r="K1919" s="30" t="str">
        <f>IF($A1919="","",EDATE($A1919,12*$E$4))</f>
        <v/>
      </c>
      <c r="L1919" s="19" t="str">
        <f>IF($K1919="","",IF($K1919&gt;MAX($A$8:$A$5007),"",IFERROR(MATCH($K1919,$A$8:$A$5007,1),"")))</f>
        <v/>
      </c>
      <c r="M1919" s="30" t="str">
        <f>IF($L1919="","",INDEX($A$8:$A$5007,$L1919))</f>
        <v/>
      </c>
      <c r="N1919" s="31" t="str">
        <f>IF($L1919="","",INDEX($B$8:$B$5007,$L1919))</f>
        <v/>
      </c>
      <c r="O1919" s="32" t="str">
        <f>IF($M1919="","",IF($K1919-$M1919&gt;7,"",IF($M1919&lt;=$A1919,"",IF(OR($B1919&lt;=0,$N1919&lt;=0),"",($N1919/$B1919)^(365/($M1919-$A1919))-1))))</f>
        <v/>
      </c>
      <c r="P1919" s="31" t="str">
        <f>IF($B1919="","",IF($P1918="",$B1919,MAX($P1918,$B1919)))</f>
        <v/>
      </c>
      <c r="Q1919" s="32" t="str">
        <f>IF($P1919="","",$B1919/$P1919-1)</f>
        <v/>
      </c>
    </row>
    <row r="1920">
      <c r="A1920" s="11" t="n"/>
      <c r="B1920" s="29" t="n"/>
      <c r="K1920" s="30" t="str">
        <f>IF($A1920="","",EDATE($A1920,12*$E$4))</f>
        <v/>
      </c>
      <c r="L1920" s="19" t="str">
        <f>IF($K1920="","",IF($K1920&gt;MAX($A$8:$A$5007),"",IFERROR(MATCH($K1920,$A$8:$A$5007,1),"")))</f>
        <v/>
      </c>
      <c r="M1920" s="30" t="str">
        <f>IF($L1920="","",INDEX($A$8:$A$5007,$L1920))</f>
        <v/>
      </c>
      <c r="N1920" s="31" t="str">
        <f>IF($L1920="","",INDEX($B$8:$B$5007,$L1920))</f>
        <v/>
      </c>
      <c r="O1920" s="32" t="str">
        <f>IF($M1920="","",IF($K1920-$M1920&gt;7,"",IF($M1920&lt;=$A1920,"",IF(OR($B1920&lt;=0,$N1920&lt;=0),"",($N1920/$B1920)^(365/($M1920-$A1920))-1))))</f>
        <v/>
      </c>
      <c r="P1920" s="31" t="str">
        <f>IF($B1920="","",IF($P1919="",$B1920,MAX($P1919,$B1920)))</f>
        <v/>
      </c>
      <c r="Q1920" s="32" t="str">
        <f>IF($P1920="","",$B1920/$P1920-1)</f>
        <v/>
      </c>
    </row>
    <row r="1921">
      <c r="A1921" s="11" t="n"/>
      <c r="B1921" s="29" t="n"/>
      <c r="K1921" s="30" t="str">
        <f>IF($A1921="","",EDATE($A1921,12*$E$4))</f>
        <v/>
      </c>
      <c r="L1921" s="19" t="str">
        <f>IF($K1921="","",IF($K1921&gt;MAX($A$8:$A$5007),"",IFERROR(MATCH($K1921,$A$8:$A$5007,1),"")))</f>
        <v/>
      </c>
      <c r="M1921" s="30" t="str">
        <f>IF($L1921="","",INDEX($A$8:$A$5007,$L1921))</f>
        <v/>
      </c>
      <c r="N1921" s="31" t="str">
        <f>IF($L1921="","",INDEX($B$8:$B$5007,$L1921))</f>
        <v/>
      </c>
      <c r="O1921" s="32" t="str">
        <f>IF($M1921="","",IF($K1921-$M1921&gt;7,"",IF($M1921&lt;=$A1921,"",IF(OR($B1921&lt;=0,$N1921&lt;=0),"",($N1921/$B1921)^(365/($M1921-$A1921))-1))))</f>
        <v/>
      </c>
      <c r="P1921" s="31" t="str">
        <f>IF($B1921="","",IF($P1920="",$B1921,MAX($P1920,$B1921)))</f>
        <v/>
      </c>
      <c r="Q1921" s="32" t="str">
        <f>IF($P1921="","",$B1921/$P1921-1)</f>
        <v/>
      </c>
    </row>
    <row r="1922">
      <c r="A1922" s="11" t="n"/>
      <c r="B1922" s="29" t="n"/>
      <c r="K1922" s="30" t="str">
        <f>IF($A1922="","",EDATE($A1922,12*$E$4))</f>
        <v/>
      </c>
      <c r="L1922" s="19" t="str">
        <f>IF($K1922="","",IF($K1922&gt;MAX($A$8:$A$5007),"",IFERROR(MATCH($K1922,$A$8:$A$5007,1),"")))</f>
        <v/>
      </c>
      <c r="M1922" s="30" t="str">
        <f>IF($L1922="","",INDEX($A$8:$A$5007,$L1922))</f>
        <v/>
      </c>
      <c r="N1922" s="31" t="str">
        <f>IF($L1922="","",INDEX($B$8:$B$5007,$L1922))</f>
        <v/>
      </c>
      <c r="O1922" s="32" t="str">
        <f>IF($M1922="","",IF($K1922-$M1922&gt;7,"",IF($M1922&lt;=$A1922,"",IF(OR($B1922&lt;=0,$N1922&lt;=0),"",($N1922/$B1922)^(365/($M1922-$A1922))-1))))</f>
        <v/>
      </c>
      <c r="P1922" s="31" t="str">
        <f>IF($B1922="","",IF($P1921="",$B1922,MAX($P1921,$B1922)))</f>
        <v/>
      </c>
      <c r="Q1922" s="32" t="str">
        <f>IF($P1922="","",$B1922/$P1922-1)</f>
        <v/>
      </c>
    </row>
    <row r="1923">
      <c r="A1923" s="11" t="n"/>
      <c r="B1923" s="29" t="n"/>
      <c r="K1923" s="30" t="str">
        <f>IF($A1923="","",EDATE($A1923,12*$E$4))</f>
        <v/>
      </c>
      <c r="L1923" s="19" t="str">
        <f>IF($K1923="","",IF($K1923&gt;MAX($A$8:$A$5007),"",IFERROR(MATCH($K1923,$A$8:$A$5007,1),"")))</f>
        <v/>
      </c>
      <c r="M1923" s="30" t="str">
        <f>IF($L1923="","",INDEX($A$8:$A$5007,$L1923))</f>
        <v/>
      </c>
      <c r="N1923" s="31" t="str">
        <f>IF($L1923="","",INDEX($B$8:$B$5007,$L1923))</f>
        <v/>
      </c>
      <c r="O1923" s="32" t="str">
        <f>IF($M1923="","",IF($K1923-$M1923&gt;7,"",IF($M1923&lt;=$A1923,"",IF(OR($B1923&lt;=0,$N1923&lt;=0),"",($N1923/$B1923)^(365/($M1923-$A1923))-1))))</f>
        <v/>
      </c>
      <c r="P1923" s="31" t="str">
        <f>IF($B1923="","",IF($P1922="",$B1923,MAX($P1922,$B1923)))</f>
        <v/>
      </c>
      <c r="Q1923" s="32" t="str">
        <f>IF($P1923="","",$B1923/$P1923-1)</f>
        <v/>
      </c>
    </row>
    <row r="1924">
      <c r="A1924" s="11" t="n"/>
      <c r="B1924" s="29" t="n"/>
      <c r="K1924" s="30" t="str">
        <f>IF($A1924="","",EDATE($A1924,12*$E$4))</f>
        <v/>
      </c>
      <c r="L1924" s="19" t="str">
        <f>IF($K1924="","",IF($K1924&gt;MAX($A$8:$A$5007),"",IFERROR(MATCH($K1924,$A$8:$A$5007,1),"")))</f>
        <v/>
      </c>
      <c r="M1924" s="30" t="str">
        <f>IF($L1924="","",INDEX($A$8:$A$5007,$L1924))</f>
        <v/>
      </c>
      <c r="N1924" s="31" t="str">
        <f>IF($L1924="","",INDEX($B$8:$B$5007,$L1924))</f>
        <v/>
      </c>
      <c r="O1924" s="32" t="str">
        <f>IF($M1924="","",IF($K1924-$M1924&gt;7,"",IF($M1924&lt;=$A1924,"",IF(OR($B1924&lt;=0,$N1924&lt;=0),"",($N1924/$B1924)^(365/($M1924-$A1924))-1))))</f>
        <v/>
      </c>
      <c r="P1924" s="31" t="str">
        <f>IF($B1924="","",IF($P1923="",$B1924,MAX($P1923,$B1924)))</f>
        <v/>
      </c>
      <c r="Q1924" s="32" t="str">
        <f>IF($P1924="","",$B1924/$P1924-1)</f>
        <v/>
      </c>
    </row>
    <row r="1925">
      <c r="A1925" s="11" t="n"/>
      <c r="B1925" s="29" t="n"/>
      <c r="K1925" s="30" t="str">
        <f>IF($A1925="","",EDATE($A1925,12*$E$4))</f>
        <v/>
      </c>
      <c r="L1925" s="19" t="str">
        <f>IF($K1925="","",IF($K1925&gt;MAX($A$8:$A$5007),"",IFERROR(MATCH($K1925,$A$8:$A$5007,1),"")))</f>
        <v/>
      </c>
      <c r="M1925" s="30" t="str">
        <f>IF($L1925="","",INDEX($A$8:$A$5007,$L1925))</f>
        <v/>
      </c>
      <c r="N1925" s="31" t="str">
        <f>IF($L1925="","",INDEX($B$8:$B$5007,$L1925))</f>
        <v/>
      </c>
      <c r="O1925" s="32" t="str">
        <f>IF($M1925="","",IF($K1925-$M1925&gt;7,"",IF($M1925&lt;=$A1925,"",IF(OR($B1925&lt;=0,$N1925&lt;=0),"",($N1925/$B1925)^(365/($M1925-$A1925))-1))))</f>
        <v/>
      </c>
      <c r="P1925" s="31" t="str">
        <f>IF($B1925="","",IF($P1924="",$B1925,MAX($P1924,$B1925)))</f>
        <v/>
      </c>
      <c r="Q1925" s="32" t="str">
        <f>IF($P1925="","",$B1925/$P1925-1)</f>
        <v/>
      </c>
    </row>
    <row r="1926">
      <c r="A1926" s="11" t="n"/>
      <c r="B1926" s="29" t="n"/>
      <c r="K1926" s="30" t="str">
        <f>IF($A1926="","",EDATE($A1926,12*$E$4))</f>
        <v/>
      </c>
      <c r="L1926" s="19" t="str">
        <f>IF($K1926="","",IF($K1926&gt;MAX($A$8:$A$5007),"",IFERROR(MATCH($K1926,$A$8:$A$5007,1),"")))</f>
        <v/>
      </c>
      <c r="M1926" s="30" t="str">
        <f>IF($L1926="","",INDEX($A$8:$A$5007,$L1926))</f>
        <v/>
      </c>
      <c r="N1926" s="31" t="str">
        <f>IF($L1926="","",INDEX($B$8:$B$5007,$L1926))</f>
        <v/>
      </c>
      <c r="O1926" s="32" t="str">
        <f>IF($M1926="","",IF($K1926-$M1926&gt;7,"",IF($M1926&lt;=$A1926,"",IF(OR($B1926&lt;=0,$N1926&lt;=0),"",($N1926/$B1926)^(365/($M1926-$A1926))-1))))</f>
        <v/>
      </c>
      <c r="P1926" s="31" t="str">
        <f>IF($B1926="","",IF($P1925="",$B1926,MAX($P1925,$B1926)))</f>
        <v/>
      </c>
      <c r="Q1926" s="32" t="str">
        <f>IF($P1926="","",$B1926/$P1926-1)</f>
        <v/>
      </c>
    </row>
    <row r="1927">
      <c r="A1927" s="11" t="n"/>
      <c r="B1927" s="29" t="n"/>
      <c r="K1927" s="30" t="str">
        <f>IF($A1927="","",EDATE($A1927,12*$E$4))</f>
        <v/>
      </c>
      <c r="L1927" s="19" t="str">
        <f>IF($K1927="","",IF($K1927&gt;MAX($A$8:$A$5007),"",IFERROR(MATCH($K1927,$A$8:$A$5007,1),"")))</f>
        <v/>
      </c>
      <c r="M1927" s="30" t="str">
        <f>IF($L1927="","",INDEX($A$8:$A$5007,$L1927))</f>
        <v/>
      </c>
      <c r="N1927" s="31" t="str">
        <f>IF($L1927="","",INDEX($B$8:$B$5007,$L1927))</f>
        <v/>
      </c>
      <c r="O1927" s="32" t="str">
        <f>IF($M1927="","",IF($K1927-$M1927&gt;7,"",IF($M1927&lt;=$A1927,"",IF(OR($B1927&lt;=0,$N1927&lt;=0),"",($N1927/$B1927)^(365/($M1927-$A1927))-1))))</f>
        <v/>
      </c>
      <c r="P1927" s="31" t="str">
        <f>IF($B1927="","",IF($P1926="",$B1927,MAX($P1926,$B1927)))</f>
        <v/>
      </c>
      <c r="Q1927" s="32" t="str">
        <f>IF($P1927="","",$B1927/$P1927-1)</f>
        <v/>
      </c>
    </row>
    <row r="1928">
      <c r="A1928" s="11" t="n"/>
      <c r="B1928" s="29" t="n"/>
      <c r="K1928" s="30" t="str">
        <f>IF($A1928="","",EDATE($A1928,12*$E$4))</f>
        <v/>
      </c>
      <c r="L1928" s="19" t="str">
        <f>IF($K1928="","",IF($K1928&gt;MAX($A$8:$A$5007),"",IFERROR(MATCH($K1928,$A$8:$A$5007,1),"")))</f>
        <v/>
      </c>
      <c r="M1928" s="30" t="str">
        <f>IF($L1928="","",INDEX($A$8:$A$5007,$L1928))</f>
        <v/>
      </c>
      <c r="N1928" s="31" t="str">
        <f>IF($L1928="","",INDEX($B$8:$B$5007,$L1928))</f>
        <v/>
      </c>
      <c r="O1928" s="32" t="str">
        <f>IF($M1928="","",IF($K1928-$M1928&gt;7,"",IF($M1928&lt;=$A1928,"",IF(OR($B1928&lt;=0,$N1928&lt;=0),"",($N1928/$B1928)^(365/($M1928-$A1928))-1))))</f>
        <v/>
      </c>
      <c r="P1928" s="31" t="str">
        <f>IF($B1928="","",IF($P1927="",$B1928,MAX($P1927,$B1928)))</f>
        <v/>
      </c>
      <c r="Q1928" s="32" t="str">
        <f>IF($P1928="","",$B1928/$P1928-1)</f>
        <v/>
      </c>
    </row>
    <row r="1929">
      <c r="A1929" s="11" t="n"/>
      <c r="B1929" s="29" t="n"/>
      <c r="K1929" s="30" t="str">
        <f>IF($A1929="","",EDATE($A1929,12*$E$4))</f>
        <v/>
      </c>
      <c r="L1929" s="19" t="str">
        <f>IF($K1929="","",IF($K1929&gt;MAX($A$8:$A$5007),"",IFERROR(MATCH($K1929,$A$8:$A$5007,1),"")))</f>
        <v/>
      </c>
      <c r="M1929" s="30" t="str">
        <f>IF($L1929="","",INDEX($A$8:$A$5007,$L1929))</f>
        <v/>
      </c>
      <c r="N1929" s="31" t="str">
        <f>IF($L1929="","",INDEX($B$8:$B$5007,$L1929))</f>
        <v/>
      </c>
      <c r="O1929" s="32" t="str">
        <f>IF($M1929="","",IF($K1929-$M1929&gt;7,"",IF($M1929&lt;=$A1929,"",IF(OR($B1929&lt;=0,$N1929&lt;=0),"",($N1929/$B1929)^(365/($M1929-$A1929))-1))))</f>
        <v/>
      </c>
      <c r="P1929" s="31" t="str">
        <f>IF($B1929="","",IF($P1928="",$B1929,MAX($P1928,$B1929)))</f>
        <v/>
      </c>
      <c r="Q1929" s="32" t="str">
        <f>IF($P1929="","",$B1929/$P1929-1)</f>
        <v/>
      </c>
    </row>
    <row r="1930">
      <c r="A1930" s="11" t="n"/>
      <c r="B1930" s="29" t="n"/>
      <c r="K1930" s="30" t="str">
        <f>IF($A1930="","",EDATE($A1930,12*$E$4))</f>
        <v/>
      </c>
      <c r="L1930" s="19" t="str">
        <f>IF($K1930="","",IF($K1930&gt;MAX($A$8:$A$5007),"",IFERROR(MATCH($K1930,$A$8:$A$5007,1),"")))</f>
        <v/>
      </c>
      <c r="M1930" s="30" t="str">
        <f>IF($L1930="","",INDEX($A$8:$A$5007,$L1930))</f>
        <v/>
      </c>
      <c r="N1930" s="31" t="str">
        <f>IF($L1930="","",INDEX($B$8:$B$5007,$L1930))</f>
        <v/>
      </c>
      <c r="O1930" s="32" t="str">
        <f>IF($M1930="","",IF($K1930-$M1930&gt;7,"",IF($M1930&lt;=$A1930,"",IF(OR($B1930&lt;=0,$N1930&lt;=0),"",($N1930/$B1930)^(365/($M1930-$A1930))-1))))</f>
        <v/>
      </c>
      <c r="P1930" s="31" t="str">
        <f>IF($B1930="","",IF($P1929="",$B1930,MAX($P1929,$B1930)))</f>
        <v/>
      </c>
      <c r="Q1930" s="32" t="str">
        <f>IF($P1930="","",$B1930/$P1930-1)</f>
        <v/>
      </c>
    </row>
    <row r="1931">
      <c r="A1931" s="11" t="n"/>
      <c r="B1931" s="29" t="n"/>
      <c r="K1931" s="30" t="str">
        <f>IF($A1931="","",EDATE($A1931,12*$E$4))</f>
        <v/>
      </c>
      <c r="L1931" s="19" t="str">
        <f>IF($K1931="","",IF($K1931&gt;MAX($A$8:$A$5007),"",IFERROR(MATCH($K1931,$A$8:$A$5007,1),"")))</f>
        <v/>
      </c>
      <c r="M1931" s="30" t="str">
        <f>IF($L1931="","",INDEX($A$8:$A$5007,$L1931))</f>
        <v/>
      </c>
      <c r="N1931" s="31" t="str">
        <f>IF($L1931="","",INDEX($B$8:$B$5007,$L1931))</f>
        <v/>
      </c>
      <c r="O1931" s="32" t="str">
        <f>IF($M1931="","",IF($K1931-$M1931&gt;7,"",IF($M1931&lt;=$A1931,"",IF(OR($B1931&lt;=0,$N1931&lt;=0),"",($N1931/$B1931)^(365/($M1931-$A1931))-1))))</f>
        <v/>
      </c>
      <c r="P1931" s="31" t="str">
        <f>IF($B1931="","",IF($P1930="",$B1931,MAX($P1930,$B1931)))</f>
        <v/>
      </c>
      <c r="Q1931" s="32" t="str">
        <f>IF($P1931="","",$B1931/$P1931-1)</f>
        <v/>
      </c>
    </row>
    <row r="1932">
      <c r="A1932" s="11" t="n"/>
      <c r="B1932" s="29" t="n"/>
      <c r="K1932" s="30" t="str">
        <f>IF($A1932="","",EDATE($A1932,12*$E$4))</f>
        <v/>
      </c>
      <c r="L1932" s="19" t="str">
        <f>IF($K1932="","",IF($K1932&gt;MAX($A$8:$A$5007),"",IFERROR(MATCH($K1932,$A$8:$A$5007,1),"")))</f>
        <v/>
      </c>
      <c r="M1932" s="30" t="str">
        <f>IF($L1932="","",INDEX($A$8:$A$5007,$L1932))</f>
        <v/>
      </c>
      <c r="N1932" s="31" t="str">
        <f>IF($L1932="","",INDEX($B$8:$B$5007,$L1932))</f>
        <v/>
      </c>
      <c r="O1932" s="32" t="str">
        <f>IF($M1932="","",IF($K1932-$M1932&gt;7,"",IF($M1932&lt;=$A1932,"",IF(OR($B1932&lt;=0,$N1932&lt;=0),"",($N1932/$B1932)^(365/($M1932-$A1932))-1))))</f>
        <v/>
      </c>
      <c r="P1932" s="31" t="str">
        <f>IF($B1932="","",IF($P1931="",$B1932,MAX($P1931,$B1932)))</f>
        <v/>
      </c>
      <c r="Q1932" s="32" t="str">
        <f>IF($P1932="","",$B1932/$P1932-1)</f>
        <v/>
      </c>
    </row>
    <row r="1933">
      <c r="A1933" s="11" t="n"/>
      <c r="B1933" s="29" t="n"/>
      <c r="K1933" s="30" t="str">
        <f>IF($A1933="","",EDATE($A1933,12*$E$4))</f>
        <v/>
      </c>
      <c r="L1933" s="19" t="str">
        <f>IF($K1933="","",IF($K1933&gt;MAX($A$8:$A$5007),"",IFERROR(MATCH($K1933,$A$8:$A$5007,1),"")))</f>
        <v/>
      </c>
      <c r="M1933" s="30" t="str">
        <f>IF($L1933="","",INDEX($A$8:$A$5007,$L1933))</f>
        <v/>
      </c>
      <c r="N1933" s="31" t="str">
        <f>IF($L1933="","",INDEX($B$8:$B$5007,$L1933))</f>
        <v/>
      </c>
      <c r="O1933" s="32" t="str">
        <f>IF($M1933="","",IF($K1933-$M1933&gt;7,"",IF($M1933&lt;=$A1933,"",IF(OR($B1933&lt;=0,$N1933&lt;=0),"",($N1933/$B1933)^(365/($M1933-$A1933))-1))))</f>
        <v/>
      </c>
      <c r="P1933" s="31" t="str">
        <f>IF($B1933="","",IF($P1932="",$B1933,MAX($P1932,$B1933)))</f>
        <v/>
      </c>
      <c r="Q1933" s="32" t="str">
        <f>IF($P1933="","",$B1933/$P1933-1)</f>
        <v/>
      </c>
    </row>
    <row r="1934">
      <c r="A1934" s="11" t="n"/>
      <c r="B1934" s="29" t="n"/>
      <c r="K1934" s="30" t="str">
        <f>IF($A1934="","",EDATE($A1934,12*$E$4))</f>
        <v/>
      </c>
      <c r="L1934" s="19" t="str">
        <f>IF($K1934="","",IF($K1934&gt;MAX($A$8:$A$5007),"",IFERROR(MATCH($K1934,$A$8:$A$5007,1),"")))</f>
        <v/>
      </c>
      <c r="M1934" s="30" t="str">
        <f>IF($L1934="","",INDEX($A$8:$A$5007,$L1934))</f>
        <v/>
      </c>
      <c r="N1934" s="31" t="str">
        <f>IF($L1934="","",INDEX($B$8:$B$5007,$L1934))</f>
        <v/>
      </c>
      <c r="O1934" s="32" t="str">
        <f>IF($M1934="","",IF($K1934-$M1934&gt;7,"",IF($M1934&lt;=$A1934,"",IF(OR($B1934&lt;=0,$N1934&lt;=0),"",($N1934/$B1934)^(365/($M1934-$A1934))-1))))</f>
        <v/>
      </c>
      <c r="P1934" s="31" t="str">
        <f>IF($B1934="","",IF($P1933="",$B1934,MAX($P1933,$B1934)))</f>
        <v/>
      </c>
      <c r="Q1934" s="32" t="str">
        <f>IF($P1934="","",$B1934/$P1934-1)</f>
        <v/>
      </c>
    </row>
    <row r="1935">
      <c r="A1935" s="11" t="n"/>
      <c r="B1935" s="29" t="n"/>
      <c r="K1935" s="30" t="str">
        <f>IF($A1935="","",EDATE($A1935,12*$E$4))</f>
        <v/>
      </c>
      <c r="L1935" s="19" t="str">
        <f>IF($K1935="","",IF($K1935&gt;MAX($A$8:$A$5007),"",IFERROR(MATCH($K1935,$A$8:$A$5007,1),"")))</f>
        <v/>
      </c>
      <c r="M1935" s="30" t="str">
        <f>IF($L1935="","",INDEX($A$8:$A$5007,$L1935))</f>
        <v/>
      </c>
      <c r="N1935" s="31" t="str">
        <f>IF($L1935="","",INDEX($B$8:$B$5007,$L1935))</f>
        <v/>
      </c>
      <c r="O1935" s="32" t="str">
        <f>IF($M1935="","",IF($K1935-$M1935&gt;7,"",IF($M1935&lt;=$A1935,"",IF(OR($B1935&lt;=0,$N1935&lt;=0),"",($N1935/$B1935)^(365/($M1935-$A1935))-1))))</f>
        <v/>
      </c>
      <c r="P1935" s="31" t="str">
        <f>IF($B1935="","",IF($P1934="",$B1935,MAX($P1934,$B1935)))</f>
        <v/>
      </c>
      <c r="Q1935" s="32" t="str">
        <f>IF($P1935="","",$B1935/$P1935-1)</f>
        <v/>
      </c>
    </row>
    <row r="1936">
      <c r="A1936" s="11" t="n"/>
      <c r="B1936" s="29" t="n"/>
      <c r="K1936" s="30" t="str">
        <f>IF($A1936="","",EDATE($A1936,12*$E$4))</f>
        <v/>
      </c>
      <c r="L1936" s="19" t="str">
        <f>IF($K1936="","",IF($K1936&gt;MAX($A$8:$A$5007),"",IFERROR(MATCH($K1936,$A$8:$A$5007,1),"")))</f>
        <v/>
      </c>
      <c r="M1936" s="30" t="str">
        <f>IF($L1936="","",INDEX($A$8:$A$5007,$L1936))</f>
        <v/>
      </c>
      <c r="N1936" s="31" t="str">
        <f>IF($L1936="","",INDEX($B$8:$B$5007,$L1936))</f>
        <v/>
      </c>
      <c r="O1936" s="32" t="str">
        <f>IF($M1936="","",IF($K1936-$M1936&gt;7,"",IF($M1936&lt;=$A1936,"",IF(OR($B1936&lt;=0,$N1936&lt;=0),"",($N1936/$B1936)^(365/($M1936-$A1936))-1))))</f>
        <v/>
      </c>
      <c r="P1936" s="31" t="str">
        <f>IF($B1936="","",IF($P1935="",$B1936,MAX($P1935,$B1936)))</f>
        <v/>
      </c>
      <c r="Q1936" s="32" t="str">
        <f>IF($P1936="","",$B1936/$P1936-1)</f>
        <v/>
      </c>
    </row>
    <row r="1937">
      <c r="A1937" s="11" t="n"/>
      <c r="B1937" s="29" t="n"/>
      <c r="K1937" s="30" t="str">
        <f>IF($A1937="","",EDATE($A1937,12*$E$4))</f>
        <v/>
      </c>
      <c r="L1937" s="19" t="str">
        <f>IF($K1937="","",IF($K1937&gt;MAX($A$8:$A$5007),"",IFERROR(MATCH($K1937,$A$8:$A$5007,1),"")))</f>
        <v/>
      </c>
      <c r="M1937" s="30" t="str">
        <f>IF($L1937="","",INDEX($A$8:$A$5007,$L1937))</f>
        <v/>
      </c>
      <c r="N1937" s="31" t="str">
        <f>IF($L1937="","",INDEX($B$8:$B$5007,$L1937))</f>
        <v/>
      </c>
      <c r="O1937" s="32" t="str">
        <f>IF($M1937="","",IF($K1937-$M1937&gt;7,"",IF($M1937&lt;=$A1937,"",IF(OR($B1937&lt;=0,$N1937&lt;=0),"",($N1937/$B1937)^(365/($M1937-$A1937))-1))))</f>
        <v/>
      </c>
      <c r="P1937" s="31" t="str">
        <f>IF($B1937="","",IF($P1936="",$B1937,MAX($P1936,$B1937)))</f>
        <v/>
      </c>
      <c r="Q1937" s="32" t="str">
        <f>IF($P1937="","",$B1937/$P1937-1)</f>
        <v/>
      </c>
    </row>
    <row r="1938">
      <c r="A1938" s="11" t="n"/>
      <c r="B1938" s="29" t="n"/>
      <c r="K1938" s="30" t="str">
        <f>IF($A1938="","",EDATE($A1938,12*$E$4))</f>
        <v/>
      </c>
      <c r="L1938" s="19" t="str">
        <f>IF($K1938="","",IF($K1938&gt;MAX($A$8:$A$5007),"",IFERROR(MATCH($K1938,$A$8:$A$5007,1),"")))</f>
        <v/>
      </c>
      <c r="M1938" s="30" t="str">
        <f>IF($L1938="","",INDEX($A$8:$A$5007,$L1938))</f>
        <v/>
      </c>
      <c r="N1938" s="31" t="str">
        <f>IF($L1938="","",INDEX($B$8:$B$5007,$L1938))</f>
        <v/>
      </c>
      <c r="O1938" s="32" t="str">
        <f>IF($M1938="","",IF($K1938-$M1938&gt;7,"",IF($M1938&lt;=$A1938,"",IF(OR($B1938&lt;=0,$N1938&lt;=0),"",($N1938/$B1938)^(365/($M1938-$A1938))-1))))</f>
        <v/>
      </c>
      <c r="P1938" s="31" t="str">
        <f>IF($B1938="","",IF($P1937="",$B1938,MAX($P1937,$B1938)))</f>
        <v/>
      </c>
      <c r="Q1938" s="32" t="str">
        <f>IF($P1938="","",$B1938/$P1938-1)</f>
        <v/>
      </c>
    </row>
    <row r="1939">
      <c r="A1939" s="11" t="n"/>
      <c r="B1939" s="29" t="n"/>
      <c r="K1939" s="30" t="str">
        <f>IF($A1939="","",EDATE($A1939,12*$E$4))</f>
        <v/>
      </c>
      <c r="L1939" s="19" t="str">
        <f>IF($K1939="","",IF($K1939&gt;MAX($A$8:$A$5007),"",IFERROR(MATCH($K1939,$A$8:$A$5007,1),"")))</f>
        <v/>
      </c>
      <c r="M1939" s="30" t="str">
        <f>IF($L1939="","",INDEX($A$8:$A$5007,$L1939))</f>
        <v/>
      </c>
      <c r="N1939" s="31" t="str">
        <f>IF($L1939="","",INDEX($B$8:$B$5007,$L1939))</f>
        <v/>
      </c>
      <c r="O1939" s="32" t="str">
        <f>IF($M1939="","",IF($K1939-$M1939&gt;7,"",IF($M1939&lt;=$A1939,"",IF(OR($B1939&lt;=0,$N1939&lt;=0),"",($N1939/$B1939)^(365/($M1939-$A1939))-1))))</f>
        <v/>
      </c>
      <c r="P1939" s="31" t="str">
        <f>IF($B1939="","",IF($P1938="",$B1939,MAX($P1938,$B1939)))</f>
        <v/>
      </c>
      <c r="Q1939" s="32" t="str">
        <f>IF($P1939="","",$B1939/$P1939-1)</f>
        <v/>
      </c>
    </row>
    <row r="1940">
      <c r="A1940" s="11" t="n"/>
      <c r="B1940" s="29" t="n"/>
      <c r="K1940" s="30" t="str">
        <f>IF($A1940="","",EDATE($A1940,12*$E$4))</f>
        <v/>
      </c>
      <c r="L1940" s="19" t="str">
        <f>IF($K1940="","",IF($K1940&gt;MAX($A$8:$A$5007),"",IFERROR(MATCH($K1940,$A$8:$A$5007,1),"")))</f>
        <v/>
      </c>
      <c r="M1940" s="30" t="str">
        <f>IF($L1940="","",INDEX($A$8:$A$5007,$L1940))</f>
        <v/>
      </c>
      <c r="N1940" s="31" t="str">
        <f>IF($L1940="","",INDEX($B$8:$B$5007,$L1940))</f>
        <v/>
      </c>
      <c r="O1940" s="32" t="str">
        <f>IF($M1940="","",IF($K1940-$M1940&gt;7,"",IF($M1940&lt;=$A1940,"",IF(OR($B1940&lt;=0,$N1940&lt;=0),"",($N1940/$B1940)^(365/($M1940-$A1940))-1))))</f>
        <v/>
      </c>
      <c r="P1940" s="31" t="str">
        <f>IF($B1940="","",IF($P1939="",$B1940,MAX($P1939,$B1940)))</f>
        <v/>
      </c>
      <c r="Q1940" s="32" t="str">
        <f>IF($P1940="","",$B1940/$P1940-1)</f>
        <v/>
      </c>
    </row>
    <row r="1941">
      <c r="A1941" s="11" t="n"/>
      <c r="B1941" s="29" t="n"/>
      <c r="K1941" s="30" t="str">
        <f>IF($A1941="","",EDATE($A1941,12*$E$4))</f>
        <v/>
      </c>
      <c r="L1941" s="19" t="str">
        <f>IF($K1941="","",IF($K1941&gt;MAX($A$8:$A$5007),"",IFERROR(MATCH($K1941,$A$8:$A$5007,1),"")))</f>
        <v/>
      </c>
      <c r="M1941" s="30" t="str">
        <f>IF($L1941="","",INDEX($A$8:$A$5007,$L1941))</f>
        <v/>
      </c>
      <c r="N1941" s="31" t="str">
        <f>IF($L1941="","",INDEX($B$8:$B$5007,$L1941))</f>
        <v/>
      </c>
      <c r="O1941" s="32" t="str">
        <f>IF($M1941="","",IF($K1941-$M1941&gt;7,"",IF($M1941&lt;=$A1941,"",IF(OR($B1941&lt;=0,$N1941&lt;=0),"",($N1941/$B1941)^(365/($M1941-$A1941))-1))))</f>
        <v/>
      </c>
      <c r="P1941" s="31" t="str">
        <f>IF($B1941="","",IF($P1940="",$B1941,MAX($P1940,$B1941)))</f>
        <v/>
      </c>
      <c r="Q1941" s="32" t="str">
        <f>IF($P1941="","",$B1941/$P1941-1)</f>
        <v/>
      </c>
    </row>
    <row r="1942">
      <c r="A1942" s="11" t="n"/>
      <c r="B1942" s="29" t="n"/>
      <c r="K1942" s="30" t="str">
        <f>IF($A1942="","",EDATE($A1942,12*$E$4))</f>
        <v/>
      </c>
      <c r="L1942" s="19" t="str">
        <f>IF($K1942="","",IF($K1942&gt;MAX($A$8:$A$5007),"",IFERROR(MATCH($K1942,$A$8:$A$5007,1),"")))</f>
        <v/>
      </c>
      <c r="M1942" s="30" t="str">
        <f>IF($L1942="","",INDEX($A$8:$A$5007,$L1942))</f>
        <v/>
      </c>
      <c r="N1942" s="31" t="str">
        <f>IF($L1942="","",INDEX($B$8:$B$5007,$L1942))</f>
        <v/>
      </c>
      <c r="O1942" s="32" t="str">
        <f>IF($M1942="","",IF($K1942-$M1942&gt;7,"",IF($M1942&lt;=$A1942,"",IF(OR($B1942&lt;=0,$N1942&lt;=0),"",($N1942/$B1942)^(365/($M1942-$A1942))-1))))</f>
        <v/>
      </c>
      <c r="P1942" s="31" t="str">
        <f>IF($B1942="","",IF($P1941="",$B1942,MAX($P1941,$B1942)))</f>
        <v/>
      </c>
      <c r="Q1942" s="32" t="str">
        <f>IF($P1942="","",$B1942/$P1942-1)</f>
        <v/>
      </c>
    </row>
    <row r="1943">
      <c r="A1943" s="11" t="n"/>
      <c r="B1943" s="29" t="n"/>
      <c r="K1943" s="30" t="str">
        <f>IF($A1943="","",EDATE($A1943,12*$E$4))</f>
        <v/>
      </c>
      <c r="L1943" s="19" t="str">
        <f>IF($K1943="","",IF($K1943&gt;MAX($A$8:$A$5007),"",IFERROR(MATCH($K1943,$A$8:$A$5007,1),"")))</f>
        <v/>
      </c>
      <c r="M1943" s="30" t="str">
        <f>IF($L1943="","",INDEX($A$8:$A$5007,$L1943))</f>
        <v/>
      </c>
      <c r="N1943" s="31" t="str">
        <f>IF($L1943="","",INDEX($B$8:$B$5007,$L1943))</f>
        <v/>
      </c>
      <c r="O1943" s="32" t="str">
        <f>IF($M1943="","",IF($K1943-$M1943&gt;7,"",IF($M1943&lt;=$A1943,"",IF(OR($B1943&lt;=0,$N1943&lt;=0),"",($N1943/$B1943)^(365/($M1943-$A1943))-1))))</f>
        <v/>
      </c>
      <c r="P1943" s="31" t="str">
        <f>IF($B1943="","",IF($P1942="",$B1943,MAX($P1942,$B1943)))</f>
        <v/>
      </c>
      <c r="Q1943" s="32" t="str">
        <f>IF($P1943="","",$B1943/$P1943-1)</f>
        <v/>
      </c>
    </row>
    <row r="1944">
      <c r="A1944" s="11" t="n"/>
      <c r="B1944" s="29" t="n"/>
      <c r="K1944" s="30" t="str">
        <f>IF($A1944="","",EDATE($A1944,12*$E$4))</f>
        <v/>
      </c>
      <c r="L1944" s="19" t="str">
        <f>IF($K1944="","",IF($K1944&gt;MAX($A$8:$A$5007),"",IFERROR(MATCH($K1944,$A$8:$A$5007,1),"")))</f>
        <v/>
      </c>
      <c r="M1944" s="30" t="str">
        <f>IF($L1944="","",INDEX($A$8:$A$5007,$L1944))</f>
        <v/>
      </c>
      <c r="N1944" s="31" t="str">
        <f>IF($L1944="","",INDEX($B$8:$B$5007,$L1944))</f>
        <v/>
      </c>
      <c r="O1944" s="32" t="str">
        <f>IF($M1944="","",IF($K1944-$M1944&gt;7,"",IF($M1944&lt;=$A1944,"",IF(OR($B1944&lt;=0,$N1944&lt;=0),"",($N1944/$B1944)^(365/($M1944-$A1944))-1))))</f>
        <v/>
      </c>
      <c r="P1944" s="31" t="str">
        <f>IF($B1944="","",IF($P1943="",$B1944,MAX($P1943,$B1944)))</f>
        <v/>
      </c>
      <c r="Q1944" s="32" t="str">
        <f>IF($P1944="","",$B1944/$P1944-1)</f>
        <v/>
      </c>
    </row>
    <row r="1945">
      <c r="A1945" s="11" t="n"/>
      <c r="B1945" s="29" t="n"/>
      <c r="K1945" s="30" t="str">
        <f>IF($A1945="","",EDATE($A1945,12*$E$4))</f>
        <v/>
      </c>
      <c r="L1945" s="19" t="str">
        <f>IF($K1945="","",IF($K1945&gt;MAX($A$8:$A$5007),"",IFERROR(MATCH($K1945,$A$8:$A$5007,1),"")))</f>
        <v/>
      </c>
      <c r="M1945" s="30" t="str">
        <f>IF($L1945="","",INDEX($A$8:$A$5007,$L1945))</f>
        <v/>
      </c>
      <c r="N1945" s="31" t="str">
        <f>IF($L1945="","",INDEX($B$8:$B$5007,$L1945))</f>
        <v/>
      </c>
      <c r="O1945" s="32" t="str">
        <f>IF($M1945="","",IF($K1945-$M1945&gt;7,"",IF($M1945&lt;=$A1945,"",IF(OR($B1945&lt;=0,$N1945&lt;=0),"",($N1945/$B1945)^(365/($M1945-$A1945))-1))))</f>
        <v/>
      </c>
      <c r="P1945" s="31" t="str">
        <f>IF($B1945="","",IF($P1944="",$B1945,MAX($P1944,$B1945)))</f>
        <v/>
      </c>
      <c r="Q1945" s="32" t="str">
        <f>IF($P1945="","",$B1945/$P1945-1)</f>
        <v/>
      </c>
    </row>
    <row r="1946">
      <c r="A1946" s="11" t="n"/>
      <c r="B1946" s="29" t="n"/>
      <c r="K1946" s="30" t="str">
        <f>IF($A1946="","",EDATE($A1946,12*$E$4))</f>
        <v/>
      </c>
      <c r="L1946" s="19" t="str">
        <f>IF($K1946="","",IF($K1946&gt;MAX($A$8:$A$5007),"",IFERROR(MATCH($K1946,$A$8:$A$5007,1),"")))</f>
        <v/>
      </c>
      <c r="M1946" s="30" t="str">
        <f>IF($L1946="","",INDEX($A$8:$A$5007,$L1946))</f>
        <v/>
      </c>
      <c r="N1946" s="31" t="str">
        <f>IF($L1946="","",INDEX($B$8:$B$5007,$L1946))</f>
        <v/>
      </c>
      <c r="O1946" s="32" t="str">
        <f>IF($M1946="","",IF($K1946-$M1946&gt;7,"",IF($M1946&lt;=$A1946,"",IF(OR($B1946&lt;=0,$N1946&lt;=0),"",($N1946/$B1946)^(365/($M1946-$A1946))-1))))</f>
        <v/>
      </c>
      <c r="P1946" s="31" t="str">
        <f>IF($B1946="","",IF($P1945="",$B1946,MAX($P1945,$B1946)))</f>
        <v/>
      </c>
      <c r="Q1946" s="32" t="str">
        <f>IF($P1946="","",$B1946/$P1946-1)</f>
        <v/>
      </c>
    </row>
    <row r="1947">
      <c r="A1947" s="11" t="n"/>
      <c r="B1947" s="29" t="n"/>
      <c r="K1947" s="30" t="str">
        <f>IF($A1947="","",EDATE($A1947,12*$E$4))</f>
        <v/>
      </c>
      <c r="L1947" s="19" t="str">
        <f>IF($K1947="","",IF($K1947&gt;MAX($A$8:$A$5007),"",IFERROR(MATCH($K1947,$A$8:$A$5007,1),"")))</f>
        <v/>
      </c>
      <c r="M1947" s="30" t="str">
        <f>IF($L1947="","",INDEX($A$8:$A$5007,$L1947))</f>
        <v/>
      </c>
      <c r="N1947" s="31" t="str">
        <f>IF($L1947="","",INDEX($B$8:$B$5007,$L1947))</f>
        <v/>
      </c>
      <c r="O1947" s="32" t="str">
        <f>IF($M1947="","",IF($K1947-$M1947&gt;7,"",IF($M1947&lt;=$A1947,"",IF(OR($B1947&lt;=0,$N1947&lt;=0),"",($N1947/$B1947)^(365/($M1947-$A1947))-1))))</f>
        <v/>
      </c>
      <c r="P1947" s="31" t="str">
        <f>IF($B1947="","",IF($P1946="",$B1947,MAX($P1946,$B1947)))</f>
        <v/>
      </c>
      <c r="Q1947" s="32" t="str">
        <f>IF($P1947="","",$B1947/$P1947-1)</f>
        <v/>
      </c>
    </row>
    <row r="1948">
      <c r="A1948" s="11" t="n"/>
      <c r="B1948" s="29" t="n"/>
      <c r="K1948" s="30" t="str">
        <f>IF($A1948="","",EDATE($A1948,12*$E$4))</f>
        <v/>
      </c>
      <c r="L1948" s="19" t="str">
        <f>IF($K1948="","",IF($K1948&gt;MAX($A$8:$A$5007),"",IFERROR(MATCH($K1948,$A$8:$A$5007,1),"")))</f>
        <v/>
      </c>
      <c r="M1948" s="30" t="str">
        <f>IF($L1948="","",INDEX($A$8:$A$5007,$L1948))</f>
        <v/>
      </c>
      <c r="N1948" s="31" t="str">
        <f>IF($L1948="","",INDEX($B$8:$B$5007,$L1948))</f>
        <v/>
      </c>
      <c r="O1948" s="32" t="str">
        <f>IF($M1948="","",IF($K1948-$M1948&gt;7,"",IF($M1948&lt;=$A1948,"",IF(OR($B1948&lt;=0,$N1948&lt;=0),"",($N1948/$B1948)^(365/($M1948-$A1948))-1))))</f>
        <v/>
      </c>
      <c r="P1948" s="31" t="str">
        <f>IF($B1948="","",IF($P1947="",$B1948,MAX($P1947,$B1948)))</f>
        <v/>
      </c>
      <c r="Q1948" s="32" t="str">
        <f>IF($P1948="","",$B1948/$P1948-1)</f>
        <v/>
      </c>
    </row>
    <row r="1949">
      <c r="A1949" s="11" t="n"/>
      <c r="B1949" s="29" t="n"/>
      <c r="K1949" s="30" t="str">
        <f>IF($A1949="","",EDATE($A1949,12*$E$4))</f>
        <v/>
      </c>
      <c r="L1949" s="19" t="str">
        <f>IF($K1949="","",IF($K1949&gt;MAX($A$8:$A$5007),"",IFERROR(MATCH($K1949,$A$8:$A$5007,1),"")))</f>
        <v/>
      </c>
      <c r="M1949" s="30" t="str">
        <f>IF($L1949="","",INDEX($A$8:$A$5007,$L1949))</f>
        <v/>
      </c>
      <c r="N1949" s="31" t="str">
        <f>IF($L1949="","",INDEX($B$8:$B$5007,$L1949))</f>
        <v/>
      </c>
      <c r="O1949" s="32" t="str">
        <f>IF($M1949="","",IF($K1949-$M1949&gt;7,"",IF($M1949&lt;=$A1949,"",IF(OR($B1949&lt;=0,$N1949&lt;=0),"",($N1949/$B1949)^(365/($M1949-$A1949))-1))))</f>
        <v/>
      </c>
      <c r="P1949" s="31" t="str">
        <f>IF($B1949="","",IF($P1948="",$B1949,MAX($P1948,$B1949)))</f>
        <v/>
      </c>
      <c r="Q1949" s="32" t="str">
        <f>IF($P1949="","",$B1949/$P1949-1)</f>
        <v/>
      </c>
    </row>
    <row r="1950">
      <c r="A1950" s="11" t="n"/>
      <c r="B1950" s="29" t="n"/>
      <c r="K1950" s="30" t="str">
        <f>IF($A1950="","",EDATE($A1950,12*$E$4))</f>
        <v/>
      </c>
      <c r="L1950" s="19" t="str">
        <f>IF($K1950="","",IF($K1950&gt;MAX($A$8:$A$5007),"",IFERROR(MATCH($K1950,$A$8:$A$5007,1),"")))</f>
        <v/>
      </c>
      <c r="M1950" s="30" t="str">
        <f>IF($L1950="","",INDEX($A$8:$A$5007,$L1950))</f>
        <v/>
      </c>
      <c r="N1950" s="31" t="str">
        <f>IF($L1950="","",INDEX($B$8:$B$5007,$L1950))</f>
        <v/>
      </c>
      <c r="O1950" s="32" t="str">
        <f>IF($M1950="","",IF($K1950-$M1950&gt;7,"",IF($M1950&lt;=$A1950,"",IF(OR($B1950&lt;=0,$N1950&lt;=0),"",($N1950/$B1950)^(365/($M1950-$A1950))-1))))</f>
        <v/>
      </c>
      <c r="P1950" s="31" t="str">
        <f>IF($B1950="","",IF($P1949="",$B1950,MAX($P1949,$B1950)))</f>
        <v/>
      </c>
      <c r="Q1950" s="32" t="str">
        <f>IF($P1950="","",$B1950/$P1950-1)</f>
        <v/>
      </c>
    </row>
    <row r="1951">
      <c r="A1951" s="11" t="n"/>
      <c r="B1951" s="29" t="n"/>
      <c r="K1951" s="30" t="str">
        <f>IF($A1951="","",EDATE($A1951,12*$E$4))</f>
        <v/>
      </c>
      <c r="L1951" s="19" t="str">
        <f>IF($K1951="","",IF($K1951&gt;MAX($A$8:$A$5007),"",IFERROR(MATCH($K1951,$A$8:$A$5007,1),"")))</f>
        <v/>
      </c>
      <c r="M1951" s="30" t="str">
        <f>IF($L1951="","",INDEX($A$8:$A$5007,$L1951))</f>
        <v/>
      </c>
      <c r="N1951" s="31" t="str">
        <f>IF($L1951="","",INDEX($B$8:$B$5007,$L1951))</f>
        <v/>
      </c>
      <c r="O1951" s="32" t="str">
        <f>IF($M1951="","",IF($K1951-$M1951&gt;7,"",IF($M1951&lt;=$A1951,"",IF(OR($B1951&lt;=0,$N1951&lt;=0),"",($N1951/$B1951)^(365/($M1951-$A1951))-1))))</f>
        <v/>
      </c>
      <c r="P1951" s="31" t="str">
        <f>IF($B1951="","",IF($P1950="",$B1951,MAX($P1950,$B1951)))</f>
        <v/>
      </c>
      <c r="Q1951" s="32" t="str">
        <f>IF($P1951="","",$B1951/$P1951-1)</f>
        <v/>
      </c>
    </row>
    <row r="1952">
      <c r="A1952" s="11" t="n"/>
      <c r="B1952" s="29" t="n"/>
      <c r="K1952" s="30" t="str">
        <f>IF($A1952="","",EDATE($A1952,12*$E$4))</f>
        <v/>
      </c>
      <c r="L1952" s="19" t="str">
        <f>IF($K1952="","",IF($K1952&gt;MAX($A$8:$A$5007),"",IFERROR(MATCH($K1952,$A$8:$A$5007,1),"")))</f>
        <v/>
      </c>
      <c r="M1952" s="30" t="str">
        <f>IF($L1952="","",INDEX($A$8:$A$5007,$L1952))</f>
        <v/>
      </c>
      <c r="N1952" s="31" t="str">
        <f>IF($L1952="","",INDEX($B$8:$B$5007,$L1952))</f>
        <v/>
      </c>
      <c r="O1952" s="32" t="str">
        <f>IF($M1952="","",IF($K1952-$M1952&gt;7,"",IF($M1952&lt;=$A1952,"",IF(OR($B1952&lt;=0,$N1952&lt;=0),"",($N1952/$B1952)^(365/($M1952-$A1952))-1))))</f>
        <v/>
      </c>
      <c r="P1952" s="31" t="str">
        <f>IF($B1952="","",IF($P1951="",$B1952,MAX($P1951,$B1952)))</f>
        <v/>
      </c>
      <c r="Q1952" s="32" t="str">
        <f>IF($P1952="","",$B1952/$P1952-1)</f>
        <v/>
      </c>
    </row>
    <row r="1953">
      <c r="A1953" s="11" t="n"/>
      <c r="B1953" s="29" t="n"/>
      <c r="K1953" s="30" t="str">
        <f>IF($A1953="","",EDATE($A1953,12*$E$4))</f>
        <v/>
      </c>
      <c r="L1953" s="19" t="str">
        <f>IF($K1953="","",IF($K1953&gt;MAX($A$8:$A$5007),"",IFERROR(MATCH($K1953,$A$8:$A$5007,1),"")))</f>
        <v/>
      </c>
      <c r="M1953" s="30" t="str">
        <f>IF($L1953="","",INDEX($A$8:$A$5007,$L1953))</f>
        <v/>
      </c>
      <c r="N1953" s="31" t="str">
        <f>IF($L1953="","",INDEX($B$8:$B$5007,$L1953))</f>
        <v/>
      </c>
      <c r="O1953" s="32" t="str">
        <f>IF($M1953="","",IF($K1953-$M1953&gt;7,"",IF($M1953&lt;=$A1953,"",IF(OR($B1953&lt;=0,$N1953&lt;=0),"",($N1953/$B1953)^(365/($M1953-$A1953))-1))))</f>
        <v/>
      </c>
      <c r="P1953" s="31" t="str">
        <f>IF($B1953="","",IF($P1952="",$B1953,MAX($P1952,$B1953)))</f>
        <v/>
      </c>
      <c r="Q1953" s="32" t="str">
        <f>IF($P1953="","",$B1953/$P1953-1)</f>
        <v/>
      </c>
    </row>
    <row r="1954">
      <c r="A1954" s="11" t="n"/>
      <c r="B1954" s="29" t="n"/>
      <c r="K1954" s="30" t="str">
        <f>IF($A1954="","",EDATE($A1954,12*$E$4))</f>
        <v/>
      </c>
      <c r="L1954" s="19" t="str">
        <f>IF($K1954="","",IF($K1954&gt;MAX($A$8:$A$5007),"",IFERROR(MATCH($K1954,$A$8:$A$5007,1),"")))</f>
        <v/>
      </c>
      <c r="M1954" s="30" t="str">
        <f>IF($L1954="","",INDEX($A$8:$A$5007,$L1954))</f>
        <v/>
      </c>
      <c r="N1954" s="31" t="str">
        <f>IF($L1954="","",INDEX($B$8:$B$5007,$L1954))</f>
        <v/>
      </c>
      <c r="O1954" s="32" t="str">
        <f>IF($M1954="","",IF($K1954-$M1954&gt;7,"",IF($M1954&lt;=$A1954,"",IF(OR($B1954&lt;=0,$N1954&lt;=0),"",($N1954/$B1954)^(365/($M1954-$A1954))-1))))</f>
        <v/>
      </c>
      <c r="P1954" s="31" t="str">
        <f>IF($B1954="","",IF($P1953="",$B1954,MAX($P1953,$B1954)))</f>
        <v/>
      </c>
      <c r="Q1954" s="32" t="str">
        <f>IF($P1954="","",$B1954/$P1954-1)</f>
        <v/>
      </c>
    </row>
    <row r="1955">
      <c r="A1955" s="11" t="n"/>
      <c r="B1955" s="29" t="n"/>
      <c r="K1955" s="30" t="str">
        <f>IF($A1955="","",EDATE($A1955,12*$E$4))</f>
        <v/>
      </c>
      <c r="L1955" s="19" t="str">
        <f>IF($K1955="","",IF($K1955&gt;MAX($A$8:$A$5007),"",IFERROR(MATCH($K1955,$A$8:$A$5007,1),"")))</f>
        <v/>
      </c>
      <c r="M1955" s="30" t="str">
        <f>IF($L1955="","",INDEX($A$8:$A$5007,$L1955))</f>
        <v/>
      </c>
      <c r="N1955" s="31" t="str">
        <f>IF($L1955="","",INDEX($B$8:$B$5007,$L1955))</f>
        <v/>
      </c>
      <c r="O1955" s="32" t="str">
        <f>IF($M1955="","",IF($K1955-$M1955&gt;7,"",IF($M1955&lt;=$A1955,"",IF(OR($B1955&lt;=0,$N1955&lt;=0),"",($N1955/$B1955)^(365/($M1955-$A1955))-1))))</f>
        <v/>
      </c>
      <c r="P1955" s="31" t="str">
        <f>IF($B1955="","",IF($P1954="",$B1955,MAX($P1954,$B1955)))</f>
        <v/>
      </c>
      <c r="Q1955" s="32" t="str">
        <f>IF($P1955="","",$B1955/$P1955-1)</f>
        <v/>
      </c>
    </row>
    <row r="1956">
      <c r="A1956" s="11" t="n"/>
      <c r="B1956" s="29" t="n"/>
      <c r="K1956" s="30" t="str">
        <f>IF($A1956="","",EDATE($A1956,12*$E$4))</f>
        <v/>
      </c>
      <c r="L1956" s="19" t="str">
        <f>IF($K1956="","",IF($K1956&gt;MAX($A$8:$A$5007),"",IFERROR(MATCH($K1956,$A$8:$A$5007,1),"")))</f>
        <v/>
      </c>
      <c r="M1956" s="30" t="str">
        <f>IF($L1956="","",INDEX($A$8:$A$5007,$L1956))</f>
        <v/>
      </c>
      <c r="N1956" s="31" t="str">
        <f>IF($L1956="","",INDEX($B$8:$B$5007,$L1956))</f>
        <v/>
      </c>
      <c r="O1956" s="32" t="str">
        <f>IF($M1956="","",IF($K1956-$M1956&gt;7,"",IF($M1956&lt;=$A1956,"",IF(OR($B1956&lt;=0,$N1956&lt;=0),"",($N1956/$B1956)^(365/($M1956-$A1956))-1))))</f>
        <v/>
      </c>
      <c r="P1956" s="31" t="str">
        <f>IF($B1956="","",IF($P1955="",$B1956,MAX($P1955,$B1956)))</f>
        <v/>
      </c>
      <c r="Q1956" s="32" t="str">
        <f>IF($P1956="","",$B1956/$P1956-1)</f>
        <v/>
      </c>
    </row>
    <row r="1957">
      <c r="A1957" s="11" t="n"/>
      <c r="B1957" s="29" t="n"/>
      <c r="K1957" s="30" t="str">
        <f>IF($A1957="","",EDATE($A1957,12*$E$4))</f>
        <v/>
      </c>
      <c r="L1957" s="19" t="str">
        <f>IF($K1957="","",IF($K1957&gt;MAX($A$8:$A$5007),"",IFERROR(MATCH($K1957,$A$8:$A$5007,1),"")))</f>
        <v/>
      </c>
      <c r="M1957" s="30" t="str">
        <f>IF($L1957="","",INDEX($A$8:$A$5007,$L1957))</f>
        <v/>
      </c>
      <c r="N1957" s="31" t="str">
        <f>IF($L1957="","",INDEX($B$8:$B$5007,$L1957))</f>
        <v/>
      </c>
      <c r="O1957" s="32" t="str">
        <f>IF($M1957="","",IF($K1957-$M1957&gt;7,"",IF($M1957&lt;=$A1957,"",IF(OR($B1957&lt;=0,$N1957&lt;=0),"",($N1957/$B1957)^(365/($M1957-$A1957))-1))))</f>
        <v/>
      </c>
      <c r="P1957" s="31" t="str">
        <f>IF($B1957="","",IF($P1956="",$B1957,MAX($P1956,$B1957)))</f>
        <v/>
      </c>
      <c r="Q1957" s="32" t="str">
        <f>IF($P1957="","",$B1957/$P1957-1)</f>
        <v/>
      </c>
    </row>
    <row r="1958">
      <c r="A1958" s="11" t="n"/>
      <c r="B1958" s="29" t="n"/>
      <c r="K1958" s="30" t="str">
        <f>IF($A1958="","",EDATE($A1958,12*$E$4))</f>
        <v/>
      </c>
      <c r="L1958" s="19" t="str">
        <f>IF($K1958="","",IF($K1958&gt;MAX($A$8:$A$5007),"",IFERROR(MATCH($K1958,$A$8:$A$5007,1),"")))</f>
        <v/>
      </c>
      <c r="M1958" s="30" t="str">
        <f>IF($L1958="","",INDEX($A$8:$A$5007,$L1958))</f>
        <v/>
      </c>
      <c r="N1958" s="31" t="str">
        <f>IF($L1958="","",INDEX($B$8:$B$5007,$L1958))</f>
        <v/>
      </c>
      <c r="O1958" s="32" t="str">
        <f>IF($M1958="","",IF($K1958-$M1958&gt;7,"",IF($M1958&lt;=$A1958,"",IF(OR($B1958&lt;=0,$N1958&lt;=0),"",($N1958/$B1958)^(365/($M1958-$A1958))-1))))</f>
        <v/>
      </c>
      <c r="P1958" s="31" t="str">
        <f>IF($B1958="","",IF($P1957="",$B1958,MAX($P1957,$B1958)))</f>
        <v/>
      </c>
      <c r="Q1958" s="32" t="str">
        <f>IF($P1958="","",$B1958/$P1958-1)</f>
        <v/>
      </c>
    </row>
    <row r="1959">
      <c r="A1959" s="11" t="n"/>
      <c r="B1959" s="29" t="n"/>
      <c r="K1959" s="30" t="str">
        <f>IF($A1959="","",EDATE($A1959,12*$E$4))</f>
        <v/>
      </c>
      <c r="L1959" s="19" t="str">
        <f>IF($K1959="","",IF($K1959&gt;MAX($A$8:$A$5007),"",IFERROR(MATCH($K1959,$A$8:$A$5007,1),"")))</f>
        <v/>
      </c>
      <c r="M1959" s="30" t="str">
        <f>IF($L1959="","",INDEX($A$8:$A$5007,$L1959))</f>
        <v/>
      </c>
      <c r="N1959" s="31" t="str">
        <f>IF($L1959="","",INDEX($B$8:$B$5007,$L1959))</f>
        <v/>
      </c>
      <c r="O1959" s="32" t="str">
        <f>IF($M1959="","",IF($K1959-$M1959&gt;7,"",IF($M1959&lt;=$A1959,"",IF(OR($B1959&lt;=0,$N1959&lt;=0),"",($N1959/$B1959)^(365/($M1959-$A1959))-1))))</f>
        <v/>
      </c>
      <c r="P1959" s="31" t="str">
        <f>IF($B1959="","",IF($P1958="",$B1959,MAX($P1958,$B1959)))</f>
        <v/>
      </c>
      <c r="Q1959" s="32" t="str">
        <f>IF($P1959="","",$B1959/$P1959-1)</f>
        <v/>
      </c>
    </row>
    <row r="1960">
      <c r="A1960" s="11" t="n"/>
      <c r="B1960" s="29" t="n"/>
      <c r="K1960" s="30" t="str">
        <f>IF($A1960="","",EDATE($A1960,12*$E$4))</f>
        <v/>
      </c>
      <c r="L1960" s="19" t="str">
        <f>IF($K1960="","",IF($K1960&gt;MAX($A$8:$A$5007),"",IFERROR(MATCH($K1960,$A$8:$A$5007,1),"")))</f>
        <v/>
      </c>
      <c r="M1960" s="30" t="str">
        <f>IF($L1960="","",INDEX($A$8:$A$5007,$L1960))</f>
        <v/>
      </c>
      <c r="N1960" s="31" t="str">
        <f>IF($L1960="","",INDEX($B$8:$B$5007,$L1960))</f>
        <v/>
      </c>
      <c r="O1960" s="32" t="str">
        <f>IF($M1960="","",IF($K1960-$M1960&gt;7,"",IF($M1960&lt;=$A1960,"",IF(OR($B1960&lt;=0,$N1960&lt;=0),"",($N1960/$B1960)^(365/($M1960-$A1960))-1))))</f>
        <v/>
      </c>
      <c r="P1960" s="31" t="str">
        <f>IF($B1960="","",IF($P1959="",$B1960,MAX($P1959,$B1960)))</f>
        <v/>
      </c>
      <c r="Q1960" s="32" t="str">
        <f>IF($P1960="","",$B1960/$P1960-1)</f>
        <v/>
      </c>
    </row>
    <row r="1961">
      <c r="A1961" s="11" t="n"/>
      <c r="B1961" s="29" t="n"/>
      <c r="K1961" s="30" t="str">
        <f>IF($A1961="","",EDATE($A1961,12*$E$4))</f>
        <v/>
      </c>
      <c r="L1961" s="19" t="str">
        <f>IF($K1961="","",IF($K1961&gt;MAX($A$8:$A$5007),"",IFERROR(MATCH($K1961,$A$8:$A$5007,1),"")))</f>
        <v/>
      </c>
      <c r="M1961" s="30" t="str">
        <f>IF($L1961="","",INDEX($A$8:$A$5007,$L1961))</f>
        <v/>
      </c>
      <c r="N1961" s="31" t="str">
        <f>IF($L1961="","",INDEX($B$8:$B$5007,$L1961))</f>
        <v/>
      </c>
      <c r="O1961" s="32" t="str">
        <f>IF($M1961="","",IF($K1961-$M1961&gt;7,"",IF($M1961&lt;=$A1961,"",IF(OR($B1961&lt;=0,$N1961&lt;=0),"",($N1961/$B1961)^(365/($M1961-$A1961))-1))))</f>
        <v/>
      </c>
      <c r="P1961" s="31" t="str">
        <f>IF($B1961="","",IF($P1960="",$B1961,MAX($P1960,$B1961)))</f>
        <v/>
      </c>
      <c r="Q1961" s="32" t="str">
        <f>IF($P1961="","",$B1961/$P1961-1)</f>
        <v/>
      </c>
    </row>
    <row r="1962">
      <c r="A1962" s="11" t="n"/>
      <c r="B1962" s="29" t="n"/>
      <c r="K1962" s="30" t="str">
        <f>IF($A1962="","",EDATE($A1962,12*$E$4))</f>
        <v/>
      </c>
      <c r="L1962" s="19" t="str">
        <f>IF($K1962="","",IF($K1962&gt;MAX($A$8:$A$5007),"",IFERROR(MATCH($K1962,$A$8:$A$5007,1),"")))</f>
        <v/>
      </c>
      <c r="M1962" s="30" t="str">
        <f>IF($L1962="","",INDEX($A$8:$A$5007,$L1962))</f>
        <v/>
      </c>
      <c r="N1962" s="31" t="str">
        <f>IF($L1962="","",INDEX($B$8:$B$5007,$L1962))</f>
        <v/>
      </c>
      <c r="O1962" s="32" t="str">
        <f>IF($M1962="","",IF($K1962-$M1962&gt;7,"",IF($M1962&lt;=$A1962,"",IF(OR($B1962&lt;=0,$N1962&lt;=0),"",($N1962/$B1962)^(365/($M1962-$A1962))-1))))</f>
        <v/>
      </c>
      <c r="P1962" s="31" t="str">
        <f>IF($B1962="","",IF($P1961="",$B1962,MAX($P1961,$B1962)))</f>
        <v/>
      </c>
      <c r="Q1962" s="32" t="str">
        <f>IF($P1962="","",$B1962/$P1962-1)</f>
        <v/>
      </c>
    </row>
    <row r="1963">
      <c r="A1963" s="11" t="n"/>
      <c r="B1963" s="29" t="n"/>
      <c r="K1963" s="30" t="str">
        <f>IF($A1963="","",EDATE($A1963,12*$E$4))</f>
        <v/>
      </c>
      <c r="L1963" s="19" t="str">
        <f>IF($K1963="","",IF($K1963&gt;MAX($A$8:$A$5007),"",IFERROR(MATCH($K1963,$A$8:$A$5007,1),"")))</f>
        <v/>
      </c>
      <c r="M1963" s="30" t="str">
        <f>IF($L1963="","",INDEX($A$8:$A$5007,$L1963))</f>
        <v/>
      </c>
      <c r="N1963" s="31" t="str">
        <f>IF($L1963="","",INDEX($B$8:$B$5007,$L1963))</f>
        <v/>
      </c>
      <c r="O1963" s="32" t="str">
        <f>IF($M1963="","",IF($K1963-$M1963&gt;7,"",IF($M1963&lt;=$A1963,"",IF(OR($B1963&lt;=0,$N1963&lt;=0),"",($N1963/$B1963)^(365/($M1963-$A1963))-1))))</f>
        <v/>
      </c>
      <c r="P1963" s="31" t="str">
        <f>IF($B1963="","",IF($P1962="",$B1963,MAX($P1962,$B1963)))</f>
        <v/>
      </c>
      <c r="Q1963" s="32" t="str">
        <f>IF($P1963="","",$B1963/$P1963-1)</f>
        <v/>
      </c>
    </row>
    <row r="1964">
      <c r="A1964" s="11" t="n"/>
      <c r="B1964" s="29" t="n"/>
      <c r="K1964" s="30" t="str">
        <f>IF($A1964="","",EDATE($A1964,12*$E$4))</f>
        <v/>
      </c>
      <c r="L1964" s="19" t="str">
        <f>IF($K1964="","",IF($K1964&gt;MAX($A$8:$A$5007),"",IFERROR(MATCH($K1964,$A$8:$A$5007,1),"")))</f>
        <v/>
      </c>
      <c r="M1964" s="30" t="str">
        <f>IF($L1964="","",INDEX($A$8:$A$5007,$L1964))</f>
        <v/>
      </c>
      <c r="N1964" s="31" t="str">
        <f>IF($L1964="","",INDEX($B$8:$B$5007,$L1964))</f>
        <v/>
      </c>
      <c r="O1964" s="32" t="str">
        <f>IF($M1964="","",IF($K1964-$M1964&gt;7,"",IF($M1964&lt;=$A1964,"",IF(OR($B1964&lt;=0,$N1964&lt;=0),"",($N1964/$B1964)^(365/($M1964-$A1964))-1))))</f>
        <v/>
      </c>
      <c r="P1964" s="31" t="str">
        <f>IF($B1964="","",IF($P1963="",$B1964,MAX($P1963,$B1964)))</f>
        <v/>
      </c>
      <c r="Q1964" s="32" t="str">
        <f>IF($P1964="","",$B1964/$P1964-1)</f>
        <v/>
      </c>
    </row>
    <row r="1965">
      <c r="A1965" s="11" t="n"/>
      <c r="B1965" s="29" t="n"/>
      <c r="K1965" s="30" t="str">
        <f>IF($A1965="","",EDATE($A1965,12*$E$4))</f>
        <v/>
      </c>
      <c r="L1965" s="19" t="str">
        <f>IF($K1965="","",IF($K1965&gt;MAX($A$8:$A$5007),"",IFERROR(MATCH($K1965,$A$8:$A$5007,1),"")))</f>
        <v/>
      </c>
      <c r="M1965" s="30" t="str">
        <f>IF($L1965="","",INDEX($A$8:$A$5007,$L1965))</f>
        <v/>
      </c>
      <c r="N1965" s="31" t="str">
        <f>IF($L1965="","",INDEX($B$8:$B$5007,$L1965))</f>
        <v/>
      </c>
      <c r="O1965" s="32" t="str">
        <f>IF($M1965="","",IF($K1965-$M1965&gt;7,"",IF($M1965&lt;=$A1965,"",IF(OR($B1965&lt;=0,$N1965&lt;=0),"",($N1965/$B1965)^(365/($M1965-$A1965))-1))))</f>
        <v/>
      </c>
      <c r="P1965" s="31" t="str">
        <f>IF($B1965="","",IF($P1964="",$B1965,MAX($P1964,$B1965)))</f>
        <v/>
      </c>
      <c r="Q1965" s="32" t="str">
        <f>IF($P1965="","",$B1965/$P1965-1)</f>
        <v/>
      </c>
    </row>
    <row r="1966">
      <c r="A1966" s="11" t="n"/>
      <c r="B1966" s="29" t="n"/>
      <c r="K1966" s="30" t="str">
        <f>IF($A1966="","",EDATE($A1966,12*$E$4))</f>
        <v/>
      </c>
      <c r="L1966" s="19" t="str">
        <f>IF($K1966="","",IF($K1966&gt;MAX($A$8:$A$5007),"",IFERROR(MATCH($K1966,$A$8:$A$5007,1),"")))</f>
        <v/>
      </c>
      <c r="M1966" s="30" t="str">
        <f>IF($L1966="","",INDEX($A$8:$A$5007,$L1966))</f>
        <v/>
      </c>
      <c r="N1966" s="31" t="str">
        <f>IF($L1966="","",INDEX($B$8:$B$5007,$L1966))</f>
        <v/>
      </c>
      <c r="O1966" s="32" t="str">
        <f>IF($M1966="","",IF($K1966-$M1966&gt;7,"",IF($M1966&lt;=$A1966,"",IF(OR($B1966&lt;=0,$N1966&lt;=0),"",($N1966/$B1966)^(365/($M1966-$A1966))-1))))</f>
        <v/>
      </c>
      <c r="P1966" s="31" t="str">
        <f>IF($B1966="","",IF($P1965="",$B1966,MAX($P1965,$B1966)))</f>
        <v/>
      </c>
      <c r="Q1966" s="32" t="str">
        <f>IF($P1966="","",$B1966/$P1966-1)</f>
        <v/>
      </c>
    </row>
    <row r="1967">
      <c r="A1967" s="11" t="n"/>
      <c r="B1967" s="29" t="n"/>
      <c r="K1967" s="30" t="str">
        <f>IF($A1967="","",EDATE($A1967,12*$E$4))</f>
        <v/>
      </c>
      <c r="L1967" s="19" t="str">
        <f>IF($K1967="","",IF($K1967&gt;MAX($A$8:$A$5007),"",IFERROR(MATCH($K1967,$A$8:$A$5007,1),"")))</f>
        <v/>
      </c>
      <c r="M1967" s="30" t="str">
        <f>IF($L1967="","",INDEX($A$8:$A$5007,$L1967))</f>
        <v/>
      </c>
      <c r="N1967" s="31" t="str">
        <f>IF($L1967="","",INDEX($B$8:$B$5007,$L1967))</f>
        <v/>
      </c>
      <c r="O1967" s="32" t="str">
        <f>IF($M1967="","",IF($K1967-$M1967&gt;7,"",IF($M1967&lt;=$A1967,"",IF(OR($B1967&lt;=0,$N1967&lt;=0),"",($N1967/$B1967)^(365/($M1967-$A1967))-1))))</f>
        <v/>
      </c>
      <c r="P1967" s="31" t="str">
        <f>IF($B1967="","",IF($P1966="",$B1967,MAX($P1966,$B1967)))</f>
        <v/>
      </c>
      <c r="Q1967" s="32" t="str">
        <f>IF($P1967="","",$B1967/$P1967-1)</f>
        <v/>
      </c>
    </row>
    <row r="1968">
      <c r="A1968" s="11" t="n"/>
      <c r="B1968" s="29" t="n"/>
      <c r="K1968" s="30" t="str">
        <f>IF($A1968="","",EDATE($A1968,12*$E$4))</f>
        <v/>
      </c>
      <c r="L1968" s="19" t="str">
        <f>IF($K1968="","",IF($K1968&gt;MAX($A$8:$A$5007),"",IFERROR(MATCH($K1968,$A$8:$A$5007,1),"")))</f>
        <v/>
      </c>
      <c r="M1968" s="30" t="str">
        <f>IF($L1968="","",INDEX($A$8:$A$5007,$L1968))</f>
        <v/>
      </c>
      <c r="N1968" s="31" t="str">
        <f>IF($L1968="","",INDEX($B$8:$B$5007,$L1968))</f>
        <v/>
      </c>
      <c r="O1968" s="32" t="str">
        <f>IF($M1968="","",IF($K1968-$M1968&gt;7,"",IF($M1968&lt;=$A1968,"",IF(OR($B1968&lt;=0,$N1968&lt;=0),"",($N1968/$B1968)^(365/($M1968-$A1968))-1))))</f>
        <v/>
      </c>
      <c r="P1968" s="31" t="str">
        <f>IF($B1968="","",IF($P1967="",$B1968,MAX($P1967,$B1968)))</f>
        <v/>
      </c>
      <c r="Q1968" s="32" t="str">
        <f>IF($P1968="","",$B1968/$P1968-1)</f>
        <v/>
      </c>
    </row>
    <row r="1969">
      <c r="A1969" s="11" t="n"/>
      <c r="B1969" s="29" t="n"/>
      <c r="K1969" s="30" t="str">
        <f>IF($A1969="","",EDATE($A1969,12*$E$4))</f>
        <v/>
      </c>
      <c r="L1969" s="19" t="str">
        <f>IF($K1969="","",IF($K1969&gt;MAX($A$8:$A$5007),"",IFERROR(MATCH($K1969,$A$8:$A$5007,1),"")))</f>
        <v/>
      </c>
      <c r="M1969" s="30" t="str">
        <f>IF($L1969="","",INDEX($A$8:$A$5007,$L1969))</f>
        <v/>
      </c>
      <c r="N1969" s="31" t="str">
        <f>IF($L1969="","",INDEX($B$8:$B$5007,$L1969))</f>
        <v/>
      </c>
      <c r="O1969" s="32" t="str">
        <f>IF($M1969="","",IF($K1969-$M1969&gt;7,"",IF($M1969&lt;=$A1969,"",IF(OR($B1969&lt;=0,$N1969&lt;=0),"",($N1969/$B1969)^(365/($M1969-$A1969))-1))))</f>
        <v/>
      </c>
      <c r="P1969" s="31" t="str">
        <f>IF($B1969="","",IF($P1968="",$B1969,MAX($P1968,$B1969)))</f>
        <v/>
      </c>
      <c r="Q1969" s="32" t="str">
        <f>IF($P1969="","",$B1969/$P1969-1)</f>
        <v/>
      </c>
    </row>
    <row r="1970">
      <c r="A1970" s="11" t="n"/>
      <c r="B1970" s="29" t="n"/>
      <c r="K1970" s="30" t="str">
        <f>IF($A1970="","",EDATE($A1970,12*$E$4))</f>
        <v/>
      </c>
      <c r="L1970" s="19" t="str">
        <f>IF($K1970="","",IF($K1970&gt;MAX($A$8:$A$5007),"",IFERROR(MATCH($K1970,$A$8:$A$5007,1),"")))</f>
        <v/>
      </c>
      <c r="M1970" s="30" t="str">
        <f>IF($L1970="","",INDEX($A$8:$A$5007,$L1970))</f>
        <v/>
      </c>
      <c r="N1970" s="31" t="str">
        <f>IF($L1970="","",INDEX($B$8:$B$5007,$L1970))</f>
        <v/>
      </c>
      <c r="O1970" s="32" t="str">
        <f>IF($M1970="","",IF($K1970-$M1970&gt;7,"",IF($M1970&lt;=$A1970,"",IF(OR($B1970&lt;=0,$N1970&lt;=0),"",($N1970/$B1970)^(365/($M1970-$A1970))-1))))</f>
        <v/>
      </c>
      <c r="P1970" s="31" t="str">
        <f>IF($B1970="","",IF($P1969="",$B1970,MAX($P1969,$B1970)))</f>
        <v/>
      </c>
      <c r="Q1970" s="32" t="str">
        <f>IF($P1970="","",$B1970/$P1970-1)</f>
        <v/>
      </c>
    </row>
    <row r="1971">
      <c r="A1971" s="11" t="n"/>
      <c r="B1971" s="29" t="n"/>
      <c r="K1971" s="30" t="str">
        <f>IF($A1971="","",EDATE($A1971,12*$E$4))</f>
        <v/>
      </c>
      <c r="L1971" s="19" t="str">
        <f>IF($K1971="","",IF($K1971&gt;MAX($A$8:$A$5007),"",IFERROR(MATCH($K1971,$A$8:$A$5007,1),"")))</f>
        <v/>
      </c>
      <c r="M1971" s="30" t="str">
        <f>IF($L1971="","",INDEX($A$8:$A$5007,$L1971))</f>
        <v/>
      </c>
      <c r="N1971" s="31" t="str">
        <f>IF($L1971="","",INDEX($B$8:$B$5007,$L1971))</f>
        <v/>
      </c>
      <c r="O1971" s="32" t="str">
        <f>IF($M1971="","",IF($K1971-$M1971&gt;7,"",IF($M1971&lt;=$A1971,"",IF(OR($B1971&lt;=0,$N1971&lt;=0),"",($N1971/$B1971)^(365/($M1971-$A1971))-1))))</f>
        <v/>
      </c>
      <c r="P1971" s="31" t="str">
        <f>IF($B1971="","",IF($P1970="",$B1971,MAX($P1970,$B1971)))</f>
        <v/>
      </c>
      <c r="Q1971" s="32" t="str">
        <f>IF($P1971="","",$B1971/$P1971-1)</f>
        <v/>
      </c>
    </row>
    <row r="1972">
      <c r="A1972" s="11" t="n"/>
      <c r="B1972" s="29" t="n"/>
      <c r="K1972" s="30" t="str">
        <f>IF($A1972="","",EDATE($A1972,12*$E$4))</f>
        <v/>
      </c>
      <c r="L1972" s="19" t="str">
        <f>IF($K1972="","",IF($K1972&gt;MAX($A$8:$A$5007),"",IFERROR(MATCH($K1972,$A$8:$A$5007,1),"")))</f>
        <v/>
      </c>
      <c r="M1972" s="30" t="str">
        <f>IF($L1972="","",INDEX($A$8:$A$5007,$L1972))</f>
        <v/>
      </c>
      <c r="N1972" s="31" t="str">
        <f>IF($L1972="","",INDEX($B$8:$B$5007,$L1972))</f>
        <v/>
      </c>
      <c r="O1972" s="32" t="str">
        <f>IF($M1972="","",IF($K1972-$M1972&gt;7,"",IF($M1972&lt;=$A1972,"",IF(OR($B1972&lt;=0,$N1972&lt;=0),"",($N1972/$B1972)^(365/($M1972-$A1972))-1))))</f>
        <v/>
      </c>
      <c r="P1972" s="31" t="str">
        <f>IF($B1972="","",IF($P1971="",$B1972,MAX($P1971,$B1972)))</f>
        <v/>
      </c>
      <c r="Q1972" s="32" t="str">
        <f>IF($P1972="","",$B1972/$P1972-1)</f>
        <v/>
      </c>
    </row>
    <row r="1973">
      <c r="A1973" s="11" t="n"/>
      <c r="B1973" s="29" t="n"/>
      <c r="K1973" s="30" t="str">
        <f>IF($A1973="","",EDATE($A1973,12*$E$4))</f>
        <v/>
      </c>
      <c r="L1973" s="19" t="str">
        <f>IF($K1973="","",IF($K1973&gt;MAX($A$8:$A$5007),"",IFERROR(MATCH($K1973,$A$8:$A$5007,1),"")))</f>
        <v/>
      </c>
      <c r="M1973" s="30" t="str">
        <f>IF($L1973="","",INDEX($A$8:$A$5007,$L1973))</f>
        <v/>
      </c>
      <c r="N1973" s="31" t="str">
        <f>IF($L1973="","",INDEX($B$8:$B$5007,$L1973))</f>
        <v/>
      </c>
      <c r="O1973" s="32" t="str">
        <f>IF($M1973="","",IF($K1973-$M1973&gt;7,"",IF($M1973&lt;=$A1973,"",IF(OR($B1973&lt;=0,$N1973&lt;=0),"",($N1973/$B1973)^(365/($M1973-$A1973))-1))))</f>
        <v/>
      </c>
      <c r="P1973" s="31" t="str">
        <f>IF($B1973="","",IF($P1972="",$B1973,MAX($P1972,$B1973)))</f>
        <v/>
      </c>
      <c r="Q1973" s="32" t="str">
        <f>IF($P1973="","",$B1973/$P1973-1)</f>
        <v/>
      </c>
    </row>
    <row r="1974">
      <c r="A1974" s="11" t="n"/>
      <c r="B1974" s="29" t="n"/>
      <c r="K1974" s="30" t="str">
        <f>IF($A1974="","",EDATE($A1974,12*$E$4))</f>
        <v/>
      </c>
      <c r="L1974" s="19" t="str">
        <f>IF($K1974="","",IF($K1974&gt;MAX($A$8:$A$5007),"",IFERROR(MATCH($K1974,$A$8:$A$5007,1),"")))</f>
        <v/>
      </c>
      <c r="M1974" s="30" t="str">
        <f>IF($L1974="","",INDEX($A$8:$A$5007,$L1974))</f>
        <v/>
      </c>
      <c r="N1974" s="31" t="str">
        <f>IF($L1974="","",INDEX($B$8:$B$5007,$L1974))</f>
        <v/>
      </c>
      <c r="O1974" s="32" t="str">
        <f>IF($M1974="","",IF($K1974-$M1974&gt;7,"",IF($M1974&lt;=$A1974,"",IF(OR($B1974&lt;=0,$N1974&lt;=0),"",($N1974/$B1974)^(365/($M1974-$A1974))-1))))</f>
        <v/>
      </c>
      <c r="P1974" s="31" t="str">
        <f>IF($B1974="","",IF($P1973="",$B1974,MAX($P1973,$B1974)))</f>
        <v/>
      </c>
      <c r="Q1974" s="32" t="str">
        <f>IF($P1974="","",$B1974/$P1974-1)</f>
        <v/>
      </c>
    </row>
    <row r="1975">
      <c r="A1975" s="11" t="n"/>
      <c r="B1975" s="29" t="n"/>
      <c r="K1975" s="30" t="str">
        <f>IF($A1975="","",EDATE($A1975,12*$E$4))</f>
        <v/>
      </c>
      <c r="L1975" s="19" t="str">
        <f>IF($K1975="","",IF($K1975&gt;MAX($A$8:$A$5007),"",IFERROR(MATCH($K1975,$A$8:$A$5007,1),"")))</f>
        <v/>
      </c>
      <c r="M1975" s="30" t="str">
        <f>IF($L1975="","",INDEX($A$8:$A$5007,$L1975))</f>
        <v/>
      </c>
      <c r="N1975" s="31" t="str">
        <f>IF($L1975="","",INDEX($B$8:$B$5007,$L1975))</f>
        <v/>
      </c>
      <c r="O1975" s="32" t="str">
        <f>IF($M1975="","",IF($K1975-$M1975&gt;7,"",IF($M1975&lt;=$A1975,"",IF(OR($B1975&lt;=0,$N1975&lt;=0),"",($N1975/$B1975)^(365/($M1975-$A1975))-1))))</f>
        <v/>
      </c>
      <c r="P1975" s="31" t="str">
        <f>IF($B1975="","",IF($P1974="",$B1975,MAX($P1974,$B1975)))</f>
        <v/>
      </c>
      <c r="Q1975" s="32" t="str">
        <f>IF($P1975="","",$B1975/$P1975-1)</f>
        <v/>
      </c>
    </row>
    <row r="1976">
      <c r="A1976" s="11" t="n"/>
      <c r="B1976" s="29" t="n"/>
      <c r="K1976" s="30" t="str">
        <f>IF($A1976="","",EDATE($A1976,12*$E$4))</f>
        <v/>
      </c>
      <c r="L1976" s="19" t="str">
        <f>IF($K1976="","",IF($K1976&gt;MAX($A$8:$A$5007),"",IFERROR(MATCH($K1976,$A$8:$A$5007,1),"")))</f>
        <v/>
      </c>
      <c r="M1976" s="30" t="str">
        <f>IF($L1976="","",INDEX($A$8:$A$5007,$L1976))</f>
        <v/>
      </c>
      <c r="N1976" s="31" t="str">
        <f>IF($L1976="","",INDEX($B$8:$B$5007,$L1976))</f>
        <v/>
      </c>
      <c r="O1976" s="32" t="str">
        <f>IF($M1976="","",IF($K1976-$M1976&gt;7,"",IF($M1976&lt;=$A1976,"",IF(OR($B1976&lt;=0,$N1976&lt;=0),"",($N1976/$B1976)^(365/($M1976-$A1976))-1))))</f>
        <v/>
      </c>
      <c r="P1976" s="31" t="str">
        <f>IF($B1976="","",IF($P1975="",$B1976,MAX($P1975,$B1976)))</f>
        <v/>
      </c>
      <c r="Q1976" s="32" t="str">
        <f>IF($P1976="","",$B1976/$P1976-1)</f>
        <v/>
      </c>
    </row>
    <row r="1977">
      <c r="A1977" s="11" t="n"/>
      <c r="B1977" s="29" t="n"/>
      <c r="K1977" s="30" t="str">
        <f>IF($A1977="","",EDATE($A1977,12*$E$4))</f>
        <v/>
      </c>
      <c r="L1977" s="19" t="str">
        <f>IF($K1977="","",IF($K1977&gt;MAX($A$8:$A$5007),"",IFERROR(MATCH($K1977,$A$8:$A$5007,1),"")))</f>
        <v/>
      </c>
      <c r="M1977" s="30" t="str">
        <f>IF($L1977="","",INDEX($A$8:$A$5007,$L1977))</f>
        <v/>
      </c>
      <c r="N1977" s="31" t="str">
        <f>IF($L1977="","",INDEX($B$8:$B$5007,$L1977))</f>
        <v/>
      </c>
      <c r="O1977" s="32" t="str">
        <f>IF($M1977="","",IF($K1977-$M1977&gt;7,"",IF($M1977&lt;=$A1977,"",IF(OR($B1977&lt;=0,$N1977&lt;=0),"",($N1977/$B1977)^(365/($M1977-$A1977))-1))))</f>
        <v/>
      </c>
      <c r="P1977" s="31" t="str">
        <f>IF($B1977="","",IF($P1976="",$B1977,MAX($P1976,$B1977)))</f>
        <v/>
      </c>
      <c r="Q1977" s="32" t="str">
        <f>IF($P1977="","",$B1977/$P1977-1)</f>
        <v/>
      </c>
    </row>
    <row r="1978">
      <c r="A1978" s="11" t="n"/>
      <c r="B1978" s="29" t="n"/>
      <c r="K1978" s="30" t="str">
        <f>IF($A1978="","",EDATE($A1978,12*$E$4))</f>
        <v/>
      </c>
      <c r="L1978" s="19" t="str">
        <f>IF($K1978="","",IF($K1978&gt;MAX($A$8:$A$5007),"",IFERROR(MATCH($K1978,$A$8:$A$5007,1),"")))</f>
        <v/>
      </c>
      <c r="M1978" s="30" t="str">
        <f>IF($L1978="","",INDEX($A$8:$A$5007,$L1978))</f>
        <v/>
      </c>
      <c r="N1978" s="31" t="str">
        <f>IF($L1978="","",INDEX($B$8:$B$5007,$L1978))</f>
        <v/>
      </c>
      <c r="O1978" s="32" t="str">
        <f>IF($M1978="","",IF($K1978-$M1978&gt;7,"",IF($M1978&lt;=$A1978,"",IF(OR($B1978&lt;=0,$N1978&lt;=0),"",($N1978/$B1978)^(365/($M1978-$A1978))-1))))</f>
        <v/>
      </c>
      <c r="P1978" s="31" t="str">
        <f>IF($B1978="","",IF($P1977="",$B1978,MAX($P1977,$B1978)))</f>
        <v/>
      </c>
      <c r="Q1978" s="32" t="str">
        <f>IF($P1978="","",$B1978/$P1978-1)</f>
        <v/>
      </c>
    </row>
    <row r="1979">
      <c r="A1979" s="11" t="n"/>
      <c r="B1979" s="29" t="n"/>
      <c r="K1979" s="30" t="str">
        <f>IF($A1979="","",EDATE($A1979,12*$E$4))</f>
        <v/>
      </c>
      <c r="L1979" s="19" t="str">
        <f>IF($K1979="","",IF($K1979&gt;MAX($A$8:$A$5007),"",IFERROR(MATCH($K1979,$A$8:$A$5007,1),"")))</f>
        <v/>
      </c>
      <c r="M1979" s="30" t="str">
        <f>IF($L1979="","",INDEX($A$8:$A$5007,$L1979))</f>
        <v/>
      </c>
      <c r="N1979" s="31" t="str">
        <f>IF($L1979="","",INDEX($B$8:$B$5007,$L1979))</f>
        <v/>
      </c>
      <c r="O1979" s="32" t="str">
        <f>IF($M1979="","",IF($K1979-$M1979&gt;7,"",IF($M1979&lt;=$A1979,"",IF(OR($B1979&lt;=0,$N1979&lt;=0),"",($N1979/$B1979)^(365/($M1979-$A1979))-1))))</f>
        <v/>
      </c>
      <c r="P1979" s="31" t="str">
        <f>IF($B1979="","",IF($P1978="",$B1979,MAX($P1978,$B1979)))</f>
        <v/>
      </c>
      <c r="Q1979" s="32" t="str">
        <f>IF($P1979="","",$B1979/$P1979-1)</f>
        <v/>
      </c>
    </row>
    <row r="1980">
      <c r="A1980" s="11" t="n"/>
      <c r="B1980" s="29" t="n"/>
      <c r="K1980" s="30" t="str">
        <f>IF($A1980="","",EDATE($A1980,12*$E$4))</f>
        <v/>
      </c>
      <c r="L1980" s="19" t="str">
        <f>IF($K1980="","",IF($K1980&gt;MAX($A$8:$A$5007),"",IFERROR(MATCH($K1980,$A$8:$A$5007,1),"")))</f>
        <v/>
      </c>
      <c r="M1980" s="30" t="str">
        <f>IF($L1980="","",INDEX($A$8:$A$5007,$L1980))</f>
        <v/>
      </c>
      <c r="N1980" s="31" t="str">
        <f>IF($L1980="","",INDEX($B$8:$B$5007,$L1980))</f>
        <v/>
      </c>
      <c r="O1980" s="32" t="str">
        <f>IF($M1980="","",IF($K1980-$M1980&gt;7,"",IF($M1980&lt;=$A1980,"",IF(OR($B1980&lt;=0,$N1980&lt;=0),"",($N1980/$B1980)^(365/($M1980-$A1980))-1))))</f>
        <v/>
      </c>
      <c r="P1980" s="31" t="str">
        <f>IF($B1980="","",IF($P1979="",$B1980,MAX($P1979,$B1980)))</f>
        <v/>
      </c>
      <c r="Q1980" s="32" t="str">
        <f>IF($P1980="","",$B1980/$P1980-1)</f>
        <v/>
      </c>
    </row>
    <row r="1981">
      <c r="A1981" s="11" t="n"/>
      <c r="B1981" s="29" t="n"/>
      <c r="K1981" s="30" t="str">
        <f>IF($A1981="","",EDATE($A1981,12*$E$4))</f>
        <v/>
      </c>
      <c r="L1981" s="19" t="str">
        <f>IF($K1981="","",IF($K1981&gt;MAX($A$8:$A$5007),"",IFERROR(MATCH($K1981,$A$8:$A$5007,1),"")))</f>
        <v/>
      </c>
      <c r="M1981" s="30" t="str">
        <f>IF($L1981="","",INDEX($A$8:$A$5007,$L1981))</f>
        <v/>
      </c>
      <c r="N1981" s="31" t="str">
        <f>IF($L1981="","",INDEX($B$8:$B$5007,$L1981))</f>
        <v/>
      </c>
      <c r="O1981" s="32" t="str">
        <f>IF($M1981="","",IF($K1981-$M1981&gt;7,"",IF($M1981&lt;=$A1981,"",IF(OR($B1981&lt;=0,$N1981&lt;=0),"",($N1981/$B1981)^(365/($M1981-$A1981))-1))))</f>
        <v/>
      </c>
      <c r="P1981" s="31" t="str">
        <f>IF($B1981="","",IF($P1980="",$B1981,MAX($P1980,$B1981)))</f>
        <v/>
      </c>
      <c r="Q1981" s="32" t="str">
        <f>IF($P1981="","",$B1981/$P1981-1)</f>
        <v/>
      </c>
    </row>
    <row r="1982">
      <c r="A1982" s="11" t="n"/>
      <c r="B1982" s="29" t="n"/>
      <c r="K1982" s="30" t="str">
        <f>IF($A1982="","",EDATE($A1982,12*$E$4))</f>
        <v/>
      </c>
      <c r="L1982" s="19" t="str">
        <f>IF($K1982="","",IF($K1982&gt;MAX($A$8:$A$5007),"",IFERROR(MATCH($K1982,$A$8:$A$5007,1),"")))</f>
        <v/>
      </c>
      <c r="M1982" s="30" t="str">
        <f>IF($L1982="","",INDEX($A$8:$A$5007,$L1982))</f>
        <v/>
      </c>
      <c r="N1982" s="31" t="str">
        <f>IF($L1982="","",INDEX($B$8:$B$5007,$L1982))</f>
        <v/>
      </c>
      <c r="O1982" s="32" t="str">
        <f>IF($M1982="","",IF($K1982-$M1982&gt;7,"",IF($M1982&lt;=$A1982,"",IF(OR($B1982&lt;=0,$N1982&lt;=0),"",($N1982/$B1982)^(365/($M1982-$A1982))-1))))</f>
        <v/>
      </c>
      <c r="P1982" s="31" t="str">
        <f>IF($B1982="","",IF($P1981="",$B1982,MAX($P1981,$B1982)))</f>
        <v/>
      </c>
      <c r="Q1982" s="32" t="str">
        <f>IF($P1982="","",$B1982/$P1982-1)</f>
        <v/>
      </c>
    </row>
    <row r="1983">
      <c r="A1983" s="11" t="n"/>
      <c r="B1983" s="29" t="n"/>
      <c r="K1983" s="30" t="str">
        <f>IF($A1983="","",EDATE($A1983,12*$E$4))</f>
        <v/>
      </c>
      <c r="L1983" s="19" t="str">
        <f>IF($K1983="","",IF($K1983&gt;MAX($A$8:$A$5007),"",IFERROR(MATCH($K1983,$A$8:$A$5007,1),"")))</f>
        <v/>
      </c>
      <c r="M1983" s="30" t="str">
        <f>IF($L1983="","",INDEX($A$8:$A$5007,$L1983))</f>
        <v/>
      </c>
      <c r="N1983" s="31" t="str">
        <f>IF($L1983="","",INDEX($B$8:$B$5007,$L1983))</f>
        <v/>
      </c>
      <c r="O1983" s="32" t="str">
        <f>IF($M1983="","",IF($K1983-$M1983&gt;7,"",IF($M1983&lt;=$A1983,"",IF(OR($B1983&lt;=0,$N1983&lt;=0),"",($N1983/$B1983)^(365/($M1983-$A1983))-1))))</f>
        <v/>
      </c>
      <c r="P1983" s="31" t="str">
        <f>IF($B1983="","",IF($P1982="",$B1983,MAX($P1982,$B1983)))</f>
        <v/>
      </c>
      <c r="Q1983" s="32" t="str">
        <f>IF($P1983="","",$B1983/$P1983-1)</f>
        <v/>
      </c>
    </row>
    <row r="1984">
      <c r="A1984" s="11" t="n"/>
      <c r="B1984" s="29" t="n"/>
      <c r="K1984" s="30" t="str">
        <f>IF($A1984="","",EDATE($A1984,12*$E$4))</f>
        <v/>
      </c>
      <c r="L1984" s="19" t="str">
        <f>IF($K1984="","",IF($K1984&gt;MAX($A$8:$A$5007),"",IFERROR(MATCH($K1984,$A$8:$A$5007,1),"")))</f>
        <v/>
      </c>
      <c r="M1984" s="30" t="str">
        <f>IF($L1984="","",INDEX($A$8:$A$5007,$L1984))</f>
        <v/>
      </c>
      <c r="N1984" s="31" t="str">
        <f>IF($L1984="","",INDEX($B$8:$B$5007,$L1984))</f>
        <v/>
      </c>
      <c r="O1984" s="32" t="str">
        <f>IF($M1984="","",IF($K1984-$M1984&gt;7,"",IF($M1984&lt;=$A1984,"",IF(OR($B1984&lt;=0,$N1984&lt;=0),"",($N1984/$B1984)^(365/($M1984-$A1984))-1))))</f>
        <v/>
      </c>
      <c r="P1984" s="31" t="str">
        <f>IF($B1984="","",IF($P1983="",$B1984,MAX($P1983,$B1984)))</f>
        <v/>
      </c>
      <c r="Q1984" s="32" t="str">
        <f>IF($P1984="","",$B1984/$P1984-1)</f>
        <v/>
      </c>
    </row>
    <row r="1985">
      <c r="A1985" s="11" t="n"/>
      <c r="B1985" s="29" t="n"/>
      <c r="K1985" s="30" t="str">
        <f>IF($A1985="","",EDATE($A1985,12*$E$4))</f>
        <v/>
      </c>
      <c r="L1985" s="19" t="str">
        <f>IF($K1985="","",IF($K1985&gt;MAX($A$8:$A$5007),"",IFERROR(MATCH($K1985,$A$8:$A$5007,1),"")))</f>
        <v/>
      </c>
      <c r="M1985" s="30" t="str">
        <f>IF($L1985="","",INDEX($A$8:$A$5007,$L1985))</f>
        <v/>
      </c>
      <c r="N1985" s="31" t="str">
        <f>IF($L1985="","",INDEX($B$8:$B$5007,$L1985))</f>
        <v/>
      </c>
      <c r="O1985" s="32" t="str">
        <f>IF($M1985="","",IF($K1985-$M1985&gt;7,"",IF($M1985&lt;=$A1985,"",IF(OR($B1985&lt;=0,$N1985&lt;=0),"",($N1985/$B1985)^(365/($M1985-$A1985))-1))))</f>
        <v/>
      </c>
      <c r="P1985" s="31" t="str">
        <f>IF($B1985="","",IF($P1984="",$B1985,MAX($P1984,$B1985)))</f>
        <v/>
      </c>
      <c r="Q1985" s="32" t="str">
        <f>IF($P1985="","",$B1985/$P1985-1)</f>
        <v/>
      </c>
    </row>
    <row r="1986">
      <c r="A1986" s="11" t="n"/>
      <c r="B1986" s="29" t="n"/>
      <c r="K1986" s="30" t="str">
        <f>IF($A1986="","",EDATE($A1986,12*$E$4))</f>
        <v/>
      </c>
      <c r="L1986" s="19" t="str">
        <f>IF($K1986="","",IF($K1986&gt;MAX($A$8:$A$5007),"",IFERROR(MATCH($K1986,$A$8:$A$5007,1),"")))</f>
        <v/>
      </c>
      <c r="M1986" s="30" t="str">
        <f>IF($L1986="","",INDEX($A$8:$A$5007,$L1986))</f>
        <v/>
      </c>
      <c r="N1986" s="31" t="str">
        <f>IF($L1986="","",INDEX($B$8:$B$5007,$L1986))</f>
        <v/>
      </c>
      <c r="O1986" s="32" t="str">
        <f>IF($M1986="","",IF($K1986-$M1986&gt;7,"",IF($M1986&lt;=$A1986,"",IF(OR($B1986&lt;=0,$N1986&lt;=0),"",($N1986/$B1986)^(365/($M1986-$A1986))-1))))</f>
        <v/>
      </c>
      <c r="P1986" s="31" t="str">
        <f>IF($B1986="","",IF($P1985="",$B1986,MAX($P1985,$B1986)))</f>
        <v/>
      </c>
      <c r="Q1986" s="32" t="str">
        <f>IF($P1986="","",$B1986/$P1986-1)</f>
        <v/>
      </c>
    </row>
    <row r="1987">
      <c r="A1987" s="11" t="n"/>
      <c r="B1987" s="29" t="n"/>
      <c r="K1987" s="30" t="str">
        <f>IF($A1987="","",EDATE($A1987,12*$E$4))</f>
        <v/>
      </c>
      <c r="L1987" s="19" t="str">
        <f>IF($K1987="","",IF($K1987&gt;MAX($A$8:$A$5007),"",IFERROR(MATCH($K1987,$A$8:$A$5007,1),"")))</f>
        <v/>
      </c>
      <c r="M1987" s="30" t="str">
        <f>IF($L1987="","",INDEX($A$8:$A$5007,$L1987))</f>
        <v/>
      </c>
      <c r="N1987" s="31" t="str">
        <f>IF($L1987="","",INDEX($B$8:$B$5007,$L1987))</f>
        <v/>
      </c>
      <c r="O1987" s="32" t="str">
        <f>IF($M1987="","",IF($K1987-$M1987&gt;7,"",IF($M1987&lt;=$A1987,"",IF(OR($B1987&lt;=0,$N1987&lt;=0),"",($N1987/$B1987)^(365/($M1987-$A1987))-1))))</f>
        <v/>
      </c>
      <c r="P1987" s="31" t="str">
        <f>IF($B1987="","",IF($P1986="",$B1987,MAX($P1986,$B1987)))</f>
        <v/>
      </c>
      <c r="Q1987" s="32" t="str">
        <f>IF($P1987="","",$B1987/$P1987-1)</f>
        <v/>
      </c>
    </row>
    <row r="1988">
      <c r="A1988" s="11" t="n"/>
      <c r="B1988" s="29" t="n"/>
      <c r="K1988" s="30" t="str">
        <f>IF($A1988="","",EDATE($A1988,12*$E$4))</f>
        <v/>
      </c>
      <c r="L1988" s="19" t="str">
        <f>IF($K1988="","",IF($K1988&gt;MAX($A$8:$A$5007),"",IFERROR(MATCH($K1988,$A$8:$A$5007,1),"")))</f>
        <v/>
      </c>
      <c r="M1988" s="30" t="str">
        <f>IF($L1988="","",INDEX($A$8:$A$5007,$L1988))</f>
        <v/>
      </c>
      <c r="N1988" s="31" t="str">
        <f>IF($L1988="","",INDEX($B$8:$B$5007,$L1988))</f>
        <v/>
      </c>
      <c r="O1988" s="32" t="str">
        <f>IF($M1988="","",IF($K1988-$M1988&gt;7,"",IF($M1988&lt;=$A1988,"",IF(OR($B1988&lt;=0,$N1988&lt;=0),"",($N1988/$B1988)^(365/($M1988-$A1988))-1))))</f>
        <v/>
      </c>
      <c r="P1988" s="31" t="str">
        <f>IF($B1988="","",IF($P1987="",$B1988,MAX($P1987,$B1988)))</f>
        <v/>
      </c>
      <c r="Q1988" s="32" t="str">
        <f>IF($P1988="","",$B1988/$P1988-1)</f>
        <v/>
      </c>
    </row>
    <row r="1989">
      <c r="A1989" s="11" t="n"/>
      <c r="B1989" s="29" t="n"/>
      <c r="K1989" s="30" t="str">
        <f>IF($A1989="","",EDATE($A1989,12*$E$4))</f>
        <v/>
      </c>
      <c r="L1989" s="19" t="str">
        <f>IF($K1989="","",IF($K1989&gt;MAX($A$8:$A$5007),"",IFERROR(MATCH($K1989,$A$8:$A$5007,1),"")))</f>
        <v/>
      </c>
      <c r="M1989" s="30" t="str">
        <f>IF($L1989="","",INDEX($A$8:$A$5007,$L1989))</f>
        <v/>
      </c>
      <c r="N1989" s="31" t="str">
        <f>IF($L1989="","",INDEX($B$8:$B$5007,$L1989))</f>
        <v/>
      </c>
      <c r="O1989" s="32" t="str">
        <f>IF($M1989="","",IF($K1989-$M1989&gt;7,"",IF($M1989&lt;=$A1989,"",IF(OR($B1989&lt;=0,$N1989&lt;=0),"",($N1989/$B1989)^(365/($M1989-$A1989))-1))))</f>
        <v/>
      </c>
      <c r="P1989" s="31" t="str">
        <f>IF($B1989="","",IF($P1988="",$B1989,MAX($P1988,$B1989)))</f>
        <v/>
      </c>
      <c r="Q1989" s="32" t="str">
        <f>IF($P1989="","",$B1989/$P1989-1)</f>
        <v/>
      </c>
    </row>
    <row r="1990">
      <c r="A1990" s="11" t="n"/>
      <c r="B1990" s="29" t="n"/>
      <c r="K1990" s="30" t="str">
        <f>IF($A1990="","",EDATE($A1990,12*$E$4))</f>
        <v/>
      </c>
      <c r="L1990" s="19" t="str">
        <f>IF($K1990="","",IF($K1990&gt;MAX($A$8:$A$5007),"",IFERROR(MATCH($K1990,$A$8:$A$5007,1),"")))</f>
        <v/>
      </c>
      <c r="M1990" s="30" t="str">
        <f>IF($L1990="","",INDEX($A$8:$A$5007,$L1990))</f>
        <v/>
      </c>
      <c r="N1990" s="31" t="str">
        <f>IF($L1990="","",INDEX($B$8:$B$5007,$L1990))</f>
        <v/>
      </c>
      <c r="O1990" s="32" t="str">
        <f>IF($M1990="","",IF($K1990-$M1990&gt;7,"",IF($M1990&lt;=$A1990,"",IF(OR($B1990&lt;=0,$N1990&lt;=0),"",($N1990/$B1990)^(365/($M1990-$A1990))-1))))</f>
        <v/>
      </c>
      <c r="P1990" s="31" t="str">
        <f>IF($B1990="","",IF($P1989="",$B1990,MAX($P1989,$B1990)))</f>
        <v/>
      </c>
      <c r="Q1990" s="32" t="str">
        <f>IF($P1990="","",$B1990/$P1990-1)</f>
        <v/>
      </c>
    </row>
    <row r="1991">
      <c r="A1991" s="11" t="n"/>
      <c r="B1991" s="29" t="n"/>
      <c r="K1991" s="30" t="str">
        <f>IF($A1991="","",EDATE($A1991,12*$E$4))</f>
        <v/>
      </c>
      <c r="L1991" s="19" t="str">
        <f>IF($K1991="","",IF($K1991&gt;MAX($A$8:$A$5007),"",IFERROR(MATCH($K1991,$A$8:$A$5007,1),"")))</f>
        <v/>
      </c>
      <c r="M1991" s="30" t="str">
        <f>IF($L1991="","",INDEX($A$8:$A$5007,$L1991))</f>
        <v/>
      </c>
      <c r="N1991" s="31" t="str">
        <f>IF($L1991="","",INDEX($B$8:$B$5007,$L1991))</f>
        <v/>
      </c>
      <c r="O1991" s="32" t="str">
        <f>IF($M1991="","",IF($K1991-$M1991&gt;7,"",IF($M1991&lt;=$A1991,"",IF(OR($B1991&lt;=0,$N1991&lt;=0),"",($N1991/$B1991)^(365/($M1991-$A1991))-1))))</f>
        <v/>
      </c>
      <c r="P1991" s="31" t="str">
        <f>IF($B1991="","",IF($P1990="",$B1991,MAX($P1990,$B1991)))</f>
        <v/>
      </c>
      <c r="Q1991" s="32" t="str">
        <f>IF($P1991="","",$B1991/$P1991-1)</f>
        <v/>
      </c>
    </row>
    <row r="1992">
      <c r="A1992" s="11" t="n"/>
      <c r="B1992" s="29" t="n"/>
      <c r="K1992" s="30" t="str">
        <f>IF($A1992="","",EDATE($A1992,12*$E$4))</f>
        <v/>
      </c>
      <c r="L1992" s="19" t="str">
        <f>IF($K1992="","",IF($K1992&gt;MAX($A$8:$A$5007),"",IFERROR(MATCH($K1992,$A$8:$A$5007,1),"")))</f>
        <v/>
      </c>
      <c r="M1992" s="30" t="str">
        <f>IF($L1992="","",INDEX($A$8:$A$5007,$L1992))</f>
        <v/>
      </c>
      <c r="N1992" s="31" t="str">
        <f>IF($L1992="","",INDEX($B$8:$B$5007,$L1992))</f>
        <v/>
      </c>
      <c r="O1992" s="32" t="str">
        <f>IF($M1992="","",IF($K1992-$M1992&gt;7,"",IF($M1992&lt;=$A1992,"",IF(OR($B1992&lt;=0,$N1992&lt;=0),"",($N1992/$B1992)^(365/($M1992-$A1992))-1))))</f>
        <v/>
      </c>
      <c r="P1992" s="31" t="str">
        <f>IF($B1992="","",IF($P1991="",$B1992,MAX($P1991,$B1992)))</f>
        <v/>
      </c>
      <c r="Q1992" s="32" t="str">
        <f>IF($P1992="","",$B1992/$P1992-1)</f>
        <v/>
      </c>
    </row>
    <row r="1993">
      <c r="A1993" s="11" t="n"/>
      <c r="B1993" s="29" t="n"/>
      <c r="K1993" s="30" t="str">
        <f>IF($A1993="","",EDATE($A1993,12*$E$4))</f>
        <v/>
      </c>
      <c r="L1993" s="19" t="str">
        <f>IF($K1993="","",IF($K1993&gt;MAX($A$8:$A$5007),"",IFERROR(MATCH($K1993,$A$8:$A$5007,1),"")))</f>
        <v/>
      </c>
      <c r="M1993" s="30" t="str">
        <f>IF($L1993="","",INDEX($A$8:$A$5007,$L1993))</f>
        <v/>
      </c>
      <c r="N1993" s="31" t="str">
        <f>IF($L1993="","",INDEX($B$8:$B$5007,$L1993))</f>
        <v/>
      </c>
      <c r="O1993" s="32" t="str">
        <f>IF($M1993="","",IF($K1993-$M1993&gt;7,"",IF($M1993&lt;=$A1993,"",IF(OR($B1993&lt;=0,$N1993&lt;=0),"",($N1993/$B1993)^(365/($M1993-$A1993))-1))))</f>
        <v/>
      </c>
      <c r="P1993" s="31" t="str">
        <f>IF($B1993="","",IF($P1992="",$B1993,MAX($P1992,$B1993)))</f>
        <v/>
      </c>
      <c r="Q1993" s="32" t="str">
        <f>IF($P1993="","",$B1993/$P1993-1)</f>
        <v/>
      </c>
    </row>
    <row r="1994">
      <c r="A1994" s="11" t="n"/>
      <c r="B1994" s="29" t="n"/>
      <c r="K1994" s="30" t="str">
        <f>IF($A1994="","",EDATE($A1994,12*$E$4))</f>
        <v/>
      </c>
      <c r="L1994" s="19" t="str">
        <f>IF($K1994="","",IF($K1994&gt;MAX($A$8:$A$5007),"",IFERROR(MATCH($K1994,$A$8:$A$5007,1),"")))</f>
        <v/>
      </c>
      <c r="M1994" s="30" t="str">
        <f>IF($L1994="","",INDEX($A$8:$A$5007,$L1994))</f>
        <v/>
      </c>
      <c r="N1994" s="31" t="str">
        <f>IF($L1994="","",INDEX($B$8:$B$5007,$L1994))</f>
        <v/>
      </c>
      <c r="O1994" s="32" t="str">
        <f>IF($M1994="","",IF($K1994-$M1994&gt;7,"",IF($M1994&lt;=$A1994,"",IF(OR($B1994&lt;=0,$N1994&lt;=0),"",($N1994/$B1994)^(365/($M1994-$A1994))-1))))</f>
        <v/>
      </c>
      <c r="P1994" s="31" t="str">
        <f>IF($B1994="","",IF($P1993="",$B1994,MAX($P1993,$B1994)))</f>
        <v/>
      </c>
      <c r="Q1994" s="32" t="str">
        <f>IF($P1994="","",$B1994/$P1994-1)</f>
        <v/>
      </c>
    </row>
    <row r="1995">
      <c r="A1995" s="11" t="n"/>
      <c r="B1995" s="29" t="n"/>
      <c r="K1995" s="30" t="str">
        <f>IF($A1995="","",EDATE($A1995,12*$E$4))</f>
        <v/>
      </c>
      <c r="L1995" s="19" t="str">
        <f>IF($K1995="","",IF($K1995&gt;MAX($A$8:$A$5007),"",IFERROR(MATCH($K1995,$A$8:$A$5007,1),"")))</f>
        <v/>
      </c>
      <c r="M1995" s="30" t="str">
        <f>IF($L1995="","",INDEX($A$8:$A$5007,$L1995))</f>
        <v/>
      </c>
      <c r="N1995" s="31" t="str">
        <f>IF($L1995="","",INDEX($B$8:$B$5007,$L1995))</f>
        <v/>
      </c>
      <c r="O1995" s="32" t="str">
        <f>IF($M1995="","",IF($K1995-$M1995&gt;7,"",IF($M1995&lt;=$A1995,"",IF(OR($B1995&lt;=0,$N1995&lt;=0),"",($N1995/$B1995)^(365/($M1995-$A1995))-1))))</f>
        <v/>
      </c>
      <c r="P1995" s="31" t="str">
        <f>IF($B1995="","",IF($P1994="",$B1995,MAX($P1994,$B1995)))</f>
        <v/>
      </c>
      <c r="Q1995" s="32" t="str">
        <f>IF($P1995="","",$B1995/$P1995-1)</f>
        <v/>
      </c>
    </row>
    <row r="1996">
      <c r="A1996" s="11" t="n"/>
      <c r="B1996" s="29" t="n"/>
      <c r="K1996" s="30" t="str">
        <f>IF($A1996="","",EDATE($A1996,12*$E$4))</f>
        <v/>
      </c>
      <c r="L1996" s="19" t="str">
        <f>IF($K1996="","",IF($K1996&gt;MAX($A$8:$A$5007),"",IFERROR(MATCH($K1996,$A$8:$A$5007,1),"")))</f>
        <v/>
      </c>
      <c r="M1996" s="30" t="str">
        <f>IF($L1996="","",INDEX($A$8:$A$5007,$L1996))</f>
        <v/>
      </c>
      <c r="N1996" s="31" t="str">
        <f>IF($L1996="","",INDEX($B$8:$B$5007,$L1996))</f>
        <v/>
      </c>
      <c r="O1996" s="32" t="str">
        <f>IF($M1996="","",IF($K1996-$M1996&gt;7,"",IF($M1996&lt;=$A1996,"",IF(OR($B1996&lt;=0,$N1996&lt;=0),"",($N1996/$B1996)^(365/($M1996-$A1996))-1))))</f>
        <v/>
      </c>
      <c r="P1996" s="31" t="str">
        <f>IF($B1996="","",IF($P1995="",$B1996,MAX($P1995,$B1996)))</f>
        <v/>
      </c>
      <c r="Q1996" s="32" t="str">
        <f>IF($P1996="","",$B1996/$P1996-1)</f>
        <v/>
      </c>
    </row>
    <row r="1997">
      <c r="A1997" s="11" t="n"/>
      <c r="B1997" s="29" t="n"/>
      <c r="K1997" s="30" t="str">
        <f>IF($A1997="","",EDATE($A1997,12*$E$4))</f>
        <v/>
      </c>
      <c r="L1997" s="19" t="str">
        <f>IF($K1997="","",IF($K1997&gt;MAX($A$8:$A$5007),"",IFERROR(MATCH($K1997,$A$8:$A$5007,1),"")))</f>
        <v/>
      </c>
      <c r="M1997" s="30" t="str">
        <f>IF($L1997="","",INDEX($A$8:$A$5007,$L1997))</f>
        <v/>
      </c>
      <c r="N1997" s="31" t="str">
        <f>IF($L1997="","",INDEX($B$8:$B$5007,$L1997))</f>
        <v/>
      </c>
      <c r="O1997" s="32" t="str">
        <f>IF($M1997="","",IF($K1997-$M1997&gt;7,"",IF($M1997&lt;=$A1997,"",IF(OR($B1997&lt;=0,$N1997&lt;=0),"",($N1997/$B1997)^(365/($M1997-$A1997))-1))))</f>
        <v/>
      </c>
      <c r="P1997" s="31" t="str">
        <f>IF($B1997="","",IF($P1996="",$B1997,MAX($P1996,$B1997)))</f>
        <v/>
      </c>
      <c r="Q1997" s="32" t="str">
        <f>IF($P1997="","",$B1997/$P1997-1)</f>
        <v/>
      </c>
    </row>
    <row r="1998">
      <c r="A1998" s="11" t="n"/>
      <c r="B1998" s="29" t="n"/>
      <c r="K1998" s="30" t="str">
        <f>IF($A1998="","",EDATE($A1998,12*$E$4))</f>
        <v/>
      </c>
      <c r="L1998" s="19" t="str">
        <f>IF($K1998="","",IF($K1998&gt;MAX($A$8:$A$5007),"",IFERROR(MATCH($K1998,$A$8:$A$5007,1),"")))</f>
        <v/>
      </c>
      <c r="M1998" s="30" t="str">
        <f>IF($L1998="","",INDEX($A$8:$A$5007,$L1998))</f>
        <v/>
      </c>
      <c r="N1998" s="31" t="str">
        <f>IF($L1998="","",INDEX($B$8:$B$5007,$L1998))</f>
        <v/>
      </c>
      <c r="O1998" s="32" t="str">
        <f>IF($M1998="","",IF($K1998-$M1998&gt;7,"",IF($M1998&lt;=$A1998,"",IF(OR($B1998&lt;=0,$N1998&lt;=0),"",($N1998/$B1998)^(365/($M1998-$A1998))-1))))</f>
        <v/>
      </c>
      <c r="P1998" s="31" t="str">
        <f>IF($B1998="","",IF($P1997="",$B1998,MAX($P1997,$B1998)))</f>
        <v/>
      </c>
      <c r="Q1998" s="32" t="str">
        <f>IF($P1998="","",$B1998/$P1998-1)</f>
        <v/>
      </c>
    </row>
    <row r="1999">
      <c r="A1999" s="11" t="n"/>
      <c r="B1999" s="29" t="n"/>
      <c r="K1999" s="30" t="str">
        <f>IF($A1999="","",EDATE($A1999,12*$E$4))</f>
        <v/>
      </c>
      <c r="L1999" s="19" t="str">
        <f>IF($K1999="","",IF($K1999&gt;MAX($A$8:$A$5007),"",IFERROR(MATCH($K1999,$A$8:$A$5007,1),"")))</f>
        <v/>
      </c>
      <c r="M1999" s="30" t="str">
        <f>IF($L1999="","",INDEX($A$8:$A$5007,$L1999))</f>
        <v/>
      </c>
      <c r="N1999" s="31" t="str">
        <f>IF($L1999="","",INDEX($B$8:$B$5007,$L1999))</f>
        <v/>
      </c>
      <c r="O1999" s="32" t="str">
        <f>IF($M1999="","",IF($K1999-$M1999&gt;7,"",IF($M1999&lt;=$A1999,"",IF(OR($B1999&lt;=0,$N1999&lt;=0),"",($N1999/$B1999)^(365/($M1999-$A1999))-1))))</f>
        <v/>
      </c>
      <c r="P1999" s="31" t="str">
        <f>IF($B1999="","",IF($P1998="",$B1999,MAX($P1998,$B1999)))</f>
        <v/>
      </c>
      <c r="Q1999" s="32" t="str">
        <f>IF($P1999="","",$B1999/$P1999-1)</f>
        <v/>
      </c>
    </row>
    <row r="2000">
      <c r="A2000" s="11" t="n"/>
      <c r="B2000" s="29" t="n"/>
      <c r="K2000" s="30" t="str">
        <f>IF($A2000="","",EDATE($A2000,12*$E$4))</f>
        <v/>
      </c>
      <c r="L2000" s="19" t="str">
        <f>IF($K2000="","",IF($K2000&gt;MAX($A$8:$A$5007),"",IFERROR(MATCH($K2000,$A$8:$A$5007,1),"")))</f>
        <v/>
      </c>
      <c r="M2000" s="30" t="str">
        <f>IF($L2000="","",INDEX($A$8:$A$5007,$L2000))</f>
        <v/>
      </c>
      <c r="N2000" s="31" t="str">
        <f>IF($L2000="","",INDEX($B$8:$B$5007,$L2000))</f>
        <v/>
      </c>
      <c r="O2000" s="32" t="str">
        <f>IF($M2000="","",IF($K2000-$M2000&gt;7,"",IF($M2000&lt;=$A2000,"",IF(OR($B2000&lt;=0,$N2000&lt;=0),"",($N2000/$B2000)^(365/($M2000-$A2000))-1))))</f>
        <v/>
      </c>
      <c r="P2000" s="31" t="str">
        <f>IF($B2000="","",IF($P1999="",$B2000,MAX($P1999,$B2000)))</f>
        <v/>
      </c>
      <c r="Q2000" s="32" t="str">
        <f>IF($P2000="","",$B2000/$P2000-1)</f>
        <v/>
      </c>
    </row>
    <row r="2001">
      <c r="A2001" s="11" t="n"/>
      <c r="B2001" s="29" t="n"/>
      <c r="K2001" s="30" t="str">
        <f>IF($A2001="","",EDATE($A2001,12*$E$4))</f>
        <v/>
      </c>
      <c r="L2001" s="19" t="str">
        <f>IF($K2001="","",IF($K2001&gt;MAX($A$8:$A$5007),"",IFERROR(MATCH($K2001,$A$8:$A$5007,1),"")))</f>
        <v/>
      </c>
      <c r="M2001" s="30" t="str">
        <f>IF($L2001="","",INDEX($A$8:$A$5007,$L2001))</f>
        <v/>
      </c>
      <c r="N2001" s="31" t="str">
        <f>IF($L2001="","",INDEX($B$8:$B$5007,$L2001))</f>
        <v/>
      </c>
      <c r="O2001" s="32" t="str">
        <f>IF($M2001="","",IF($K2001-$M2001&gt;7,"",IF($M2001&lt;=$A2001,"",IF(OR($B2001&lt;=0,$N2001&lt;=0),"",($N2001/$B2001)^(365/($M2001-$A2001))-1))))</f>
        <v/>
      </c>
      <c r="P2001" s="31" t="str">
        <f>IF($B2001="","",IF($P2000="",$B2001,MAX($P2000,$B2001)))</f>
        <v/>
      </c>
      <c r="Q2001" s="32" t="str">
        <f>IF($P2001="","",$B2001/$P2001-1)</f>
        <v/>
      </c>
    </row>
    <row r="2002">
      <c r="A2002" s="11" t="n"/>
      <c r="B2002" s="29" t="n"/>
      <c r="K2002" s="30" t="str">
        <f>IF($A2002="","",EDATE($A2002,12*$E$4))</f>
        <v/>
      </c>
      <c r="L2002" s="19" t="str">
        <f>IF($K2002="","",IF($K2002&gt;MAX($A$8:$A$5007),"",IFERROR(MATCH($K2002,$A$8:$A$5007,1),"")))</f>
        <v/>
      </c>
      <c r="M2002" s="30" t="str">
        <f>IF($L2002="","",INDEX($A$8:$A$5007,$L2002))</f>
        <v/>
      </c>
      <c r="N2002" s="31" t="str">
        <f>IF($L2002="","",INDEX($B$8:$B$5007,$L2002))</f>
        <v/>
      </c>
      <c r="O2002" s="32" t="str">
        <f>IF($M2002="","",IF($K2002-$M2002&gt;7,"",IF($M2002&lt;=$A2002,"",IF(OR($B2002&lt;=0,$N2002&lt;=0),"",($N2002/$B2002)^(365/($M2002-$A2002))-1))))</f>
        <v/>
      </c>
      <c r="P2002" s="31" t="str">
        <f>IF($B2002="","",IF($P2001="",$B2002,MAX($P2001,$B2002)))</f>
        <v/>
      </c>
      <c r="Q2002" s="32" t="str">
        <f>IF($P2002="","",$B2002/$P2002-1)</f>
        <v/>
      </c>
    </row>
    <row r="2003">
      <c r="A2003" s="11" t="n"/>
      <c r="B2003" s="29" t="n"/>
      <c r="K2003" s="30" t="str">
        <f>IF($A2003="","",EDATE($A2003,12*$E$4))</f>
        <v/>
      </c>
      <c r="L2003" s="19" t="str">
        <f>IF($K2003="","",IF($K2003&gt;MAX($A$8:$A$5007),"",IFERROR(MATCH($K2003,$A$8:$A$5007,1),"")))</f>
        <v/>
      </c>
      <c r="M2003" s="30" t="str">
        <f>IF($L2003="","",INDEX($A$8:$A$5007,$L2003))</f>
        <v/>
      </c>
      <c r="N2003" s="31" t="str">
        <f>IF($L2003="","",INDEX($B$8:$B$5007,$L2003))</f>
        <v/>
      </c>
      <c r="O2003" s="32" t="str">
        <f>IF($M2003="","",IF($K2003-$M2003&gt;7,"",IF($M2003&lt;=$A2003,"",IF(OR($B2003&lt;=0,$N2003&lt;=0),"",($N2003/$B2003)^(365/($M2003-$A2003))-1))))</f>
        <v/>
      </c>
      <c r="P2003" s="31" t="str">
        <f>IF($B2003="","",IF($P2002="",$B2003,MAX($P2002,$B2003)))</f>
        <v/>
      </c>
      <c r="Q2003" s="32" t="str">
        <f>IF($P2003="","",$B2003/$P2003-1)</f>
        <v/>
      </c>
    </row>
    <row r="2004">
      <c r="A2004" s="11" t="n"/>
      <c r="B2004" s="29" t="n"/>
      <c r="K2004" s="30" t="str">
        <f>IF($A2004="","",EDATE($A2004,12*$E$4))</f>
        <v/>
      </c>
      <c r="L2004" s="19" t="str">
        <f>IF($K2004="","",IF($K2004&gt;MAX($A$8:$A$5007),"",IFERROR(MATCH($K2004,$A$8:$A$5007,1),"")))</f>
        <v/>
      </c>
      <c r="M2004" s="30" t="str">
        <f>IF($L2004="","",INDEX($A$8:$A$5007,$L2004))</f>
        <v/>
      </c>
      <c r="N2004" s="31" t="str">
        <f>IF($L2004="","",INDEX($B$8:$B$5007,$L2004))</f>
        <v/>
      </c>
      <c r="O2004" s="32" t="str">
        <f>IF($M2004="","",IF($K2004-$M2004&gt;7,"",IF($M2004&lt;=$A2004,"",IF(OR($B2004&lt;=0,$N2004&lt;=0),"",($N2004/$B2004)^(365/($M2004-$A2004))-1))))</f>
        <v/>
      </c>
      <c r="P2004" s="31" t="str">
        <f>IF($B2004="","",IF($P2003="",$B2004,MAX($P2003,$B2004)))</f>
        <v/>
      </c>
      <c r="Q2004" s="32" t="str">
        <f>IF($P2004="","",$B2004/$P2004-1)</f>
        <v/>
      </c>
    </row>
    <row r="2005">
      <c r="A2005" s="11" t="n"/>
      <c r="B2005" s="29" t="n"/>
      <c r="K2005" s="30" t="str">
        <f>IF($A2005="","",EDATE($A2005,12*$E$4))</f>
        <v/>
      </c>
      <c r="L2005" s="19" t="str">
        <f>IF($K2005="","",IF($K2005&gt;MAX($A$8:$A$5007),"",IFERROR(MATCH($K2005,$A$8:$A$5007,1),"")))</f>
        <v/>
      </c>
      <c r="M2005" s="30" t="str">
        <f>IF($L2005="","",INDEX($A$8:$A$5007,$L2005))</f>
        <v/>
      </c>
      <c r="N2005" s="31" t="str">
        <f>IF($L2005="","",INDEX($B$8:$B$5007,$L2005))</f>
        <v/>
      </c>
      <c r="O2005" s="32" t="str">
        <f>IF($M2005="","",IF($K2005-$M2005&gt;7,"",IF($M2005&lt;=$A2005,"",IF(OR($B2005&lt;=0,$N2005&lt;=0),"",($N2005/$B2005)^(365/($M2005-$A2005))-1))))</f>
        <v/>
      </c>
      <c r="P2005" s="31" t="str">
        <f>IF($B2005="","",IF($P2004="",$B2005,MAX($P2004,$B2005)))</f>
        <v/>
      </c>
      <c r="Q2005" s="32" t="str">
        <f>IF($P2005="","",$B2005/$P2005-1)</f>
        <v/>
      </c>
    </row>
    <row r="2006">
      <c r="A2006" s="11" t="n"/>
      <c r="B2006" s="29" t="n"/>
      <c r="K2006" s="30" t="str">
        <f>IF($A2006="","",EDATE($A2006,12*$E$4))</f>
        <v/>
      </c>
      <c r="L2006" s="19" t="str">
        <f>IF($K2006="","",IF($K2006&gt;MAX($A$8:$A$5007),"",IFERROR(MATCH($K2006,$A$8:$A$5007,1),"")))</f>
        <v/>
      </c>
      <c r="M2006" s="30" t="str">
        <f>IF($L2006="","",INDEX($A$8:$A$5007,$L2006))</f>
        <v/>
      </c>
      <c r="N2006" s="31" t="str">
        <f>IF($L2006="","",INDEX($B$8:$B$5007,$L2006))</f>
        <v/>
      </c>
      <c r="O2006" s="32" t="str">
        <f>IF($M2006="","",IF($K2006-$M2006&gt;7,"",IF($M2006&lt;=$A2006,"",IF(OR($B2006&lt;=0,$N2006&lt;=0),"",($N2006/$B2006)^(365/($M2006-$A2006))-1))))</f>
        <v/>
      </c>
      <c r="P2006" s="31" t="str">
        <f>IF($B2006="","",IF($P2005="",$B2006,MAX($P2005,$B2006)))</f>
        <v/>
      </c>
      <c r="Q2006" s="32" t="str">
        <f>IF($P2006="","",$B2006/$P2006-1)</f>
        <v/>
      </c>
    </row>
    <row r="2007">
      <c r="A2007" s="11" t="n"/>
      <c r="B2007" s="29" t="n"/>
      <c r="K2007" s="30" t="str">
        <f>IF($A2007="","",EDATE($A2007,12*$E$4))</f>
        <v/>
      </c>
      <c r="L2007" s="19" t="str">
        <f>IF($K2007="","",IF($K2007&gt;MAX($A$8:$A$5007),"",IFERROR(MATCH($K2007,$A$8:$A$5007,1),"")))</f>
        <v/>
      </c>
      <c r="M2007" s="30" t="str">
        <f>IF($L2007="","",INDEX($A$8:$A$5007,$L2007))</f>
        <v/>
      </c>
      <c r="N2007" s="31" t="str">
        <f>IF($L2007="","",INDEX($B$8:$B$5007,$L2007))</f>
        <v/>
      </c>
      <c r="O2007" s="32" t="str">
        <f>IF($M2007="","",IF($K2007-$M2007&gt;7,"",IF($M2007&lt;=$A2007,"",IF(OR($B2007&lt;=0,$N2007&lt;=0),"",($N2007/$B2007)^(365/($M2007-$A2007))-1))))</f>
        <v/>
      </c>
      <c r="P2007" s="31" t="str">
        <f>IF($B2007="","",IF($P2006="",$B2007,MAX($P2006,$B2007)))</f>
        <v/>
      </c>
      <c r="Q2007" s="32" t="str">
        <f>IF($P2007="","",$B2007/$P2007-1)</f>
        <v/>
      </c>
    </row>
    <row r="2008">
      <c r="A2008" s="11" t="n"/>
      <c r="B2008" s="29" t="n"/>
      <c r="K2008" s="30" t="str">
        <f>IF($A2008="","",EDATE($A2008,12*$E$4))</f>
        <v/>
      </c>
      <c r="L2008" s="19" t="str">
        <f>IF($K2008="","",IF($K2008&gt;MAX($A$8:$A$5007),"",IFERROR(MATCH($K2008,$A$8:$A$5007,1),"")))</f>
        <v/>
      </c>
      <c r="M2008" s="30" t="str">
        <f>IF($L2008="","",INDEX($A$8:$A$5007,$L2008))</f>
        <v/>
      </c>
      <c r="N2008" s="31" t="str">
        <f>IF($L2008="","",INDEX($B$8:$B$5007,$L2008))</f>
        <v/>
      </c>
      <c r="O2008" s="32" t="str">
        <f>IF($M2008="","",IF($K2008-$M2008&gt;7,"",IF($M2008&lt;=$A2008,"",IF(OR($B2008&lt;=0,$N2008&lt;=0),"",($N2008/$B2008)^(365/($M2008-$A2008))-1))))</f>
        <v/>
      </c>
      <c r="P2008" s="31" t="str">
        <f>IF($B2008="","",IF($P2007="",$B2008,MAX($P2007,$B2008)))</f>
        <v/>
      </c>
      <c r="Q2008" s="32" t="str">
        <f>IF($P2008="","",$B2008/$P2008-1)</f>
        <v/>
      </c>
    </row>
    <row r="2009">
      <c r="A2009" s="11" t="n"/>
      <c r="B2009" s="29" t="n"/>
      <c r="K2009" s="30" t="str">
        <f>IF($A2009="","",EDATE($A2009,12*$E$4))</f>
        <v/>
      </c>
      <c r="L2009" s="19" t="str">
        <f>IF($K2009="","",IF($K2009&gt;MAX($A$8:$A$5007),"",IFERROR(MATCH($K2009,$A$8:$A$5007,1),"")))</f>
        <v/>
      </c>
      <c r="M2009" s="30" t="str">
        <f>IF($L2009="","",INDEX($A$8:$A$5007,$L2009))</f>
        <v/>
      </c>
      <c r="N2009" s="31" t="str">
        <f>IF($L2009="","",INDEX($B$8:$B$5007,$L2009))</f>
        <v/>
      </c>
      <c r="O2009" s="32" t="str">
        <f>IF($M2009="","",IF($K2009-$M2009&gt;7,"",IF($M2009&lt;=$A2009,"",IF(OR($B2009&lt;=0,$N2009&lt;=0),"",($N2009/$B2009)^(365/($M2009-$A2009))-1))))</f>
        <v/>
      </c>
      <c r="P2009" s="31" t="str">
        <f>IF($B2009="","",IF($P2008="",$B2009,MAX($P2008,$B2009)))</f>
        <v/>
      </c>
      <c r="Q2009" s="32" t="str">
        <f>IF($P2009="","",$B2009/$P2009-1)</f>
        <v/>
      </c>
    </row>
    <row r="2010">
      <c r="A2010" s="11" t="n"/>
      <c r="B2010" s="29" t="n"/>
      <c r="K2010" s="30" t="str">
        <f>IF($A2010="","",EDATE($A2010,12*$E$4))</f>
        <v/>
      </c>
      <c r="L2010" s="19" t="str">
        <f>IF($K2010="","",IF($K2010&gt;MAX($A$8:$A$5007),"",IFERROR(MATCH($K2010,$A$8:$A$5007,1),"")))</f>
        <v/>
      </c>
      <c r="M2010" s="30" t="str">
        <f>IF($L2010="","",INDEX($A$8:$A$5007,$L2010))</f>
        <v/>
      </c>
      <c r="N2010" s="31" t="str">
        <f>IF($L2010="","",INDEX($B$8:$B$5007,$L2010))</f>
        <v/>
      </c>
      <c r="O2010" s="32" t="str">
        <f>IF($M2010="","",IF($K2010-$M2010&gt;7,"",IF($M2010&lt;=$A2010,"",IF(OR($B2010&lt;=0,$N2010&lt;=0),"",($N2010/$B2010)^(365/($M2010-$A2010))-1))))</f>
        <v/>
      </c>
      <c r="P2010" s="31" t="str">
        <f>IF($B2010="","",IF($P2009="",$B2010,MAX($P2009,$B2010)))</f>
        <v/>
      </c>
      <c r="Q2010" s="32" t="str">
        <f>IF($P2010="","",$B2010/$P2010-1)</f>
        <v/>
      </c>
    </row>
    <row r="2011">
      <c r="A2011" s="11" t="n"/>
      <c r="B2011" s="29" t="n"/>
      <c r="K2011" s="30" t="str">
        <f>IF($A2011="","",EDATE($A2011,12*$E$4))</f>
        <v/>
      </c>
      <c r="L2011" s="19" t="str">
        <f>IF($K2011="","",IF($K2011&gt;MAX($A$8:$A$5007),"",IFERROR(MATCH($K2011,$A$8:$A$5007,1),"")))</f>
        <v/>
      </c>
      <c r="M2011" s="30" t="str">
        <f>IF($L2011="","",INDEX($A$8:$A$5007,$L2011))</f>
        <v/>
      </c>
      <c r="N2011" s="31" t="str">
        <f>IF($L2011="","",INDEX($B$8:$B$5007,$L2011))</f>
        <v/>
      </c>
      <c r="O2011" s="32" t="str">
        <f>IF($M2011="","",IF($K2011-$M2011&gt;7,"",IF($M2011&lt;=$A2011,"",IF(OR($B2011&lt;=0,$N2011&lt;=0),"",($N2011/$B2011)^(365/($M2011-$A2011))-1))))</f>
        <v/>
      </c>
      <c r="P2011" s="31" t="str">
        <f>IF($B2011="","",IF($P2010="",$B2011,MAX($P2010,$B2011)))</f>
        <v/>
      </c>
      <c r="Q2011" s="32" t="str">
        <f>IF($P2011="","",$B2011/$P2011-1)</f>
        <v/>
      </c>
    </row>
    <row r="2012">
      <c r="A2012" s="11" t="n"/>
      <c r="B2012" s="29" t="n"/>
      <c r="K2012" s="30" t="str">
        <f>IF($A2012="","",EDATE($A2012,12*$E$4))</f>
        <v/>
      </c>
      <c r="L2012" s="19" t="str">
        <f>IF($K2012="","",IF($K2012&gt;MAX($A$8:$A$5007),"",IFERROR(MATCH($K2012,$A$8:$A$5007,1),"")))</f>
        <v/>
      </c>
      <c r="M2012" s="30" t="str">
        <f>IF($L2012="","",INDEX($A$8:$A$5007,$L2012))</f>
        <v/>
      </c>
      <c r="N2012" s="31" t="str">
        <f>IF($L2012="","",INDEX($B$8:$B$5007,$L2012))</f>
        <v/>
      </c>
      <c r="O2012" s="32" t="str">
        <f>IF($M2012="","",IF($K2012-$M2012&gt;7,"",IF($M2012&lt;=$A2012,"",IF(OR($B2012&lt;=0,$N2012&lt;=0),"",($N2012/$B2012)^(365/($M2012-$A2012))-1))))</f>
        <v/>
      </c>
      <c r="P2012" s="31" t="str">
        <f>IF($B2012="","",IF($P2011="",$B2012,MAX($P2011,$B2012)))</f>
        <v/>
      </c>
      <c r="Q2012" s="32" t="str">
        <f>IF($P2012="","",$B2012/$P2012-1)</f>
        <v/>
      </c>
    </row>
    <row r="2013">
      <c r="A2013" s="11" t="n"/>
      <c r="B2013" s="29" t="n"/>
      <c r="K2013" s="30" t="str">
        <f>IF($A2013="","",EDATE($A2013,12*$E$4))</f>
        <v/>
      </c>
      <c r="L2013" s="19" t="str">
        <f>IF($K2013="","",IF($K2013&gt;MAX($A$8:$A$5007),"",IFERROR(MATCH($K2013,$A$8:$A$5007,1),"")))</f>
        <v/>
      </c>
      <c r="M2013" s="30" t="str">
        <f>IF($L2013="","",INDEX($A$8:$A$5007,$L2013))</f>
        <v/>
      </c>
      <c r="N2013" s="31" t="str">
        <f>IF($L2013="","",INDEX($B$8:$B$5007,$L2013))</f>
        <v/>
      </c>
      <c r="O2013" s="32" t="str">
        <f>IF($M2013="","",IF($K2013-$M2013&gt;7,"",IF($M2013&lt;=$A2013,"",IF(OR($B2013&lt;=0,$N2013&lt;=0),"",($N2013/$B2013)^(365/($M2013-$A2013))-1))))</f>
        <v/>
      </c>
      <c r="P2013" s="31" t="str">
        <f>IF($B2013="","",IF($P2012="",$B2013,MAX($P2012,$B2013)))</f>
        <v/>
      </c>
      <c r="Q2013" s="32" t="str">
        <f>IF($P2013="","",$B2013/$P2013-1)</f>
        <v/>
      </c>
    </row>
    <row r="2014">
      <c r="A2014" s="11" t="n"/>
      <c r="B2014" s="29" t="n"/>
      <c r="K2014" s="30" t="str">
        <f>IF($A2014="","",EDATE($A2014,12*$E$4))</f>
        <v/>
      </c>
      <c r="L2014" s="19" t="str">
        <f>IF($K2014="","",IF($K2014&gt;MAX($A$8:$A$5007),"",IFERROR(MATCH($K2014,$A$8:$A$5007,1),"")))</f>
        <v/>
      </c>
      <c r="M2014" s="30" t="str">
        <f>IF($L2014="","",INDEX($A$8:$A$5007,$L2014))</f>
        <v/>
      </c>
      <c r="N2014" s="31" t="str">
        <f>IF($L2014="","",INDEX($B$8:$B$5007,$L2014))</f>
        <v/>
      </c>
      <c r="O2014" s="32" t="str">
        <f>IF($M2014="","",IF($K2014-$M2014&gt;7,"",IF($M2014&lt;=$A2014,"",IF(OR($B2014&lt;=0,$N2014&lt;=0),"",($N2014/$B2014)^(365/($M2014-$A2014))-1))))</f>
        <v/>
      </c>
      <c r="P2014" s="31" t="str">
        <f>IF($B2014="","",IF($P2013="",$B2014,MAX($P2013,$B2014)))</f>
        <v/>
      </c>
      <c r="Q2014" s="32" t="str">
        <f>IF($P2014="","",$B2014/$P2014-1)</f>
        <v/>
      </c>
    </row>
    <row r="2015">
      <c r="A2015" s="11" t="n"/>
      <c r="B2015" s="29" t="n"/>
      <c r="K2015" s="30" t="str">
        <f>IF($A2015="","",EDATE($A2015,12*$E$4))</f>
        <v/>
      </c>
      <c r="L2015" s="19" t="str">
        <f>IF($K2015="","",IF($K2015&gt;MAX($A$8:$A$5007),"",IFERROR(MATCH($K2015,$A$8:$A$5007,1),"")))</f>
        <v/>
      </c>
      <c r="M2015" s="30" t="str">
        <f>IF($L2015="","",INDEX($A$8:$A$5007,$L2015))</f>
        <v/>
      </c>
      <c r="N2015" s="31" t="str">
        <f>IF($L2015="","",INDEX($B$8:$B$5007,$L2015))</f>
        <v/>
      </c>
      <c r="O2015" s="32" t="str">
        <f>IF($M2015="","",IF($K2015-$M2015&gt;7,"",IF($M2015&lt;=$A2015,"",IF(OR($B2015&lt;=0,$N2015&lt;=0),"",($N2015/$B2015)^(365/($M2015-$A2015))-1))))</f>
        <v/>
      </c>
      <c r="P2015" s="31" t="str">
        <f>IF($B2015="","",IF($P2014="",$B2015,MAX($P2014,$B2015)))</f>
        <v/>
      </c>
      <c r="Q2015" s="32" t="str">
        <f>IF($P2015="","",$B2015/$P2015-1)</f>
        <v/>
      </c>
    </row>
    <row r="2016">
      <c r="A2016" s="11" t="n"/>
      <c r="B2016" s="29" t="n"/>
      <c r="K2016" s="30" t="str">
        <f>IF($A2016="","",EDATE($A2016,12*$E$4))</f>
        <v/>
      </c>
      <c r="L2016" s="19" t="str">
        <f>IF($K2016="","",IF($K2016&gt;MAX($A$8:$A$5007),"",IFERROR(MATCH($K2016,$A$8:$A$5007,1),"")))</f>
        <v/>
      </c>
      <c r="M2016" s="30" t="str">
        <f>IF($L2016="","",INDEX($A$8:$A$5007,$L2016))</f>
        <v/>
      </c>
      <c r="N2016" s="31" t="str">
        <f>IF($L2016="","",INDEX($B$8:$B$5007,$L2016))</f>
        <v/>
      </c>
      <c r="O2016" s="32" t="str">
        <f>IF($M2016="","",IF($K2016-$M2016&gt;7,"",IF($M2016&lt;=$A2016,"",IF(OR($B2016&lt;=0,$N2016&lt;=0),"",($N2016/$B2016)^(365/($M2016-$A2016))-1))))</f>
        <v/>
      </c>
      <c r="P2016" s="31" t="str">
        <f>IF($B2016="","",IF($P2015="",$B2016,MAX($P2015,$B2016)))</f>
        <v/>
      </c>
      <c r="Q2016" s="32" t="str">
        <f>IF($P2016="","",$B2016/$P2016-1)</f>
        <v/>
      </c>
    </row>
    <row r="2017">
      <c r="A2017" s="11" t="n"/>
      <c r="B2017" s="29" t="n"/>
      <c r="K2017" s="30" t="str">
        <f>IF($A2017="","",EDATE($A2017,12*$E$4))</f>
        <v/>
      </c>
      <c r="L2017" s="19" t="str">
        <f>IF($K2017="","",IF($K2017&gt;MAX($A$8:$A$5007),"",IFERROR(MATCH($K2017,$A$8:$A$5007,1),"")))</f>
        <v/>
      </c>
      <c r="M2017" s="30" t="str">
        <f>IF($L2017="","",INDEX($A$8:$A$5007,$L2017))</f>
        <v/>
      </c>
      <c r="N2017" s="31" t="str">
        <f>IF($L2017="","",INDEX($B$8:$B$5007,$L2017))</f>
        <v/>
      </c>
      <c r="O2017" s="32" t="str">
        <f>IF($M2017="","",IF($K2017-$M2017&gt;7,"",IF($M2017&lt;=$A2017,"",IF(OR($B2017&lt;=0,$N2017&lt;=0),"",($N2017/$B2017)^(365/($M2017-$A2017))-1))))</f>
        <v/>
      </c>
      <c r="P2017" s="31" t="str">
        <f>IF($B2017="","",IF($P2016="",$B2017,MAX($P2016,$B2017)))</f>
        <v/>
      </c>
      <c r="Q2017" s="32" t="str">
        <f>IF($P2017="","",$B2017/$P2017-1)</f>
        <v/>
      </c>
    </row>
    <row r="2018">
      <c r="A2018" s="11" t="n"/>
      <c r="B2018" s="29" t="n"/>
      <c r="K2018" s="30" t="str">
        <f>IF($A2018="","",EDATE($A2018,12*$E$4))</f>
        <v/>
      </c>
      <c r="L2018" s="19" t="str">
        <f>IF($K2018="","",IF($K2018&gt;MAX($A$8:$A$5007),"",IFERROR(MATCH($K2018,$A$8:$A$5007,1),"")))</f>
        <v/>
      </c>
      <c r="M2018" s="30" t="str">
        <f>IF($L2018="","",INDEX($A$8:$A$5007,$L2018))</f>
        <v/>
      </c>
      <c r="N2018" s="31" t="str">
        <f>IF($L2018="","",INDEX($B$8:$B$5007,$L2018))</f>
        <v/>
      </c>
      <c r="O2018" s="32" t="str">
        <f>IF($M2018="","",IF($K2018-$M2018&gt;7,"",IF($M2018&lt;=$A2018,"",IF(OR($B2018&lt;=0,$N2018&lt;=0),"",($N2018/$B2018)^(365/($M2018-$A2018))-1))))</f>
        <v/>
      </c>
      <c r="P2018" s="31" t="str">
        <f>IF($B2018="","",IF($P2017="",$B2018,MAX($P2017,$B2018)))</f>
        <v/>
      </c>
      <c r="Q2018" s="32" t="str">
        <f>IF($P2018="","",$B2018/$P2018-1)</f>
        <v/>
      </c>
    </row>
    <row r="2019">
      <c r="A2019" s="11" t="n"/>
      <c r="B2019" s="29" t="n"/>
      <c r="K2019" s="30" t="str">
        <f>IF($A2019="","",EDATE($A2019,12*$E$4))</f>
        <v/>
      </c>
      <c r="L2019" s="19" t="str">
        <f>IF($K2019="","",IF($K2019&gt;MAX($A$8:$A$5007),"",IFERROR(MATCH($K2019,$A$8:$A$5007,1),"")))</f>
        <v/>
      </c>
      <c r="M2019" s="30" t="str">
        <f>IF($L2019="","",INDEX($A$8:$A$5007,$L2019))</f>
        <v/>
      </c>
      <c r="N2019" s="31" t="str">
        <f>IF($L2019="","",INDEX($B$8:$B$5007,$L2019))</f>
        <v/>
      </c>
      <c r="O2019" s="32" t="str">
        <f>IF($M2019="","",IF($K2019-$M2019&gt;7,"",IF($M2019&lt;=$A2019,"",IF(OR($B2019&lt;=0,$N2019&lt;=0),"",($N2019/$B2019)^(365/($M2019-$A2019))-1))))</f>
        <v/>
      </c>
      <c r="P2019" s="31" t="str">
        <f>IF($B2019="","",IF($P2018="",$B2019,MAX($P2018,$B2019)))</f>
        <v/>
      </c>
      <c r="Q2019" s="32" t="str">
        <f>IF($P2019="","",$B2019/$P2019-1)</f>
        <v/>
      </c>
    </row>
    <row r="2020">
      <c r="A2020" s="11" t="n"/>
      <c r="B2020" s="29" t="n"/>
      <c r="K2020" s="30" t="str">
        <f>IF($A2020="","",EDATE($A2020,12*$E$4))</f>
        <v/>
      </c>
      <c r="L2020" s="19" t="str">
        <f>IF($K2020="","",IF($K2020&gt;MAX($A$8:$A$5007),"",IFERROR(MATCH($K2020,$A$8:$A$5007,1),"")))</f>
        <v/>
      </c>
      <c r="M2020" s="30" t="str">
        <f>IF($L2020="","",INDEX($A$8:$A$5007,$L2020))</f>
        <v/>
      </c>
      <c r="N2020" s="31" t="str">
        <f>IF($L2020="","",INDEX($B$8:$B$5007,$L2020))</f>
        <v/>
      </c>
      <c r="O2020" s="32" t="str">
        <f>IF($M2020="","",IF($K2020-$M2020&gt;7,"",IF($M2020&lt;=$A2020,"",IF(OR($B2020&lt;=0,$N2020&lt;=0),"",($N2020/$B2020)^(365/($M2020-$A2020))-1))))</f>
        <v/>
      </c>
      <c r="P2020" s="31" t="str">
        <f>IF($B2020="","",IF($P2019="",$B2020,MAX($P2019,$B2020)))</f>
        <v/>
      </c>
      <c r="Q2020" s="32" t="str">
        <f>IF($P2020="","",$B2020/$P2020-1)</f>
        <v/>
      </c>
    </row>
    <row r="2021">
      <c r="A2021" s="11" t="n"/>
      <c r="B2021" s="29" t="n"/>
      <c r="K2021" s="30" t="str">
        <f>IF($A2021="","",EDATE($A2021,12*$E$4))</f>
        <v/>
      </c>
      <c r="L2021" s="19" t="str">
        <f>IF($K2021="","",IF($K2021&gt;MAX($A$8:$A$5007),"",IFERROR(MATCH($K2021,$A$8:$A$5007,1),"")))</f>
        <v/>
      </c>
      <c r="M2021" s="30" t="str">
        <f>IF($L2021="","",INDEX($A$8:$A$5007,$L2021))</f>
        <v/>
      </c>
      <c r="N2021" s="31" t="str">
        <f>IF($L2021="","",INDEX($B$8:$B$5007,$L2021))</f>
        <v/>
      </c>
      <c r="O2021" s="32" t="str">
        <f>IF($M2021="","",IF($K2021-$M2021&gt;7,"",IF($M2021&lt;=$A2021,"",IF(OR($B2021&lt;=0,$N2021&lt;=0),"",($N2021/$B2021)^(365/($M2021-$A2021))-1))))</f>
        <v/>
      </c>
      <c r="P2021" s="31" t="str">
        <f>IF($B2021="","",IF($P2020="",$B2021,MAX($P2020,$B2021)))</f>
        <v/>
      </c>
      <c r="Q2021" s="32" t="str">
        <f>IF($P2021="","",$B2021/$P2021-1)</f>
        <v/>
      </c>
    </row>
    <row r="2022">
      <c r="A2022" s="11" t="n"/>
      <c r="B2022" s="29" t="n"/>
      <c r="K2022" s="30" t="str">
        <f>IF($A2022="","",EDATE($A2022,12*$E$4))</f>
        <v/>
      </c>
      <c r="L2022" s="19" t="str">
        <f>IF($K2022="","",IF($K2022&gt;MAX($A$8:$A$5007),"",IFERROR(MATCH($K2022,$A$8:$A$5007,1),"")))</f>
        <v/>
      </c>
      <c r="M2022" s="30" t="str">
        <f>IF($L2022="","",INDEX($A$8:$A$5007,$L2022))</f>
        <v/>
      </c>
      <c r="N2022" s="31" t="str">
        <f>IF($L2022="","",INDEX($B$8:$B$5007,$L2022))</f>
        <v/>
      </c>
      <c r="O2022" s="32" t="str">
        <f>IF($M2022="","",IF($K2022-$M2022&gt;7,"",IF($M2022&lt;=$A2022,"",IF(OR($B2022&lt;=0,$N2022&lt;=0),"",($N2022/$B2022)^(365/($M2022-$A2022))-1))))</f>
        <v/>
      </c>
      <c r="P2022" s="31" t="str">
        <f>IF($B2022="","",IF($P2021="",$B2022,MAX($P2021,$B2022)))</f>
        <v/>
      </c>
      <c r="Q2022" s="32" t="str">
        <f>IF($P2022="","",$B2022/$P2022-1)</f>
        <v/>
      </c>
    </row>
    <row r="2023">
      <c r="A2023" s="11" t="n"/>
      <c r="B2023" s="29" t="n"/>
      <c r="K2023" s="30" t="str">
        <f>IF($A2023="","",EDATE($A2023,12*$E$4))</f>
        <v/>
      </c>
      <c r="L2023" s="19" t="str">
        <f>IF($K2023="","",IF($K2023&gt;MAX($A$8:$A$5007),"",IFERROR(MATCH($K2023,$A$8:$A$5007,1),"")))</f>
        <v/>
      </c>
      <c r="M2023" s="30" t="str">
        <f>IF($L2023="","",INDEX($A$8:$A$5007,$L2023))</f>
        <v/>
      </c>
      <c r="N2023" s="31" t="str">
        <f>IF($L2023="","",INDEX($B$8:$B$5007,$L2023))</f>
        <v/>
      </c>
      <c r="O2023" s="32" t="str">
        <f>IF($M2023="","",IF($K2023-$M2023&gt;7,"",IF($M2023&lt;=$A2023,"",IF(OR($B2023&lt;=0,$N2023&lt;=0),"",($N2023/$B2023)^(365/($M2023-$A2023))-1))))</f>
        <v/>
      </c>
      <c r="P2023" s="31" t="str">
        <f>IF($B2023="","",IF($P2022="",$B2023,MAX($P2022,$B2023)))</f>
        <v/>
      </c>
      <c r="Q2023" s="32" t="str">
        <f>IF($P2023="","",$B2023/$P2023-1)</f>
        <v/>
      </c>
    </row>
    <row r="2024">
      <c r="A2024" s="11" t="n"/>
      <c r="B2024" s="29" t="n"/>
      <c r="K2024" s="30" t="str">
        <f>IF($A2024="","",EDATE($A2024,12*$E$4))</f>
        <v/>
      </c>
      <c r="L2024" s="19" t="str">
        <f>IF($K2024="","",IF($K2024&gt;MAX($A$8:$A$5007),"",IFERROR(MATCH($K2024,$A$8:$A$5007,1),"")))</f>
        <v/>
      </c>
      <c r="M2024" s="30" t="str">
        <f>IF($L2024="","",INDEX($A$8:$A$5007,$L2024))</f>
        <v/>
      </c>
      <c r="N2024" s="31" t="str">
        <f>IF($L2024="","",INDEX($B$8:$B$5007,$L2024))</f>
        <v/>
      </c>
      <c r="O2024" s="32" t="str">
        <f>IF($M2024="","",IF($K2024-$M2024&gt;7,"",IF($M2024&lt;=$A2024,"",IF(OR($B2024&lt;=0,$N2024&lt;=0),"",($N2024/$B2024)^(365/($M2024-$A2024))-1))))</f>
        <v/>
      </c>
      <c r="P2024" s="31" t="str">
        <f>IF($B2024="","",IF($P2023="",$B2024,MAX($P2023,$B2024)))</f>
        <v/>
      </c>
      <c r="Q2024" s="32" t="str">
        <f>IF($P2024="","",$B2024/$P2024-1)</f>
        <v/>
      </c>
    </row>
    <row r="2025">
      <c r="A2025" s="11" t="n"/>
      <c r="B2025" s="29" t="n"/>
      <c r="K2025" s="30" t="str">
        <f>IF($A2025="","",EDATE($A2025,12*$E$4))</f>
        <v/>
      </c>
      <c r="L2025" s="19" t="str">
        <f>IF($K2025="","",IF($K2025&gt;MAX($A$8:$A$5007),"",IFERROR(MATCH($K2025,$A$8:$A$5007,1),"")))</f>
        <v/>
      </c>
      <c r="M2025" s="30" t="str">
        <f>IF($L2025="","",INDEX($A$8:$A$5007,$L2025))</f>
        <v/>
      </c>
      <c r="N2025" s="31" t="str">
        <f>IF($L2025="","",INDEX($B$8:$B$5007,$L2025))</f>
        <v/>
      </c>
      <c r="O2025" s="32" t="str">
        <f>IF($M2025="","",IF($K2025-$M2025&gt;7,"",IF($M2025&lt;=$A2025,"",IF(OR($B2025&lt;=0,$N2025&lt;=0),"",($N2025/$B2025)^(365/($M2025-$A2025))-1))))</f>
        <v/>
      </c>
      <c r="P2025" s="31" t="str">
        <f>IF($B2025="","",IF($P2024="",$B2025,MAX($P2024,$B2025)))</f>
        <v/>
      </c>
      <c r="Q2025" s="32" t="str">
        <f>IF($P2025="","",$B2025/$P2025-1)</f>
        <v/>
      </c>
    </row>
    <row r="2026">
      <c r="A2026" s="11" t="n"/>
      <c r="B2026" s="29" t="n"/>
      <c r="K2026" s="30" t="str">
        <f>IF($A2026="","",EDATE($A2026,12*$E$4))</f>
        <v/>
      </c>
      <c r="L2026" s="19" t="str">
        <f>IF($K2026="","",IF($K2026&gt;MAX($A$8:$A$5007),"",IFERROR(MATCH($K2026,$A$8:$A$5007,1),"")))</f>
        <v/>
      </c>
      <c r="M2026" s="30" t="str">
        <f>IF($L2026="","",INDEX($A$8:$A$5007,$L2026))</f>
        <v/>
      </c>
      <c r="N2026" s="31" t="str">
        <f>IF($L2026="","",INDEX($B$8:$B$5007,$L2026))</f>
        <v/>
      </c>
      <c r="O2026" s="32" t="str">
        <f>IF($M2026="","",IF($K2026-$M2026&gt;7,"",IF($M2026&lt;=$A2026,"",IF(OR($B2026&lt;=0,$N2026&lt;=0),"",($N2026/$B2026)^(365/($M2026-$A2026))-1))))</f>
        <v/>
      </c>
      <c r="P2026" s="31" t="str">
        <f>IF($B2026="","",IF($P2025="",$B2026,MAX($P2025,$B2026)))</f>
        <v/>
      </c>
      <c r="Q2026" s="32" t="str">
        <f>IF($P2026="","",$B2026/$P2026-1)</f>
        <v/>
      </c>
    </row>
    <row r="2027">
      <c r="A2027" s="11" t="n"/>
      <c r="B2027" s="29" t="n"/>
      <c r="K2027" s="30" t="str">
        <f>IF($A2027="","",EDATE($A2027,12*$E$4))</f>
        <v/>
      </c>
      <c r="L2027" s="19" t="str">
        <f>IF($K2027="","",IF($K2027&gt;MAX($A$8:$A$5007),"",IFERROR(MATCH($K2027,$A$8:$A$5007,1),"")))</f>
        <v/>
      </c>
      <c r="M2027" s="30" t="str">
        <f>IF($L2027="","",INDEX($A$8:$A$5007,$L2027))</f>
        <v/>
      </c>
      <c r="N2027" s="31" t="str">
        <f>IF($L2027="","",INDEX($B$8:$B$5007,$L2027))</f>
        <v/>
      </c>
      <c r="O2027" s="32" t="str">
        <f>IF($M2027="","",IF($K2027-$M2027&gt;7,"",IF($M2027&lt;=$A2027,"",IF(OR($B2027&lt;=0,$N2027&lt;=0),"",($N2027/$B2027)^(365/($M2027-$A2027))-1))))</f>
        <v/>
      </c>
      <c r="P2027" s="31" t="str">
        <f>IF($B2027="","",IF($P2026="",$B2027,MAX($P2026,$B2027)))</f>
        <v/>
      </c>
      <c r="Q2027" s="32" t="str">
        <f>IF($P2027="","",$B2027/$P2027-1)</f>
        <v/>
      </c>
    </row>
    <row r="2028">
      <c r="A2028" s="11" t="n"/>
      <c r="B2028" s="29" t="n"/>
      <c r="K2028" s="30" t="str">
        <f>IF($A2028="","",EDATE($A2028,12*$E$4))</f>
        <v/>
      </c>
      <c r="L2028" s="19" t="str">
        <f>IF($K2028="","",IF($K2028&gt;MAX($A$8:$A$5007),"",IFERROR(MATCH($K2028,$A$8:$A$5007,1),"")))</f>
        <v/>
      </c>
      <c r="M2028" s="30" t="str">
        <f>IF($L2028="","",INDEX($A$8:$A$5007,$L2028))</f>
        <v/>
      </c>
      <c r="N2028" s="31" t="str">
        <f>IF($L2028="","",INDEX($B$8:$B$5007,$L2028))</f>
        <v/>
      </c>
      <c r="O2028" s="32" t="str">
        <f>IF($M2028="","",IF($K2028-$M2028&gt;7,"",IF($M2028&lt;=$A2028,"",IF(OR($B2028&lt;=0,$N2028&lt;=0),"",($N2028/$B2028)^(365/($M2028-$A2028))-1))))</f>
        <v/>
      </c>
      <c r="P2028" s="31" t="str">
        <f>IF($B2028="","",IF($P2027="",$B2028,MAX($P2027,$B2028)))</f>
        <v/>
      </c>
      <c r="Q2028" s="32" t="str">
        <f>IF($P2028="","",$B2028/$P2028-1)</f>
        <v/>
      </c>
    </row>
    <row r="2029">
      <c r="A2029" s="11" t="n"/>
      <c r="B2029" s="29" t="n"/>
      <c r="K2029" s="30" t="str">
        <f>IF($A2029="","",EDATE($A2029,12*$E$4))</f>
        <v/>
      </c>
      <c r="L2029" s="19" t="str">
        <f>IF($K2029="","",IF($K2029&gt;MAX($A$8:$A$5007),"",IFERROR(MATCH($K2029,$A$8:$A$5007,1),"")))</f>
        <v/>
      </c>
      <c r="M2029" s="30" t="str">
        <f>IF($L2029="","",INDEX($A$8:$A$5007,$L2029))</f>
        <v/>
      </c>
      <c r="N2029" s="31" t="str">
        <f>IF($L2029="","",INDEX($B$8:$B$5007,$L2029))</f>
        <v/>
      </c>
      <c r="O2029" s="32" t="str">
        <f>IF($M2029="","",IF($K2029-$M2029&gt;7,"",IF($M2029&lt;=$A2029,"",IF(OR($B2029&lt;=0,$N2029&lt;=0),"",($N2029/$B2029)^(365/($M2029-$A2029))-1))))</f>
        <v/>
      </c>
      <c r="P2029" s="31" t="str">
        <f>IF($B2029="","",IF($P2028="",$B2029,MAX($P2028,$B2029)))</f>
        <v/>
      </c>
      <c r="Q2029" s="32" t="str">
        <f>IF($P2029="","",$B2029/$P2029-1)</f>
        <v/>
      </c>
    </row>
    <row r="2030">
      <c r="A2030" s="11" t="n"/>
      <c r="B2030" s="29" t="n"/>
      <c r="K2030" s="30" t="str">
        <f>IF($A2030="","",EDATE($A2030,12*$E$4))</f>
        <v/>
      </c>
      <c r="L2030" s="19" t="str">
        <f>IF($K2030="","",IF($K2030&gt;MAX($A$8:$A$5007),"",IFERROR(MATCH($K2030,$A$8:$A$5007,1),"")))</f>
        <v/>
      </c>
      <c r="M2030" s="30" t="str">
        <f>IF($L2030="","",INDEX($A$8:$A$5007,$L2030))</f>
        <v/>
      </c>
      <c r="N2030" s="31" t="str">
        <f>IF($L2030="","",INDEX($B$8:$B$5007,$L2030))</f>
        <v/>
      </c>
      <c r="O2030" s="32" t="str">
        <f>IF($M2030="","",IF($K2030-$M2030&gt;7,"",IF($M2030&lt;=$A2030,"",IF(OR($B2030&lt;=0,$N2030&lt;=0),"",($N2030/$B2030)^(365/($M2030-$A2030))-1))))</f>
        <v/>
      </c>
      <c r="P2030" s="31" t="str">
        <f>IF($B2030="","",IF($P2029="",$B2030,MAX($P2029,$B2030)))</f>
        <v/>
      </c>
      <c r="Q2030" s="32" t="str">
        <f>IF($P2030="","",$B2030/$P2030-1)</f>
        <v/>
      </c>
    </row>
    <row r="2031">
      <c r="A2031" s="11" t="n"/>
      <c r="B2031" s="29" t="n"/>
      <c r="K2031" s="30" t="str">
        <f>IF($A2031="","",EDATE($A2031,12*$E$4))</f>
        <v/>
      </c>
      <c r="L2031" s="19" t="str">
        <f>IF($K2031="","",IF($K2031&gt;MAX($A$8:$A$5007),"",IFERROR(MATCH($K2031,$A$8:$A$5007,1),"")))</f>
        <v/>
      </c>
      <c r="M2031" s="30" t="str">
        <f>IF($L2031="","",INDEX($A$8:$A$5007,$L2031))</f>
        <v/>
      </c>
      <c r="N2031" s="31" t="str">
        <f>IF($L2031="","",INDEX($B$8:$B$5007,$L2031))</f>
        <v/>
      </c>
      <c r="O2031" s="32" t="str">
        <f>IF($M2031="","",IF($K2031-$M2031&gt;7,"",IF($M2031&lt;=$A2031,"",IF(OR($B2031&lt;=0,$N2031&lt;=0),"",($N2031/$B2031)^(365/($M2031-$A2031))-1))))</f>
        <v/>
      </c>
      <c r="P2031" s="31" t="str">
        <f>IF($B2031="","",IF($P2030="",$B2031,MAX($P2030,$B2031)))</f>
        <v/>
      </c>
      <c r="Q2031" s="32" t="str">
        <f>IF($P2031="","",$B2031/$P2031-1)</f>
        <v/>
      </c>
    </row>
    <row r="2032">
      <c r="A2032" s="11" t="n"/>
      <c r="B2032" s="29" t="n"/>
      <c r="K2032" s="30" t="str">
        <f>IF($A2032="","",EDATE($A2032,12*$E$4))</f>
        <v/>
      </c>
      <c r="L2032" s="19" t="str">
        <f>IF($K2032="","",IF($K2032&gt;MAX($A$8:$A$5007),"",IFERROR(MATCH($K2032,$A$8:$A$5007,1),"")))</f>
        <v/>
      </c>
      <c r="M2032" s="30" t="str">
        <f>IF($L2032="","",INDEX($A$8:$A$5007,$L2032))</f>
        <v/>
      </c>
      <c r="N2032" s="31" t="str">
        <f>IF($L2032="","",INDEX($B$8:$B$5007,$L2032))</f>
        <v/>
      </c>
      <c r="O2032" s="32" t="str">
        <f>IF($M2032="","",IF($K2032-$M2032&gt;7,"",IF($M2032&lt;=$A2032,"",IF(OR($B2032&lt;=0,$N2032&lt;=0),"",($N2032/$B2032)^(365/($M2032-$A2032))-1))))</f>
        <v/>
      </c>
      <c r="P2032" s="31" t="str">
        <f>IF($B2032="","",IF($P2031="",$B2032,MAX($P2031,$B2032)))</f>
        <v/>
      </c>
      <c r="Q2032" s="32" t="str">
        <f>IF($P2032="","",$B2032/$P2032-1)</f>
        <v/>
      </c>
    </row>
    <row r="2033">
      <c r="A2033" s="11" t="n"/>
      <c r="B2033" s="29" t="n"/>
      <c r="K2033" s="30" t="str">
        <f>IF($A2033="","",EDATE($A2033,12*$E$4))</f>
        <v/>
      </c>
      <c r="L2033" s="19" t="str">
        <f>IF($K2033="","",IF($K2033&gt;MAX($A$8:$A$5007),"",IFERROR(MATCH($K2033,$A$8:$A$5007,1),"")))</f>
        <v/>
      </c>
      <c r="M2033" s="30" t="str">
        <f>IF($L2033="","",INDEX($A$8:$A$5007,$L2033))</f>
        <v/>
      </c>
      <c r="N2033" s="31" t="str">
        <f>IF($L2033="","",INDEX($B$8:$B$5007,$L2033))</f>
        <v/>
      </c>
      <c r="O2033" s="32" t="str">
        <f>IF($M2033="","",IF($K2033-$M2033&gt;7,"",IF($M2033&lt;=$A2033,"",IF(OR($B2033&lt;=0,$N2033&lt;=0),"",($N2033/$B2033)^(365/($M2033-$A2033))-1))))</f>
        <v/>
      </c>
      <c r="P2033" s="31" t="str">
        <f>IF($B2033="","",IF($P2032="",$B2033,MAX($P2032,$B2033)))</f>
        <v/>
      </c>
      <c r="Q2033" s="32" t="str">
        <f>IF($P2033="","",$B2033/$P2033-1)</f>
        <v/>
      </c>
    </row>
    <row r="2034">
      <c r="A2034" s="11" t="n"/>
      <c r="B2034" s="29" t="n"/>
      <c r="K2034" s="30" t="str">
        <f>IF($A2034="","",EDATE($A2034,12*$E$4))</f>
        <v/>
      </c>
      <c r="L2034" s="19" t="str">
        <f>IF($K2034="","",IF($K2034&gt;MAX($A$8:$A$5007),"",IFERROR(MATCH($K2034,$A$8:$A$5007,1),"")))</f>
        <v/>
      </c>
      <c r="M2034" s="30" t="str">
        <f>IF($L2034="","",INDEX($A$8:$A$5007,$L2034))</f>
        <v/>
      </c>
      <c r="N2034" s="31" t="str">
        <f>IF($L2034="","",INDEX($B$8:$B$5007,$L2034))</f>
        <v/>
      </c>
      <c r="O2034" s="32" t="str">
        <f>IF($M2034="","",IF($K2034-$M2034&gt;7,"",IF($M2034&lt;=$A2034,"",IF(OR($B2034&lt;=0,$N2034&lt;=0),"",($N2034/$B2034)^(365/($M2034-$A2034))-1))))</f>
        <v/>
      </c>
      <c r="P2034" s="31" t="str">
        <f>IF($B2034="","",IF($P2033="",$B2034,MAX($P2033,$B2034)))</f>
        <v/>
      </c>
      <c r="Q2034" s="32" t="str">
        <f>IF($P2034="","",$B2034/$P2034-1)</f>
        <v/>
      </c>
    </row>
    <row r="2035">
      <c r="A2035" s="11" t="n"/>
      <c r="B2035" s="29" t="n"/>
      <c r="K2035" s="30" t="str">
        <f>IF($A2035="","",EDATE($A2035,12*$E$4))</f>
        <v/>
      </c>
      <c r="L2035" s="19" t="str">
        <f>IF($K2035="","",IF($K2035&gt;MAX($A$8:$A$5007),"",IFERROR(MATCH($K2035,$A$8:$A$5007,1),"")))</f>
        <v/>
      </c>
      <c r="M2035" s="30" t="str">
        <f>IF($L2035="","",INDEX($A$8:$A$5007,$L2035))</f>
        <v/>
      </c>
      <c r="N2035" s="31" t="str">
        <f>IF($L2035="","",INDEX($B$8:$B$5007,$L2035))</f>
        <v/>
      </c>
      <c r="O2035" s="32" t="str">
        <f>IF($M2035="","",IF($K2035-$M2035&gt;7,"",IF($M2035&lt;=$A2035,"",IF(OR($B2035&lt;=0,$N2035&lt;=0),"",($N2035/$B2035)^(365/($M2035-$A2035))-1))))</f>
        <v/>
      </c>
      <c r="P2035" s="31" t="str">
        <f>IF($B2035="","",IF($P2034="",$B2035,MAX($P2034,$B2035)))</f>
        <v/>
      </c>
      <c r="Q2035" s="32" t="str">
        <f>IF($P2035="","",$B2035/$P2035-1)</f>
        <v/>
      </c>
    </row>
    <row r="2036">
      <c r="A2036" s="11" t="n"/>
      <c r="B2036" s="29" t="n"/>
      <c r="K2036" s="30" t="str">
        <f>IF($A2036="","",EDATE($A2036,12*$E$4))</f>
        <v/>
      </c>
      <c r="L2036" s="19" t="str">
        <f>IF($K2036="","",IF($K2036&gt;MAX($A$8:$A$5007),"",IFERROR(MATCH($K2036,$A$8:$A$5007,1),"")))</f>
        <v/>
      </c>
      <c r="M2036" s="30" t="str">
        <f>IF($L2036="","",INDEX($A$8:$A$5007,$L2036))</f>
        <v/>
      </c>
      <c r="N2036" s="31" t="str">
        <f>IF($L2036="","",INDEX($B$8:$B$5007,$L2036))</f>
        <v/>
      </c>
      <c r="O2036" s="32" t="str">
        <f>IF($M2036="","",IF($K2036-$M2036&gt;7,"",IF($M2036&lt;=$A2036,"",IF(OR($B2036&lt;=0,$N2036&lt;=0),"",($N2036/$B2036)^(365/($M2036-$A2036))-1))))</f>
        <v/>
      </c>
      <c r="P2036" s="31" t="str">
        <f>IF($B2036="","",IF($P2035="",$B2036,MAX($P2035,$B2036)))</f>
        <v/>
      </c>
      <c r="Q2036" s="32" t="str">
        <f>IF($P2036="","",$B2036/$P2036-1)</f>
        <v/>
      </c>
    </row>
    <row r="2037">
      <c r="A2037" s="11" t="n"/>
      <c r="B2037" s="29" t="n"/>
      <c r="K2037" s="30" t="str">
        <f>IF($A2037="","",EDATE($A2037,12*$E$4))</f>
        <v/>
      </c>
      <c r="L2037" s="19" t="str">
        <f>IF($K2037="","",IF($K2037&gt;MAX($A$8:$A$5007),"",IFERROR(MATCH($K2037,$A$8:$A$5007,1),"")))</f>
        <v/>
      </c>
      <c r="M2037" s="30" t="str">
        <f>IF($L2037="","",INDEX($A$8:$A$5007,$L2037))</f>
        <v/>
      </c>
      <c r="N2037" s="31" t="str">
        <f>IF($L2037="","",INDEX($B$8:$B$5007,$L2037))</f>
        <v/>
      </c>
      <c r="O2037" s="32" t="str">
        <f>IF($M2037="","",IF($K2037-$M2037&gt;7,"",IF($M2037&lt;=$A2037,"",IF(OR($B2037&lt;=0,$N2037&lt;=0),"",($N2037/$B2037)^(365/($M2037-$A2037))-1))))</f>
        <v/>
      </c>
      <c r="P2037" s="31" t="str">
        <f>IF($B2037="","",IF($P2036="",$B2037,MAX($P2036,$B2037)))</f>
        <v/>
      </c>
      <c r="Q2037" s="32" t="str">
        <f>IF($P2037="","",$B2037/$P2037-1)</f>
        <v/>
      </c>
    </row>
    <row r="2038">
      <c r="A2038" s="11" t="n"/>
      <c r="B2038" s="29" t="n"/>
      <c r="K2038" s="30" t="str">
        <f>IF($A2038="","",EDATE($A2038,12*$E$4))</f>
        <v/>
      </c>
      <c r="L2038" s="19" t="str">
        <f>IF($K2038="","",IF($K2038&gt;MAX($A$8:$A$5007),"",IFERROR(MATCH($K2038,$A$8:$A$5007,1),"")))</f>
        <v/>
      </c>
      <c r="M2038" s="30" t="str">
        <f>IF($L2038="","",INDEX($A$8:$A$5007,$L2038))</f>
        <v/>
      </c>
      <c r="N2038" s="31" t="str">
        <f>IF($L2038="","",INDEX($B$8:$B$5007,$L2038))</f>
        <v/>
      </c>
      <c r="O2038" s="32" t="str">
        <f>IF($M2038="","",IF($K2038-$M2038&gt;7,"",IF($M2038&lt;=$A2038,"",IF(OR($B2038&lt;=0,$N2038&lt;=0),"",($N2038/$B2038)^(365/($M2038-$A2038))-1))))</f>
        <v/>
      </c>
      <c r="P2038" s="31" t="str">
        <f>IF($B2038="","",IF($P2037="",$B2038,MAX($P2037,$B2038)))</f>
        <v/>
      </c>
      <c r="Q2038" s="32" t="str">
        <f>IF($P2038="","",$B2038/$P2038-1)</f>
        <v/>
      </c>
    </row>
    <row r="2039">
      <c r="A2039" s="11" t="n"/>
      <c r="B2039" s="29" t="n"/>
      <c r="K2039" s="30" t="str">
        <f>IF($A2039="","",EDATE($A2039,12*$E$4))</f>
        <v/>
      </c>
      <c r="L2039" s="19" t="str">
        <f>IF($K2039="","",IF($K2039&gt;MAX($A$8:$A$5007),"",IFERROR(MATCH($K2039,$A$8:$A$5007,1),"")))</f>
        <v/>
      </c>
      <c r="M2039" s="30" t="str">
        <f>IF($L2039="","",INDEX($A$8:$A$5007,$L2039))</f>
        <v/>
      </c>
      <c r="N2039" s="31" t="str">
        <f>IF($L2039="","",INDEX($B$8:$B$5007,$L2039))</f>
        <v/>
      </c>
      <c r="O2039" s="32" t="str">
        <f>IF($M2039="","",IF($K2039-$M2039&gt;7,"",IF($M2039&lt;=$A2039,"",IF(OR($B2039&lt;=0,$N2039&lt;=0),"",($N2039/$B2039)^(365/($M2039-$A2039))-1))))</f>
        <v/>
      </c>
      <c r="P2039" s="31" t="str">
        <f>IF($B2039="","",IF($P2038="",$B2039,MAX($P2038,$B2039)))</f>
        <v/>
      </c>
      <c r="Q2039" s="32" t="str">
        <f>IF($P2039="","",$B2039/$P2039-1)</f>
        <v/>
      </c>
    </row>
    <row r="2040">
      <c r="A2040" s="11" t="n"/>
      <c r="B2040" s="29" t="n"/>
      <c r="K2040" s="30" t="str">
        <f>IF($A2040="","",EDATE($A2040,12*$E$4))</f>
        <v/>
      </c>
      <c r="L2040" s="19" t="str">
        <f>IF($K2040="","",IF($K2040&gt;MAX($A$8:$A$5007),"",IFERROR(MATCH($K2040,$A$8:$A$5007,1),"")))</f>
        <v/>
      </c>
      <c r="M2040" s="30" t="str">
        <f>IF($L2040="","",INDEX($A$8:$A$5007,$L2040))</f>
        <v/>
      </c>
      <c r="N2040" s="31" t="str">
        <f>IF($L2040="","",INDEX($B$8:$B$5007,$L2040))</f>
        <v/>
      </c>
      <c r="O2040" s="32" t="str">
        <f>IF($M2040="","",IF($K2040-$M2040&gt;7,"",IF($M2040&lt;=$A2040,"",IF(OR($B2040&lt;=0,$N2040&lt;=0),"",($N2040/$B2040)^(365/($M2040-$A2040))-1))))</f>
        <v/>
      </c>
      <c r="P2040" s="31" t="str">
        <f>IF($B2040="","",IF($P2039="",$B2040,MAX($P2039,$B2040)))</f>
        <v/>
      </c>
      <c r="Q2040" s="32" t="str">
        <f>IF($P2040="","",$B2040/$P2040-1)</f>
        <v/>
      </c>
    </row>
    <row r="2041">
      <c r="A2041" s="11" t="n"/>
      <c r="B2041" s="29" t="n"/>
      <c r="K2041" s="30" t="str">
        <f>IF($A2041="","",EDATE($A2041,12*$E$4))</f>
        <v/>
      </c>
      <c r="L2041" s="19" t="str">
        <f>IF($K2041="","",IF($K2041&gt;MAX($A$8:$A$5007),"",IFERROR(MATCH($K2041,$A$8:$A$5007,1),"")))</f>
        <v/>
      </c>
      <c r="M2041" s="30" t="str">
        <f>IF($L2041="","",INDEX($A$8:$A$5007,$L2041))</f>
        <v/>
      </c>
      <c r="N2041" s="31" t="str">
        <f>IF($L2041="","",INDEX($B$8:$B$5007,$L2041))</f>
        <v/>
      </c>
      <c r="O2041" s="32" t="str">
        <f>IF($M2041="","",IF($K2041-$M2041&gt;7,"",IF($M2041&lt;=$A2041,"",IF(OR($B2041&lt;=0,$N2041&lt;=0),"",($N2041/$B2041)^(365/($M2041-$A2041))-1))))</f>
        <v/>
      </c>
      <c r="P2041" s="31" t="str">
        <f>IF($B2041="","",IF($P2040="",$B2041,MAX($P2040,$B2041)))</f>
        <v/>
      </c>
      <c r="Q2041" s="32" t="str">
        <f>IF($P2041="","",$B2041/$P2041-1)</f>
        <v/>
      </c>
    </row>
    <row r="2042">
      <c r="A2042" s="11" t="n"/>
      <c r="B2042" s="29" t="n"/>
      <c r="K2042" s="30" t="str">
        <f>IF($A2042="","",EDATE($A2042,12*$E$4))</f>
        <v/>
      </c>
      <c r="L2042" s="19" t="str">
        <f>IF($K2042="","",IF($K2042&gt;MAX($A$8:$A$5007),"",IFERROR(MATCH($K2042,$A$8:$A$5007,1),"")))</f>
        <v/>
      </c>
      <c r="M2042" s="30" t="str">
        <f>IF($L2042="","",INDEX($A$8:$A$5007,$L2042))</f>
        <v/>
      </c>
      <c r="N2042" s="31" t="str">
        <f>IF($L2042="","",INDEX($B$8:$B$5007,$L2042))</f>
        <v/>
      </c>
      <c r="O2042" s="32" t="str">
        <f>IF($M2042="","",IF($K2042-$M2042&gt;7,"",IF($M2042&lt;=$A2042,"",IF(OR($B2042&lt;=0,$N2042&lt;=0),"",($N2042/$B2042)^(365/($M2042-$A2042))-1))))</f>
        <v/>
      </c>
      <c r="P2042" s="31" t="str">
        <f>IF($B2042="","",IF($P2041="",$B2042,MAX($P2041,$B2042)))</f>
        <v/>
      </c>
      <c r="Q2042" s="32" t="str">
        <f>IF($P2042="","",$B2042/$P2042-1)</f>
        <v/>
      </c>
    </row>
    <row r="2043">
      <c r="A2043" s="11" t="n"/>
      <c r="B2043" s="29" t="n"/>
      <c r="K2043" s="30" t="str">
        <f>IF($A2043="","",EDATE($A2043,12*$E$4))</f>
        <v/>
      </c>
      <c r="L2043" s="19" t="str">
        <f>IF($K2043="","",IF($K2043&gt;MAX($A$8:$A$5007),"",IFERROR(MATCH($K2043,$A$8:$A$5007,1),"")))</f>
        <v/>
      </c>
      <c r="M2043" s="30" t="str">
        <f>IF($L2043="","",INDEX($A$8:$A$5007,$L2043))</f>
        <v/>
      </c>
      <c r="N2043" s="31" t="str">
        <f>IF($L2043="","",INDEX($B$8:$B$5007,$L2043))</f>
        <v/>
      </c>
      <c r="O2043" s="32" t="str">
        <f>IF($M2043="","",IF($K2043-$M2043&gt;7,"",IF($M2043&lt;=$A2043,"",IF(OR($B2043&lt;=0,$N2043&lt;=0),"",($N2043/$B2043)^(365/($M2043-$A2043))-1))))</f>
        <v/>
      </c>
      <c r="P2043" s="31" t="str">
        <f>IF($B2043="","",IF($P2042="",$B2043,MAX($P2042,$B2043)))</f>
        <v/>
      </c>
      <c r="Q2043" s="32" t="str">
        <f>IF($P2043="","",$B2043/$P2043-1)</f>
        <v/>
      </c>
    </row>
    <row r="2044">
      <c r="A2044" s="11" t="n"/>
      <c r="B2044" s="29" t="n"/>
      <c r="K2044" s="30" t="str">
        <f>IF($A2044="","",EDATE($A2044,12*$E$4))</f>
        <v/>
      </c>
      <c r="L2044" s="19" t="str">
        <f>IF($K2044="","",IF($K2044&gt;MAX($A$8:$A$5007),"",IFERROR(MATCH($K2044,$A$8:$A$5007,1),"")))</f>
        <v/>
      </c>
      <c r="M2044" s="30" t="str">
        <f>IF($L2044="","",INDEX($A$8:$A$5007,$L2044))</f>
        <v/>
      </c>
      <c r="N2044" s="31" t="str">
        <f>IF($L2044="","",INDEX($B$8:$B$5007,$L2044))</f>
        <v/>
      </c>
      <c r="O2044" s="32" t="str">
        <f>IF($M2044="","",IF($K2044-$M2044&gt;7,"",IF($M2044&lt;=$A2044,"",IF(OR($B2044&lt;=0,$N2044&lt;=0),"",($N2044/$B2044)^(365/($M2044-$A2044))-1))))</f>
        <v/>
      </c>
      <c r="P2044" s="31" t="str">
        <f>IF($B2044="","",IF($P2043="",$B2044,MAX($P2043,$B2044)))</f>
        <v/>
      </c>
      <c r="Q2044" s="32" t="str">
        <f>IF($P2044="","",$B2044/$P2044-1)</f>
        <v/>
      </c>
    </row>
    <row r="2045">
      <c r="A2045" s="11" t="n"/>
      <c r="B2045" s="29" t="n"/>
      <c r="K2045" s="30" t="str">
        <f>IF($A2045="","",EDATE($A2045,12*$E$4))</f>
        <v/>
      </c>
      <c r="L2045" s="19" t="str">
        <f>IF($K2045="","",IF($K2045&gt;MAX($A$8:$A$5007),"",IFERROR(MATCH($K2045,$A$8:$A$5007,1),"")))</f>
        <v/>
      </c>
      <c r="M2045" s="30" t="str">
        <f>IF($L2045="","",INDEX($A$8:$A$5007,$L2045))</f>
        <v/>
      </c>
      <c r="N2045" s="31" t="str">
        <f>IF($L2045="","",INDEX($B$8:$B$5007,$L2045))</f>
        <v/>
      </c>
      <c r="O2045" s="32" t="str">
        <f>IF($M2045="","",IF($K2045-$M2045&gt;7,"",IF($M2045&lt;=$A2045,"",IF(OR($B2045&lt;=0,$N2045&lt;=0),"",($N2045/$B2045)^(365/($M2045-$A2045))-1))))</f>
        <v/>
      </c>
      <c r="P2045" s="31" t="str">
        <f>IF($B2045="","",IF($P2044="",$B2045,MAX($P2044,$B2045)))</f>
        <v/>
      </c>
      <c r="Q2045" s="32" t="str">
        <f>IF($P2045="","",$B2045/$P2045-1)</f>
        <v/>
      </c>
    </row>
    <row r="2046">
      <c r="A2046" s="11" t="n"/>
      <c r="B2046" s="29" t="n"/>
      <c r="K2046" s="30" t="str">
        <f>IF($A2046="","",EDATE($A2046,12*$E$4))</f>
        <v/>
      </c>
      <c r="L2046" s="19" t="str">
        <f>IF($K2046="","",IF($K2046&gt;MAX($A$8:$A$5007),"",IFERROR(MATCH($K2046,$A$8:$A$5007,1),"")))</f>
        <v/>
      </c>
      <c r="M2046" s="30" t="str">
        <f>IF($L2046="","",INDEX($A$8:$A$5007,$L2046))</f>
        <v/>
      </c>
      <c r="N2046" s="31" t="str">
        <f>IF($L2046="","",INDEX($B$8:$B$5007,$L2046))</f>
        <v/>
      </c>
      <c r="O2046" s="32" t="str">
        <f>IF($M2046="","",IF($K2046-$M2046&gt;7,"",IF($M2046&lt;=$A2046,"",IF(OR($B2046&lt;=0,$N2046&lt;=0),"",($N2046/$B2046)^(365/($M2046-$A2046))-1))))</f>
        <v/>
      </c>
      <c r="P2046" s="31" t="str">
        <f>IF($B2046="","",IF($P2045="",$B2046,MAX($P2045,$B2046)))</f>
        <v/>
      </c>
      <c r="Q2046" s="32" t="str">
        <f>IF($P2046="","",$B2046/$P2046-1)</f>
        <v/>
      </c>
    </row>
    <row r="2047">
      <c r="A2047" s="11" t="n"/>
      <c r="B2047" s="29" t="n"/>
      <c r="K2047" s="30" t="str">
        <f>IF($A2047="","",EDATE($A2047,12*$E$4))</f>
        <v/>
      </c>
      <c r="L2047" s="19" t="str">
        <f>IF($K2047="","",IF($K2047&gt;MAX($A$8:$A$5007),"",IFERROR(MATCH($K2047,$A$8:$A$5007,1),"")))</f>
        <v/>
      </c>
      <c r="M2047" s="30" t="str">
        <f>IF($L2047="","",INDEX($A$8:$A$5007,$L2047))</f>
        <v/>
      </c>
      <c r="N2047" s="31" t="str">
        <f>IF($L2047="","",INDEX($B$8:$B$5007,$L2047))</f>
        <v/>
      </c>
      <c r="O2047" s="32" t="str">
        <f>IF($M2047="","",IF($K2047-$M2047&gt;7,"",IF($M2047&lt;=$A2047,"",IF(OR($B2047&lt;=0,$N2047&lt;=0),"",($N2047/$B2047)^(365/($M2047-$A2047))-1))))</f>
        <v/>
      </c>
      <c r="P2047" s="31" t="str">
        <f>IF($B2047="","",IF($P2046="",$B2047,MAX($P2046,$B2047)))</f>
        <v/>
      </c>
      <c r="Q2047" s="32" t="str">
        <f>IF($P2047="","",$B2047/$P2047-1)</f>
        <v/>
      </c>
    </row>
    <row r="2048">
      <c r="A2048" s="11" t="n"/>
      <c r="B2048" s="29" t="n"/>
      <c r="K2048" s="30" t="str">
        <f>IF($A2048="","",EDATE($A2048,12*$E$4))</f>
        <v/>
      </c>
      <c r="L2048" s="19" t="str">
        <f>IF($K2048="","",IF($K2048&gt;MAX($A$8:$A$5007),"",IFERROR(MATCH($K2048,$A$8:$A$5007,1),"")))</f>
        <v/>
      </c>
      <c r="M2048" s="30" t="str">
        <f>IF($L2048="","",INDEX($A$8:$A$5007,$L2048))</f>
        <v/>
      </c>
      <c r="N2048" s="31" t="str">
        <f>IF($L2048="","",INDEX($B$8:$B$5007,$L2048))</f>
        <v/>
      </c>
      <c r="O2048" s="32" t="str">
        <f>IF($M2048="","",IF($K2048-$M2048&gt;7,"",IF($M2048&lt;=$A2048,"",IF(OR($B2048&lt;=0,$N2048&lt;=0),"",($N2048/$B2048)^(365/($M2048-$A2048))-1))))</f>
        <v/>
      </c>
      <c r="P2048" s="31" t="str">
        <f>IF($B2048="","",IF($P2047="",$B2048,MAX($P2047,$B2048)))</f>
        <v/>
      </c>
      <c r="Q2048" s="32" t="str">
        <f>IF($P2048="","",$B2048/$P2048-1)</f>
        <v/>
      </c>
    </row>
    <row r="2049">
      <c r="A2049" s="11" t="n"/>
      <c r="B2049" s="29" t="n"/>
      <c r="K2049" s="30" t="str">
        <f>IF($A2049="","",EDATE($A2049,12*$E$4))</f>
        <v/>
      </c>
      <c r="L2049" s="19" t="str">
        <f>IF($K2049="","",IF($K2049&gt;MAX($A$8:$A$5007),"",IFERROR(MATCH($K2049,$A$8:$A$5007,1),"")))</f>
        <v/>
      </c>
      <c r="M2049" s="30" t="str">
        <f>IF($L2049="","",INDEX($A$8:$A$5007,$L2049))</f>
        <v/>
      </c>
      <c r="N2049" s="31" t="str">
        <f>IF($L2049="","",INDEX($B$8:$B$5007,$L2049))</f>
        <v/>
      </c>
      <c r="O2049" s="32" t="str">
        <f>IF($M2049="","",IF($K2049-$M2049&gt;7,"",IF($M2049&lt;=$A2049,"",IF(OR($B2049&lt;=0,$N2049&lt;=0),"",($N2049/$B2049)^(365/($M2049-$A2049))-1))))</f>
        <v/>
      </c>
      <c r="P2049" s="31" t="str">
        <f>IF($B2049="","",IF($P2048="",$B2049,MAX($P2048,$B2049)))</f>
        <v/>
      </c>
      <c r="Q2049" s="32" t="str">
        <f>IF($P2049="","",$B2049/$P2049-1)</f>
        <v/>
      </c>
    </row>
    <row r="2050">
      <c r="A2050" s="11" t="n"/>
      <c r="B2050" s="29" t="n"/>
      <c r="K2050" s="30" t="str">
        <f>IF($A2050="","",EDATE($A2050,12*$E$4))</f>
        <v/>
      </c>
      <c r="L2050" s="19" t="str">
        <f>IF($K2050="","",IF($K2050&gt;MAX($A$8:$A$5007),"",IFERROR(MATCH($K2050,$A$8:$A$5007,1),"")))</f>
        <v/>
      </c>
      <c r="M2050" s="30" t="str">
        <f>IF($L2050="","",INDEX($A$8:$A$5007,$L2050))</f>
        <v/>
      </c>
      <c r="N2050" s="31" t="str">
        <f>IF($L2050="","",INDEX($B$8:$B$5007,$L2050))</f>
        <v/>
      </c>
      <c r="O2050" s="32" t="str">
        <f>IF($M2050="","",IF($K2050-$M2050&gt;7,"",IF($M2050&lt;=$A2050,"",IF(OR($B2050&lt;=0,$N2050&lt;=0),"",($N2050/$B2050)^(365/($M2050-$A2050))-1))))</f>
        <v/>
      </c>
      <c r="P2050" s="31" t="str">
        <f>IF($B2050="","",IF($P2049="",$B2050,MAX($P2049,$B2050)))</f>
        <v/>
      </c>
      <c r="Q2050" s="32" t="str">
        <f>IF($P2050="","",$B2050/$P2050-1)</f>
        <v/>
      </c>
    </row>
    <row r="2051">
      <c r="A2051" s="11" t="n"/>
      <c r="B2051" s="29" t="n"/>
      <c r="K2051" s="30" t="str">
        <f>IF($A2051="","",EDATE($A2051,12*$E$4))</f>
        <v/>
      </c>
      <c r="L2051" s="19" t="str">
        <f>IF($K2051="","",IF($K2051&gt;MAX($A$8:$A$5007),"",IFERROR(MATCH($K2051,$A$8:$A$5007,1),"")))</f>
        <v/>
      </c>
      <c r="M2051" s="30" t="str">
        <f>IF($L2051="","",INDEX($A$8:$A$5007,$L2051))</f>
        <v/>
      </c>
      <c r="N2051" s="31" t="str">
        <f>IF($L2051="","",INDEX($B$8:$B$5007,$L2051))</f>
        <v/>
      </c>
      <c r="O2051" s="32" t="str">
        <f>IF($M2051="","",IF($K2051-$M2051&gt;7,"",IF($M2051&lt;=$A2051,"",IF(OR($B2051&lt;=0,$N2051&lt;=0),"",($N2051/$B2051)^(365/($M2051-$A2051))-1))))</f>
        <v/>
      </c>
      <c r="P2051" s="31" t="str">
        <f>IF($B2051="","",IF($P2050="",$B2051,MAX($P2050,$B2051)))</f>
        <v/>
      </c>
      <c r="Q2051" s="32" t="str">
        <f>IF($P2051="","",$B2051/$P2051-1)</f>
        <v/>
      </c>
    </row>
    <row r="2052">
      <c r="A2052" s="11" t="n"/>
      <c r="B2052" s="29" t="n"/>
      <c r="K2052" s="30" t="str">
        <f>IF($A2052="","",EDATE($A2052,12*$E$4))</f>
        <v/>
      </c>
      <c r="L2052" s="19" t="str">
        <f>IF($K2052="","",IF($K2052&gt;MAX($A$8:$A$5007),"",IFERROR(MATCH($K2052,$A$8:$A$5007,1),"")))</f>
        <v/>
      </c>
      <c r="M2052" s="30" t="str">
        <f>IF($L2052="","",INDEX($A$8:$A$5007,$L2052))</f>
        <v/>
      </c>
      <c r="N2052" s="31" t="str">
        <f>IF($L2052="","",INDEX($B$8:$B$5007,$L2052))</f>
        <v/>
      </c>
      <c r="O2052" s="32" t="str">
        <f>IF($M2052="","",IF($K2052-$M2052&gt;7,"",IF($M2052&lt;=$A2052,"",IF(OR($B2052&lt;=0,$N2052&lt;=0),"",($N2052/$B2052)^(365/($M2052-$A2052))-1))))</f>
        <v/>
      </c>
      <c r="P2052" s="31" t="str">
        <f>IF($B2052="","",IF($P2051="",$B2052,MAX($P2051,$B2052)))</f>
        <v/>
      </c>
      <c r="Q2052" s="32" t="str">
        <f>IF($P2052="","",$B2052/$P2052-1)</f>
        <v/>
      </c>
    </row>
    <row r="2053">
      <c r="A2053" s="11" t="n"/>
      <c r="B2053" s="29" t="n"/>
      <c r="K2053" s="30" t="str">
        <f>IF($A2053="","",EDATE($A2053,12*$E$4))</f>
        <v/>
      </c>
      <c r="L2053" s="19" t="str">
        <f>IF($K2053="","",IF($K2053&gt;MAX($A$8:$A$5007),"",IFERROR(MATCH($K2053,$A$8:$A$5007,1),"")))</f>
        <v/>
      </c>
      <c r="M2053" s="30" t="str">
        <f>IF($L2053="","",INDEX($A$8:$A$5007,$L2053))</f>
        <v/>
      </c>
      <c r="N2053" s="31" t="str">
        <f>IF($L2053="","",INDEX($B$8:$B$5007,$L2053))</f>
        <v/>
      </c>
      <c r="O2053" s="32" t="str">
        <f>IF($M2053="","",IF($K2053-$M2053&gt;7,"",IF($M2053&lt;=$A2053,"",IF(OR($B2053&lt;=0,$N2053&lt;=0),"",($N2053/$B2053)^(365/($M2053-$A2053))-1))))</f>
        <v/>
      </c>
      <c r="P2053" s="31" t="str">
        <f>IF($B2053="","",IF($P2052="",$B2053,MAX($P2052,$B2053)))</f>
        <v/>
      </c>
      <c r="Q2053" s="32" t="str">
        <f>IF($P2053="","",$B2053/$P2053-1)</f>
        <v/>
      </c>
    </row>
    <row r="2054">
      <c r="A2054" s="11" t="n"/>
      <c r="B2054" s="29" t="n"/>
      <c r="K2054" s="30" t="str">
        <f>IF($A2054="","",EDATE($A2054,12*$E$4))</f>
        <v/>
      </c>
      <c r="L2054" s="19" t="str">
        <f>IF($K2054="","",IF($K2054&gt;MAX($A$8:$A$5007),"",IFERROR(MATCH($K2054,$A$8:$A$5007,1),"")))</f>
        <v/>
      </c>
      <c r="M2054" s="30" t="str">
        <f>IF($L2054="","",INDEX($A$8:$A$5007,$L2054))</f>
        <v/>
      </c>
      <c r="N2054" s="31" t="str">
        <f>IF($L2054="","",INDEX($B$8:$B$5007,$L2054))</f>
        <v/>
      </c>
      <c r="O2054" s="32" t="str">
        <f>IF($M2054="","",IF($K2054-$M2054&gt;7,"",IF($M2054&lt;=$A2054,"",IF(OR($B2054&lt;=0,$N2054&lt;=0),"",($N2054/$B2054)^(365/($M2054-$A2054))-1))))</f>
        <v/>
      </c>
      <c r="P2054" s="31" t="str">
        <f>IF($B2054="","",IF($P2053="",$B2054,MAX($P2053,$B2054)))</f>
        <v/>
      </c>
      <c r="Q2054" s="32" t="str">
        <f>IF($P2054="","",$B2054/$P2054-1)</f>
        <v/>
      </c>
    </row>
    <row r="2055">
      <c r="A2055" s="11" t="n"/>
      <c r="B2055" s="29" t="n"/>
      <c r="K2055" s="30" t="str">
        <f>IF($A2055="","",EDATE($A2055,12*$E$4))</f>
        <v/>
      </c>
      <c r="L2055" s="19" t="str">
        <f>IF($K2055="","",IF($K2055&gt;MAX($A$8:$A$5007),"",IFERROR(MATCH($K2055,$A$8:$A$5007,1),"")))</f>
        <v/>
      </c>
      <c r="M2055" s="30" t="str">
        <f>IF($L2055="","",INDEX($A$8:$A$5007,$L2055))</f>
        <v/>
      </c>
      <c r="N2055" s="31" t="str">
        <f>IF($L2055="","",INDEX($B$8:$B$5007,$L2055))</f>
        <v/>
      </c>
      <c r="O2055" s="32" t="str">
        <f>IF($M2055="","",IF($K2055-$M2055&gt;7,"",IF($M2055&lt;=$A2055,"",IF(OR($B2055&lt;=0,$N2055&lt;=0),"",($N2055/$B2055)^(365/($M2055-$A2055))-1))))</f>
        <v/>
      </c>
      <c r="P2055" s="31" t="str">
        <f>IF($B2055="","",IF($P2054="",$B2055,MAX($P2054,$B2055)))</f>
        <v/>
      </c>
      <c r="Q2055" s="32" t="str">
        <f>IF($P2055="","",$B2055/$P2055-1)</f>
        <v/>
      </c>
    </row>
    <row r="2056">
      <c r="A2056" s="11" t="n"/>
      <c r="B2056" s="29" t="n"/>
      <c r="K2056" s="30" t="str">
        <f>IF($A2056="","",EDATE($A2056,12*$E$4))</f>
        <v/>
      </c>
      <c r="L2056" s="19" t="str">
        <f>IF($K2056="","",IF($K2056&gt;MAX($A$8:$A$5007),"",IFERROR(MATCH($K2056,$A$8:$A$5007,1),"")))</f>
        <v/>
      </c>
      <c r="M2056" s="30" t="str">
        <f>IF($L2056="","",INDEX($A$8:$A$5007,$L2056))</f>
        <v/>
      </c>
      <c r="N2056" s="31" t="str">
        <f>IF($L2056="","",INDEX($B$8:$B$5007,$L2056))</f>
        <v/>
      </c>
      <c r="O2056" s="32" t="str">
        <f>IF($M2056="","",IF($K2056-$M2056&gt;7,"",IF($M2056&lt;=$A2056,"",IF(OR($B2056&lt;=0,$N2056&lt;=0),"",($N2056/$B2056)^(365/($M2056-$A2056))-1))))</f>
        <v/>
      </c>
      <c r="P2056" s="31" t="str">
        <f>IF($B2056="","",IF($P2055="",$B2056,MAX($P2055,$B2056)))</f>
        <v/>
      </c>
      <c r="Q2056" s="32" t="str">
        <f>IF($P2056="","",$B2056/$P2056-1)</f>
        <v/>
      </c>
    </row>
    <row r="2057">
      <c r="A2057" s="11" t="n"/>
      <c r="B2057" s="29" t="n"/>
      <c r="K2057" s="30" t="str">
        <f>IF($A2057="","",EDATE($A2057,12*$E$4))</f>
        <v/>
      </c>
      <c r="L2057" s="19" t="str">
        <f>IF($K2057="","",IF($K2057&gt;MAX($A$8:$A$5007),"",IFERROR(MATCH($K2057,$A$8:$A$5007,1),"")))</f>
        <v/>
      </c>
      <c r="M2057" s="30" t="str">
        <f>IF($L2057="","",INDEX($A$8:$A$5007,$L2057))</f>
        <v/>
      </c>
      <c r="N2057" s="31" t="str">
        <f>IF($L2057="","",INDEX($B$8:$B$5007,$L2057))</f>
        <v/>
      </c>
      <c r="O2057" s="32" t="str">
        <f>IF($M2057="","",IF($K2057-$M2057&gt;7,"",IF($M2057&lt;=$A2057,"",IF(OR($B2057&lt;=0,$N2057&lt;=0),"",($N2057/$B2057)^(365/($M2057-$A2057))-1))))</f>
        <v/>
      </c>
      <c r="P2057" s="31" t="str">
        <f>IF($B2057="","",IF($P2056="",$B2057,MAX($P2056,$B2057)))</f>
        <v/>
      </c>
      <c r="Q2057" s="32" t="str">
        <f>IF($P2057="","",$B2057/$P2057-1)</f>
        <v/>
      </c>
    </row>
    <row r="2058">
      <c r="A2058" s="11" t="n"/>
      <c r="B2058" s="29" t="n"/>
      <c r="K2058" s="30" t="str">
        <f>IF($A2058="","",EDATE($A2058,12*$E$4))</f>
        <v/>
      </c>
      <c r="L2058" s="19" t="str">
        <f>IF($K2058="","",IF($K2058&gt;MAX($A$8:$A$5007),"",IFERROR(MATCH($K2058,$A$8:$A$5007,1),"")))</f>
        <v/>
      </c>
      <c r="M2058" s="30" t="str">
        <f>IF($L2058="","",INDEX($A$8:$A$5007,$L2058))</f>
        <v/>
      </c>
      <c r="N2058" s="31" t="str">
        <f>IF($L2058="","",INDEX($B$8:$B$5007,$L2058))</f>
        <v/>
      </c>
      <c r="O2058" s="32" t="str">
        <f>IF($M2058="","",IF($K2058-$M2058&gt;7,"",IF($M2058&lt;=$A2058,"",IF(OR($B2058&lt;=0,$N2058&lt;=0),"",($N2058/$B2058)^(365/($M2058-$A2058))-1))))</f>
        <v/>
      </c>
      <c r="P2058" s="31" t="str">
        <f>IF($B2058="","",IF($P2057="",$B2058,MAX($P2057,$B2058)))</f>
        <v/>
      </c>
      <c r="Q2058" s="32" t="str">
        <f>IF($P2058="","",$B2058/$P2058-1)</f>
        <v/>
      </c>
    </row>
    <row r="2059">
      <c r="A2059" s="11" t="n"/>
      <c r="B2059" s="29" t="n"/>
      <c r="K2059" s="30" t="str">
        <f>IF($A2059="","",EDATE($A2059,12*$E$4))</f>
        <v/>
      </c>
      <c r="L2059" s="19" t="str">
        <f>IF($K2059="","",IF($K2059&gt;MAX($A$8:$A$5007),"",IFERROR(MATCH($K2059,$A$8:$A$5007,1),"")))</f>
        <v/>
      </c>
      <c r="M2059" s="30" t="str">
        <f>IF($L2059="","",INDEX($A$8:$A$5007,$L2059))</f>
        <v/>
      </c>
      <c r="N2059" s="31" t="str">
        <f>IF($L2059="","",INDEX($B$8:$B$5007,$L2059))</f>
        <v/>
      </c>
      <c r="O2059" s="32" t="str">
        <f>IF($M2059="","",IF($K2059-$M2059&gt;7,"",IF($M2059&lt;=$A2059,"",IF(OR($B2059&lt;=0,$N2059&lt;=0),"",($N2059/$B2059)^(365/($M2059-$A2059))-1))))</f>
        <v/>
      </c>
      <c r="P2059" s="31" t="str">
        <f>IF($B2059="","",IF($P2058="",$B2059,MAX($P2058,$B2059)))</f>
        <v/>
      </c>
      <c r="Q2059" s="32" t="str">
        <f>IF($P2059="","",$B2059/$P2059-1)</f>
        <v/>
      </c>
    </row>
    <row r="2060">
      <c r="A2060" s="11" t="n"/>
      <c r="B2060" s="29" t="n"/>
      <c r="K2060" s="30" t="str">
        <f>IF($A2060="","",EDATE($A2060,12*$E$4))</f>
        <v/>
      </c>
      <c r="L2060" s="19" t="str">
        <f>IF($K2060="","",IF($K2060&gt;MAX($A$8:$A$5007),"",IFERROR(MATCH($K2060,$A$8:$A$5007,1),"")))</f>
        <v/>
      </c>
      <c r="M2060" s="30" t="str">
        <f>IF($L2060="","",INDEX($A$8:$A$5007,$L2060))</f>
        <v/>
      </c>
      <c r="N2060" s="31" t="str">
        <f>IF($L2060="","",INDEX($B$8:$B$5007,$L2060))</f>
        <v/>
      </c>
      <c r="O2060" s="32" t="str">
        <f>IF($M2060="","",IF($K2060-$M2060&gt;7,"",IF($M2060&lt;=$A2060,"",IF(OR($B2060&lt;=0,$N2060&lt;=0),"",($N2060/$B2060)^(365/($M2060-$A2060))-1))))</f>
        <v/>
      </c>
      <c r="P2060" s="31" t="str">
        <f>IF($B2060="","",IF($P2059="",$B2060,MAX($P2059,$B2060)))</f>
        <v/>
      </c>
      <c r="Q2060" s="32" t="str">
        <f>IF($P2060="","",$B2060/$P2060-1)</f>
        <v/>
      </c>
    </row>
    <row r="2061">
      <c r="A2061" s="11" t="n"/>
      <c r="B2061" s="29" t="n"/>
      <c r="K2061" s="30" t="str">
        <f>IF($A2061="","",EDATE($A2061,12*$E$4))</f>
        <v/>
      </c>
      <c r="L2061" s="19" t="str">
        <f>IF($K2061="","",IF($K2061&gt;MAX($A$8:$A$5007),"",IFERROR(MATCH($K2061,$A$8:$A$5007,1),"")))</f>
        <v/>
      </c>
      <c r="M2061" s="30" t="str">
        <f>IF($L2061="","",INDEX($A$8:$A$5007,$L2061))</f>
        <v/>
      </c>
      <c r="N2061" s="31" t="str">
        <f>IF($L2061="","",INDEX($B$8:$B$5007,$L2061))</f>
        <v/>
      </c>
      <c r="O2061" s="32" t="str">
        <f>IF($M2061="","",IF($K2061-$M2061&gt;7,"",IF($M2061&lt;=$A2061,"",IF(OR($B2061&lt;=0,$N2061&lt;=0),"",($N2061/$B2061)^(365/($M2061-$A2061))-1))))</f>
        <v/>
      </c>
      <c r="P2061" s="31" t="str">
        <f>IF($B2061="","",IF($P2060="",$B2061,MAX($P2060,$B2061)))</f>
        <v/>
      </c>
      <c r="Q2061" s="32" t="str">
        <f>IF($P2061="","",$B2061/$P2061-1)</f>
        <v/>
      </c>
    </row>
    <row r="2062">
      <c r="A2062" s="11" t="n"/>
      <c r="B2062" s="29" t="n"/>
      <c r="K2062" s="30" t="str">
        <f>IF($A2062="","",EDATE($A2062,12*$E$4))</f>
        <v/>
      </c>
      <c r="L2062" s="19" t="str">
        <f>IF($K2062="","",IF($K2062&gt;MAX($A$8:$A$5007),"",IFERROR(MATCH($K2062,$A$8:$A$5007,1),"")))</f>
        <v/>
      </c>
      <c r="M2062" s="30" t="str">
        <f>IF($L2062="","",INDEX($A$8:$A$5007,$L2062))</f>
        <v/>
      </c>
      <c r="N2062" s="31" t="str">
        <f>IF($L2062="","",INDEX($B$8:$B$5007,$L2062))</f>
        <v/>
      </c>
      <c r="O2062" s="32" t="str">
        <f>IF($M2062="","",IF($K2062-$M2062&gt;7,"",IF($M2062&lt;=$A2062,"",IF(OR($B2062&lt;=0,$N2062&lt;=0),"",($N2062/$B2062)^(365/($M2062-$A2062))-1))))</f>
        <v/>
      </c>
      <c r="P2062" s="31" t="str">
        <f>IF($B2062="","",IF($P2061="",$B2062,MAX($P2061,$B2062)))</f>
        <v/>
      </c>
      <c r="Q2062" s="32" t="str">
        <f>IF($P2062="","",$B2062/$P2062-1)</f>
        <v/>
      </c>
    </row>
    <row r="2063">
      <c r="A2063" s="11" t="n"/>
      <c r="B2063" s="29" t="n"/>
      <c r="K2063" s="30" t="str">
        <f>IF($A2063="","",EDATE($A2063,12*$E$4))</f>
        <v/>
      </c>
      <c r="L2063" s="19" t="str">
        <f>IF($K2063="","",IF($K2063&gt;MAX($A$8:$A$5007),"",IFERROR(MATCH($K2063,$A$8:$A$5007,1),"")))</f>
        <v/>
      </c>
      <c r="M2063" s="30" t="str">
        <f>IF($L2063="","",INDEX($A$8:$A$5007,$L2063))</f>
        <v/>
      </c>
      <c r="N2063" s="31" t="str">
        <f>IF($L2063="","",INDEX($B$8:$B$5007,$L2063))</f>
        <v/>
      </c>
      <c r="O2063" s="32" t="str">
        <f>IF($M2063="","",IF($K2063-$M2063&gt;7,"",IF($M2063&lt;=$A2063,"",IF(OR($B2063&lt;=0,$N2063&lt;=0),"",($N2063/$B2063)^(365/($M2063-$A2063))-1))))</f>
        <v/>
      </c>
      <c r="P2063" s="31" t="str">
        <f>IF($B2063="","",IF($P2062="",$B2063,MAX($P2062,$B2063)))</f>
        <v/>
      </c>
      <c r="Q2063" s="32" t="str">
        <f>IF($P2063="","",$B2063/$P2063-1)</f>
        <v/>
      </c>
    </row>
    <row r="2064">
      <c r="A2064" s="11" t="n"/>
      <c r="B2064" s="29" t="n"/>
      <c r="K2064" s="30" t="str">
        <f>IF($A2064="","",EDATE($A2064,12*$E$4))</f>
        <v/>
      </c>
      <c r="L2064" s="19" t="str">
        <f>IF($K2064="","",IF($K2064&gt;MAX($A$8:$A$5007),"",IFERROR(MATCH($K2064,$A$8:$A$5007,1),"")))</f>
        <v/>
      </c>
      <c r="M2064" s="30" t="str">
        <f>IF($L2064="","",INDEX($A$8:$A$5007,$L2064))</f>
        <v/>
      </c>
      <c r="N2064" s="31" t="str">
        <f>IF($L2064="","",INDEX($B$8:$B$5007,$L2064))</f>
        <v/>
      </c>
      <c r="O2064" s="32" t="str">
        <f>IF($M2064="","",IF($K2064-$M2064&gt;7,"",IF($M2064&lt;=$A2064,"",IF(OR($B2064&lt;=0,$N2064&lt;=0),"",($N2064/$B2064)^(365/($M2064-$A2064))-1))))</f>
        <v/>
      </c>
      <c r="P2064" s="31" t="str">
        <f>IF($B2064="","",IF($P2063="",$B2064,MAX($P2063,$B2064)))</f>
        <v/>
      </c>
      <c r="Q2064" s="32" t="str">
        <f>IF($P2064="","",$B2064/$P2064-1)</f>
        <v/>
      </c>
    </row>
    <row r="2065">
      <c r="A2065" s="11" t="n"/>
      <c r="B2065" s="29" t="n"/>
      <c r="K2065" s="30" t="str">
        <f>IF($A2065="","",EDATE($A2065,12*$E$4))</f>
        <v/>
      </c>
      <c r="L2065" s="19" t="str">
        <f>IF($K2065="","",IF($K2065&gt;MAX($A$8:$A$5007),"",IFERROR(MATCH($K2065,$A$8:$A$5007,1),"")))</f>
        <v/>
      </c>
      <c r="M2065" s="30" t="str">
        <f>IF($L2065="","",INDEX($A$8:$A$5007,$L2065))</f>
        <v/>
      </c>
      <c r="N2065" s="31" t="str">
        <f>IF($L2065="","",INDEX($B$8:$B$5007,$L2065))</f>
        <v/>
      </c>
      <c r="O2065" s="32" t="str">
        <f>IF($M2065="","",IF($K2065-$M2065&gt;7,"",IF($M2065&lt;=$A2065,"",IF(OR($B2065&lt;=0,$N2065&lt;=0),"",($N2065/$B2065)^(365/($M2065-$A2065))-1))))</f>
        <v/>
      </c>
      <c r="P2065" s="31" t="str">
        <f>IF($B2065="","",IF($P2064="",$B2065,MAX($P2064,$B2065)))</f>
        <v/>
      </c>
      <c r="Q2065" s="32" t="str">
        <f>IF($P2065="","",$B2065/$P2065-1)</f>
        <v/>
      </c>
    </row>
    <row r="2066">
      <c r="A2066" s="11" t="n"/>
      <c r="B2066" s="29" t="n"/>
      <c r="K2066" s="30" t="str">
        <f>IF($A2066="","",EDATE($A2066,12*$E$4))</f>
        <v/>
      </c>
      <c r="L2066" s="19" t="str">
        <f>IF($K2066="","",IF($K2066&gt;MAX($A$8:$A$5007),"",IFERROR(MATCH($K2066,$A$8:$A$5007,1),"")))</f>
        <v/>
      </c>
      <c r="M2066" s="30" t="str">
        <f>IF($L2066="","",INDEX($A$8:$A$5007,$L2066))</f>
        <v/>
      </c>
      <c r="N2066" s="31" t="str">
        <f>IF($L2066="","",INDEX($B$8:$B$5007,$L2066))</f>
        <v/>
      </c>
      <c r="O2066" s="32" t="str">
        <f>IF($M2066="","",IF($K2066-$M2066&gt;7,"",IF($M2066&lt;=$A2066,"",IF(OR($B2066&lt;=0,$N2066&lt;=0),"",($N2066/$B2066)^(365/($M2066-$A2066))-1))))</f>
        <v/>
      </c>
      <c r="P2066" s="31" t="str">
        <f>IF($B2066="","",IF($P2065="",$B2066,MAX($P2065,$B2066)))</f>
        <v/>
      </c>
      <c r="Q2066" s="32" t="str">
        <f>IF($P2066="","",$B2066/$P2066-1)</f>
        <v/>
      </c>
    </row>
    <row r="2067">
      <c r="A2067" s="11" t="n"/>
      <c r="B2067" s="29" t="n"/>
      <c r="K2067" s="30" t="str">
        <f>IF($A2067="","",EDATE($A2067,12*$E$4))</f>
        <v/>
      </c>
      <c r="L2067" s="19" t="str">
        <f>IF($K2067="","",IF($K2067&gt;MAX($A$8:$A$5007),"",IFERROR(MATCH($K2067,$A$8:$A$5007,1),"")))</f>
        <v/>
      </c>
      <c r="M2067" s="30" t="str">
        <f>IF($L2067="","",INDEX($A$8:$A$5007,$L2067))</f>
        <v/>
      </c>
      <c r="N2067" s="31" t="str">
        <f>IF($L2067="","",INDEX($B$8:$B$5007,$L2067))</f>
        <v/>
      </c>
      <c r="O2067" s="32" t="str">
        <f>IF($M2067="","",IF($K2067-$M2067&gt;7,"",IF($M2067&lt;=$A2067,"",IF(OR($B2067&lt;=0,$N2067&lt;=0),"",($N2067/$B2067)^(365/($M2067-$A2067))-1))))</f>
        <v/>
      </c>
      <c r="P2067" s="31" t="str">
        <f>IF($B2067="","",IF($P2066="",$B2067,MAX($P2066,$B2067)))</f>
        <v/>
      </c>
      <c r="Q2067" s="32" t="str">
        <f>IF($P2067="","",$B2067/$P2067-1)</f>
        <v/>
      </c>
    </row>
    <row r="2068">
      <c r="A2068" s="11" t="n"/>
      <c r="B2068" s="29" t="n"/>
      <c r="K2068" s="30" t="str">
        <f>IF($A2068="","",EDATE($A2068,12*$E$4))</f>
        <v/>
      </c>
      <c r="L2068" s="19" t="str">
        <f>IF($K2068="","",IF($K2068&gt;MAX($A$8:$A$5007),"",IFERROR(MATCH($K2068,$A$8:$A$5007,1),"")))</f>
        <v/>
      </c>
      <c r="M2068" s="30" t="str">
        <f>IF($L2068="","",INDEX($A$8:$A$5007,$L2068))</f>
        <v/>
      </c>
      <c r="N2068" s="31" t="str">
        <f>IF($L2068="","",INDEX($B$8:$B$5007,$L2068))</f>
        <v/>
      </c>
      <c r="O2068" s="32" t="str">
        <f>IF($M2068="","",IF($K2068-$M2068&gt;7,"",IF($M2068&lt;=$A2068,"",IF(OR($B2068&lt;=0,$N2068&lt;=0),"",($N2068/$B2068)^(365/($M2068-$A2068))-1))))</f>
        <v/>
      </c>
      <c r="P2068" s="31" t="str">
        <f>IF($B2068="","",IF($P2067="",$B2068,MAX($P2067,$B2068)))</f>
        <v/>
      </c>
      <c r="Q2068" s="32" t="str">
        <f>IF($P2068="","",$B2068/$P2068-1)</f>
        <v/>
      </c>
    </row>
    <row r="2069">
      <c r="A2069" s="11" t="n"/>
      <c r="B2069" s="29" t="n"/>
      <c r="K2069" s="30" t="str">
        <f>IF($A2069="","",EDATE($A2069,12*$E$4))</f>
        <v/>
      </c>
      <c r="L2069" s="19" t="str">
        <f>IF($K2069="","",IF($K2069&gt;MAX($A$8:$A$5007),"",IFERROR(MATCH($K2069,$A$8:$A$5007,1),"")))</f>
        <v/>
      </c>
      <c r="M2069" s="30" t="str">
        <f>IF($L2069="","",INDEX($A$8:$A$5007,$L2069))</f>
        <v/>
      </c>
      <c r="N2069" s="31" t="str">
        <f>IF($L2069="","",INDEX($B$8:$B$5007,$L2069))</f>
        <v/>
      </c>
      <c r="O2069" s="32" t="str">
        <f>IF($M2069="","",IF($K2069-$M2069&gt;7,"",IF($M2069&lt;=$A2069,"",IF(OR($B2069&lt;=0,$N2069&lt;=0),"",($N2069/$B2069)^(365/($M2069-$A2069))-1))))</f>
        <v/>
      </c>
      <c r="P2069" s="31" t="str">
        <f>IF($B2069="","",IF($P2068="",$B2069,MAX($P2068,$B2069)))</f>
        <v/>
      </c>
      <c r="Q2069" s="32" t="str">
        <f>IF($P2069="","",$B2069/$P2069-1)</f>
        <v/>
      </c>
    </row>
    <row r="2070">
      <c r="A2070" s="11" t="n"/>
      <c r="B2070" s="29" t="n"/>
      <c r="K2070" s="30" t="str">
        <f>IF($A2070="","",EDATE($A2070,12*$E$4))</f>
        <v/>
      </c>
      <c r="L2070" s="19" t="str">
        <f>IF($K2070="","",IF($K2070&gt;MAX($A$8:$A$5007),"",IFERROR(MATCH($K2070,$A$8:$A$5007,1),"")))</f>
        <v/>
      </c>
      <c r="M2070" s="30" t="str">
        <f>IF($L2070="","",INDEX($A$8:$A$5007,$L2070))</f>
        <v/>
      </c>
      <c r="N2070" s="31" t="str">
        <f>IF($L2070="","",INDEX($B$8:$B$5007,$L2070))</f>
        <v/>
      </c>
      <c r="O2070" s="32" t="str">
        <f>IF($M2070="","",IF($K2070-$M2070&gt;7,"",IF($M2070&lt;=$A2070,"",IF(OR($B2070&lt;=0,$N2070&lt;=0),"",($N2070/$B2070)^(365/($M2070-$A2070))-1))))</f>
        <v/>
      </c>
      <c r="P2070" s="31" t="str">
        <f>IF($B2070="","",IF($P2069="",$B2070,MAX($P2069,$B2070)))</f>
        <v/>
      </c>
      <c r="Q2070" s="32" t="str">
        <f>IF($P2070="","",$B2070/$P2070-1)</f>
        <v/>
      </c>
    </row>
    <row r="2071">
      <c r="A2071" s="11" t="n"/>
      <c r="B2071" s="29" t="n"/>
      <c r="K2071" s="30" t="str">
        <f>IF($A2071="","",EDATE($A2071,12*$E$4))</f>
        <v/>
      </c>
      <c r="L2071" s="19" t="str">
        <f>IF($K2071="","",IF($K2071&gt;MAX($A$8:$A$5007),"",IFERROR(MATCH($K2071,$A$8:$A$5007,1),"")))</f>
        <v/>
      </c>
      <c r="M2071" s="30" t="str">
        <f>IF($L2071="","",INDEX($A$8:$A$5007,$L2071))</f>
        <v/>
      </c>
      <c r="N2071" s="31" t="str">
        <f>IF($L2071="","",INDEX($B$8:$B$5007,$L2071))</f>
        <v/>
      </c>
      <c r="O2071" s="32" t="str">
        <f>IF($M2071="","",IF($K2071-$M2071&gt;7,"",IF($M2071&lt;=$A2071,"",IF(OR($B2071&lt;=0,$N2071&lt;=0),"",($N2071/$B2071)^(365/($M2071-$A2071))-1))))</f>
        <v/>
      </c>
      <c r="P2071" s="31" t="str">
        <f>IF($B2071="","",IF($P2070="",$B2071,MAX($P2070,$B2071)))</f>
        <v/>
      </c>
      <c r="Q2071" s="32" t="str">
        <f>IF($P2071="","",$B2071/$P2071-1)</f>
        <v/>
      </c>
    </row>
    <row r="2072">
      <c r="A2072" s="11" t="n"/>
      <c r="B2072" s="29" t="n"/>
      <c r="K2072" s="30" t="str">
        <f>IF($A2072="","",EDATE($A2072,12*$E$4))</f>
        <v/>
      </c>
      <c r="L2072" s="19" t="str">
        <f>IF($K2072="","",IF($K2072&gt;MAX($A$8:$A$5007),"",IFERROR(MATCH($K2072,$A$8:$A$5007,1),"")))</f>
        <v/>
      </c>
      <c r="M2072" s="30" t="str">
        <f>IF($L2072="","",INDEX($A$8:$A$5007,$L2072))</f>
        <v/>
      </c>
      <c r="N2072" s="31" t="str">
        <f>IF($L2072="","",INDEX($B$8:$B$5007,$L2072))</f>
        <v/>
      </c>
      <c r="O2072" s="32" t="str">
        <f>IF($M2072="","",IF($K2072-$M2072&gt;7,"",IF($M2072&lt;=$A2072,"",IF(OR($B2072&lt;=0,$N2072&lt;=0),"",($N2072/$B2072)^(365/($M2072-$A2072))-1))))</f>
        <v/>
      </c>
      <c r="P2072" s="31" t="str">
        <f>IF($B2072="","",IF($P2071="",$B2072,MAX($P2071,$B2072)))</f>
        <v/>
      </c>
      <c r="Q2072" s="32" t="str">
        <f>IF($P2072="","",$B2072/$P2072-1)</f>
        <v/>
      </c>
    </row>
    <row r="2073">
      <c r="A2073" s="11" t="n"/>
      <c r="B2073" s="29" t="n"/>
      <c r="K2073" s="30" t="str">
        <f>IF($A2073="","",EDATE($A2073,12*$E$4))</f>
        <v/>
      </c>
      <c r="L2073" s="19" t="str">
        <f>IF($K2073="","",IF($K2073&gt;MAX($A$8:$A$5007),"",IFERROR(MATCH($K2073,$A$8:$A$5007,1),"")))</f>
        <v/>
      </c>
      <c r="M2073" s="30" t="str">
        <f>IF($L2073="","",INDEX($A$8:$A$5007,$L2073))</f>
        <v/>
      </c>
      <c r="N2073" s="31" t="str">
        <f>IF($L2073="","",INDEX($B$8:$B$5007,$L2073))</f>
        <v/>
      </c>
      <c r="O2073" s="32" t="str">
        <f>IF($M2073="","",IF($K2073-$M2073&gt;7,"",IF($M2073&lt;=$A2073,"",IF(OR($B2073&lt;=0,$N2073&lt;=0),"",($N2073/$B2073)^(365/($M2073-$A2073))-1))))</f>
        <v/>
      </c>
      <c r="P2073" s="31" t="str">
        <f>IF($B2073="","",IF($P2072="",$B2073,MAX($P2072,$B2073)))</f>
        <v/>
      </c>
      <c r="Q2073" s="32" t="str">
        <f>IF($P2073="","",$B2073/$P2073-1)</f>
        <v/>
      </c>
    </row>
    <row r="2074">
      <c r="A2074" s="11" t="n"/>
      <c r="B2074" s="29" t="n"/>
      <c r="K2074" s="30" t="str">
        <f>IF($A2074="","",EDATE($A2074,12*$E$4))</f>
        <v/>
      </c>
      <c r="L2074" s="19" t="str">
        <f>IF($K2074="","",IF($K2074&gt;MAX($A$8:$A$5007),"",IFERROR(MATCH($K2074,$A$8:$A$5007,1),"")))</f>
        <v/>
      </c>
      <c r="M2074" s="30" t="str">
        <f>IF($L2074="","",INDEX($A$8:$A$5007,$L2074))</f>
        <v/>
      </c>
      <c r="N2074" s="31" t="str">
        <f>IF($L2074="","",INDEX($B$8:$B$5007,$L2074))</f>
        <v/>
      </c>
      <c r="O2074" s="32" t="str">
        <f>IF($M2074="","",IF($K2074-$M2074&gt;7,"",IF($M2074&lt;=$A2074,"",IF(OR($B2074&lt;=0,$N2074&lt;=0),"",($N2074/$B2074)^(365/($M2074-$A2074))-1))))</f>
        <v/>
      </c>
      <c r="P2074" s="31" t="str">
        <f>IF($B2074="","",IF($P2073="",$B2074,MAX($P2073,$B2074)))</f>
        <v/>
      </c>
      <c r="Q2074" s="32" t="str">
        <f>IF($P2074="","",$B2074/$P2074-1)</f>
        <v/>
      </c>
    </row>
    <row r="2075">
      <c r="A2075" s="11" t="n"/>
      <c r="B2075" s="29" t="n"/>
      <c r="K2075" s="30" t="str">
        <f>IF($A2075="","",EDATE($A2075,12*$E$4))</f>
        <v/>
      </c>
      <c r="L2075" s="19" t="str">
        <f>IF($K2075="","",IF($K2075&gt;MAX($A$8:$A$5007),"",IFERROR(MATCH($K2075,$A$8:$A$5007,1),"")))</f>
        <v/>
      </c>
      <c r="M2075" s="30" t="str">
        <f>IF($L2075="","",INDEX($A$8:$A$5007,$L2075))</f>
        <v/>
      </c>
      <c r="N2075" s="31" t="str">
        <f>IF($L2075="","",INDEX($B$8:$B$5007,$L2075))</f>
        <v/>
      </c>
      <c r="O2075" s="32" t="str">
        <f>IF($M2075="","",IF($K2075-$M2075&gt;7,"",IF($M2075&lt;=$A2075,"",IF(OR($B2075&lt;=0,$N2075&lt;=0),"",($N2075/$B2075)^(365/($M2075-$A2075))-1))))</f>
        <v/>
      </c>
      <c r="P2075" s="31" t="str">
        <f>IF($B2075="","",IF($P2074="",$B2075,MAX($P2074,$B2075)))</f>
        <v/>
      </c>
      <c r="Q2075" s="32" t="str">
        <f>IF($P2075="","",$B2075/$P2075-1)</f>
        <v/>
      </c>
    </row>
    <row r="2076">
      <c r="A2076" s="11" t="n"/>
      <c r="B2076" s="29" t="n"/>
      <c r="K2076" s="30" t="str">
        <f>IF($A2076="","",EDATE($A2076,12*$E$4))</f>
        <v/>
      </c>
      <c r="L2076" s="19" t="str">
        <f>IF($K2076="","",IF($K2076&gt;MAX($A$8:$A$5007),"",IFERROR(MATCH($K2076,$A$8:$A$5007,1),"")))</f>
        <v/>
      </c>
      <c r="M2076" s="30" t="str">
        <f>IF($L2076="","",INDEX($A$8:$A$5007,$L2076))</f>
        <v/>
      </c>
      <c r="N2076" s="31" t="str">
        <f>IF($L2076="","",INDEX($B$8:$B$5007,$L2076))</f>
        <v/>
      </c>
      <c r="O2076" s="32" t="str">
        <f>IF($M2076="","",IF($K2076-$M2076&gt;7,"",IF($M2076&lt;=$A2076,"",IF(OR($B2076&lt;=0,$N2076&lt;=0),"",($N2076/$B2076)^(365/($M2076-$A2076))-1))))</f>
        <v/>
      </c>
      <c r="P2076" s="31" t="str">
        <f>IF($B2076="","",IF($P2075="",$B2076,MAX($P2075,$B2076)))</f>
        <v/>
      </c>
      <c r="Q2076" s="32" t="str">
        <f>IF($P2076="","",$B2076/$P2076-1)</f>
        <v/>
      </c>
    </row>
    <row r="2077">
      <c r="A2077" s="11" t="n"/>
      <c r="B2077" s="29" t="n"/>
      <c r="K2077" s="30" t="str">
        <f>IF($A2077="","",EDATE($A2077,12*$E$4))</f>
        <v/>
      </c>
      <c r="L2077" s="19" t="str">
        <f>IF($K2077="","",IF($K2077&gt;MAX($A$8:$A$5007),"",IFERROR(MATCH($K2077,$A$8:$A$5007,1),"")))</f>
        <v/>
      </c>
      <c r="M2077" s="30" t="str">
        <f>IF($L2077="","",INDEX($A$8:$A$5007,$L2077))</f>
        <v/>
      </c>
      <c r="N2077" s="31" t="str">
        <f>IF($L2077="","",INDEX($B$8:$B$5007,$L2077))</f>
        <v/>
      </c>
      <c r="O2077" s="32" t="str">
        <f>IF($M2077="","",IF($K2077-$M2077&gt;7,"",IF($M2077&lt;=$A2077,"",IF(OR($B2077&lt;=0,$N2077&lt;=0),"",($N2077/$B2077)^(365/($M2077-$A2077))-1))))</f>
        <v/>
      </c>
      <c r="P2077" s="31" t="str">
        <f>IF($B2077="","",IF($P2076="",$B2077,MAX($P2076,$B2077)))</f>
        <v/>
      </c>
      <c r="Q2077" s="32" t="str">
        <f>IF($P2077="","",$B2077/$P2077-1)</f>
        <v/>
      </c>
    </row>
    <row r="2078">
      <c r="A2078" s="11" t="n"/>
      <c r="B2078" s="29" t="n"/>
      <c r="K2078" s="30" t="str">
        <f>IF($A2078="","",EDATE($A2078,12*$E$4))</f>
        <v/>
      </c>
      <c r="L2078" s="19" t="str">
        <f>IF($K2078="","",IF($K2078&gt;MAX($A$8:$A$5007),"",IFERROR(MATCH($K2078,$A$8:$A$5007,1),"")))</f>
        <v/>
      </c>
      <c r="M2078" s="30" t="str">
        <f>IF($L2078="","",INDEX($A$8:$A$5007,$L2078))</f>
        <v/>
      </c>
      <c r="N2078" s="31" t="str">
        <f>IF($L2078="","",INDEX($B$8:$B$5007,$L2078))</f>
        <v/>
      </c>
      <c r="O2078" s="32" t="str">
        <f>IF($M2078="","",IF($K2078-$M2078&gt;7,"",IF($M2078&lt;=$A2078,"",IF(OR($B2078&lt;=0,$N2078&lt;=0),"",($N2078/$B2078)^(365/($M2078-$A2078))-1))))</f>
        <v/>
      </c>
      <c r="P2078" s="31" t="str">
        <f>IF($B2078="","",IF($P2077="",$B2078,MAX($P2077,$B2078)))</f>
        <v/>
      </c>
      <c r="Q2078" s="32" t="str">
        <f>IF($P2078="","",$B2078/$P2078-1)</f>
        <v/>
      </c>
    </row>
    <row r="2079">
      <c r="A2079" s="11" t="n"/>
      <c r="B2079" s="29" t="n"/>
      <c r="K2079" s="30" t="str">
        <f>IF($A2079="","",EDATE($A2079,12*$E$4))</f>
        <v/>
      </c>
      <c r="L2079" s="19" t="str">
        <f>IF($K2079="","",IF($K2079&gt;MAX($A$8:$A$5007),"",IFERROR(MATCH($K2079,$A$8:$A$5007,1),"")))</f>
        <v/>
      </c>
      <c r="M2079" s="30" t="str">
        <f>IF($L2079="","",INDEX($A$8:$A$5007,$L2079))</f>
        <v/>
      </c>
      <c r="N2079" s="31" t="str">
        <f>IF($L2079="","",INDEX($B$8:$B$5007,$L2079))</f>
        <v/>
      </c>
      <c r="O2079" s="32" t="str">
        <f>IF($M2079="","",IF($K2079-$M2079&gt;7,"",IF($M2079&lt;=$A2079,"",IF(OR($B2079&lt;=0,$N2079&lt;=0),"",($N2079/$B2079)^(365/($M2079-$A2079))-1))))</f>
        <v/>
      </c>
      <c r="P2079" s="31" t="str">
        <f>IF($B2079="","",IF($P2078="",$B2079,MAX($P2078,$B2079)))</f>
        <v/>
      </c>
      <c r="Q2079" s="32" t="str">
        <f>IF($P2079="","",$B2079/$P2079-1)</f>
        <v/>
      </c>
    </row>
    <row r="2080">
      <c r="A2080" s="11" t="n"/>
      <c r="B2080" s="29" t="n"/>
      <c r="K2080" s="30" t="str">
        <f>IF($A2080="","",EDATE($A2080,12*$E$4))</f>
        <v/>
      </c>
      <c r="L2080" s="19" t="str">
        <f>IF($K2080="","",IF($K2080&gt;MAX($A$8:$A$5007),"",IFERROR(MATCH($K2080,$A$8:$A$5007,1),"")))</f>
        <v/>
      </c>
      <c r="M2080" s="30" t="str">
        <f>IF($L2080="","",INDEX($A$8:$A$5007,$L2080))</f>
        <v/>
      </c>
      <c r="N2080" s="31" t="str">
        <f>IF($L2080="","",INDEX($B$8:$B$5007,$L2080))</f>
        <v/>
      </c>
      <c r="O2080" s="32" t="str">
        <f>IF($M2080="","",IF($K2080-$M2080&gt;7,"",IF($M2080&lt;=$A2080,"",IF(OR($B2080&lt;=0,$N2080&lt;=0),"",($N2080/$B2080)^(365/($M2080-$A2080))-1))))</f>
        <v/>
      </c>
      <c r="P2080" s="31" t="str">
        <f>IF($B2080="","",IF($P2079="",$B2080,MAX($P2079,$B2080)))</f>
        <v/>
      </c>
      <c r="Q2080" s="32" t="str">
        <f>IF($P2080="","",$B2080/$P2080-1)</f>
        <v/>
      </c>
    </row>
    <row r="2081">
      <c r="A2081" s="11" t="n"/>
      <c r="B2081" s="29" t="n"/>
      <c r="K2081" s="30" t="str">
        <f>IF($A2081="","",EDATE($A2081,12*$E$4))</f>
        <v/>
      </c>
      <c r="L2081" s="19" t="str">
        <f>IF($K2081="","",IF($K2081&gt;MAX($A$8:$A$5007),"",IFERROR(MATCH($K2081,$A$8:$A$5007,1),"")))</f>
        <v/>
      </c>
      <c r="M2081" s="30" t="str">
        <f>IF($L2081="","",INDEX($A$8:$A$5007,$L2081))</f>
        <v/>
      </c>
      <c r="N2081" s="31" t="str">
        <f>IF($L2081="","",INDEX($B$8:$B$5007,$L2081))</f>
        <v/>
      </c>
      <c r="O2081" s="32" t="str">
        <f>IF($M2081="","",IF($K2081-$M2081&gt;7,"",IF($M2081&lt;=$A2081,"",IF(OR($B2081&lt;=0,$N2081&lt;=0),"",($N2081/$B2081)^(365/($M2081-$A2081))-1))))</f>
        <v/>
      </c>
      <c r="P2081" s="31" t="str">
        <f>IF($B2081="","",IF($P2080="",$B2081,MAX($P2080,$B2081)))</f>
        <v/>
      </c>
      <c r="Q2081" s="32" t="str">
        <f>IF($P2081="","",$B2081/$P2081-1)</f>
        <v/>
      </c>
    </row>
    <row r="2082">
      <c r="A2082" s="11" t="n"/>
      <c r="B2082" s="29" t="n"/>
      <c r="K2082" s="30" t="str">
        <f>IF($A2082="","",EDATE($A2082,12*$E$4))</f>
        <v/>
      </c>
      <c r="L2082" s="19" t="str">
        <f>IF($K2082="","",IF($K2082&gt;MAX($A$8:$A$5007),"",IFERROR(MATCH($K2082,$A$8:$A$5007,1),"")))</f>
        <v/>
      </c>
      <c r="M2082" s="30" t="str">
        <f>IF($L2082="","",INDEX($A$8:$A$5007,$L2082))</f>
        <v/>
      </c>
      <c r="N2082" s="31" t="str">
        <f>IF($L2082="","",INDEX($B$8:$B$5007,$L2082))</f>
        <v/>
      </c>
      <c r="O2082" s="32" t="str">
        <f>IF($M2082="","",IF($K2082-$M2082&gt;7,"",IF($M2082&lt;=$A2082,"",IF(OR($B2082&lt;=0,$N2082&lt;=0),"",($N2082/$B2082)^(365/($M2082-$A2082))-1))))</f>
        <v/>
      </c>
      <c r="P2082" s="31" t="str">
        <f>IF($B2082="","",IF($P2081="",$B2082,MAX($P2081,$B2082)))</f>
        <v/>
      </c>
      <c r="Q2082" s="32" t="str">
        <f>IF($P2082="","",$B2082/$P2082-1)</f>
        <v/>
      </c>
    </row>
    <row r="2083">
      <c r="A2083" s="11" t="n"/>
      <c r="B2083" s="29" t="n"/>
      <c r="K2083" s="30" t="str">
        <f>IF($A2083="","",EDATE($A2083,12*$E$4))</f>
        <v/>
      </c>
      <c r="L2083" s="19" t="str">
        <f>IF($K2083="","",IF($K2083&gt;MAX($A$8:$A$5007),"",IFERROR(MATCH($K2083,$A$8:$A$5007,1),"")))</f>
        <v/>
      </c>
      <c r="M2083" s="30" t="str">
        <f>IF($L2083="","",INDEX($A$8:$A$5007,$L2083))</f>
        <v/>
      </c>
      <c r="N2083" s="31" t="str">
        <f>IF($L2083="","",INDEX($B$8:$B$5007,$L2083))</f>
        <v/>
      </c>
      <c r="O2083" s="32" t="str">
        <f>IF($M2083="","",IF($K2083-$M2083&gt;7,"",IF($M2083&lt;=$A2083,"",IF(OR($B2083&lt;=0,$N2083&lt;=0),"",($N2083/$B2083)^(365/($M2083-$A2083))-1))))</f>
        <v/>
      </c>
      <c r="P2083" s="31" t="str">
        <f>IF($B2083="","",IF($P2082="",$B2083,MAX($P2082,$B2083)))</f>
        <v/>
      </c>
      <c r="Q2083" s="32" t="str">
        <f>IF($P2083="","",$B2083/$P2083-1)</f>
        <v/>
      </c>
    </row>
    <row r="2084">
      <c r="A2084" s="11" t="n"/>
      <c r="B2084" s="29" t="n"/>
      <c r="K2084" s="30" t="str">
        <f>IF($A2084="","",EDATE($A2084,12*$E$4))</f>
        <v/>
      </c>
      <c r="L2084" s="19" t="str">
        <f>IF($K2084="","",IF($K2084&gt;MAX($A$8:$A$5007),"",IFERROR(MATCH($K2084,$A$8:$A$5007,1),"")))</f>
        <v/>
      </c>
      <c r="M2084" s="30" t="str">
        <f>IF($L2084="","",INDEX($A$8:$A$5007,$L2084))</f>
        <v/>
      </c>
      <c r="N2084" s="31" t="str">
        <f>IF($L2084="","",INDEX($B$8:$B$5007,$L2084))</f>
        <v/>
      </c>
      <c r="O2084" s="32" t="str">
        <f>IF($M2084="","",IF($K2084-$M2084&gt;7,"",IF($M2084&lt;=$A2084,"",IF(OR($B2084&lt;=0,$N2084&lt;=0),"",($N2084/$B2084)^(365/($M2084-$A2084))-1))))</f>
        <v/>
      </c>
      <c r="P2084" s="31" t="str">
        <f>IF($B2084="","",IF($P2083="",$B2084,MAX($P2083,$B2084)))</f>
        <v/>
      </c>
      <c r="Q2084" s="32" t="str">
        <f>IF($P2084="","",$B2084/$P2084-1)</f>
        <v/>
      </c>
    </row>
    <row r="2085">
      <c r="A2085" s="11" t="n"/>
      <c r="B2085" s="29" t="n"/>
      <c r="K2085" s="30" t="str">
        <f>IF($A2085="","",EDATE($A2085,12*$E$4))</f>
        <v/>
      </c>
      <c r="L2085" s="19" t="str">
        <f>IF($K2085="","",IF($K2085&gt;MAX($A$8:$A$5007),"",IFERROR(MATCH($K2085,$A$8:$A$5007,1),"")))</f>
        <v/>
      </c>
      <c r="M2085" s="30" t="str">
        <f>IF($L2085="","",INDEX($A$8:$A$5007,$L2085))</f>
        <v/>
      </c>
      <c r="N2085" s="31" t="str">
        <f>IF($L2085="","",INDEX($B$8:$B$5007,$L2085))</f>
        <v/>
      </c>
      <c r="O2085" s="32" t="str">
        <f>IF($M2085="","",IF($K2085-$M2085&gt;7,"",IF($M2085&lt;=$A2085,"",IF(OR($B2085&lt;=0,$N2085&lt;=0),"",($N2085/$B2085)^(365/($M2085-$A2085))-1))))</f>
        <v/>
      </c>
      <c r="P2085" s="31" t="str">
        <f>IF($B2085="","",IF($P2084="",$B2085,MAX($P2084,$B2085)))</f>
        <v/>
      </c>
      <c r="Q2085" s="32" t="str">
        <f>IF($P2085="","",$B2085/$P2085-1)</f>
        <v/>
      </c>
    </row>
    <row r="2086">
      <c r="A2086" s="11" t="n"/>
      <c r="B2086" s="29" t="n"/>
      <c r="K2086" s="30" t="str">
        <f>IF($A2086="","",EDATE($A2086,12*$E$4))</f>
        <v/>
      </c>
      <c r="L2086" s="19" t="str">
        <f>IF($K2086="","",IF($K2086&gt;MAX($A$8:$A$5007),"",IFERROR(MATCH($K2086,$A$8:$A$5007,1),"")))</f>
        <v/>
      </c>
      <c r="M2086" s="30" t="str">
        <f>IF($L2086="","",INDEX($A$8:$A$5007,$L2086))</f>
        <v/>
      </c>
      <c r="N2086" s="31" t="str">
        <f>IF($L2086="","",INDEX($B$8:$B$5007,$L2086))</f>
        <v/>
      </c>
      <c r="O2086" s="32" t="str">
        <f>IF($M2086="","",IF($K2086-$M2086&gt;7,"",IF($M2086&lt;=$A2086,"",IF(OR($B2086&lt;=0,$N2086&lt;=0),"",($N2086/$B2086)^(365/($M2086-$A2086))-1))))</f>
        <v/>
      </c>
      <c r="P2086" s="31" t="str">
        <f>IF($B2086="","",IF($P2085="",$B2086,MAX($P2085,$B2086)))</f>
        <v/>
      </c>
      <c r="Q2086" s="32" t="str">
        <f>IF($P2086="","",$B2086/$P2086-1)</f>
        <v/>
      </c>
    </row>
    <row r="2087">
      <c r="A2087" s="11" t="n"/>
      <c r="B2087" s="29" t="n"/>
      <c r="K2087" s="30" t="str">
        <f>IF($A2087="","",EDATE($A2087,12*$E$4))</f>
        <v/>
      </c>
      <c r="L2087" s="19" t="str">
        <f>IF($K2087="","",IF($K2087&gt;MAX($A$8:$A$5007),"",IFERROR(MATCH($K2087,$A$8:$A$5007,1),"")))</f>
        <v/>
      </c>
      <c r="M2087" s="30" t="str">
        <f>IF($L2087="","",INDEX($A$8:$A$5007,$L2087))</f>
        <v/>
      </c>
      <c r="N2087" s="31" t="str">
        <f>IF($L2087="","",INDEX($B$8:$B$5007,$L2087))</f>
        <v/>
      </c>
      <c r="O2087" s="32" t="str">
        <f>IF($M2087="","",IF($K2087-$M2087&gt;7,"",IF($M2087&lt;=$A2087,"",IF(OR($B2087&lt;=0,$N2087&lt;=0),"",($N2087/$B2087)^(365/($M2087-$A2087))-1))))</f>
        <v/>
      </c>
      <c r="P2087" s="31" t="str">
        <f>IF($B2087="","",IF($P2086="",$B2087,MAX($P2086,$B2087)))</f>
        <v/>
      </c>
      <c r="Q2087" s="32" t="str">
        <f>IF($P2087="","",$B2087/$P2087-1)</f>
        <v/>
      </c>
    </row>
    <row r="2088">
      <c r="A2088" s="11" t="n"/>
      <c r="B2088" s="29" t="n"/>
      <c r="K2088" s="30" t="str">
        <f>IF($A2088="","",EDATE($A2088,12*$E$4))</f>
        <v/>
      </c>
      <c r="L2088" s="19" t="str">
        <f>IF($K2088="","",IF($K2088&gt;MAX($A$8:$A$5007),"",IFERROR(MATCH($K2088,$A$8:$A$5007,1),"")))</f>
        <v/>
      </c>
      <c r="M2088" s="30" t="str">
        <f>IF($L2088="","",INDEX($A$8:$A$5007,$L2088))</f>
        <v/>
      </c>
      <c r="N2088" s="31" t="str">
        <f>IF($L2088="","",INDEX($B$8:$B$5007,$L2088))</f>
        <v/>
      </c>
      <c r="O2088" s="32" t="str">
        <f>IF($M2088="","",IF($K2088-$M2088&gt;7,"",IF($M2088&lt;=$A2088,"",IF(OR($B2088&lt;=0,$N2088&lt;=0),"",($N2088/$B2088)^(365/($M2088-$A2088))-1))))</f>
        <v/>
      </c>
      <c r="P2088" s="31" t="str">
        <f>IF($B2088="","",IF($P2087="",$B2088,MAX($P2087,$B2088)))</f>
        <v/>
      </c>
      <c r="Q2088" s="32" t="str">
        <f>IF($P2088="","",$B2088/$P2088-1)</f>
        <v/>
      </c>
    </row>
    <row r="2089">
      <c r="A2089" s="11" t="n"/>
      <c r="B2089" s="29" t="n"/>
      <c r="K2089" s="30" t="str">
        <f>IF($A2089="","",EDATE($A2089,12*$E$4))</f>
        <v/>
      </c>
      <c r="L2089" s="19" t="str">
        <f>IF($K2089="","",IF($K2089&gt;MAX($A$8:$A$5007),"",IFERROR(MATCH($K2089,$A$8:$A$5007,1),"")))</f>
        <v/>
      </c>
      <c r="M2089" s="30" t="str">
        <f>IF($L2089="","",INDEX($A$8:$A$5007,$L2089))</f>
        <v/>
      </c>
      <c r="N2089" s="31" t="str">
        <f>IF($L2089="","",INDEX($B$8:$B$5007,$L2089))</f>
        <v/>
      </c>
      <c r="O2089" s="32" t="str">
        <f>IF($M2089="","",IF($K2089-$M2089&gt;7,"",IF($M2089&lt;=$A2089,"",IF(OR($B2089&lt;=0,$N2089&lt;=0),"",($N2089/$B2089)^(365/($M2089-$A2089))-1))))</f>
        <v/>
      </c>
      <c r="P2089" s="31" t="str">
        <f>IF($B2089="","",IF($P2088="",$B2089,MAX($P2088,$B2089)))</f>
        <v/>
      </c>
      <c r="Q2089" s="32" t="str">
        <f>IF($P2089="","",$B2089/$P2089-1)</f>
        <v/>
      </c>
    </row>
    <row r="2090">
      <c r="A2090" s="11" t="n"/>
      <c r="B2090" s="29" t="n"/>
      <c r="K2090" s="30" t="str">
        <f>IF($A2090="","",EDATE($A2090,12*$E$4))</f>
        <v/>
      </c>
      <c r="L2090" s="19" t="str">
        <f>IF($K2090="","",IF($K2090&gt;MAX($A$8:$A$5007),"",IFERROR(MATCH($K2090,$A$8:$A$5007,1),"")))</f>
        <v/>
      </c>
      <c r="M2090" s="30" t="str">
        <f>IF($L2090="","",INDEX($A$8:$A$5007,$L2090))</f>
        <v/>
      </c>
      <c r="N2090" s="31" t="str">
        <f>IF($L2090="","",INDEX($B$8:$B$5007,$L2090))</f>
        <v/>
      </c>
      <c r="O2090" s="32" t="str">
        <f>IF($M2090="","",IF($K2090-$M2090&gt;7,"",IF($M2090&lt;=$A2090,"",IF(OR($B2090&lt;=0,$N2090&lt;=0),"",($N2090/$B2090)^(365/($M2090-$A2090))-1))))</f>
        <v/>
      </c>
      <c r="P2090" s="31" t="str">
        <f>IF($B2090="","",IF($P2089="",$B2090,MAX($P2089,$B2090)))</f>
        <v/>
      </c>
      <c r="Q2090" s="32" t="str">
        <f>IF($P2090="","",$B2090/$P2090-1)</f>
        <v/>
      </c>
    </row>
    <row r="2091">
      <c r="A2091" s="11" t="n"/>
      <c r="B2091" s="29" t="n"/>
      <c r="K2091" s="30" t="str">
        <f>IF($A2091="","",EDATE($A2091,12*$E$4))</f>
        <v/>
      </c>
      <c r="L2091" s="19" t="str">
        <f>IF($K2091="","",IF($K2091&gt;MAX($A$8:$A$5007),"",IFERROR(MATCH($K2091,$A$8:$A$5007,1),"")))</f>
        <v/>
      </c>
      <c r="M2091" s="30" t="str">
        <f>IF($L2091="","",INDEX($A$8:$A$5007,$L2091))</f>
        <v/>
      </c>
      <c r="N2091" s="31" t="str">
        <f>IF($L2091="","",INDEX($B$8:$B$5007,$L2091))</f>
        <v/>
      </c>
      <c r="O2091" s="32" t="str">
        <f>IF($M2091="","",IF($K2091-$M2091&gt;7,"",IF($M2091&lt;=$A2091,"",IF(OR($B2091&lt;=0,$N2091&lt;=0),"",($N2091/$B2091)^(365/($M2091-$A2091))-1))))</f>
        <v/>
      </c>
      <c r="P2091" s="31" t="str">
        <f>IF($B2091="","",IF($P2090="",$B2091,MAX($P2090,$B2091)))</f>
        <v/>
      </c>
      <c r="Q2091" s="32" t="str">
        <f>IF($P2091="","",$B2091/$P2091-1)</f>
        <v/>
      </c>
    </row>
    <row r="2092">
      <c r="A2092" s="11" t="n"/>
      <c r="B2092" s="29" t="n"/>
      <c r="K2092" s="30" t="str">
        <f>IF($A2092="","",EDATE($A2092,12*$E$4))</f>
        <v/>
      </c>
      <c r="L2092" s="19" t="str">
        <f>IF($K2092="","",IF($K2092&gt;MAX($A$8:$A$5007),"",IFERROR(MATCH($K2092,$A$8:$A$5007,1),"")))</f>
        <v/>
      </c>
      <c r="M2092" s="30" t="str">
        <f>IF($L2092="","",INDEX($A$8:$A$5007,$L2092))</f>
        <v/>
      </c>
      <c r="N2092" s="31" t="str">
        <f>IF($L2092="","",INDEX($B$8:$B$5007,$L2092))</f>
        <v/>
      </c>
      <c r="O2092" s="32" t="str">
        <f>IF($M2092="","",IF($K2092-$M2092&gt;7,"",IF($M2092&lt;=$A2092,"",IF(OR($B2092&lt;=0,$N2092&lt;=0),"",($N2092/$B2092)^(365/($M2092-$A2092))-1))))</f>
        <v/>
      </c>
      <c r="P2092" s="31" t="str">
        <f>IF($B2092="","",IF($P2091="",$B2092,MAX($P2091,$B2092)))</f>
        <v/>
      </c>
      <c r="Q2092" s="32" t="str">
        <f>IF($P2092="","",$B2092/$P2092-1)</f>
        <v/>
      </c>
    </row>
    <row r="2093">
      <c r="A2093" s="11" t="n"/>
      <c r="B2093" s="29" t="n"/>
      <c r="K2093" s="30" t="str">
        <f>IF($A2093="","",EDATE($A2093,12*$E$4))</f>
        <v/>
      </c>
      <c r="L2093" s="19" t="str">
        <f>IF($K2093="","",IF($K2093&gt;MAX($A$8:$A$5007),"",IFERROR(MATCH($K2093,$A$8:$A$5007,1),"")))</f>
        <v/>
      </c>
      <c r="M2093" s="30" t="str">
        <f>IF($L2093="","",INDEX($A$8:$A$5007,$L2093))</f>
        <v/>
      </c>
      <c r="N2093" s="31" t="str">
        <f>IF($L2093="","",INDEX($B$8:$B$5007,$L2093))</f>
        <v/>
      </c>
      <c r="O2093" s="32" t="str">
        <f>IF($M2093="","",IF($K2093-$M2093&gt;7,"",IF($M2093&lt;=$A2093,"",IF(OR($B2093&lt;=0,$N2093&lt;=0),"",($N2093/$B2093)^(365/($M2093-$A2093))-1))))</f>
        <v/>
      </c>
      <c r="P2093" s="31" t="str">
        <f>IF($B2093="","",IF($P2092="",$B2093,MAX($P2092,$B2093)))</f>
        <v/>
      </c>
      <c r="Q2093" s="32" t="str">
        <f>IF($P2093="","",$B2093/$P2093-1)</f>
        <v/>
      </c>
    </row>
    <row r="2094">
      <c r="A2094" s="11" t="n"/>
      <c r="B2094" s="29" t="n"/>
      <c r="K2094" s="30" t="str">
        <f>IF($A2094="","",EDATE($A2094,12*$E$4))</f>
        <v/>
      </c>
      <c r="L2094" s="19" t="str">
        <f>IF($K2094="","",IF($K2094&gt;MAX($A$8:$A$5007),"",IFERROR(MATCH($K2094,$A$8:$A$5007,1),"")))</f>
        <v/>
      </c>
      <c r="M2094" s="30" t="str">
        <f>IF($L2094="","",INDEX($A$8:$A$5007,$L2094))</f>
        <v/>
      </c>
      <c r="N2094" s="31" t="str">
        <f>IF($L2094="","",INDEX($B$8:$B$5007,$L2094))</f>
        <v/>
      </c>
      <c r="O2094" s="32" t="str">
        <f>IF($M2094="","",IF($K2094-$M2094&gt;7,"",IF($M2094&lt;=$A2094,"",IF(OR($B2094&lt;=0,$N2094&lt;=0),"",($N2094/$B2094)^(365/($M2094-$A2094))-1))))</f>
        <v/>
      </c>
      <c r="P2094" s="31" t="str">
        <f>IF($B2094="","",IF($P2093="",$B2094,MAX($P2093,$B2094)))</f>
        <v/>
      </c>
      <c r="Q2094" s="32" t="str">
        <f>IF($P2094="","",$B2094/$P2094-1)</f>
        <v/>
      </c>
    </row>
    <row r="2095">
      <c r="A2095" s="11" t="n"/>
      <c r="B2095" s="29" t="n"/>
      <c r="K2095" s="30" t="str">
        <f>IF($A2095="","",EDATE($A2095,12*$E$4))</f>
        <v/>
      </c>
      <c r="L2095" s="19" t="str">
        <f>IF($K2095="","",IF($K2095&gt;MAX($A$8:$A$5007),"",IFERROR(MATCH($K2095,$A$8:$A$5007,1),"")))</f>
        <v/>
      </c>
      <c r="M2095" s="30" t="str">
        <f>IF($L2095="","",INDEX($A$8:$A$5007,$L2095))</f>
        <v/>
      </c>
      <c r="N2095" s="31" t="str">
        <f>IF($L2095="","",INDEX($B$8:$B$5007,$L2095))</f>
        <v/>
      </c>
      <c r="O2095" s="32" t="str">
        <f>IF($M2095="","",IF($K2095-$M2095&gt;7,"",IF($M2095&lt;=$A2095,"",IF(OR($B2095&lt;=0,$N2095&lt;=0),"",($N2095/$B2095)^(365/($M2095-$A2095))-1))))</f>
        <v/>
      </c>
      <c r="P2095" s="31" t="str">
        <f>IF($B2095="","",IF($P2094="",$B2095,MAX($P2094,$B2095)))</f>
        <v/>
      </c>
      <c r="Q2095" s="32" t="str">
        <f>IF($P2095="","",$B2095/$P2095-1)</f>
        <v/>
      </c>
    </row>
    <row r="2096">
      <c r="A2096" s="11" t="n"/>
      <c r="B2096" s="29" t="n"/>
      <c r="K2096" s="30" t="str">
        <f>IF($A2096="","",EDATE($A2096,12*$E$4))</f>
        <v/>
      </c>
      <c r="L2096" s="19" t="str">
        <f>IF($K2096="","",IF($K2096&gt;MAX($A$8:$A$5007),"",IFERROR(MATCH($K2096,$A$8:$A$5007,1),"")))</f>
        <v/>
      </c>
      <c r="M2096" s="30" t="str">
        <f>IF($L2096="","",INDEX($A$8:$A$5007,$L2096))</f>
        <v/>
      </c>
      <c r="N2096" s="31" t="str">
        <f>IF($L2096="","",INDEX($B$8:$B$5007,$L2096))</f>
        <v/>
      </c>
      <c r="O2096" s="32" t="str">
        <f>IF($M2096="","",IF($K2096-$M2096&gt;7,"",IF($M2096&lt;=$A2096,"",IF(OR($B2096&lt;=0,$N2096&lt;=0),"",($N2096/$B2096)^(365/($M2096-$A2096))-1))))</f>
        <v/>
      </c>
      <c r="P2096" s="31" t="str">
        <f>IF($B2096="","",IF($P2095="",$B2096,MAX($P2095,$B2096)))</f>
        <v/>
      </c>
      <c r="Q2096" s="32" t="str">
        <f>IF($P2096="","",$B2096/$P2096-1)</f>
        <v/>
      </c>
    </row>
    <row r="2097">
      <c r="A2097" s="11" t="n"/>
      <c r="B2097" s="29" t="n"/>
      <c r="K2097" s="30" t="str">
        <f>IF($A2097="","",EDATE($A2097,12*$E$4))</f>
        <v/>
      </c>
      <c r="L2097" s="19" t="str">
        <f>IF($K2097="","",IF($K2097&gt;MAX($A$8:$A$5007),"",IFERROR(MATCH($K2097,$A$8:$A$5007,1),"")))</f>
        <v/>
      </c>
      <c r="M2097" s="30" t="str">
        <f>IF($L2097="","",INDEX($A$8:$A$5007,$L2097))</f>
        <v/>
      </c>
      <c r="N2097" s="31" t="str">
        <f>IF($L2097="","",INDEX($B$8:$B$5007,$L2097))</f>
        <v/>
      </c>
      <c r="O2097" s="32" t="str">
        <f>IF($M2097="","",IF($K2097-$M2097&gt;7,"",IF($M2097&lt;=$A2097,"",IF(OR($B2097&lt;=0,$N2097&lt;=0),"",($N2097/$B2097)^(365/($M2097-$A2097))-1))))</f>
        <v/>
      </c>
      <c r="P2097" s="31" t="str">
        <f>IF($B2097="","",IF($P2096="",$B2097,MAX($P2096,$B2097)))</f>
        <v/>
      </c>
      <c r="Q2097" s="32" t="str">
        <f>IF($P2097="","",$B2097/$P2097-1)</f>
        <v/>
      </c>
    </row>
    <row r="2098">
      <c r="A2098" s="11" t="n"/>
      <c r="B2098" s="29" t="n"/>
      <c r="K2098" s="30" t="str">
        <f>IF($A2098="","",EDATE($A2098,12*$E$4))</f>
        <v/>
      </c>
      <c r="L2098" s="19" t="str">
        <f>IF($K2098="","",IF($K2098&gt;MAX($A$8:$A$5007),"",IFERROR(MATCH($K2098,$A$8:$A$5007,1),"")))</f>
        <v/>
      </c>
      <c r="M2098" s="30" t="str">
        <f>IF($L2098="","",INDEX($A$8:$A$5007,$L2098))</f>
        <v/>
      </c>
      <c r="N2098" s="31" t="str">
        <f>IF($L2098="","",INDEX($B$8:$B$5007,$L2098))</f>
        <v/>
      </c>
      <c r="O2098" s="32" t="str">
        <f>IF($M2098="","",IF($K2098-$M2098&gt;7,"",IF($M2098&lt;=$A2098,"",IF(OR($B2098&lt;=0,$N2098&lt;=0),"",($N2098/$B2098)^(365/($M2098-$A2098))-1))))</f>
        <v/>
      </c>
      <c r="P2098" s="31" t="str">
        <f>IF($B2098="","",IF($P2097="",$B2098,MAX($P2097,$B2098)))</f>
        <v/>
      </c>
      <c r="Q2098" s="32" t="str">
        <f>IF($P2098="","",$B2098/$P2098-1)</f>
        <v/>
      </c>
    </row>
    <row r="2099">
      <c r="A2099" s="11" t="n"/>
      <c r="B2099" s="29" t="n"/>
      <c r="K2099" s="30" t="str">
        <f>IF($A2099="","",EDATE($A2099,12*$E$4))</f>
        <v/>
      </c>
      <c r="L2099" s="19" t="str">
        <f>IF($K2099="","",IF($K2099&gt;MAX($A$8:$A$5007),"",IFERROR(MATCH($K2099,$A$8:$A$5007,1),"")))</f>
        <v/>
      </c>
      <c r="M2099" s="30" t="str">
        <f>IF($L2099="","",INDEX($A$8:$A$5007,$L2099))</f>
        <v/>
      </c>
      <c r="N2099" s="31" t="str">
        <f>IF($L2099="","",INDEX($B$8:$B$5007,$L2099))</f>
        <v/>
      </c>
      <c r="O2099" s="32" t="str">
        <f>IF($M2099="","",IF($K2099-$M2099&gt;7,"",IF($M2099&lt;=$A2099,"",IF(OR($B2099&lt;=0,$N2099&lt;=0),"",($N2099/$B2099)^(365/($M2099-$A2099))-1))))</f>
        <v/>
      </c>
      <c r="P2099" s="31" t="str">
        <f>IF($B2099="","",IF($P2098="",$B2099,MAX($P2098,$B2099)))</f>
        <v/>
      </c>
      <c r="Q2099" s="32" t="str">
        <f>IF($P2099="","",$B2099/$P2099-1)</f>
        <v/>
      </c>
    </row>
    <row r="2100">
      <c r="A2100" s="11" t="n"/>
      <c r="B2100" s="29" t="n"/>
      <c r="K2100" s="30" t="str">
        <f>IF($A2100="","",EDATE($A2100,12*$E$4))</f>
        <v/>
      </c>
      <c r="L2100" s="19" t="str">
        <f>IF($K2100="","",IF($K2100&gt;MAX($A$8:$A$5007),"",IFERROR(MATCH($K2100,$A$8:$A$5007,1),"")))</f>
        <v/>
      </c>
      <c r="M2100" s="30" t="str">
        <f>IF($L2100="","",INDEX($A$8:$A$5007,$L2100))</f>
        <v/>
      </c>
      <c r="N2100" s="31" t="str">
        <f>IF($L2100="","",INDEX($B$8:$B$5007,$L2100))</f>
        <v/>
      </c>
      <c r="O2100" s="32" t="str">
        <f>IF($M2100="","",IF($K2100-$M2100&gt;7,"",IF($M2100&lt;=$A2100,"",IF(OR($B2100&lt;=0,$N2100&lt;=0),"",($N2100/$B2100)^(365/($M2100-$A2100))-1))))</f>
        <v/>
      </c>
      <c r="P2100" s="31" t="str">
        <f>IF($B2100="","",IF($P2099="",$B2100,MAX($P2099,$B2100)))</f>
        <v/>
      </c>
      <c r="Q2100" s="32" t="str">
        <f>IF($P2100="","",$B2100/$P2100-1)</f>
        <v/>
      </c>
    </row>
    <row r="2101">
      <c r="A2101" s="11" t="n"/>
      <c r="B2101" s="29" t="n"/>
      <c r="K2101" s="30" t="str">
        <f>IF($A2101="","",EDATE($A2101,12*$E$4))</f>
        <v/>
      </c>
      <c r="L2101" s="19" t="str">
        <f>IF($K2101="","",IF($K2101&gt;MAX($A$8:$A$5007),"",IFERROR(MATCH($K2101,$A$8:$A$5007,1),"")))</f>
        <v/>
      </c>
      <c r="M2101" s="30" t="str">
        <f>IF($L2101="","",INDEX($A$8:$A$5007,$L2101))</f>
        <v/>
      </c>
      <c r="N2101" s="31" t="str">
        <f>IF($L2101="","",INDEX($B$8:$B$5007,$L2101))</f>
        <v/>
      </c>
      <c r="O2101" s="32" t="str">
        <f>IF($M2101="","",IF($K2101-$M2101&gt;7,"",IF($M2101&lt;=$A2101,"",IF(OR($B2101&lt;=0,$N2101&lt;=0),"",($N2101/$B2101)^(365/($M2101-$A2101))-1))))</f>
        <v/>
      </c>
      <c r="P2101" s="31" t="str">
        <f>IF($B2101="","",IF($P2100="",$B2101,MAX($P2100,$B2101)))</f>
        <v/>
      </c>
      <c r="Q2101" s="32" t="str">
        <f>IF($P2101="","",$B2101/$P2101-1)</f>
        <v/>
      </c>
    </row>
    <row r="2102">
      <c r="A2102" s="11" t="n"/>
      <c r="B2102" s="29" t="n"/>
      <c r="K2102" s="30" t="str">
        <f>IF($A2102="","",EDATE($A2102,12*$E$4))</f>
        <v/>
      </c>
      <c r="L2102" s="19" t="str">
        <f>IF($K2102="","",IF($K2102&gt;MAX($A$8:$A$5007),"",IFERROR(MATCH($K2102,$A$8:$A$5007,1),"")))</f>
        <v/>
      </c>
      <c r="M2102" s="30" t="str">
        <f>IF($L2102="","",INDEX($A$8:$A$5007,$L2102))</f>
        <v/>
      </c>
      <c r="N2102" s="31" t="str">
        <f>IF($L2102="","",INDEX($B$8:$B$5007,$L2102))</f>
        <v/>
      </c>
      <c r="O2102" s="32" t="str">
        <f>IF($M2102="","",IF($K2102-$M2102&gt;7,"",IF($M2102&lt;=$A2102,"",IF(OR($B2102&lt;=0,$N2102&lt;=0),"",($N2102/$B2102)^(365/($M2102-$A2102))-1))))</f>
        <v/>
      </c>
      <c r="P2102" s="31" t="str">
        <f>IF($B2102="","",IF($P2101="",$B2102,MAX($P2101,$B2102)))</f>
        <v/>
      </c>
      <c r="Q2102" s="32" t="str">
        <f>IF($P2102="","",$B2102/$P2102-1)</f>
        <v/>
      </c>
    </row>
    <row r="2103">
      <c r="A2103" s="11" t="n"/>
      <c r="B2103" s="29" t="n"/>
      <c r="K2103" s="30" t="str">
        <f>IF($A2103="","",EDATE($A2103,12*$E$4))</f>
        <v/>
      </c>
      <c r="L2103" s="19" t="str">
        <f>IF($K2103="","",IF($K2103&gt;MAX($A$8:$A$5007),"",IFERROR(MATCH($K2103,$A$8:$A$5007,1),"")))</f>
        <v/>
      </c>
      <c r="M2103" s="30" t="str">
        <f>IF($L2103="","",INDEX($A$8:$A$5007,$L2103))</f>
        <v/>
      </c>
      <c r="N2103" s="31" t="str">
        <f>IF($L2103="","",INDEX($B$8:$B$5007,$L2103))</f>
        <v/>
      </c>
      <c r="O2103" s="32" t="str">
        <f>IF($M2103="","",IF($K2103-$M2103&gt;7,"",IF($M2103&lt;=$A2103,"",IF(OR($B2103&lt;=0,$N2103&lt;=0),"",($N2103/$B2103)^(365/($M2103-$A2103))-1))))</f>
        <v/>
      </c>
      <c r="P2103" s="31" t="str">
        <f>IF($B2103="","",IF($P2102="",$B2103,MAX($P2102,$B2103)))</f>
        <v/>
      </c>
      <c r="Q2103" s="32" t="str">
        <f>IF($P2103="","",$B2103/$P2103-1)</f>
        <v/>
      </c>
    </row>
    <row r="2104">
      <c r="A2104" s="11" t="n"/>
      <c r="B2104" s="29" t="n"/>
      <c r="K2104" s="30" t="str">
        <f>IF($A2104="","",EDATE($A2104,12*$E$4))</f>
        <v/>
      </c>
      <c r="L2104" s="19" t="str">
        <f>IF($K2104="","",IF($K2104&gt;MAX($A$8:$A$5007),"",IFERROR(MATCH($K2104,$A$8:$A$5007,1),"")))</f>
        <v/>
      </c>
      <c r="M2104" s="30" t="str">
        <f>IF($L2104="","",INDEX($A$8:$A$5007,$L2104))</f>
        <v/>
      </c>
      <c r="N2104" s="31" t="str">
        <f>IF($L2104="","",INDEX($B$8:$B$5007,$L2104))</f>
        <v/>
      </c>
      <c r="O2104" s="32" t="str">
        <f>IF($M2104="","",IF($K2104-$M2104&gt;7,"",IF($M2104&lt;=$A2104,"",IF(OR($B2104&lt;=0,$N2104&lt;=0),"",($N2104/$B2104)^(365/($M2104-$A2104))-1))))</f>
        <v/>
      </c>
      <c r="P2104" s="31" t="str">
        <f>IF($B2104="","",IF($P2103="",$B2104,MAX($P2103,$B2104)))</f>
        <v/>
      </c>
      <c r="Q2104" s="32" t="str">
        <f>IF($P2104="","",$B2104/$P2104-1)</f>
        <v/>
      </c>
    </row>
    <row r="2105">
      <c r="A2105" s="11" t="n"/>
      <c r="B2105" s="29" t="n"/>
      <c r="K2105" s="30" t="str">
        <f>IF($A2105="","",EDATE($A2105,12*$E$4))</f>
        <v/>
      </c>
      <c r="L2105" s="19" t="str">
        <f>IF($K2105="","",IF($K2105&gt;MAX($A$8:$A$5007),"",IFERROR(MATCH($K2105,$A$8:$A$5007,1),"")))</f>
        <v/>
      </c>
      <c r="M2105" s="30" t="str">
        <f>IF($L2105="","",INDEX($A$8:$A$5007,$L2105))</f>
        <v/>
      </c>
      <c r="N2105" s="31" t="str">
        <f>IF($L2105="","",INDEX($B$8:$B$5007,$L2105))</f>
        <v/>
      </c>
      <c r="O2105" s="32" t="str">
        <f>IF($M2105="","",IF($K2105-$M2105&gt;7,"",IF($M2105&lt;=$A2105,"",IF(OR($B2105&lt;=0,$N2105&lt;=0),"",($N2105/$B2105)^(365/($M2105-$A2105))-1))))</f>
        <v/>
      </c>
      <c r="P2105" s="31" t="str">
        <f>IF($B2105="","",IF($P2104="",$B2105,MAX($P2104,$B2105)))</f>
        <v/>
      </c>
      <c r="Q2105" s="32" t="str">
        <f>IF($P2105="","",$B2105/$P2105-1)</f>
        <v/>
      </c>
    </row>
    <row r="2106">
      <c r="A2106" s="11" t="n"/>
      <c r="B2106" s="29" t="n"/>
      <c r="K2106" s="30" t="str">
        <f>IF($A2106="","",EDATE($A2106,12*$E$4))</f>
        <v/>
      </c>
      <c r="L2106" s="19" t="str">
        <f>IF($K2106="","",IF($K2106&gt;MAX($A$8:$A$5007),"",IFERROR(MATCH($K2106,$A$8:$A$5007,1),"")))</f>
        <v/>
      </c>
      <c r="M2106" s="30" t="str">
        <f>IF($L2106="","",INDEX($A$8:$A$5007,$L2106))</f>
        <v/>
      </c>
      <c r="N2106" s="31" t="str">
        <f>IF($L2106="","",INDEX($B$8:$B$5007,$L2106))</f>
        <v/>
      </c>
      <c r="O2106" s="32" t="str">
        <f>IF($M2106="","",IF($K2106-$M2106&gt;7,"",IF($M2106&lt;=$A2106,"",IF(OR($B2106&lt;=0,$N2106&lt;=0),"",($N2106/$B2106)^(365/($M2106-$A2106))-1))))</f>
        <v/>
      </c>
      <c r="P2106" s="31" t="str">
        <f>IF($B2106="","",IF($P2105="",$B2106,MAX($P2105,$B2106)))</f>
        <v/>
      </c>
      <c r="Q2106" s="32" t="str">
        <f>IF($P2106="","",$B2106/$P2106-1)</f>
        <v/>
      </c>
    </row>
    <row r="2107">
      <c r="A2107" s="11" t="n"/>
      <c r="B2107" s="29" t="n"/>
      <c r="K2107" s="30" t="str">
        <f>IF($A2107="","",EDATE($A2107,12*$E$4))</f>
        <v/>
      </c>
      <c r="L2107" s="19" t="str">
        <f>IF($K2107="","",IF($K2107&gt;MAX($A$8:$A$5007),"",IFERROR(MATCH($K2107,$A$8:$A$5007,1),"")))</f>
        <v/>
      </c>
      <c r="M2107" s="30" t="str">
        <f>IF($L2107="","",INDEX($A$8:$A$5007,$L2107))</f>
        <v/>
      </c>
      <c r="N2107" s="31" t="str">
        <f>IF($L2107="","",INDEX($B$8:$B$5007,$L2107))</f>
        <v/>
      </c>
      <c r="O2107" s="32" t="str">
        <f>IF($M2107="","",IF($K2107-$M2107&gt;7,"",IF($M2107&lt;=$A2107,"",IF(OR($B2107&lt;=0,$N2107&lt;=0),"",($N2107/$B2107)^(365/($M2107-$A2107))-1))))</f>
        <v/>
      </c>
      <c r="P2107" s="31" t="str">
        <f>IF($B2107="","",IF($P2106="",$B2107,MAX($P2106,$B2107)))</f>
        <v/>
      </c>
      <c r="Q2107" s="32" t="str">
        <f>IF($P2107="","",$B2107/$P2107-1)</f>
        <v/>
      </c>
    </row>
    <row r="2108">
      <c r="A2108" s="11" t="n"/>
      <c r="B2108" s="29" t="n"/>
      <c r="K2108" s="30" t="str">
        <f>IF($A2108="","",EDATE($A2108,12*$E$4))</f>
        <v/>
      </c>
      <c r="L2108" s="19" t="str">
        <f>IF($K2108="","",IF($K2108&gt;MAX($A$8:$A$5007),"",IFERROR(MATCH($K2108,$A$8:$A$5007,1),"")))</f>
        <v/>
      </c>
      <c r="M2108" s="30" t="str">
        <f>IF($L2108="","",INDEX($A$8:$A$5007,$L2108))</f>
        <v/>
      </c>
      <c r="N2108" s="31" t="str">
        <f>IF($L2108="","",INDEX($B$8:$B$5007,$L2108))</f>
        <v/>
      </c>
      <c r="O2108" s="32" t="str">
        <f>IF($M2108="","",IF($K2108-$M2108&gt;7,"",IF($M2108&lt;=$A2108,"",IF(OR($B2108&lt;=0,$N2108&lt;=0),"",($N2108/$B2108)^(365/($M2108-$A2108))-1))))</f>
        <v/>
      </c>
      <c r="P2108" s="31" t="str">
        <f>IF($B2108="","",IF($P2107="",$B2108,MAX($P2107,$B2108)))</f>
        <v/>
      </c>
      <c r="Q2108" s="32" t="str">
        <f>IF($P2108="","",$B2108/$P2108-1)</f>
        <v/>
      </c>
    </row>
    <row r="2109">
      <c r="A2109" s="11" t="n"/>
      <c r="B2109" s="29" t="n"/>
      <c r="K2109" s="30" t="str">
        <f>IF($A2109="","",EDATE($A2109,12*$E$4))</f>
        <v/>
      </c>
      <c r="L2109" s="19" t="str">
        <f>IF($K2109="","",IF($K2109&gt;MAX($A$8:$A$5007),"",IFERROR(MATCH($K2109,$A$8:$A$5007,1),"")))</f>
        <v/>
      </c>
      <c r="M2109" s="30" t="str">
        <f>IF($L2109="","",INDEX($A$8:$A$5007,$L2109))</f>
        <v/>
      </c>
      <c r="N2109" s="31" t="str">
        <f>IF($L2109="","",INDEX($B$8:$B$5007,$L2109))</f>
        <v/>
      </c>
      <c r="O2109" s="32" t="str">
        <f>IF($M2109="","",IF($K2109-$M2109&gt;7,"",IF($M2109&lt;=$A2109,"",IF(OR($B2109&lt;=0,$N2109&lt;=0),"",($N2109/$B2109)^(365/($M2109-$A2109))-1))))</f>
        <v/>
      </c>
      <c r="P2109" s="31" t="str">
        <f>IF($B2109="","",IF($P2108="",$B2109,MAX($P2108,$B2109)))</f>
        <v/>
      </c>
      <c r="Q2109" s="32" t="str">
        <f>IF($P2109="","",$B2109/$P2109-1)</f>
        <v/>
      </c>
    </row>
    <row r="2110">
      <c r="A2110" s="11" t="n"/>
      <c r="B2110" s="29" t="n"/>
      <c r="K2110" s="30" t="str">
        <f>IF($A2110="","",EDATE($A2110,12*$E$4))</f>
        <v/>
      </c>
      <c r="L2110" s="19" t="str">
        <f>IF($K2110="","",IF($K2110&gt;MAX($A$8:$A$5007),"",IFERROR(MATCH($K2110,$A$8:$A$5007,1),"")))</f>
        <v/>
      </c>
      <c r="M2110" s="30" t="str">
        <f>IF($L2110="","",INDEX($A$8:$A$5007,$L2110))</f>
        <v/>
      </c>
      <c r="N2110" s="31" t="str">
        <f>IF($L2110="","",INDEX($B$8:$B$5007,$L2110))</f>
        <v/>
      </c>
      <c r="O2110" s="32" t="str">
        <f>IF($M2110="","",IF($K2110-$M2110&gt;7,"",IF($M2110&lt;=$A2110,"",IF(OR($B2110&lt;=0,$N2110&lt;=0),"",($N2110/$B2110)^(365/($M2110-$A2110))-1))))</f>
        <v/>
      </c>
      <c r="P2110" s="31" t="str">
        <f>IF($B2110="","",IF($P2109="",$B2110,MAX($P2109,$B2110)))</f>
        <v/>
      </c>
      <c r="Q2110" s="32" t="str">
        <f>IF($P2110="","",$B2110/$P2110-1)</f>
        <v/>
      </c>
    </row>
    <row r="2111">
      <c r="A2111" s="11" t="n"/>
      <c r="B2111" s="29" t="n"/>
      <c r="K2111" s="30" t="str">
        <f>IF($A2111="","",EDATE($A2111,12*$E$4))</f>
        <v/>
      </c>
      <c r="L2111" s="19" t="str">
        <f>IF($K2111="","",IF($K2111&gt;MAX($A$8:$A$5007),"",IFERROR(MATCH($K2111,$A$8:$A$5007,1),"")))</f>
        <v/>
      </c>
      <c r="M2111" s="30" t="str">
        <f>IF($L2111="","",INDEX($A$8:$A$5007,$L2111))</f>
        <v/>
      </c>
      <c r="N2111" s="31" t="str">
        <f>IF($L2111="","",INDEX($B$8:$B$5007,$L2111))</f>
        <v/>
      </c>
      <c r="O2111" s="32" t="str">
        <f>IF($M2111="","",IF($K2111-$M2111&gt;7,"",IF($M2111&lt;=$A2111,"",IF(OR($B2111&lt;=0,$N2111&lt;=0),"",($N2111/$B2111)^(365/($M2111-$A2111))-1))))</f>
        <v/>
      </c>
      <c r="P2111" s="31" t="str">
        <f>IF($B2111="","",IF($P2110="",$B2111,MAX($P2110,$B2111)))</f>
        <v/>
      </c>
      <c r="Q2111" s="32" t="str">
        <f>IF($P2111="","",$B2111/$P2111-1)</f>
        <v/>
      </c>
    </row>
    <row r="2112">
      <c r="A2112" s="11" t="n"/>
      <c r="B2112" s="29" t="n"/>
      <c r="K2112" s="30" t="str">
        <f>IF($A2112="","",EDATE($A2112,12*$E$4))</f>
        <v/>
      </c>
      <c r="L2112" s="19" t="str">
        <f>IF($K2112="","",IF($K2112&gt;MAX($A$8:$A$5007),"",IFERROR(MATCH($K2112,$A$8:$A$5007,1),"")))</f>
        <v/>
      </c>
      <c r="M2112" s="30" t="str">
        <f>IF($L2112="","",INDEX($A$8:$A$5007,$L2112))</f>
        <v/>
      </c>
      <c r="N2112" s="31" t="str">
        <f>IF($L2112="","",INDEX($B$8:$B$5007,$L2112))</f>
        <v/>
      </c>
      <c r="O2112" s="32" t="str">
        <f>IF($M2112="","",IF($K2112-$M2112&gt;7,"",IF($M2112&lt;=$A2112,"",IF(OR($B2112&lt;=0,$N2112&lt;=0),"",($N2112/$B2112)^(365/($M2112-$A2112))-1))))</f>
        <v/>
      </c>
      <c r="P2112" s="31" t="str">
        <f>IF($B2112="","",IF($P2111="",$B2112,MAX($P2111,$B2112)))</f>
        <v/>
      </c>
      <c r="Q2112" s="32" t="str">
        <f>IF($P2112="","",$B2112/$P2112-1)</f>
        <v/>
      </c>
    </row>
    <row r="2113">
      <c r="A2113" s="11" t="n"/>
      <c r="B2113" s="29" t="n"/>
      <c r="K2113" s="30" t="str">
        <f>IF($A2113="","",EDATE($A2113,12*$E$4))</f>
        <v/>
      </c>
      <c r="L2113" s="19" t="str">
        <f>IF($K2113="","",IF($K2113&gt;MAX($A$8:$A$5007),"",IFERROR(MATCH($K2113,$A$8:$A$5007,1),"")))</f>
        <v/>
      </c>
      <c r="M2113" s="30" t="str">
        <f>IF($L2113="","",INDEX($A$8:$A$5007,$L2113))</f>
        <v/>
      </c>
      <c r="N2113" s="31" t="str">
        <f>IF($L2113="","",INDEX($B$8:$B$5007,$L2113))</f>
        <v/>
      </c>
      <c r="O2113" s="32" t="str">
        <f>IF($M2113="","",IF($K2113-$M2113&gt;7,"",IF($M2113&lt;=$A2113,"",IF(OR($B2113&lt;=0,$N2113&lt;=0),"",($N2113/$B2113)^(365/($M2113-$A2113))-1))))</f>
        <v/>
      </c>
      <c r="P2113" s="31" t="str">
        <f>IF($B2113="","",IF($P2112="",$B2113,MAX($P2112,$B2113)))</f>
        <v/>
      </c>
      <c r="Q2113" s="32" t="str">
        <f>IF($P2113="","",$B2113/$P2113-1)</f>
        <v/>
      </c>
    </row>
    <row r="2114">
      <c r="A2114" s="11" t="n"/>
      <c r="B2114" s="29" t="n"/>
      <c r="K2114" s="30" t="str">
        <f>IF($A2114="","",EDATE($A2114,12*$E$4))</f>
        <v/>
      </c>
      <c r="L2114" s="19" t="str">
        <f>IF($K2114="","",IF($K2114&gt;MAX($A$8:$A$5007),"",IFERROR(MATCH($K2114,$A$8:$A$5007,1),"")))</f>
        <v/>
      </c>
      <c r="M2114" s="30" t="str">
        <f>IF($L2114="","",INDEX($A$8:$A$5007,$L2114))</f>
        <v/>
      </c>
      <c r="N2114" s="31" t="str">
        <f>IF($L2114="","",INDEX($B$8:$B$5007,$L2114))</f>
        <v/>
      </c>
      <c r="O2114" s="32" t="str">
        <f>IF($M2114="","",IF($K2114-$M2114&gt;7,"",IF($M2114&lt;=$A2114,"",IF(OR($B2114&lt;=0,$N2114&lt;=0),"",($N2114/$B2114)^(365/($M2114-$A2114))-1))))</f>
        <v/>
      </c>
      <c r="P2114" s="31" t="str">
        <f>IF($B2114="","",IF($P2113="",$B2114,MAX($P2113,$B2114)))</f>
        <v/>
      </c>
      <c r="Q2114" s="32" t="str">
        <f>IF($P2114="","",$B2114/$P2114-1)</f>
        <v/>
      </c>
    </row>
    <row r="2115">
      <c r="A2115" s="11" t="n"/>
      <c r="B2115" s="29" t="n"/>
      <c r="K2115" s="30" t="str">
        <f>IF($A2115="","",EDATE($A2115,12*$E$4))</f>
        <v/>
      </c>
      <c r="L2115" s="19" t="str">
        <f>IF($K2115="","",IF($K2115&gt;MAX($A$8:$A$5007),"",IFERROR(MATCH($K2115,$A$8:$A$5007,1),"")))</f>
        <v/>
      </c>
      <c r="M2115" s="30" t="str">
        <f>IF($L2115="","",INDEX($A$8:$A$5007,$L2115))</f>
        <v/>
      </c>
      <c r="N2115" s="31" t="str">
        <f>IF($L2115="","",INDEX($B$8:$B$5007,$L2115))</f>
        <v/>
      </c>
      <c r="O2115" s="32" t="str">
        <f>IF($M2115="","",IF($K2115-$M2115&gt;7,"",IF($M2115&lt;=$A2115,"",IF(OR($B2115&lt;=0,$N2115&lt;=0),"",($N2115/$B2115)^(365/($M2115-$A2115))-1))))</f>
        <v/>
      </c>
      <c r="P2115" s="31" t="str">
        <f>IF($B2115="","",IF($P2114="",$B2115,MAX($P2114,$B2115)))</f>
        <v/>
      </c>
      <c r="Q2115" s="32" t="str">
        <f>IF($P2115="","",$B2115/$P2115-1)</f>
        <v/>
      </c>
    </row>
    <row r="2116">
      <c r="A2116" s="11" t="n"/>
      <c r="B2116" s="29" t="n"/>
      <c r="K2116" s="30" t="str">
        <f>IF($A2116="","",EDATE($A2116,12*$E$4))</f>
        <v/>
      </c>
      <c r="L2116" s="19" t="str">
        <f>IF($K2116="","",IF($K2116&gt;MAX($A$8:$A$5007),"",IFERROR(MATCH($K2116,$A$8:$A$5007,1),"")))</f>
        <v/>
      </c>
      <c r="M2116" s="30" t="str">
        <f>IF($L2116="","",INDEX($A$8:$A$5007,$L2116))</f>
        <v/>
      </c>
      <c r="N2116" s="31" t="str">
        <f>IF($L2116="","",INDEX($B$8:$B$5007,$L2116))</f>
        <v/>
      </c>
      <c r="O2116" s="32" t="str">
        <f>IF($M2116="","",IF($K2116-$M2116&gt;7,"",IF($M2116&lt;=$A2116,"",IF(OR($B2116&lt;=0,$N2116&lt;=0),"",($N2116/$B2116)^(365/($M2116-$A2116))-1))))</f>
        <v/>
      </c>
      <c r="P2116" s="31" t="str">
        <f>IF($B2116="","",IF($P2115="",$B2116,MAX($P2115,$B2116)))</f>
        <v/>
      </c>
      <c r="Q2116" s="32" t="str">
        <f>IF($P2116="","",$B2116/$P2116-1)</f>
        <v/>
      </c>
    </row>
    <row r="2117">
      <c r="A2117" s="11" t="n"/>
      <c r="B2117" s="29" t="n"/>
      <c r="K2117" s="30" t="str">
        <f>IF($A2117="","",EDATE($A2117,12*$E$4))</f>
        <v/>
      </c>
      <c r="L2117" s="19" t="str">
        <f>IF($K2117="","",IF($K2117&gt;MAX($A$8:$A$5007),"",IFERROR(MATCH($K2117,$A$8:$A$5007,1),"")))</f>
        <v/>
      </c>
      <c r="M2117" s="30" t="str">
        <f>IF($L2117="","",INDEX($A$8:$A$5007,$L2117))</f>
        <v/>
      </c>
      <c r="N2117" s="31" t="str">
        <f>IF($L2117="","",INDEX($B$8:$B$5007,$L2117))</f>
        <v/>
      </c>
      <c r="O2117" s="32" t="str">
        <f>IF($M2117="","",IF($K2117-$M2117&gt;7,"",IF($M2117&lt;=$A2117,"",IF(OR($B2117&lt;=0,$N2117&lt;=0),"",($N2117/$B2117)^(365/($M2117-$A2117))-1))))</f>
        <v/>
      </c>
      <c r="P2117" s="31" t="str">
        <f>IF($B2117="","",IF($P2116="",$B2117,MAX($P2116,$B2117)))</f>
        <v/>
      </c>
      <c r="Q2117" s="32" t="str">
        <f>IF($P2117="","",$B2117/$P2117-1)</f>
        <v/>
      </c>
    </row>
    <row r="2118">
      <c r="A2118" s="11" t="n"/>
      <c r="B2118" s="29" t="n"/>
      <c r="K2118" s="30" t="str">
        <f>IF($A2118="","",EDATE($A2118,12*$E$4))</f>
        <v/>
      </c>
      <c r="L2118" s="19" t="str">
        <f>IF($K2118="","",IF($K2118&gt;MAX($A$8:$A$5007),"",IFERROR(MATCH($K2118,$A$8:$A$5007,1),"")))</f>
        <v/>
      </c>
      <c r="M2118" s="30" t="str">
        <f>IF($L2118="","",INDEX($A$8:$A$5007,$L2118))</f>
        <v/>
      </c>
      <c r="N2118" s="31" t="str">
        <f>IF($L2118="","",INDEX($B$8:$B$5007,$L2118))</f>
        <v/>
      </c>
      <c r="O2118" s="32" t="str">
        <f>IF($M2118="","",IF($K2118-$M2118&gt;7,"",IF($M2118&lt;=$A2118,"",IF(OR($B2118&lt;=0,$N2118&lt;=0),"",($N2118/$B2118)^(365/($M2118-$A2118))-1))))</f>
        <v/>
      </c>
      <c r="P2118" s="31" t="str">
        <f>IF($B2118="","",IF($P2117="",$B2118,MAX($P2117,$B2118)))</f>
        <v/>
      </c>
      <c r="Q2118" s="32" t="str">
        <f>IF($P2118="","",$B2118/$P2118-1)</f>
        <v/>
      </c>
    </row>
    <row r="2119">
      <c r="A2119" s="11" t="n"/>
      <c r="B2119" s="29" t="n"/>
      <c r="K2119" s="30" t="str">
        <f>IF($A2119="","",EDATE($A2119,12*$E$4))</f>
        <v/>
      </c>
      <c r="L2119" s="19" t="str">
        <f>IF($K2119="","",IF($K2119&gt;MAX($A$8:$A$5007),"",IFERROR(MATCH($K2119,$A$8:$A$5007,1),"")))</f>
        <v/>
      </c>
      <c r="M2119" s="30" t="str">
        <f>IF($L2119="","",INDEX($A$8:$A$5007,$L2119))</f>
        <v/>
      </c>
      <c r="N2119" s="31" t="str">
        <f>IF($L2119="","",INDEX($B$8:$B$5007,$L2119))</f>
        <v/>
      </c>
      <c r="O2119" s="32" t="str">
        <f>IF($M2119="","",IF($K2119-$M2119&gt;7,"",IF($M2119&lt;=$A2119,"",IF(OR($B2119&lt;=0,$N2119&lt;=0),"",($N2119/$B2119)^(365/($M2119-$A2119))-1))))</f>
        <v/>
      </c>
      <c r="P2119" s="31" t="str">
        <f>IF($B2119="","",IF($P2118="",$B2119,MAX($P2118,$B2119)))</f>
        <v/>
      </c>
      <c r="Q2119" s="32" t="str">
        <f>IF($P2119="","",$B2119/$P2119-1)</f>
        <v/>
      </c>
    </row>
    <row r="2120">
      <c r="A2120" s="11" t="n"/>
      <c r="B2120" s="29" t="n"/>
      <c r="K2120" s="30" t="str">
        <f>IF($A2120="","",EDATE($A2120,12*$E$4))</f>
        <v/>
      </c>
      <c r="L2120" s="19" t="str">
        <f>IF($K2120="","",IF($K2120&gt;MAX($A$8:$A$5007),"",IFERROR(MATCH($K2120,$A$8:$A$5007,1),"")))</f>
        <v/>
      </c>
      <c r="M2120" s="30" t="str">
        <f>IF($L2120="","",INDEX($A$8:$A$5007,$L2120))</f>
        <v/>
      </c>
      <c r="N2120" s="31" t="str">
        <f>IF($L2120="","",INDEX($B$8:$B$5007,$L2120))</f>
        <v/>
      </c>
      <c r="O2120" s="32" t="str">
        <f>IF($M2120="","",IF($K2120-$M2120&gt;7,"",IF($M2120&lt;=$A2120,"",IF(OR($B2120&lt;=0,$N2120&lt;=0),"",($N2120/$B2120)^(365/($M2120-$A2120))-1))))</f>
        <v/>
      </c>
      <c r="P2120" s="31" t="str">
        <f>IF($B2120="","",IF($P2119="",$B2120,MAX($P2119,$B2120)))</f>
        <v/>
      </c>
      <c r="Q2120" s="32" t="str">
        <f>IF($P2120="","",$B2120/$P2120-1)</f>
        <v/>
      </c>
    </row>
    <row r="2121">
      <c r="A2121" s="11" t="n"/>
      <c r="B2121" s="29" t="n"/>
      <c r="K2121" s="30" t="str">
        <f>IF($A2121="","",EDATE($A2121,12*$E$4))</f>
        <v/>
      </c>
      <c r="L2121" s="19" t="str">
        <f>IF($K2121="","",IF($K2121&gt;MAX($A$8:$A$5007),"",IFERROR(MATCH($K2121,$A$8:$A$5007,1),"")))</f>
        <v/>
      </c>
      <c r="M2121" s="30" t="str">
        <f>IF($L2121="","",INDEX($A$8:$A$5007,$L2121))</f>
        <v/>
      </c>
      <c r="N2121" s="31" t="str">
        <f>IF($L2121="","",INDEX($B$8:$B$5007,$L2121))</f>
        <v/>
      </c>
      <c r="O2121" s="32" t="str">
        <f>IF($M2121="","",IF($K2121-$M2121&gt;7,"",IF($M2121&lt;=$A2121,"",IF(OR($B2121&lt;=0,$N2121&lt;=0),"",($N2121/$B2121)^(365/($M2121-$A2121))-1))))</f>
        <v/>
      </c>
      <c r="P2121" s="31" t="str">
        <f>IF($B2121="","",IF($P2120="",$B2121,MAX($P2120,$B2121)))</f>
        <v/>
      </c>
      <c r="Q2121" s="32" t="str">
        <f>IF($P2121="","",$B2121/$P2121-1)</f>
        <v/>
      </c>
    </row>
    <row r="2122">
      <c r="A2122" s="11" t="n"/>
      <c r="B2122" s="29" t="n"/>
      <c r="K2122" s="30" t="str">
        <f>IF($A2122="","",EDATE($A2122,12*$E$4))</f>
        <v/>
      </c>
      <c r="L2122" s="19" t="str">
        <f>IF($K2122="","",IF($K2122&gt;MAX($A$8:$A$5007),"",IFERROR(MATCH($K2122,$A$8:$A$5007,1),"")))</f>
        <v/>
      </c>
      <c r="M2122" s="30" t="str">
        <f>IF($L2122="","",INDEX($A$8:$A$5007,$L2122))</f>
        <v/>
      </c>
      <c r="N2122" s="31" t="str">
        <f>IF($L2122="","",INDEX($B$8:$B$5007,$L2122))</f>
        <v/>
      </c>
      <c r="O2122" s="32" t="str">
        <f>IF($M2122="","",IF($K2122-$M2122&gt;7,"",IF($M2122&lt;=$A2122,"",IF(OR($B2122&lt;=0,$N2122&lt;=0),"",($N2122/$B2122)^(365/($M2122-$A2122))-1))))</f>
        <v/>
      </c>
      <c r="P2122" s="31" t="str">
        <f>IF($B2122="","",IF($P2121="",$B2122,MAX($P2121,$B2122)))</f>
        <v/>
      </c>
      <c r="Q2122" s="32" t="str">
        <f>IF($P2122="","",$B2122/$P2122-1)</f>
        <v/>
      </c>
    </row>
    <row r="2123">
      <c r="A2123" s="11" t="n"/>
      <c r="B2123" s="29" t="n"/>
      <c r="K2123" s="30" t="str">
        <f>IF($A2123="","",EDATE($A2123,12*$E$4))</f>
        <v/>
      </c>
      <c r="L2123" s="19" t="str">
        <f>IF($K2123="","",IF($K2123&gt;MAX($A$8:$A$5007),"",IFERROR(MATCH($K2123,$A$8:$A$5007,1),"")))</f>
        <v/>
      </c>
      <c r="M2123" s="30" t="str">
        <f>IF($L2123="","",INDEX($A$8:$A$5007,$L2123))</f>
        <v/>
      </c>
      <c r="N2123" s="31" t="str">
        <f>IF($L2123="","",INDEX($B$8:$B$5007,$L2123))</f>
        <v/>
      </c>
      <c r="O2123" s="32" t="str">
        <f>IF($M2123="","",IF($K2123-$M2123&gt;7,"",IF($M2123&lt;=$A2123,"",IF(OR($B2123&lt;=0,$N2123&lt;=0),"",($N2123/$B2123)^(365/($M2123-$A2123))-1))))</f>
        <v/>
      </c>
      <c r="P2123" s="31" t="str">
        <f>IF($B2123="","",IF($P2122="",$B2123,MAX($P2122,$B2123)))</f>
        <v/>
      </c>
      <c r="Q2123" s="32" t="str">
        <f>IF($P2123="","",$B2123/$P2123-1)</f>
        <v/>
      </c>
    </row>
    <row r="2124">
      <c r="A2124" s="11" t="n"/>
      <c r="B2124" s="29" t="n"/>
      <c r="K2124" s="30" t="str">
        <f>IF($A2124="","",EDATE($A2124,12*$E$4))</f>
        <v/>
      </c>
      <c r="L2124" s="19" t="str">
        <f>IF($K2124="","",IF($K2124&gt;MAX($A$8:$A$5007),"",IFERROR(MATCH($K2124,$A$8:$A$5007,1),"")))</f>
        <v/>
      </c>
      <c r="M2124" s="30" t="str">
        <f>IF($L2124="","",INDEX($A$8:$A$5007,$L2124))</f>
        <v/>
      </c>
      <c r="N2124" s="31" t="str">
        <f>IF($L2124="","",INDEX($B$8:$B$5007,$L2124))</f>
        <v/>
      </c>
      <c r="O2124" s="32" t="str">
        <f>IF($M2124="","",IF($K2124-$M2124&gt;7,"",IF($M2124&lt;=$A2124,"",IF(OR($B2124&lt;=0,$N2124&lt;=0),"",($N2124/$B2124)^(365/($M2124-$A2124))-1))))</f>
        <v/>
      </c>
      <c r="P2124" s="31" t="str">
        <f>IF($B2124="","",IF($P2123="",$B2124,MAX($P2123,$B2124)))</f>
        <v/>
      </c>
      <c r="Q2124" s="32" t="str">
        <f>IF($P2124="","",$B2124/$P2124-1)</f>
        <v/>
      </c>
    </row>
    <row r="2125">
      <c r="A2125" s="11" t="n"/>
      <c r="B2125" s="29" t="n"/>
      <c r="K2125" s="30" t="str">
        <f>IF($A2125="","",EDATE($A2125,12*$E$4))</f>
        <v/>
      </c>
      <c r="L2125" s="19" t="str">
        <f>IF($K2125="","",IF($K2125&gt;MAX($A$8:$A$5007),"",IFERROR(MATCH($K2125,$A$8:$A$5007,1),"")))</f>
        <v/>
      </c>
      <c r="M2125" s="30" t="str">
        <f>IF($L2125="","",INDEX($A$8:$A$5007,$L2125))</f>
        <v/>
      </c>
      <c r="N2125" s="31" t="str">
        <f>IF($L2125="","",INDEX($B$8:$B$5007,$L2125))</f>
        <v/>
      </c>
      <c r="O2125" s="32" t="str">
        <f>IF($M2125="","",IF($K2125-$M2125&gt;7,"",IF($M2125&lt;=$A2125,"",IF(OR($B2125&lt;=0,$N2125&lt;=0),"",($N2125/$B2125)^(365/($M2125-$A2125))-1))))</f>
        <v/>
      </c>
      <c r="P2125" s="31" t="str">
        <f>IF($B2125="","",IF($P2124="",$B2125,MAX($P2124,$B2125)))</f>
        <v/>
      </c>
      <c r="Q2125" s="32" t="str">
        <f>IF($P2125="","",$B2125/$P2125-1)</f>
        <v/>
      </c>
    </row>
    <row r="2126">
      <c r="A2126" s="11" t="n"/>
      <c r="B2126" s="29" t="n"/>
      <c r="K2126" s="30" t="str">
        <f>IF($A2126="","",EDATE($A2126,12*$E$4))</f>
        <v/>
      </c>
      <c r="L2126" s="19" t="str">
        <f>IF($K2126="","",IF($K2126&gt;MAX($A$8:$A$5007),"",IFERROR(MATCH($K2126,$A$8:$A$5007,1),"")))</f>
        <v/>
      </c>
      <c r="M2126" s="30" t="str">
        <f>IF($L2126="","",INDEX($A$8:$A$5007,$L2126))</f>
        <v/>
      </c>
      <c r="N2126" s="31" t="str">
        <f>IF($L2126="","",INDEX($B$8:$B$5007,$L2126))</f>
        <v/>
      </c>
      <c r="O2126" s="32" t="str">
        <f>IF($M2126="","",IF($K2126-$M2126&gt;7,"",IF($M2126&lt;=$A2126,"",IF(OR($B2126&lt;=0,$N2126&lt;=0),"",($N2126/$B2126)^(365/($M2126-$A2126))-1))))</f>
        <v/>
      </c>
      <c r="P2126" s="31" t="str">
        <f>IF($B2126="","",IF($P2125="",$B2126,MAX($P2125,$B2126)))</f>
        <v/>
      </c>
      <c r="Q2126" s="32" t="str">
        <f>IF($P2126="","",$B2126/$P2126-1)</f>
        <v/>
      </c>
    </row>
    <row r="2127">
      <c r="A2127" s="11" t="n"/>
      <c r="B2127" s="29" t="n"/>
      <c r="K2127" s="30" t="str">
        <f>IF($A2127="","",EDATE($A2127,12*$E$4))</f>
        <v/>
      </c>
      <c r="L2127" s="19" t="str">
        <f>IF($K2127="","",IF($K2127&gt;MAX($A$8:$A$5007),"",IFERROR(MATCH($K2127,$A$8:$A$5007,1),"")))</f>
        <v/>
      </c>
      <c r="M2127" s="30" t="str">
        <f>IF($L2127="","",INDEX($A$8:$A$5007,$L2127))</f>
        <v/>
      </c>
      <c r="N2127" s="31" t="str">
        <f>IF($L2127="","",INDEX($B$8:$B$5007,$L2127))</f>
        <v/>
      </c>
      <c r="O2127" s="32" t="str">
        <f>IF($M2127="","",IF($K2127-$M2127&gt;7,"",IF($M2127&lt;=$A2127,"",IF(OR($B2127&lt;=0,$N2127&lt;=0),"",($N2127/$B2127)^(365/($M2127-$A2127))-1))))</f>
        <v/>
      </c>
      <c r="P2127" s="31" t="str">
        <f>IF($B2127="","",IF($P2126="",$B2127,MAX($P2126,$B2127)))</f>
        <v/>
      </c>
      <c r="Q2127" s="32" t="str">
        <f>IF($P2127="","",$B2127/$P2127-1)</f>
        <v/>
      </c>
    </row>
    <row r="2128">
      <c r="A2128" s="11" t="n"/>
      <c r="B2128" s="29" t="n"/>
      <c r="K2128" s="30" t="str">
        <f>IF($A2128="","",EDATE($A2128,12*$E$4))</f>
        <v/>
      </c>
      <c r="L2128" s="19" t="str">
        <f>IF($K2128="","",IF($K2128&gt;MAX($A$8:$A$5007),"",IFERROR(MATCH($K2128,$A$8:$A$5007,1),"")))</f>
        <v/>
      </c>
      <c r="M2128" s="30" t="str">
        <f>IF($L2128="","",INDEX($A$8:$A$5007,$L2128))</f>
        <v/>
      </c>
      <c r="N2128" s="31" t="str">
        <f>IF($L2128="","",INDEX($B$8:$B$5007,$L2128))</f>
        <v/>
      </c>
      <c r="O2128" s="32" t="str">
        <f>IF($M2128="","",IF($K2128-$M2128&gt;7,"",IF($M2128&lt;=$A2128,"",IF(OR($B2128&lt;=0,$N2128&lt;=0),"",($N2128/$B2128)^(365/($M2128-$A2128))-1))))</f>
        <v/>
      </c>
      <c r="P2128" s="31" t="str">
        <f>IF($B2128="","",IF($P2127="",$B2128,MAX($P2127,$B2128)))</f>
        <v/>
      </c>
      <c r="Q2128" s="32" t="str">
        <f>IF($P2128="","",$B2128/$P2128-1)</f>
        <v/>
      </c>
    </row>
    <row r="2129">
      <c r="A2129" s="11" t="n"/>
      <c r="B2129" s="29" t="n"/>
      <c r="K2129" s="30" t="str">
        <f>IF($A2129="","",EDATE($A2129,12*$E$4))</f>
        <v/>
      </c>
      <c r="L2129" s="19" t="str">
        <f>IF($K2129="","",IF($K2129&gt;MAX($A$8:$A$5007),"",IFERROR(MATCH($K2129,$A$8:$A$5007,1),"")))</f>
        <v/>
      </c>
      <c r="M2129" s="30" t="str">
        <f>IF($L2129="","",INDEX($A$8:$A$5007,$L2129))</f>
        <v/>
      </c>
      <c r="N2129" s="31" t="str">
        <f>IF($L2129="","",INDEX($B$8:$B$5007,$L2129))</f>
        <v/>
      </c>
      <c r="O2129" s="32" t="str">
        <f>IF($M2129="","",IF($K2129-$M2129&gt;7,"",IF($M2129&lt;=$A2129,"",IF(OR($B2129&lt;=0,$N2129&lt;=0),"",($N2129/$B2129)^(365/($M2129-$A2129))-1))))</f>
        <v/>
      </c>
      <c r="P2129" s="31" t="str">
        <f>IF($B2129="","",IF($P2128="",$B2129,MAX($P2128,$B2129)))</f>
        <v/>
      </c>
      <c r="Q2129" s="32" t="str">
        <f>IF($P2129="","",$B2129/$P2129-1)</f>
        <v/>
      </c>
    </row>
    <row r="2130">
      <c r="A2130" s="11" t="n"/>
      <c r="B2130" s="29" t="n"/>
      <c r="K2130" s="30" t="str">
        <f>IF($A2130="","",EDATE($A2130,12*$E$4))</f>
        <v/>
      </c>
      <c r="L2130" s="19" t="str">
        <f>IF($K2130="","",IF($K2130&gt;MAX($A$8:$A$5007),"",IFERROR(MATCH($K2130,$A$8:$A$5007,1),"")))</f>
        <v/>
      </c>
      <c r="M2130" s="30" t="str">
        <f>IF($L2130="","",INDEX($A$8:$A$5007,$L2130))</f>
        <v/>
      </c>
      <c r="N2130" s="31" t="str">
        <f>IF($L2130="","",INDEX($B$8:$B$5007,$L2130))</f>
        <v/>
      </c>
      <c r="O2130" s="32" t="str">
        <f>IF($M2130="","",IF($K2130-$M2130&gt;7,"",IF($M2130&lt;=$A2130,"",IF(OR($B2130&lt;=0,$N2130&lt;=0),"",($N2130/$B2130)^(365/($M2130-$A2130))-1))))</f>
        <v/>
      </c>
      <c r="P2130" s="31" t="str">
        <f>IF($B2130="","",IF($P2129="",$B2130,MAX($P2129,$B2130)))</f>
        <v/>
      </c>
      <c r="Q2130" s="32" t="str">
        <f>IF($P2130="","",$B2130/$P2130-1)</f>
        <v/>
      </c>
    </row>
    <row r="2131">
      <c r="A2131" s="11" t="n"/>
      <c r="B2131" s="29" t="n"/>
      <c r="K2131" s="30" t="str">
        <f>IF($A2131="","",EDATE($A2131,12*$E$4))</f>
        <v/>
      </c>
      <c r="L2131" s="19" t="str">
        <f>IF($K2131="","",IF($K2131&gt;MAX($A$8:$A$5007),"",IFERROR(MATCH($K2131,$A$8:$A$5007,1),"")))</f>
        <v/>
      </c>
      <c r="M2131" s="30" t="str">
        <f>IF($L2131="","",INDEX($A$8:$A$5007,$L2131))</f>
        <v/>
      </c>
      <c r="N2131" s="31" t="str">
        <f>IF($L2131="","",INDEX($B$8:$B$5007,$L2131))</f>
        <v/>
      </c>
      <c r="O2131" s="32" t="str">
        <f>IF($M2131="","",IF($K2131-$M2131&gt;7,"",IF($M2131&lt;=$A2131,"",IF(OR($B2131&lt;=0,$N2131&lt;=0),"",($N2131/$B2131)^(365/($M2131-$A2131))-1))))</f>
        <v/>
      </c>
      <c r="P2131" s="31" t="str">
        <f>IF($B2131="","",IF($P2130="",$B2131,MAX($P2130,$B2131)))</f>
        <v/>
      </c>
      <c r="Q2131" s="32" t="str">
        <f>IF($P2131="","",$B2131/$P2131-1)</f>
        <v/>
      </c>
    </row>
    <row r="2132">
      <c r="A2132" s="11" t="n"/>
      <c r="B2132" s="29" t="n"/>
      <c r="K2132" s="30" t="str">
        <f>IF($A2132="","",EDATE($A2132,12*$E$4))</f>
        <v/>
      </c>
      <c r="L2132" s="19" t="str">
        <f>IF($K2132="","",IF($K2132&gt;MAX($A$8:$A$5007),"",IFERROR(MATCH($K2132,$A$8:$A$5007,1),"")))</f>
        <v/>
      </c>
      <c r="M2132" s="30" t="str">
        <f>IF($L2132="","",INDEX($A$8:$A$5007,$L2132))</f>
        <v/>
      </c>
      <c r="N2132" s="31" t="str">
        <f>IF($L2132="","",INDEX($B$8:$B$5007,$L2132))</f>
        <v/>
      </c>
      <c r="O2132" s="32" t="str">
        <f>IF($M2132="","",IF($K2132-$M2132&gt;7,"",IF($M2132&lt;=$A2132,"",IF(OR($B2132&lt;=0,$N2132&lt;=0),"",($N2132/$B2132)^(365/($M2132-$A2132))-1))))</f>
        <v/>
      </c>
      <c r="P2132" s="31" t="str">
        <f>IF($B2132="","",IF($P2131="",$B2132,MAX($P2131,$B2132)))</f>
        <v/>
      </c>
      <c r="Q2132" s="32" t="str">
        <f>IF($P2132="","",$B2132/$P2132-1)</f>
        <v/>
      </c>
    </row>
    <row r="2133">
      <c r="A2133" s="11" t="n"/>
      <c r="B2133" s="29" t="n"/>
      <c r="K2133" s="30" t="str">
        <f>IF($A2133="","",EDATE($A2133,12*$E$4))</f>
        <v/>
      </c>
      <c r="L2133" s="19" t="str">
        <f>IF($K2133="","",IF($K2133&gt;MAX($A$8:$A$5007),"",IFERROR(MATCH($K2133,$A$8:$A$5007,1),"")))</f>
        <v/>
      </c>
      <c r="M2133" s="30" t="str">
        <f>IF($L2133="","",INDEX($A$8:$A$5007,$L2133))</f>
        <v/>
      </c>
      <c r="N2133" s="31" t="str">
        <f>IF($L2133="","",INDEX($B$8:$B$5007,$L2133))</f>
        <v/>
      </c>
      <c r="O2133" s="32" t="str">
        <f>IF($M2133="","",IF($K2133-$M2133&gt;7,"",IF($M2133&lt;=$A2133,"",IF(OR($B2133&lt;=0,$N2133&lt;=0),"",($N2133/$B2133)^(365/($M2133-$A2133))-1))))</f>
        <v/>
      </c>
      <c r="P2133" s="31" t="str">
        <f>IF($B2133="","",IF($P2132="",$B2133,MAX($P2132,$B2133)))</f>
        <v/>
      </c>
      <c r="Q2133" s="32" t="str">
        <f>IF($P2133="","",$B2133/$P2133-1)</f>
        <v/>
      </c>
    </row>
    <row r="2134">
      <c r="A2134" s="11" t="n"/>
      <c r="B2134" s="29" t="n"/>
      <c r="K2134" s="30" t="str">
        <f>IF($A2134="","",EDATE($A2134,12*$E$4))</f>
        <v/>
      </c>
      <c r="L2134" s="19" t="str">
        <f>IF($K2134="","",IF($K2134&gt;MAX($A$8:$A$5007),"",IFERROR(MATCH($K2134,$A$8:$A$5007,1),"")))</f>
        <v/>
      </c>
      <c r="M2134" s="30" t="str">
        <f>IF($L2134="","",INDEX($A$8:$A$5007,$L2134))</f>
        <v/>
      </c>
      <c r="N2134" s="31" t="str">
        <f>IF($L2134="","",INDEX($B$8:$B$5007,$L2134))</f>
        <v/>
      </c>
      <c r="O2134" s="32" t="str">
        <f>IF($M2134="","",IF($K2134-$M2134&gt;7,"",IF($M2134&lt;=$A2134,"",IF(OR($B2134&lt;=0,$N2134&lt;=0),"",($N2134/$B2134)^(365/($M2134-$A2134))-1))))</f>
        <v/>
      </c>
      <c r="P2134" s="31" t="str">
        <f>IF($B2134="","",IF($P2133="",$B2134,MAX($P2133,$B2134)))</f>
        <v/>
      </c>
      <c r="Q2134" s="32" t="str">
        <f>IF($P2134="","",$B2134/$P2134-1)</f>
        <v/>
      </c>
    </row>
    <row r="2135">
      <c r="A2135" s="11" t="n"/>
      <c r="B2135" s="29" t="n"/>
      <c r="K2135" s="30" t="str">
        <f>IF($A2135="","",EDATE($A2135,12*$E$4))</f>
        <v/>
      </c>
      <c r="L2135" s="19" t="str">
        <f>IF($K2135="","",IF($K2135&gt;MAX($A$8:$A$5007),"",IFERROR(MATCH($K2135,$A$8:$A$5007,1),"")))</f>
        <v/>
      </c>
      <c r="M2135" s="30" t="str">
        <f>IF($L2135="","",INDEX($A$8:$A$5007,$L2135))</f>
        <v/>
      </c>
      <c r="N2135" s="31" t="str">
        <f>IF($L2135="","",INDEX($B$8:$B$5007,$L2135))</f>
        <v/>
      </c>
      <c r="O2135" s="32" t="str">
        <f>IF($M2135="","",IF($K2135-$M2135&gt;7,"",IF($M2135&lt;=$A2135,"",IF(OR($B2135&lt;=0,$N2135&lt;=0),"",($N2135/$B2135)^(365/($M2135-$A2135))-1))))</f>
        <v/>
      </c>
      <c r="P2135" s="31" t="str">
        <f>IF($B2135="","",IF($P2134="",$B2135,MAX($P2134,$B2135)))</f>
        <v/>
      </c>
      <c r="Q2135" s="32" t="str">
        <f>IF($P2135="","",$B2135/$P2135-1)</f>
        <v/>
      </c>
    </row>
    <row r="2136">
      <c r="A2136" s="11" t="n"/>
      <c r="B2136" s="29" t="n"/>
      <c r="K2136" s="30" t="str">
        <f>IF($A2136="","",EDATE($A2136,12*$E$4))</f>
        <v/>
      </c>
      <c r="L2136" s="19" t="str">
        <f>IF($K2136="","",IF($K2136&gt;MAX($A$8:$A$5007),"",IFERROR(MATCH($K2136,$A$8:$A$5007,1),"")))</f>
        <v/>
      </c>
      <c r="M2136" s="30" t="str">
        <f>IF($L2136="","",INDEX($A$8:$A$5007,$L2136))</f>
        <v/>
      </c>
      <c r="N2136" s="31" t="str">
        <f>IF($L2136="","",INDEX($B$8:$B$5007,$L2136))</f>
        <v/>
      </c>
      <c r="O2136" s="32" t="str">
        <f>IF($M2136="","",IF($K2136-$M2136&gt;7,"",IF($M2136&lt;=$A2136,"",IF(OR($B2136&lt;=0,$N2136&lt;=0),"",($N2136/$B2136)^(365/($M2136-$A2136))-1))))</f>
        <v/>
      </c>
      <c r="P2136" s="31" t="str">
        <f>IF($B2136="","",IF($P2135="",$B2136,MAX($P2135,$B2136)))</f>
        <v/>
      </c>
      <c r="Q2136" s="32" t="str">
        <f>IF($P2136="","",$B2136/$P2136-1)</f>
        <v/>
      </c>
    </row>
    <row r="2137">
      <c r="A2137" s="11" t="n"/>
      <c r="B2137" s="29" t="n"/>
      <c r="K2137" s="30" t="str">
        <f>IF($A2137="","",EDATE($A2137,12*$E$4))</f>
        <v/>
      </c>
      <c r="L2137" s="19" t="str">
        <f>IF($K2137="","",IF($K2137&gt;MAX($A$8:$A$5007),"",IFERROR(MATCH($K2137,$A$8:$A$5007,1),"")))</f>
        <v/>
      </c>
      <c r="M2137" s="30" t="str">
        <f>IF($L2137="","",INDEX($A$8:$A$5007,$L2137))</f>
        <v/>
      </c>
      <c r="N2137" s="31" t="str">
        <f>IF($L2137="","",INDEX($B$8:$B$5007,$L2137))</f>
        <v/>
      </c>
      <c r="O2137" s="32" t="str">
        <f>IF($M2137="","",IF($K2137-$M2137&gt;7,"",IF($M2137&lt;=$A2137,"",IF(OR($B2137&lt;=0,$N2137&lt;=0),"",($N2137/$B2137)^(365/($M2137-$A2137))-1))))</f>
        <v/>
      </c>
      <c r="P2137" s="31" t="str">
        <f>IF($B2137="","",IF($P2136="",$B2137,MAX($P2136,$B2137)))</f>
        <v/>
      </c>
      <c r="Q2137" s="32" t="str">
        <f>IF($P2137="","",$B2137/$P2137-1)</f>
        <v/>
      </c>
    </row>
    <row r="2138">
      <c r="A2138" s="11" t="n"/>
      <c r="B2138" s="29" t="n"/>
      <c r="K2138" s="30" t="str">
        <f>IF($A2138="","",EDATE($A2138,12*$E$4))</f>
        <v/>
      </c>
      <c r="L2138" s="19" t="str">
        <f>IF($K2138="","",IF($K2138&gt;MAX($A$8:$A$5007),"",IFERROR(MATCH($K2138,$A$8:$A$5007,1),"")))</f>
        <v/>
      </c>
      <c r="M2138" s="30" t="str">
        <f>IF($L2138="","",INDEX($A$8:$A$5007,$L2138))</f>
        <v/>
      </c>
      <c r="N2138" s="31" t="str">
        <f>IF($L2138="","",INDEX($B$8:$B$5007,$L2138))</f>
        <v/>
      </c>
      <c r="O2138" s="32" t="str">
        <f>IF($M2138="","",IF($K2138-$M2138&gt;7,"",IF($M2138&lt;=$A2138,"",IF(OR($B2138&lt;=0,$N2138&lt;=0),"",($N2138/$B2138)^(365/($M2138-$A2138))-1))))</f>
        <v/>
      </c>
      <c r="P2138" s="31" t="str">
        <f>IF($B2138="","",IF($P2137="",$B2138,MAX($P2137,$B2138)))</f>
        <v/>
      </c>
      <c r="Q2138" s="32" t="str">
        <f>IF($P2138="","",$B2138/$P2138-1)</f>
        <v/>
      </c>
    </row>
    <row r="2139">
      <c r="A2139" s="11" t="n"/>
      <c r="B2139" s="29" t="n"/>
      <c r="K2139" s="30" t="str">
        <f>IF($A2139="","",EDATE($A2139,12*$E$4))</f>
        <v/>
      </c>
      <c r="L2139" s="19" t="str">
        <f>IF($K2139="","",IF($K2139&gt;MAX($A$8:$A$5007),"",IFERROR(MATCH($K2139,$A$8:$A$5007,1),"")))</f>
        <v/>
      </c>
      <c r="M2139" s="30" t="str">
        <f>IF($L2139="","",INDEX($A$8:$A$5007,$L2139))</f>
        <v/>
      </c>
      <c r="N2139" s="31" t="str">
        <f>IF($L2139="","",INDEX($B$8:$B$5007,$L2139))</f>
        <v/>
      </c>
      <c r="O2139" s="32" t="str">
        <f>IF($M2139="","",IF($K2139-$M2139&gt;7,"",IF($M2139&lt;=$A2139,"",IF(OR($B2139&lt;=0,$N2139&lt;=0),"",($N2139/$B2139)^(365/($M2139-$A2139))-1))))</f>
        <v/>
      </c>
      <c r="P2139" s="31" t="str">
        <f>IF($B2139="","",IF($P2138="",$B2139,MAX($P2138,$B2139)))</f>
        <v/>
      </c>
      <c r="Q2139" s="32" t="str">
        <f>IF($P2139="","",$B2139/$P2139-1)</f>
        <v/>
      </c>
    </row>
    <row r="2140">
      <c r="A2140" s="11" t="n"/>
      <c r="B2140" s="29" t="n"/>
      <c r="K2140" s="30" t="str">
        <f>IF($A2140="","",EDATE($A2140,12*$E$4))</f>
        <v/>
      </c>
      <c r="L2140" s="19" t="str">
        <f>IF($K2140="","",IF($K2140&gt;MAX($A$8:$A$5007),"",IFERROR(MATCH($K2140,$A$8:$A$5007,1),"")))</f>
        <v/>
      </c>
      <c r="M2140" s="30" t="str">
        <f>IF($L2140="","",INDEX($A$8:$A$5007,$L2140))</f>
        <v/>
      </c>
      <c r="N2140" s="31" t="str">
        <f>IF($L2140="","",INDEX($B$8:$B$5007,$L2140))</f>
        <v/>
      </c>
      <c r="O2140" s="32" t="str">
        <f>IF($M2140="","",IF($K2140-$M2140&gt;7,"",IF($M2140&lt;=$A2140,"",IF(OR($B2140&lt;=0,$N2140&lt;=0),"",($N2140/$B2140)^(365/($M2140-$A2140))-1))))</f>
        <v/>
      </c>
      <c r="P2140" s="31" t="str">
        <f>IF($B2140="","",IF($P2139="",$B2140,MAX($P2139,$B2140)))</f>
        <v/>
      </c>
      <c r="Q2140" s="32" t="str">
        <f>IF($P2140="","",$B2140/$P2140-1)</f>
        <v/>
      </c>
    </row>
    <row r="2141">
      <c r="A2141" s="11" t="n"/>
      <c r="B2141" s="29" t="n"/>
      <c r="K2141" s="30" t="str">
        <f>IF($A2141="","",EDATE($A2141,12*$E$4))</f>
        <v/>
      </c>
      <c r="L2141" s="19" t="str">
        <f>IF($K2141="","",IF($K2141&gt;MAX($A$8:$A$5007),"",IFERROR(MATCH($K2141,$A$8:$A$5007,1),"")))</f>
        <v/>
      </c>
      <c r="M2141" s="30" t="str">
        <f>IF($L2141="","",INDEX($A$8:$A$5007,$L2141))</f>
        <v/>
      </c>
      <c r="N2141" s="31" t="str">
        <f>IF($L2141="","",INDEX($B$8:$B$5007,$L2141))</f>
        <v/>
      </c>
      <c r="O2141" s="32" t="str">
        <f>IF($M2141="","",IF($K2141-$M2141&gt;7,"",IF($M2141&lt;=$A2141,"",IF(OR($B2141&lt;=0,$N2141&lt;=0),"",($N2141/$B2141)^(365/($M2141-$A2141))-1))))</f>
        <v/>
      </c>
      <c r="P2141" s="31" t="str">
        <f>IF($B2141="","",IF($P2140="",$B2141,MAX($P2140,$B2141)))</f>
        <v/>
      </c>
      <c r="Q2141" s="32" t="str">
        <f>IF($P2141="","",$B2141/$P2141-1)</f>
        <v/>
      </c>
    </row>
    <row r="2142">
      <c r="A2142" s="11" t="n"/>
      <c r="B2142" s="29" t="n"/>
      <c r="K2142" s="30" t="str">
        <f>IF($A2142="","",EDATE($A2142,12*$E$4))</f>
        <v/>
      </c>
      <c r="L2142" s="19" t="str">
        <f>IF($K2142="","",IF($K2142&gt;MAX($A$8:$A$5007),"",IFERROR(MATCH($K2142,$A$8:$A$5007,1),"")))</f>
        <v/>
      </c>
      <c r="M2142" s="30" t="str">
        <f>IF($L2142="","",INDEX($A$8:$A$5007,$L2142))</f>
        <v/>
      </c>
      <c r="N2142" s="31" t="str">
        <f>IF($L2142="","",INDEX($B$8:$B$5007,$L2142))</f>
        <v/>
      </c>
      <c r="O2142" s="32" t="str">
        <f>IF($M2142="","",IF($K2142-$M2142&gt;7,"",IF($M2142&lt;=$A2142,"",IF(OR($B2142&lt;=0,$N2142&lt;=0),"",($N2142/$B2142)^(365/($M2142-$A2142))-1))))</f>
        <v/>
      </c>
      <c r="P2142" s="31" t="str">
        <f>IF($B2142="","",IF($P2141="",$B2142,MAX($P2141,$B2142)))</f>
        <v/>
      </c>
      <c r="Q2142" s="32" t="str">
        <f>IF($P2142="","",$B2142/$P2142-1)</f>
        <v/>
      </c>
    </row>
    <row r="2143">
      <c r="A2143" s="11" t="n"/>
      <c r="B2143" s="29" t="n"/>
      <c r="K2143" s="30" t="str">
        <f>IF($A2143="","",EDATE($A2143,12*$E$4))</f>
        <v/>
      </c>
      <c r="L2143" s="19" t="str">
        <f>IF($K2143="","",IF($K2143&gt;MAX($A$8:$A$5007),"",IFERROR(MATCH($K2143,$A$8:$A$5007,1),"")))</f>
        <v/>
      </c>
      <c r="M2143" s="30" t="str">
        <f>IF($L2143="","",INDEX($A$8:$A$5007,$L2143))</f>
        <v/>
      </c>
      <c r="N2143" s="31" t="str">
        <f>IF($L2143="","",INDEX($B$8:$B$5007,$L2143))</f>
        <v/>
      </c>
      <c r="O2143" s="32" t="str">
        <f>IF($M2143="","",IF($K2143-$M2143&gt;7,"",IF($M2143&lt;=$A2143,"",IF(OR($B2143&lt;=0,$N2143&lt;=0),"",($N2143/$B2143)^(365/($M2143-$A2143))-1))))</f>
        <v/>
      </c>
      <c r="P2143" s="31" t="str">
        <f>IF($B2143="","",IF($P2142="",$B2143,MAX($P2142,$B2143)))</f>
        <v/>
      </c>
      <c r="Q2143" s="32" t="str">
        <f>IF($P2143="","",$B2143/$P2143-1)</f>
        <v/>
      </c>
    </row>
    <row r="2144">
      <c r="A2144" s="11" t="n"/>
      <c r="B2144" s="29" t="n"/>
      <c r="K2144" s="30" t="str">
        <f>IF($A2144="","",EDATE($A2144,12*$E$4))</f>
        <v/>
      </c>
      <c r="L2144" s="19" t="str">
        <f>IF($K2144="","",IF($K2144&gt;MAX($A$8:$A$5007),"",IFERROR(MATCH($K2144,$A$8:$A$5007,1),"")))</f>
        <v/>
      </c>
      <c r="M2144" s="30" t="str">
        <f>IF($L2144="","",INDEX($A$8:$A$5007,$L2144))</f>
        <v/>
      </c>
      <c r="N2144" s="31" t="str">
        <f>IF($L2144="","",INDEX($B$8:$B$5007,$L2144))</f>
        <v/>
      </c>
      <c r="O2144" s="32" t="str">
        <f>IF($M2144="","",IF($K2144-$M2144&gt;7,"",IF($M2144&lt;=$A2144,"",IF(OR($B2144&lt;=0,$N2144&lt;=0),"",($N2144/$B2144)^(365/($M2144-$A2144))-1))))</f>
        <v/>
      </c>
      <c r="P2144" s="31" t="str">
        <f>IF($B2144="","",IF($P2143="",$B2144,MAX($P2143,$B2144)))</f>
        <v/>
      </c>
      <c r="Q2144" s="32" t="str">
        <f>IF($P2144="","",$B2144/$P2144-1)</f>
        <v/>
      </c>
    </row>
    <row r="2145">
      <c r="A2145" s="11" t="n"/>
      <c r="B2145" s="29" t="n"/>
      <c r="K2145" s="30" t="str">
        <f>IF($A2145="","",EDATE($A2145,12*$E$4))</f>
        <v/>
      </c>
      <c r="L2145" s="19" t="str">
        <f>IF($K2145="","",IF($K2145&gt;MAX($A$8:$A$5007),"",IFERROR(MATCH($K2145,$A$8:$A$5007,1),"")))</f>
        <v/>
      </c>
      <c r="M2145" s="30" t="str">
        <f>IF($L2145="","",INDEX($A$8:$A$5007,$L2145))</f>
        <v/>
      </c>
      <c r="N2145" s="31" t="str">
        <f>IF($L2145="","",INDEX($B$8:$B$5007,$L2145))</f>
        <v/>
      </c>
      <c r="O2145" s="32" t="str">
        <f>IF($M2145="","",IF($K2145-$M2145&gt;7,"",IF($M2145&lt;=$A2145,"",IF(OR($B2145&lt;=0,$N2145&lt;=0),"",($N2145/$B2145)^(365/($M2145-$A2145))-1))))</f>
        <v/>
      </c>
      <c r="P2145" s="31" t="str">
        <f>IF($B2145="","",IF($P2144="",$B2145,MAX($P2144,$B2145)))</f>
        <v/>
      </c>
      <c r="Q2145" s="32" t="str">
        <f>IF($P2145="","",$B2145/$P2145-1)</f>
        <v/>
      </c>
    </row>
    <row r="2146">
      <c r="A2146" s="11" t="n"/>
      <c r="B2146" s="29" t="n"/>
      <c r="K2146" s="30" t="str">
        <f>IF($A2146="","",EDATE($A2146,12*$E$4))</f>
        <v/>
      </c>
      <c r="L2146" s="19" t="str">
        <f>IF($K2146="","",IF($K2146&gt;MAX($A$8:$A$5007),"",IFERROR(MATCH($K2146,$A$8:$A$5007,1),"")))</f>
        <v/>
      </c>
      <c r="M2146" s="30" t="str">
        <f>IF($L2146="","",INDEX($A$8:$A$5007,$L2146))</f>
        <v/>
      </c>
      <c r="N2146" s="31" t="str">
        <f>IF($L2146="","",INDEX($B$8:$B$5007,$L2146))</f>
        <v/>
      </c>
      <c r="O2146" s="32" t="str">
        <f>IF($M2146="","",IF($K2146-$M2146&gt;7,"",IF($M2146&lt;=$A2146,"",IF(OR($B2146&lt;=0,$N2146&lt;=0),"",($N2146/$B2146)^(365/($M2146-$A2146))-1))))</f>
        <v/>
      </c>
      <c r="P2146" s="31" t="str">
        <f>IF($B2146="","",IF($P2145="",$B2146,MAX($P2145,$B2146)))</f>
        <v/>
      </c>
      <c r="Q2146" s="32" t="str">
        <f>IF($P2146="","",$B2146/$P2146-1)</f>
        <v/>
      </c>
    </row>
    <row r="2147">
      <c r="A2147" s="11" t="n"/>
      <c r="B2147" s="29" t="n"/>
      <c r="K2147" s="30" t="str">
        <f>IF($A2147="","",EDATE($A2147,12*$E$4))</f>
        <v/>
      </c>
      <c r="L2147" s="19" t="str">
        <f>IF($K2147="","",IF($K2147&gt;MAX($A$8:$A$5007),"",IFERROR(MATCH($K2147,$A$8:$A$5007,1),"")))</f>
        <v/>
      </c>
      <c r="M2147" s="30" t="str">
        <f>IF($L2147="","",INDEX($A$8:$A$5007,$L2147))</f>
        <v/>
      </c>
      <c r="N2147" s="31" t="str">
        <f>IF($L2147="","",INDEX($B$8:$B$5007,$L2147))</f>
        <v/>
      </c>
      <c r="O2147" s="32" t="str">
        <f>IF($M2147="","",IF($K2147-$M2147&gt;7,"",IF($M2147&lt;=$A2147,"",IF(OR($B2147&lt;=0,$N2147&lt;=0),"",($N2147/$B2147)^(365/($M2147-$A2147))-1))))</f>
        <v/>
      </c>
      <c r="P2147" s="31" t="str">
        <f>IF($B2147="","",IF($P2146="",$B2147,MAX($P2146,$B2147)))</f>
        <v/>
      </c>
      <c r="Q2147" s="32" t="str">
        <f>IF($P2147="","",$B2147/$P2147-1)</f>
        <v/>
      </c>
    </row>
    <row r="2148">
      <c r="A2148" s="11" t="n"/>
      <c r="B2148" s="29" t="n"/>
      <c r="K2148" s="30" t="str">
        <f>IF($A2148="","",EDATE($A2148,12*$E$4))</f>
        <v/>
      </c>
      <c r="L2148" s="19" t="str">
        <f>IF($K2148="","",IF($K2148&gt;MAX($A$8:$A$5007),"",IFERROR(MATCH($K2148,$A$8:$A$5007,1),"")))</f>
        <v/>
      </c>
      <c r="M2148" s="30" t="str">
        <f>IF($L2148="","",INDEX($A$8:$A$5007,$L2148))</f>
        <v/>
      </c>
      <c r="N2148" s="31" t="str">
        <f>IF($L2148="","",INDEX($B$8:$B$5007,$L2148))</f>
        <v/>
      </c>
      <c r="O2148" s="32" t="str">
        <f>IF($M2148="","",IF($K2148-$M2148&gt;7,"",IF($M2148&lt;=$A2148,"",IF(OR($B2148&lt;=0,$N2148&lt;=0),"",($N2148/$B2148)^(365/($M2148-$A2148))-1))))</f>
        <v/>
      </c>
      <c r="P2148" s="31" t="str">
        <f>IF($B2148="","",IF($P2147="",$B2148,MAX($P2147,$B2148)))</f>
        <v/>
      </c>
      <c r="Q2148" s="32" t="str">
        <f>IF($P2148="","",$B2148/$P2148-1)</f>
        <v/>
      </c>
    </row>
    <row r="2149">
      <c r="A2149" s="11" t="n"/>
      <c r="B2149" s="29" t="n"/>
      <c r="K2149" s="30" t="str">
        <f>IF($A2149="","",EDATE($A2149,12*$E$4))</f>
        <v/>
      </c>
      <c r="L2149" s="19" t="str">
        <f>IF($K2149="","",IF($K2149&gt;MAX($A$8:$A$5007),"",IFERROR(MATCH($K2149,$A$8:$A$5007,1),"")))</f>
        <v/>
      </c>
      <c r="M2149" s="30" t="str">
        <f>IF($L2149="","",INDEX($A$8:$A$5007,$L2149))</f>
        <v/>
      </c>
      <c r="N2149" s="31" t="str">
        <f>IF($L2149="","",INDEX($B$8:$B$5007,$L2149))</f>
        <v/>
      </c>
      <c r="O2149" s="32" t="str">
        <f>IF($M2149="","",IF($K2149-$M2149&gt;7,"",IF($M2149&lt;=$A2149,"",IF(OR($B2149&lt;=0,$N2149&lt;=0),"",($N2149/$B2149)^(365/($M2149-$A2149))-1))))</f>
        <v/>
      </c>
      <c r="P2149" s="31" t="str">
        <f>IF($B2149="","",IF($P2148="",$B2149,MAX($P2148,$B2149)))</f>
        <v/>
      </c>
      <c r="Q2149" s="32" t="str">
        <f>IF($P2149="","",$B2149/$P2149-1)</f>
        <v/>
      </c>
    </row>
    <row r="2150">
      <c r="A2150" s="11" t="n"/>
      <c r="B2150" s="29" t="n"/>
      <c r="K2150" s="30" t="str">
        <f>IF($A2150="","",EDATE($A2150,12*$E$4))</f>
        <v/>
      </c>
      <c r="L2150" s="19" t="str">
        <f>IF($K2150="","",IF($K2150&gt;MAX($A$8:$A$5007),"",IFERROR(MATCH($K2150,$A$8:$A$5007,1),"")))</f>
        <v/>
      </c>
      <c r="M2150" s="30" t="str">
        <f>IF($L2150="","",INDEX($A$8:$A$5007,$L2150))</f>
        <v/>
      </c>
      <c r="N2150" s="31" t="str">
        <f>IF($L2150="","",INDEX($B$8:$B$5007,$L2150))</f>
        <v/>
      </c>
      <c r="O2150" s="32" t="str">
        <f>IF($M2150="","",IF($K2150-$M2150&gt;7,"",IF($M2150&lt;=$A2150,"",IF(OR($B2150&lt;=0,$N2150&lt;=0),"",($N2150/$B2150)^(365/($M2150-$A2150))-1))))</f>
        <v/>
      </c>
      <c r="P2150" s="31" t="str">
        <f>IF($B2150="","",IF($P2149="",$B2150,MAX($P2149,$B2150)))</f>
        <v/>
      </c>
      <c r="Q2150" s="32" t="str">
        <f>IF($P2150="","",$B2150/$P2150-1)</f>
        <v/>
      </c>
    </row>
    <row r="2151">
      <c r="A2151" s="11" t="n"/>
      <c r="B2151" s="29" t="n"/>
      <c r="K2151" s="30" t="str">
        <f>IF($A2151="","",EDATE($A2151,12*$E$4))</f>
        <v/>
      </c>
      <c r="L2151" s="19" t="str">
        <f>IF($K2151="","",IF($K2151&gt;MAX($A$8:$A$5007),"",IFERROR(MATCH($K2151,$A$8:$A$5007,1),"")))</f>
        <v/>
      </c>
      <c r="M2151" s="30" t="str">
        <f>IF($L2151="","",INDEX($A$8:$A$5007,$L2151))</f>
        <v/>
      </c>
      <c r="N2151" s="31" t="str">
        <f>IF($L2151="","",INDEX($B$8:$B$5007,$L2151))</f>
        <v/>
      </c>
      <c r="O2151" s="32" t="str">
        <f>IF($M2151="","",IF($K2151-$M2151&gt;7,"",IF($M2151&lt;=$A2151,"",IF(OR($B2151&lt;=0,$N2151&lt;=0),"",($N2151/$B2151)^(365/($M2151-$A2151))-1))))</f>
        <v/>
      </c>
      <c r="P2151" s="31" t="str">
        <f>IF($B2151="","",IF($P2150="",$B2151,MAX($P2150,$B2151)))</f>
        <v/>
      </c>
      <c r="Q2151" s="32" t="str">
        <f>IF($P2151="","",$B2151/$P2151-1)</f>
        <v/>
      </c>
    </row>
    <row r="2152">
      <c r="A2152" s="11" t="n"/>
      <c r="B2152" s="29" t="n"/>
      <c r="K2152" s="30" t="str">
        <f>IF($A2152="","",EDATE($A2152,12*$E$4))</f>
        <v/>
      </c>
      <c r="L2152" s="19" t="str">
        <f>IF($K2152="","",IF($K2152&gt;MAX($A$8:$A$5007),"",IFERROR(MATCH($K2152,$A$8:$A$5007,1),"")))</f>
        <v/>
      </c>
      <c r="M2152" s="30" t="str">
        <f>IF($L2152="","",INDEX($A$8:$A$5007,$L2152))</f>
        <v/>
      </c>
      <c r="N2152" s="31" t="str">
        <f>IF($L2152="","",INDEX($B$8:$B$5007,$L2152))</f>
        <v/>
      </c>
      <c r="O2152" s="32" t="str">
        <f>IF($M2152="","",IF($K2152-$M2152&gt;7,"",IF($M2152&lt;=$A2152,"",IF(OR($B2152&lt;=0,$N2152&lt;=0),"",($N2152/$B2152)^(365/($M2152-$A2152))-1))))</f>
        <v/>
      </c>
      <c r="P2152" s="31" t="str">
        <f>IF($B2152="","",IF($P2151="",$B2152,MAX($P2151,$B2152)))</f>
        <v/>
      </c>
      <c r="Q2152" s="32" t="str">
        <f>IF($P2152="","",$B2152/$P2152-1)</f>
        <v/>
      </c>
    </row>
    <row r="2153">
      <c r="A2153" s="11" t="n"/>
      <c r="B2153" s="29" t="n"/>
      <c r="K2153" s="30" t="str">
        <f>IF($A2153="","",EDATE($A2153,12*$E$4))</f>
        <v/>
      </c>
      <c r="L2153" s="19" t="str">
        <f>IF($K2153="","",IF($K2153&gt;MAX($A$8:$A$5007),"",IFERROR(MATCH($K2153,$A$8:$A$5007,1),"")))</f>
        <v/>
      </c>
      <c r="M2153" s="30" t="str">
        <f>IF($L2153="","",INDEX($A$8:$A$5007,$L2153))</f>
        <v/>
      </c>
      <c r="N2153" s="31" t="str">
        <f>IF($L2153="","",INDEX($B$8:$B$5007,$L2153))</f>
        <v/>
      </c>
      <c r="O2153" s="32" t="str">
        <f>IF($M2153="","",IF($K2153-$M2153&gt;7,"",IF($M2153&lt;=$A2153,"",IF(OR($B2153&lt;=0,$N2153&lt;=0),"",($N2153/$B2153)^(365/($M2153-$A2153))-1))))</f>
        <v/>
      </c>
      <c r="P2153" s="31" t="str">
        <f>IF($B2153="","",IF($P2152="",$B2153,MAX($P2152,$B2153)))</f>
        <v/>
      </c>
      <c r="Q2153" s="32" t="str">
        <f>IF($P2153="","",$B2153/$P2153-1)</f>
        <v/>
      </c>
    </row>
    <row r="2154">
      <c r="A2154" s="11" t="n"/>
      <c r="B2154" s="29" t="n"/>
      <c r="K2154" s="30" t="str">
        <f>IF($A2154="","",EDATE($A2154,12*$E$4))</f>
        <v/>
      </c>
      <c r="L2154" s="19" t="str">
        <f>IF($K2154="","",IF($K2154&gt;MAX($A$8:$A$5007),"",IFERROR(MATCH($K2154,$A$8:$A$5007,1),"")))</f>
        <v/>
      </c>
      <c r="M2154" s="30" t="str">
        <f>IF($L2154="","",INDEX($A$8:$A$5007,$L2154))</f>
        <v/>
      </c>
      <c r="N2154" s="31" t="str">
        <f>IF($L2154="","",INDEX($B$8:$B$5007,$L2154))</f>
        <v/>
      </c>
      <c r="O2154" s="32" t="str">
        <f>IF($M2154="","",IF($K2154-$M2154&gt;7,"",IF($M2154&lt;=$A2154,"",IF(OR($B2154&lt;=0,$N2154&lt;=0),"",($N2154/$B2154)^(365/($M2154-$A2154))-1))))</f>
        <v/>
      </c>
      <c r="P2154" s="31" t="str">
        <f>IF($B2154="","",IF($P2153="",$B2154,MAX($P2153,$B2154)))</f>
        <v/>
      </c>
      <c r="Q2154" s="32" t="str">
        <f>IF($P2154="","",$B2154/$P2154-1)</f>
        <v/>
      </c>
    </row>
    <row r="2155">
      <c r="A2155" s="11" t="n"/>
      <c r="B2155" s="29" t="n"/>
      <c r="K2155" s="30" t="str">
        <f>IF($A2155="","",EDATE($A2155,12*$E$4))</f>
        <v/>
      </c>
      <c r="L2155" s="19" t="str">
        <f>IF($K2155="","",IF($K2155&gt;MAX($A$8:$A$5007),"",IFERROR(MATCH($K2155,$A$8:$A$5007,1),"")))</f>
        <v/>
      </c>
      <c r="M2155" s="30" t="str">
        <f>IF($L2155="","",INDEX($A$8:$A$5007,$L2155))</f>
        <v/>
      </c>
      <c r="N2155" s="31" t="str">
        <f>IF($L2155="","",INDEX($B$8:$B$5007,$L2155))</f>
        <v/>
      </c>
      <c r="O2155" s="32" t="str">
        <f>IF($M2155="","",IF($K2155-$M2155&gt;7,"",IF($M2155&lt;=$A2155,"",IF(OR($B2155&lt;=0,$N2155&lt;=0),"",($N2155/$B2155)^(365/($M2155-$A2155))-1))))</f>
        <v/>
      </c>
      <c r="P2155" s="31" t="str">
        <f>IF($B2155="","",IF($P2154="",$B2155,MAX($P2154,$B2155)))</f>
        <v/>
      </c>
      <c r="Q2155" s="32" t="str">
        <f>IF($P2155="","",$B2155/$P2155-1)</f>
        <v/>
      </c>
    </row>
    <row r="2156">
      <c r="A2156" s="11" t="n"/>
      <c r="B2156" s="29" t="n"/>
      <c r="K2156" s="30" t="str">
        <f>IF($A2156="","",EDATE($A2156,12*$E$4))</f>
        <v/>
      </c>
      <c r="L2156" s="19" t="str">
        <f>IF($K2156="","",IF($K2156&gt;MAX($A$8:$A$5007),"",IFERROR(MATCH($K2156,$A$8:$A$5007,1),"")))</f>
        <v/>
      </c>
      <c r="M2156" s="30" t="str">
        <f>IF($L2156="","",INDEX($A$8:$A$5007,$L2156))</f>
        <v/>
      </c>
      <c r="N2156" s="31" t="str">
        <f>IF($L2156="","",INDEX($B$8:$B$5007,$L2156))</f>
        <v/>
      </c>
      <c r="O2156" s="32" t="str">
        <f>IF($M2156="","",IF($K2156-$M2156&gt;7,"",IF($M2156&lt;=$A2156,"",IF(OR($B2156&lt;=0,$N2156&lt;=0),"",($N2156/$B2156)^(365/($M2156-$A2156))-1))))</f>
        <v/>
      </c>
      <c r="P2156" s="31" t="str">
        <f>IF($B2156="","",IF($P2155="",$B2156,MAX($P2155,$B2156)))</f>
        <v/>
      </c>
      <c r="Q2156" s="32" t="str">
        <f>IF($P2156="","",$B2156/$P2156-1)</f>
        <v/>
      </c>
    </row>
    <row r="2157">
      <c r="A2157" s="11" t="n"/>
      <c r="B2157" s="29" t="n"/>
      <c r="K2157" s="30" t="str">
        <f>IF($A2157="","",EDATE($A2157,12*$E$4))</f>
        <v/>
      </c>
      <c r="L2157" s="19" t="str">
        <f>IF($K2157="","",IF($K2157&gt;MAX($A$8:$A$5007),"",IFERROR(MATCH($K2157,$A$8:$A$5007,1),"")))</f>
        <v/>
      </c>
      <c r="M2157" s="30" t="str">
        <f>IF($L2157="","",INDEX($A$8:$A$5007,$L2157))</f>
        <v/>
      </c>
      <c r="N2157" s="31" t="str">
        <f>IF($L2157="","",INDEX($B$8:$B$5007,$L2157))</f>
        <v/>
      </c>
      <c r="O2157" s="32" t="str">
        <f>IF($M2157="","",IF($K2157-$M2157&gt;7,"",IF($M2157&lt;=$A2157,"",IF(OR($B2157&lt;=0,$N2157&lt;=0),"",($N2157/$B2157)^(365/($M2157-$A2157))-1))))</f>
        <v/>
      </c>
      <c r="P2157" s="31" t="str">
        <f>IF($B2157="","",IF($P2156="",$B2157,MAX($P2156,$B2157)))</f>
        <v/>
      </c>
      <c r="Q2157" s="32" t="str">
        <f>IF($P2157="","",$B2157/$P2157-1)</f>
        <v/>
      </c>
    </row>
    <row r="2158">
      <c r="A2158" s="11" t="n"/>
      <c r="B2158" s="29" t="n"/>
      <c r="K2158" s="30" t="str">
        <f>IF($A2158="","",EDATE($A2158,12*$E$4))</f>
        <v/>
      </c>
      <c r="L2158" s="19" t="str">
        <f>IF($K2158="","",IF($K2158&gt;MAX($A$8:$A$5007),"",IFERROR(MATCH($K2158,$A$8:$A$5007,1),"")))</f>
        <v/>
      </c>
      <c r="M2158" s="30" t="str">
        <f>IF($L2158="","",INDEX($A$8:$A$5007,$L2158))</f>
        <v/>
      </c>
      <c r="N2158" s="31" t="str">
        <f>IF($L2158="","",INDEX($B$8:$B$5007,$L2158))</f>
        <v/>
      </c>
      <c r="O2158" s="32" t="str">
        <f>IF($M2158="","",IF($K2158-$M2158&gt;7,"",IF($M2158&lt;=$A2158,"",IF(OR($B2158&lt;=0,$N2158&lt;=0),"",($N2158/$B2158)^(365/($M2158-$A2158))-1))))</f>
        <v/>
      </c>
      <c r="P2158" s="31" t="str">
        <f>IF($B2158="","",IF($P2157="",$B2158,MAX($P2157,$B2158)))</f>
        <v/>
      </c>
      <c r="Q2158" s="32" t="str">
        <f>IF($P2158="","",$B2158/$P2158-1)</f>
        <v/>
      </c>
    </row>
    <row r="2159">
      <c r="A2159" s="11" t="n"/>
      <c r="B2159" s="29" t="n"/>
      <c r="K2159" s="30" t="str">
        <f>IF($A2159="","",EDATE($A2159,12*$E$4))</f>
        <v/>
      </c>
      <c r="L2159" s="19" t="str">
        <f>IF($K2159="","",IF($K2159&gt;MAX($A$8:$A$5007),"",IFERROR(MATCH($K2159,$A$8:$A$5007,1),"")))</f>
        <v/>
      </c>
      <c r="M2159" s="30" t="str">
        <f>IF($L2159="","",INDEX($A$8:$A$5007,$L2159))</f>
        <v/>
      </c>
      <c r="N2159" s="31" t="str">
        <f>IF($L2159="","",INDEX($B$8:$B$5007,$L2159))</f>
        <v/>
      </c>
      <c r="O2159" s="32" t="str">
        <f>IF($M2159="","",IF($K2159-$M2159&gt;7,"",IF($M2159&lt;=$A2159,"",IF(OR($B2159&lt;=0,$N2159&lt;=0),"",($N2159/$B2159)^(365/($M2159-$A2159))-1))))</f>
        <v/>
      </c>
      <c r="P2159" s="31" t="str">
        <f>IF($B2159="","",IF($P2158="",$B2159,MAX($P2158,$B2159)))</f>
        <v/>
      </c>
      <c r="Q2159" s="32" t="str">
        <f>IF($P2159="","",$B2159/$P2159-1)</f>
        <v/>
      </c>
    </row>
    <row r="2160">
      <c r="A2160" s="11" t="n"/>
      <c r="B2160" s="29" t="n"/>
      <c r="K2160" s="30" t="str">
        <f>IF($A2160="","",EDATE($A2160,12*$E$4))</f>
        <v/>
      </c>
      <c r="L2160" s="19" t="str">
        <f>IF($K2160="","",IF($K2160&gt;MAX($A$8:$A$5007),"",IFERROR(MATCH($K2160,$A$8:$A$5007,1),"")))</f>
        <v/>
      </c>
      <c r="M2160" s="30" t="str">
        <f>IF($L2160="","",INDEX($A$8:$A$5007,$L2160))</f>
        <v/>
      </c>
      <c r="N2160" s="31" t="str">
        <f>IF($L2160="","",INDEX($B$8:$B$5007,$L2160))</f>
        <v/>
      </c>
      <c r="O2160" s="32" t="str">
        <f>IF($M2160="","",IF($K2160-$M2160&gt;7,"",IF($M2160&lt;=$A2160,"",IF(OR($B2160&lt;=0,$N2160&lt;=0),"",($N2160/$B2160)^(365/($M2160-$A2160))-1))))</f>
        <v/>
      </c>
      <c r="P2160" s="31" t="str">
        <f>IF($B2160="","",IF($P2159="",$B2160,MAX($P2159,$B2160)))</f>
        <v/>
      </c>
      <c r="Q2160" s="32" t="str">
        <f>IF($P2160="","",$B2160/$P2160-1)</f>
        <v/>
      </c>
    </row>
    <row r="2161">
      <c r="A2161" s="11" t="n"/>
      <c r="B2161" s="29" t="n"/>
      <c r="K2161" s="30" t="str">
        <f>IF($A2161="","",EDATE($A2161,12*$E$4))</f>
        <v/>
      </c>
      <c r="L2161" s="19" t="str">
        <f>IF($K2161="","",IF($K2161&gt;MAX($A$8:$A$5007),"",IFERROR(MATCH($K2161,$A$8:$A$5007,1),"")))</f>
        <v/>
      </c>
      <c r="M2161" s="30" t="str">
        <f>IF($L2161="","",INDEX($A$8:$A$5007,$L2161))</f>
        <v/>
      </c>
      <c r="N2161" s="31" t="str">
        <f>IF($L2161="","",INDEX($B$8:$B$5007,$L2161))</f>
        <v/>
      </c>
      <c r="O2161" s="32" t="str">
        <f>IF($M2161="","",IF($K2161-$M2161&gt;7,"",IF($M2161&lt;=$A2161,"",IF(OR($B2161&lt;=0,$N2161&lt;=0),"",($N2161/$B2161)^(365/($M2161-$A2161))-1))))</f>
        <v/>
      </c>
      <c r="P2161" s="31" t="str">
        <f>IF($B2161="","",IF($P2160="",$B2161,MAX($P2160,$B2161)))</f>
        <v/>
      </c>
      <c r="Q2161" s="32" t="str">
        <f>IF($P2161="","",$B2161/$P2161-1)</f>
        <v/>
      </c>
    </row>
    <row r="2162">
      <c r="A2162" s="11" t="n"/>
      <c r="B2162" s="29" t="n"/>
      <c r="K2162" s="30" t="str">
        <f>IF($A2162="","",EDATE($A2162,12*$E$4))</f>
        <v/>
      </c>
      <c r="L2162" s="19" t="str">
        <f>IF($K2162="","",IF($K2162&gt;MAX($A$8:$A$5007),"",IFERROR(MATCH($K2162,$A$8:$A$5007,1),"")))</f>
        <v/>
      </c>
      <c r="M2162" s="30" t="str">
        <f>IF($L2162="","",INDEX($A$8:$A$5007,$L2162))</f>
        <v/>
      </c>
      <c r="N2162" s="31" t="str">
        <f>IF($L2162="","",INDEX($B$8:$B$5007,$L2162))</f>
        <v/>
      </c>
      <c r="O2162" s="32" t="str">
        <f>IF($M2162="","",IF($K2162-$M2162&gt;7,"",IF($M2162&lt;=$A2162,"",IF(OR($B2162&lt;=0,$N2162&lt;=0),"",($N2162/$B2162)^(365/($M2162-$A2162))-1))))</f>
        <v/>
      </c>
      <c r="P2162" s="31" t="str">
        <f>IF($B2162="","",IF($P2161="",$B2162,MAX($P2161,$B2162)))</f>
        <v/>
      </c>
      <c r="Q2162" s="32" t="str">
        <f>IF($P2162="","",$B2162/$P2162-1)</f>
        <v/>
      </c>
    </row>
    <row r="2163">
      <c r="A2163" s="11" t="n"/>
      <c r="B2163" s="29" t="n"/>
      <c r="K2163" s="30" t="str">
        <f>IF($A2163="","",EDATE($A2163,12*$E$4))</f>
        <v/>
      </c>
      <c r="L2163" s="19" t="str">
        <f>IF($K2163="","",IF($K2163&gt;MAX($A$8:$A$5007),"",IFERROR(MATCH($K2163,$A$8:$A$5007,1),"")))</f>
        <v/>
      </c>
      <c r="M2163" s="30" t="str">
        <f>IF($L2163="","",INDEX($A$8:$A$5007,$L2163))</f>
        <v/>
      </c>
      <c r="N2163" s="31" t="str">
        <f>IF($L2163="","",INDEX($B$8:$B$5007,$L2163))</f>
        <v/>
      </c>
      <c r="O2163" s="32" t="str">
        <f>IF($M2163="","",IF($K2163-$M2163&gt;7,"",IF($M2163&lt;=$A2163,"",IF(OR($B2163&lt;=0,$N2163&lt;=0),"",($N2163/$B2163)^(365/($M2163-$A2163))-1))))</f>
        <v/>
      </c>
      <c r="P2163" s="31" t="str">
        <f>IF($B2163="","",IF($P2162="",$B2163,MAX($P2162,$B2163)))</f>
        <v/>
      </c>
      <c r="Q2163" s="32" t="str">
        <f>IF($P2163="","",$B2163/$P2163-1)</f>
        <v/>
      </c>
    </row>
    <row r="2164">
      <c r="A2164" s="11" t="n"/>
      <c r="B2164" s="29" t="n"/>
      <c r="K2164" s="30" t="str">
        <f>IF($A2164="","",EDATE($A2164,12*$E$4))</f>
        <v/>
      </c>
      <c r="L2164" s="19" t="str">
        <f>IF($K2164="","",IF($K2164&gt;MAX($A$8:$A$5007),"",IFERROR(MATCH($K2164,$A$8:$A$5007,1),"")))</f>
        <v/>
      </c>
      <c r="M2164" s="30" t="str">
        <f>IF($L2164="","",INDEX($A$8:$A$5007,$L2164))</f>
        <v/>
      </c>
      <c r="N2164" s="31" t="str">
        <f>IF($L2164="","",INDEX($B$8:$B$5007,$L2164))</f>
        <v/>
      </c>
      <c r="O2164" s="32" t="str">
        <f>IF($M2164="","",IF($K2164-$M2164&gt;7,"",IF($M2164&lt;=$A2164,"",IF(OR($B2164&lt;=0,$N2164&lt;=0),"",($N2164/$B2164)^(365/($M2164-$A2164))-1))))</f>
        <v/>
      </c>
      <c r="P2164" s="31" t="str">
        <f>IF($B2164="","",IF($P2163="",$B2164,MAX($P2163,$B2164)))</f>
        <v/>
      </c>
      <c r="Q2164" s="32" t="str">
        <f>IF($P2164="","",$B2164/$P2164-1)</f>
        <v/>
      </c>
    </row>
    <row r="2165">
      <c r="A2165" s="11" t="n"/>
      <c r="B2165" s="29" t="n"/>
      <c r="K2165" s="30" t="str">
        <f>IF($A2165="","",EDATE($A2165,12*$E$4))</f>
        <v/>
      </c>
      <c r="L2165" s="19" t="str">
        <f>IF($K2165="","",IF($K2165&gt;MAX($A$8:$A$5007),"",IFERROR(MATCH($K2165,$A$8:$A$5007,1),"")))</f>
        <v/>
      </c>
      <c r="M2165" s="30" t="str">
        <f>IF($L2165="","",INDEX($A$8:$A$5007,$L2165))</f>
        <v/>
      </c>
      <c r="N2165" s="31" t="str">
        <f>IF($L2165="","",INDEX($B$8:$B$5007,$L2165))</f>
        <v/>
      </c>
      <c r="O2165" s="32" t="str">
        <f>IF($M2165="","",IF($K2165-$M2165&gt;7,"",IF($M2165&lt;=$A2165,"",IF(OR($B2165&lt;=0,$N2165&lt;=0),"",($N2165/$B2165)^(365/($M2165-$A2165))-1))))</f>
        <v/>
      </c>
      <c r="P2165" s="31" t="str">
        <f>IF($B2165="","",IF($P2164="",$B2165,MAX($P2164,$B2165)))</f>
        <v/>
      </c>
      <c r="Q2165" s="32" t="str">
        <f>IF($P2165="","",$B2165/$P2165-1)</f>
        <v/>
      </c>
    </row>
    <row r="2166">
      <c r="A2166" s="11" t="n"/>
      <c r="B2166" s="29" t="n"/>
      <c r="K2166" s="30" t="str">
        <f>IF($A2166="","",EDATE($A2166,12*$E$4))</f>
        <v/>
      </c>
      <c r="L2166" s="19" t="str">
        <f>IF($K2166="","",IF($K2166&gt;MAX($A$8:$A$5007),"",IFERROR(MATCH($K2166,$A$8:$A$5007,1),"")))</f>
        <v/>
      </c>
      <c r="M2166" s="30" t="str">
        <f>IF($L2166="","",INDEX($A$8:$A$5007,$L2166))</f>
        <v/>
      </c>
      <c r="N2166" s="31" t="str">
        <f>IF($L2166="","",INDEX($B$8:$B$5007,$L2166))</f>
        <v/>
      </c>
      <c r="O2166" s="32" t="str">
        <f>IF($M2166="","",IF($K2166-$M2166&gt;7,"",IF($M2166&lt;=$A2166,"",IF(OR($B2166&lt;=0,$N2166&lt;=0),"",($N2166/$B2166)^(365/($M2166-$A2166))-1))))</f>
        <v/>
      </c>
      <c r="P2166" s="31" t="str">
        <f>IF($B2166="","",IF($P2165="",$B2166,MAX($P2165,$B2166)))</f>
        <v/>
      </c>
      <c r="Q2166" s="32" t="str">
        <f>IF($P2166="","",$B2166/$P2166-1)</f>
        <v/>
      </c>
    </row>
    <row r="2167">
      <c r="A2167" s="11" t="n"/>
      <c r="B2167" s="29" t="n"/>
      <c r="K2167" s="30" t="str">
        <f>IF($A2167="","",EDATE($A2167,12*$E$4))</f>
        <v/>
      </c>
      <c r="L2167" s="19" t="str">
        <f>IF($K2167="","",IF($K2167&gt;MAX($A$8:$A$5007),"",IFERROR(MATCH($K2167,$A$8:$A$5007,1),"")))</f>
        <v/>
      </c>
      <c r="M2167" s="30" t="str">
        <f>IF($L2167="","",INDEX($A$8:$A$5007,$L2167))</f>
        <v/>
      </c>
      <c r="N2167" s="31" t="str">
        <f>IF($L2167="","",INDEX($B$8:$B$5007,$L2167))</f>
        <v/>
      </c>
      <c r="O2167" s="32" t="str">
        <f>IF($M2167="","",IF($K2167-$M2167&gt;7,"",IF($M2167&lt;=$A2167,"",IF(OR($B2167&lt;=0,$N2167&lt;=0),"",($N2167/$B2167)^(365/($M2167-$A2167))-1))))</f>
        <v/>
      </c>
      <c r="P2167" s="31" t="str">
        <f>IF($B2167="","",IF($P2166="",$B2167,MAX($P2166,$B2167)))</f>
        <v/>
      </c>
      <c r="Q2167" s="32" t="str">
        <f>IF($P2167="","",$B2167/$P2167-1)</f>
        <v/>
      </c>
    </row>
    <row r="2168">
      <c r="A2168" s="11" t="n"/>
      <c r="B2168" s="29" t="n"/>
      <c r="K2168" s="30" t="str">
        <f>IF($A2168="","",EDATE($A2168,12*$E$4))</f>
        <v/>
      </c>
      <c r="L2168" s="19" t="str">
        <f>IF($K2168="","",IF($K2168&gt;MAX($A$8:$A$5007),"",IFERROR(MATCH($K2168,$A$8:$A$5007,1),"")))</f>
        <v/>
      </c>
      <c r="M2168" s="30" t="str">
        <f>IF($L2168="","",INDEX($A$8:$A$5007,$L2168))</f>
        <v/>
      </c>
      <c r="N2168" s="31" t="str">
        <f>IF($L2168="","",INDEX($B$8:$B$5007,$L2168))</f>
        <v/>
      </c>
      <c r="O2168" s="32" t="str">
        <f>IF($M2168="","",IF($K2168-$M2168&gt;7,"",IF($M2168&lt;=$A2168,"",IF(OR($B2168&lt;=0,$N2168&lt;=0),"",($N2168/$B2168)^(365/($M2168-$A2168))-1))))</f>
        <v/>
      </c>
      <c r="P2168" s="31" t="str">
        <f>IF($B2168="","",IF($P2167="",$B2168,MAX($P2167,$B2168)))</f>
        <v/>
      </c>
      <c r="Q2168" s="32" t="str">
        <f>IF($P2168="","",$B2168/$P2168-1)</f>
        <v/>
      </c>
    </row>
    <row r="2169">
      <c r="A2169" s="11" t="n"/>
      <c r="B2169" s="29" t="n"/>
      <c r="K2169" s="30" t="str">
        <f>IF($A2169="","",EDATE($A2169,12*$E$4))</f>
        <v/>
      </c>
      <c r="L2169" s="19" t="str">
        <f>IF($K2169="","",IF($K2169&gt;MAX($A$8:$A$5007),"",IFERROR(MATCH($K2169,$A$8:$A$5007,1),"")))</f>
        <v/>
      </c>
      <c r="M2169" s="30" t="str">
        <f>IF($L2169="","",INDEX($A$8:$A$5007,$L2169))</f>
        <v/>
      </c>
      <c r="N2169" s="31" t="str">
        <f>IF($L2169="","",INDEX($B$8:$B$5007,$L2169))</f>
        <v/>
      </c>
      <c r="O2169" s="32" t="str">
        <f>IF($M2169="","",IF($K2169-$M2169&gt;7,"",IF($M2169&lt;=$A2169,"",IF(OR($B2169&lt;=0,$N2169&lt;=0),"",($N2169/$B2169)^(365/($M2169-$A2169))-1))))</f>
        <v/>
      </c>
      <c r="P2169" s="31" t="str">
        <f>IF($B2169="","",IF($P2168="",$B2169,MAX($P2168,$B2169)))</f>
        <v/>
      </c>
      <c r="Q2169" s="32" t="str">
        <f>IF($P2169="","",$B2169/$P2169-1)</f>
        <v/>
      </c>
    </row>
    <row r="2170">
      <c r="A2170" s="11" t="n"/>
      <c r="B2170" s="29" t="n"/>
      <c r="K2170" s="30" t="str">
        <f>IF($A2170="","",EDATE($A2170,12*$E$4))</f>
        <v/>
      </c>
      <c r="L2170" s="19" t="str">
        <f>IF($K2170="","",IF($K2170&gt;MAX($A$8:$A$5007),"",IFERROR(MATCH($K2170,$A$8:$A$5007,1),"")))</f>
        <v/>
      </c>
      <c r="M2170" s="30" t="str">
        <f>IF($L2170="","",INDEX($A$8:$A$5007,$L2170))</f>
        <v/>
      </c>
      <c r="N2170" s="31" t="str">
        <f>IF($L2170="","",INDEX($B$8:$B$5007,$L2170))</f>
        <v/>
      </c>
      <c r="O2170" s="32" t="str">
        <f>IF($M2170="","",IF($K2170-$M2170&gt;7,"",IF($M2170&lt;=$A2170,"",IF(OR($B2170&lt;=0,$N2170&lt;=0),"",($N2170/$B2170)^(365/($M2170-$A2170))-1))))</f>
        <v/>
      </c>
      <c r="P2170" s="31" t="str">
        <f>IF($B2170="","",IF($P2169="",$B2170,MAX($P2169,$B2170)))</f>
        <v/>
      </c>
      <c r="Q2170" s="32" t="str">
        <f>IF($P2170="","",$B2170/$P2170-1)</f>
        <v/>
      </c>
    </row>
    <row r="2171">
      <c r="A2171" s="11" t="n"/>
      <c r="B2171" s="29" t="n"/>
      <c r="K2171" s="30" t="str">
        <f>IF($A2171="","",EDATE($A2171,12*$E$4))</f>
        <v/>
      </c>
      <c r="L2171" s="19" t="str">
        <f>IF($K2171="","",IF($K2171&gt;MAX($A$8:$A$5007),"",IFERROR(MATCH($K2171,$A$8:$A$5007,1),"")))</f>
        <v/>
      </c>
      <c r="M2171" s="30" t="str">
        <f>IF($L2171="","",INDEX($A$8:$A$5007,$L2171))</f>
        <v/>
      </c>
      <c r="N2171" s="31" t="str">
        <f>IF($L2171="","",INDEX($B$8:$B$5007,$L2171))</f>
        <v/>
      </c>
      <c r="O2171" s="32" t="str">
        <f>IF($M2171="","",IF($K2171-$M2171&gt;7,"",IF($M2171&lt;=$A2171,"",IF(OR($B2171&lt;=0,$N2171&lt;=0),"",($N2171/$B2171)^(365/($M2171-$A2171))-1))))</f>
        <v/>
      </c>
      <c r="P2171" s="31" t="str">
        <f>IF($B2171="","",IF($P2170="",$B2171,MAX($P2170,$B2171)))</f>
        <v/>
      </c>
      <c r="Q2171" s="32" t="str">
        <f>IF($P2171="","",$B2171/$P2171-1)</f>
        <v/>
      </c>
    </row>
    <row r="2172">
      <c r="A2172" s="11" t="n"/>
      <c r="B2172" s="29" t="n"/>
      <c r="K2172" s="30" t="str">
        <f>IF($A2172="","",EDATE($A2172,12*$E$4))</f>
        <v/>
      </c>
      <c r="L2172" s="19" t="str">
        <f>IF($K2172="","",IF($K2172&gt;MAX($A$8:$A$5007),"",IFERROR(MATCH($K2172,$A$8:$A$5007,1),"")))</f>
        <v/>
      </c>
      <c r="M2172" s="30" t="str">
        <f>IF($L2172="","",INDEX($A$8:$A$5007,$L2172))</f>
        <v/>
      </c>
      <c r="N2172" s="31" t="str">
        <f>IF($L2172="","",INDEX($B$8:$B$5007,$L2172))</f>
        <v/>
      </c>
      <c r="O2172" s="32" t="str">
        <f>IF($M2172="","",IF($K2172-$M2172&gt;7,"",IF($M2172&lt;=$A2172,"",IF(OR($B2172&lt;=0,$N2172&lt;=0),"",($N2172/$B2172)^(365/($M2172-$A2172))-1))))</f>
        <v/>
      </c>
      <c r="P2172" s="31" t="str">
        <f>IF($B2172="","",IF($P2171="",$B2172,MAX($P2171,$B2172)))</f>
        <v/>
      </c>
      <c r="Q2172" s="32" t="str">
        <f>IF($P2172="","",$B2172/$P2172-1)</f>
        <v/>
      </c>
    </row>
    <row r="2173">
      <c r="A2173" s="11" t="n"/>
      <c r="B2173" s="29" t="n"/>
      <c r="K2173" s="30" t="str">
        <f>IF($A2173="","",EDATE($A2173,12*$E$4))</f>
        <v/>
      </c>
      <c r="L2173" s="19" t="str">
        <f>IF($K2173="","",IF($K2173&gt;MAX($A$8:$A$5007),"",IFERROR(MATCH($K2173,$A$8:$A$5007,1),"")))</f>
        <v/>
      </c>
      <c r="M2173" s="30" t="str">
        <f>IF($L2173="","",INDEX($A$8:$A$5007,$L2173))</f>
        <v/>
      </c>
      <c r="N2173" s="31" t="str">
        <f>IF($L2173="","",INDEX($B$8:$B$5007,$L2173))</f>
        <v/>
      </c>
      <c r="O2173" s="32" t="str">
        <f>IF($M2173="","",IF($K2173-$M2173&gt;7,"",IF($M2173&lt;=$A2173,"",IF(OR($B2173&lt;=0,$N2173&lt;=0),"",($N2173/$B2173)^(365/($M2173-$A2173))-1))))</f>
        <v/>
      </c>
      <c r="P2173" s="31" t="str">
        <f>IF($B2173="","",IF($P2172="",$B2173,MAX($P2172,$B2173)))</f>
        <v/>
      </c>
      <c r="Q2173" s="32" t="str">
        <f>IF($P2173="","",$B2173/$P2173-1)</f>
        <v/>
      </c>
    </row>
    <row r="2174">
      <c r="A2174" s="11" t="n"/>
      <c r="B2174" s="29" t="n"/>
      <c r="K2174" s="30" t="str">
        <f>IF($A2174="","",EDATE($A2174,12*$E$4))</f>
        <v/>
      </c>
      <c r="L2174" s="19" t="str">
        <f>IF($K2174="","",IF($K2174&gt;MAX($A$8:$A$5007),"",IFERROR(MATCH($K2174,$A$8:$A$5007,1),"")))</f>
        <v/>
      </c>
      <c r="M2174" s="30" t="str">
        <f>IF($L2174="","",INDEX($A$8:$A$5007,$L2174))</f>
        <v/>
      </c>
      <c r="N2174" s="31" t="str">
        <f>IF($L2174="","",INDEX($B$8:$B$5007,$L2174))</f>
        <v/>
      </c>
      <c r="O2174" s="32" t="str">
        <f>IF($M2174="","",IF($K2174-$M2174&gt;7,"",IF($M2174&lt;=$A2174,"",IF(OR($B2174&lt;=0,$N2174&lt;=0),"",($N2174/$B2174)^(365/($M2174-$A2174))-1))))</f>
        <v/>
      </c>
      <c r="P2174" s="31" t="str">
        <f>IF($B2174="","",IF($P2173="",$B2174,MAX($P2173,$B2174)))</f>
        <v/>
      </c>
      <c r="Q2174" s="32" t="str">
        <f>IF($P2174="","",$B2174/$P2174-1)</f>
        <v/>
      </c>
    </row>
    <row r="2175">
      <c r="A2175" s="11" t="n"/>
      <c r="B2175" s="29" t="n"/>
      <c r="K2175" s="30" t="str">
        <f>IF($A2175="","",EDATE($A2175,12*$E$4))</f>
        <v/>
      </c>
      <c r="L2175" s="19" t="str">
        <f>IF($K2175="","",IF($K2175&gt;MAX($A$8:$A$5007),"",IFERROR(MATCH($K2175,$A$8:$A$5007,1),"")))</f>
        <v/>
      </c>
      <c r="M2175" s="30" t="str">
        <f>IF($L2175="","",INDEX($A$8:$A$5007,$L2175))</f>
        <v/>
      </c>
      <c r="N2175" s="31" t="str">
        <f>IF($L2175="","",INDEX($B$8:$B$5007,$L2175))</f>
        <v/>
      </c>
      <c r="O2175" s="32" t="str">
        <f>IF($M2175="","",IF($K2175-$M2175&gt;7,"",IF($M2175&lt;=$A2175,"",IF(OR($B2175&lt;=0,$N2175&lt;=0),"",($N2175/$B2175)^(365/($M2175-$A2175))-1))))</f>
        <v/>
      </c>
      <c r="P2175" s="31" t="str">
        <f>IF($B2175="","",IF($P2174="",$B2175,MAX($P2174,$B2175)))</f>
        <v/>
      </c>
      <c r="Q2175" s="32" t="str">
        <f>IF($P2175="","",$B2175/$P2175-1)</f>
        <v/>
      </c>
    </row>
    <row r="2176">
      <c r="A2176" s="11" t="n"/>
      <c r="B2176" s="29" t="n"/>
      <c r="K2176" s="30" t="str">
        <f>IF($A2176="","",EDATE($A2176,12*$E$4))</f>
        <v/>
      </c>
      <c r="L2176" s="19" t="str">
        <f>IF($K2176="","",IF($K2176&gt;MAX($A$8:$A$5007),"",IFERROR(MATCH($K2176,$A$8:$A$5007,1),"")))</f>
        <v/>
      </c>
      <c r="M2176" s="30" t="str">
        <f>IF($L2176="","",INDEX($A$8:$A$5007,$L2176))</f>
        <v/>
      </c>
      <c r="N2176" s="31" t="str">
        <f>IF($L2176="","",INDEX($B$8:$B$5007,$L2176))</f>
        <v/>
      </c>
      <c r="O2176" s="32" t="str">
        <f>IF($M2176="","",IF($K2176-$M2176&gt;7,"",IF($M2176&lt;=$A2176,"",IF(OR($B2176&lt;=0,$N2176&lt;=0),"",($N2176/$B2176)^(365/($M2176-$A2176))-1))))</f>
        <v/>
      </c>
      <c r="P2176" s="31" t="str">
        <f>IF($B2176="","",IF($P2175="",$B2176,MAX($P2175,$B2176)))</f>
        <v/>
      </c>
      <c r="Q2176" s="32" t="str">
        <f>IF($P2176="","",$B2176/$P2176-1)</f>
        <v/>
      </c>
    </row>
    <row r="2177">
      <c r="A2177" s="11" t="n"/>
      <c r="B2177" s="29" t="n"/>
      <c r="K2177" s="30" t="str">
        <f>IF($A2177="","",EDATE($A2177,12*$E$4))</f>
        <v/>
      </c>
      <c r="L2177" s="19" t="str">
        <f>IF($K2177="","",IF($K2177&gt;MAX($A$8:$A$5007),"",IFERROR(MATCH($K2177,$A$8:$A$5007,1),"")))</f>
        <v/>
      </c>
      <c r="M2177" s="30" t="str">
        <f>IF($L2177="","",INDEX($A$8:$A$5007,$L2177))</f>
        <v/>
      </c>
      <c r="N2177" s="31" t="str">
        <f>IF($L2177="","",INDEX($B$8:$B$5007,$L2177))</f>
        <v/>
      </c>
      <c r="O2177" s="32" t="str">
        <f>IF($M2177="","",IF($K2177-$M2177&gt;7,"",IF($M2177&lt;=$A2177,"",IF(OR($B2177&lt;=0,$N2177&lt;=0),"",($N2177/$B2177)^(365/($M2177-$A2177))-1))))</f>
        <v/>
      </c>
      <c r="P2177" s="31" t="str">
        <f>IF($B2177="","",IF($P2176="",$B2177,MAX($P2176,$B2177)))</f>
        <v/>
      </c>
      <c r="Q2177" s="32" t="str">
        <f>IF($P2177="","",$B2177/$P2177-1)</f>
        <v/>
      </c>
    </row>
    <row r="2178">
      <c r="A2178" s="11" t="n"/>
      <c r="B2178" s="29" t="n"/>
      <c r="K2178" s="30" t="str">
        <f>IF($A2178="","",EDATE($A2178,12*$E$4))</f>
        <v/>
      </c>
      <c r="L2178" s="19" t="str">
        <f>IF($K2178="","",IF($K2178&gt;MAX($A$8:$A$5007),"",IFERROR(MATCH($K2178,$A$8:$A$5007,1),"")))</f>
        <v/>
      </c>
      <c r="M2178" s="30" t="str">
        <f>IF($L2178="","",INDEX($A$8:$A$5007,$L2178))</f>
        <v/>
      </c>
      <c r="N2178" s="31" t="str">
        <f>IF($L2178="","",INDEX($B$8:$B$5007,$L2178))</f>
        <v/>
      </c>
      <c r="O2178" s="32" t="str">
        <f>IF($M2178="","",IF($K2178-$M2178&gt;7,"",IF($M2178&lt;=$A2178,"",IF(OR($B2178&lt;=0,$N2178&lt;=0),"",($N2178/$B2178)^(365/($M2178-$A2178))-1))))</f>
        <v/>
      </c>
      <c r="P2178" s="31" t="str">
        <f>IF($B2178="","",IF($P2177="",$B2178,MAX($P2177,$B2178)))</f>
        <v/>
      </c>
      <c r="Q2178" s="32" t="str">
        <f>IF($P2178="","",$B2178/$P2178-1)</f>
        <v/>
      </c>
    </row>
    <row r="2179">
      <c r="A2179" s="11" t="n"/>
      <c r="B2179" s="29" t="n"/>
      <c r="K2179" s="30" t="str">
        <f>IF($A2179="","",EDATE($A2179,12*$E$4))</f>
        <v/>
      </c>
      <c r="L2179" s="19" t="str">
        <f>IF($K2179="","",IF($K2179&gt;MAX($A$8:$A$5007),"",IFERROR(MATCH($K2179,$A$8:$A$5007,1),"")))</f>
        <v/>
      </c>
      <c r="M2179" s="30" t="str">
        <f>IF($L2179="","",INDEX($A$8:$A$5007,$L2179))</f>
        <v/>
      </c>
      <c r="N2179" s="31" t="str">
        <f>IF($L2179="","",INDEX($B$8:$B$5007,$L2179))</f>
        <v/>
      </c>
      <c r="O2179" s="32" t="str">
        <f>IF($M2179="","",IF($K2179-$M2179&gt;7,"",IF($M2179&lt;=$A2179,"",IF(OR($B2179&lt;=0,$N2179&lt;=0),"",($N2179/$B2179)^(365/($M2179-$A2179))-1))))</f>
        <v/>
      </c>
      <c r="P2179" s="31" t="str">
        <f>IF($B2179="","",IF($P2178="",$B2179,MAX($P2178,$B2179)))</f>
        <v/>
      </c>
      <c r="Q2179" s="32" t="str">
        <f>IF($P2179="","",$B2179/$P2179-1)</f>
        <v/>
      </c>
    </row>
    <row r="2180">
      <c r="A2180" s="11" t="n"/>
      <c r="B2180" s="29" t="n"/>
      <c r="K2180" s="30" t="str">
        <f>IF($A2180="","",EDATE($A2180,12*$E$4))</f>
        <v/>
      </c>
      <c r="L2180" s="19" t="str">
        <f>IF($K2180="","",IF($K2180&gt;MAX($A$8:$A$5007),"",IFERROR(MATCH($K2180,$A$8:$A$5007,1),"")))</f>
        <v/>
      </c>
      <c r="M2180" s="30" t="str">
        <f>IF($L2180="","",INDEX($A$8:$A$5007,$L2180))</f>
        <v/>
      </c>
      <c r="N2180" s="31" t="str">
        <f>IF($L2180="","",INDEX($B$8:$B$5007,$L2180))</f>
        <v/>
      </c>
      <c r="O2180" s="32" t="str">
        <f>IF($M2180="","",IF($K2180-$M2180&gt;7,"",IF($M2180&lt;=$A2180,"",IF(OR($B2180&lt;=0,$N2180&lt;=0),"",($N2180/$B2180)^(365/($M2180-$A2180))-1))))</f>
        <v/>
      </c>
      <c r="P2180" s="31" t="str">
        <f>IF($B2180="","",IF($P2179="",$B2180,MAX($P2179,$B2180)))</f>
        <v/>
      </c>
      <c r="Q2180" s="32" t="str">
        <f>IF($P2180="","",$B2180/$P2180-1)</f>
        <v/>
      </c>
    </row>
    <row r="2181">
      <c r="A2181" s="11" t="n"/>
      <c r="B2181" s="29" t="n"/>
      <c r="K2181" s="30" t="str">
        <f>IF($A2181="","",EDATE($A2181,12*$E$4))</f>
        <v/>
      </c>
      <c r="L2181" s="19" t="str">
        <f>IF($K2181="","",IF($K2181&gt;MAX($A$8:$A$5007),"",IFERROR(MATCH($K2181,$A$8:$A$5007,1),"")))</f>
        <v/>
      </c>
      <c r="M2181" s="30" t="str">
        <f>IF($L2181="","",INDEX($A$8:$A$5007,$L2181))</f>
        <v/>
      </c>
      <c r="N2181" s="31" t="str">
        <f>IF($L2181="","",INDEX($B$8:$B$5007,$L2181))</f>
        <v/>
      </c>
      <c r="O2181" s="32" t="str">
        <f>IF($M2181="","",IF($K2181-$M2181&gt;7,"",IF($M2181&lt;=$A2181,"",IF(OR($B2181&lt;=0,$N2181&lt;=0),"",($N2181/$B2181)^(365/($M2181-$A2181))-1))))</f>
        <v/>
      </c>
      <c r="P2181" s="31" t="str">
        <f>IF($B2181="","",IF($P2180="",$B2181,MAX($P2180,$B2181)))</f>
        <v/>
      </c>
      <c r="Q2181" s="32" t="str">
        <f>IF($P2181="","",$B2181/$P2181-1)</f>
        <v/>
      </c>
    </row>
    <row r="2182">
      <c r="A2182" s="11" t="n"/>
      <c r="B2182" s="29" t="n"/>
      <c r="K2182" s="30" t="str">
        <f>IF($A2182="","",EDATE($A2182,12*$E$4))</f>
        <v/>
      </c>
      <c r="L2182" s="19" t="str">
        <f>IF($K2182="","",IF($K2182&gt;MAX($A$8:$A$5007),"",IFERROR(MATCH($K2182,$A$8:$A$5007,1),"")))</f>
        <v/>
      </c>
      <c r="M2182" s="30" t="str">
        <f>IF($L2182="","",INDEX($A$8:$A$5007,$L2182))</f>
        <v/>
      </c>
      <c r="N2182" s="31" t="str">
        <f>IF($L2182="","",INDEX($B$8:$B$5007,$L2182))</f>
        <v/>
      </c>
      <c r="O2182" s="32" t="str">
        <f>IF($M2182="","",IF($K2182-$M2182&gt;7,"",IF($M2182&lt;=$A2182,"",IF(OR($B2182&lt;=0,$N2182&lt;=0),"",($N2182/$B2182)^(365/($M2182-$A2182))-1))))</f>
        <v/>
      </c>
      <c r="P2182" s="31" t="str">
        <f>IF($B2182="","",IF($P2181="",$B2182,MAX($P2181,$B2182)))</f>
        <v/>
      </c>
      <c r="Q2182" s="32" t="str">
        <f>IF($P2182="","",$B2182/$P2182-1)</f>
        <v/>
      </c>
    </row>
    <row r="2183">
      <c r="A2183" s="11" t="n"/>
      <c r="B2183" s="29" t="n"/>
      <c r="K2183" s="30" t="str">
        <f>IF($A2183="","",EDATE($A2183,12*$E$4))</f>
        <v/>
      </c>
      <c r="L2183" s="19" t="str">
        <f>IF($K2183="","",IF($K2183&gt;MAX($A$8:$A$5007),"",IFERROR(MATCH($K2183,$A$8:$A$5007,1),"")))</f>
        <v/>
      </c>
      <c r="M2183" s="30" t="str">
        <f>IF($L2183="","",INDEX($A$8:$A$5007,$L2183))</f>
        <v/>
      </c>
      <c r="N2183" s="31" t="str">
        <f>IF($L2183="","",INDEX($B$8:$B$5007,$L2183))</f>
        <v/>
      </c>
      <c r="O2183" s="32" t="str">
        <f>IF($M2183="","",IF($K2183-$M2183&gt;7,"",IF($M2183&lt;=$A2183,"",IF(OR($B2183&lt;=0,$N2183&lt;=0),"",($N2183/$B2183)^(365/($M2183-$A2183))-1))))</f>
        <v/>
      </c>
      <c r="P2183" s="31" t="str">
        <f>IF($B2183="","",IF($P2182="",$B2183,MAX($P2182,$B2183)))</f>
        <v/>
      </c>
      <c r="Q2183" s="32" t="str">
        <f>IF($P2183="","",$B2183/$P2183-1)</f>
        <v/>
      </c>
    </row>
    <row r="2184">
      <c r="A2184" s="11" t="n"/>
      <c r="B2184" s="29" t="n"/>
      <c r="K2184" s="30" t="str">
        <f>IF($A2184="","",EDATE($A2184,12*$E$4))</f>
        <v/>
      </c>
      <c r="L2184" s="19" t="str">
        <f>IF($K2184="","",IF($K2184&gt;MAX($A$8:$A$5007),"",IFERROR(MATCH($K2184,$A$8:$A$5007,1),"")))</f>
        <v/>
      </c>
      <c r="M2184" s="30" t="str">
        <f>IF($L2184="","",INDEX($A$8:$A$5007,$L2184))</f>
        <v/>
      </c>
      <c r="N2184" s="31" t="str">
        <f>IF($L2184="","",INDEX($B$8:$B$5007,$L2184))</f>
        <v/>
      </c>
      <c r="O2184" s="32" t="str">
        <f>IF($M2184="","",IF($K2184-$M2184&gt;7,"",IF($M2184&lt;=$A2184,"",IF(OR($B2184&lt;=0,$N2184&lt;=0),"",($N2184/$B2184)^(365/($M2184-$A2184))-1))))</f>
        <v/>
      </c>
      <c r="P2184" s="31" t="str">
        <f>IF($B2184="","",IF($P2183="",$B2184,MAX($P2183,$B2184)))</f>
        <v/>
      </c>
      <c r="Q2184" s="32" t="str">
        <f>IF($P2184="","",$B2184/$P2184-1)</f>
        <v/>
      </c>
    </row>
    <row r="2185">
      <c r="A2185" s="11" t="n"/>
      <c r="B2185" s="29" t="n"/>
      <c r="K2185" s="30" t="str">
        <f>IF($A2185="","",EDATE($A2185,12*$E$4))</f>
        <v/>
      </c>
      <c r="L2185" s="19" t="str">
        <f>IF($K2185="","",IF($K2185&gt;MAX($A$8:$A$5007),"",IFERROR(MATCH($K2185,$A$8:$A$5007,1),"")))</f>
        <v/>
      </c>
      <c r="M2185" s="30" t="str">
        <f>IF($L2185="","",INDEX($A$8:$A$5007,$L2185))</f>
        <v/>
      </c>
      <c r="N2185" s="31" t="str">
        <f>IF($L2185="","",INDEX($B$8:$B$5007,$L2185))</f>
        <v/>
      </c>
      <c r="O2185" s="32" t="str">
        <f>IF($M2185="","",IF($K2185-$M2185&gt;7,"",IF($M2185&lt;=$A2185,"",IF(OR($B2185&lt;=0,$N2185&lt;=0),"",($N2185/$B2185)^(365/($M2185-$A2185))-1))))</f>
        <v/>
      </c>
      <c r="P2185" s="31" t="str">
        <f>IF($B2185="","",IF($P2184="",$B2185,MAX($P2184,$B2185)))</f>
        <v/>
      </c>
      <c r="Q2185" s="32" t="str">
        <f>IF($P2185="","",$B2185/$P2185-1)</f>
        <v/>
      </c>
    </row>
    <row r="2186">
      <c r="A2186" s="11" t="n"/>
      <c r="B2186" s="29" t="n"/>
      <c r="K2186" s="30" t="str">
        <f>IF($A2186="","",EDATE($A2186,12*$E$4))</f>
        <v/>
      </c>
      <c r="L2186" s="19" t="str">
        <f>IF($K2186="","",IF($K2186&gt;MAX($A$8:$A$5007),"",IFERROR(MATCH($K2186,$A$8:$A$5007,1),"")))</f>
        <v/>
      </c>
      <c r="M2186" s="30" t="str">
        <f>IF($L2186="","",INDEX($A$8:$A$5007,$L2186))</f>
        <v/>
      </c>
      <c r="N2186" s="31" t="str">
        <f>IF($L2186="","",INDEX($B$8:$B$5007,$L2186))</f>
        <v/>
      </c>
      <c r="O2186" s="32" t="str">
        <f>IF($M2186="","",IF($K2186-$M2186&gt;7,"",IF($M2186&lt;=$A2186,"",IF(OR($B2186&lt;=0,$N2186&lt;=0),"",($N2186/$B2186)^(365/($M2186-$A2186))-1))))</f>
        <v/>
      </c>
      <c r="P2186" s="31" t="str">
        <f>IF($B2186="","",IF($P2185="",$B2186,MAX($P2185,$B2186)))</f>
        <v/>
      </c>
      <c r="Q2186" s="32" t="str">
        <f>IF($P2186="","",$B2186/$P2186-1)</f>
        <v/>
      </c>
    </row>
    <row r="2187">
      <c r="A2187" s="11" t="n"/>
      <c r="B2187" s="29" t="n"/>
      <c r="K2187" s="30" t="str">
        <f>IF($A2187="","",EDATE($A2187,12*$E$4))</f>
        <v/>
      </c>
      <c r="L2187" s="19" t="str">
        <f>IF($K2187="","",IF($K2187&gt;MAX($A$8:$A$5007),"",IFERROR(MATCH($K2187,$A$8:$A$5007,1),"")))</f>
        <v/>
      </c>
      <c r="M2187" s="30" t="str">
        <f>IF($L2187="","",INDEX($A$8:$A$5007,$L2187))</f>
        <v/>
      </c>
      <c r="N2187" s="31" t="str">
        <f>IF($L2187="","",INDEX($B$8:$B$5007,$L2187))</f>
        <v/>
      </c>
      <c r="O2187" s="32" t="str">
        <f>IF($M2187="","",IF($K2187-$M2187&gt;7,"",IF($M2187&lt;=$A2187,"",IF(OR($B2187&lt;=0,$N2187&lt;=0),"",($N2187/$B2187)^(365/($M2187-$A2187))-1))))</f>
        <v/>
      </c>
      <c r="P2187" s="31" t="str">
        <f>IF($B2187="","",IF($P2186="",$B2187,MAX($P2186,$B2187)))</f>
        <v/>
      </c>
      <c r="Q2187" s="32" t="str">
        <f>IF($P2187="","",$B2187/$P2187-1)</f>
        <v/>
      </c>
    </row>
    <row r="2188">
      <c r="A2188" s="11" t="n"/>
      <c r="B2188" s="29" t="n"/>
      <c r="K2188" s="30" t="str">
        <f>IF($A2188="","",EDATE($A2188,12*$E$4))</f>
        <v/>
      </c>
      <c r="L2188" s="19" t="str">
        <f>IF($K2188="","",IF($K2188&gt;MAX($A$8:$A$5007),"",IFERROR(MATCH($K2188,$A$8:$A$5007,1),"")))</f>
        <v/>
      </c>
      <c r="M2188" s="30" t="str">
        <f>IF($L2188="","",INDEX($A$8:$A$5007,$L2188))</f>
        <v/>
      </c>
      <c r="N2188" s="31" t="str">
        <f>IF($L2188="","",INDEX($B$8:$B$5007,$L2188))</f>
        <v/>
      </c>
      <c r="O2188" s="32" t="str">
        <f>IF($M2188="","",IF($K2188-$M2188&gt;7,"",IF($M2188&lt;=$A2188,"",IF(OR($B2188&lt;=0,$N2188&lt;=0),"",($N2188/$B2188)^(365/($M2188-$A2188))-1))))</f>
        <v/>
      </c>
      <c r="P2188" s="31" t="str">
        <f>IF($B2188="","",IF($P2187="",$B2188,MAX($P2187,$B2188)))</f>
        <v/>
      </c>
      <c r="Q2188" s="32" t="str">
        <f>IF($P2188="","",$B2188/$P2188-1)</f>
        <v/>
      </c>
    </row>
    <row r="2189">
      <c r="A2189" s="11" t="n"/>
      <c r="B2189" s="29" t="n"/>
      <c r="K2189" s="30" t="str">
        <f>IF($A2189="","",EDATE($A2189,12*$E$4))</f>
        <v/>
      </c>
      <c r="L2189" s="19" t="str">
        <f>IF($K2189="","",IF($K2189&gt;MAX($A$8:$A$5007),"",IFERROR(MATCH($K2189,$A$8:$A$5007,1),"")))</f>
        <v/>
      </c>
      <c r="M2189" s="30" t="str">
        <f>IF($L2189="","",INDEX($A$8:$A$5007,$L2189))</f>
        <v/>
      </c>
      <c r="N2189" s="31" t="str">
        <f>IF($L2189="","",INDEX($B$8:$B$5007,$L2189))</f>
        <v/>
      </c>
      <c r="O2189" s="32" t="str">
        <f>IF($M2189="","",IF($K2189-$M2189&gt;7,"",IF($M2189&lt;=$A2189,"",IF(OR($B2189&lt;=0,$N2189&lt;=0),"",($N2189/$B2189)^(365/($M2189-$A2189))-1))))</f>
        <v/>
      </c>
      <c r="P2189" s="31" t="str">
        <f>IF($B2189="","",IF($P2188="",$B2189,MAX($P2188,$B2189)))</f>
        <v/>
      </c>
      <c r="Q2189" s="32" t="str">
        <f>IF($P2189="","",$B2189/$P2189-1)</f>
        <v/>
      </c>
    </row>
    <row r="2190">
      <c r="A2190" s="11" t="n"/>
      <c r="B2190" s="29" t="n"/>
      <c r="K2190" s="30" t="str">
        <f>IF($A2190="","",EDATE($A2190,12*$E$4))</f>
        <v/>
      </c>
      <c r="L2190" s="19" t="str">
        <f>IF($K2190="","",IF($K2190&gt;MAX($A$8:$A$5007),"",IFERROR(MATCH($K2190,$A$8:$A$5007,1),"")))</f>
        <v/>
      </c>
      <c r="M2190" s="30" t="str">
        <f>IF($L2190="","",INDEX($A$8:$A$5007,$L2190))</f>
        <v/>
      </c>
      <c r="N2190" s="31" t="str">
        <f>IF($L2190="","",INDEX($B$8:$B$5007,$L2190))</f>
        <v/>
      </c>
      <c r="O2190" s="32" t="str">
        <f>IF($M2190="","",IF($K2190-$M2190&gt;7,"",IF($M2190&lt;=$A2190,"",IF(OR($B2190&lt;=0,$N2190&lt;=0),"",($N2190/$B2190)^(365/($M2190-$A2190))-1))))</f>
        <v/>
      </c>
      <c r="P2190" s="31" t="str">
        <f>IF($B2190="","",IF($P2189="",$B2190,MAX($P2189,$B2190)))</f>
        <v/>
      </c>
      <c r="Q2190" s="32" t="str">
        <f>IF($P2190="","",$B2190/$P2190-1)</f>
        <v/>
      </c>
    </row>
    <row r="2191">
      <c r="A2191" s="11" t="n"/>
      <c r="B2191" s="29" t="n"/>
      <c r="K2191" s="30" t="str">
        <f>IF($A2191="","",EDATE($A2191,12*$E$4))</f>
        <v/>
      </c>
      <c r="L2191" s="19" t="str">
        <f>IF($K2191="","",IF($K2191&gt;MAX($A$8:$A$5007),"",IFERROR(MATCH($K2191,$A$8:$A$5007,1),"")))</f>
        <v/>
      </c>
      <c r="M2191" s="30" t="str">
        <f>IF($L2191="","",INDEX($A$8:$A$5007,$L2191))</f>
        <v/>
      </c>
      <c r="N2191" s="31" t="str">
        <f>IF($L2191="","",INDEX($B$8:$B$5007,$L2191))</f>
        <v/>
      </c>
      <c r="O2191" s="32" t="str">
        <f>IF($M2191="","",IF($K2191-$M2191&gt;7,"",IF($M2191&lt;=$A2191,"",IF(OR($B2191&lt;=0,$N2191&lt;=0),"",($N2191/$B2191)^(365/($M2191-$A2191))-1))))</f>
        <v/>
      </c>
      <c r="P2191" s="31" t="str">
        <f>IF($B2191="","",IF($P2190="",$B2191,MAX($P2190,$B2191)))</f>
        <v/>
      </c>
      <c r="Q2191" s="32" t="str">
        <f>IF($P2191="","",$B2191/$P2191-1)</f>
        <v/>
      </c>
    </row>
    <row r="2192">
      <c r="A2192" s="11" t="n"/>
      <c r="B2192" s="29" t="n"/>
      <c r="K2192" s="30" t="str">
        <f>IF($A2192="","",EDATE($A2192,12*$E$4))</f>
        <v/>
      </c>
      <c r="L2192" s="19" t="str">
        <f>IF($K2192="","",IF($K2192&gt;MAX($A$8:$A$5007),"",IFERROR(MATCH($K2192,$A$8:$A$5007,1),"")))</f>
        <v/>
      </c>
      <c r="M2192" s="30" t="str">
        <f>IF($L2192="","",INDEX($A$8:$A$5007,$L2192))</f>
        <v/>
      </c>
      <c r="N2192" s="31" t="str">
        <f>IF($L2192="","",INDEX($B$8:$B$5007,$L2192))</f>
        <v/>
      </c>
      <c r="O2192" s="32" t="str">
        <f>IF($M2192="","",IF($K2192-$M2192&gt;7,"",IF($M2192&lt;=$A2192,"",IF(OR($B2192&lt;=0,$N2192&lt;=0),"",($N2192/$B2192)^(365/($M2192-$A2192))-1))))</f>
        <v/>
      </c>
      <c r="P2192" s="31" t="str">
        <f>IF($B2192="","",IF($P2191="",$B2192,MAX($P2191,$B2192)))</f>
        <v/>
      </c>
      <c r="Q2192" s="32" t="str">
        <f>IF($P2192="","",$B2192/$P2192-1)</f>
        <v/>
      </c>
    </row>
    <row r="2193">
      <c r="A2193" s="11" t="n"/>
      <c r="B2193" s="29" t="n"/>
      <c r="K2193" s="30" t="str">
        <f>IF($A2193="","",EDATE($A2193,12*$E$4))</f>
        <v/>
      </c>
      <c r="L2193" s="19" t="str">
        <f>IF($K2193="","",IF($K2193&gt;MAX($A$8:$A$5007),"",IFERROR(MATCH($K2193,$A$8:$A$5007,1),"")))</f>
        <v/>
      </c>
      <c r="M2193" s="30" t="str">
        <f>IF($L2193="","",INDEX($A$8:$A$5007,$L2193))</f>
        <v/>
      </c>
      <c r="N2193" s="31" t="str">
        <f>IF($L2193="","",INDEX($B$8:$B$5007,$L2193))</f>
        <v/>
      </c>
      <c r="O2193" s="32" t="str">
        <f>IF($M2193="","",IF($K2193-$M2193&gt;7,"",IF($M2193&lt;=$A2193,"",IF(OR($B2193&lt;=0,$N2193&lt;=0),"",($N2193/$B2193)^(365/($M2193-$A2193))-1))))</f>
        <v/>
      </c>
      <c r="P2193" s="31" t="str">
        <f>IF($B2193="","",IF($P2192="",$B2193,MAX($P2192,$B2193)))</f>
        <v/>
      </c>
      <c r="Q2193" s="32" t="str">
        <f>IF($P2193="","",$B2193/$P2193-1)</f>
        <v/>
      </c>
    </row>
    <row r="2194">
      <c r="A2194" s="11" t="n"/>
      <c r="B2194" s="29" t="n"/>
      <c r="K2194" s="30" t="str">
        <f>IF($A2194="","",EDATE($A2194,12*$E$4))</f>
        <v/>
      </c>
      <c r="L2194" s="19" t="str">
        <f>IF($K2194="","",IF($K2194&gt;MAX($A$8:$A$5007),"",IFERROR(MATCH($K2194,$A$8:$A$5007,1),"")))</f>
        <v/>
      </c>
      <c r="M2194" s="30" t="str">
        <f>IF($L2194="","",INDEX($A$8:$A$5007,$L2194))</f>
        <v/>
      </c>
      <c r="N2194" s="31" t="str">
        <f>IF($L2194="","",INDEX($B$8:$B$5007,$L2194))</f>
        <v/>
      </c>
      <c r="O2194" s="32" t="str">
        <f>IF($M2194="","",IF($K2194-$M2194&gt;7,"",IF($M2194&lt;=$A2194,"",IF(OR($B2194&lt;=0,$N2194&lt;=0),"",($N2194/$B2194)^(365/($M2194-$A2194))-1))))</f>
        <v/>
      </c>
      <c r="P2194" s="31" t="str">
        <f>IF($B2194="","",IF($P2193="",$B2194,MAX($P2193,$B2194)))</f>
        <v/>
      </c>
      <c r="Q2194" s="32" t="str">
        <f>IF($P2194="","",$B2194/$P2194-1)</f>
        <v/>
      </c>
    </row>
    <row r="2195">
      <c r="A2195" s="11" t="n"/>
      <c r="B2195" s="29" t="n"/>
      <c r="K2195" s="30" t="str">
        <f>IF($A2195="","",EDATE($A2195,12*$E$4))</f>
        <v/>
      </c>
      <c r="L2195" s="19" t="str">
        <f>IF($K2195="","",IF($K2195&gt;MAX($A$8:$A$5007),"",IFERROR(MATCH($K2195,$A$8:$A$5007,1),"")))</f>
        <v/>
      </c>
      <c r="M2195" s="30" t="str">
        <f>IF($L2195="","",INDEX($A$8:$A$5007,$L2195))</f>
        <v/>
      </c>
      <c r="N2195" s="31" t="str">
        <f>IF($L2195="","",INDEX($B$8:$B$5007,$L2195))</f>
        <v/>
      </c>
      <c r="O2195" s="32" t="str">
        <f>IF($M2195="","",IF($K2195-$M2195&gt;7,"",IF($M2195&lt;=$A2195,"",IF(OR($B2195&lt;=0,$N2195&lt;=0),"",($N2195/$B2195)^(365/($M2195-$A2195))-1))))</f>
        <v/>
      </c>
      <c r="P2195" s="31" t="str">
        <f>IF($B2195="","",IF($P2194="",$B2195,MAX($P2194,$B2195)))</f>
        <v/>
      </c>
      <c r="Q2195" s="32" t="str">
        <f>IF($P2195="","",$B2195/$P2195-1)</f>
        <v/>
      </c>
    </row>
    <row r="2196">
      <c r="A2196" s="11" t="n"/>
      <c r="B2196" s="29" t="n"/>
      <c r="K2196" s="30" t="str">
        <f>IF($A2196="","",EDATE($A2196,12*$E$4))</f>
        <v/>
      </c>
      <c r="L2196" s="19" t="str">
        <f>IF($K2196="","",IF($K2196&gt;MAX($A$8:$A$5007),"",IFERROR(MATCH($K2196,$A$8:$A$5007,1),"")))</f>
        <v/>
      </c>
      <c r="M2196" s="30" t="str">
        <f>IF($L2196="","",INDEX($A$8:$A$5007,$L2196))</f>
        <v/>
      </c>
      <c r="N2196" s="31" t="str">
        <f>IF($L2196="","",INDEX($B$8:$B$5007,$L2196))</f>
        <v/>
      </c>
      <c r="O2196" s="32" t="str">
        <f>IF($M2196="","",IF($K2196-$M2196&gt;7,"",IF($M2196&lt;=$A2196,"",IF(OR($B2196&lt;=0,$N2196&lt;=0),"",($N2196/$B2196)^(365/($M2196-$A2196))-1))))</f>
        <v/>
      </c>
      <c r="P2196" s="31" t="str">
        <f>IF($B2196="","",IF($P2195="",$B2196,MAX($P2195,$B2196)))</f>
        <v/>
      </c>
      <c r="Q2196" s="32" t="str">
        <f>IF($P2196="","",$B2196/$P2196-1)</f>
        <v/>
      </c>
    </row>
    <row r="2197">
      <c r="A2197" s="11" t="n"/>
      <c r="B2197" s="29" t="n"/>
      <c r="K2197" s="30" t="str">
        <f>IF($A2197="","",EDATE($A2197,12*$E$4))</f>
        <v/>
      </c>
      <c r="L2197" s="19" t="str">
        <f>IF($K2197="","",IF($K2197&gt;MAX($A$8:$A$5007),"",IFERROR(MATCH($K2197,$A$8:$A$5007,1),"")))</f>
        <v/>
      </c>
      <c r="M2197" s="30" t="str">
        <f>IF($L2197="","",INDEX($A$8:$A$5007,$L2197))</f>
        <v/>
      </c>
      <c r="N2197" s="31" t="str">
        <f>IF($L2197="","",INDEX($B$8:$B$5007,$L2197))</f>
        <v/>
      </c>
      <c r="O2197" s="32" t="str">
        <f>IF($M2197="","",IF($K2197-$M2197&gt;7,"",IF($M2197&lt;=$A2197,"",IF(OR($B2197&lt;=0,$N2197&lt;=0),"",($N2197/$B2197)^(365/($M2197-$A2197))-1))))</f>
        <v/>
      </c>
      <c r="P2197" s="31" t="str">
        <f>IF($B2197="","",IF($P2196="",$B2197,MAX($P2196,$B2197)))</f>
        <v/>
      </c>
      <c r="Q2197" s="32" t="str">
        <f>IF($P2197="","",$B2197/$P2197-1)</f>
        <v/>
      </c>
    </row>
    <row r="2198">
      <c r="A2198" s="11" t="n"/>
      <c r="B2198" s="29" t="n"/>
      <c r="K2198" s="30" t="str">
        <f>IF($A2198="","",EDATE($A2198,12*$E$4))</f>
        <v/>
      </c>
      <c r="L2198" s="19" t="str">
        <f>IF($K2198="","",IF($K2198&gt;MAX($A$8:$A$5007),"",IFERROR(MATCH($K2198,$A$8:$A$5007,1),"")))</f>
        <v/>
      </c>
      <c r="M2198" s="30" t="str">
        <f>IF($L2198="","",INDEX($A$8:$A$5007,$L2198))</f>
        <v/>
      </c>
      <c r="N2198" s="31" t="str">
        <f>IF($L2198="","",INDEX($B$8:$B$5007,$L2198))</f>
        <v/>
      </c>
      <c r="O2198" s="32" t="str">
        <f>IF($M2198="","",IF($K2198-$M2198&gt;7,"",IF($M2198&lt;=$A2198,"",IF(OR($B2198&lt;=0,$N2198&lt;=0),"",($N2198/$B2198)^(365/($M2198-$A2198))-1))))</f>
        <v/>
      </c>
      <c r="P2198" s="31" t="str">
        <f>IF($B2198="","",IF($P2197="",$B2198,MAX($P2197,$B2198)))</f>
        <v/>
      </c>
      <c r="Q2198" s="32" t="str">
        <f>IF($P2198="","",$B2198/$P2198-1)</f>
        <v/>
      </c>
    </row>
    <row r="2199">
      <c r="A2199" s="11" t="n"/>
      <c r="B2199" s="29" t="n"/>
      <c r="K2199" s="30" t="str">
        <f>IF($A2199="","",EDATE($A2199,12*$E$4))</f>
        <v/>
      </c>
      <c r="L2199" s="19" t="str">
        <f>IF($K2199="","",IF($K2199&gt;MAX($A$8:$A$5007),"",IFERROR(MATCH($K2199,$A$8:$A$5007,1),"")))</f>
        <v/>
      </c>
      <c r="M2199" s="30" t="str">
        <f>IF($L2199="","",INDEX($A$8:$A$5007,$L2199))</f>
        <v/>
      </c>
      <c r="N2199" s="31" t="str">
        <f>IF($L2199="","",INDEX($B$8:$B$5007,$L2199))</f>
        <v/>
      </c>
      <c r="O2199" s="32" t="str">
        <f>IF($M2199="","",IF($K2199-$M2199&gt;7,"",IF($M2199&lt;=$A2199,"",IF(OR($B2199&lt;=0,$N2199&lt;=0),"",($N2199/$B2199)^(365/($M2199-$A2199))-1))))</f>
        <v/>
      </c>
      <c r="P2199" s="31" t="str">
        <f>IF($B2199="","",IF($P2198="",$B2199,MAX($P2198,$B2199)))</f>
        <v/>
      </c>
      <c r="Q2199" s="32" t="str">
        <f>IF($P2199="","",$B2199/$P2199-1)</f>
        <v/>
      </c>
    </row>
    <row r="2200">
      <c r="A2200" s="11" t="n"/>
      <c r="B2200" s="29" t="n"/>
      <c r="K2200" s="30" t="str">
        <f>IF($A2200="","",EDATE($A2200,12*$E$4))</f>
        <v/>
      </c>
      <c r="L2200" s="19" t="str">
        <f>IF($K2200="","",IF($K2200&gt;MAX($A$8:$A$5007),"",IFERROR(MATCH($K2200,$A$8:$A$5007,1),"")))</f>
        <v/>
      </c>
      <c r="M2200" s="30" t="str">
        <f>IF($L2200="","",INDEX($A$8:$A$5007,$L2200))</f>
        <v/>
      </c>
      <c r="N2200" s="31" t="str">
        <f>IF($L2200="","",INDEX($B$8:$B$5007,$L2200))</f>
        <v/>
      </c>
      <c r="O2200" s="32" t="str">
        <f>IF($M2200="","",IF($K2200-$M2200&gt;7,"",IF($M2200&lt;=$A2200,"",IF(OR($B2200&lt;=0,$N2200&lt;=0),"",($N2200/$B2200)^(365/($M2200-$A2200))-1))))</f>
        <v/>
      </c>
      <c r="P2200" s="31" t="str">
        <f>IF($B2200="","",IF($P2199="",$B2200,MAX($P2199,$B2200)))</f>
        <v/>
      </c>
      <c r="Q2200" s="32" t="str">
        <f>IF($P2200="","",$B2200/$P2200-1)</f>
        <v/>
      </c>
    </row>
    <row r="2201">
      <c r="A2201" s="11" t="n"/>
      <c r="B2201" s="29" t="n"/>
      <c r="K2201" s="30" t="str">
        <f>IF($A2201="","",EDATE($A2201,12*$E$4))</f>
        <v/>
      </c>
      <c r="L2201" s="19" t="str">
        <f>IF($K2201="","",IF($K2201&gt;MAX($A$8:$A$5007),"",IFERROR(MATCH($K2201,$A$8:$A$5007,1),"")))</f>
        <v/>
      </c>
      <c r="M2201" s="30" t="str">
        <f>IF($L2201="","",INDEX($A$8:$A$5007,$L2201))</f>
        <v/>
      </c>
      <c r="N2201" s="31" t="str">
        <f>IF($L2201="","",INDEX($B$8:$B$5007,$L2201))</f>
        <v/>
      </c>
      <c r="O2201" s="32" t="str">
        <f>IF($M2201="","",IF($K2201-$M2201&gt;7,"",IF($M2201&lt;=$A2201,"",IF(OR($B2201&lt;=0,$N2201&lt;=0),"",($N2201/$B2201)^(365/($M2201-$A2201))-1))))</f>
        <v/>
      </c>
      <c r="P2201" s="31" t="str">
        <f>IF($B2201="","",IF($P2200="",$B2201,MAX($P2200,$B2201)))</f>
        <v/>
      </c>
      <c r="Q2201" s="32" t="str">
        <f>IF($P2201="","",$B2201/$P2201-1)</f>
        <v/>
      </c>
    </row>
    <row r="2202">
      <c r="A2202" s="11" t="n"/>
      <c r="B2202" s="29" t="n"/>
      <c r="K2202" s="30" t="str">
        <f>IF($A2202="","",EDATE($A2202,12*$E$4))</f>
        <v/>
      </c>
      <c r="L2202" s="19" t="str">
        <f>IF($K2202="","",IF($K2202&gt;MAX($A$8:$A$5007),"",IFERROR(MATCH($K2202,$A$8:$A$5007,1),"")))</f>
        <v/>
      </c>
      <c r="M2202" s="30" t="str">
        <f>IF($L2202="","",INDEX($A$8:$A$5007,$L2202))</f>
        <v/>
      </c>
      <c r="N2202" s="31" t="str">
        <f>IF($L2202="","",INDEX($B$8:$B$5007,$L2202))</f>
        <v/>
      </c>
      <c r="O2202" s="32" t="str">
        <f>IF($M2202="","",IF($K2202-$M2202&gt;7,"",IF($M2202&lt;=$A2202,"",IF(OR($B2202&lt;=0,$N2202&lt;=0),"",($N2202/$B2202)^(365/($M2202-$A2202))-1))))</f>
        <v/>
      </c>
      <c r="P2202" s="31" t="str">
        <f>IF($B2202="","",IF($P2201="",$B2202,MAX($P2201,$B2202)))</f>
        <v/>
      </c>
      <c r="Q2202" s="32" t="str">
        <f>IF($P2202="","",$B2202/$P2202-1)</f>
        <v/>
      </c>
    </row>
    <row r="2203">
      <c r="A2203" s="11" t="n"/>
      <c r="B2203" s="29" t="n"/>
      <c r="K2203" s="30" t="str">
        <f>IF($A2203="","",EDATE($A2203,12*$E$4))</f>
        <v/>
      </c>
      <c r="L2203" s="19" t="str">
        <f>IF($K2203="","",IF($K2203&gt;MAX($A$8:$A$5007),"",IFERROR(MATCH($K2203,$A$8:$A$5007,1),"")))</f>
        <v/>
      </c>
      <c r="M2203" s="30" t="str">
        <f>IF($L2203="","",INDEX($A$8:$A$5007,$L2203))</f>
        <v/>
      </c>
      <c r="N2203" s="31" t="str">
        <f>IF($L2203="","",INDEX($B$8:$B$5007,$L2203))</f>
        <v/>
      </c>
      <c r="O2203" s="32" t="str">
        <f>IF($M2203="","",IF($K2203-$M2203&gt;7,"",IF($M2203&lt;=$A2203,"",IF(OR($B2203&lt;=0,$N2203&lt;=0),"",($N2203/$B2203)^(365/($M2203-$A2203))-1))))</f>
        <v/>
      </c>
      <c r="P2203" s="31" t="str">
        <f>IF($B2203="","",IF($P2202="",$B2203,MAX($P2202,$B2203)))</f>
        <v/>
      </c>
      <c r="Q2203" s="32" t="str">
        <f>IF($P2203="","",$B2203/$P2203-1)</f>
        <v/>
      </c>
    </row>
    <row r="2204">
      <c r="A2204" s="11" t="n"/>
      <c r="B2204" s="29" t="n"/>
      <c r="K2204" s="30" t="str">
        <f>IF($A2204="","",EDATE($A2204,12*$E$4))</f>
        <v/>
      </c>
      <c r="L2204" s="19" t="str">
        <f>IF($K2204="","",IF($K2204&gt;MAX($A$8:$A$5007),"",IFERROR(MATCH($K2204,$A$8:$A$5007,1),"")))</f>
        <v/>
      </c>
      <c r="M2204" s="30" t="str">
        <f>IF($L2204="","",INDEX($A$8:$A$5007,$L2204))</f>
        <v/>
      </c>
      <c r="N2204" s="31" t="str">
        <f>IF($L2204="","",INDEX($B$8:$B$5007,$L2204))</f>
        <v/>
      </c>
      <c r="O2204" s="32" t="str">
        <f>IF($M2204="","",IF($K2204-$M2204&gt;7,"",IF($M2204&lt;=$A2204,"",IF(OR($B2204&lt;=0,$N2204&lt;=0),"",($N2204/$B2204)^(365/($M2204-$A2204))-1))))</f>
        <v/>
      </c>
      <c r="P2204" s="31" t="str">
        <f>IF($B2204="","",IF($P2203="",$B2204,MAX($P2203,$B2204)))</f>
        <v/>
      </c>
      <c r="Q2204" s="32" t="str">
        <f>IF($P2204="","",$B2204/$P2204-1)</f>
        <v/>
      </c>
    </row>
    <row r="2205">
      <c r="A2205" s="11" t="n"/>
      <c r="B2205" s="29" t="n"/>
      <c r="K2205" s="30" t="str">
        <f>IF($A2205="","",EDATE($A2205,12*$E$4))</f>
        <v/>
      </c>
      <c r="L2205" s="19" t="str">
        <f>IF($K2205="","",IF($K2205&gt;MAX($A$8:$A$5007),"",IFERROR(MATCH($K2205,$A$8:$A$5007,1),"")))</f>
        <v/>
      </c>
      <c r="M2205" s="30" t="str">
        <f>IF($L2205="","",INDEX($A$8:$A$5007,$L2205))</f>
        <v/>
      </c>
      <c r="N2205" s="31" t="str">
        <f>IF($L2205="","",INDEX($B$8:$B$5007,$L2205))</f>
        <v/>
      </c>
      <c r="O2205" s="32" t="str">
        <f>IF($M2205="","",IF($K2205-$M2205&gt;7,"",IF($M2205&lt;=$A2205,"",IF(OR($B2205&lt;=0,$N2205&lt;=0),"",($N2205/$B2205)^(365/($M2205-$A2205))-1))))</f>
        <v/>
      </c>
      <c r="P2205" s="31" t="str">
        <f>IF($B2205="","",IF($P2204="",$B2205,MAX($P2204,$B2205)))</f>
        <v/>
      </c>
      <c r="Q2205" s="32" t="str">
        <f>IF($P2205="","",$B2205/$P2205-1)</f>
        <v/>
      </c>
    </row>
    <row r="2206">
      <c r="A2206" s="11" t="n"/>
      <c r="B2206" s="29" t="n"/>
      <c r="K2206" s="30" t="str">
        <f>IF($A2206="","",EDATE($A2206,12*$E$4))</f>
        <v/>
      </c>
      <c r="L2206" s="19" t="str">
        <f>IF($K2206="","",IF($K2206&gt;MAX($A$8:$A$5007),"",IFERROR(MATCH($K2206,$A$8:$A$5007,1),"")))</f>
        <v/>
      </c>
      <c r="M2206" s="30" t="str">
        <f>IF($L2206="","",INDEX($A$8:$A$5007,$L2206))</f>
        <v/>
      </c>
      <c r="N2206" s="31" t="str">
        <f>IF($L2206="","",INDEX($B$8:$B$5007,$L2206))</f>
        <v/>
      </c>
      <c r="O2206" s="32" t="str">
        <f>IF($M2206="","",IF($K2206-$M2206&gt;7,"",IF($M2206&lt;=$A2206,"",IF(OR($B2206&lt;=0,$N2206&lt;=0),"",($N2206/$B2206)^(365/($M2206-$A2206))-1))))</f>
        <v/>
      </c>
      <c r="P2206" s="31" t="str">
        <f>IF($B2206="","",IF($P2205="",$B2206,MAX($P2205,$B2206)))</f>
        <v/>
      </c>
      <c r="Q2206" s="32" t="str">
        <f>IF($P2206="","",$B2206/$P2206-1)</f>
        <v/>
      </c>
    </row>
    <row r="2207">
      <c r="A2207" s="11" t="n"/>
      <c r="B2207" s="29" t="n"/>
      <c r="K2207" s="30" t="str">
        <f>IF($A2207="","",EDATE($A2207,12*$E$4))</f>
        <v/>
      </c>
      <c r="L2207" s="19" t="str">
        <f>IF($K2207="","",IF($K2207&gt;MAX($A$8:$A$5007),"",IFERROR(MATCH($K2207,$A$8:$A$5007,1),"")))</f>
        <v/>
      </c>
      <c r="M2207" s="30" t="str">
        <f>IF($L2207="","",INDEX($A$8:$A$5007,$L2207))</f>
        <v/>
      </c>
      <c r="N2207" s="31" t="str">
        <f>IF($L2207="","",INDEX($B$8:$B$5007,$L2207))</f>
        <v/>
      </c>
      <c r="O2207" s="32" t="str">
        <f>IF($M2207="","",IF($K2207-$M2207&gt;7,"",IF($M2207&lt;=$A2207,"",IF(OR($B2207&lt;=0,$N2207&lt;=0),"",($N2207/$B2207)^(365/($M2207-$A2207))-1))))</f>
        <v/>
      </c>
      <c r="P2207" s="31" t="str">
        <f>IF($B2207="","",IF($P2206="",$B2207,MAX($P2206,$B2207)))</f>
        <v/>
      </c>
      <c r="Q2207" s="32" t="str">
        <f>IF($P2207="","",$B2207/$P2207-1)</f>
        <v/>
      </c>
    </row>
    <row r="2208">
      <c r="A2208" s="11" t="n"/>
      <c r="B2208" s="29" t="n"/>
      <c r="K2208" s="30" t="str">
        <f>IF($A2208="","",EDATE($A2208,12*$E$4))</f>
        <v/>
      </c>
      <c r="L2208" s="19" t="str">
        <f>IF($K2208="","",IF($K2208&gt;MAX($A$8:$A$5007),"",IFERROR(MATCH($K2208,$A$8:$A$5007,1),"")))</f>
        <v/>
      </c>
      <c r="M2208" s="30" t="str">
        <f>IF($L2208="","",INDEX($A$8:$A$5007,$L2208))</f>
        <v/>
      </c>
      <c r="N2208" s="31" t="str">
        <f>IF($L2208="","",INDEX($B$8:$B$5007,$L2208))</f>
        <v/>
      </c>
      <c r="O2208" s="32" t="str">
        <f>IF($M2208="","",IF($K2208-$M2208&gt;7,"",IF($M2208&lt;=$A2208,"",IF(OR($B2208&lt;=0,$N2208&lt;=0),"",($N2208/$B2208)^(365/($M2208-$A2208))-1))))</f>
        <v/>
      </c>
      <c r="P2208" s="31" t="str">
        <f>IF($B2208="","",IF($P2207="",$B2208,MAX($P2207,$B2208)))</f>
        <v/>
      </c>
      <c r="Q2208" s="32" t="str">
        <f>IF($P2208="","",$B2208/$P2208-1)</f>
        <v/>
      </c>
    </row>
    <row r="2209">
      <c r="A2209" s="11" t="n"/>
      <c r="B2209" s="29" t="n"/>
      <c r="K2209" s="30" t="str">
        <f>IF($A2209="","",EDATE($A2209,12*$E$4))</f>
        <v/>
      </c>
      <c r="L2209" s="19" t="str">
        <f>IF($K2209="","",IF($K2209&gt;MAX($A$8:$A$5007),"",IFERROR(MATCH($K2209,$A$8:$A$5007,1),"")))</f>
        <v/>
      </c>
      <c r="M2209" s="30" t="str">
        <f>IF($L2209="","",INDEX($A$8:$A$5007,$L2209))</f>
        <v/>
      </c>
      <c r="N2209" s="31" t="str">
        <f>IF($L2209="","",INDEX($B$8:$B$5007,$L2209))</f>
        <v/>
      </c>
      <c r="O2209" s="32" t="str">
        <f>IF($M2209="","",IF($K2209-$M2209&gt;7,"",IF($M2209&lt;=$A2209,"",IF(OR($B2209&lt;=0,$N2209&lt;=0),"",($N2209/$B2209)^(365/($M2209-$A2209))-1))))</f>
        <v/>
      </c>
      <c r="P2209" s="31" t="str">
        <f>IF($B2209="","",IF($P2208="",$B2209,MAX($P2208,$B2209)))</f>
        <v/>
      </c>
      <c r="Q2209" s="32" t="str">
        <f>IF($P2209="","",$B2209/$P2209-1)</f>
        <v/>
      </c>
    </row>
    <row r="2210">
      <c r="A2210" s="11" t="n"/>
      <c r="B2210" s="29" t="n"/>
      <c r="K2210" s="30" t="str">
        <f>IF($A2210="","",EDATE($A2210,12*$E$4))</f>
        <v/>
      </c>
      <c r="L2210" s="19" t="str">
        <f>IF($K2210="","",IF($K2210&gt;MAX($A$8:$A$5007),"",IFERROR(MATCH($K2210,$A$8:$A$5007,1),"")))</f>
        <v/>
      </c>
      <c r="M2210" s="30" t="str">
        <f>IF($L2210="","",INDEX($A$8:$A$5007,$L2210))</f>
        <v/>
      </c>
      <c r="N2210" s="31" t="str">
        <f>IF($L2210="","",INDEX($B$8:$B$5007,$L2210))</f>
        <v/>
      </c>
      <c r="O2210" s="32" t="str">
        <f>IF($M2210="","",IF($K2210-$M2210&gt;7,"",IF($M2210&lt;=$A2210,"",IF(OR($B2210&lt;=0,$N2210&lt;=0),"",($N2210/$B2210)^(365/($M2210-$A2210))-1))))</f>
        <v/>
      </c>
      <c r="P2210" s="31" t="str">
        <f>IF($B2210="","",IF($P2209="",$B2210,MAX($P2209,$B2210)))</f>
        <v/>
      </c>
      <c r="Q2210" s="32" t="str">
        <f>IF($P2210="","",$B2210/$P2210-1)</f>
        <v/>
      </c>
    </row>
    <row r="2211">
      <c r="A2211" s="11" t="n"/>
      <c r="B2211" s="29" t="n"/>
      <c r="K2211" s="30" t="str">
        <f>IF($A2211="","",EDATE($A2211,12*$E$4))</f>
        <v/>
      </c>
      <c r="L2211" s="19" t="str">
        <f>IF($K2211="","",IF($K2211&gt;MAX($A$8:$A$5007),"",IFERROR(MATCH($K2211,$A$8:$A$5007,1),"")))</f>
        <v/>
      </c>
      <c r="M2211" s="30" t="str">
        <f>IF($L2211="","",INDEX($A$8:$A$5007,$L2211))</f>
        <v/>
      </c>
      <c r="N2211" s="31" t="str">
        <f>IF($L2211="","",INDEX($B$8:$B$5007,$L2211))</f>
        <v/>
      </c>
      <c r="O2211" s="32" t="str">
        <f>IF($M2211="","",IF($K2211-$M2211&gt;7,"",IF($M2211&lt;=$A2211,"",IF(OR($B2211&lt;=0,$N2211&lt;=0),"",($N2211/$B2211)^(365/($M2211-$A2211))-1))))</f>
        <v/>
      </c>
      <c r="P2211" s="31" t="str">
        <f>IF($B2211="","",IF($P2210="",$B2211,MAX($P2210,$B2211)))</f>
        <v/>
      </c>
      <c r="Q2211" s="32" t="str">
        <f>IF($P2211="","",$B2211/$P2211-1)</f>
        <v/>
      </c>
    </row>
    <row r="2212">
      <c r="A2212" s="11" t="n"/>
      <c r="B2212" s="29" t="n"/>
      <c r="K2212" s="30" t="str">
        <f>IF($A2212="","",EDATE($A2212,12*$E$4))</f>
        <v/>
      </c>
      <c r="L2212" s="19" t="str">
        <f>IF($K2212="","",IF($K2212&gt;MAX($A$8:$A$5007),"",IFERROR(MATCH($K2212,$A$8:$A$5007,1),"")))</f>
        <v/>
      </c>
      <c r="M2212" s="30" t="str">
        <f>IF($L2212="","",INDEX($A$8:$A$5007,$L2212))</f>
        <v/>
      </c>
      <c r="N2212" s="31" t="str">
        <f>IF($L2212="","",INDEX($B$8:$B$5007,$L2212))</f>
        <v/>
      </c>
      <c r="O2212" s="32" t="str">
        <f>IF($M2212="","",IF($K2212-$M2212&gt;7,"",IF($M2212&lt;=$A2212,"",IF(OR($B2212&lt;=0,$N2212&lt;=0),"",($N2212/$B2212)^(365/($M2212-$A2212))-1))))</f>
        <v/>
      </c>
      <c r="P2212" s="31" t="str">
        <f>IF($B2212="","",IF($P2211="",$B2212,MAX($P2211,$B2212)))</f>
        <v/>
      </c>
      <c r="Q2212" s="32" t="str">
        <f>IF($P2212="","",$B2212/$P2212-1)</f>
        <v/>
      </c>
    </row>
    <row r="2213">
      <c r="A2213" s="11" t="n"/>
      <c r="B2213" s="29" t="n"/>
      <c r="K2213" s="30" t="str">
        <f>IF($A2213="","",EDATE($A2213,12*$E$4))</f>
        <v/>
      </c>
      <c r="L2213" s="19" t="str">
        <f>IF($K2213="","",IF($K2213&gt;MAX($A$8:$A$5007),"",IFERROR(MATCH($K2213,$A$8:$A$5007,1),"")))</f>
        <v/>
      </c>
      <c r="M2213" s="30" t="str">
        <f>IF($L2213="","",INDEX($A$8:$A$5007,$L2213))</f>
        <v/>
      </c>
      <c r="N2213" s="31" t="str">
        <f>IF($L2213="","",INDEX($B$8:$B$5007,$L2213))</f>
        <v/>
      </c>
      <c r="O2213" s="32" t="str">
        <f>IF($M2213="","",IF($K2213-$M2213&gt;7,"",IF($M2213&lt;=$A2213,"",IF(OR($B2213&lt;=0,$N2213&lt;=0),"",($N2213/$B2213)^(365/($M2213-$A2213))-1))))</f>
        <v/>
      </c>
      <c r="P2213" s="31" t="str">
        <f>IF($B2213="","",IF($P2212="",$B2213,MAX($P2212,$B2213)))</f>
        <v/>
      </c>
      <c r="Q2213" s="32" t="str">
        <f>IF($P2213="","",$B2213/$P2213-1)</f>
        <v/>
      </c>
    </row>
    <row r="2214">
      <c r="A2214" s="11" t="n"/>
      <c r="B2214" s="29" t="n"/>
      <c r="K2214" s="30" t="str">
        <f>IF($A2214="","",EDATE($A2214,12*$E$4))</f>
        <v/>
      </c>
      <c r="L2214" s="19" t="str">
        <f>IF($K2214="","",IF($K2214&gt;MAX($A$8:$A$5007),"",IFERROR(MATCH($K2214,$A$8:$A$5007,1),"")))</f>
        <v/>
      </c>
      <c r="M2214" s="30" t="str">
        <f>IF($L2214="","",INDEX($A$8:$A$5007,$L2214))</f>
        <v/>
      </c>
      <c r="N2214" s="31" t="str">
        <f>IF($L2214="","",INDEX($B$8:$B$5007,$L2214))</f>
        <v/>
      </c>
      <c r="O2214" s="32" t="str">
        <f>IF($M2214="","",IF($K2214-$M2214&gt;7,"",IF($M2214&lt;=$A2214,"",IF(OR($B2214&lt;=0,$N2214&lt;=0),"",($N2214/$B2214)^(365/($M2214-$A2214))-1))))</f>
        <v/>
      </c>
      <c r="P2214" s="31" t="str">
        <f>IF($B2214="","",IF($P2213="",$B2214,MAX($P2213,$B2214)))</f>
        <v/>
      </c>
      <c r="Q2214" s="32" t="str">
        <f>IF($P2214="","",$B2214/$P2214-1)</f>
        <v/>
      </c>
    </row>
    <row r="2215">
      <c r="A2215" s="11" t="n"/>
      <c r="B2215" s="29" t="n"/>
      <c r="K2215" s="30" t="str">
        <f>IF($A2215="","",EDATE($A2215,12*$E$4))</f>
        <v/>
      </c>
      <c r="L2215" s="19" t="str">
        <f>IF($K2215="","",IF($K2215&gt;MAX($A$8:$A$5007),"",IFERROR(MATCH($K2215,$A$8:$A$5007,1),"")))</f>
        <v/>
      </c>
      <c r="M2215" s="30" t="str">
        <f>IF($L2215="","",INDEX($A$8:$A$5007,$L2215))</f>
        <v/>
      </c>
      <c r="N2215" s="31" t="str">
        <f>IF($L2215="","",INDEX($B$8:$B$5007,$L2215))</f>
        <v/>
      </c>
      <c r="O2215" s="32" t="str">
        <f>IF($M2215="","",IF($K2215-$M2215&gt;7,"",IF($M2215&lt;=$A2215,"",IF(OR($B2215&lt;=0,$N2215&lt;=0),"",($N2215/$B2215)^(365/($M2215-$A2215))-1))))</f>
        <v/>
      </c>
      <c r="P2215" s="31" t="str">
        <f>IF($B2215="","",IF($P2214="",$B2215,MAX($P2214,$B2215)))</f>
        <v/>
      </c>
      <c r="Q2215" s="32" t="str">
        <f>IF($P2215="","",$B2215/$P2215-1)</f>
        <v/>
      </c>
    </row>
    <row r="2216">
      <c r="A2216" s="11" t="n"/>
      <c r="B2216" s="29" t="n"/>
      <c r="K2216" s="30" t="str">
        <f>IF($A2216="","",EDATE($A2216,12*$E$4))</f>
        <v/>
      </c>
      <c r="L2216" s="19" t="str">
        <f>IF($K2216="","",IF($K2216&gt;MAX($A$8:$A$5007),"",IFERROR(MATCH($K2216,$A$8:$A$5007,1),"")))</f>
        <v/>
      </c>
      <c r="M2216" s="30" t="str">
        <f>IF($L2216="","",INDEX($A$8:$A$5007,$L2216))</f>
        <v/>
      </c>
      <c r="N2216" s="31" t="str">
        <f>IF($L2216="","",INDEX($B$8:$B$5007,$L2216))</f>
        <v/>
      </c>
      <c r="O2216" s="32" t="str">
        <f>IF($M2216="","",IF($K2216-$M2216&gt;7,"",IF($M2216&lt;=$A2216,"",IF(OR($B2216&lt;=0,$N2216&lt;=0),"",($N2216/$B2216)^(365/($M2216-$A2216))-1))))</f>
        <v/>
      </c>
      <c r="P2216" s="31" t="str">
        <f>IF($B2216="","",IF($P2215="",$B2216,MAX($P2215,$B2216)))</f>
        <v/>
      </c>
      <c r="Q2216" s="32" t="str">
        <f>IF($P2216="","",$B2216/$P2216-1)</f>
        <v/>
      </c>
    </row>
    <row r="2217">
      <c r="A2217" s="11" t="n"/>
      <c r="B2217" s="29" t="n"/>
      <c r="K2217" s="30" t="str">
        <f>IF($A2217="","",EDATE($A2217,12*$E$4))</f>
        <v/>
      </c>
      <c r="L2217" s="19" t="str">
        <f>IF($K2217="","",IF($K2217&gt;MAX($A$8:$A$5007),"",IFERROR(MATCH($K2217,$A$8:$A$5007,1),"")))</f>
        <v/>
      </c>
      <c r="M2217" s="30" t="str">
        <f>IF($L2217="","",INDEX($A$8:$A$5007,$L2217))</f>
        <v/>
      </c>
      <c r="N2217" s="31" t="str">
        <f>IF($L2217="","",INDEX($B$8:$B$5007,$L2217))</f>
        <v/>
      </c>
      <c r="O2217" s="32" t="str">
        <f>IF($M2217="","",IF($K2217-$M2217&gt;7,"",IF($M2217&lt;=$A2217,"",IF(OR($B2217&lt;=0,$N2217&lt;=0),"",($N2217/$B2217)^(365/($M2217-$A2217))-1))))</f>
        <v/>
      </c>
      <c r="P2217" s="31" t="str">
        <f>IF($B2217="","",IF($P2216="",$B2217,MAX($P2216,$B2217)))</f>
        <v/>
      </c>
      <c r="Q2217" s="32" t="str">
        <f>IF($P2217="","",$B2217/$P2217-1)</f>
        <v/>
      </c>
    </row>
    <row r="2218">
      <c r="A2218" s="11" t="n"/>
      <c r="B2218" s="29" t="n"/>
      <c r="K2218" s="30" t="str">
        <f>IF($A2218="","",EDATE($A2218,12*$E$4))</f>
        <v/>
      </c>
      <c r="L2218" s="19" t="str">
        <f>IF($K2218="","",IF($K2218&gt;MAX($A$8:$A$5007),"",IFERROR(MATCH($K2218,$A$8:$A$5007,1),"")))</f>
        <v/>
      </c>
      <c r="M2218" s="30" t="str">
        <f>IF($L2218="","",INDEX($A$8:$A$5007,$L2218))</f>
        <v/>
      </c>
      <c r="N2218" s="31" t="str">
        <f>IF($L2218="","",INDEX($B$8:$B$5007,$L2218))</f>
        <v/>
      </c>
      <c r="O2218" s="32" t="str">
        <f>IF($M2218="","",IF($K2218-$M2218&gt;7,"",IF($M2218&lt;=$A2218,"",IF(OR($B2218&lt;=0,$N2218&lt;=0),"",($N2218/$B2218)^(365/($M2218-$A2218))-1))))</f>
        <v/>
      </c>
      <c r="P2218" s="31" t="str">
        <f>IF($B2218="","",IF($P2217="",$B2218,MAX($P2217,$B2218)))</f>
        <v/>
      </c>
      <c r="Q2218" s="32" t="str">
        <f>IF($P2218="","",$B2218/$P2218-1)</f>
        <v/>
      </c>
    </row>
    <row r="2219">
      <c r="A2219" s="11" t="n"/>
      <c r="B2219" s="29" t="n"/>
      <c r="K2219" s="30" t="str">
        <f>IF($A2219="","",EDATE($A2219,12*$E$4))</f>
        <v/>
      </c>
      <c r="L2219" s="19" t="str">
        <f>IF($K2219="","",IF($K2219&gt;MAX($A$8:$A$5007),"",IFERROR(MATCH($K2219,$A$8:$A$5007,1),"")))</f>
        <v/>
      </c>
      <c r="M2219" s="30" t="str">
        <f>IF($L2219="","",INDEX($A$8:$A$5007,$L2219))</f>
        <v/>
      </c>
      <c r="N2219" s="31" t="str">
        <f>IF($L2219="","",INDEX($B$8:$B$5007,$L2219))</f>
        <v/>
      </c>
      <c r="O2219" s="32" t="str">
        <f>IF($M2219="","",IF($K2219-$M2219&gt;7,"",IF($M2219&lt;=$A2219,"",IF(OR($B2219&lt;=0,$N2219&lt;=0),"",($N2219/$B2219)^(365/($M2219-$A2219))-1))))</f>
        <v/>
      </c>
      <c r="P2219" s="31" t="str">
        <f>IF($B2219="","",IF($P2218="",$B2219,MAX($P2218,$B2219)))</f>
        <v/>
      </c>
      <c r="Q2219" s="32" t="str">
        <f>IF($P2219="","",$B2219/$P2219-1)</f>
        <v/>
      </c>
    </row>
    <row r="2220">
      <c r="A2220" s="11" t="n"/>
      <c r="B2220" s="29" t="n"/>
      <c r="K2220" s="30" t="str">
        <f>IF($A2220="","",EDATE($A2220,12*$E$4))</f>
        <v/>
      </c>
      <c r="L2220" s="19" t="str">
        <f>IF($K2220="","",IF($K2220&gt;MAX($A$8:$A$5007),"",IFERROR(MATCH($K2220,$A$8:$A$5007,1),"")))</f>
        <v/>
      </c>
      <c r="M2220" s="30" t="str">
        <f>IF($L2220="","",INDEX($A$8:$A$5007,$L2220))</f>
        <v/>
      </c>
      <c r="N2220" s="31" t="str">
        <f>IF($L2220="","",INDEX($B$8:$B$5007,$L2220))</f>
        <v/>
      </c>
      <c r="O2220" s="32" t="str">
        <f>IF($M2220="","",IF($K2220-$M2220&gt;7,"",IF($M2220&lt;=$A2220,"",IF(OR($B2220&lt;=0,$N2220&lt;=0),"",($N2220/$B2220)^(365/($M2220-$A2220))-1))))</f>
        <v/>
      </c>
      <c r="P2220" s="31" t="str">
        <f>IF($B2220="","",IF($P2219="",$B2220,MAX($P2219,$B2220)))</f>
        <v/>
      </c>
      <c r="Q2220" s="32" t="str">
        <f>IF($P2220="","",$B2220/$P2220-1)</f>
        <v/>
      </c>
    </row>
    <row r="2221">
      <c r="A2221" s="11" t="n"/>
      <c r="B2221" s="29" t="n"/>
      <c r="K2221" s="30" t="str">
        <f>IF($A2221="","",EDATE($A2221,12*$E$4))</f>
        <v/>
      </c>
      <c r="L2221" s="19" t="str">
        <f>IF($K2221="","",IF($K2221&gt;MAX($A$8:$A$5007),"",IFERROR(MATCH($K2221,$A$8:$A$5007,1),"")))</f>
        <v/>
      </c>
      <c r="M2221" s="30" t="str">
        <f>IF($L2221="","",INDEX($A$8:$A$5007,$L2221))</f>
        <v/>
      </c>
      <c r="N2221" s="31" t="str">
        <f>IF($L2221="","",INDEX($B$8:$B$5007,$L2221))</f>
        <v/>
      </c>
      <c r="O2221" s="32" t="str">
        <f>IF($M2221="","",IF($K2221-$M2221&gt;7,"",IF($M2221&lt;=$A2221,"",IF(OR($B2221&lt;=0,$N2221&lt;=0),"",($N2221/$B2221)^(365/($M2221-$A2221))-1))))</f>
        <v/>
      </c>
      <c r="P2221" s="31" t="str">
        <f>IF($B2221="","",IF($P2220="",$B2221,MAX($P2220,$B2221)))</f>
        <v/>
      </c>
      <c r="Q2221" s="32" t="str">
        <f>IF($P2221="","",$B2221/$P2221-1)</f>
        <v/>
      </c>
    </row>
    <row r="2222">
      <c r="A2222" s="11" t="n"/>
      <c r="B2222" s="29" t="n"/>
      <c r="K2222" s="30" t="str">
        <f>IF($A2222="","",EDATE($A2222,12*$E$4))</f>
        <v/>
      </c>
      <c r="L2222" s="19" t="str">
        <f>IF($K2222="","",IF($K2222&gt;MAX($A$8:$A$5007),"",IFERROR(MATCH($K2222,$A$8:$A$5007,1),"")))</f>
        <v/>
      </c>
      <c r="M2222" s="30" t="str">
        <f>IF($L2222="","",INDEX($A$8:$A$5007,$L2222))</f>
        <v/>
      </c>
      <c r="N2222" s="31" t="str">
        <f>IF($L2222="","",INDEX($B$8:$B$5007,$L2222))</f>
        <v/>
      </c>
      <c r="O2222" s="32" t="str">
        <f>IF($M2222="","",IF($K2222-$M2222&gt;7,"",IF($M2222&lt;=$A2222,"",IF(OR($B2222&lt;=0,$N2222&lt;=0),"",($N2222/$B2222)^(365/($M2222-$A2222))-1))))</f>
        <v/>
      </c>
      <c r="P2222" s="31" t="str">
        <f>IF($B2222="","",IF($P2221="",$B2222,MAX($P2221,$B2222)))</f>
        <v/>
      </c>
      <c r="Q2222" s="32" t="str">
        <f>IF($P2222="","",$B2222/$P2222-1)</f>
        <v/>
      </c>
    </row>
    <row r="2223">
      <c r="A2223" s="11" t="n"/>
      <c r="B2223" s="29" t="n"/>
      <c r="K2223" s="30" t="str">
        <f>IF($A2223="","",EDATE($A2223,12*$E$4))</f>
        <v/>
      </c>
      <c r="L2223" s="19" t="str">
        <f>IF($K2223="","",IF($K2223&gt;MAX($A$8:$A$5007),"",IFERROR(MATCH($K2223,$A$8:$A$5007,1),"")))</f>
        <v/>
      </c>
      <c r="M2223" s="30" t="str">
        <f>IF($L2223="","",INDEX($A$8:$A$5007,$L2223))</f>
        <v/>
      </c>
      <c r="N2223" s="31" t="str">
        <f>IF($L2223="","",INDEX($B$8:$B$5007,$L2223))</f>
        <v/>
      </c>
      <c r="O2223" s="32" t="str">
        <f>IF($M2223="","",IF($K2223-$M2223&gt;7,"",IF($M2223&lt;=$A2223,"",IF(OR($B2223&lt;=0,$N2223&lt;=0),"",($N2223/$B2223)^(365/($M2223-$A2223))-1))))</f>
        <v/>
      </c>
      <c r="P2223" s="31" t="str">
        <f>IF($B2223="","",IF($P2222="",$B2223,MAX($P2222,$B2223)))</f>
        <v/>
      </c>
      <c r="Q2223" s="32" t="str">
        <f>IF($P2223="","",$B2223/$P2223-1)</f>
        <v/>
      </c>
    </row>
    <row r="2224">
      <c r="A2224" s="11" t="n"/>
      <c r="B2224" s="29" t="n"/>
      <c r="K2224" s="30" t="str">
        <f>IF($A2224="","",EDATE($A2224,12*$E$4))</f>
        <v/>
      </c>
      <c r="L2224" s="19" t="str">
        <f>IF($K2224="","",IF($K2224&gt;MAX($A$8:$A$5007),"",IFERROR(MATCH($K2224,$A$8:$A$5007,1),"")))</f>
        <v/>
      </c>
      <c r="M2224" s="30" t="str">
        <f>IF($L2224="","",INDEX($A$8:$A$5007,$L2224))</f>
        <v/>
      </c>
      <c r="N2224" s="31" t="str">
        <f>IF($L2224="","",INDEX($B$8:$B$5007,$L2224))</f>
        <v/>
      </c>
      <c r="O2224" s="32" t="str">
        <f>IF($M2224="","",IF($K2224-$M2224&gt;7,"",IF($M2224&lt;=$A2224,"",IF(OR($B2224&lt;=0,$N2224&lt;=0),"",($N2224/$B2224)^(365/($M2224-$A2224))-1))))</f>
        <v/>
      </c>
      <c r="P2224" s="31" t="str">
        <f>IF($B2224="","",IF($P2223="",$B2224,MAX($P2223,$B2224)))</f>
        <v/>
      </c>
      <c r="Q2224" s="32" t="str">
        <f>IF($P2224="","",$B2224/$P2224-1)</f>
        <v/>
      </c>
    </row>
    <row r="2225">
      <c r="A2225" s="11" t="n"/>
      <c r="B2225" s="29" t="n"/>
      <c r="K2225" s="30" t="str">
        <f>IF($A2225="","",EDATE($A2225,12*$E$4))</f>
        <v/>
      </c>
      <c r="L2225" s="19" t="str">
        <f>IF($K2225="","",IF($K2225&gt;MAX($A$8:$A$5007),"",IFERROR(MATCH($K2225,$A$8:$A$5007,1),"")))</f>
        <v/>
      </c>
      <c r="M2225" s="30" t="str">
        <f>IF($L2225="","",INDEX($A$8:$A$5007,$L2225))</f>
        <v/>
      </c>
      <c r="N2225" s="31" t="str">
        <f>IF($L2225="","",INDEX($B$8:$B$5007,$L2225))</f>
        <v/>
      </c>
      <c r="O2225" s="32" t="str">
        <f>IF($M2225="","",IF($K2225-$M2225&gt;7,"",IF($M2225&lt;=$A2225,"",IF(OR($B2225&lt;=0,$N2225&lt;=0),"",($N2225/$B2225)^(365/($M2225-$A2225))-1))))</f>
        <v/>
      </c>
      <c r="P2225" s="31" t="str">
        <f>IF($B2225="","",IF($P2224="",$B2225,MAX($P2224,$B2225)))</f>
        <v/>
      </c>
      <c r="Q2225" s="32" t="str">
        <f>IF($P2225="","",$B2225/$P2225-1)</f>
        <v/>
      </c>
    </row>
    <row r="2226">
      <c r="A2226" s="11" t="n"/>
      <c r="B2226" s="29" t="n"/>
      <c r="K2226" s="30" t="str">
        <f>IF($A2226="","",EDATE($A2226,12*$E$4))</f>
        <v/>
      </c>
      <c r="L2226" s="19" t="str">
        <f>IF($K2226="","",IF($K2226&gt;MAX($A$8:$A$5007),"",IFERROR(MATCH($K2226,$A$8:$A$5007,1),"")))</f>
        <v/>
      </c>
      <c r="M2226" s="30" t="str">
        <f>IF($L2226="","",INDEX($A$8:$A$5007,$L2226))</f>
        <v/>
      </c>
      <c r="N2226" s="31" t="str">
        <f>IF($L2226="","",INDEX($B$8:$B$5007,$L2226))</f>
        <v/>
      </c>
      <c r="O2226" s="32" t="str">
        <f>IF($M2226="","",IF($K2226-$M2226&gt;7,"",IF($M2226&lt;=$A2226,"",IF(OR($B2226&lt;=0,$N2226&lt;=0),"",($N2226/$B2226)^(365/($M2226-$A2226))-1))))</f>
        <v/>
      </c>
      <c r="P2226" s="31" t="str">
        <f>IF($B2226="","",IF($P2225="",$B2226,MAX($P2225,$B2226)))</f>
        <v/>
      </c>
      <c r="Q2226" s="32" t="str">
        <f>IF($P2226="","",$B2226/$P2226-1)</f>
        <v/>
      </c>
    </row>
    <row r="2227">
      <c r="A2227" s="11" t="n"/>
      <c r="B2227" s="29" t="n"/>
      <c r="K2227" s="30" t="str">
        <f>IF($A2227="","",EDATE($A2227,12*$E$4))</f>
        <v/>
      </c>
      <c r="L2227" s="19" t="str">
        <f>IF($K2227="","",IF($K2227&gt;MAX($A$8:$A$5007),"",IFERROR(MATCH($K2227,$A$8:$A$5007,1),"")))</f>
        <v/>
      </c>
      <c r="M2227" s="30" t="str">
        <f>IF($L2227="","",INDEX($A$8:$A$5007,$L2227))</f>
        <v/>
      </c>
      <c r="N2227" s="31" t="str">
        <f>IF($L2227="","",INDEX($B$8:$B$5007,$L2227))</f>
        <v/>
      </c>
      <c r="O2227" s="32" t="str">
        <f>IF($M2227="","",IF($K2227-$M2227&gt;7,"",IF($M2227&lt;=$A2227,"",IF(OR($B2227&lt;=0,$N2227&lt;=0),"",($N2227/$B2227)^(365/($M2227-$A2227))-1))))</f>
        <v/>
      </c>
      <c r="P2227" s="31" t="str">
        <f>IF($B2227="","",IF($P2226="",$B2227,MAX($P2226,$B2227)))</f>
        <v/>
      </c>
      <c r="Q2227" s="32" t="str">
        <f>IF($P2227="","",$B2227/$P2227-1)</f>
        <v/>
      </c>
    </row>
    <row r="2228">
      <c r="A2228" s="11" t="n"/>
      <c r="B2228" s="29" t="n"/>
      <c r="K2228" s="30" t="str">
        <f>IF($A2228="","",EDATE($A2228,12*$E$4))</f>
        <v/>
      </c>
      <c r="L2228" s="19" t="str">
        <f>IF($K2228="","",IF($K2228&gt;MAX($A$8:$A$5007),"",IFERROR(MATCH($K2228,$A$8:$A$5007,1),"")))</f>
        <v/>
      </c>
      <c r="M2228" s="30" t="str">
        <f>IF($L2228="","",INDEX($A$8:$A$5007,$L2228))</f>
        <v/>
      </c>
      <c r="N2228" s="31" t="str">
        <f>IF($L2228="","",INDEX($B$8:$B$5007,$L2228))</f>
        <v/>
      </c>
      <c r="O2228" s="32" t="str">
        <f>IF($M2228="","",IF($K2228-$M2228&gt;7,"",IF($M2228&lt;=$A2228,"",IF(OR($B2228&lt;=0,$N2228&lt;=0),"",($N2228/$B2228)^(365/($M2228-$A2228))-1))))</f>
        <v/>
      </c>
      <c r="P2228" s="31" t="str">
        <f>IF($B2228="","",IF($P2227="",$B2228,MAX($P2227,$B2228)))</f>
        <v/>
      </c>
      <c r="Q2228" s="32" t="str">
        <f>IF($P2228="","",$B2228/$P2228-1)</f>
        <v/>
      </c>
    </row>
    <row r="2229">
      <c r="A2229" s="11" t="n"/>
      <c r="B2229" s="29" t="n"/>
      <c r="K2229" s="30" t="str">
        <f>IF($A2229="","",EDATE($A2229,12*$E$4))</f>
        <v/>
      </c>
      <c r="L2229" s="19" t="str">
        <f>IF($K2229="","",IF($K2229&gt;MAX($A$8:$A$5007),"",IFERROR(MATCH($K2229,$A$8:$A$5007,1),"")))</f>
        <v/>
      </c>
      <c r="M2229" s="30" t="str">
        <f>IF($L2229="","",INDEX($A$8:$A$5007,$L2229))</f>
        <v/>
      </c>
      <c r="N2229" s="31" t="str">
        <f>IF($L2229="","",INDEX($B$8:$B$5007,$L2229))</f>
        <v/>
      </c>
      <c r="O2229" s="32" t="str">
        <f>IF($M2229="","",IF($K2229-$M2229&gt;7,"",IF($M2229&lt;=$A2229,"",IF(OR($B2229&lt;=0,$N2229&lt;=0),"",($N2229/$B2229)^(365/($M2229-$A2229))-1))))</f>
        <v/>
      </c>
      <c r="P2229" s="31" t="str">
        <f>IF($B2229="","",IF($P2228="",$B2229,MAX($P2228,$B2229)))</f>
        <v/>
      </c>
      <c r="Q2229" s="32" t="str">
        <f>IF($P2229="","",$B2229/$P2229-1)</f>
        <v/>
      </c>
    </row>
    <row r="2230">
      <c r="A2230" s="11" t="n"/>
      <c r="B2230" s="29" t="n"/>
      <c r="K2230" s="30" t="str">
        <f>IF($A2230="","",EDATE($A2230,12*$E$4))</f>
        <v/>
      </c>
      <c r="L2230" s="19" t="str">
        <f>IF($K2230="","",IF($K2230&gt;MAX($A$8:$A$5007),"",IFERROR(MATCH($K2230,$A$8:$A$5007,1),"")))</f>
        <v/>
      </c>
      <c r="M2230" s="30" t="str">
        <f>IF($L2230="","",INDEX($A$8:$A$5007,$L2230))</f>
        <v/>
      </c>
      <c r="N2230" s="31" t="str">
        <f>IF($L2230="","",INDEX($B$8:$B$5007,$L2230))</f>
        <v/>
      </c>
      <c r="O2230" s="32" t="str">
        <f>IF($M2230="","",IF($K2230-$M2230&gt;7,"",IF($M2230&lt;=$A2230,"",IF(OR($B2230&lt;=0,$N2230&lt;=0),"",($N2230/$B2230)^(365/($M2230-$A2230))-1))))</f>
        <v/>
      </c>
      <c r="P2230" s="31" t="str">
        <f>IF($B2230="","",IF($P2229="",$B2230,MAX($P2229,$B2230)))</f>
        <v/>
      </c>
      <c r="Q2230" s="32" t="str">
        <f>IF($P2230="","",$B2230/$P2230-1)</f>
        <v/>
      </c>
    </row>
    <row r="2231">
      <c r="A2231" s="11" t="n"/>
      <c r="B2231" s="29" t="n"/>
      <c r="K2231" s="30" t="str">
        <f>IF($A2231="","",EDATE($A2231,12*$E$4))</f>
        <v/>
      </c>
      <c r="L2231" s="19" t="str">
        <f>IF($K2231="","",IF($K2231&gt;MAX($A$8:$A$5007),"",IFERROR(MATCH($K2231,$A$8:$A$5007,1),"")))</f>
        <v/>
      </c>
      <c r="M2231" s="30" t="str">
        <f>IF($L2231="","",INDEX($A$8:$A$5007,$L2231))</f>
        <v/>
      </c>
      <c r="N2231" s="31" t="str">
        <f>IF($L2231="","",INDEX($B$8:$B$5007,$L2231))</f>
        <v/>
      </c>
      <c r="O2231" s="32" t="str">
        <f>IF($M2231="","",IF($K2231-$M2231&gt;7,"",IF($M2231&lt;=$A2231,"",IF(OR($B2231&lt;=0,$N2231&lt;=0),"",($N2231/$B2231)^(365/($M2231-$A2231))-1))))</f>
        <v/>
      </c>
      <c r="P2231" s="31" t="str">
        <f>IF($B2231="","",IF($P2230="",$B2231,MAX($P2230,$B2231)))</f>
        <v/>
      </c>
      <c r="Q2231" s="32" t="str">
        <f>IF($P2231="","",$B2231/$P2231-1)</f>
        <v/>
      </c>
    </row>
    <row r="2232">
      <c r="A2232" s="11" t="n"/>
      <c r="B2232" s="29" t="n"/>
      <c r="K2232" s="30" t="str">
        <f>IF($A2232="","",EDATE($A2232,12*$E$4))</f>
        <v/>
      </c>
      <c r="L2232" s="19" t="str">
        <f>IF($K2232="","",IF($K2232&gt;MAX($A$8:$A$5007),"",IFERROR(MATCH($K2232,$A$8:$A$5007,1),"")))</f>
        <v/>
      </c>
      <c r="M2232" s="30" t="str">
        <f>IF($L2232="","",INDEX($A$8:$A$5007,$L2232))</f>
        <v/>
      </c>
      <c r="N2232" s="31" t="str">
        <f>IF($L2232="","",INDEX($B$8:$B$5007,$L2232))</f>
        <v/>
      </c>
      <c r="O2232" s="32" t="str">
        <f>IF($M2232="","",IF($K2232-$M2232&gt;7,"",IF($M2232&lt;=$A2232,"",IF(OR($B2232&lt;=0,$N2232&lt;=0),"",($N2232/$B2232)^(365/($M2232-$A2232))-1))))</f>
        <v/>
      </c>
      <c r="P2232" s="31" t="str">
        <f>IF($B2232="","",IF($P2231="",$B2232,MAX($P2231,$B2232)))</f>
        <v/>
      </c>
      <c r="Q2232" s="32" t="str">
        <f>IF($P2232="","",$B2232/$P2232-1)</f>
        <v/>
      </c>
    </row>
    <row r="2233">
      <c r="A2233" s="11" t="n"/>
      <c r="B2233" s="29" t="n"/>
      <c r="K2233" s="30" t="str">
        <f>IF($A2233="","",EDATE($A2233,12*$E$4))</f>
        <v/>
      </c>
      <c r="L2233" s="19" t="str">
        <f>IF($K2233="","",IF($K2233&gt;MAX($A$8:$A$5007),"",IFERROR(MATCH($K2233,$A$8:$A$5007,1),"")))</f>
        <v/>
      </c>
      <c r="M2233" s="30" t="str">
        <f>IF($L2233="","",INDEX($A$8:$A$5007,$L2233))</f>
        <v/>
      </c>
      <c r="N2233" s="31" t="str">
        <f>IF($L2233="","",INDEX($B$8:$B$5007,$L2233))</f>
        <v/>
      </c>
      <c r="O2233" s="32" t="str">
        <f>IF($M2233="","",IF($K2233-$M2233&gt;7,"",IF($M2233&lt;=$A2233,"",IF(OR($B2233&lt;=0,$N2233&lt;=0),"",($N2233/$B2233)^(365/($M2233-$A2233))-1))))</f>
        <v/>
      </c>
      <c r="P2233" s="31" t="str">
        <f>IF($B2233="","",IF($P2232="",$B2233,MAX($P2232,$B2233)))</f>
        <v/>
      </c>
      <c r="Q2233" s="32" t="str">
        <f>IF($P2233="","",$B2233/$P2233-1)</f>
        <v/>
      </c>
    </row>
    <row r="2234">
      <c r="A2234" s="11" t="n"/>
      <c r="B2234" s="29" t="n"/>
      <c r="K2234" s="30" t="str">
        <f>IF($A2234="","",EDATE($A2234,12*$E$4))</f>
        <v/>
      </c>
      <c r="L2234" s="19" t="str">
        <f>IF($K2234="","",IF($K2234&gt;MAX($A$8:$A$5007),"",IFERROR(MATCH($K2234,$A$8:$A$5007,1),"")))</f>
        <v/>
      </c>
      <c r="M2234" s="30" t="str">
        <f>IF($L2234="","",INDEX($A$8:$A$5007,$L2234))</f>
        <v/>
      </c>
      <c r="N2234" s="31" t="str">
        <f>IF($L2234="","",INDEX($B$8:$B$5007,$L2234))</f>
        <v/>
      </c>
      <c r="O2234" s="32" t="str">
        <f>IF($M2234="","",IF($K2234-$M2234&gt;7,"",IF($M2234&lt;=$A2234,"",IF(OR($B2234&lt;=0,$N2234&lt;=0),"",($N2234/$B2234)^(365/($M2234-$A2234))-1))))</f>
        <v/>
      </c>
      <c r="P2234" s="31" t="str">
        <f>IF($B2234="","",IF($P2233="",$B2234,MAX($P2233,$B2234)))</f>
        <v/>
      </c>
      <c r="Q2234" s="32" t="str">
        <f>IF($P2234="","",$B2234/$P2234-1)</f>
        <v/>
      </c>
    </row>
    <row r="2235">
      <c r="A2235" s="11" t="n"/>
      <c r="B2235" s="29" t="n"/>
      <c r="K2235" s="30" t="str">
        <f>IF($A2235="","",EDATE($A2235,12*$E$4))</f>
        <v/>
      </c>
      <c r="L2235" s="19" t="str">
        <f>IF($K2235="","",IF($K2235&gt;MAX($A$8:$A$5007),"",IFERROR(MATCH($K2235,$A$8:$A$5007,1),"")))</f>
        <v/>
      </c>
      <c r="M2235" s="30" t="str">
        <f>IF($L2235="","",INDEX($A$8:$A$5007,$L2235))</f>
        <v/>
      </c>
      <c r="N2235" s="31" t="str">
        <f>IF($L2235="","",INDEX($B$8:$B$5007,$L2235))</f>
        <v/>
      </c>
      <c r="O2235" s="32" t="str">
        <f>IF($M2235="","",IF($K2235-$M2235&gt;7,"",IF($M2235&lt;=$A2235,"",IF(OR($B2235&lt;=0,$N2235&lt;=0),"",($N2235/$B2235)^(365/($M2235-$A2235))-1))))</f>
        <v/>
      </c>
      <c r="P2235" s="31" t="str">
        <f>IF($B2235="","",IF($P2234="",$B2235,MAX($P2234,$B2235)))</f>
        <v/>
      </c>
      <c r="Q2235" s="32" t="str">
        <f>IF($P2235="","",$B2235/$P2235-1)</f>
        <v/>
      </c>
    </row>
    <row r="2236">
      <c r="A2236" s="11" t="n"/>
      <c r="B2236" s="29" t="n"/>
      <c r="K2236" s="30" t="str">
        <f>IF($A2236="","",EDATE($A2236,12*$E$4))</f>
        <v/>
      </c>
      <c r="L2236" s="19" t="str">
        <f>IF($K2236="","",IF($K2236&gt;MAX($A$8:$A$5007),"",IFERROR(MATCH($K2236,$A$8:$A$5007,1),"")))</f>
        <v/>
      </c>
      <c r="M2236" s="30" t="str">
        <f>IF($L2236="","",INDEX($A$8:$A$5007,$L2236))</f>
        <v/>
      </c>
      <c r="N2236" s="31" t="str">
        <f>IF($L2236="","",INDEX($B$8:$B$5007,$L2236))</f>
        <v/>
      </c>
      <c r="O2236" s="32" t="str">
        <f>IF($M2236="","",IF($K2236-$M2236&gt;7,"",IF($M2236&lt;=$A2236,"",IF(OR($B2236&lt;=0,$N2236&lt;=0),"",($N2236/$B2236)^(365/($M2236-$A2236))-1))))</f>
        <v/>
      </c>
      <c r="P2236" s="31" t="str">
        <f>IF($B2236="","",IF($P2235="",$B2236,MAX($P2235,$B2236)))</f>
        <v/>
      </c>
      <c r="Q2236" s="32" t="str">
        <f>IF($P2236="","",$B2236/$P2236-1)</f>
        <v/>
      </c>
    </row>
    <row r="2237">
      <c r="A2237" s="11" t="n"/>
      <c r="B2237" s="29" t="n"/>
      <c r="K2237" s="30" t="str">
        <f>IF($A2237="","",EDATE($A2237,12*$E$4))</f>
        <v/>
      </c>
      <c r="L2237" s="19" t="str">
        <f>IF($K2237="","",IF($K2237&gt;MAX($A$8:$A$5007),"",IFERROR(MATCH($K2237,$A$8:$A$5007,1),"")))</f>
        <v/>
      </c>
      <c r="M2237" s="30" t="str">
        <f>IF($L2237="","",INDEX($A$8:$A$5007,$L2237))</f>
        <v/>
      </c>
      <c r="N2237" s="31" t="str">
        <f>IF($L2237="","",INDEX($B$8:$B$5007,$L2237))</f>
        <v/>
      </c>
      <c r="O2237" s="32" t="str">
        <f>IF($M2237="","",IF($K2237-$M2237&gt;7,"",IF($M2237&lt;=$A2237,"",IF(OR($B2237&lt;=0,$N2237&lt;=0),"",($N2237/$B2237)^(365/($M2237-$A2237))-1))))</f>
        <v/>
      </c>
      <c r="P2237" s="31" t="str">
        <f>IF($B2237="","",IF($P2236="",$B2237,MAX($P2236,$B2237)))</f>
        <v/>
      </c>
      <c r="Q2237" s="32" t="str">
        <f>IF($P2237="","",$B2237/$P2237-1)</f>
        <v/>
      </c>
    </row>
    <row r="2238">
      <c r="A2238" s="11" t="n"/>
      <c r="B2238" s="29" t="n"/>
      <c r="K2238" s="30" t="str">
        <f>IF($A2238="","",EDATE($A2238,12*$E$4))</f>
        <v/>
      </c>
      <c r="L2238" s="19" t="str">
        <f>IF($K2238="","",IF($K2238&gt;MAX($A$8:$A$5007),"",IFERROR(MATCH($K2238,$A$8:$A$5007,1),"")))</f>
        <v/>
      </c>
      <c r="M2238" s="30" t="str">
        <f>IF($L2238="","",INDEX($A$8:$A$5007,$L2238))</f>
        <v/>
      </c>
      <c r="N2238" s="31" t="str">
        <f>IF($L2238="","",INDEX($B$8:$B$5007,$L2238))</f>
        <v/>
      </c>
      <c r="O2238" s="32" t="str">
        <f>IF($M2238="","",IF($K2238-$M2238&gt;7,"",IF($M2238&lt;=$A2238,"",IF(OR($B2238&lt;=0,$N2238&lt;=0),"",($N2238/$B2238)^(365/($M2238-$A2238))-1))))</f>
        <v/>
      </c>
      <c r="P2238" s="31" t="str">
        <f>IF($B2238="","",IF($P2237="",$B2238,MAX($P2237,$B2238)))</f>
        <v/>
      </c>
      <c r="Q2238" s="32" t="str">
        <f>IF($P2238="","",$B2238/$P2238-1)</f>
        <v/>
      </c>
    </row>
    <row r="2239">
      <c r="A2239" s="11" t="n"/>
      <c r="B2239" s="29" t="n"/>
      <c r="K2239" s="30" t="str">
        <f>IF($A2239="","",EDATE($A2239,12*$E$4))</f>
        <v/>
      </c>
      <c r="L2239" s="19" t="str">
        <f>IF($K2239="","",IF($K2239&gt;MAX($A$8:$A$5007),"",IFERROR(MATCH($K2239,$A$8:$A$5007,1),"")))</f>
        <v/>
      </c>
      <c r="M2239" s="30" t="str">
        <f>IF($L2239="","",INDEX($A$8:$A$5007,$L2239))</f>
        <v/>
      </c>
      <c r="N2239" s="31" t="str">
        <f>IF($L2239="","",INDEX($B$8:$B$5007,$L2239))</f>
        <v/>
      </c>
      <c r="O2239" s="32" t="str">
        <f>IF($M2239="","",IF($K2239-$M2239&gt;7,"",IF($M2239&lt;=$A2239,"",IF(OR($B2239&lt;=0,$N2239&lt;=0),"",($N2239/$B2239)^(365/($M2239-$A2239))-1))))</f>
        <v/>
      </c>
      <c r="P2239" s="31" t="str">
        <f>IF($B2239="","",IF($P2238="",$B2239,MAX($P2238,$B2239)))</f>
        <v/>
      </c>
      <c r="Q2239" s="32" t="str">
        <f>IF($P2239="","",$B2239/$P2239-1)</f>
        <v/>
      </c>
    </row>
    <row r="2240">
      <c r="A2240" s="11" t="n"/>
      <c r="B2240" s="29" t="n"/>
      <c r="K2240" s="30" t="str">
        <f>IF($A2240="","",EDATE($A2240,12*$E$4))</f>
        <v/>
      </c>
      <c r="L2240" s="19" t="str">
        <f>IF($K2240="","",IF($K2240&gt;MAX($A$8:$A$5007),"",IFERROR(MATCH($K2240,$A$8:$A$5007,1),"")))</f>
        <v/>
      </c>
      <c r="M2240" s="30" t="str">
        <f>IF($L2240="","",INDEX($A$8:$A$5007,$L2240))</f>
        <v/>
      </c>
      <c r="N2240" s="31" t="str">
        <f>IF($L2240="","",INDEX($B$8:$B$5007,$L2240))</f>
        <v/>
      </c>
      <c r="O2240" s="32" t="str">
        <f>IF($M2240="","",IF($K2240-$M2240&gt;7,"",IF($M2240&lt;=$A2240,"",IF(OR($B2240&lt;=0,$N2240&lt;=0),"",($N2240/$B2240)^(365/($M2240-$A2240))-1))))</f>
        <v/>
      </c>
      <c r="P2240" s="31" t="str">
        <f>IF($B2240="","",IF($P2239="",$B2240,MAX($P2239,$B2240)))</f>
        <v/>
      </c>
      <c r="Q2240" s="32" t="str">
        <f>IF($P2240="","",$B2240/$P2240-1)</f>
        <v/>
      </c>
    </row>
    <row r="2241">
      <c r="A2241" s="11" t="n"/>
      <c r="B2241" s="29" t="n"/>
      <c r="K2241" s="30" t="str">
        <f>IF($A2241="","",EDATE($A2241,12*$E$4))</f>
        <v/>
      </c>
      <c r="L2241" s="19" t="str">
        <f>IF($K2241="","",IF($K2241&gt;MAX($A$8:$A$5007),"",IFERROR(MATCH($K2241,$A$8:$A$5007,1),"")))</f>
        <v/>
      </c>
      <c r="M2241" s="30" t="str">
        <f>IF($L2241="","",INDEX($A$8:$A$5007,$L2241))</f>
        <v/>
      </c>
      <c r="N2241" s="31" t="str">
        <f>IF($L2241="","",INDEX($B$8:$B$5007,$L2241))</f>
        <v/>
      </c>
      <c r="O2241" s="32" t="str">
        <f>IF($M2241="","",IF($K2241-$M2241&gt;7,"",IF($M2241&lt;=$A2241,"",IF(OR($B2241&lt;=0,$N2241&lt;=0),"",($N2241/$B2241)^(365/($M2241-$A2241))-1))))</f>
        <v/>
      </c>
      <c r="P2241" s="31" t="str">
        <f>IF($B2241="","",IF($P2240="",$B2241,MAX($P2240,$B2241)))</f>
        <v/>
      </c>
      <c r="Q2241" s="32" t="str">
        <f>IF($P2241="","",$B2241/$P2241-1)</f>
        <v/>
      </c>
    </row>
    <row r="2242">
      <c r="A2242" s="11" t="n"/>
      <c r="B2242" s="29" t="n"/>
      <c r="K2242" s="30" t="str">
        <f>IF($A2242="","",EDATE($A2242,12*$E$4))</f>
        <v/>
      </c>
      <c r="L2242" s="19" t="str">
        <f>IF($K2242="","",IF($K2242&gt;MAX($A$8:$A$5007),"",IFERROR(MATCH($K2242,$A$8:$A$5007,1),"")))</f>
        <v/>
      </c>
      <c r="M2242" s="30" t="str">
        <f>IF($L2242="","",INDEX($A$8:$A$5007,$L2242))</f>
        <v/>
      </c>
      <c r="N2242" s="31" t="str">
        <f>IF($L2242="","",INDEX($B$8:$B$5007,$L2242))</f>
        <v/>
      </c>
      <c r="O2242" s="32" t="str">
        <f>IF($M2242="","",IF($K2242-$M2242&gt;7,"",IF($M2242&lt;=$A2242,"",IF(OR($B2242&lt;=0,$N2242&lt;=0),"",($N2242/$B2242)^(365/($M2242-$A2242))-1))))</f>
        <v/>
      </c>
      <c r="P2242" s="31" t="str">
        <f>IF($B2242="","",IF($P2241="",$B2242,MAX($P2241,$B2242)))</f>
        <v/>
      </c>
      <c r="Q2242" s="32" t="str">
        <f>IF($P2242="","",$B2242/$P2242-1)</f>
        <v/>
      </c>
    </row>
    <row r="2243">
      <c r="A2243" s="11" t="n"/>
      <c r="B2243" s="29" t="n"/>
      <c r="K2243" s="30" t="str">
        <f>IF($A2243="","",EDATE($A2243,12*$E$4))</f>
        <v/>
      </c>
      <c r="L2243" s="19" t="str">
        <f>IF($K2243="","",IF($K2243&gt;MAX($A$8:$A$5007),"",IFERROR(MATCH($K2243,$A$8:$A$5007,1),"")))</f>
        <v/>
      </c>
      <c r="M2243" s="30" t="str">
        <f>IF($L2243="","",INDEX($A$8:$A$5007,$L2243))</f>
        <v/>
      </c>
      <c r="N2243" s="31" t="str">
        <f>IF($L2243="","",INDEX($B$8:$B$5007,$L2243))</f>
        <v/>
      </c>
      <c r="O2243" s="32" t="str">
        <f>IF($M2243="","",IF($K2243-$M2243&gt;7,"",IF($M2243&lt;=$A2243,"",IF(OR($B2243&lt;=0,$N2243&lt;=0),"",($N2243/$B2243)^(365/($M2243-$A2243))-1))))</f>
        <v/>
      </c>
      <c r="P2243" s="31" t="str">
        <f>IF($B2243="","",IF($P2242="",$B2243,MAX($P2242,$B2243)))</f>
        <v/>
      </c>
      <c r="Q2243" s="32" t="str">
        <f>IF($P2243="","",$B2243/$P2243-1)</f>
        <v/>
      </c>
    </row>
    <row r="2244">
      <c r="A2244" s="11" t="n"/>
      <c r="B2244" s="29" t="n"/>
      <c r="K2244" s="30" t="str">
        <f>IF($A2244="","",EDATE($A2244,12*$E$4))</f>
        <v/>
      </c>
      <c r="L2244" s="19" t="str">
        <f>IF($K2244="","",IF($K2244&gt;MAX($A$8:$A$5007),"",IFERROR(MATCH($K2244,$A$8:$A$5007,1),"")))</f>
        <v/>
      </c>
      <c r="M2244" s="30" t="str">
        <f>IF($L2244="","",INDEX($A$8:$A$5007,$L2244))</f>
        <v/>
      </c>
      <c r="N2244" s="31" t="str">
        <f>IF($L2244="","",INDEX($B$8:$B$5007,$L2244))</f>
        <v/>
      </c>
      <c r="O2244" s="32" t="str">
        <f>IF($M2244="","",IF($K2244-$M2244&gt;7,"",IF($M2244&lt;=$A2244,"",IF(OR($B2244&lt;=0,$N2244&lt;=0),"",($N2244/$B2244)^(365/($M2244-$A2244))-1))))</f>
        <v/>
      </c>
      <c r="P2244" s="31" t="str">
        <f>IF($B2244="","",IF($P2243="",$B2244,MAX($P2243,$B2244)))</f>
        <v/>
      </c>
      <c r="Q2244" s="32" t="str">
        <f>IF($P2244="","",$B2244/$P2244-1)</f>
        <v/>
      </c>
    </row>
    <row r="2245">
      <c r="A2245" s="11" t="n"/>
      <c r="B2245" s="29" t="n"/>
      <c r="K2245" s="30" t="str">
        <f>IF($A2245="","",EDATE($A2245,12*$E$4))</f>
        <v/>
      </c>
      <c r="L2245" s="19" t="str">
        <f>IF($K2245="","",IF($K2245&gt;MAX($A$8:$A$5007),"",IFERROR(MATCH($K2245,$A$8:$A$5007,1),"")))</f>
        <v/>
      </c>
      <c r="M2245" s="30" t="str">
        <f>IF($L2245="","",INDEX($A$8:$A$5007,$L2245))</f>
        <v/>
      </c>
      <c r="N2245" s="31" t="str">
        <f>IF($L2245="","",INDEX($B$8:$B$5007,$L2245))</f>
        <v/>
      </c>
      <c r="O2245" s="32" t="str">
        <f>IF($M2245="","",IF($K2245-$M2245&gt;7,"",IF($M2245&lt;=$A2245,"",IF(OR($B2245&lt;=0,$N2245&lt;=0),"",($N2245/$B2245)^(365/($M2245-$A2245))-1))))</f>
        <v/>
      </c>
      <c r="P2245" s="31" t="str">
        <f>IF($B2245="","",IF($P2244="",$B2245,MAX($P2244,$B2245)))</f>
        <v/>
      </c>
      <c r="Q2245" s="32" t="str">
        <f>IF($P2245="","",$B2245/$P2245-1)</f>
        <v/>
      </c>
    </row>
    <row r="2246">
      <c r="A2246" s="11" t="n"/>
      <c r="B2246" s="29" t="n"/>
      <c r="K2246" s="30" t="str">
        <f>IF($A2246="","",EDATE($A2246,12*$E$4))</f>
        <v/>
      </c>
      <c r="L2246" s="19" t="str">
        <f>IF($K2246="","",IF($K2246&gt;MAX($A$8:$A$5007),"",IFERROR(MATCH($K2246,$A$8:$A$5007,1),"")))</f>
        <v/>
      </c>
      <c r="M2246" s="30" t="str">
        <f>IF($L2246="","",INDEX($A$8:$A$5007,$L2246))</f>
        <v/>
      </c>
      <c r="N2246" s="31" t="str">
        <f>IF($L2246="","",INDEX($B$8:$B$5007,$L2246))</f>
        <v/>
      </c>
      <c r="O2246" s="32" t="str">
        <f>IF($M2246="","",IF($K2246-$M2246&gt;7,"",IF($M2246&lt;=$A2246,"",IF(OR($B2246&lt;=0,$N2246&lt;=0),"",($N2246/$B2246)^(365/($M2246-$A2246))-1))))</f>
        <v/>
      </c>
      <c r="P2246" s="31" t="str">
        <f>IF($B2246="","",IF($P2245="",$B2246,MAX($P2245,$B2246)))</f>
        <v/>
      </c>
      <c r="Q2246" s="32" t="str">
        <f>IF($P2246="","",$B2246/$P2246-1)</f>
        <v/>
      </c>
    </row>
    <row r="2247">
      <c r="A2247" s="11" t="n"/>
      <c r="B2247" s="29" t="n"/>
      <c r="K2247" s="30" t="str">
        <f>IF($A2247="","",EDATE($A2247,12*$E$4))</f>
        <v/>
      </c>
      <c r="L2247" s="19" t="str">
        <f>IF($K2247="","",IF($K2247&gt;MAX($A$8:$A$5007),"",IFERROR(MATCH($K2247,$A$8:$A$5007,1),"")))</f>
        <v/>
      </c>
      <c r="M2247" s="30" t="str">
        <f>IF($L2247="","",INDEX($A$8:$A$5007,$L2247))</f>
        <v/>
      </c>
      <c r="N2247" s="31" t="str">
        <f>IF($L2247="","",INDEX($B$8:$B$5007,$L2247))</f>
        <v/>
      </c>
      <c r="O2247" s="32" t="str">
        <f>IF($M2247="","",IF($K2247-$M2247&gt;7,"",IF($M2247&lt;=$A2247,"",IF(OR($B2247&lt;=0,$N2247&lt;=0),"",($N2247/$B2247)^(365/($M2247-$A2247))-1))))</f>
        <v/>
      </c>
      <c r="P2247" s="31" t="str">
        <f>IF($B2247="","",IF($P2246="",$B2247,MAX($P2246,$B2247)))</f>
        <v/>
      </c>
      <c r="Q2247" s="32" t="str">
        <f>IF($P2247="","",$B2247/$P2247-1)</f>
        <v/>
      </c>
    </row>
    <row r="2248">
      <c r="A2248" s="11" t="n"/>
      <c r="B2248" s="29" t="n"/>
      <c r="K2248" s="30" t="str">
        <f>IF($A2248="","",EDATE($A2248,12*$E$4))</f>
        <v/>
      </c>
      <c r="L2248" s="19" t="str">
        <f>IF($K2248="","",IF($K2248&gt;MAX($A$8:$A$5007),"",IFERROR(MATCH($K2248,$A$8:$A$5007,1),"")))</f>
        <v/>
      </c>
      <c r="M2248" s="30" t="str">
        <f>IF($L2248="","",INDEX($A$8:$A$5007,$L2248))</f>
        <v/>
      </c>
      <c r="N2248" s="31" t="str">
        <f>IF($L2248="","",INDEX($B$8:$B$5007,$L2248))</f>
        <v/>
      </c>
      <c r="O2248" s="32" t="str">
        <f>IF($M2248="","",IF($K2248-$M2248&gt;7,"",IF($M2248&lt;=$A2248,"",IF(OR($B2248&lt;=0,$N2248&lt;=0),"",($N2248/$B2248)^(365/($M2248-$A2248))-1))))</f>
        <v/>
      </c>
      <c r="P2248" s="31" t="str">
        <f>IF($B2248="","",IF($P2247="",$B2248,MAX($P2247,$B2248)))</f>
        <v/>
      </c>
      <c r="Q2248" s="32" t="str">
        <f>IF($P2248="","",$B2248/$P2248-1)</f>
        <v/>
      </c>
    </row>
    <row r="2249">
      <c r="A2249" s="11" t="n"/>
      <c r="B2249" s="29" t="n"/>
      <c r="K2249" s="30" t="str">
        <f>IF($A2249="","",EDATE($A2249,12*$E$4))</f>
        <v/>
      </c>
      <c r="L2249" s="19" t="str">
        <f>IF($K2249="","",IF($K2249&gt;MAX($A$8:$A$5007),"",IFERROR(MATCH($K2249,$A$8:$A$5007,1),"")))</f>
        <v/>
      </c>
      <c r="M2249" s="30" t="str">
        <f>IF($L2249="","",INDEX($A$8:$A$5007,$L2249))</f>
        <v/>
      </c>
      <c r="N2249" s="31" t="str">
        <f>IF($L2249="","",INDEX($B$8:$B$5007,$L2249))</f>
        <v/>
      </c>
      <c r="O2249" s="32" t="str">
        <f>IF($M2249="","",IF($K2249-$M2249&gt;7,"",IF($M2249&lt;=$A2249,"",IF(OR($B2249&lt;=0,$N2249&lt;=0),"",($N2249/$B2249)^(365/($M2249-$A2249))-1))))</f>
        <v/>
      </c>
      <c r="P2249" s="31" t="str">
        <f>IF($B2249="","",IF($P2248="",$B2249,MAX($P2248,$B2249)))</f>
        <v/>
      </c>
      <c r="Q2249" s="32" t="str">
        <f>IF($P2249="","",$B2249/$P2249-1)</f>
        <v/>
      </c>
    </row>
    <row r="2250">
      <c r="A2250" s="11" t="n"/>
      <c r="B2250" s="29" t="n"/>
      <c r="K2250" s="30" t="str">
        <f>IF($A2250="","",EDATE($A2250,12*$E$4))</f>
        <v/>
      </c>
      <c r="L2250" s="19" t="str">
        <f>IF($K2250="","",IF($K2250&gt;MAX($A$8:$A$5007),"",IFERROR(MATCH($K2250,$A$8:$A$5007,1),"")))</f>
        <v/>
      </c>
      <c r="M2250" s="30" t="str">
        <f>IF($L2250="","",INDEX($A$8:$A$5007,$L2250))</f>
        <v/>
      </c>
      <c r="N2250" s="31" t="str">
        <f>IF($L2250="","",INDEX($B$8:$B$5007,$L2250))</f>
        <v/>
      </c>
      <c r="O2250" s="32" t="str">
        <f>IF($M2250="","",IF($K2250-$M2250&gt;7,"",IF($M2250&lt;=$A2250,"",IF(OR($B2250&lt;=0,$N2250&lt;=0),"",($N2250/$B2250)^(365/($M2250-$A2250))-1))))</f>
        <v/>
      </c>
      <c r="P2250" s="31" t="str">
        <f>IF($B2250="","",IF($P2249="",$B2250,MAX($P2249,$B2250)))</f>
        <v/>
      </c>
      <c r="Q2250" s="32" t="str">
        <f>IF($P2250="","",$B2250/$P2250-1)</f>
        <v/>
      </c>
    </row>
    <row r="2251">
      <c r="A2251" s="11" t="n"/>
      <c r="B2251" s="29" t="n"/>
      <c r="K2251" s="30" t="str">
        <f>IF($A2251="","",EDATE($A2251,12*$E$4))</f>
        <v/>
      </c>
      <c r="L2251" s="19" t="str">
        <f>IF($K2251="","",IF($K2251&gt;MAX($A$8:$A$5007),"",IFERROR(MATCH($K2251,$A$8:$A$5007,1),"")))</f>
        <v/>
      </c>
      <c r="M2251" s="30" t="str">
        <f>IF($L2251="","",INDEX($A$8:$A$5007,$L2251))</f>
        <v/>
      </c>
      <c r="N2251" s="31" t="str">
        <f>IF($L2251="","",INDEX($B$8:$B$5007,$L2251))</f>
        <v/>
      </c>
      <c r="O2251" s="32" t="str">
        <f>IF($M2251="","",IF($K2251-$M2251&gt;7,"",IF($M2251&lt;=$A2251,"",IF(OR($B2251&lt;=0,$N2251&lt;=0),"",($N2251/$B2251)^(365/($M2251-$A2251))-1))))</f>
        <v/>
      </c>
      <c r="P2251" s="31" t="str">
        <f>IF($B2251="","",IF($P2250="",$B2251,MAX($P2250,$B2251)))</f>
        <v/>
      </c>
      <c r="Q2251" s="32" t="str">
        <f>IF($P2251="","",$B2251/$P2251-1)</f>
        <v/>
      </c>
    </row>
    <row r="2252">
      <c r="A2252" s="11" t="n"/>
      <c r="B2252" s="29" t="n"/>
      <c r="K2252" s="30" t="str">
        <f>IF($A2252="","",EDATE($A2252,12*$E$4))</f>
        <v/>
      </c>
      <c r="L2252" s="19" t="str">
        <f>IF($K2252="","",IF($K2252&gt;MAX($A$8:$A$5007),"",IFERROR(MATCH($K2252,$A$8:$A$5007,1),"")))</f>
        <v/>
      </c>
      <c r="M2252" s="30" t="str">
        <f>IF($L2252="","",INDEX($A$8:$A$5007,$L2252))</f>
        <v/>
      </c>
      <c r="N2252" s="31" t="str">
        <f>IF($L2252="","",INDEX($B$8:$B$5007,$L2252))</f>
        <v/>
      </c>
      <c r="O2252" s="32" t="str">
        <f>IF($M2252="","",IF($K2252-$M2252&gt;7,"",IF($M2252&lt;=$A2252,"",IF(OR($B2252&lt;=0,$N2252&lt;=0),"",($N2252/$B2252)^(365/($M2252-$A2252))-1))))</f>
        <v/>
      </c>
      <c r="P2252" s="31" t="str">
        <f>IF($B2252="","",IF($P2251="",$B2252,MAX($P2251,$B2252)))</f>
        <v/>
      </c>
      <c r="Q2252" s="32" t="str">
        <f>IF($P2252="","",$B2252/$P2252-1)</f>
        <v/>
      </c>
    </row>
    <row r="2253">
      <c r="A2253" s="11" t="n"/>
      <c r="B2253" s="29" t="n"/>
      <c r="K2253" s="30" t="str">
        <f>IF($A2253="","",EDATE($A2253,12*$E$4))</f>
        <v/>
      </c>
      <c r="L2253" s="19" t="str">
        <f>IF($K2253="","",IF($K2253&gt;MAX($A$8:$A$5007),"",IFERROR(MATCH($K2253,$A$8:$A$5007,1),"")))</f>
        <v/>
      </c>
      <c r="M2253" s="30" t="str">
        <f>IF($L2253="","",INDEX($A$8:$A$5007,$L2253))</f>
        <v/>
      </c>
      <c r="N2253" s="31" t="str">
        <f>IF($L2253="","",INDEX($B$8:$B$5007,$L2253))</f>
        <v/>
      </c>
      <c r="O2253" s="32" t="str">
        <f>IF($M2253="","",IF($K2253-$M2253&gt;7,"",IF($M2253&lt;=$A2253,"",IF(OR($B2253&lt;=0,$N2253&lt;=0),"",($N2253/$B2253)^(365/($M2253-$A2253))-1))))</f>
        <v/>
      </c>
      <c r="P2253" s="31" t="str">
        <f>IF($B2253="","",IF($P2252="",$B2253,MAX($P2252,$B2253)))</f>
        <v/>
      </c>
      <c r="Q2253" s="32" t="str">
        <f>IF($P2253="","",$B2253/$P2253-1)</f>
        <v/>
      </c>
    </row>
    <row r="2254">
      <c r="A2254" s="11" t="n"/>
      <c r="B2254" s="29" t="n"/>
      <c r="K2254" s="30" t="str">
        <f>IF($A2254="","",EDATE($A2254,12*$E$4))</f>
        <v/>
      </c>
      <c r="L2254" s="19" t="str">
        <f>IF($K2254="","",IF($K2254&gt;MAX($A$8:$A$5007),"",IFERROR(MATCH($K2254,$A$8:$A$5007,1),"")))</f>
        <v/>
      </c>
      <c r="M2254" s="30" t="str">
        <f>IF($L2254="","",INDEX($A$8:$A$5007,$L2254))</f>
        <v/>
      </c>
      <c r="N2254" s="31" t="str">
        <f>IF($L2254="","",INDEX($B$8:$B$5007,$L2254))</f>
        <v/>
      </c>
      <c r="O2254" s="32" t="str">
        <f>IF($M2254="","",IF($K2254-$M2254&gt;7,"",IF($M2254&lt;=$A2254,"",IF(OR($B2254&lt;=0,$N2254&lt;=0),"",($N2254/$B2254)^(365/($M2254-$A2254))-1))))</f>
        <v/>
      </c>
      <c r="P2254" s="31" t="str">
        <f>IF($B2254="","",IF($P2253="",$B2254,MAX($P2253,$B2254)))</f>
        <v/>
      </c>
      <c r="Q2254" s="32" t="str">
        <f>IF($P2254="","",$B2254/$P2254-1)</f>
        <v/>
      </c>
    </row>
    <row r="2255">
      <c r="A2255" s="11" t="n"/>
      <c r="B2255" s="29" t="n"/>
      <c r="K2255" s="30" t="str">
        <f>IF($A2255="","",EDATE($A2255,12*$E$4))</f>
        <v/>
      </c>
      <c r="L2255" s="19" t="str">
        <f>IF($K2255="","",IF($K2255&gt;MAX($A$8:$A$5007),"",IFERROR(MATCH($K2255,$A$8:$A$5007,1),"")))</f>
        <v/>
      </c>
      <c r="M2255" s="30" t="str">
        <f>IF($L2255="","",INDEX($A$8:$A$5007,$L2255))</f>
        <v/>
      </c>
      <c r="N2255" s="31" t="str">
        <f>IF($L2255="","",INDEX($B$8:$B$5007,$L2255))</f>
        <v/>
      </c>
      <c r="O2255" s="32" t="str">
        <f>IF($M2255="","",IF($K2255-$M2255&gt;7,"",IF($M2255&lt;=$A2255,"",IF(OR($B2255&lt;=0,$N2255&lt;=0),"",($N2255/$B2255)^(365/($M2255-$A2255))-1))))</f>
        <v/>
      </c>
      <c r="P2255" s="31" t="str">
        <f>IF($B2255="","",IF($P2254="",$B2255,MAX($P2254,$B2255)))</f>
        <v/>
      </c>
      <c r="Q2255" s="32" t="str">
        <f>IF($P2255="","",$B2255/$P2255-1)</f>
        <v/>
      </c>
    </row>
    <row r="2256">
      <c r="A2256" s="11" t="n"/>
      <c r="B2256" s="29" t="n"/>
      <c r="K2256" s="30" t="str">
        <f>IF($A2256="","",EDATE($A2256,12*$E$4))</f>
        <v/>
      </c>
      <c r="L2256" s="19" t="str">
        <f>IF($K2256="","",IF($K2256&gt;MAX($A$8:$A$5007),"",IFERROR(MATCH($K2256,$A$8:$A$5007,1),"")))</f>
        <v/>
      </c>
      <c r="M2256" s="30" t="str">
        <f>IF($L2256="","",INDEX($A$8:$A$5007,$L2256))</f>
        <v/>
      </c>
      <c r="N2256" s="31" t="str">
        <f>IF($L2256="","",INDEX($B$8:$B$5007,$L2256))</f>
        <v/>
      </c>
      <c r="O2256" s="32" t="str">
        <f>IF($M2256="","",IF($K2256-$M2256&gt;7,"",IF($M2256&lt;=$A2256,"",IF(OR($B2256&lt;=0,$N2256&lt;=0),"",($N2256/$B2256)^(365/($M2256-$A2256))-1))))</f>
        <v/>
      </c>
      <c r="P2256" s="31" t="str">
        <f>IF($B2256="","",IF($P2255="",$B2256,MAX($P2255,$B2256)))</f>
        <v/>
      </c>
      <c r="Q2256" s="32" t="str">
        <f>IF($P2256="","",$B2256/$P2256-1)</f>
        <v/>
      </c>
    </row>
    <row r="2257">
      <c r="A2257" s="11" t="n"/>
      <c r="B2257" s="29" t="n"/>
      <c r="K2257" s="30" t="str">
        <f>IF($A2257="","",EDATE($A2257,12*$E$4))</f>
        <v/>
      </c>
      <c r="L2257" s="19" t="str">
        <f>IF($K2257="","",IF($K2257&gt;MAX($A$8:$A$5007),"",IFERROR(MATCH($K2257,$A$8:$A$5007,1),"")))</f>
        <v/>
      </c>
      <c r="M2257" s="30" t="str">
        <f>IF($L2257="","",INDEX($A$8:$A$5007,$L2257))</f>
        <v/>
      </c>
      <c r="N2257" s="31" t="str">
        <f>IF($L2257="","",INDEX($B$8:$B$5007,$L2257))</f>
        <v/>
      </c>
      <c r="O2257" s="32" t="str">
        <f>IF($M2257="","",IF($K2257-$M2257&gt;7,"",IF($M2257&lt;=$A2257,"",IF(OR($B2257&lt;=0,$N2257&lt;=0),"",($N2257/$B2257)^(365/($M2257-$A2257))-1))))</f>
        <v/>
      </c>
      <c r="P2257" s="31" t="str">
        <f>IF($B2257="","",IF($P2256="",$B2257,MAX($P2256,$B2257)))</f>
        <v/>
      </c>
      <c r="Q2257" s="32" t="str">
        <f>IF($P2257="","",$B2257/$P2257-1)</f>
        <v/>
      </c>
    </row>
    <row r="2258">
      <c r="A2258" s="11" t="n"/>
      <c r="B2258" s="29" t="n"/>
      <c r="K2258" s="30" t="str">
        <f>IF($A2258="","",EDATE($A2258,12*$E$4))</f>
        <v/>
      </c>
      <c r="L2258" s="19" t="str">
        <f>IF($K2258="","",IF($K2258&gt;MAX($A$8:$A$5007),"",IFERROR(MATCH($K2258,$A$8:$A$5007,1),"")))</f>
        <v/>
      </c>
      <c r="M2258" s="30" t="str">
        <f>IF($L2258="","",INDEX($A$8:$A$5007,$L2258))</f>
        <v/>
      </c>
      <c r="N2258" s="31" t="str">
        <f>IF($L2258="","",INDEX($B$8:$B$5007,$L2258))</f>
        <v/>
      </c>
      <c r="O2258" s="32" t="str">
        <f>IF($M2258="","",IF($K2258-$M2258&gt;7,"",IF($M2258&lt;=$A2258,"",IF(OR($B2258&lt;=0,$N2258&lt;=0),"",($N2258/$B2258)^(365/($M2258-$A2258))-1))))</f>
        <v/>
      </c>
      <c r="P2258" s="31" t="str">
        <f>IF($B2258="","",IF($P2257="",$B2258,MAX($P2257,$B2258)))</f>
        <v/>
      </c>
      <c r="Q2258" s="32" t="str">
        <f>IF($P2258="","",$B2258/$P2258-1)</f>
        <v/>
      </c>
    </row>
    <row r="2259">
      <c r="A2259" s="11" t="n"/>
      <c r="B2259" s="29" t="n"/>
      <c r="K2259" s="30" t="str">
        <f>IF($A2259="","",EDATE($A2259,12*$E$4))</f>
        <v/>
      </c>
      <c r="L2259" s="19" t="str">
        <f>IF($K2259="","",IF($K2259&gt;MAX($A$8:$A$5007),"",IFERROR(MATCH($K2259,$A$8:$A$5007,1),"")))</f>
        <v/>
      </c>
      <c r="M2259" s="30" t="str">
        <f>IF($L2259="","",INDEX($A$8:$A$5007,$L2259))</f>
        <v/>
      </c>
      <c r="N2259" s="31" t="str">
        <f>IF($L2259="","",INDEX($B$8:$B$5007,$L2259))</f>
        <v/>
      </c>
      <c r="O2259" s="32" t="str">
        <f>IF($M2259="","",IF($K2259-$M2259&gt;7,"",IF($M2259&lt;=$A2259,"",IF(OR($B2259&lt;=0,$N2259&lt;=0),"",($N2259/$B2259)^(365/($M2259-$A2259))-1))))</f>
        <v/>
      </c>
      <c r="P2259" s="31" t="str">
        <f>IF($B2259="","",IF($P2258="",$B2259,MAX($P2258,$B2259)))</f>
        <v/>
      </c>
      <c r="Q2259" s="32" t="str">
        <f>IF($P2259="","",$B2259/$P2259-1)</f>
        <v/>
      </c>
    </row>
    <row r="2260">
      <c r="A2260" s="11" t="n"/>
      <c r="B2260" s="29" t="n"/>
      <c r="K2260" s="30" t="str">
        <f>IF($A2260="","",EDATE($A2260,12*$E$4))</f>
        <v/>
      </c>
      <c r="L2260" s="19" t="str">
        <f>IF($K2260="","",IF($K2260&gt;MAX($A$8:$A$5007),"",IFERROR(MATCH($K2260,$A$8:$A$5007,1),"")))</f>
        <v/>
      </c>
      <c r="M2260" s="30" t="str">
        <f>IF($L2260="","",INDEX($A$8:$A$5007,$L2260))</f>
        <v/>
      </c>
      <c r="N2260" s="31" t="str">
        <f>IF($L2260="","",INDEX($B$8:$B$5007,$L2260))</f>
        <v/>
      </c>
      <c r="O2260" s="32" t="str">
        <f>IF($M2260="","",IF($K2260-$M2260&gt;7,"",IF($M2260&lt;=$A2260,"",IF(OR($B2260&lt;=0,$N2260&lt;=0),"",($N2260/$B2260)^(365/($M2260-$A2260))-1))))</f>
        <v/>
      </c>
      <c r="P2260" s="31" t="str">
        <f>IF($B2260="","",IF($P2259="",$B2260,MAX($P2259,$B2260)))</f>
        <v/>
      </c>
      <c r="Q2260" s="32" t="str">
        <f>IF($P2260="","",$B2260/$P2260-1)</f>
        <v/>
      </c>
    </row>
    <row r="2261">
      <c r="A2261" s="11" t="n"/>
      <c r="B2261" s="29" t="n"/>
      <c r="K2261" s="30" t="str">
        <f>IF($A2261="","",EDATE($A2261,12*$E$4))</f>
        <v/>
      </c>
      <c r="L2261" s="19" t="str">
        <f>IF($K2261="","",IF($K2261&gt;MAX($A$8:$A$5007),"",IFERROR(MATCH($K2261,$A$8:$A$5007,1),"")))</f>
        <v/>
      </c>
      <c r="M2261" s="30" t="str">
        <f>IF($L2261="","",INDEX($A$8:$A$5007,$L2261))</f>
        <v/>
      </c>
      <c r="N2261" s="31" t="str">
        <f>IF($L2261="","",INDEX($B$8:$B$5007,$L2261))</f>
        <v/>
      </c>
      <c r="O2261" s="32" t="str">
        <f>IF($M2261="","",IF($K2261-$M2261&gt;7,"",IF($M2261&lt;=$A2261,"",IF(OR($B2261&lt;=0,$N2261&lt;=0),"",($N2261/$B2261)^(365/($M2261-$A2261))-1))))</f>
        <v/>
      </c>
      <c r="P2261" s="31" t="str">
        <f>IF($B2261="","",IF($P2260="",$B2261,MAX($P2260,$B2261)))</f>
        <v/>
      </c>
      <c r="Q2261" s="32" t="str">
        <f>IF($P2261="","",$B2261/$P2261-1)</f>
        <v/>
      </c>
    </row>
    <row r="2262">
      <c r="A2262" s="11" t="n"/>
      <c r="B2262" s="29" t="n"/>
      <c r="K2262" s="30" t="str">
        <f>IF($A2262="","",EDATE($A2262,12*$E$4))</f>
        <v/>
      </c>
      <c r="L2262" s="19" t="str">
        <f>IF($K2262="","",IF($K2262&gt;MAX($A$8:$A$5007),"",IFERROR(MATCH($K2262,$A$8:$A$5007,1),"")))</f>
        <v/>
      </c>
      <c r="M2262" s="30" t="str">
        <f>IF($L2262="","",INDEX($A$8:$A$5007,$L2262))</f>
        <v/>
      </c>
      <c r="N2262" s="31" t="str">
        <f>IF($L2262="","",INDEX($B$8:$B$5007,$L2262))</f>
        <v/>
      </c>
      <c r="O2262" s="32" t="str">
        <f>IF($M2262="","",IF($K2262-$M2262&gt;7,"",IF($M2262&lt;=$A2262,"",IF(OR($B2262&lt;=0,$N2262&lt;=0),"",($N2262/$B2262)^(365/($M2262-$A2262))-1))))</f>
        <v/>
      </c>
      <c r="P2262" s="31" t="str">
        <f>IF($B2262="","",IF($P2261="",$B2262,MAX($P2261,$B2262)))</f>
        <v/>
      </c>
      <c r="Q2262" s="32" t="str">
        <f>IF($P2262="","",$B2262/$P2262-1)</f>
        <v/>
      </c>
    </row>
    <row r="2263">
      <c r="A2263" s="11" t="n"/>
      <c r="B2263" s="29" t="n"/>
      <c r="K2263" s="30" t="str">
        <f>IF($A2263="","",EDATE($A2263,12*$E$4))</f>
        <v/>
      </c>
      <c r="L2263" s="19" t="str">
        <f>IF($K2263="","",IF($K2263&gt;MAX($A$8:$A$5007),"",IFERROR(MATCH($K2263,$A$8:$A$5007,1),"")))</f>
        <v/>
      </c>
      <c r="M2263" s="30" t="str">
        <f>IF($L2263="","",INDEX($A$8:$A$5007,$L2263))</f>
        <v/>
      </c>
      <c r="N2263" s="31" t="str">
        <f>IF($L2263="","",INDEX($B$8:$B$5007,$L2263))</f>
        <v/>
      </c>
      <c r="O2263" s="32" t="str">
        <f>IF($M2263="","",IF($K2263-$M2263&gt;7,"",IF($M2263&lt;=$A2263,"",IF(OR($B2263&lt;=0,$N2263&lt;=0),"",($N2263/$B2263)^(365/($M2263-$A2263))-1))))</f>
        <v/>
      </c>
      <c r="P2263" s="31" t="str">
        <f>IF($B2263="","",IF($P2262="",$B2263,MAX($P2262,$B2263)))</f>
        <v/>
      </c>
      <c r="Q2263" s="32" t="str">
        <f>IF($P2263="","",$B2263/$P2263-1)</f>
        <v/>
      </c>
    </row>
    <row r="2264">
      <c r="A2264" s="11" t="n"/>
      <c r="B2264" s="29" t="n"/>
      <c r="K2264" s="30" t="str">
        <f>IF($A2264="","",EDATE($A2264,12*$E$4))</f>
        <v/>
      </c>
      <c r="L2264" s="19" t="str">
        <f>IF($K2264="","",IF($K2264&gt;MAX($A$8:$A$5007),"",IFERROR(MATCH($K2264,$A$8:$A$5007,1),"")))</f>
        <v/>
      </c>
      <c r="M2264" s="30" t="str">
        <f>IF($L2264="","",INDEX($A$8:$A$5007,$L2264))</f>
        <v/>
      </c>
      <c r="N2264" s="31" t="str">
        <f>IF($L2264="","",INDEX($B$8:$B$5007,$L2264))</f>
        <v/>
      </c>
      <c r="O2264" s="32" t="str">
        <f>IF($M2264="","",IF($K2264-$M2264&gt;7,"",IF($M2264&lt;=$A2264,"",IF(OR($B2264&lt;=0,$N2264&lt;=0),"",($N2264/$B2264)^(365/($M2264-$A2264))-1))))</f>
        <v/>
      </c>
      <c r="P2264" s="31" t="str">
        <f>IF($B2264="","",IF($P2263="",$B2264,MAX($P2263,$B2264)))</f>
        <v/>
      </c>
      <c r="Q2264" s="32" t="str">
        <f>IF($P2264="","",$B2264/$P2264-1)</f>
        <v/>
      </c>
    </row>
    <row r="2265">
      <c r="A2265" s="11" t="n"/>
      <c r="B2265" s="29" t="n"/>
      <c r="K2265" s="30" t="str">
        <f>IF($A2265="","",EDATE($A2265,12*$E$4))</f>
        <v/>
      </c>
      <c r="L2265" s="19" t="str">
        <f>IF($K2265="","",IF($K2265&gt;MAX($A$8:$A$5007),"",IFERROR(MATCH($K2265,$A$8:$A$5007,1),"")))</f>
        <v/>
      </c>
      <c r="M2265" s="30" t="str">
        <f>IF($L2265="","",INDEX($A$8:$A$5007,$L2265))</f>
        <v/>
      </c>
      <c r="N2265" s="31" t="str">
        <f>IF($L2265="","",INDEX($B$8:$B$5007,$L2265))</f>
        <v/>
      </c>
      <c r="O2265" s="32" t="str">
        <f>IF($M2265="","",IF($K2265-$M2265&gt;7,"",IF($M2265&lt;=$A2265,"",IF(OR($B2265&lt;=0,$N2265&lt;=0),"",($N2265/$B2265)^(365/($M2265-$A2265))-1))))</f>
        <v/>
      </c>
      <c r="P2265" s="31" t="str">
        <f>IF($B2265="","",IF($P2264="",$B2265,MAX($P2264,$B2265)))</f>
        <v/>
      </c>
      <c r="Q2265" s="32" t="str">
        <f>IF($P2265="","",$B2265/$P2265-1)</f>
        <v/>
      </c>
    </row>
    <row r="2266">
      <c r="A2266" s="11" t="n"/>
      <c r="B2266" s="29" t="n"/>
      <c r="K2266" s="30" t="str">
        <f>IF($A2266="","",EDATE($A2266,12*$E$4))</f>
        <v/>
      </c>
      <c r="L2266" s="19" t="str">
        <f>IF($K2266="","",IF($K2266&gt;MAX($A$8:$A$5007),"",IFERROR(MATCH($K2266,$A$8:$A$5007,1),"")))</f>
        <v/>
      </c>
      <c r="M2266" s="30" t="str">
        <f>IF($L2266="","",INDEX($A$8:$A$5007,$L2266))</f>
        <v/>
      </c>
      <c r="N2266" s="31" t="str">
        <f>IF($L2266="","",INDEX($B$8:$B$5007,$L2266))</f>
        <v/>
      </c>
      <c r="O2266" s="32" t="str">
        <f>IF($M2266="","",IF($K2266-$M2266&gt;7,"",IF($M2266&lt;=$A2266,"",IF(OR($B2266&lt;=0,$N2266&lt;=0),"",($N2266/$B2266)^(365/($M2266-$A2266))-1))))</f>
        <v/>
      </c>
      <c r="P2266" s="31" t="str">
        <f>IF($B2266="","",IF($P2265="",$B2266,MAX($P2265,$B2266)))</f>
        <v/>
      </c>
      <c r="Q2266" s="32" t="str">
        <f>IF($P2266="","",$B2266/$P2266-1)</f>
        <v/>
      </c>
    </row>
    <row r="2267">
      <c r="A2267" s="11" t="n"/>
      <c r="B2267" s="29" t="n"/>
      <c r="K2267" s="30" t="str">
        <f>IF($A2267="","",EDATE($A2267,12*$E$4))</f>
        <v/>
      </c>
      <c r="L2267" s="19" t="str">
        <f>IF($K2267="","",IF($K2267&gt;MAX($A$8:$A$5007),"",IFERROR(MATCH($K2267,$A$8:$A$5007,1),"")))</f>
        <v/>
      </c>
      <c r="M2267" s="30" t="str">
        <f>IF($L2267="","",INDEX($A$8:$A$5007,$L2267))</f>
        <v/>
      </c>
      <c r="N2267" s="31" t="str">
        <f>IF($L2267="","",INDEX($B$8:$B$5007,$L2267))</f>
        <v/>
      </c>
      <c r="O2267" s="32" t="str">
        <f>IF($M2267="","",IF($K2267-$M2267&gt;7,"",IF($M2267&lt;=$A2267,"",IF(OR($B2267&lt;=0,$N2267&lt;=0),"",($N2267/$B2267)^(365/($M2267-$A2267))-1))))</f>
        <v/>
      </c>
      <c r="P2267" s="31" t="str">
        <f>IF($B2267="","",IF($P2266="",$B2267,MAX($P2266,$B2267)))</f>
        <v/>
      </c>
      <c r="Q2267" s="32" t="str">
        <f>IF($P2267="","",$B2267/$P2267-1)</f>
        <v/>
      </c>
    </row>
    <row r="2268">
      <c r="A2268" s="11" t="n"/>
      <c r="B2268" s="29" t="n"/>
      <c r="K2268" s="30" t="str">
        <f>IF($A2268="","",EDATE($A2268,12*$E$4))</f>
        <v/>
      </c>
      <c r="L2268" s="19" t="str">
        <f>IF($K2268="","",IF($K2268&gt;MAX($A$8:$A$5007),"",IFERROR(MATCH($K2268,$A$8:$A$5007,1),"")))</f>
        <v/>
      </c>
      <c r="M2268" s="30" t="str">
        <f>IF($L2268="","",INDEX($A$8:$A$5007,$L2268))</f>
        <v/>
      </c>
      <c r="N2268" s="31" t="str">
        <f>IF($L2268="","",INDEX($B$8:$B$5007,$L2268))</f>
        <v/>
      </c>
      <c r="O2268" s="32" t="str">
        <f>IF($M2268="","",IF($K2268-$M2268&gt;7,"",IF($M2268&lt;=$A2268,"",IF(OR($B2268&lt;=0,$N2268&lt;=0),"",($N2268/$B2268)^(365/($M2268-$A2268))-1))))</f>
        <v/>
      </c>
      <c r="P2268" s="31" t="str">
        <f>IF($B2268="","",IF($P2267="",$B2268,MAX($P2267,$B2268)))</f>
        <v/>
      </c>
      <c r="Q2268" s="32" t="str">
        <f>IF($P2268="","",$B2268/$P2268-1)</f>
        <v/>
      </c>
    </row>
    <row r="2269">
      <c r="A2269" s="11" t="n"/>
      <c r="B2269" s="29" t="n"/>
      <c r="K2269" s="30" t="str">
        <f>IF($A2269="","",EDATE($A2269,12*$E$4))</f>
        <v/>
      </c>
      <c r="L2269" s="19" t="str">
        <f>IF($K2269="","",IF($K2269&gt;MAX($A$8:$A$5007),"",IFERROR(MATCH($K2269,$A$8:$A$5007,1),"")))</f>
        <v/>
      </c>
      <c r="M2269" s="30" t="str">
        <f>IF($L2269="","",INDEX($A$8:$A$5007,$L2269))</f>
        <v/>
      </c>
      <c r="N2269" s="31" t="str">
        <f>IF($L2269="","",INDEX($B$8:$B$5007,$L2269))</f>
        <v/>
      </c>
      <c r="O2269" s="32" t="str">
        <f>IF($M2269="","",IF($K2269-$M2269&gt;7,"",IF($M2269&lt;=$A2269,"",IF(OR($B2269&lt;=0,$N2269&lt;=0),"",($N2269/$B2269)^(365/($M2269-$A2269))-1))))</f>
        <v/>
      </c>
      <c r="P2269" s="31" t="str">
        <f>IF($B2269="","",IF($P2268="",$B2269,MAX($P2268,$B2269)))</f>
        <v/>
      </c>
      <c r="Q2269" s="32" t="str">
        <f>IF($P2269="","",$B2269/$P2269-1)</f>
        <v/>
      </c>
    </row>
    <row r="2270">
      <c r="A2270" s="11" t="n"/>
      <c r="B2270" s="29" t="n"/>
      <c r="K2270" s="30" t="str">
        <f>IF($A2270="","",EDATE($A2270,12*$E$4))</f>
        <v/>
      </c>
      <c r="L2270" s="19" t="str">
        <f>IF($K2270="","",IF($K2270&gt;MAX($A$8:$A$5007),"",IFERROR(MATCH($K2270,$A$8:$A$5007,1),"")))</f>
        <v/>
      </c>
      <c r="M2270" s="30" t="str">
        <f>IF($L2270="","",INDEX($A$8:$A$5007,$L2270))</f>
        <v/>
      </c>
      <c r="N2270" s="31" t="str">
        <f>IF($L2270="","",INDEX($B$8:$B$5007,$L2270))</f>
        <v/>
      </c>
      <c r="O2270" s="32" t="str">
        <f>IF($M2270="","",IF($K2270-$M2270&gt;7,"",IF($M2270&lt;=$A2270,"",IF(OR($B2270&lt;=0,$N2270&lt;=0),"",($N2270/$B2270)^(365/($M2270-$A2270))-1))))</f>
        <v/>
      </c>
      <c r="P2270" s="31" t="str">
        <f>IF($B2270="","",IF($P2269="",$B2270,MAX($P2269,$B2270)))</f>
        <v/>
      </c>
      <c r="Q2270" s="32" t="str">
        <f>IF($P2270="","",$B2270/$P2270-1)</f>
        <v/>
      </c>
    </row>
    <row r="2271">
      <c r="A2271" s="11" t="n"/>
      <c r="B2271" s="29" t="n"/>
      <c r="K2271" s="30" t="str">
        <f>IF($A2271="","",EDATE($A2271,12*$E$4))</f>
        <v/>
      </c>
      <c r="L2271" s="19" t="str">
        <f>IF($K2271="","",IF($K2271&gt;MAX($A$8:$A$5007),"",IFERROR(MATCH($K2271,$A$8:$A$5007,1),"")))</f>
        <v/>
      </c>
      <c r="M2271" s="30" t="str">
        <f>IF($L2271="","",INDEX($A$8:$A$5007,$L2271))</f>
        <v/>
      </c>
      <c r="N2271" s="31" t="str">
        <f>IF($L2271="","",INDEX($B$8:$B$5007,$L2271))</f>
        <v/>
      </c>
      <c r="O2271" s="32" t="str">
        <f>IF($M2271="","",IF($K2271-$M2271&gt;7,"",IF($M2271&lt;=$A2271,"",IF(OR($B2271&lt;=0,$N2271&lt;=0),"",($N2271/$B2271)^(365/($M2271-$A2271))-1))))</f>
        <v/>
      </c>
      <c r="P2271" s="31" t="str">
        <f>IF($B2271="","",IF($P2270="",$B2271,MAX($P2270,$B2271)))</f>
        <v/>
      </c>
      <c r="Q2271" s="32" t="str">
        <f>IF($P2271="","",$B2271/$P2271-1)</f>
        <v/>
      </c>
    </row>
    <row r="2272">
      <c r="A2272" s="11" t="n"/>
      <c r="B2272" s="29" t="n"/>
      <c r="K2272" s="30" t="str">
        <f>IF($A2272="","",EDATE($A2272,12*$E$4))</f>
        <v/>
      </c>
      <c r="L2272" s="19" t="str">
        <f>IF($K2272="","",IF($K2272&gt;MAX($A$8:$A$5007),"",IFERROR(MATCH($K2272,$A$8:$A$5007,1),"")))</f>
        <v/>
      </c>
      <c r="M2272" s="30" t="str">
        <f>IF($L2272="","",INDEX($A$8:$A$5007,$L2272))</f>
        <v/>
      </c>
      <c r="N2272" s="31" t="str">
        <f>IF($L2272="","",INDEX($B$8:$B$5007,$L2272))</f>
        <v/>
      </c>
      <c r="O2272" s="32" t="str">
        <f>IF($M2272="","",IF($K2272-$M2272&gt;7,"",IF($M2272&lt;=$A2272,"",IF(OR($B2272&lt;=0,$N2272&lt;=0),"",($N2272/$B2272)^(365/($M2272-$A2272))-1))))</f>
        <v/>
      </c>
      <c r="P2272" s="31" t="str">
        <f>IF($B2272="","",IF($P2271="",$B2272,MAX($P2271,$B2272)))</f>
        <v/>
      </c>
      <c r="Q2272" s="32" t="str">
        <f>IF($P2272="","",$B2272/$P2272-1)</f>
        <v/>
      </c>
    </row>
    <row r="2273">
      <c r="A2273" s="11" t="n"/>
      <c r="B2273" s="29" t="n"/>
      <c r="K2273" s="30" t="str">
        <f>IF($A2273="","",EDATE($A2273,12*$E$4))</f>
        <v/>
      </c>
      <c r="L2273" s="19" t="str">
        <f>IF($K2273="","",IF($K2273&gt;MAX($A$8:$A$5007),"",IFERROR(MATCH($K2273,$A$8:$A$5007,1),"")))</f>
        <v/>
      </c>
      <c r="M2273" s="30" t="str">
        <f>IF($L2273="","",INDEX($A$8:$A$5007,$L2273))</f>
        <v/>
      </c>
      <c r="N2273" s="31" t="str">
        <f>IF($L2273="","",INDEX($B$8:$B$5007,$L2273))</f>
        <v/>
      </c>
      <c r="O2273" s="32" t="str">
        <f>IF($M2273="","",IF($K2273-$M2273&gt;7,"",IF($M2273&lt;=$A2273,"",IF(OR($B2273&lt;=0,$N2273&lt;=0),"",($N2273/$B2273)^(365/($M2273-$A2273))-1))))</f>
        <v/>
      </c>
      <c r="P2273" s="31" t="str">
        <f>IF($B2273="","",IF($P2272="",$B2273,MAX($P2272,$B2273)))</f>
        <v/>
      </c>
      <c r="Q2273" s="32" t="str">
        <f>IF($P2273="","",$B2273/$P2273-1)</f>
        <v/>
      </c>
    </row>
    <row r="2274">
      <c r="A2274" s="11" t="n"/>
      <c r="B2274" s="29" t="n"/>
      <c r="K2274" s="30" t="str">
        <f>IF($A2274="","",EDATE($A2274,12*$E$4))</f>
        <v/>
      </c>
      <c r="L2274" s="19" t="str">
        <f>IF($K2274="","",IF($K2274&gt;MAX($A$8:$A$5007),"",IFERROR(MATCH($K2274,$A$8:$A$5007,1),"")))</f>
        <v/>
      </c>
      <c r="M2274" s="30" t="str">
        <f>IF($L2274="","",INDEX($A$8:$A$5007,$L2274))</f>
        <v/>
      </c>
      <c r="N2274" s="31" t="str">
        <f>IF($L2274="","",INDEX($B$8:$B$5007,$L2274))</f>
        <v/>
      </c>
      <c r="O2274" s="32" t="str">
        <f>IF($M2274="","",IF($K2274-$M2274&gt;7,"",IF($M2274&lt;=$A2274,"",IF(OR($B2274&lt;=0,$N2274&lt;=0),"",($N2274/$B2274)^(365/($M2274-$A2274))-1))))</f>
        <v/>
      </c>
      <c r="P2274" s="31" t="str">
        <f>IF($B2274="","",IF($P2273="",$B2274,MAX($P2273,$B2274)))</f>
        <v/>
      </c>
      <c r="Q2274" s="32" t="str">
        <f>IF($P2274="","",$B2274/$P2274-1)</f>
        <v/>
      </c>
    </row>
    <row r="2275">
      <c r="A2275" s="11" t="n"/>
      <c r="B2275" s="29" t="n"/>
      <c r="K2275" s="30" t="str">
        <f>IF($A2275="","",EDATE($A2275,12*$E$4))</f>
        <v/>
      </c>
      <c r="L2275" s="19" t="str">
        <f>IF($K2275="","",IF($K2275&gt;MAX($A$8:$A$5007),"",IFERROR(MATCH($K2275,$A$8:$A$5007,1),"")))</f>
        <v/>
      </c>
      <c r="M2275" s="30" t="str">
        <f>IF($L2275="","",INDEX($A$8:$A$5007,$L2275))</f>
        <v/>
      </c>
      <c r="N2275" s="31" t="str">
        <f>IF($L2275="","",INDEX($B$8:$B$5007,$L2275))</f>
        <v/>
      </c>
      <c r="O2275" s="32" t="str">
        <f>IF($M2275="","",IF($K2275-$M2275&gt;7,"",IF($M2275&lt;=$A2275,"",IF(OR($B2275&lt;=0,$N2275&lt;=0),"",($N2275/$B2275)^(365/($M2275-$A2275))-1))))</f>
        <v/>
      </c>
      <c r="P2275" s="31" t="str">
        <f>IF($B2275="","",IF($P2274="",$B2275,MAX($P2274,$B2275)))</f>
        <v/>
      </c>
      <c r="Q2275" s="32" t="str">
        <f>IF($P2275="","",$B2275/$P2275-1)</f>
        <v/>
      </c>
    </row>
    <row r="2276">
      <c r="A2276" s="11" t="n"/>
      <c r="B2276" s="29" t="n"/>
      <c r="K2276" s="30" t="str">
        <f>IF($A2276="","",EDATE($A2276,12*$E$4))</f>
        <v/>
      </c>
      <c r="L2276" s="19" t="str">
        <f>IF($K2276="","",IF($K2276&gt;MAX($A$8:$A$5007),"",IFERROR(MATCH($K2276,$A$8:$A$5007,1),"")))</f>
        <v/>
      </c>
      <c r="M2276" s="30" t="str">
        <f>IF($L2276="","",INDEX($A$8:$A$5007,$L2276))</f>
        <v/>
      </c>
      <c r="N2276" s="31" t="str">
        <f>IF($L2276="","",INDEX($B$8:$B$5007,$L2276))</f>
        <v/>
      </c>
      <c r="O2276" s="32" t="str">
        <f>IF($M2276="","",IF($K2276-$M2276&gt;7,"",IF($M2276&lt;=$A2276,"",IF(OR($B2276&lt;=0,$N2276&lt;=0),"",($N2276/$B2276)^(365/($M2276-$A2276))-1))))</f>
        <v/>
      </c>
      <c r="P2276" s="31" t="str">
        <f>IF($B2276="","",IF($P2275="",$B2276,MAX($P2275,$B2276)))</f>
        <v/>
      </c>
      <c r="Q2276" s="32" t="str">
        <f>IF($P2276="","",$B2276/$P2276-1)</f>
        <v/>
      </c>
    </row>
    <row r="2277">
      <c r="A2277" s="11" t="n"/>
      <c r="B2277" s="29" t="n"/>
      <c r="K2277" s="30" t="str">
        <f>IF($A2277="","",EDATE($A2277,12*$E$4))</f>
        <v/>
      </c>
      <c r="L2277" s="19" t="str">
        <f>IF($K2277="","",IF($K2277&gt;MAX($A$8:$A$5007),"",IFERROR(MATCH($K2277,$A$8:$A$5007,1),"")))</f>
        <v/>
      </c>
      <c r="M2277" s="30" t="str">
        <f>IF($L2277="","",INDEX($A$8:$A$5007,$L2277))</f>
        <v/>
      </c>
      <c r="N2277" s="31" t="str">
        <f>IF($L2277="","",INDEX($B$8:$B$5007,$L2277))</f>
        <v/>
      </c>
      <c r="O2277" s="32" t="str">
        <f>IF($M2277="","",IF($K2277-$M2277&gt;7,"",IF($M2277&lt;=$A2277,"",IF(OR($B2277&lt;=0,$N2277&lt;=0),"",($N2277/$B2277)^(365/($M2277-$A2277))-1))))</f>
        <v/>
      </c>
      <c r="P2277" s="31" t="str">
        <f>IF($B2277="","",IF($P2276="",$B2277,MAX($P2276,$B2277)))</f>
        <v/>
      </c>
      <c r="Q2277" s="32" t="str">
        <f>IF($P2277="","",$B2277/$P2277-1)</f>
        <v/>
      </c>
    </row>
    <row r="2278">
      <c r="A2278" s="11" t="n"/>
      <c r="B2278" s="29" t="n"/>
      <c r="K2278" s="30" t="str">
        <f>IF($A2278="","",EDATE($A2278,12*$E$4))</f>
        <v/>
      </c>
      <c r="L2278" s="19" t="str">
        <f>IF($K2278="","",IF($K2278&gt;MAX($A$8:$A$5007),"",IFERROR(MATCH($K2278,$A$8:$A$5007,1),"")))</f>
        <v/>
      </c>
      <c r="M2278" s="30" t="str">
        <f>IF($L2278="","",INDEX($A$8:$A$5007,$L2278))</f>
        <v/>
      </c>
      <c r="N2278" s="31" t="str">
        <f>IF($L2278="","",INDEX($B$8:$B$5007,$L2278))</f>
        <v/>
      </c>
      <c r="O2278" s="32" t="str">
        <f>IF($M2278="","",IF($K2278-$M2278&gt;7,"",IF($M2278&lt;=$A2278,"",IF(OR($B2278&lt;=0,$N2278&lt;=0),"",($N2278/$B2278)^(365/($M2278-$A2278))-1))))</f>
        <v/>
      </c>
      <c r="P2278" s="31" t="str">
        <f>IF($B2278="","",IF($P2277="",$B2278,MAX($P2277,$B2278)))</f>
        <v/>
      </c>
      <c r="Q2278" s="32" t="str">
        <f>IF($P2278="","",$B2278/$P2278-1)</f>
        <v/>
      </c>
    </row>
    <row r="2279">
      <c r="A2279" s="11" t="n"/>
      <c r="B2279" s="29" t="n"/>
      <c r="K2279" s="30" t="str">
        <f>IF($A2279="","",EDATE($A2279,12*$E$4))</f>
        <v/>
      </c>
      <c r="L2279" s="19" t="str">
        <f>IF($K2279="","",IF($K2279&gt;MAX($A$8:$A$5007),"",IFERROR(MATCH($K2279,$A$8:$A$5007,1),"")))</f>
        <v/>
      </c>
      <c r="M2279" s="30" t="str">
        <f>IF($L2279="","",INDEX($A$8:$A$5007,$L2279))</f>
        <v/>
      </c>
      <c r="N2279" s="31" t="str">
        <f>IF($L2279="","",INDEX($B$8:$B$5007,$L2279))</f>
        <v/>
      </c>
      <c r="O2279" s="32" t="str">
        <f>IF($M2279="","",IF($K2279-$M2279&gt;7,"",IF($M2279&lt;=$A2279,"",IF(OR($B2279&lt;=0,$N2279&lt;=0),"",($N2279/$B2279)^(365/($M2279-$A2279))-1))))</f>
        <v/>
      </c>
      <c r="P2279" s="31" t="str">
        <f>IF($B2279="","",IF($P2278="",$B2279,MAX($P2278,$B2279)))</f>
        <v/>
      </c>
      <c r="Q2279" s="32" t="str">
        <f>IF($P2279="","",$B2279/$P2279-1)</f>
        <v/>
      </c>
    </row>
    <row r="2280">
      <c r="A2280" s="11" t="n"/>
      <c r="B2280" s="29" t="n"/>
      <c r="K2280" s="30" t="str">
        <f>IF($A2280="","",EDATE($A2280,12*$E$4))</f>
        <v/>
      </c>
      <c r="L2280" s="19" t="str">
        <f>IF($K2280="","",IF($K2280&gt;MAX($A$8:$A$5007),"",IFERROR(MATCH($K2280,$A$8:$A$5007,1),"")))</f>
        <v/>
      </c>
      <c r="M2280" s="30" t="str">
        <f>IF($L2280="","",INDEX($A$8:$A$5007,$L2280))</f>
        <v/>
      </c>
      <c r="N2280" s="31" t="str">
        <f>IF($L2280="","",INDEX($B$8:$B$5007,$L2280))</f>
        <v/>
      </c>
      <c r="O2280" s="32" t="str">
        <f>IF($M2280="","",IF($K2280-$M2280&gt;7,"",IF($M2280&lt;=$A2280,"",IF(OR($B2280&lt;=0,$N2280&lt;=0),"",($N2280/$B2280)^(365/($M2280-$A2280))-1))))</f>
        <v/>
      </c>
      <c r="P2280" s="31" t="str">
        <f>IF($B2280="","",IF($P2279="",$B2280,MAX($P2279,$B2280)))</f>
        <v/>
      </c>
      <c r="Q2280" s="32" t="str">
        <f>IF($P2280="","",$B2280/$P2280-1)</f>
        <v/>
      </c>
    </row>
    <row r="2281">
      <c r="A2281" s="11" t="n"/>
      <c r="B2281" s="29" t="n"/>
      <c r="K2281" s="30" t="str">
        <f>IF($A2281="","",EDATE($A2281,12*$E$4))</f>
        <v/>
      </c>
      <c r="L2281" s="19" t="str">
        <f>IF($K2281="","",IF($K2281&gt;MAX($A$8:$A$5007),"",IFERROR(MATCH($K2281,$A$8:$A$5007,1),"")))</f>
        <v/>
      </c>
      <c r="M2281" s="30" t="str">
        <f>IF($L2281="","",INDEX($A$8:$A$5007,$L2281))</f>
        <v/>
      </c>
      <c r="N2281" s="31" t="str">
        <f>IF($L2281="","",INDEX($B$8:$B$5007,$L2281))</f>
        <v/>
      </c>
      <c r="O2281" s="32" t="str">
        <f>IF($M2281="","",IF($K2281-$M2281&gt;7,"",IF($M2281&lt;=$A2281,"",IF(OR($B2281&lt;=0,$N2281&lt;=0),"",($N2281/$B2281)^(365/($M2281-$A2281))-1))))</f>
        <v/>
      </c>
      <c r="P2281" s="31" t="str">
        <f>IF($B2281="","",IF($P2280="",$B2281,MAX($P2280,$B2281)))</f>
        <v/>
      </c>
      <c r="Q2281" s="32" t="str">
        <f>IF($P2281="","",$B2281/$P2281-1)</f>
        <v/>
      </c>
    </row>
    <row r="2282">
      <c r="A2282" s="11" t="n"/>
      <c r="B2282" s="29" t="n"/>
      <c r="K2282" s="30" t="str">
        <f>IF($A2282="","",EDATE($A2282,12*$E$4))</f>
        <v/>
      </c>
      <c r="L2282" s="19" t="str">
        <f>IF($K2282="","",IF($K2282&gt;MAX($A$8:$A$5007),"",IFERROR(MATCH($K2282,$A$8:$A$5007,1),"")))</f>
        <v/>
      </c>
      <c r="M2282" s="30" t="str">
        <f>IF($L2282="","",INDEX($A$8:$A$5007,$L2282))</f>
        <v/>
      </c>
      <c r="N2282" s="31" t="str">
        <f>IF($L2282="","",INDEX($B$8:$B$5007,$L2282))</f>
        <v/>
      </c>
      <c r="O2282" s="32" t="str">
        <f>IF($M2282="","",IF($K2282-$M2282&gt;7,"",IF($M2282&lt;=$A2282,"",IF(OR($B2282&lt;=0,$N2282&lt;=0),"",($N2282/$B2282)^(365/($M2282-$A2282))-1))))</f>
        <v/>
      </c>
      <c r="P2282" s="31" t="str">
        <f>IF($B2282="","",IF($P2281="",$B2282,MAX($P2281,$B2282)))</f>
        <v/>
      </c>
      <c r="Q2282" s="32" t="str">
        <f>IF($P2282="","",$B2282/$P2282-1)</f>
        <v/>
      </c>
    </row>
    <row r="2283">
      <c r="A2283" s="11" t="n"/>
      <c r="B2283" s="29" t="n"/>
      <c r="K2283" s="30" t="str">
        <f>IF($A2283="","",EDATE($A2283,12*$E$4))</f>
        <v/>
      </c>
      <c r="L2283" s="19" t="str">
        <f>IF($K2283="","",IF($K2283&gt;MAX($A$8:$A$5007),"",IFERROR(MATCH($K2283,$A$8:$A$5007,1),"")))</f>
        <v/>
      </c>
      <c r="M2283" s="30" t="str">
        <f>IF($L2283="","",INDEX($A$8:$A$5007,$L2283))</f>
        <v/>
      </c>
      <c r="N2283" s="31" t="str">
        <f>IF($L2283="","",INDEX($B$8:$B$5007,$L2283))</f>
        <v/>
      </c>
      <c r="O2283" s="32" t="str">
        <f>IF($M2283="","",IF($K2283-$M2283&gt;7,"",IF($M2283&lt;=$A2283,"",IF(OR($B2283&lt;=0,$N2283&lt;=0),"",($N2283/$B2283)^(365/($M2283-$A2283))-1))))</f>
        <v/>
      </c>
      <c r="P2283" s="31" t="str">
        <f>IF($B2283="","",IF($P2282="",$B2283,MAX($P2282,$B2283)))</f>
        <v/>
      </c>
      <c r="Q2283" s="32" t="str">
        <f>IF($P2283="","",$B2283/$P2283-1)</f>
        <v/>
      </c>
    </row>
    <row r="2284">
      <c r="A2284" s="11" t="n"/>
      <c r="B2284" s="29" t="n"/>
      <c r="K2284" s="30" t="str">
        <f>IF($A2284="","",EDATE($A2284,12*$E$4))</f>
        <v/>
      </c>
      <c r="L2284" s="19" t="str">
        <f>IF($K2284="","",IF($K2284&gt;MAX($A$8:$A$5007),"",IFERROR(MATCH($K2284,$A$8:$A$5007,1),"")))</f>
        <v/>
      </c>
      <c r="M2284" s="30" t="str">
        <f>IF($L2284="","",INDEX($A$8:$A$5007,$L2284))</f>
        <v/>
      </c>
      <c r="N2284" s="31" t="str">
        <f>IF($L2284="","",INDEX($B$8:$B$5007,$L2284))</f>
        <v/>
      </c>
      <c r="O2284" s="32" t="str">
        <f>IF($M2284="","",IF($K2284-$M2284&gt;7,"",IF($M2284&lt;=$A2284,"",IF(OR($B2284&lt;=0,$N2284&lt;=0),"",($N2284/$B2284)^(365/($M2284-$A2284))-1))))</f>
        <v/>
      </c>
      <c r="P2284" s="31" t="str">
        <f>IF($B2284="","",IF($P2283="",$B2284,MAX($P2283,$B2284)))</f>
        <v/>
      </c>
      <c r="Q2284" s="32" t="str">
        <f>IF($P2284="","",$B2284/$P2284-1)</f>
        <v/>
      </c>
    </row>
    <row r="2285">
      <c r="A2285" s="11" t="n"/>
      <c r="B2285" s="29" t="n"/>
      <c r="K2285" s="30" t="str">
        <f>IF($A2285="","",EDATE($A2285,12*$E$4))</f>
        <v/>
      </c>
      <c r="L2285" s="19" t="str">
        <f>IF($K2285="","",IF($K2285&gt;MAX($A$8:$A$5007),"",IFERROR(MATCH($K2285,$A$8:$A$5007,1),"")))</f>
        <v/>
      </c>
      <c r="M2285" s="30" t="str">
        <f>IF($L2285="","",INDEX($A$8:$A$5007,$L2285))</f>
        <v/>
      </c>
      <c r="N2285" s="31" t="str">
        <f>IF($L2285="","",INDEX($B$8:$B$5007,$L2285))</f>
        <v/>
      </c>
      <c r="O2285" s="32" t="str">
        <f>IF($M2285="","",IF($K2285-$M2285&gt;7,"",IF($M2285&lt;=$A2285,"",IF(OR($B2285&lt;=0,$N2285&lt;=0),"",($N2285/$B2285)^(365/($M2285-$A2285))-1))))</f>
        <v/>
      </c>
      <c r="P2285" s="31" t="str">
        <f>IF($B2285="","",IF($P2284="",$B2285,MAX($P2284,$B2285)))</f>
        <v/>
      </c>
      <c r="Q2285" s="32" t="str">
        <f>IF($P2285="","",$B2285/$P2285-1)</f>
        <v/>
      </c>
    </row>
    <row r="2286">
      <c r="A2286" s="11" t="n"/>
      <c r="B2286" s="29" t="n"/>
      <c r="K2286" s="30" t="str">
        <f>IF($A2286="","",EDATE($A2286,12*$E$4))</f>
        <v/>
      </c>
      <c r="L2286" s="19" t="str">
        <f>IF($K2286="","",IF($K2286&gt;MAX($A$8:$A$5007),"",IFERROR(MATCH($K2286,$A$8:$A$5007,1),"")))</f>
        <v/>
      </c>
      <c r="M2286" s="30" t="str">
        <f>IF($L2286="","",INDEX($A$8:$A$5007,$L2286))</f>
        <v/>
      </c>
      <c r="N2286" s="31" t="str">
        <f>IF($L2286="","",INDEX($B$8:$B$5007,$L2286))</f>
        <v/>
      </c>
      <c r="O2286" s="32" t="str">
        <f>IF($M2286="","",IF($K2286-$M2286&gt;7,"",IF($M2286&lt;=$A2286,"",IF(OR($B2286&lt;=0,$N2286&lt;=0),"",($N2286/$B2286)^(365/($M2286-$A2286))-1))))</f>
        <v/>
      </c>
      <c r="P2286" s="31" t="str">
        <f>IF($B2286="","",IF($P2285="",$B2286,MAX($P2285,$B2286)))</f>
        <v/>
      </c>
      <c r="Q2286" s="32" t="str">
        <f>IF($P2286="","",$B2286/$P2286-1)</f>
        <v/>
      </c>
    </row>
    <row r="2287">
      <c r="A2287" s="11" t="n"/>
      <c r="B2287" s="29" t="n"/>
      <c r="K2287" s="30" t="str">
        <f>IF($A2287="","",EDATE($A2287,12*$E$4))</f>
        <v/>
      </c>
      <c r="L2287" s="19" t="str">
        <f>IF($K2287="","",IF($K2287&gt;MAX($A$8:$A$5007),"",IFERROR(MATCH($K2287,$A$8:$A$5007,1),"")))</f>
        <v/>
      </c>
      <c r="M2287" s="30" t="str">
        <f>IF($L2287="","",INDEX($A$8:$A$5007,$L2287))</f>
        <v/>
      </c>
      <c r="N2287" s="31" t="str">
        <f>IF($L2287="","",INDEX($B$8:$B$5007,$L2287))</f>
        <v/>
      </c>
      <c r="O2287" s="32" t="str">
        <f>IF($M2287="","",IF($K2287-$M2287&gt;7,"",IF($M2287&lt;=$A2287,"",IF(OR($B2287&lt;=0,$N2287&lt;=0),"",($N2287/$B2287)^(365/($M2287-$A2287))-1))))</f>
        <v/>
      </c>
      <c r="P2287" s="31" t="str">
        <f>IF($B2287="","",IF($P2286="",$B2287,MAX($P2286,$B2287)))</f>
        <v/>
      </c>
      <c r="Q2287" s="32" t="str">
        <f>IF($P2287="","",$B2287/$P2287-1)</f>
        <v/>
      </c>
    </row>
    <row r="2288">
      <c r="A2288" s="11" t="n"/>
      <c r="B2288" s="29" t="n"/>
      <c r="K2288" s="30" t="str">
        <f>IF($A2288="","",EDATE($A2288,12*$E$4))</f>
        <v/>
      </c>
      <c r="L2288" s="19" t="str">
        <f>IF($K2288="","",IF($K2288&gt;MAX($A$8:$A$5007),"",IFERROR(MATCH($K2288,$A$8:$A$5007,1),"")))</f>
        <v/>
      </c>
      <c r="M2288" s="30" t="str">
        <f>IF($L2288="","",INDEX($A$8:$A$5007,$L2288))</f>
        <v/>
      </c>
      <c r="N2288" s="31" t="str">
        <f>IF($L2288="","",INDEX($B$8:$B$5007,$L2288))</f>
        <v/>
      </c>
      <c r="O2288" s="32" t="str">
        <f>IF($M2288="","",IF($K2288-$M2288&gt;7,"",IF($M2288&lt;=$A2288,"",IF(OR($B2288&lt;=0,$N2288&lt;=0),"",($N2288/$B2288)^(365/($M2288-$A2288))-1))))</f>
        <v/>
      </c>
      <c r="P2288" s="31" t="str">
        <f>IF($B2288="","",IF($P2287="",$B2288,MAX($P2287,$B2288)))</f>
        <v/>
      </c>
      <c r="Q2288" s="32" t="str">
        <f>IF($P2288="","",$B2288/$P2288-1)</f>
        <v/>
      </c>
    </row>
    <row r="2289">
      <c r="A2289" s="11" t="n"/>
      <c r="B2289" s="29" t="n"/>
      <c r="K2289" s="30" t="str">
        <f>IF($A2289="","",EDATE($A2289,12*$E$4))</f>
        <v/>
      </c>
      <c r="L2289" s="19" t="str">
        <f>IF($K2289="","",IF($K2289&gt;MAX($A$8:$A$5007),"",IFERROR(MATCH($K2289,$A$8:$A$5007,1),"")))</f>
        <v/>
      </c>
      <c r="M2289" s="30" t="str">
        <f>IF($L2289="","",INDEX($A$8:$A$5007,$L2289))</f>
        <v/>
      </c>
      <c r="N2289" s="31" t="str">
        <f>IF($L2289="","",INDEX($B$8:$B$5007,$L2289))</f>
        <v/>
      </c>
      <c r="O2289" s="32" t="str">
        <f>IF($M2289="","",IF($K2289-$M2289&gt;7,"",IF($M2289&lt;=$A2289,"",IF(OR($B2289&lt;=0,$N2289&lt;=0),"",($N2289/$B2289)^(365/($M2289-$A2289))-1))))</f>
        <v/>
      </c>
      <c r="P2289" s="31" t="str">
        <f>IF($B2289="","",IF($P2288="",$B2289,MAX($P2288,$B2289)))</f>
        <v/>
      </c>
      <c r="Q2289" s="32" t="str">
        <f>IF($P2289="","",$B2289/$P2289-1)</f>
        <v/>
      </c>
    </row>
    <row r="2290">
      <c r="A2290" s="11" t="n"/>
      <c r="B2290" s="29" t="n"/>
      <c r="K2290" s="30" t="str">
        <f>IF($A2290="","",EDATE($A2290,12*$E$4))</f>
        <v/>
      </c>
      <c r="L2290" s="19" t="str">
        <f>IF($K2290="","",IF($K2290&gt;MAX($A$8:$A$5007),"",IFERROR(MATCH($K2290,$A$8:$A$5007,1),"")))</f>
        <v/>
      </c>
      <c r="M2290" s="30" t="str">
        <f>IF($L2290="","",INDEX($A$8:$A$5007,$L2290))</f>
        <v/>
      </c>
      <c r="N2290" s="31" t="str">
        <f>IF($L2290="","",INDEX($B$8:$B$5007,$L2290))</f>
        <v/>
      </c>
      <c r="O2290" s="32" t="str">
        <f>IF($M2290="","",IF($K2290-$M2290&gt;7,"",IF($M2290&lt;=$A2290,"",IF(OR($B2290&lt;=0,$N2290&lt;=0),"",($N2290/$B2290)^(365/($M2290-$A2290))-1))))</f>
        <v/>
      </c>
      <c r="P2290" s="31" t="str">
        <f>IF($B2290="","",IF($P2289="",$B2290,MAX($P2289,$B2290)))</f>
        <v/>
      </c>
      <c r="Q2290" s="32" t="str">
        <f>IF($P2290="","",$B2290/$P2290-1)</f>
        <v/>
      </c>
    </row>
    <row r="2291">
      <c r="A2291" s="11" t="n"/>
      <c r="B2291" s="29" t="n"/>
      <c r="K2291" s="30" t="str">
        <f>IF($A2291="","",EDATE($A2291,12*$E$4))</f>
        <v/>
      </c>
      <c r="L2291" s="19" t="str">
        <f>IF($K2291="","",IF($K2291&gt;MAX($A$8:$A$5007),"",IFERROR(MATCH($K2291,$A$8:$A$5007,1),"")))</f>
        <v/>
      </c>
      <c r="M2291" s="30" t="str">
        <f>IF($L2291="","",INDEX($A$8:$A$5007,$L2291))</f>
        <v/>
      </c>
      <c r="N2291" s="31" t="str">
        <f>IF($L2291="","",INDEX($B$8:$B$5007,$L2291))</f>
        <v/>
      </c>
      <c r="O2291" s="32" t="str">
        <f>IF($M2291="","",IF($K2291-$M2291&gt;7,"",IF($M2291&lt;=$A2291,"",IF(OR($B2291&lt;=0,$N2291&lt;=0),"",($N2291/$B2291)^(365/($M2291-$A2291))-1))))</f>
        <v/>
      </c>
      <c r="P2291" s="31" t="str">
        <f>IF($B2291="","",IF($P2290="",$B2291,MAX($P2290,$B2291)))</f>
        <v/>
      </c>
      <c r="Q2291" s="32" t="str">
        <f>IF($P2291="","",$B2291/$P2291-1)</f>
        <v/>
      </c>
    </row>
    <row r="2292">
      <c r="A2292" s="11" t="n"/>
      <c r="B2292" s="29" t="n"/>
      <c r="K2292" s="30" t="str">
        <f>IF($A2292="","",EDATE($A2292,12*$E$4))</f>
        <v/>
      </c>
      <c r="L2292" s="19" t="str">
        <f>IF($K2292="","",IF($K2292&gt;MAX($A$8:$A$5007),"",IFERROR(MATCH($K2292,$A$8:$A$5007,1),"")))</f>
        <v/>
      </c>
      <c r="M2292" s="30" t="str">
        <f>IF($L2292="","",INDEX($A$8:$A$5007,$L2292))</f>
        <v/>
      </c>
      <c r="N2292" s="31" t="str">
        <f>IF($L2292="","",INDEX($B$8:$B$5007,$L2292))</f>
        <v/>
      </c>
      <c r="O2292" s="32" t="str">
        <f>IF($M2292="","",IF($K2292-$M2292&gt;7,"",IF($M2292&lt;=$A2292,"",IF(OR($B2292&lt;=0,$N2292&lt;=0),"",($N2292/$B2292)^(365/($M2292-$A2292))-1))))</f>
        <v/>
      </c>
      <c r="P2292" s="31" t="str">
        <f>IF($B2292="","",IF($P2291="",$B2292,MAX($P2291,$B2292)))</f>
        <v/>
      </c>
      <c r="Q2292" s="32" t="str">
        <f>IF($P2292="","",$B2292/$P2292-1)</f>
        <v/>
      </c>
    </row>
    <row r="2293">
      <c r="A2293" s="11" t="n"/>
      <c r="B2293" s="29" t="n"/>
      <c r="K2293" s="30" t="str">
        <f>IF($A2293="","",EDATE($A2293,12*$E$4))</f>
        <v/>
      </c>
      <c r="L2293" s="19" t="str">
        <f>IF($K2293="","",IF($K2293&gt;MAX($A$8:$A$5007),"",IFERROR(MATCH($K2293,$A$8:$A$5007,1),"")))</f>
        <v/>
      </c>
      <c r="M2293" s="30" t="str">
        <f>IF($L2293="","",INDEX($A$8:$A$5007,$L2293))</f>
        <v/>
      </c>
      <c r="N2293" s="31" t="str">
        <f>IF($L2293="","",INDEX($B$8:$B$5007,$L2293))</f>
        <v/>
      </c>
      <c r="O2293" s="32" t="str">
        <f>IF($M2293="","",IF($K2293-$M2293&gt;7,"",IF($M2293&lt;=$A2293,"",IF(OR($B2293&lt;=0,$N2293&lt;=0),"",($N2293/$B2293)^(365/($M2293-$A2293))-1))))</f>
        <v/>
      </c>
      <c r="P2293" s="31" t="str">
        <f>IF($B2293="","",IF($P2292="",$B2293,MAX($P2292,$B2293)))</f>
        <v/>
      </c>
      <c r="Q2293" s="32" t="str">
        <f>IF($P2293="","",$B2293/$P2293-1)</f>
        <v/>
      </c>
    </row>
    <row r="2294">
      <c r="A2294" s="11" t="n"/>
      <c r="B2294" s="29" t="n"/>
      <c r="K2294" s="30" t="str">
        <f>IF($A2294="","",EDATE($A2294,12*$E$4))</f>
        <v/>
      </c>
      <c r="L2294" s="19" t="str">
        <f>IF($K2294="","",IF($K2294&gt;MAX($A$8:$A$5007),"",IFERROR(MATCH($K2294,$A$8:$A$5007,1),"")))</f>
        <v/>
      </c>
      <c r="M2294" s="30" t="str">
        <f>IF($L2294="","",INDEX($A$8:$A$5007,$L2294))</f>
        <v/>
      </c>
      <c r="N2294" s="31" t="str">
        <f>IF($L2294="","",INDEX($B$8:$B$5007,$L2294))</f>
        <v/>
      </c>
      <c r="O2294" s="32" t="str">
        <f>IF($M2294="","",IF($K2294-$M2294&gt;7,"",IF($M2294&lt;=$A2294,"",IF(OR($B2294&lt;=0,$N2294&lt;=0),"",($N2294/$B2294)^(365/($M2294-$A2294))-1))))</f>
        <v/>
      </c>
      <c r="P2294" s="31" t="str">
        <f>IF($B2294="","",IF($P2293="",$B2294,MAX($P2293,$B2294)))</f>
        <v/>
      </c>
      <c r="Q2294" s="32" t="str">
        <f>IF($P2294="","",$B2294/$P2294-1)</f>
        <v/>
      </c>
    </row>
    <row r="2295">
      <c r="A2295" s="11" t="n"/>
      <c r="B2295" s="29" t="n"/>
      <c r="K2295" s="30" t="str">
        <f>IF($A2295="","",EDATE($A2295,12*$E$4))</f>
        <v/>
      </c>
      <c r="L2295" s="19" t="str">
        <f>IF($K2295="","",IF($K2295&gt;MAX($A$8:$A$5007),"",IFERROR(MATCH($K2295,$A$8:$A$5007,1),"")))</f>
        <v/>
      </c>
      <c r="M2295" s="30" t="str">
        <f>IF($L2295="","",INDEX($A$8:$A$5007,$L2295))</f>
        <v/>
      </c>
      <c r="N2295" s="31" t="str">
        <f>IF($L2295="","",INDEX($B$8:$B$5007,$L2295))</f>
        <v/>
      </c>
      <c r="O2295" s="32" t="str">
        <f>IF($M2295="","",IF($K2295-$M2295&gt;7,"",IF($M2295&lt;=$A2295,"",IF(OR($B2295&lt;=0,$N2295&lt;=0),"",($N2295/$B2295)^(365/($M2295-$A2295))-1))))</f>
        <v/>
      </c>
      <c r="P2295" s="31" t="str">
        <f>IF($B2295="","",IF($P2294="",$B2295,MAX($P2294,$B2295)))</f>
        <v/>
      </c>
      <c r="Q2295" s="32" t="str">
        <f>IF($P2295="","",$B2295/$P2295-1)</f>
        <v/>
      </c>
    </row>
    <row r="2296">
      <c r="A2296" s="11" t="n"/>
      <c r="B2296" s="29" t="n"/>
      <c r="K2296" s="30" t="str">
        <f>IF($A2296="","",EDATE($A2296,12*$E$4))</f>
        <v/>
      </c>
      <c r="L2296" s="19" t="str">
        <f>IF($K2296="","",IF($K2296&gt;MAX($A$8:$A$5007),"",IFERROR(MATCH($K2296,$A$8:$A$5007,1),"")))</f>
        <v/>
      </c>
      <c r="M2296" s="30" t="str">
        <f>IF($L2296="","",INDEX($A$8:$A$5007,$L2296))</f>
        <v/>
      </c>
      <c r="N2296" s="31" t="str">
        <f>IF($L2296="","",INDEX($B$8:$B$5007,$L2296))</f>
        <v/>
      </c>
      <c r="O2296" s="32" t="str">
        <f>IF($M2296="","",IF($K2296-$M2296&gt;7,"",IF($M2296&lt;=$A2296,"",IF(OR($B2296&lt;=0,$N2296&lt;=0),"",($N2296/$B2296)^(365/($M2296-$A2296))-1))))</f>
        <v/>
      </c>
      <c r="P2296" s="31" t="str">
        <f>IF($B2296="","",IF($P2295="",$B2296,MAX($P2295,$B2296)))</f>
        <v/>
      </c>
      <c r="Q2296" s="32" t="str">
        <f>IF($P2296="","",$B2296/$P2296-1)</f>
        <v/>
      </c>
    </row>
    <row r="2297">
      <c r="A2297" s="11" t="n"/>
      <c r="B2297" s="29" t="n"/>
      <c r="K2297" s="30" t="str">
        <f>IF($A2297="","",EDATE($A2297,12*$E$4))</f>
        <v/>
      </c>
      <c r="L2297" s="19" t="str">
        <f>IF($K2297="","",IF($K2297&gt;MAX($A$8:$A$5007),"",IFERROR(MATCH($K2297,$A$8:$A$5007,1),"")))</f>
        <v/>
      </c>
      <c r="M2297" s="30" t="str">
        <f>IF($L2297="","",INDEX($A$8:$A$5007,$L2297))</f>
        <v/>
      </c>
      <c r="N2297" s="31" t="str">
        <f>IF($L2297="","",INDEX($B$8:$B$5007,$L2297))</f>
        <v/>
      </c>
      <c r="O2297" s="32" t="str">
        <f>IF($M2297="","",IF($K2297-$M2297&gt;7,"",IF($M2297&lt;=$A2297,"",IF(OR($B2297&lt;=0,$N2297&lt;=0),"",($N2297/$B2297)^(365/($M2297-$A2297))-1))))</f>
        <v/>
      </c>
      <c r="P2297" s="31" t="str">
        <f>IF($B2297="","",IF($P2296="",$B2297,MAX($P2296,$B2297)))</f>
        <v/>
      </c>
      <c r="Q2297" s="32" t="str">
        <f>IF($P2297="","",$B2297/$P2297-1)</f>
        <v/>
      </c>
    </row>
    <row r="2298">
      <c r="A2298" s="11" t="n"/>
      <c r="B2298" s="29" t="n"/>
      <c r="K2298" s="30" t="str">
        <f>IF($A2298="","",EDATE($A2298,12*$E$4))</f>
        <v/>
      </c>
      <c r="L2298" s="19" t="str">
        <f>IF($K2298="","",IF($K2298&gt;MAX($A$8:$A$5007),"",IFERROR(MATCH($K2298,$A$8:$A$5007,1),"")))</f>
        <v/>
      </c>
      <c r="M2298" s="30" t="str">
        <f>IF($L2298="","",INDEX($A$8:$A$5007,$L2298))</f>
        <v/>
      </c>
      <c r="N2298" s="31" t="str">
        <f>IF($L2298="","",INDEX($B$8:$B$5007,$L2298))</f>
        <v/>
      </c>
      <c r="O2298" s="32" t="str">
        <f>IF($M2298="","",IF($K2298-$M2298&gt;7,"",IF($M2298&lt;=$A2298,"",IF(OR($B2298&lt;=0,$N2298&lt;=0),"",($N2298/$B2298)^(365/($M2298-$A2298))-1))))</f>
        <v/>
      </c>
      <c r="P2298" s="31" t="str">
        <f>IF($B2298="","",IF($P2297="",$B2298,MAX($P2297,$B2298)))</f>
        <v/>
      </c>
      <c r="Q2298" s="32" t="str">
        <f>IF($P2298="","",$B2298/$P2298-1)</f>
        <v/>
      </c>
    </row>
    <row r="2299">
      <c r="A2299" s="11" t="n"/>
      <c r="B2299" s="29" t="n"/>
      <c r="K2299" s="30" t="str">
        <f>IF($A2299="","",EDATE($A2299,12*$E$4))</f>
        <v/>
      </c>
      <c r="L2299" s="19" t="str">
        <f>IF($K2299="","",IF($K2299&gt;MAX($A$8:$A$5007),"",IFERROR(MATCH($K2299,$A$8:$A$5007,1),"")))</f>
        <v/>
      </c>
      <c r="M2299" s="30" t="str">
        <f>IF($L2299="","",INDEX($A$8:$A$5007,$L2299))</f>
        <v/>
      </c>
      <c r="N2299" s="31" t="str">
        <f>IF($L2299="","",INDEX($B$8:$B$5007,$L2299))</f>
        <v/>
      </c>
      <c r="O2299" s="32" t="str">
        <f>IF($M2299="","",IF($K2299-$M2299&gt;7,"",IF($M2299&lt;=$A2299,"",IF(OR($B2299&lt;=0,$N2299&lt;=0),"",($N2299/$B2299)^(365/($M2299-$A2299))-1))))</f>
        <v/>
      </c>
      <c r="P2299" s="31" t="str">
        <f>IF($B2299="","",IF($P2298="",$B2299,MAX($P2298,$B2299)))</f>
        <v/>
      </c>
      <c r="Q2299" s="32" t="str">
        <f>IF($P2299="","",$B2299/$P2299-1)</f>
        <v/>
      </c>
    </row>
    <row r="2300">
      <c r="A2300" s="11" t="n"/>
      <c r="B2300" s="29" t="n"/>
      <c r="K2300" s="30" t="str">
        <f>IF($A2300="","",EDATE($A2300,12*$E$4))</f>
        <v/>
      </c>
      <c r="L2300" s="19" t="str">
        <f>IF($K2300="","",IF($K2300&gt;MAX($A$8:$A$5007),"",IFERROR(MATCH($K2300,$A$8:$A$5007,1),"")))</f>
        <v/>
      </c>
      <c r="M2300" s="30" t="str">
        <f>IF($L2300="","",INDEX($A$8:$A$5007,$L2300))</f>
        <v/>
      </c>
      <c r="N2300" s="31" t="str">
        <f>IF($L2300="","",INDEX($B$8:$B$5007,$L2300))</f>
        <v/>
      </c>
      <c r="O2300" s="32" t="str">
        <f>IF($M2300="","",IF($K2300-$M2300&gt;7,"",IF($M2300&lt;=$A2300,"",IF(OR($B2300&lt;=0,$N2300&lt;=0),"",($N2300/$B2300)^(365/($M2300-$A2300))-1))))</f>
        <v/>
      </c>
      <c r="P2300" s="31" t="str">
        <f>IF($B2300="","",IF($P2299="",$B2300,MAX($P2299,$B2300)))</f>
        <v/>
      </c>
      <c r="Q2300" s="32" t="str">
        <f>IF($P2300="","",$B2300/$P2300-1)</f>
        <v/>
      </c>
    </row>
    <row r="2301">
      <c r="A2301" s="11" t="n"/>
      <c r="B2301" s="29" t="n"/>
      <c r="K2301" s="30" t="str">
        <f>IF($A2301="","",EDATE($A2301,12*$E$4))</f>
        <v/>
      </c>
      <c r="L2301" s="19" t="str">
        <f>IF($K2301="","",IF($K2301&gt;MAX($A$8:$A$5007),"",IFERROR(MATCH($K2301,$A$8:$A$5007,1),"")))</f>
        <v/>
      </c>
      <c r="M2301" s="30" t="str">
        <f>IF($L2301="","",INDEX($A$8:$A$5007,$L2301))</f>
        <v/>
      </c>
      <c r="N2301" s="31" t="str">
        <f>IF($L2301="","",INDEX($B$8:$B$5007,$L2301))</f>
        <v/>
      </c>
      <c r="O2301" s="32" t="str">
        <f>IF($M2301="","",IF($K2301-$M2301&gt;7,"",IF($M2301&lt;=$A2301,"",IF(OR($B2301&lt;=0,$N2301&lt;=0),"",($N2301/$B2301)^(365/($M2301-$A2301))-1))))</f>
        <v/>
      </c>
      <c r="P2301" s="31" t="str">
        <f>IF($B2301="","",IF($P2300="",$B2301,MAX($P2300,$B2301)))</f>
        <v/>
      </c>
      <c r="Q2301" s="32" t="str">
        <f>IF($P2301="","",$B2301/$P2301-1)</f>
        <v/>
      </c>
    </row>
    <row r="2302">
      <c r="A2302" s="11" t="n"/>
      <c r="B2302" s="29" t="n"/>
      <c r="K2302" s="30" t="str">
        <f>IF($A2302="","",EDATE($A2302,12*$E$4))</f>
        <v/>
      </c>
      <c r="L2302" s="19" t="str">
        <f>IF($K2302="","",IF($K2302&gt;MAX($A$8:$A$5007),"",IFERROR(MATCH($K2302,$A$8:$A$5007,1),"")))</f>
        <v/>
      </c>
      <c r="M2302" s="30" t="str">
        <f>IF($L2302="","",INDEX($A$8:$A$5007,$L2302))</f>
        <v/>
      </c>
      <c r="N2302" s="31" t="str">
        <f>IF($L2302="","",INDEX($B$8:$B$5007,$L2302))</f>
        <v/>
      </c>
      <c r="O2302" s="32" t="str">
        <f>IF($M2302="","",IF($K2302-$M2302&gt;7,"",IF($M2302&lt;=$A2302,"",IF(OR($B2302&lt;=0,$N2302&lt;=0),"",($N2302/$B2302)^(365/($M2302-$A2302))-1))))</f>
        <v/>
      </c>
      <c r="P2302" s="31" t="str">
        <f>IF($B2302="","",IF($P2301="",$B2302,MAX($P2301,$B2302)))</f>
        <v/>
      </c>
      <c r="Q2302" s="32" t="str">
        <f>IF($P2302="","",$B2302/$P2302-1)</f>
        <v/>
      </c>
    </row>
    <row r="2303">
      <c r="A2303" s="11" t="n"/>
      <c r="B2303" s="29" t="n"/>
      <c r="K2303" s="30" t="str">
        <f>IF($A2303="","",EDATE($A2303,12*$E$4))</f>
        <v/>
      </c>
      <c r="L2303" s="19" t="str">
        <f>IF($K2303="","",IF($K2303&gt;MAX($A$8:$A$5007),"",IFERROR(MATCH($K2303,$A$8:$A$5007,1),"")))</f>
        <v/>
      </c>
      <c r="M2303" s="30" t="str">
        <f>IF($L2303="","",INDEX($A$8:$A$5007,$L2303))</f>
        <v/>
      </c>
      <c r="N2303" s="31" t="str">
        <f>IF($L2303="","",INDEX($B$8:$B$5007,$L2303))</f>
        <v/>
      </c>
      <c r="O2303" s="32" t="str">
        <f>IF($M2303="","",IF($K2303-$M2303&gt;7,"",IF($M2303&lt;=$A2303,"",IF(OR($B2303&lt;=0,$N2303&lt;=0),"",($N2303/$B2303)^(365/($M2303-$A2303))-1))))</f>
        <v/>
      </c>
      <c r="P2303" s="31" t="str">
        <f>IF($B2303="","",IF($P2302="",$B2303,MAX($P2302,$B2303)))</f>
        <v/>
      </c>
      <c r="Q2303" s="32" t="str">
        <f>IF($P2303="","",$B2303/$P2303-1)</f>
        <v/>
      </c>
    </row>
    <row r="2304">
      <c r="A2304" s="11" t="n"/>
      <c r="B2304" s="29" t="n"/>
      <c r="K2304" s="30" t="str">
        <f>IF($A2304="","",EDATE($A2304,12*$E$4))</f>
        <v/>
      </c>
      <c r="L2304" s="19" t="str">
        <f>IF($K2304="","",IF($K2304&gt;MAX($A$8:$A$5007),"",IFERROR(MATCH($K2304,$A$8:$A$5007,1),"")))</f>
        <v/>
      </c>
      <c r="M2304" s="30" t="str">
        <f>IF($L2304="","",INDEX($A$8:$A$5007,$L2304))</f>
        <v/>
      </c>
      <c r="N2304" s="31" t="str">
        <f>IF($L2304="","",INDEX($B$8:$B$5007,$L2304))</f>
        <v/>
      </c>
      <c r="O2304" s="32" t="str">
        <f>IF($M2304="","",IF($K2304-$M2304&gt;7,"",IF($M2304&lt;=$A2304,"",IF(OR($B2304&lt;=0,$N2304&lt;=0),"",($N2304/$B2304)^(365/($M2304-$A2304))-1))))</f>
        <v/>
      </c>
      <c r="P2304" s="31" t="str">
        <f>IF($B2304="","",IF($P2303="",$B2304,MAX($P2303,$B2304)))</f>
        <v/>
      </c>
      <c r="Q2304" s="32" t="str">
        <f>IF($P2304="","",$B2304/$P2304-1)</f>
        <v/>
      </c>
    </row>
    <row r="2305">
      <c r="A2305" s="11" t="n"/>
      <c r="B2305" s="29" t="n"/>
      <c r="K2305" s="30" t="str">
        <f>IF($A2305="","",EDATE($A2305,12*$E$4))</f>
        <v/>
      </c>
      <c r="L2305" s="19" t="str">
        <f>IF($K2305="","",IF($K2305&gt;MAX($A$8:$A$5007),"",IFERROR(MATCH($K2305,$A$8:$A$5007,1),"")))</f>
        <v/>
      </c>
      <c r="M2305" s="30" t="str">
        <f>IF($L2305="","",INDEX($A$8:$A$5007,$L2305))</f>
        <v/>
      </c>
      <c r="N2305" s="31" t="str">
        <f>IF($L2305="","",INDEX($B$8:$B$5007,$L2305))</f>
        <v/>
      </c>
      <c r="O2305" s="32" t="str">
        <f>IF($M2305="","",IF($K2305-$M2305&gt;7,"",IF($M2305&lt;=$A2305,"",IF(OR($B2305&lt;=0,$N2305&lt;=0),"",($N2305/$B2305)^(365/($M2305-$A2305))-1))))</f>
        <v/>
      </c>
      <c r="P2305" s="31" t="str">
        <f>IF($B2305="","",IF($P2304="",$B2305,MAX($P2304,$B2305)))</f>
        <v/>
      </c>
      <c r="Q2305" s="32" t="str">
        <f>IF($P2305="","",$B2305/$P2305-1)</f>
        <v/>
      </c>
    </row>
    <row r="2306">
      <c r="A2306" s="11" t="n"/>
      <c r="B2306" s="29" t="n"/>
      <c r="K2306" s="30" t="str">
        <f>IF($A2306="","",EDATE($A2306,12*$E$4))</f>
        <v/>
      </c>
      <c r="L2306" s="19" t="str">
        <f>IF($K2306="","",IF($K2306&gt;MAX($A$8:$A$5007),"",IFERROR(MATCH($K2306,$A$8:$A$5007,1),"")))</f>
        <v/>
      </c>
      <c r="M2306" s="30" t="str">
        <f>IF($L2306="","",INDEX($A$8:$A$5007,$L2306))</f>
        <v/>
      </c>
      <c r="N2306" s="31" t="str">
        <f>IF($L2306="","",INDEX($B$8:$B$5007,$L2306))</f>
        <v/>
      </c>
      <c r="O2306" s="32" t="str">
        <f>IF($M2306="","",IF($K2306-$M2306&gt;7,"",IF($M2306&lt;=$A2306,"",IF(OR($B2306&lt;=0,$N2306&lt;=0),"",($N2306/$B2306)^(365/($M2306-$A2306))-1))))</f>
        <v/>
      </c>
      <c r="P2306" s="31" t="str">
        <f>IF($B2306="","",IF($P2305="",$B2306,MAX($P2305,$B2306)))</f>
        <v/>
      </c>
      <c r="Q2306" s="32" t="str">
        <f>IF($P2306="","",$B2306/$P2306-1)</f>
        <v/>
      </c>
    </row>
    <row r="2307">
      <c r="A2307" s="11" t="n"/>
      <c r="B2307" s="29" t="n"/>
      <c r="K2307" s="30" t="str">
        <f>IF($A2307="","",EDATE($A2307,12*$E$4))</f>
        <v/>
      </c>
      <c r="L2307" s="19" t="str">
        <f>IF($K2307="","",IF($K2307&gt;MAX($A$8:$A$5007),"",IFERROR(MATCH($K2307,$A$8:$A$5007,1),"")))</f>
        <v/>
      </c>
      <c r="M2307" s="30" t="str">
        <f>IF($L2307="","",INDEX($A$8:$A$5007,$L2307))</f>
        <v/>
      </c>
      <c r="N2307" s="31" t="str">
        <f>IF($L2307="","",INDEX($B$8:$B$5007,$L2307))</f>
        <v/>
      </c>
      <c r="O2307" s="32" t="str">
        <f>IF($M2307="","",IF($K2307-$M2307&gt;7,"",IF($M2307&lt;=$A2307,"",IF(OR($B2307&lt;=0,$N2307&lt;=0),"",($N2307/$B2307)^(365/($M2307-$A2307))-1))))</f>
        <v/>
      </c>
      <c r="P2307" s="31" t="str">
        <f>IF($B2307="","",IF($P2306="",$B2307,MAX($P2306,$B2307)))</f>
        <v/>
      </c>
      <c r="Q2307" s="32" t="str">
        <f>IF($P2307="","",$B2307/$P2307-1)</f>
        <v/>
      </c>
    </row>
    <row r="2308">
      <c r="A2308" s="11" t="n"/>
      <c r="B2308" s="29" t="n"/>
      <c r="K2308" s="30" t="str">
        <f>IF($A2308="","",EDATE($A2308,12*$E$4))</f>
        <v/>
      </c>
      <c r="L2308" s="19" t="str">
        <f>IF($K2308="","",IF($K2308&gt;MAX($A$8:$A$5007),"",IFERROR(MATCH($K2308,$A$8:$A$5007,1),"")))</f>
        <v/>
      </c>
      <c r="M2308" s="30" t="str">
        <f>IF($L2308="","",INDEX($A$8:$A$5007,$L2308))</f>
        <v/>
      </c>
      <c r="N2308" s="31" t="str">
        <f>IF($L2308="","",INDEX($B$8:$B$5007,$L2308))</f>
        <v/>
      </c>
      <c r="O2308" s="32" t="str">
        <f>IF($M2308="","",IF($K2308-$M2308&gt;7,"",IF($M2308&lt;=$A2308,"",IF(OR($B2308&lt;=0,$N2308&lt;=0),"",($N2308/$B2308)^(365/($M2308-$A2308))-1))))</f>
        <v/>
      </c>
      <c r="P2308" s="31" t="str">
        <f>IF($B2308="","",IF($P2307="",$B2308,MAX($P2307,$B2308)))</f>
        <v/>
      </c>
      <c r="Q2308" s="32" t="str">
        <f>IF($P2308="","",$B2308/$P2308-1)</f>
        <v/>
      </c>
    </row>
    <row r="2309">
      <c r="A2309" s="11" t="n"/>
      <c r="B2309" s="29" t="n"/>
      <c r="K2309" s="30" t="str">
        <f>IF($A2309="","",EDATE($A2309,12*$E$4))</f>
        <v/>
      </c>
      <c r="L2309" s="19" t="str">
        <f>IF($K2309="","",IF($K2309&gt;MAX($A$8:$A$5007),"",IFERROR(MATCH($K2309,$A$8:$A$5007,1),"")))</f>
        <v/>
      </c>
      <c r="M2309" s="30" t="str">
        <f>IF($L2309="","",INDEX($A$8:$A$5007,$L2309))</f>
        <v/>
      </c>
      <c r="N2309" s="31" t="str">
        <f>IF($L2309="","",INDEX($B$8:$B$5007,$L2309))</f>
        <v/>
      </c>
      <c r="O2309" s="32" t="str">
        <f>IF($M2309="","",IF($K2309-$M2309&gt;7,"",IF($M2309&lt;=$A2309,"",IF(OR($B2309&lt;=0,$N2309&lt;=0),"",($N2309/$B2309)^(365/($M2309-$A2309))-1))))</f>
        <v/>
      </c>
      <c r="P2309" s="31" t="str">
        <f>IF($B2309="","",IF($P2308="",$B2309,MAX($P2308,$B2309)))</f>
        <v/>
      </c>
      <c r="Q2309" s="32" t="str">
        <f>IF($P2309="","",$B2309/$P2309-1)</f>
        <v/>
      </c>
    </row>
    <row r="2310">
      <c r="A2310" s="11" t="n"/>
      <c r="B2310" s="29" t="n"/>
      <c r="K2310" s="30" t="str">
        <f>IF($A2310="","",EDATE($A2310,12*$E$4))</f>
        <v/>
      </c>
      <c r="L2310" s="19" t="str">
        <f>IF($K2310="","",IF($K2310&gt;MAX($A$8:$A$5007),"",IFERROR(MATCH($K2310,$A$8:$A$5007,1),"")))</f>
        <v/>
      </c>
      <c r="M2310" s="30" t="str">
        <f>IF($L2310="","",INDEX($A$8:$A$5007,$L2310))</f>
        <v/>
      </c>
      <c r="N2310" s="31" t="str">
        <f>IF($L2310="","",INDEX($B$8:$B$5007,$L2310))</f>
        <v/>
      </c>
      <c r="O2310" s="32" t="str">
        <f>IF($M2310="","",IF($K2310-$M2310&gt;7,"",IF($M2310&lt;=$A2310,"",IF(OR($B2310&lt;=0,$N2310&lt;=0),"",($N2310/$B2310)^(365/($M2310-$A2310))-1))))</f>
        <v/>
      </c>
      <c r="P2310" s="31" t="str">
        <f>IF($B2310="","",IF($P2309="",$B2310,MAX($P2309,$B2310)))</f>
        <v/>
      </c>
      <c r="Q2310" s="32" t="str">
        <f>IF($P2310="","",$B2310/$P2310-1)</f>
        <v/>
      </c>
    </row>
    <row r="2311">
      <c r="A2311" s="11" t="n"/>
      <c r="B2311" s="29" t="n"/>
      <c r="K2311" s="30" t="str">
        <f>IF($A2311="","",EDATE($A2311,12*$E$4))</f>
        <v/>
      </c>
      <c r="L2311" s="19" t="str">
        <f>IF($K2311="","",IF($K2311&gt;MAX($A$8:$A$5007),"",IFERROR(MATCH($K2311,$A$8:$A$5007,1),"")))</f>
        <v/>
      </c>
      <c r="M2311" s="30" t="str">
        <f>IF($L2311="","",INDEX($A$8:$A$5007,$L2311))</f>
        <v/>
      </c>
      <c r="N2311" s="31" t="str">
        <f>IF($L2311="","",INDEX($B$8:$B$5007,$L2311))</f>
        <v/>
      </c>
      <c r="O2311" s="32" t="str">
        <f>IF($M2311="","",IF($K2311-$M2311&gt;7,"",IF($M2311&lt;=$A2311,"",IF(OR($B2311&lt;=0,$N2311&lt;=0),"",($N2311/$B2311)^(365/($M2311-$A2311))-1))))</f>
        <v/>
      </c>
      <c r="P2311" s="31" t="str">
        <f>IF($B2311="","",IF($P2310="",$B2311,MAX($P2310,$B2311)))</f>
        <v/>
      </c>
      <c r="Q2311" s="32" t="str">
        <f>IF($P2311="","",$B2311/$P2311-1)</f>
        <v/>
      </c>
    </row>
    <row r="2312">
      <c r="A2312" s="11" t="n"/>
      <c r="B2312" s="29" t="n"/>
      <c r="K2312" s="30" t="str">
        <f>IF($A2312="","",EDATE($A2312,12*$E$4))</f>
        <v/>
      </c>
      <c r="L2312" s="19" t="str">
        <f>IF($K2312="","",IF($K2312&gt;MAX($A$8:$A$5007),"",IFERROR(MATCH($K2312,$A$8:$A$5007,1),"")))</f>
        <v/>
      </c>
      <c r="M2312" s="30" t="str">
        <f>IF($L2312="","",INDEX($A$8:$A$5007,$L2312))</f>
        <v/>
      </c>
      <c r="N2312" s="31" t="str">
        <f>IF($L2312="","",INDEX($B$8:$B$5007,$L2312))</f>
        <v/>
      </c>
      <c r="O2312" s="32" t="str">
        <f>IF($M2312="","",IF($K2312-$M2312&gt;7,"",IF($M2312&lt;=$A2312,"",IF(OR($B2312&lt;=0,$N2312&lt;=0),"",($N2312/$B2312)^(365/($M2312-$A2312))-1))))</f>
        <v/>
      </c>
      <c r="P2312" s="31" t="str">
        <f>IF($B2312="","",IF($P2311="",$B2312,MAX($P2311,$B2312)))</f>
        <v/>
      </c>
      <c r="Q2312" s="32" t="str">
        <f>IF($P2312="","",$B2312/$P2312-1)</f>
        <v/>
      </c>
    </row>
    <row r="2313">
      <c r="A2313" s="11" t="n"/>
      <c r="B2313" s="29" t="n"/>
      <c r="K2313" s="30" t="str">
        <f>IF($A2313="","",EDATE($A2313,12*$E$4))</f>
        <v/>
      </c>
      <c r="L2313" s="19" t="str">
        <f>IF($K2313="","",IF($K2313&gt;MAX($A$8:$A$5007),"",IFERROR(MATCH($K2313,$A$8:$A$5007,1),"")))</f>
        <v/>
      </c>
      <c r="M2313" s="30" t="str">
        <f>IF($L2313="","",INDEX($A$8:$A$5007,$L2313))</f>
        <v/>
      </c>
      <c r="N2313" s="31" t="str">
        <f>IF($L2313="","",INDEX($B$8:$B$5007,$L2313))</f>
        <v/>
      </c>
      <c r="O2313" s="32" t="str">
        <f>IF($M2313="","",IF($K2313-$M2313&gt;7,"",IF($M2313&lt;=$A2313,"",IF(OR($B2313&lt;=0,$N2313&lt;=0),"",($N2313/$B2313)^(365/($M2313-$A2313))-1))))</f>
        <v/>
      </c>
      <c r="P2313" s="31" t="str">
        <f>IF($B2313="","",IF($P2312="",$B2313,MAX($P2312,$B2313)))</f>
        <v/>
      </c>
      <c r="Q2313" s="32" t="str">
        <f>IF($P2313="","",$B2313/$P2313-1)</f>
        <v/>
      </c>
    </row>
    <row r="2314">
      <c r="A2314" s="11" t="n"/>
      <c r="B2314" s="29" t="n"/>
      <c r="K2314" s="30" t="str">
        <f>IF($A2314="","",EDATE($A2314,12*$E$4))</f>
        <v/>
      </c>
      <c r="L2314" s="19" t="str">
        <f>IF($K2314="","",IF($K2314&gt;MAX($A$8:$A$5007),"",IFERROR(MATCH($K2314,$A$8:$A$5007,1),"")))</f>
        <v/>
      </c>
      <c r="M2314" s="30" t="str">
        <f>IF($L2314="","",INDEX($A$8:$A$5007,$L2314))</f>
        <v/>
      </c>
      <c r="N2314" s="31" t="str">
        <f>IF($L2314="","",INDEX($B$8:$B$5007,$L2314))</f>
        <v/>
      </c>
      <c r="O2314" s="32" t="str">
        <f>IF($M2314="","",IF($K2314-$M2314&gt;7,"",IF($M2314&lt;=$A2314,"",IF(OR($B2314&lt;=0,$N2314&lt;=0),"",($N2314/$B2314)^(365/($M2314-$A2314))-1))))</f>
        <v/>
      </c>
      <c r="P2314" s="31" t="str">
        <f>IF($B2314="","",IF($P2313="",$B2314,MAX($P2313,$B2314)))</f>
        <v/>
      </c>
      <c r="Q2314" s="32" t="str">
        <f>IF($P2314="","",$B2314/$P2314-1)</f>
        <v/>
      </c>
    </row>
    <row r="2315">
      <c r="A2315" s="11" t="n"/>
      <c r="B2315" s="29" t="n"/>
      <c r="K2315" s="30" t="str">
        <f>IF($A2315="","",EDATE($A2315,12*$E$4))</f>
        <v/>
      </c>
      <c r="L2315" s="19" t="str">
        <f>IF($K2315="","",IF($K2315&gt;MAX($A$8:$A$5007),"",IFERROR(MATCH($K2315,$A$8:$A$5007,1),"")))</f>
        <v/>
      </c>
      <c r="M2315" s="30" t="str">
        <f>IF($L2315="","",INDEX($A$8:$A$5007,$L2315))</f>
        <v/>
      </c>
      <c r="N2315" s="31" t="str">
        <f>IF($L2315="","",INDEX($B$8:$B$5007,$L2315))</f>
        <v/>
      </c>
      <c r="O2315" s="32" t="str">
        <f>IF($M2315="","",IF($K2315-$M2315&gt;7,"",IF($M2315&lt;=$A2315,"",IF(OR($B2315&lt;=0,$N2315&lt;=0),"",($N2315/$B2315)^(365/($M2315-$A2315))-1))))</f>
        <v/>
      </c>
      <c r="P2315" s="31" t="str">
        <f>IF($B2315="","",IF($P2314="",$B2315,MAX($P2314,$B2315)))</f>
        <v/>
      </c>
      <c r="Q2315" s="32" t="str">
        <f>IF($P2315="","",$B2315/$P2315-1)</f>
        <v/>
      </c>
    </row>
    <row r="2316">
      <c r="A2316" s="11" t="n"/>
      <c r="B2316" s="29" t="n"/>
      <c r="K2316" s="30" t="str">
        <f>IF($A2316="","",EDATE($A2316,12*$E$4))</f>
        <v/>
      </c>
      <c r="L2316" s="19" t="str">
        <f>IF($K2316="","",IF($K2316&gt;MAX($A$8:$A$5007),"",IFERROR(MATCH($K2316,$A$8:$A$5007,1),"")))</f>
        <v/>
      </c>
      <c r="M2316" s="30" t="str">
        <f>IF($L2316="","",INDEX($A$8:$A$5007,$L2316))</f>
        <v/>
      </c>
      <c r="N2316" s="31" t="str">
        <f>IF($L2316="","",INDEX($B$8:$B$5007,$L2316))</f>
        <v/>
      </c>
      <c r="O2316" s="32" t="str">
        <f>IF($M2316="","",IF($K2316-$M2316&gt;7,"",IF($M2316&lt;=$A2316,"",IF(OR($B2316&lt;=0,$N2316&lt;=0),"",($N2316/$B2316)^(365/($M2316-$A2316))-1))))</f>
        <v/>
      </c>
      <c r="P2316" s="31" t="str">
        <f>IF($B2316="","",IF($P2315="",$B2316,MAX($P2315,$B2316)))</f>
        <v/>
      </c>
      <c r="Q2316" s="32" t="str">
        <f>IF($P2316="","",$B2316/$P2316-1)</f>
        <v/>
      </c>
    </row>
    <row r="2317">
      <c r="A2317" s="11" t="n"/>
      <c r="B2317" s="29" t="n"/>
      <c r="K2317" s="30" t="str">
        <f>IF($A2317="","",EDATE($A2317,12*$E$4))</f>
        <v/>
      </c>
      <c r="L2317" s="19" t="str">
        <f>IF($K2317="","",IF($K2317&gt;MAX($A$8:$A$5007),"",IFERROR(MATCH($K2317,$A$8:$A$5007,1),"")))</f>
        <v/>
      </c>
      <c r="M2317" s="30" t="str">
        <f>IF($L2317="","",INDEX($A$8:$A$5007,$L2317))</f>
        <v/>
      </c>
      <c r="N2317" s="31" t="str">
        <f>IF($L2317="","",INDEX($B$8:$B$5007,$L2317))</f>
        <v/>
      </c>
      <c r="O2317" s="32" t="str">
        <f>IF($M2317="","",IF($K2317-$M2317&gt;7,"",IF($M2317&lt;=$A2317,"",IF(OR($B2317&lt;=0,$N2317&lt;=0),"",($N2317/$B2317)^(365/($M2317-$A2317))-1))))</f>
        <v/>
      </c>
      <c r="P2317" s="31" t="str">
        <f>IF($B2317="","",IF($P2316="",$B2317,MAX($P2316,$B2317)))</f>
        <v/>
      </c>
      <c r="Q2317" s="32" t="str">
        <f>IF($P2317="","",$B2317/$P2317-1)</f>
        <v/>
      </c>
    </row>
    <row r="2318">
      <c r="A2318" s="11" t="n"/>
      <c r="B2318" s="29" t="n"/>
      <c r="K2318" s="30" t="str">
        <f>IF($A2318="","",EDATE($A2318,12*$E$4))</f>
        <v/>
      </c>
      <c r="L2318" s="19" t="str">
        <f>IF($K2318="","",IF($K2318&gt;MAX($A$8:$A$5007),"",IFERROR(MATCH($K2318,$A$8:$A$5007,1),"")))</f>
        <v/>
      </c>
      <c r="M2318" s="30" t="str">
        <f>IF($L2318="","",INDEX($A$8:$A$5007,$L2318))</f>
        <v/>
      </c>
      <c r="N2318" s="31" t="str">
        <f>IF($L2318="","",INDEX($B$8:$B$5007,$L2318))</f>
        <v/>
      </c>
      <c r="O2318" s="32" t="str">
        <f>IF($M2318="","",IF($K2318-$M2318&gt;7,"",IF($M2318&lt;=$A2318,"",IF(OR($B2318&lt;=0,$N2318&lt;=0),"",($N2318/$B2318)^(365/($M2318-$A2318))-1))))</f>
        <v/>
      </c>
      <c r="P2318" s="31" t="str">
        <f>IF($B2318="","",IF($P2317="",$B2318,MAX($P2317,$B2318)))</f>
        <v/>
      </c>
      <c r="Q2318" s="32" t="str">
        <f>IF($P2318="","",$B2318/$P2318-1)</f>
        <v/>
      </c>
    </row>
    <row r="2319">
      <c r="A2319" s="11" t="n"/>
      <c r="B2319" s="29" t="n"/>
      <c r="K2319" s="30" t="str">
        <f>IF($A2319="","",EDATE($A2319,12*$E$4))</f>
        <v/>
      </c>
      <c r="L2319" s="19" t="str">
        <f>IF($K2319="","",IF($K2319&gt;MAX($A$8:$A$5007),"",IFERROR(MATCH($K2319,$A$8:$A$5007,1),"")))</f>
        <v/>
      </c>
      <c r="M2319" s="30" t="str">
        <f>IF($L2319="","",INDEX($A$8:$A$5007,$L2319))</f>
        <v/>
      </c>
      <c r="N2319" s="31" t="str">
        <f>IF($L2319="","",INDEX($B$8:$B$5007,$L2319))</f>
        <v/>
      </c>
      <c r="O2319" s="32" t="str">
        <f>IF($M2319="","",IF($K2319-$M2319&gt;7,"",IF($M2319&lt;=$A2319,"",IF(OR($B2319&lt;=0,$N2319&lt;=0),"",($N2319/$B2319)^(365/($M2319-$A2319))-1))))</f>
        <v/>
      </c>
      <c r="P2319" s="31" t="str">
        <f>IF($B2319="","",IF($P2318="",$B2319,MAX($P2318,$B2319)))</f>
        <v/>
      </c>
      <c r="Q2319" s="32" t="str">
        <f>IF($P2319="","",$B2319/$P2319-1)</f>
        <v/>
      </c>
    </row>
    <row r="2320">
      <c r="A2320" s="11" t="n"/>
      <c r="B2320" s="29" t="n"/>
      <c r="K2320" s="30" t="str">
        <f>IF($A2320="","",EDATE($A2320,12*$E$4))</f>
        <v/>
      </c>
      <c r="L2320" s="19" t="str">
        <f>IF($K2320="","",IF($K2320&gt;MAX($A$8:$A$5007),"",IFERROR(MATCH($K2320,$A$8:$A$5007,1),"")))</f>
        <v/>
      </c>
      <c r="M2320" s="30" t="str">
        <f>IF($L2320="","",INDEX($A$8:$A$5007,$L2320))</f>
        <v/>
      </c>
      <c r="N2320" s="31" t="str">
        <f>IF($L2320="","",INDEX($B$8:$B$5007,$L2320))</f>
        <v/>
      </c>
      <c r="O2320" s="32" t="str">
        <f>IF($M2320="","",IF($K2320-$M2320&gt;7,"",IF($M2320&lt;=$A2320,"",IF(OR($B2320&lt;=0,$N2320&lt;=0),"",($N2320/$B2320)^(365/($M2320-$A2320))-1))))</f>
        <v/>
      </c>
      <c r="P2320" s="31" t="str">
        <f>IF($B2320="","",IF($P2319="",$B2320,MAX($P2319,$B2320)))</f>
        <v/>
      </c>
      <c r="Q2320" s="32" t="str">
        <f>IF($P2320="","",$B2320/$P2320-1)</f>
        <v/>
      </c>
    </row>
    <row r="2321">
      <c r="A2321" s="11" t="n"/>
      <c r="B2321" s="29" t="n"/>
      <c r="K2321" s="30" t="str">
        <f>IF($A2321="","",EDATE($A2321,12*$E$4))</f>
        <v/>
      </c>
      <c r="L2321" s="19" t="str">
        <f>IF($K2321="","",IF($K2321&gt;MAX($A$8:$A$5007),"",IFERROR(MATCH($K2321,$A$8:$A$5007,1),"")))</f>
        <v/>
      </c>
      <c r="M2321" s="30" t="str">
        <f>IF($L2321="","",INDEX($A$8:$A$5007,$L2321))</f>
        <v/>
      </c>
      <c r="N2321" s="31" t="str">
        <f>IF($L2321="","",INDEX($B$8:$B$5007,$L2321))</f>
        <v/>
      </c>
      <c r="O2321" s="32" t="str">
        <f>IF($M2321="","",IF($K2321-$M2321&gt;7,"",IF($M2321&lt;=$A2321,"",IF(OR($B2321&lt;=0,$N2321&lt;=0),"",($N2321/$B2321)^(365/($M2321-$A2321))-1))))</f>
        <v/>
      </c>
      <c r="P2321" s="31" t="str">
        <f>IF($B2321="","",IF($P2320="",$B2321,MAX($P2320,$B2321)))</f>
        <v/>
      </c>
      <c r="Q2321" s="32" t="str">
        <f>IF($P2321="","",$B2321/$P2321-1)</f>
        <v/>
      </c>
    </row>
    <row r="2322">
      <c r="A2322" s="11" t="n"/>
      <c r="B2322" s="29" t="n"/>
      <c r="K2322" s="30" t="str">
        <f>IF($A2322="","",EDATE($A2322,12*$E$4))</f>
        <v/>
      </c>
      <c r="L2322" s="19" t="str">
        <f>IF($K2322="","",IF($K2322&gt;MAX($A$8:$A$5007),"",IFERROR(MATCH($K2322,$A$8:$A$5007,1),"")))</f>
        <v/>
      </c>
      <c r="M2322" s="30" t="str">
        <f>IF($L2322="","",INDEX($A$8:$A$5007,$L2322))</f>
        <v/>
      </c>
      <c r="N2322" s="31" t="str">
        <f>IF($L2322="","",INDEX($B$8:$B$5007,$L2322))</f>
        <v/>
      </c>
      <c r="O2322" s="32" t="str">
        <f>IF($M2322="","",IF($K2322-$M2322&gt;7,"",IF($M2322&lt;=$A2322,"",IF(OR($B2322&lt;=0,$N2322&lt;=0),"",($N2322/$B2322)^(365/($M2322-$A2322))-1))))</f>
        <v/>
      </c>
      <c r="P2322" s="31" t="str">
        <f>IF($B2322="","",IF($P2321="",$B2322,MAX($P2321,$B2322)))</f>
        <v/>
      </c>
      <c r="Q2322" s="32" t="str">
        <f>IF($P2322="","",$B2322/$P2322-1)</f>
        <v/>
      </c>
    </row>
    <row r="2323">
      <c r="A2323" s="11" t="n"/>
      <c r="B2323" s="29" t="n"/>
      <c r="K2323" s="30" t="str">
        <f>IF($A2323="","",EDATE($A2323,12*$E$4))</f>
        <v/>
      </c>
      <c r="L2323" s="19" t="str">
        <f>IF($K2323="","",IF($K2323&gt;MAX($A$8:$A$5007),"",IFERROR(MATCH($K2323,$A$8:$A$5007,1),"")))</f>
        <v/>
      </c>
      <c r="M2323" s="30" t="str">
        <f>IF($L2323="","",INDEX($A$8:$A$5007,$L2323))</f>
        <v/>
      </c>
      <c r="N2323" s="31" t="str">
        <f>IF($L2323="","",INDEX($B$8:$B$5007,$L2323))</f>
        <v/>
      </c>
      <c r="O2323" s="32" t="str">
        <f>IF($M2323="","",IF($K2323-$M2323&gt;7,"",IF($M2323&lt;=$A2323,"",IF(OR($B2323&lt;=0,$N2323&lt;=0),"",($N2323/$B2323)^(365/($M2323-$A2323))-1))))</f>
        <v/>
      </c>
      <c r="P2323" s="31" t="str">
        <f>IF($B2323="","",IF($P2322="",$B2323,MAX($P2322,$B2323)))</f>
        <v/>
      </c>
      <c r="Q2323" s="32" t="str">
        <f>IF($P2323="","",$B2323/$P2323-1)</f>
        <v/>
      </c>
    </row>
    <row r="2324">
      <c r="A2324" s="11" t="n"/>
      <c r="B2324" s="29" t="n"/>
      <c r="K2324" s="30" t="str">
        <f>IF($A2324="","",EDATE($A2324,12*$E$4))</f>
        <v/>
      </c>
      <c r="L2324" s="19" t="str">
        <f>IF($K2324="","",IF($K2324&gt;MAX($A$8:$A$5007),"",IFERROR(MATCH($K2324,$A$8:$A$5007,1),"")))</f>
        <v/>
      </c>
      <c r="M2324" s="30" t="str">
        <f>IF($L2324="","",INDEX($A$8:$A$5007,$L2324))</f>
        <v/>
      </c>
      <c r="N2324" s="31" t="str">
        <f>IF($L2324="","",INDEX($B$8:$B$5007,$L2324))</f>
        <v/>
      </c>
      <c r="O2324" s="32" t="str">
        <f>IF($M2324="","",IF($K2324-$M2324&gt;7,"",IF($M2324&lt;=$A2324,"",IF(OR($B2324&lt;=0,$N2324&lt;=0),"",($N2324/$B2324)^(365/($M2324-$A2324))-1))))</f>
        <v/>
      </c>
      <c r="P2324" s="31" t="str">
        <f>IF($B2324="","",IF($P2323="",$B2324,MAX($P2323,$B2324)))</f>
        <v/>
      </c>
      <c r="Q2324" s="32" t="str">
        <f>IF($P2324="","",$B2324/$P2324-1)</f>
        <v/>
      </c>
    </row>
    <row r="2325">
      <c r="A2325" s="11" t="n"/>
      <c r="B2325" s="29" t="n"/>
      <c r="K2325" s="30" t="str">
        <f>IF($A2325="","",EDATE($A2325,12*$E$4))</f>
        <v/>
      </c>
      <c r="L2325" s="19" t="str">
        <f>IF($K2325="","",IF($K2325&gt;MAX($A$8:$A$5007),"",IFERROR(MATCH($K2325,$A$8:$A$5007,1),"")))</f>
        <v/>
      </c>
      <c r="M2325" s="30" t="str">
        <f>IF($L2325="","",INDEX($A$8:$A$5007,$L2325))</f>
        <v/>
      </c>
      <c r="N2325" s="31" t="str">
        <f>IF($L2325="","",INDEX($B$8:$B$5007,$L2325))</f>
        <v/>
      </c>
      <c r="O2325" s="32" t="str">
        <f>IF($M2325="","",IF($K2325-$M2325&gt;7,"",IF($M2325&lt;=$A2325,"",IF(OR($B2325&lt;=0,$N2325&lt;=0),"",($N2325/$B2325)^(365/($M2325-$A2325))-1))))</f>
        <v/>
      </c>
      <c r="P2325" s="31" t="str">
        <f>IF($B2325="","",IF($P2324="",$B2325,MAX($P2324,$B2325)))</f>
        <v/>
      </c>
      <c r="Q2325" s="32" t="str">
        <f>IF($P2325="","",$B2325/$P2325-1)</f>
        <v/>
      </c>
    </row>
    <row r="2326">
      <c r="A2326" s="11" t="n"/>
      <c r="B2326" s="29" t="n"/>
      <c r="K2326" s="30" t="str">
        <f>IF($A2326="","",EDATE($A2326,12*$E$4))</f>
        <v/>
      </c>
      <c r="L2326" s="19" t="str">
        <f>IF($K2326="","",IF($K2326&gt;MAX($A$8:$A$5007),"",IFERROR(MATCH($K2326,$A$8:$A$5007,1),"")))</f>
        <v/>
      </c>
      <c r="M2326" s="30" t="str">
        <f>IF($L2326="","",INDEX($A$8:$A$5007,$L2326))</f>
        <v/>
      </c>
      <c r="N2326" s="31" t="str">
        <f>IF($L2326="","",INDEX($B$8:$B$5007,$L2326))</f>
        <v/>
      </c>
      <c r="O2326" s="32" t="str">
        <f>IF($M2326="","",IF($K2326-$M2326&gt;7,"",IF($M2326&lt;=$A2326,"",IF(OR($B2326&lt;=0,$N2326&lt;=0),"",($N2326/$B2326)^(365/($M2326-$A2326))-1))))</f>
        <v/>
      </c>
      <c r="P2326" s="31" t="str">
        <f>IF($B2326="","",IF($P2325="",$B2326,MAX($P2325,$B2326)))</f>
        <v/>
      </c>
      <c r="Q2326" s="32" t="str">
        <f>IF($P2326="","",$B2326/$P2326-1)</f>
        <v/>
      </c>
    </row>
    <row r="2327">
      <c r="A2327" s="11" t="n"/>
      <c r="B2327" s="29" t="n"/>
      <c r="K2327" s="30" t="str">
        <f>IF($A2327="","",EDATE($A2327,12*$E$4))</f>
        <v/>
      </c>
      <c r="L2327" s="19" t="str">
        <f>IF($K2327="","",IF($K2327&gt;MAX($A$8:$A$5007),"",IFERROR(MATCH($K2327,$A$8:$A$5007,1),"")))</f>
        <v/>
      </c>
      <c r="M2327" s="30" t="str">
        <f>IF($L2327="","",INDEX($A$8:$A$5007,$L2327))</f>
        <v/>
      </c>
      <c r="N2327" s="31" t="str">
        <f>IF($L2327="","",INDEX($B$8:$B$5007,$L2327))</f>
        <v/>
      </c>
      <c r="O2327" s="32" t="str">
        <f>IF($M2327="","",IF($K2327-$M2327&gt;7,"",IF($M2327&lt;=$A2327,"",IF(OR($B2327&lt;=0,$N2327&lt;=0),"",($N2327/$B2327)^(365/($M2327-$A2327))-1))))</f>
        <v/>
      </c>
      <c r="P2327" s="31" t="str">
        <f>IF($B2327="","",IF($P2326="",$B2327,MAX($P2326,$B2327)))</f>
        <v/>
      </c>
      <c r="Q2327" s="32" t="str">
        <f>IF($P2327="","",$B2327/$P2327-1)</f>
        <v/>
      </c>
    </row>
    <row r="2328">
      <c r="A2328" s="11" t="n"/>
      <c r="B2328" s="29" t="n"/>
      <c r="K2328" s="30" t="str">
        <f>IF($A2328="","",EDATE($A2328,12*$E$4))</f>
        <v/>
      </c>
      <c r="L2328" s="19" t="str">
        <f>IF($K2328="","",IF($K2328&gt;MAX($A$8:$A$5007),"",IFERROR(MATCH($K2328,$A$8:$A$5007,1),"")))</f>
        <v/>
      </c>
      <c r="M2328" s="30" t="str">
        <f>IF($L2328="","",INDEX($A$8:$A$5007,$L2328))</f>
        <v/>
      </c>
      <c r="N2328" s="31" t="str">
        <f>IF($L2328="","",INDEX($B$8:$B$5007,$L2328))</f>
        <v/>
      </c>
      <c r="O2328" s="32" t="str">
        <f>IF($M2328="","",IF($K2328-$M2328&gt;7,"",IF($M2328&lt;=$A2328,"",IF(OR($B2328&lt;=0,$N2328&lt;=0),"",($N2328/$B2328)^(365/($M2328-$A2328))-1))))</f>
        <v/>
      </c>
      <c r="P2328" s="31" t="str">
        <f>IF($B2328="","",IF($P2327="",$B2328,MAX($P2327,$B2328)))</f>
        <v/>
      </c>
      <c r="Q2328" s="32" t="str">
        <f>IF($P2328="","",$B2328/$P2328-1)</f>
        <v/>
      </c>
    </row>
    <row r="2329">
      <c r="A2329" s="11" t="n"/>
      <c r="B2329" s="29" t="n"/>
      <c r="K2329" s="30" t="str">
        <f>IF($A2329="","",EDATE($A2329,12*$E$4))</f>
        <v/>
      </c>
      <c r="L2329" s="19" t="str">
        <f>IF($K2329="","",IF($K2329&gt;MAX($A$8:$A$5007),"",IFERROR(MATCH($K2329,$A$8:$A$5007,1),"")))</f>
        <v/>
      </c>
      <c r="M2329" s="30" t="str">
        <f>IF($L2329="","",INDEX($A$8:$A$5007,$L2329))</f>
        <v/>
      </c>
      <c r="N2329" s="31" t="str">
        <f>IF($L2329="","",INDEX($B$8:$B$5007,$L2329))</f>
        <v/>
      </c>
      <c r="O2329" s="32" t="str">
        <f>IF($M2329="","",IF($K2329-$M2329&gt;7,"",IF($M2329&lt;=$A2329,"",IF(OR($B2329&lt;=0,$N2329&lt;=0),"",($N2329/$B2329)^(365/($M2329-$A2329))-1))))</f>
        <v/>
      </c>
      <c r="P2329" s="31" t="str">
        <f>IF($B2329="","",IF($P2328="",$B2329,MAX($P2328,$B2329)))</f>
        <v/>
      </c>
      <c r="Q2329" s="32" t="str">
        <f>IF($P2329="","",$B2329/$P2329-1)</f>
        <v/>
      </c>
    </row>
    <row r="2330">
      <c r="A2330" s="11" t="n"/>
      <c r="B2330" s="29" t="n"/>
      <c r="K2330" s="30" t="str">
        <f>IF($A2330="","",EDATE($A2330,12*$E$4))</f>
        <v/>
      </c>
      <c r="L2330" s="19" t="str">
        <f>IF($K2330="","",IF($K2330&gt;MAX($A$8:$A$5007),"",IFERROR(MATCH($K2330,$A$8:$A$5007,1),"")))</f>
        <v/>
      </c>
      <c r="M2330" s="30" t="str">
        <f>IF($L2330="","",INDEX($A$8:$A$5007,$L2330))</f>
        <v/>
      </c>
      <c r="N2330" s="31" t="str">
        <f>IF($L2330="","",INDEX($B$8:$B$5007,$L2330))</f>
        <v/>
      </c>
      <c r="O2330" s="32" t="str">
        <f>IF($M2330="","",IF($K2330-$M2330&gt;7,"",IF($M2330&lt;=$A2330,"",IF(OR($B2330&lt;=0,$N2330&lt;=0),"",($N2330/$B2330)^(365/($M2330-$A2330))-1))))</f>
        <v/>
      </c>
      <c r="P2330" s="31" t="str">
        <f>IF($B2330="","",IF($P2329="",$B2330,MAX($P2329,$B2330)))</f>
        <v/>
      </c>
      <c r="Q2330" s="32" t="str">
        <f>IF($P2330="","",$B2330/$P2330-1)</f>
        <v/>
      </c>
    </row>
    <row r="2331">
      <c r="A2331" s="11" t="n"/>
      <c r="B2331" s="29" t="n"/>
      <c r="K2331" s="30" t="str">
        <f>IF($A2331="","",EDATE($A2331,12*$E$4))</f>
        <v/>
      </c>
      <c r="L2331" s="19" t="str">
        <f>IF($K2331="","",IF($K2331&gt;MAX($A$8:$A$5007),"",IFERROR(MATCH($K2331,$A$8:$A$5007,1),"")))</f>
        <v/>
      </c>
      <c r="M2331" s="30" t="str">
        <f>IF($L2331="","",INDEX($A$8:$A$5007,$L2331))</f>
        <v/>
      </c>
      <c r="N2331" s="31" t="str">
        <f>IF($L2331="","",INDEX($B$8:$B$5007,$L2331))</f>
        <v/>
      </c>
      <c r="O2331" s="32" t="str">
        <f>IF($M2331="","",IF($K2331-$M2331&gt;7,"",IF($M2331&lt;=$A2331,"",IF(OR($B2331&lt;=0,$N2331&lt;=0),"",($N2331/$B2331)^(365/($M2331-$A2331))-1))))</f>
        <v/>
      </c>
      <c r="P2331" s="31" t="str">
        <f>IF($B2331="","",IF($P2330="",$B2331,MAX($P2330,$B2331)))</f>
        <v/>
      </c>
      <c r="Q2331" s="32" t="str">
        <f>IF($P2331="","",$B2331/$P2331-1)</f>
        <v/>
      </c>
    </row>
    <row r="2332">
      <c r="A2332" s="11" t="n"/>
      <c r="B2332" s="29" t="n"/>
      <c r="K2332" s="30" t="str">
        <f>IF($A2332="","",EDATE($A2332,12*$E$4))</f>
        <v/>
      </c>
      <c r="L2332" s="19" t="str">
        <f>IF($K2332="","",IF($K2332&gt;MAX($A$8:$A$5007),"",IFERROR(MATCH($K2332,$A$8:$A$5007,1),"")))</f>
        <v/>
      </c>
      <c r="M2332" s="30" t="str">
        <f>IF($L2332="","",INDEX($A$8:$A$5007,$L2332))</f>
        <v/>
      </c>
      <c r="N2332" s="31" t="str">
        <f>IF($L2332="","",INDEX($B$8:$B$5007,$L2332))</f>
        <v/>
      </c>
      <c r="O2332" s="32" t="str">
        <f>IF($M2332="","",IF($K2332-$M2332&gt;7,"",IF($M2332&lt;=$A2332,"",IF(OR($B2332&lt;=0,$N2332&lt;=0),"",($N2332/$B2332)^(365/($M2332-$A2332))-1))))</f>
        <v/>
      </c>
      <c r="P2332" s="31" t="str">
        <f>IF($B2332="","",IF($P2331="",$B2332,MAX($P2331,$B2332)))</f>
        <v/>
      </c>
      <c r="Q2332" s="32" t="str">
        <f>IF($P2332="","",$B2332/$P2332-1)</f>
        <v/>
      </c>
    </row>
    <row r="2333">
      <c r="A2333" s="11" t="n"/>
      <c r="B2333" s="29" t="n"/>
      <c r="K2333" s="30" t="str">
        <f>IF($A2333="","",EDATE($A2333,12*$E$4))</f>
        <v/>
      </c>
      <c r="L2333" s="19" t="str">
        <f>IF($K2333="","",IF($K2333&gt;MAX($A$8:$A$5007),"",IFERROR(MATCH($K2333,$A$8:$A$5007,1),"")))</f>
        <v/>
      </c>
      <c r="M2333" s="30" t="str">
        <f>IF($L2333="","",INDEX($A$8:$A$5007,$L2333))</f>
        <v/>
      </c>
      <c r="N2333" s="31" t="str">
        <f>IF($L2333="","",INDEX($B$8:$B$5007,$L2333))</f>
        <v/>
      </c>
      <c r="O2333" s="32" t="str">
        <f>IF($M2333="","",IF($K2333-$M2333&gt;7,"",IF($M2333&lt;=$A2333,"",IF(OR($B2333&lt;=0,$N2333&lt;=0),"",($N2333/$B2333)^(365/($M2333-$A2333))-1))))</f>
        <v/>
      </c>
      <c r="P2333" s="31" t="str">
        <f>IF($B2333="","",IF($P2332="",$B2333,MAX($P2332,$B2333)))</f>
        <v/>
      </c>
      <c r="Q2333" s="32" t="str">
        <f>IF($P2333="","",$B2333/$P2333-1)</f>
        <v/>
      </c>
    </row>
    <row r="2334">
      <c r="A2334" s="11" t="n"/>
      <c r="B2334" s="29" t="n"/>
      <c r="K2334" s="30" t="str">
        <f>IF($A2334="","",EDATE($A2334,12*$E$4))</f>
        <v/>
      </c>
      <c r="L2334" s="19" t="str">
        <f>IF($K2334="","",IF($K2334&gt;MAX($A$8:$A$5007),"",IFERROR(MATCH($K2334,$A$8:$A$5007,1),"")))</f>
        <v/>
      </c>
      <c r="M2334" s="30" t="str">
        <f>IF($L2334="","",INDEX($A$8:$A$5007,$L2334))</f>
        <v/>
      </c>
      <c r="N2334" s="31" t="str">
        <f>IF($L2334="","",INDEX($B$8:$B$5007,$L2334))</f>
        <v/>
      </c>
      <c r="O2334" s="32" t="str">
        <f>IF($M2334="","",IF($K2334-$M2334&gt;7,"",IF($M2334&lt;=$A2334,"",IF(OR($B2334&lt;=0,$N2334&lt;=0),"",($N2334/$B2334)^(365/($M2334-$A2334))-1))))</f>
        <v/>
      </c>
      <c r="P2334" s="31" t="str">
        <f>IF($B2334="","",IF($P2333="",$B2334,MAX($P2333,$B2334)))</f>
        <v/>
      </c>
      <c r="Q2334" s="32" t="str">
        <f>IF($P2334="","",$B2334/$P2334-1)</f>
        <v/>
      </c>
    </row>
    <row r="2335">
      <c r="A2335" s="11" t="n"/>
      <c r="B2335" s="29" t="n"/>
      <c r="K2335" s="30" t="str">
        <f>IF($A2335="","",EDATE($A2335,12*$E$4))</f>
        <v/>
      </c>
      <c r="L2335" s="19" t="str">
        <f>IF($K2335="","",IF($K2335&gt;MAX($A$8:$A$5007),"",IFERROR(MATCH($K2335,$A$8:$A$5007,1),"")))</f>
        <v/>
      </c>
      <c r="M2335" s="30" t="str">
        <f>IF($L2335="","",INDEX($A$8:$A$5007,$L2335))</f>
        <v/>
      </c>
      <c r="N2335" s="31" t="str">
        <f>IF($L2335="","",INDEX($B$8:$B$5007,$L2335))</f>
        <v/>
      </c>
      <c r="O2335" s="32" t="str">
        <f>IF($M2335="","",IF($K2335-$M2335&gt;7,"",IF($M2335&lt;=$A2335,"",IF(OR($B2335&lt;=0,$N2335&lt;=0),"",($N2335/$B2335)^(365/($M2335-$A2335))-1))))</f>
        <v/>
      </c>
      <c r="P2335" s="31" t="str">
        <f>IF($B2335="","",IF($P2334="",$B2335,MAX($P2334,$B2335)))</f>
        <v/>
      </c>
      <c r="Q2335" s="32" t="str">
        <f>IF($P2335="","",$B2335/$P2335-1)</f>
        <v/>
      </c>
    </row>
    <row r="2336">
      <c r="A2336" s="11" t="n"/>
      <c r="B2336" s="29" t="n"/>
      <c r="K2336" s="30" t="str">
        <f>IF($A2336="","",EDATE($A2336,12*$E$4))</f>
        <v/>
      </c>
      <c r="L2336" s="19" t="str">
        <f>IF($K2336="","",IF($K2336&gt;MAX($A$8:$A$5007),"",IFERROR(MATCH($K2336,$A$8:$A$5007,1),"")))</f>
        <v/>
      </c>
      <c r="M2336" s="30" t="str">
        <f>IF($L2336="","",INDEX($A$8:$A$5007,$L2336))</f>
        <v/>
      </c>
      <c r="N2336" s="31" t="str">
        <f>IF($L2336="","",INDEX($B$8:$B$5007,$L2336))</f>
        <v/>
      </c>
      <c r="O2336" s="32" t="str">
        <f>IF($M2336="","",IF($K2336-$M2336&gt;7,"",IF($M2336&lt;=$A2336,"",IF(OR($B2336&lt;=0,$N2336&lt;=0),"",($N2336/$B2336)^(365/($M2336-$A2336))-1))))</f>
        <v/>
      </c>
      <c r="P2336" s="31" t="str">
        <f>IF($B2336="","",IF($P2335="",$B2336,MAX($P2335,$B2336)))</f>
        <v/>
      </c>
      <c r="Q2336" s="32" t="str">
        <f>IF($P2336="","",$B2336/$P2336-1)</f>
        <v/>
      </c>
    </row>
    <row r="2337">
      <c r="A2337" s="11" t="n"/>
      <c r="B2337" s="29" t="n"/>
      <c r="K2337" s="30" t="str">
        <f>IF($A2337="","",EDATE($A2337,12*$E$4))</f>
        <v/>
      </c>
      <c r="L2337" s="19" t="str">
        <f>IF($K2337="","",IF($K2337&gt;MAX($A$8:$A$5007),"",IFERROR(MATCH($K2337,$A$8:$A$5007,1),"")))</f>
        <v/>
      </c>
      <c r="M2337" s="30" t="str">
        <f>IF($L2337="","",INDEX($A$8:$A$5007,$L2337))</f>
        <v/>
      </c>
      <c r="N2337" s="31" t="str">
        <f>IF($L2337="","",INDEX($B$8:$B$5007,$L2337))</f>
        <v/>
      </c>
      <c r="O2337" s="32" t="str">
        <f>IF($M2337="","",IF($K2337-$M2337&gt;7,"",IF($M2337&lt;=$A2337,"",IF(OR($B2337&lt;=0,$N2337&lt;=0),"",($N2337/$B2337)^(365/($M2337-$A2337))-1))))</f>
        <v/>
      </c>
      <c r="P2337" s="31" t="str">
        <f>IF($B2337="","",IF($P2336="",$B2337,MAX($P2336,$B2337)))</f>
        <v/>
      </c>
      <c r="Q2337" s="32" t="str">
        <f>IF($P2337="","",$B2337/$P2337-1)</f>
        <v/>
      </c>
    </row>
    <row r="2338">
      <c r="A2338" s="11" t="n"/>
      <c r="B2338" s="29" t="n"/>
      <c r="K2338" s="30" t="str">
        <f>IF($A2338="","",EDATE($A2338,12*$E$4))</f>
        <v/>
      </c>
      <c r="L2338" s="19" t="str">
        <f>IF($K2338="","",IF($K2338&gt;MAX($A$8:$A$5007),"",IFERROR(MATCH($K2338,$A$8:$A$5007,1),"")))</f>
        <v/>
      </c>
      <c r="M2338" s="30" t="str">
        <f>IF($L2338="","",INDEX($A$8:$A$5007,$L2338))</f>
        <v/>
      </c>
      <c r="N2338" s="31" t="str">
        <f>IF($L2338="","",INDEX($B$8:$B$5007,$L2338))</f>
        <v/>
      </c>
      <c r="O2338" s="32" t="str">
        <f>IF($M2338="","",IF($K2338-$M2338&gt;7,"",IF($M2338&lt;=$A2338,"",IF(OR($B2338&lt;=0,$N2338&lt;=0),"",($N2338/$B2338)^(365/($M2338-$A2338))-1))))</f>
        <v/>
      </c>
      <c r="P2338" s="31" t="str">
        <f>IF($B2338="","",IF($P2337="",$B2338,MAX($P2337,$B2338)))</f>
        <v/>
      </c>
      <c r="Q2338" s="32" t="str">
        <f>IF($P2338="","",$B2338/$P2338-1)</f>
        <v/>
      </c>
    </row>
    <row r="2339">
      <c r="A2339" s="11" t="n"/>
      <c r="B2339" s="29" t="n"/>
      <c r="K2339" s="30" t="str">
        <f>IF($A2339="","",EDATE($A2339,12*$E$4))</f>
        <v/>
      </c>
      <c r="L2339" s="19" t="str">
        <f>IF($K2339="","",IF($K2339&gt;MAX($A$8:$A$5007),"",IFERROR(MATCH($K2339,$A$8:$A$5007,1),"")))</f>
        <v/>
      </c>
      <c r="M2339" s="30" t="str">
        <f>IF($L2339="","",INDEX($A$8:$A$5007,$L2339))</f>
        <v/>
      </c>
      <c r="N2339" s="31" t="str">
        <f>IF($L2339="","",INDEX($B$8:$B$5007,$L2339))</f>
        <v/>
      </c>
      <c r="O2339" s="32" t="str">
        <f>IF($M2339="","",IF($K2339-$M2339&gt;7,"",IF($M2339&lt;=$A2339,"",IF(OR($B2339&lt;=0,$N2339&lt;=0),"",($N2339/$B2339)^(365/($M2339-$A2339))-1))))</f>
        <v/>
      </c>
      <c r="P2339" s="31" t="str">
        <f>IF($B2339="","",IF($P2338="",$B2339,MAX($P2338,$B2339)))</f>
        <v/>
      </c>
      <c r="Q2339" s="32" t="str">
        <f>IF($P2339="","",$B2339/$P2339-1)</f>
        <v/>
      </c>
    </row>
    <row r="2340">
      <c r="A2340" s="11" t="n"/>
      <c r="B2340" s="29" t="n"/>
      <c r="K2340" s="30" t="str">
        <f>IF($A2340="","",EDATE($A2340,12*$E$4))</f>
        <v/>
      </c>
      <c r="L2340" s="19" t="str">
        <f>IF($K2340="","",IF($K2340&gt;MAX($A$8:$A$5007),"",IFERROR(MATCH($K2340,$A$8:$A$5007,1),"")))</f>
        <v/>
      </c>
      <c r="M2340" s="30" t="str">
        <f>IF($L2340="","",INDEX($A$8:$A$5007,$L2340))</f>
        <v/>
      </c>
      <c r="N2340" s="31" t="str">
        <f>IF($L2340="","",INDEX($B$8:$B$5007,$L2340))</f>
        <v/>
      </c>
      <c r="O2340" s="32" t="str">
        <f>IF($M2340="","",IF($K2340-$M2340&gt;7,"",IF($M2340&lt;=$A2340,"",IF(OR($B2340&lt;=0,$N2340&lt;=0),"",($N2340/$B2340)^(365/($M2340-$A2340))-1))))</f>
        <v/>
      </c>
      <c r="P2340" s="31" t="str">
        <f>IF($B2340="","",IF($P2339="",$B2340,MAX($P2339,$B2340)))</f>
        <v/>
      </c>
      <c r="Q2340" s="32" t="str">
        <f>IF($P2340="","",$B2340/$P2340-1)</f>
        <v/>
      </c>
    </row>
    <row r="2341">
      <c r="A2341" s="11" t="n"/>
      <c r="B2341" s="29" t="n"/>
      <c r="K2341" s="30" t="str">
        <f>IF($A2341="","",EDATE($A2341,12*$E$4))</f>
        <v/>
      </c>
      <c r="L2341" s="19" t="str">
        <f>IF($K2341="","",IF($K2341&gt;MAX($A$8:$A$5007),"",IFERROR(MATCH($K2341,$A$8:$A$5007,1),"")))</f>
        <v/>
      </c>
      <c r="M2341" s="30" t="str">
        <f>IF($L2341="","",INDEX($A$8:$A$5007,$L2341))</f>
        <v/>
      </c>
      <c r="N2341" s="31" t="str">
        <f>IF($L2341="","",INDEX($B$8:$B$5007,$L2341))</f>
        <v/>
      </c>
      <c r="O2341" s="32" t="str">
        <f>IF($M2341="","",IF($K2341-$M2341&gt;7,"",IF($M2341&lt;=$A2341,"",IF(OR($B2341&lt;=0,$N2341&lt;=0),"",($N2341/$B2341)^(365/($M2341-$A2341))-1))))</f>
        <v/>
      </c>
      <c r="P2341" s="31" t="str">
        <f>IF($B2341="","",IF($P2340="",$B2341,MAX($P2340,$B2341)))</f>
        <v/>
      </c>
      <c r="Q2341" s="32" t="str">
        <f>IF($P2341="","",$B2341/$P2341-1)</f>
        <v/>
      </c>
    </row>
    <row r="2342">
      <c r="A2342" s="11" t="n"/>
      <c r="B2342" s="29" t="n"/>
      <c r="K2342" s="30" t="str">
        <f>IF($A2342="","",EDATE($A2342,12*$E$4))</f>
        <v/>
      </c>
      <c r="L2342" s="19" t="str">
        <f>IF($K2342="","",IF($K2342&gt;MAX($A$8:$A$5007),"",IFERROR(MATCH($K2342,$A$8:$A$5007,1),"")))</f>
        <v/>
      </c>
      <c r="M2342" s="30" t="str">
        <f>IF($L2342="","",INDEX($A$8:$A$5007,$L2342))</f>
        <v/>
      </c>
      <c r="N2342" s="31" t="str">
        <f>IF($L2342="","",INDEX($B$8:$B$5007,$L2342))</f>
        <v/>
      </c>
      <c r="O2342" s="32" t="str">
        <f>IF($M2342="","",IF($K2342-$M2342&gt;7,"",IF($M2342&lt;=$A2342,"",IF(OR($B2342&lt;=0,$N2342&lt;=0),"",($N2342/$B2342)^(365/($M2342-$A2342))-1))))</f>
        <v/>
      </c>
      <c r="P2342" s="31" t="str">
        <f>IF($B2342="","",IF($P2341="",$B2342,MAX($P2341,$B2342)))</f>
        <v/>
      </c>
      <c r="Q2342" s="32" t="str">
        <f>IF($P2342="","",$B2342/$P2342-1)</f>
        <v/>
      </c>
    </row>
    <row r="2343">
      <c r="A2343" s="11" t="n"/>
      <c r="B2343" s="29" t="n"/>
      <c r="K2343" s="30" t="str">
        <f>IF($A2343="","",EDATE($A2343,12*$E$4))</f>
        <v/>
      </c>
      <c r="L2343" s="19" t="str">
        <f>IF($K2343="","",IF($K2343&gt;MAX($A$8:$A$5007),"",IFERROR(MATCH($K2343,$A$8:$A$5007,1),"")))</f>
        <v/>
      </c>
      <c r="M2343" s="30" t="str">
        <f>IF($L2343="","",INDEX($A$8:$A$5007,$L2343))</f>
        <v/>
      </c>
      <c r="N2343" s="31" t="str">
        <f>IF($L2343="","",INDEX($B$8:$B$5007,$L2343))</f>
        <v/>
      </c>
      <c r="O2343" s="32" t="str">
        <f>IF($M2343="","",IF($K2343-$M2343&gt;7,"",IF($M2343&lt;=$A2343,"",IF(OR($B2343&lt;=0,$N2343&lt;=0),"",($N2343/$B2343)^(365/($M2343-$A2343))-1))))</f>
        <v/>
      </c>
      <c r="P2343" s="31" t="str">
        <f>IF($B2343="","",IF($P2342="",$B2343,MAX($P2342,$B2343)))</f>
        <v/>
      </c>
      <c r="Q2343" s="32" t="str">
        <f>IF($P2343="","",$B2343/$P2343-1)</f>
        <v/>
      </c>
    </row>
    <row r="2344">
      <c r="A2344" s="11" t="n"/>
      <c r="B2344" s="29" t="n"/>
      <c r="K2344" s="30" t="str">
        <f>IF($A2344="","",EDATE($A2344,12*$E$4))</f>
        <v/>
      </c>
      <c r="L2344" s="19" t="str">
        <f>IF($K2344="","",IF($K2344&gt;MAX($A$8:$A$5007),"",IFERROR(MATCH($K2344,$A$8:$A$5007,1),"")))</f>
        <v/>
      </c>
      <c r="M2344" s="30" t="str">
        <f>IF($L2344="","",INDEX($A$8:$A$5007,$L2344))</f>
        <v/>
      </c>
      <c r="N2344" s="31" t="str">
        <f>IF($L2344="","",INDEX($B$8:$B$5007,$L2344))</f>
        <v/>
      </c>
      <c r="O2344" s="32" t="str">
        <f>IF($M2344="","",IF($K2344-$M2344&gt;7,"",IF($M2344&lt;=$A2344,"",IF(OR($B2344&lt;=0,$N2344&lt;=0),"",($N2344/$B2344)^(365/($M2344-$A2344))-1))))</f>
        <v/>
      </c>
      <c r="P2344" s="31" t="str">
        <f>IF($B2344="","",IF($P2343="",$B2344,MAX($P2343,$B2344)))</f>
        <v/>
      </c>
      <c r="Q2344" s="32" t="str">
        <f>IF($P2344="","",$B2344/$P2344-1)</f>
        <v/>
      </c>
    </row>
    <row r="2345">
      <c r="A2345" s="11" t="n"/>
      <c r="B2345" s="29" t="n"/>
      <c r="K2345" s="30" t="str">
        <f>IF($A2345="","",EDATE($A2345,12*$E$4))</f>
        <v/>
      </c>
      <c r="L2345" s="19" t="str">
        <f>IF($K2345="","",IF($K2345&gt;MAX($A$8:$A$5007),"",IFERROR(MATCH($K2345,$A$8:$A$5007,1),"")))</f>
        <v/>
      </c>
      <c r="M2345" s="30" t="str">
        <f>IF($L2345="","",INDEX($A$8:$A$5007,$L2345))</f>
        <v/>
      </c>
      <c r="N2345" s="31" t="str">
        <f>IF($L2345="","",INDEX($B$8:$B$5007,$L2345))</f>
        <v/>
      </c>
      <c r="O2345" s="32" t="str">
        <f>IF($M2345="","",IF($K2345-$M2345&gt;7,"",IF($M2345&lt;=$A2345,"",IF(OR($B2345&lt;=0,$N2345&lt;=0),"",($N2345/$B2345)^(365/($M2345-$A2345))-1))))</f>
        <v/>
      </c>
      <c r="P2345" s="31" t="str">
        <f>IF($B2345="","",IF($P2344="",$B2345,MAX($P2344,$B2345)))</f>
        <v/>
      </c>
      <c r="Q2345" s="32" t="str">
        <f>IF($P2345="","",$B2345/$P2345-1)</f>
        <v/>
      </c>
    </row>
    <row r="2346">
      <c r="A2346" s="11" t="n"/>
      <c r="B2346" s="29" t="n"/>
      <c r="K2346" s="30" t="str">
        <f>IF($A2346="","",EDATE($A2346,12*$E$4))</f>
        <v/>
      </c>
      <c r="L2346" s="19" t="str">
        <f>IF($K2346="","",IF($K2346&gt;MAX($A$8:$A$5007),"",IFERROR(MATCH($K2346,$A$8:$A$5007,1),"")))</f>
        <v/>
      </c>
      <c r="M2346" s="30" t="str">
        <f>IF($L2346="","",INDEX($A$8:$A$5007,$L2346))</f>
        <v/>
      </c>
      <c r="N2346" s="31" t="str">
        <f>IF($L2346="","",INDEX($B$8:$B$5007,$L2346))</f>
        <v/>
      </c>
      <c r="O2346" s="32" t="str">
        <f>IF($M2346="","",IF($K2346-$M2346&gt;7,"",IF($M2346&lt;=$A2346,"",IF(OR($B2346&lt;=0,$N2346&lt;=0),"",($N2346/$B2346)^(365/($M2346-$A2346))-1))))</f>
        <v/>
      </c>
      <c r="P2346" s="31" t="str">
        <f>IF($B2346="","",IF($P2345="",$B2346,MAX($P2345,$B2346)))</f>
        <v/>
      </c>
      <c r="Q2346" s="32" t="str">
        <f>IF($P2346="","",$B2346/$P2346-1)</f>
        <v/>
      </c>
    </row>
    <row r="2347">
      <c r="A2347" s="11" t="n"/>
      <c r="B2347" s="29" t="n"/>
      <c r="K2347" s="30" t="str">
        <f>IF($A2347="","",EDATE($A2347,12*$E$4))</f>
        <v/>
      </c>
      <c r="L2347" s="19" t="str">
        <f>IF($K2347="","",IF($K2347&gt;MAX($A$8:$A$5007),"",IFERROR(MATCH($K2347,$A$8:$A$5007,1),"")))</f>
        <v/>
      </c>
      <c r="M2347" s="30" t="str">
        <f>IF($L2347="","",INDEX($A$8:$A$5007,$L2347))</f>
        <v/>
      </c>
      <c r="N2347" s="31" t="str">
        <f>IF($L2347="","",INDEX($B$8:$B$5007,$L2347))</f>
        <v/>
      </c>
      <c r="O2347" s="32" t="str">
        <f>IF($M2347="","",IF($K2347-$M2347&gt;7,"",IF($M2347&lt;=$A2347,"",IF(OR($B2347&lt;=0,$N2347&lt;=0),"",($N2347/$B2347)^(365/($M2347-$A2347))-1))))</f>
        <v/>
      </c>
      <c r="P2347" s="31" t="str">
        <f>IF($B2347="","",IF($P2346="",$B2347,MAX($P2346,$B2347)))</f>
        <v/>
      </c>
      <c r="Q2347" s="32" t="str">
        <f>IF($P2347="","",$B2347/$P2347-1)</f>
        <v/>
      </c>
    </row>
    <row r="2348">
      <c r="A2348" s="11" t="n"/>
      <c r="B2348" s="29" t="n"/>
      <c r="K2348" s="30" t="str">
        <f>IF($A2348="","",EDATE($A2348,12*$E$4))</f>
        <v/>
      </c>
      <c r="L2348" s="19" t="str">
        <f>IF($K2348="","",IF($K2348&gt;MAX($A$8:$A$5007),"",IFERROR(MATCH($K2348,$A$8:$A$5007,1),"")))</f>
        <v/>
      </c>
      <c r="M2348" s="30" t="str">
        <f>IF($L2348="","",INDEX($A$8:$A$5007,$L2348))</f>
        <v/>
      </c>
      <c r="N2348" s="31" t="str">
        <f>IF($L2348="","",INDEX($B$8:$B$5007,$L2348))</f>
        <v/>
      </c>
      <c r="O2348" s="32" t="str">
        <f>IF($M2348="","",IF($K2348-$M2348&gt;7,"",IF($M2348&lt;=$A2348,"",IF(OR($B2348&lt;=0,$N2348&lt;=0),"",($N2348/$B2348)^(365/($M2348-$A2348))-1))))</f>
        <v/>
      </c>
      <c r="P2348" s="31" t="str">
        <f>IF($B2348="","",IF($P2347="",$B2348,MAX($P2347,$B2348)))</f>
        <v/>
      </c>
      <c r="Q2348" s="32" t="str">
        <f>IF($P2348="","",$B2348/$P2348-1)</f>
        <v/>
      </c>
    </row>
    <row r="2349">
      <c r="A2349" s="11" t="n"/>
      <c r="B2349" s="29" t="n"/>
      <c r="K2349" s="30" t="str">
        <f>IF($A2349="","",EDATE($A2349,12*$E$4))</f>
        <v/>
      </c>
      <c r="L2349" s="19" t="str">
        <f>IF($K2349="","",IF($K2349&gt;MAX($A$8:$A$5007),"",IFERROR(MATCH($K2349,$A$8:$A$5007,1),"")))</f>
        <v/>
      </c>
      <c r="M2349" s="30" t="str">
        <f>IF($L2349="","",INDEX($A$8:$A$5007,$L2349))</f>
        <v/>
      </c>
      <c r="N2349" s="31" t="str">
        <f>IF($L2349="","",INDEX($B$8:$B$5007,$L2349))</f>
        <v/>
      </c>
      <c r="O2349" s="32" t="str">
        <f>IF($M2349="","",IF($K2349-$M2349&gt;7,"",IF($M2349&lt;=$A2349,"",IF(OR($B2349&lt;=0,$N2349&lt;=0),"",($N2349/$B2349)^(365/($M2349-$A2349))-1))))</f>
        <v/>
      </c>
      <c r="P2349" s="31" t="str">
        <f>IF($B2349="","",IF($P2348="",$B2349,MAX($P2348,$B2349)))</f>
        <v/>
      </c>
      <c r="Q2349" s="32" t="str">
        <f>IF($P2349="","",$B2349/$P2349-1)</f>
        <v/>
      </c>
    </row>
    <row r="2350">
      <c r="A2350" s="11" t="n"/>
      <c r="B2350" s="29" t="n"/>
      <c r="K2350" s="30" t="str">
        <f>IF($A2350="","",EDATE($A2350,12*$E$4))</f>
        <v/>
      </c>
      <c r="L2350" s="19" t="str">
        <f>IF($K2350="","",IF($K2350&gt;MAX($A$8:$A$5007),"",IFERROR(MATCH($K2350,$A$8:$A$5007,1),"")))</f>
        <v/>
      </c>
      <c r="M2350" s="30" t="str">
        <f>IF($L2350="","",INDEX($A$8:$A$5007,$L2350))</f>
        <v/>
      </c>
      <c r="N2350" s="31" t="str">
        <f>IF($L2350="","",INDEX($B$8:$B$5007,$L2350))</f>
        <v/>
      </c>
      <c r="O2350" s="32" t="str">
        <f>IF($M2350="","",IF($K2350-$M2350&gt;7,"",IF($M2350&lt;=$A2350,"",IF(OR($B2350&lt;=0,$N2350&lt;=0),"",($N2350/$B2350)^(365/($M2350-$A2350))-1))))</f>
        <v/>
      </c>
      <c r="P2350" s="31" t="str">
        <f>IF($B2350="","",IF($P2349="",$B2350,MAX($P2349,$B2350)))</f>
        <v/>
      </c>
      <c r="Q2350" s="32" t="str">
        <f>IF($P2350="","",$B2350/$P2350-1)</f>
        <v/>
      </c>
    </row>
    <row r="2351">
      <c r="A2351" s="11" t="n"/>
      <c r="B2351" s="29" t="n"/>
      <c r="K2351" s="30" t="str">
        <f>IF($A2351="","",EDATE($A2351,12*$E$4))</f>
        <v/>
      </c>
      <c r="L2351" s="19" t="str">
        <f>IF($K2351="","",IF($K2351&gt;MAX($A$8:$A$5007),"",IFERROR(MATCH($K2351,$A$8:$A$5007,1),"")))</f>
        <v/>
      </c>
      <c r="M2351" s="30" t="str">
        <f>IF($L2351="","",INDEX($A$8:$A$5007,$L2351))</f>
        <v/>
      </c>
      <c r="N2351" s="31" t="str">
        <f>IF($L2351="","",INDEX($B$8:$B$5007,$L2351))</f>
        <v/>
      </c>
      <c r="O2351" s="32" t="str">
        <f>IF($M2351="","",IF($K2351-$M2351&gt;7,"",IF($M2351&lt;=$A2351,"",IF(OR($B2351&lt;=0,$N2351&lt;=0),"",($N2351/$B2351)^(365/($M2351-$A2351))-1))))</f>
        <v/>
      </c>
      <c r="P2351" s="31" t="str">
        <f>IF($B2351="","",IF($P2350="",$B2351,MAX($P2350,$B2351)))</f>
        <v/>
      </c>
      <c r="Q2351" s="32" t="str">
        <f>IF($P2351="","",$B2351/$P2351-1)</f>
        <v/>
      </c>
    </row>
    <row r="2352">
      <c r="A2352" s="11" t="n"/>
      <c r="B2352" s="29" t="n"/>
      <c r="K2352" s="30" t="str">
        <f>IF($A2352="","",EDATE($A2352,12*$E$4))</f>
        <v/>
      </c>
      <c r="L2352" s="19" t="str">
        <f>IF($K2352="","",IF($K2352&gt;MAX($A$8:$A$5007),"",IFERROR(MATCH($K2352,$A$8:$A$5007,1),"")))</f>
        <v/>
      </c>
      <c r="M2352" s="30" t="str">
        <f>IF($L2352="","",INDEX($A$8:$A$5007,$L2352))</f>
        <v/>
      </c>
      <c r="N2352" s="31" t="str">
        <f>IF($L2352="","",INDEX($B$8:$B$5007,$L2352))</f>
        <v/>
      </c>
      <c r="O2352" s="32" t="str">
        <f>IF($M2352="","",IF($K2352-$M2352&gt;7,"",IF($M2352&lt;=$A2352,"",IF(OR($B2352&lt;=0,$N2352&lt;=0),"",($N2352/$B2352)^(365/($M2352-$A2352))-1))))</f>
        <v/>
      </c>
      <c r="P2352" s="31" t="str">
        <f>IF($B2352="","",IF($P2351="",$B2352,MAX($P2351,$B2352)))</f>
        <v/>
      </c>
      <c r="Q2352" s="32" t="str">
        <f>IF($P2352="","",$B2352/$P2352-1)</f>
        <v/>
      </c>
    </row>
    <row r="2353">
      <c r="A2353" s="11" t="n"/>
      <c r="B2353" s="29" t="n"/>
      <c r="K2353" s="30" t="str">
        <f>IF($A2353="","",EDATE($A2353,12*$E$4))</f>
        <v/>
      </c>
      <c r="L2353" s="19" t="str">
        <f>IF($K2353="","",IF($K2353&gt;MAX($A$8:$A$5007),"",IFERROR(MATCH($K2353,$A$8:$A$5007,1),"")))</f>
        <v/>
      </c>
      <c r="M2353" s="30" t="str">
        <f>IF($L2353="","",INDEX($A$8:$A$5007,$L2353))</f>
        <v/>
      </c>
      <c r="N2353" s="31" t="str">
        <f>IF($L2353="","",INDEX($B$8:$B$5007,$L2353))</f>
        <v/>
      </c>
      <c r="O2353" s="32" t="str">
        <f>IF($M2353="","",IF($K2353-$M2353&gt;7,"",IF($M2353&lt;=$A2353,"",IF(OR($B2353&lt;=0,$N2353&lt;=0),"",($N2353/$B2353)^(365/($M2353-$A2353))-1))))</f>
        <v/>
      </c>
      <c r="P2353" s="31" t="str">
        <f>IF($B2353="","",IF($P2352="",$B2353,MAX($P2352,$B2353)))</f>
        <v/>
      </c>
      <c r="Q2353" s="32" t="str">
        <f>IF($P2353="","",$B2353/$P2353-1)</f>
        <v/>
      </c>
    </row>
    <row r="2354">
      <c r="A2354" s="11" t="n"/>
      <c r="B2354" s="29" t="n"/>
      <c r="K2354" s="30" t="str">
        <f>IF($A2354="","",EDATE($A2354,12*$E$4))</f>
        <v/>
      </c>
      <c r="L2354" s="19" t="str">
        <f>IF($K2354="","",IF($K2354&gt;MAX($A$8:$A$5007),"",IFERROR(MATCH($K2354,$A$8:$A$5007,1),"")))</f>
        <v/>
      </c>
      <c r="M2354" s="30" t="str">
        <f>IF($L2354="","",INDEX($A$8:$A$5007,$L2354))</f>
        <v/>
      </c>
      <c r="N2354" s="31" t="str">
        <f>IF($L2354="","",INDEX($B$8:$B$5007,$L2354))</f>
        <v/>
      </c>
      <c r="O2354" s="32" t="str">
        <f>IF($M2354="","",IF($K2354-$M2354&gt;7,"",IF($M2354&lt;=$A2354,"",IF(OR($B2354&lt;=0,$N2354&lt;=0),"",($N2354/$B2354)^(365/($M2354-$A2354))-1))))</f>
        <v/>
      </c>
      <c r="P2354" s="31" t="str">
        <f>IF($B2354="","",IF($P2353="",$B2354,MAX($P2353,$B2354)))</f>
        <v/>
      </c>
      <c r="Q2354" s="32" t="str">
        <f>IF($P2354="","",$B2354/$P2354-1)</f>
        <v/>
      </c>
    </row>
    <row r="2355">
      <c r="A2355" s="11" t="n"/>
      <c r="B2355" s="29" t="n"/>
      <c r="K2355" s="30" t="str">
        <f>IF($A2355="","",EDATE($A2355,12*$E$4))</f>
        <v/>
      </c>
      <c r="L2355" s="19" t="str">
        <f>IF($K2355="","",IF($K2355&gt;MAX($A$8:$A$5007),"",IFERROR(MATCH($K2355,$A$8:$A$5007,1),"")))</f>
        <v/>
      </c>
      <c r="M2355" s="30" t="str">
        <f>IF($L2355="","",INDEX($A$8:$A$5007,$L2355))</f>
        <v/>
      </c>
      <c r="N2355" s="31" t="str">
        <f>IF($L2355="","",INDEX($B$8:$B$5007,$L2355))</f>
        <v/>
      </c>
      <c r="O2355" s="32" t="str">
        <f>IF($M2355="","",IF($K2355-$M2355&gt;7,"",IF($M2355&lt;=$A2355,"",IF(OR($B2355&lt;=0,$N2355&lt;=0),"",($N2355/$B2355)^(365/($M2355-$A2355))-1))))</f>
        <v/>
      </c>
      <c r="P2355" s="31" t="str">
        <f>IF($B2355="","",IF($P2354="",$B2355,MAX($P2354,$B2355)))</f>
        <v/>
      </c>
      <c r="Q2355" s="32" t="str">
        <f>IF($P2355="","",$B2355/$P2355-1)</f>
        <v/>
      </c>
    </row>
    <row r="2356">
      <c r="A2356" s="11" t="n"/>
      <c r="B2356" s="29" t="n"/>
      <c r="K2356" s="30" t="str">
        <f>IF($A2356="","",EDATE($A2356,12*$E$4))</f>
        <v/>
      </c>
      <c r="L2356" s="19" t="str">
        <f>IF($K2356="","",IF($K2356&gt;MAX($A$8:$A$5007),"",IFERROR(MATCH($K2356,$A$8:$A$5007,1),"")))</f>
        <v/>
      </c>
      <c r="M2356" s="30" t="str">
        <f>IF($L2356="","",INDEX($A$8:$A$5007,$L2356))</f>
        <v/>
      </c>
      <c r="N2356" s="31" t="str">
        <f>IF($L2356="","",INDEX($B$8:$B$5007,$L2356))</f>
        <v/>
      </c>
      <c r="O2356" s="32" t="str">
        <f>IF($M2356="","",IF($K2356-$M2356&gt;7,"",IF($M2356&lt;=$A2356,"",IF(OR($B2356&lt;=0,$N2356&lt;=0),"",($N2356/$B2356)^(365/($M2356-$A2356))-1))))</f>
        <v/>
      </c>
      <c r="P2356" s="31" t="str">
        <f>IF($B2356="","",IF($P2355="",$B2356,MAX($P2355,$B2356)))</f>
        <v/>
      </c>
      <c r="Q2356" s="32" t="str">
        <f>IF($P2356="","",$B2356/$P2356-1)</f>
        <v/>
      </c>
    </row>
    <row r="2357">
      <c r="A2357" s="11" t="n"/>
      <c r="B2357" s="29" t="n"/>
      <c r="K2357" s="30" t="str">
        <f>IF($A2357="","",EDATE($A2357,12*$E$4))</f>
        <v/>
      </c>
      <c r="L2357" s="19" t="str">
        <f>IF($K2357="","",IF($K2357&gt;MAX($A$8:$A$5007),"",IFERROR(MATCH($K2357,$A$8:$A$5007,1),"")))</f>
        <v/>
      </c>
      <c r="M2357" s="30" t="str">
        <f>IF($L2357="","",INDEX($A$8:$A$5007,$L2357))</f>
        <v/>
      </c>
      <c r="N2357" s="31" t="str">
        <f>IF($L2357="","",INDEX($B$8:$B$5007,$L2357))</f>
        <v/>
      </c>
      <c r="O2357" s="32" t="str">
        <f>IF($M2357="","",IF($K2357-$M2357&gt;7,"",IF($M2357&lt;=$A2357,"",IF(OR($B2357&lt;=0,$N2357&lt;=0),"",($N2357/$B2357)^(365/($M2357-$A2357))-1))))</f>
        <v/>
      </c>
      <c r="P2357" s="31" t="str">
        <f>IF($B2357="","",IF($P2356="",$B2357,MAX($P2356,$B2357)))</f>
        <v/>
      </c>
      <c r="Q2357" s="32" t="str">
        <f>IF($P2357="","",$B2357/$P2357-1)</f>
        <v/>
      </c>
    </row>
    <row r="2358">
      <c r="A2358" s="11" t="n"/>
      <c r="B2358" s="29" t="n"/>
      <c r="K2358" s="30" t="str">
        <f>IF($A2358="","",EDATE($A2358,12*$E$4))</f>
        <v/>
      </c>
      <c r="L2358" s="19" t="str">
        <f>IF($K2358="","",IF($K2358&gt;MAX($A$8:$A$5007),"",IFERROR(MATCH($K2358,$A$8:$A$5007,1),"")))</f>
        <v/>
      </c>
      <c r="M2358" s="30" t="str">
        <f>IF($L2358="","",INDEX($A$8:$A$5007,$L2358))</f>
        <v/>
      </c>
      <c r="N2358" s="31" t="str">
        <f>IF($L2358="","",INDEX($B$8:$B$5007,$L2358))</f>
        <v/>
      </c>
      <c r="O2358" s="32" t="str">
        <f>IF($M2358="","",IF($K2358-$M2358&gt;7,"",IF($M2358&lt;=$A2358,"",IF(OR($B2358&lt;=0,$N2358&lt;=0),"",($N2358/$B2358)^(365/($M2358-$A2358))-1))))</f>
        <v/>
      </c>
      <c r="P2358" s="31" t="str">
        <f>IF($B2358="","",IF($P2357="",$B2358,MAX($P2357,$B2358)))</f>
        <v/>
      </c>
      <c r="Q2358" s="32" t="str">
        <f>IF($P2358="","",$B2358/$P2358-1)</f>
        <v/>
      </c>
    </row>
    <row r="2359">
      <c r="A2359" s="11" t="n"/>
      <c r="B2359" s="29" t="n"/>
      <c r="K2359" s="30" t="str">
        <f>IF($A2359="","",EDATE($A2359,12*$E$4))</f>
        <v/>
      </c>
      <c r="L2359" s="19" t="str">
        <f>IF($K2359="","",IF($K2359&gt;MAX($A$8:$A$5007),"",IFERROR(MATCH($K2359,$A$8:$A$5007,1),"")))</f>
        <v/>
      </c>
      <c r="M2359" s="30" t="str">
        <f>IF($L2359="","",INDEX($A$8:$A$5007,$L2359))</f>
        <v/>
      </c>
      <c r="N2359" s="31" t="str">
        <f>IF($L2359="","",INDEX($B$8:$B$5007,$L2359))</f>
        <v/>
      </c>
      <c r="O2359" s="32" t="str">
        <f>IF($M2359="","",IF($K2359-$M2359&gt;7,"",IF($M2359&lt;=$A2359,"",IF(OR($B2359&lt;=0,$N2359&lt;=0),"",($N2359/$B2359)^(365/($M2359-$A2359))-1))))</f>
        <v/>
      </c>
      <c r="P2359" s="31" t="str">
        <f>IF($B2359="","",IF($P2358="",$B2359,MAX($P2358,$B2359)))</f>
        <v/>
      </c>
      <c r="Q2359" s="32" t="str">
        <f>IF($P2359="","",$B2359/$P2359-1)</f>
        <v/>
      </c>
    </row>
    <row r="2360">
      <c r="A2360" s="11" t="n"/>
      <c r="B2360" s="29" t="n"/>
      <c r="K2360" s="30" t="str">
        <f>IF($A2360="","",EDATE($A2360,12*$E$4))</f>
        <v/>
      </c>
      <c r="L2360" s="19" t="str">
        <f>IF($K2360="","",IF($K2360&gt;MAX($A$8:$A$5007),"",IFERROR(MATCH($K2360,$A$8:$A$5007,1),"")))</f>
        <v/>
      </c>
      <c r="M2360" s="30" t="str">
        <f>IF($L2360="","",INDEX($A$8:$A$5007,$L2360))</f>
        <v/>
      </c>
      <c r="N2360" s="31" t="str">
        <f>IF($L2360="","",INDEX($B$8:$B$5007,$L2360))</f>
        <v/>
      </c>
      <c r="O2360" s="32" t="str">
        <f>IF($M2360="","",IF($K2360-$M2360&gt;7,"",IF($M2360&lt;=$A2360,"",IF(OR($B2360&lt;=0,$N2360&lt;=0),"",($N2360/$B2360)^(365/($M2360-$A2360))-1))))</f>
        <v/>
      </c>
      <c r="P2360" s="31" t="str">
        <f>IF($B2360="","",IF($P2359="",$B2360,MAX($P2359,$B2360)))</f>
        <v/>
      </c>
      <c r="Q2360" s="32" t="str">
        <f>IF($P2360="","",$B2360/$P2360-1)</f>
        <v/>
      </c>
    </row>
    <row r="2361">
      <c r="A2361" s="11" t="n"/>
      <c r="B2361" s="29" t="n"/>
      <c r="K2361" s="30" t="str">
        <f>IF($A2361="","",EDATE($A2361,12*$E$4))</f>
        <v/>
      </c>
      <c r="L2361" s="19" t="str">
        <f>IF($K2361="","",IF($K2361&gt;MAX($A$8:$A$5007),"",IFERROR(MATCH($K2361,$A$8:$A$5007,1),"")))</f>
        <v/>
      </c>
      <c r="M2361" s="30" t="str">
        <f>IF($L2361="","",INDEX($A$8:$A$5007,$L2361))</f>
        <v/>
      </c>
      <c r="N2361" s="31" t="str">
        <f>IF($L2361="","",INDEX($B$8:$B$5007,$L2361))</f>
        <v/>
      </c>
      <c r="O2361" s="32" t="str">
        <f>IF($M2361="","",IF($K2361-$M2361&gt;7,"",IF($M2361&lt;=$A2361,"",IF(OR($B2361&lt;=0,$N2361&lt;=0),"",($N2361/$B2361)^(365/($M2361-$A2361))-1))))</f>
        <v/>
      </c>
      <c r="P2361" s="31" t="str">
        <f>IF($B2361="","",IF($P2360="",$B2361,MAX($P2360,$B2361)))</f>
        <v/>
      </c>
      <c r="Q2361" s="32" t="str">
        <f>IF($P2361="","",$B2361/$P2361-1)</f>
        <v/>
      </c>
    </row>
    <row r="2362">
      <c r="A2362" s="11" t="n"/>
      <c r="B2362" s="29" t="n"/>
      <c r="K2362" s="30" t="str">
        <f>IF($A2362="","",EDATE($A2362,12*$E$4))</f>
        <v/>
      </c>
      <c r="L2362" s="19" t="str">
        <f>IF($K2362="","",IF($K2362&gt;MAX($A$8:$A$5007),"",IFERROR(MATCH($K2362,$A$8:$A$5007,1),"")))</f>
        <v/>
      </c>
      <c r="M2362" s="30" t="str">
        <f>IF($L2362="","",INDEX($A$8:$A$5007,$L2362))</f>
        <v/>
      </c>
      <c r="N2362" s="31" t="str">
        <f>IF($L2362="","",INDEX($B$8:$B$5007,$L2362))</f>
        <v/>
      </c>
      <c r="O2362" s="32" t="str">
        <f>IF($M2362="","",IF($K2362-$M2362&gt;7,"",IF($M2362&lt;=$A2362,"",IF(OR($B2362&lt;=0,$N2362&lt;=0),"",($N2362/$B2362)^(365/($M2362-$A2362))-1))))</f>
        <v/>
      </c>
      <c r="P2362" s="31" t="str">
        <f>IF($B2362="","",IF($P2361="",$B2362,MAX($P2361,$B2362)))</f>
        <v/>
      </c>
      <c r="Q2362" s="32" t="str">
        <f>IF($P2362="","",$B2362/$P2362-1)</f>
        <v/>
      </c>
    </row>
    <row r="2363">
      <c r="A2363" s="11" t="n"/>
      <c r="B2363" s="29" t="n"/>
      <c r="K2363" s="30" t="str">
        <f>IF($A2363="","",EDATE($A2363,12*$E$4))</f>
        <v/>
      </c>
      <c r="L2363" s="19" t="str">
        <f>IF($K2363="","",IF($K2363&gt;MAX($A$8:$A$5007),"",IFERROR(MATCH($K2363,$A$8:$A$5007,1),"")))</f>
        <v/>
      </c>
      <c r="M2363" s="30" t="str">
        <f>IF($L2363="","",INDEX($A$8:$A$5007,$L2363))</f>
        <v/>
      </c>
      <c r="N2363" s="31" t="str">
        <f>IF($L2363="","",INDEX($B$8:$B$5007,$L2363))</f>
        <v/>
      </c>
      <c r="O2363" s="32" t="str">
        <f>IF($M2363="","",IF($K2363-$M2363&gt;7,"",IF($M2363&lt;=$A2363,"",IF(OR($B2363&lt;=0,$N2363&lt;=0),"",($N2363/$B2363)^(365/($M2363-$A2363))-1))))</f>
        <v/>
      </c>
      <c r="P2363" s="31" t="str">
        <f>IF($B2363="","",IF($P2362="",$B2363,MAX($P2362,$B2363)))</f>
        <v/>
      </c>
      <c r="Q2363" s="32" t="str">
        <f>IF($P2363="","",$B2363/$P2363-1)</f>
        <v/>
      </c>
    </row>
    <row r="2364">
      <c r="A2364" s="11" t="n"/>
      <c r="B2364" s="29" t="n"/>
      <c r="K2364" s="30" t="str">
        <f>IF($A2364="","",EDATE($A2364,12*$E$4))</f>
        <v/>
      </c>
      <c r="L2364" s="19" t="str">
        <f>IF($K2364="","",IF($K2364&gt;MAX($A$8:$A$5007),"",IFERROR(MATCH($K2364,$A$8:$A$5007,1),"")))</f>
        <v/>
      </c>
      <c r="M2364" s="30" t="str">
        <f>IF($L2364="","",INDEX($A$8:$A$5007,$L2364))</f>
        <v/>
      </c>
      <c r="N2364" s="31" t="str">
        <f>IF($L2364="","",INDEX($B$8:$B$5007,$L2364))</f>
        <v/>
      </c>
      <c r="O2364" s="32" t="str">
        <f>IF($M2364="","",IF($K2364-$M2364&gt;7,"",IF($M2364&lt;=$A2364,"",IF(OR($B2364&lt;=0,$N2364&lt;=0),"",($N2364/$B2364)^(365/($M2364-$A2364))-1))))</f>
        <v/>
      </c>
      <c r="P2364" s="31" t="str">
        <f>IF($B2364="","",IF($P2363="",$B2364,MAX($P2363,$B2364)))</f>
        <v/>
      </c>
      <c r="Q2364" s="32" t="str">
        <f>IF($P2364="","",$B2364/$P2364-1)</f>
        <v/>
      </c>
    </row>
    <row r="2365">
      <c r="A2365" s="11" t="n"/>
      <c r="B2365" s="29" t="n"/>
      <c r="K2365" s="30" t="str">
        <f>IF($A2365="","",EDATE($A2365,12*$E$4))</f>
        <v/>
      </c>
      <c r="L2365" s="19" t="str">
        <f>IF($K2365="","",IF($K2365&gt;MAX($A$8:$A$5007),"",IFERROR(MATCH($K2365,$A$8:$A$5007,1),"")))</f>
        <v/>
      </c>
      <c r="M2365" s="30" t="str">
        <f>IF($L2365="","",INDEX($A$8:$A$5007,$L2365))</f>
        <v/>
      </c>
      <c r="N2365" s="31" t="str">
        <f>IF($L2365="","",INDEX($B$8:$B$5007,$L2365))</f>
        <v/>
      </c>
      <c r="O2365" s="32" t="str">
        <f>IF($M2365="","",IF($K2365-$M2365&gt;7,"",IF($M2365&lt;=$A2365,"",IF(OR($B2365&lt;=0,$N2365&lt;=0),"",($N2365/$B2365)^(365/($M2365-$A2365))-1))))</f>
        <v/>
      </c>
      <c r="P2365" s="31" t="str">
        <f>IF($B2365="","",IF($P2364="",$B2365,MAX($P2364,$B2365)))</f>
        <v/>
      </c>
      <c r="Q2365" s="32" t="str">
        <f>IF($P2365="","",$B2365/$P2365-1)</f>
        <v/>
      </c>
    </row>
    <row r="2366">
      <c r="A2366" s="11" t="n"/>
      <c r="B2366" s="29" t="n"/>
      <c r="K2366" s="30" t="str">
        <f>IF($A2366="","",EDATE($A2366,12*$E$4))</f>
        <v/>
      </c>
      <c r="L2366" s="19" t="str">
        <f>IF($K2366="","",IF($K2366&gt;MAX($A$8:$A$5007),"",IFERROR(MATCH($K2366,$A$8:$A$5007,1),"")))</f>
        <v/>
      </c>
      <c r="M2366" s="30" t="str">
        <f>IF($L2366="","",INDEX($A$8:$A$5007,$L2366))</f>
        <v/>
      </c>
      <c r="N2366" s="31" t="str">
        <f>IF($L2366="","",INDEX($B$8:$B$5007,$L2366))</f>
        <v/>
      </c>
      <c r="O2366" s="32" t="str">
        <f>IF($M2366="","",IF($K2366-$M2366&gt;7,"",IF($M2366&lt;=$A2366,"",IF(OR($B2366&lt;=0,$N2366&lt;=0),"",($N2366/$B2366)^(365/($M2366-$A2366))-1))))</f>
        <v/>
      </c>
      <c r="P2366" s="31" t="str">
        <f>IF($B2366="","",IF($P2365="",$B2366,MAX($P2365,$B2366)))</f>
        <v/>
      </c>
      <c r="Q2366" s="32" t="str">
        <f>IF($P2366="","",$B2366/$P2366-1)</f>
        <v/>
      </c>
    </row>
    <row r="2367">
      <c r="A2367" s="11" t="n"/>
      <c r="B2367" s="29" t="n"/>
      <c r="K2367" s="30" t="str">
        <f>IF($A2367="","",EDATE($A2367,12*$E$4))</f>
        <v/>
      </c>
      <c r="L2367" s="19" t="str">
        <f>IF($K2367="","",IF($K2367&gt;MAX($A$8:$A$5007),"",IFERROR(MATCH($K2367,$A$8:$A$5007,1),"")))</f>
        <v/>
      </c>
      <c r="M2367" s="30" t="str">
        <f>IF($L2367="","",INDEX($A$8:$A$5007,$L2367))</f>
        <v/>
      </c>
      <c r="N2367" s="31" t="str">
        <f>IF($L2367="","",INDEX($B$8:$B$5007,$L2367))</f>
        <v/>
      </c>
      <c r="O2367" s="32" t="str">
        <f>IF($M2367="","",IF($K2367-$M2367&gt;7,"",IF($M2367&lt;=$A2367,"",IF(OR($B2367&lt;=0,$N2367&lt;=0),"",($N2367/$B2367)^(365/($M2367-$A2367))-1))))</f>
        <v/>
      </c>
      <c r="P2367" s="31" t="str">
        <f>IF($B2367="","",IF($P2366="",$B2367,MAX($P2366,$B2367)))</f>
        <v/>
      </c>
      <c r="Q2367" s="32" t="str">
        <f>IF($P2367="","",$B2367/$P2367-1)</f>
        <v/>
      </c>
    </row>
    <row r="2368">
      <c r="A2368" s="11" t="n"/>
      <c r="B2368" s="29" t="n"/>
      <c r="K2368" s="30" t="str">
        <f>IF($A2368="","",EDATE($A2368,12*$E$4))</f>
        <v/>
      </c>
      <c r="L2368" s="19" t="str">
        <f>IF($K2368="","",IF($K2368&gt;MAX($A$8:$A$5007),"",IFERROR(MATCH($K2368,$A$8:$A$5007,1),"")))</f>
        <v/>
      </c>
      <c r="M2368" s="30" t="str">
        <f>IF($L2368="","",INDEX($A$8:$A$5007,$L2368))</f>
        <v/>
      </c>
      <c r="N2368" s="31" t="str">
        <f>IF($L2368="","",INDEX($B$8:$B$5007,$L2368))</f>
        <v/>
      </c>
      <c r="O2368" s="32" t="str">
        <f>IF($M2368="","",IF($K2368-$M2368&gt;7,"",IF($M2368&lt;=$A2368,"",IF(OR($B2368&lt;=0,$N2368&lt;=0),"",($N2368/$B2368)^(365/($M2368-$A2368))-1))))</f>
        <v/>
      </c>
      <c r="P2368" s="31" t="str">
        <f>IF($B2368="","",IF($P2367="",$B2368,MAX($P2367,$B2368)))</f>
        <v/>
      </c>
      <c r="Q2368" s="32" t="str">
        <f>IF($P2368="","",$B2368/$P2368-1)</f>
        <v/>
      </c>
    </row>
    <row r="2369">
      <c r="A2369" s="11" t="n"/>
      <c r="B2369" s="29" t="n"/>
      <c r="K2369" s="30" t="str">
        <f>IF($A2369="","",EDATE($A2369,12*$E$4))</f>
        <v/>
      </c>
      <c r="L2369" s="19" t="str">
        <f>IF($K2369="","",IF($K2369&gt;MAX($A$8:$A$5007),"",IFERROR(MATCH($K2369,$A$8:$A$5007,1),"")))</f>
        <v/>
      </c>
      <c r="M2369" s="30" t="str">
        <f>IF($L2369="","",INDEX($A$8:$A$5007,$L2369))</f>
        <v/>
      </c>
      <c r="N2369" s="31" t="str">
        <f>IF($L2369="","",INDEX($B$8:$B$5007,$L2369))</f>
        <v/>
      </c>
      <c r="O2369" s="32" t="str">
        <f>IF($M2369="","",IF($K2369-$M2369&gt;7,"",IF($M2369&lt;=$A2369,"",IF(OR($B2369&lt;=0,$N2369&lt;=0),"",($N2369/$B2369)^(365/($M2369-$A2369))-1))))</f>
        <v/>
      </c>
      <c r="P2369" s="31" t="str">
        <f>IF($B2369="","",IF($P2368="",$B2369,MAX($P2368,$B2369)))</f>
        <v/>
      </c>
      <c r="Q2369" s="32" t="str">
        <f>IF($P2369="","",$B2369/$P2369-1)</f>
        <v/>
      </c>
    </row>
    <row r="2370">
      <c r="A2370" s="11" t="n"/>
      <c r="B2370" s="29" t="n"/>
      <c r="K2370" s="30" t="str">
        <f>IF($A2370="","",EDATE($A2370,12*$E$4))</f>
        <v/>
      </c>
      <c r="L2370" s="19" t="str">
        <f>IF($K2370="","",IF($K2370&gt;MAX($A$8:$A$5007),"",IFERROR(MATCH($K2370,$A$8:$A$5007,1),"")))</f>
        <v/>
      </c>
      <c r="M2370" s="30" t="str">
        <f>IF($L2370="","",INDEX($A$8:$A$5007,$L2370))</f>
        <v/>
      </c>
      <c r="N2370" s="31" t="str">
        <f>IF($L2370="","",INDEX($B$8:$B$5007,$L2370))</f>
        <v/>
      </c>
      <c r="O2370" s="32" t="str">
        <f>IF($M2370="","",IF($K2370-$M2370&gt;7,"",IF($M2370&lt;=$A2370,"",IF(OR($B2370&lt;=0,$N2370&lt;=0),"",($N2370/$B2370)^(365/($M2370-$A2370))-1))))</f>
        <v/>
      </c>
      <c r="P2370" s="31" t="str">
        <f>IF($B2370="","",IF($P2369="",$B2370,MAX($P2369,$B2370)))</f>
        <v/>
      </c>
      <c r="Q2370" s="32" t="str">
        <f>IF($P2370="","",$B2370/$P2370-1)</f>
        <v/>
      </c>
    </row>
    <row r="2371">
      <c r="A2371" s="11" t="n"/>
      <c r="B2371" s="29" t="n"/>
      <c r="K2371" s="30" t="str">
        <f>IF($A2371="","",EDATE($A2371,12*$E$4))</f>
        <v/>
      </c>
      <c r="L2371" s="19" t="str">
        <f>IF($K2371="","",IF($K2371&gt;MAX($A$8:$A$5007),"",IFERROR(MATCH($K2371,$A$8:$A$5007,1),"")))</f>
        <v/>
      </c>
      <c r="M2371" s="30" t="str">
        <f>IF($L2371="","",INDEX($A$8:$A$5007,$L2371))</f>
        <v/>
      </c>
      <c r="N2371" s="31" t="str">
        <f>IF($L2371="","",INDEX($B$8:$B$5007,$L2371))</f>
        <v/>
      </c>
      <c r="O2371" s="32" t="str">
        <f>IF($M2371="","",IF($K2371-$M2371&gt;7,"",IF($M2371&lt;=$A2371,"",IF(OR($B2371&lt;=0,$N2371&lt;=0),"",($N2371/$B2371)^(365/($M2371-$A2371))-1))))</f>
        <v/>
      </c>
      <c r="P2371" s="31" t="str">
        <f>IF($B2371="","",IF($P2370="",$B2371,MAX($P2370,$B2371)))</f>
        <v/>
      </c>
      <c r="Q2371" s="32" t="str">
        <f>IF($P2371="","",$B2371/$P2371-1)</f>
        <v/>
      </c>
    </row>
    <row r="2372">
      <c r="A2372" s="11" t="n"/>
      <c r="B2372" s="29" t="n"/>
      <c r="K2372" s="30" t="str">
        <f>IF($A2372="","",EDATE($A2372,12*$E$4))</f>
        <v/>
      </c>
      <c r="L2372" s="19" t="str">
        <f>IF($K2372="","",IF($K2372&gt;MAX($A$8:$A$5007),"",IFERROR(MATCH($K2372,$A$8:$A$5007,1),"")))</f>
        <v/>
      </c>
      <c r="M2372" s="30" t="str">
        <f>IF($L2372="","",INDEX($A$8:$A$5007,$L2372))</f>
        <v/>
      </c>
      <c r="N2372" s="31" t="str">
        <f>IF($L2372="","",INDEX($B$8:$B$5007,$L2372))</f>
        <v/>
      </c>
      <c r="O2372" s="32" t="str">
        <f>IF($M2372="","",IF($K2372-$M2372&gt;7,"",IF($M2372&lt;=$A2372,"",IF(OR($B2372&lt;=0,$N2372&lt;=0),"",($N2372/$B2372)^(365/($M2372-$A2372))-1))))</f>
        <v/>
      </c>
      <c r="P2372" s="31" t="str">
        <f>IF($B2372="","",IF($P2371="",$B2372,MAX($P2371,$B2372)))</f>
        <v/>
      </c>
      <c r="Q2372" s="32" t="str">
        <f>IF($P2372="","",$B2372/$P2372-1)</f>
        <v/>
      </c>
    </row>
    <row r="2373">
      <c r="A2373" s="11" t="n"/>
      <c r="B2373" s="29" t="n"/>
      <c r="K2373" s="30" t="str">
        <f>IF($A2373="","",EDATE($A2373,12*$E$4))</f>
        <v/>
      </c>
      <c r="L2373" s="19" t="str">
        <f>IF($K2373="","",IF($K2373&gt;MAX($A$8:$A$5007),"",IFERROR(MATCH($K2373,$A$8:$A$5007,1),"")))</f>
        <v/>
      </c>
      <c r="M2373" s="30" t="str">
        <f>IF($L2373="","",INDEX($A$8:$A$5007,$L2373))</f>
        <v/>
      </c>
      <c r="N2373" s="31" t="str">
        <f>IF($L2373="","",INDEX($B$8:$B$5007,$L2373))</f>
        <v/>
      </c>
      <c r="O2373" s="32" t="str">
        <f>IF($M2373="","",IF($K2373-$M2373&gt;7,"",IF($M2373&lt;=$A2373,"",IF(OR($B2373&lt;=0,$N2373&lt;=0),"",($N2373/$B2373)^(365/($M2373-$A2373))-1))))</f>
        <v/>
      </c>
      <c r="P2373" s="31" t="str">
        <f>IF($B2373="","",IF($P2372="",$B2373,MAX($P2372,$B2373)))</f>
        <v/>
      </c>
      <c r="Q2373" s="32" t="str">
        <f>IF($P2373="","",$B2373/$P2373-1)</f>
        <v/>
      </c>
    </row>
    <row r="2374">
      <c r="A2374" s="11" t="n"/>
      <c r="B2374" s="29" t="n"/>
      <c r="K2374" s="30" t="str">
        <f>IF($A2374="","",EDATE($A2374,12*$E$4))</f>
        <v/>
      </c>
      <c r="L2374" s="19" t="str">
        <f>IF($K2374="","",IF($K2374&gt;MAX($A$8:$A$5007),"",IFERROR(MATCH($K2374,$A$8:$A$5007,1),"")))</f>
        <v/>
      </c>
      <c r="M2374" s="30" t="str">
        <f>IF($L2374="","",INDEX($A$8:$A$5007,$L2374))</f>
        <v/>
      </c>
      <c r="N2374" s="31" t="str">
        <f>IF($L2374="","",INDEX($B$8:$B$5007,$L2374))</f>
        <v/>
      </c>
      <c r="O2374" s="32" t="str">
        <f>IF($M2374="","",IF($K2374-$M2374&gt;7,"",IF($M2374&lt;=$A2374,"",IF(OR($B2374&lt;=0,$N2374&lt;=0),"",($N2374/$B2374)^(365/($M2374-$A2374))-1))))</f>
        <v/>
      </c>
      <c r="P2374" s="31" t="str">
        <f>IF($B2374="","",IF($P2373="",$B2374,MAX($P2373,$B2374)))</f>
        <v/>
      </c>
      <c r="Q2374" s="32" t="str">
        <f>IF($P2374="","",$B2374/$P2374-1)</f>
        <v/>
      </c>
    </row>
    <row r="2375">
      <c r="A2375" s="11" t="n"/>
      <c r="B2375" s="29" t="n"/>
      <c r="K2375" s="30" t="str">
        <f>IF($A2375="","",EDATE($A2375,12*$E$4))</f>
        <v/>
      </c>
      <c r="L2375" s="19" t="str">
        <f>IF($K2375="","",IF($K2375&gt;MAX($A$8:$A$5007),"",IFERROR(MATCH($K2375,$A$8:$A$5007,1),"")))</f>
        <v/>
      </c>
      <c r="M2375" s="30" t="str">
        <f>IF($L2375="","",INDEX($A$8:$A$5007,$L2375))</f>
        <v/>
      </c>
      <c r="N2375" s="31" t="str">
        <f>IF($L2375="","",INDEX($B$8:$B$5007,$L2375))</f>
        <v/>
      </c>
      <c r="O2375" s="32" t="str">
        <f>IF($M2375="","",IF($K2375-$M2375&gt;7,"",IF($M2375&lt;=$A2375,"",IF(OR($B2375&lt;=0,$N2375&lt;=0),"",($N2375/$B2375)^(365/($M2375-$A2375))-1))))</f>
        <v/>
      </c>
      <c r="P2375" s="31" t="str">
        <f>IF($B2375="","",IF($P2374="",$B2375,MAX($P2374,$B2375)))</f>
        <v/>
      </c>
      <c r="Q2375" s="32" t="str">
        <f>IF($P2375="","",$B2375/$P2375-1)</f>
        <v/>
      </c>
    </row>
    <row r="2376">
      <c r="A2376" s="11" t="n"/>
      <c r="B2376" s="29" t="n"/>
      <c r="K2376" s="30" t="str">
        <f>IF($A2376="","",EDATE($A2376,12*$E$4))</f>
        <v/>
      </c>
      <c r="L2376" s="19" t="str">
        <f>IF($K2376="","",IF($K2376&gt;MAX($A$8:$A$5007),"",IFERROR(MATCH($K2376,$A$8:$A$5007,1),"")))</f>
        <v/>
      </c>
      <c r="M2376" s="30" t="str">
        <f>IF($L2376="","",INDEX($A$8:$A$5007,$L2376))</f>
        <v/>
      </c>
      <c r="N2376" s="31" t="str">
        <f>IF($L2376="","",INDEX($B$8:$B$5007,$L2376))</f>
        <v/>
      </c>
      <c r="O2376" s="32" t="str">
        <f>IF($M2376="","",IF($K2376-$M2376&gt;7,"",IF($M2376&lt;=$A2376,"",IF(OR($B2376&lt;=0,$N2376&lt;=0),"",($N2376/$B2376)^(365/($M2376-$A2376))-1))))</f>
        <v/>
      </c>
      <c r="P2376" s="31" t="str">
        <f>IF($B2376="","",IF($P2375="",$B2376,MAX($P2375,$B2376)))</f>
        <v/>
      </c>
      <c r="Q2376" s="32" t="str">
        <f>IF($P2376="","",$B2376/$P2376-1)</f>
        <v/>
      </c>
    </row>
    <row r="2377">
      <c r="A2377" s="11" t="n"/>
      <c r="B2377" s="29" t="n"/>
      <c r="K2377" s="30" t="str">
        <f>IF($A2377="","",EDATE($A2377,12*$E$4))</f>
        <v/>
      </c>
      <c r="L2377" s="19" t="str">
        <f>IF($K2377="","",IF($K2377&gt;MAX($A$8:$A$5007),"",IFERROR(MATCH($K2377,$A$8:$A$5007,1),"")))</f>
        <v/>
      </c>
      <c r="M2377" s="30" t="str">
        <f>IF($L2377="","",INDEX($A$8:$A$5007,$L2377))</f>
        <v/>
      </c>
      <c r="N2377" s="31" t="str">
        <f>IF($L2377="","",INDEX($B$8:$B$5007,$L2377))</f>
        <v/>
      </c>
      <c r="O2377" s="32" t="str">
        <f>IF($M2377="","",IF($K2377-$M2377&gt;7,"",IF($M2377&lt;=$A2377,"",IF(OR($B2377&lt;=0,$N2377&lt;=0),"",($N2377/$B2377)^(365/($M2377-$A2377))-1))))</f>
        <v/>
      </c>
      <c r="P2377" s="31" t="str">
        <f>IF($B2377="","",IF($P2376="",$B2377,MAX($P2376,$B2377)))</f>
        <v/>
      </c>
      <c r="Q2377" s="32" t="str">
        <f>IF($P2377="","",$B2377/$P2377-1)</f>
        <v/>
      </c>
    </row>
    <row r="2378">
      <c r="A2378" s="11" t="n"/>
      <c r="B2378" s="29" t="n"/>
      <c r="K2378" s="30" t="str">
        <f>IF($A2378="","",EDATE($A2378,12*$E$4))</f>
        <v/>
      </c>
      <c r="L2378" s="19" t="str">
        <f>IF($K2378="","",IF($K2378&gt;MAX($A$8:$A$5007),"",IFERROR(MATCH($K2378,$A$8:$A$5007,1),"")))</f>
        <v/>
      </c>
      <c r="M2378" s="30" t="str">
        <f>IF($L2378="","",INDEX($A$8:$A$5007,$L2378))</f>
        <v/>
      </c>
      <c r="N2378" s="31" t="str">
        <f>IF($L2378="","",INDEX($B$8:$B$5007,$L2378))</f>
        <v/>
      </c>
      <c r="O2378" s="32" t="str">
        <f>IF($M2378="","",IF($K2378-$M2378&gt;7,"",IF($M2378&lt;=$A2378,"",IF(OR($B2378&lt;=0,$N2378&lt;=0),"",($N2378/$B2378)^(365/($M2378-$A2378))-1))))</f>
        <v/>
      </c>
      <c r="P2378" s="31" t="str">
        <f>IF($B2378="","",IF($P2377="",$B2378,MAX($P2377,$B2378)))</f>
        <v/>
      </c>
      <c r="Q2378" s="32" t="str">
        <f>IF($P2378="","",$B2378/$P2378-1)</f>
        <v/>
      </c>
    </row>
    <row r="2379">
      <c r="A2379" s="11" t="n"/>
      <c r="B2379" s="29" t="n"/>
      <c r="K2379" s="30" t="str">
        <f>IF($A2379="","",EDATE($A2379,12*$E$4))</f>
        <v/>
      </c>
      <c r="L2379" s="19" t="str">
        <f>IF($K2379="","",IF($K2379&gt;MAX($A$8:$A$5007),"",IFERROR(MATCH($K2379,$A$8:$A$5007,1),"")))</f>
        <v/>
      </c>
      <c r="M2379" s="30" t="str">
        <f>IF($L2379="","",INDEX($A$8:$A$5007,$L2379))</f>
        <v/>
      </c>
      <c r="N2379" s="31" t="str">
        <f>IF($L2379="","",INDEX($B$8:$B$5007,$L2379))</f>
        <v/>
      </c>
      <c r="O2379" s="32" t="str">
        <f>IF($M2379="","",IF($K2379-$M2379&gt;7,"",IF($M2379&lt;=$A2379,"",IF(OR($B2379&lt;=0,$N2379&lt;=0),"",($N2379/$B2379)^(365/($M2379-$A2379))-1))))</f>
        <v/>
      </c>
      <c r="P2379" s="31" t="str">
        <f>IF($B2379="","",IF($P2378="",$B2379,MAX($P2378,$B2379)))</f>
        <v/>
      </c>
      <c r="Q2379" s="32" t="str">
        <f>IF($P2379="","",$B2379/$P2379-1)</f>
        <v/>
      </c>
    </row>
    <row r="2380">
      <c r="A2380" s="11" t="n"/>
      <c r="B2380" s="29" t="n"/>
      <c r="K2380" s="30" t="str">
        <f>IF($A2380="","",EDATE($A2380,12*$E$4))</f>
        <v/>
      </c>
      <c r="L2380" s="19" t="str">
        <f>IF($K2380="","",IF($K2380&gt;MAX($A$8:$A$5007),"",IFERROR(MATCH($K2380,$A$8:$A$5007,1),"")))</f>
        <v/>
      </c>
      <c r="M2380" s="30" t="str">
        <f>IF($L2380="","",INDEX($A$8:$A$5007,$L2380))</f>
        <v/>
      </c>
      <c r="N2380" s="31" t="str">
        <f>IF($L2380="","",INDEX($B$8:$B$5007,$L2380))</f>
        <v/>
      </c>
      <c r="O2380" s="32" t="str">
        <f>IF($M2380="","",IF($K2380-$M2380&gt;7,"",IF($M2380&lt;=$A2380,"",IF(OR($B2380&lt;=0,$N2380&lt;=0),"",($N2380/$B2380)^(365/($M2380-$A2380))-1))))</f>
        <v/>
      </c>
      <c r="P2380" s="31" t="str">
        <f>IF($B2380="","",IF($P2379="",$B2380,MAX($P2379,$B2380)))</f>
        <v/>
      </c>
      <c r="Q2380" s="32" t="str">
        <f>IF($P2380="","",$B2380/$P2380-1)</f>
        <v/>
      </c>
    </row>
    <row r="2381">
      <c r="A2381" s="11" t="n"/>
      <c r="B2381" s="29" t="n"/>
      <c r="K2381" s="30" t="str">
        <f>IF($A2381="","",EDATE($A2381,12*$E$4))</f>
        <v/>
      </c>
      <c r="L2381" s="19" t="str">
        <f>IF($K2381="","",IF($K2381&gt;MAX($A$8:$A$5007),"",IFERROR(MATCH($K2381,$A$8:$A$5007,1),"")))</f>
        <v/>
      </c>
      <c r="M2381" s="30" t="str">
        <f>IF($L2381="","",INDEX($A$8:$A$5007,$L2381))</f>
        <v/>
      </c>
      <c r="N2381" s="31" t="str">
        <f>IF($L2381="","",INDEX($B$8:$B$5007,$L2381))</f>
        <v/>
      </c>
      <c r="O2381" s="32" t="str">
        <f>IF($M2381="","",IF($K2381-$M2381&gt;7,"",IF($M2381&lt;=$A2381,"",IF(OR($B2381&lt;=0,$N2381&lt;=0),"",($N2381/$B2381)^(365/($M2381-$A2381))-1))))</f>
        <v/>
      </c>
      <c r="P2381" s="31" t="str">
        <f>IF($B2381="","",IF($P2380="",$B2381,MAX($P2380,$B2381)))</f>
        <v/>
      </c>
      <c r="Q2381" s="32" t="str">
        <f>IF($P2381="","",$B2381/$P2381-1)</f>
        <v/>
      </c>
    </row>
    <row r="2382">
      <c r="A2382" s="11" t="n"/>
      <c r="B2382" s="29" t="n"/>
      <c r="K2382" s="30" t="str">
        <f>IF($A2382="","",EDATE($A2382,12*$E$4))</f>
        <v/>
      </c>
      <c r="L2382" s="19" t="str">
        <f>IF($K2382="","",IF($K2382&gt;MAX($A$8:$A$5007),"",IFERROR(MATCH($K2382,$A$8:$A$5007,1),"")))</f>
        <v/>
      </c>
      <c r="M2382" s="30" t="str">
        <f>IF($L2382="","",INDEX($A$8:$A$5007,$L2382))</f>
        <v/>
      </c>
      <c r="N2382" s="31" t="str">
        <f>IF($L2382="","",INDEX($B$8:$B$5007,$L2382))</f>
        <v/>
      </c>
      <c r="O2382" s="32" t="str">
        <f>IF($M2382="","",IF($K2382-$M2382&gt;7,"",IF($M2382&lt;=$A2382,"",IF(OR($B2382&lt;=0,$N2382&lt;=0),"",($N2382/$B2382)^(365/($M2382-$A2382))-1))))</f>
        <v/>
      </c>
      <c r="P2382" s="31" t="str">
        <f>IF($B2382="","",IF($P2381="",$B2382,MAX($P2381,$B2382)))</f>
        <v/>
      </c>
      <c r="Q2382" s="32" t="str">
        <f>IF($P2382="","",$B2382/$P2382-1)</f>
        <v/>
      </c>
    </row>
    <row r="2383">
      <c r="A2383" s="11" t="n"/>
      <c r="B2383" s="29" t="n"/>
      <c r="K2383" s="30" t="str">
        <f>IF($A2383="","",EDATE($A2383,12*$E$4))</f>
        <v/>
      </c>
      <c r="L2383" s="19" t="str">
        <f>IF($K2383="","",IF($K2383&gt;MAX($A$8:$A$5007),"",IFERROR(MATCH($K2383,$A$8:$A$5007,1),"")))</f>
        <v/>
      </c>
      <c r="M2383" s="30" t="str">
        <f>IF($L2383="","",INDEX($A$8:$A$5007,$L2383))</f>
        <v/>
      </c>
      <c r="N2383" s="31" t="str">
        <f>IF($L2383="","",INDEX($B$8:$B$5007,$L2383))</f>
        <v/>
      </c>
      <c r="O2383" s="32" t="str">
        <f>IF($M2383="","",IF($K2383-$M2383&gt;7,"",IF($M2383&lt;=$A2383,"",IF(OR($B2383&lt;=0,$N2383&lt;=0),"",($N2383/$B2383)^(365/($M2383-$A2383))-1))))</f>
        <v/>
      </c>
      <c r="P2383" s="31" t="str">
        <f>IF($B2383="","",IF($P2382="",$B2383,MAX($P2382,$B2383)))</f>
        <v/>
      </c>
      <c r="Q2383" s="32" t="str">
        <f>IF($P2383="","",$B2383/$P2383-1)</f>
        <v/>
      </c>
    </row>
    <row r="2384">
      <c r="A2384" s="11" t="n"/>
      <c r="B2384" s="29" t="n"/>
      <c r="K2384" s="30" t="str">
        <f>IF($A2384="","",EDATE($A2384,12*$E$4))</f>
        <v/>
      </c>
      <c r="L2384" s="19" t="str">
        <f>IF($K2384="","",IF($K2384&gt;MAX($A$8:$A$5007),"",IFERROR(MATCH($K2384,$A$8:$A$5007,1),"")))</f>
        <v/>
      </c>
      <c r="M2384" s="30" t="str">
        <f>IF($L2384="","",INDEX($A$8:$A$5007,$L2384))</f>
        <v/>
      </c>
      <c r="N2384" s="31" t="str">
        <f>IF($L2384="","",INDEX($B$8:$B$5007,$L2384))</f>
        <v/>
      </c>
      <c r="O2384" s="32" t="str">
        <f>IF($M2384="","",IF($K2384-$M2384&gt;7,"",IF($M2384&lt;=$A2384,"",IF(OR($B2384&lt;=0,$N2384&lt;=0),"",($N2384/$B2384)^(365/($M2384-$A2384))-1))))</f>
        <v/>
      </c>
      <c r="P2384" s="31" t="str">
        <f>IF($B2384="","",IF($P2383="",$B2384,MAX($P2383,$B2384)))</f>
        <v/>
      </c>
      <c r="Q2384" s="32" t="str">
        <f>IF($P2384="","",$B2384/$P2384-1)</f>
        <v/>
      </c>
    </row>
    <row r="2385">
      <c r="A2385" s="11" t="n"/>
      <c r="B2385" s="29" t="n"/>
      <c r="K2385" s="30" t="str">
        <f>IF($A2385="","",EDATE($A2385,12*$E$4))</f>
        <v/>
      </c>
      <c r="L2385" s="19" t="str">
        <f>IF($K2385="","",IF($K2385&gt;MAX($A$8:$A$5007),"",IFERROR(MATCH($K2385,$A$8:$A$5007,1),"")))</f>
        <v/>
      </c>
      <c r="M2385" s="30" t="str">
        <f>IF($L2385="","",INDEX($A$8:$A$5007,$L2385))</f>
        <v/>
      </c>
      <c r="N2385" s="31" t="str">
        <f>IF($L2385="","",INDEX($B$8:$B$5007,$L2385))</f>
        <v/>
      </c>
      <c r="O2385" s="32" t="str">
        <f>IF($M2385="","",IF($K2385-$M2385&gt;7,"",IF($M2385&lt;=$A2385,"",IF(OR($B2385&lt;=0,$N2385&lt;=0),"",($N2385/$B2385)^(365/($M2385-$A2385))-1))))</f>
        <v/>
      </c>
      <c r="P2385" s="31" t="str">
        <f>IF($B2385="","",IF($P2384="",$B2385,MAX($P2384,$B2385)))</f>
        <v/>
      </c>
      <c r="Q2385" s="32" t="str">
        <f>IF($P2385="","",$B2385/$P2385-1)</f>
        <v/>
      </c>
    </row>
    <row r="2386">
      <c r="A2386" s="11" t="n"/>
      <c r="B2386" s="29" t="n"/>
      <c r="K2386" s="30" t="str">
        <f>IF($A2386="","",EDATE($A2386,12*$E$4))</f>
        <v/>
      </c>
      <c r="L2386" s="19" t="str">
        <f>IF($K2386="","",IF($K2386&gt;MAX($A$8:$A$5007),"",IFERROR(MATCH($K2386,$A$8:$A$5007,1),"")))</f>
        <v/>
      </c>
      <c r="M2386" s="30" t="str">
        <f>IF($L2386="","",INDEX($A$8:$A$5007,$L2386))</f>
        <v/>
      </c>
      <c r="N2386" s="31" t="str">
        <f>IF($L2386="","",INDEX($B$8:$B$5007,$L2386))</f>
        <v/>
      </c>
      <c r="O2386" s="32" t="str">
        <f>IF($M2386="","",IF($K2386-$M2386&gt;7,"",IF($M2386&lt;=$A2386,"",IF(OR($B2386&lt;=0,$N2386&lt;=0),"",($N2386/$B2386)^(365/($M2386-$A2386))-1))))</f>
        <v/>
      </c>
      <c r="P2386" s="31" t="str">
        <f>IF($B2386="","",IF($P2385="",$B2386,MAX($P2385,$B2386)))</f>
        <v/>
      </c>
      <c r="Q2386" s="32" t="str">
        <f>IF($P2386="","",$B2386/$P2386-1)</f>
        <v/>
      </c>
    </row>
    <row r="2387">
      <c r="A2387" s="11" t="n"/>
      <c r="B2387" s="29" t="n"/>
      <c r="K2387" s="30" t="str">
        <f>IF($A2387="","",EDATE($A2387,12*$E$4))</f>
        <v/>
      </c>
      <c r="L2387" s="19" t="str">
        <f>IF($K2387="","",IF($K2387&gt;MAX($A$8:$A$5007),"",IFERROR(MATCH($K2387,$A$8:$A$5007,1),"")))</f>
        <v/>
      </c>
      <c r="M2387" s="30" t="str">
        <f>IF($L2387="","",INDEX($A$8:$A$5007,$L2387))</f>
        <v/>
      </c>
      <c r="N2387" s="31" t="str">
        <f>IF($L2387="","",INDEX($B$8:$B$5007,$L2387))</f>
        <v/>
      </c>
      <c r="O2387" s="32" t="str">
        <f>IF($M2387="","",IF($K2387-$M2387&gt;7,"",IF($M2387&lt;=$A2387,"",IF(OR($B2387&lt;=0,$N2387&lt;=0),"",($N2387/$B2387)^(365/($M2387-$A2387))-1))))</f>
        <v/>
      </c>
      <c r="P2387" s="31" t="str">
        <f>IF($B2387="","",IF($P2386="",$B2387,MAX($P2386,$B2387)))</f>
        <v/>
      </c>
      <c r="Q2387" s="32" t="str">
        <f>IF($P2387="","",$B2387/$P2387-1)</f>
        <v/>
      </c>
    </row>
    <row r="2388">
      <c r="A2388" s="11" t="n"/>
      <c r="B2388" s="29" t="n"/>
      <c r="K2388" s="30" t="str">
        <f>IF($A2388="","",EDATE($A2388,12*$E$4))</f>
        <v/>
      </c>
      <c r="L2388" s="19" t="str">
        <f>IF($K2388="","",IF($K2388&gt;MAX($A$8:$A$5007),"",IFERROR(MATCH($K2388,$A$8:$A$5007,1),"")))</f>
        <v/>
      </c>
      <c r="M2388" s="30" t="str">
        <f>IF($L2388="","",INDEX($A$8:$A$5007,$L2388))</f>
        <v/>
      </c>
      <c r="N2388" s="31" t="str">
        <f>IF($L2388="","",INDEX($B$8:$B$5007,$L2388))</f>
        <v/>
      </c>
      <c r="O2388" s="32" t="str">
        <f>IF($M2388="","",IF($K2388-$M2388&gt;7,"",IF($M2388&lt;=$A2388,"",IF(OR($B2388&lt;=0,$N2388&lt;=0),"",($N2388/$B2388)^(365/($M2388-$A2388))-1))))</f>
        <v/>
      </c>
      <c r="P2388" s="31" t="str">
        <f>IF($B2388="","",IF($P2387="",$B2388,MAX($P2387,$B2388)))</f>
        <v/>
      </c>
      <c r="Q2388" s="32" t="str">
        <f>IF($P2388="","",$B2388/$P2388-1)</f>
        <v/>
      </c>
    </row>
    <row r="2389">
      <c r="A2389" s="11" t="n"/>
      <c r="B2389" s="29" t="n"/>
      <c r="K2389" s="30" t="str">
        <f>IF($A2389="","",EDATE($A2389,12*$E$4))</f>
        <v/>
      </c>
      <c r="L2389" s="19" t="str">
        <f>IF($K2389="","",IF($K2389&gt;MAX($A$8:$A$5007),"",IFERROR(MATCH($K2389,$A$8:$A$5007,1),"")))</f>
        <v/>
      </c>
      <c r="M2389" s="30" t="str">
        <f>IF($L2389="","",INDEX($A$8:$A$5007,$L2389))</f>
        <v/>
      </c>
      <c r="N2389" s="31" t="str">
        <f>IF($L2389="","",INDEX($B$8:$B$5007,$L2389))</f>
        <v/>
      </c>
      <c r="O2389" s="32" t="str">
        <f>IF($M2389="","",IF($K2389-$M2389&gt;7,"",IF($M2389&lt;=$A2389,"",IF(OR($B2389&lt;=0,$N2389&lt;=0),"",($N2389/$B2389)^(365/($M2389-$A2389))-1))))</f>
        <v/>
      </c>
      <c r="P2389" s="31" t="str">
        <f>IF($B2389="","",IF($P2388="",$B2389,MAX($P2388,$B2389)))</f>
        <v/>
      </c>
      <c r="Q2389" s="32" t="str">
        <f>IF($P2389="","",$B2389/$P2389-1)</f>
        <v/>
      </c>
    </row>
    <row r="2390">
      <c r="A2390" s="11" t="n"/>
      <c r="B2390" s="29" t="n"/>
      <c r="K2390" s="30" t="str">
        <f>IF($A2390="","",EDATE($A2390,12*$E$4))</f>
        <v/>
      </c>
      <c r="L2390" s="19" t="str">
        <f>IF($K2390="","",IF($K2390&gt;MAX($A$8:$A$5007),"",IFERROR(MATCH($K2390,$A$8:$A$5007,1),"")))</f>
        <v/>
      </c>
      <c r="M2390" s="30" t="str">
        <f>IF($L2390="","",INDEX($A$8:$A$5007,$L2390))</f>
        <v/>
      </c>
      <c r="N2390" s="31" t="str">
        <f>IF($L2390="","",INDEX($B$8:$B$5007,$L2390))</f>
        <v/>
      </c>
      <c r="O2390" s="32" t="str">
        <f>IF($M2390="","",IF($K2390-$M2390&gt;7,"",IF($M2390&lt;=$A2390,"",IF(OR($B2390&lt;=0,$N2390&lt;=0),"",($N2390/$B2390)^(365/($M2390-$A2390))-1))))</f>
        <v/>
      </c>
      <c r="P2390" s="31" t="str">
        <f>IF($B2390="","",IF($P2389="",$B2390,MAX($P2389,$B2390)))</f>
        <v/>
      </c>
      <c r="Q2390" s="32" t="str">
        <f>IF($P2390="","",$B2390/$P2390-1)</f>
        <v/>
      </c>
    </row>
    <row r="2391">
      <c r="A2391" s="11" t="n"/>
      <c r="B2391" s="29" t="n"/>
      <c r="K2391" s="30" t="str">
        <f>IF($A2391="","",EDATE($A2391,12*$E$4))</f>
        <v/>
      </c>
      <c r="L2391" s="19" t="str">
        <f>IF($K2391="","",IF($K2391&gt;MAX($A$8:$A$5007),"",IFERROR(MATCH($K2391,$A$8:$A$5007,1),"")))</f>
        <v/>
      </c>
      <c r="M2391" s="30" t="str">
        <f>IF($L2391="","",INDEX($A$8:$A$5007,$L2391))</f>
        <v/>
      </c>
      <c r="N2391" s="31" t="str">
        <f>IF($L2391="","",INDEX($B$8:$B$5007,$L2391))</f>
        <v/>
      </c>
      <c r="O2391" s="32" t="str">
        <f>IF($M2391="","",IF($K2391-$M2391&gt;7,"",IF($M2391&lt;=$A2391,"",IF(OR($B2391&lt;=0,$N2391&lt;=0),"",($N2391/$B2391)^(365/($M2391-$A2391))-1))))</f>
        <v/>
      </c>
      <c r="P2391" s="31" t="str">
        <f>IF($B2391="","",IF($P2390="",$B2391,MAX($P2390,$B2391)))</f>
        <v/>
      </c>
      <c r="Q2391" s="32" t="str">
        <f>IF($P2391="","",$B2391/$P2391-1)</f>
        <v/>
      </c>
    </row>
    <row r="2392">
      <c r="A2392" s="11" t="n"/>
      <c r="B2392" s="29" t="n"/>
      <c r="K2392" s="30" t="str">
        <f>IF($A2392="","",EDATE($A2392,12*$E$4))</f>
        <v/>
      </c>
      <c r="L2392" s="19" t="str">
        <f>IF($K2392="","",IF($K2392&gt;MAX($A$8:$A$5007),"",IFERROR(MATCH($K2392,$A$8:$A$5007,1),"")))</f>
        <v/>
      </c>
      <c r="M2392" s="30" t="str">
        <f>IF($L2392="","",INDEX($A$8:$A$5007,$L2392))</f>
        <v/>
      </c>
      <c r="N2392" s="31" t="str">
        <f>IF($L2392="","",INDEX($B$8:$B$5007,$L2392))</f>
        <v/>
      </c>
      <c r="O2392" s="32" t="str">
        <f>IF($M2392="","",IF($K2392-$M2392&gt;7,"",IF($M2392&lt;=$A2392,"",IF(OR($B2392&lt;=0,$N2392&lt;=0),"",($N2392/$B2392)^(365/($M2392-$A2392))-1))))</f>
        <v/>
      </c>
      <c r="P2392" s="31" t="str">
        <f>IF($B2392="","",IF($P2391="",$B2392,MAX($P2391,$B2392)))</f>
        <v/>
      </c>
      <c r="Q2392" s="32" t="str">
        <f>IF($P2392="","",$B2392/$P2392-1)</f>
        <v/>
      </c>
    </row>
    <row r="2393">
      <c r="A2393" s="11" t="n"/>
      <c r="B2393" s="29" t="n"/>
      <c r="K2393" s="30" t="str">
        <f>IF($A2393="","",EDATE($A2393,12*$E$4))</f>
        <v/>
      </c>
      <c r="L2393" s="19" t="str">
        <f>IF($K2393="","",IF($K2393&gt;MAX($A$8:$A$5007),"",IFERROR(MATCH($K2393,$A$8:$A$5007,1),"")))</f>
        <v/>
      </c>
      <c r="M2393" s="30" t="str">
        <f>IF($L2393="","",INDEX($A$8:$A$5007,$L2393))</f>
        <v/>
      </c>
      <c r="N2393" s="31" t="str">
        <f>IF($L2393="","",INDEX($B$8:$B$5007,$L2393))</f>
        <v/>
      </c>
      <c r="O2393" s="32" t="str">
        <f>IF($M2393="","",IF($K2393-$M2393&gt;7,"",IF($M2393&lt;=$A2393,"",IF(OR($B2393&lt;=0,$N2393&lt;=0),"",($N2393/$B2393)^(365/($M2393-$A2393))-1))))</f>
        <v/>
      </c>
      <c r="P2393" s="31" t="str">
        <f>IF($B2393="","",IF($P2392="",$B2393,MAX($P2392,$B2393)))</f>
        <v/>
      </c>
      <c r="Q2393" s="32" t="str">
        <f>IF($P2393="","",$B2393/$P2393-1)</f>
        <v/>
      </c>
    </row>
    <row r="2394">
      <c r="A2394" s="11" t="n"/>
      <c r="B2394" s="29" t="n"/>
      <c r="K2394" s="30" t="str">
        <f>IF($A2394="","",EDATE($A2394,12*$E$4))</f>
        <v/>
      </c>
      <c r="L2394" s="19" t="str">
        <f>IF($K2394="","",IF($K2394&gt;MAX($A$8:$A$5007),"",IFERROR(MATCH($K2394,$A$8:$A$5007,1),"")))</f>
        <v/>
      </c>
      <c r="M2394" s="30" t="str">
        <f>IF($L2394="","",INDEX($A$8:$A$5007,$L2394))</f>
        <v/>
      </c>
      <c r="N2394" s="31" t="str">
        <f>IF($L2394="","",INDEX($B$8:$B$5007,$L2394))</f>
        <v/>
      </c>
      <c r="O2394" s="32" t="str">
        <f>IF($M2394="","",IF($K2394-$M2394&gt;7,"",IF($M2394&lt;=$A2394,"",IF(OR($B2394&lt;=0,$N2394&lt;=0),"",($N2394/$B2394)^(365/($M2394-$A2394))-1))))</f>
        <v/>
      </c>
      <c r="P2394" s="31" t="str">
        <f>IF($B2394="","",IF($P2393="",$B2394,MAX($P2393,$B2394)))</f>
        <v/>
      </c>
      <c r="Q2394" s="32" t="str">
        <f>IF($P2394="","",$B2394/$P2394-1)</f>
        <v/>
      </c>
    </row>
    <row r="2395">
      <c r="A2395" s="11" t="n"/>
      <c r="B2395" s="29" t="n"/>
      <c r="K2395" s="30" t="str">
        <f>IF($A2395="","",EDATE($A2395,12*$E$4))</f>
        <v/>
      </c>
      <c r="L2395" s="19" t="str">
        <f>IF($K2395="","",IF($K2395&gt;MAX($A$8:$A$5007),"",IFERROR(MATCH($K2395,$A$8:$A$5007,1),"")))</f>
        <v/>
      </c>
      <c r="M2395" s="30" t="str">
        <f>IF($L2395="","",INDEX($A$8:$A$5007,$L2395))</f>
        <v/>
      </c>
      <c r="N2395" s="31" t="str">
        <f>IF($L2395="","",INDEX($B$8:$B$5007,$L2395))</f>
        <v/>
      </c>
      <c r="O2395" s="32" t="str">
        <f>IF($M2395="","",IF($K2395-$M2395&gt;7,"",IF($M2395&lt;=$A2395,"",IF(OR($B2395&lt;=0,$N2395&lt;=0),"",($N2395/$B2395)^(365/($M2395-$A2395))-1))))</f>
        <v/>
      </c>
      <c r="P2395" s="31" t="str">
        <f>IF($B2395="","",IF($P2394="",$B2395,MAX($P2394,$B2395)))</f>
        <v/>
      </c>
      <c r="Q2395" s="32" t="str">
        <f>IF($P2395="","",$B2395/$P2395-1)</f>
        <v/>
      </c>
    </row>
    <row r="2396">
      <c r="A2396" s="11" t="n"/>
      <c r="B2396" s="29" t="n"/>
      <c r="K2396" s="30" t="str">
        <f>IF($A2396="","",EDATE($A2396,12*$E$4))</f>
        <v/>
      </c>
      <c r="L2396" s="19" t="str">
        <f>IF($K2396="","",IF($K2396&gt;MAX($A$8:$A$5007),"",IFERROR(MATCH($K2396,$A$8:$A$5007,1),"")))</f>
        <v/>
      </c>
      <c r="M2396" s="30" t="str">
        <f>IF($L2396="","",INDEX($A$8:$A$5007,$L2396))</f>
        <v/>
      </c>
      <c r="N2396" s="31" t="str">
        <f>IF($L2396="","",INDEX($B$8:$B$5007,$L2396))</f>
        <v/>
      </c>
      <c r="O2396" s="32" t="str">
        <f>IF($M2396="","",IF($K2396-$M2396&gt;7,"",IF($M2396&lt;=$A2396,"",IF(OR($B2396&lt;=0,$N2396&lt;=0),"",($N2396/$B2396)^(365/($M2396-$A2396))-1))))</f>
        <v/>
      </c>
      <c r="P2396" s="31" t="str">
        <f>IF($B2396="","",IF($P2395="",$B2396,MAX($P2395,$B2396)))</f>
        <v/>
      </c>
      <c r="Q2396" s="32" t="str">
        <f>IF($P2396="","",$B2396/$P2396-1)</f>
        <v/>
      </c>
    </row>
    <row r="2397">
      <c r="A2397" s="11" t="n"/>
      <c r="B2397" s="29" t="n"/>
      <c r="K2397" s="30" t="str">
        <f>IF($A2397="","",EDATE($A2397,12*$E$4))</f>
        <v/>
      </c>
      <c r="L2397" s="19" t="str">
        <f>IF($K2397="","",IF($K2397&gt;MAX($A$8:$A$5007),"",IFERROR(MATCH($K2397,$A$8:$A$5007,1),"")))</f>
        <v/>
      </c>
      <c r="M2397" s="30" t="str">
        <f>IF($L2397="","",INDEX($A$8:$A$5007,$L2397))</f>
        <v/>
      </c>
      <c r="N2397" s="31" t="str">
        <f>IF($L2397="","",INDEX($B$8:$B$5007,$L2397))</f>
        <v/>
      </c>
      <c r="O2397" s="32" t="str">
        <f>IF($M2397="","",IF($K2397-$M2397&gt;7,"",IF($M2397&lt;=$A2397,"",IF(OR($B2397&lt;=0,$N2397&lt;=0),"",($N2397/$B2397)^(365/($M2397-$A2397))-1))))</f>
        <v/>
      </c>
      <c r="P2397" s="31" t="str">
        <f>IF($B2397="","",IF($P2396="",$B2397,MAX($P2396,$B2397)))</f>
        <v/>
      </c>
      <c r="Q2397" s="32" t="str">
        <f>IF($P2397="","",$B2397/$P2397-1)</f>
        <v/>
      </c>
    </row>
    <row r="2398">
      <c r="A2398" s="11" t="n"/>
      <c r="B2398" s="29" t="n"/>
      <c r="K2398" s="30" t="str">
        <f>IF($A2398="","",EDATE($A2398,12*$E$4))</f>
        <v/>
      </c>
      <c r="L2398" s="19" t="str">
        <f>IF($K2398="","",IF($K2398&gt;MAX($A$8:$A$5007),"",IFERROR(MATCH($K2398,$A$8:$A$5007,1),"")))</f>
        <v/>
      </c>
      <c r="M2398" s="30" t="str">
        <f>IF($L2398="","",INDEX($A$8:$A$5007,$L2398))</f>
        <v/>
      </c>
      <c r="N2398" s="31" t="str">
        <f>IF($L2398="","",INDEX($B$8:$B$5007,$L2398))</f>
        <v/>
      </c>
      <c r="O2398" s="32" t="str">
        <f>IF($M2398="","",IF($K2398-$M2398&gt;7,"",IF($M2398&lt;=$A2398,"",IF(OR($B2398&lt;=0,$N2398&lt;=0),"",($N2398/$B2398)^(365/($M2398-$A2398))-1))))</f>
        <v/>
      </c>
      <c r="P2398" s="31" t="str">
        <f>IF($B2398="","",IF($P2397="",$B2398,MAX($P2397,$B2398)))</f>
        <v/>
      </c>
      <c r="Q2398" s="32" t="str">
        <f>IF($P2398="","",$B2398/$P2398-1)</f>
        <v/>
      </c>
    </row>
    <row r="2399">
      <c r="A2399" s="11" t="n"/>
      <c r="B2399" s="29" t="n"/>
      <c r="K2399" s="30" t="str">
        <f>IF($A2399="","",EDATE($A2399,12*$E$4))</f>
        <v/>
      </c>
      <c r="L2399" s="19" t="str">
        <f>IF($K2399="","",IF($K2399&gt;MAX($A$8:$A$5007),"",IFERROR(MATCH($K2399,$A$8:$A$5007,1),"")))</f>
        <v/>
      </c>
      <c r="M2399" s="30" t="str">
        <f>IF($L2399="","",INDEX($A$8:$A$5007,$L2399))</f>
        <v/>
      </c>
      <c r="N2399" s="31" t="str">
        <f>IF($L2399="","",INDEX($B$8:$B$5007,$L2399))</f>
        <v/>
      </c>
      <c r="O2399" s="32" t="str">
        <f>IF($M2399="","",IF($K2399-$M2399&gt;7,"",IF($M2399&lt;=$A2399,"",IF(OR($B2399&lt;=0,$N2399&lt;=0),"",($N2399/$B2399)^(365/($M2399-$A2399))-1))))</f>
        <v/>
      </c>
      <c r="P2399" s="31" t="str">
        <f>IF($B2399="","",IF($P2398="",$B2399,MAX($P2398,$B2399)))</f>
        <v/>
      </c>
      <c r="Q2399" s="32" t="str">
        <f>IF($P2399="","",$B2399/$P2399-1)</f>
        <v/>
      </c>
    </row>
    <row r="2400">
      <c r="A2400" s="11" t="n"/>
      <c r="B2400" s="29" t="n"/>
      <c r="K2400" s="30" t="str">
        <f>IF($A2400="","",EDATE($A2400,12*$E$4))</f>
        <v/>
      </c>
      <c r="L2400" s="19" t="str">
        <f>IF($K2400="","",IF($K2400&gt;MAX($A$8:$A$5007),"",IFERROR(MATCH($K2400,$A$8:$A$5007,1),"")))</f>
        <v/>
      </c>
      <c r="M2400" s="30" t="str">
        <f>IF($L2400="","",INDEX($A$8:$A$5007,$L2400))</f>
        <v/>
      </c>
      <c r="N2400" s="31" t="str">
        <f>IF($L2400="","",INDEX($B$8:$B$5007,$L2400))</f>
        <v/>
      </c>
      <c r="O2400" s="32" t="str">
        <f>IF($M2400="","",IF($K2400-$M2400&gt;7,"",IF($M2400&lt;=$A2400,"",IF(OR($B2400&lt;=0,$N2400&lt;=0),"",($N2400/$B2400)^(365/($M2400-$A2400))-1))))</f>
        <v/>
      </c>
      <c r="P2400" s="31" t="str">
        <f>IF($B2400="","",IF($P2399="",$B2400,MAX($P2399,$B2400)))</f>
        <v/>
      </c>
      <c r="Q2400" s="32" t="str">
        <f>IF($P2400="","",$B2400/$P2400-1)</f>
        <v/>
      </c>
    </row>
    <row r="2401">
      <c r="A2401" s="11" t="n"/>
      <c r="B2401" s="29" t="n"/>
      <c r="K2401" s="30" t="str">
        <f>IF($A2401="","",EDATE($A2401,12*$E$4))</f>
        <v/>
      </c>
      <c r="L2401" s="19" t="str">
        <f>IF($K2401="","",IF($K2401&gt;MAX($A$8:$A$5007),"",IFERROR(MATCH($K2401,$A$8:$A$5007,1),"")))</f>
        <v/>
      </c>
      <c r="M2401" s="30" t="str">
        <f>IF($L2401="","",INDEX($A$8:$A$5007,$L2401))</f>
        <v/>
      </c>
      <c r="N2401" s="31" t="str">
        <f>IF($L2401="","",INDEX($B$8:$B$5007,$L2401))</f>
        <v/>
      </c>
      <c r="O2401" s="32" t="str">
        <f>IF($M2401="","",IF($K2401-$M2401&gt;7,"",IF($M2401&lt;=$A2401,"",IF(OR($B2401&lt;=0,$N2401&lt;=0),"",($N2401/$B2401)^(365/($M2401-$A2401))-1))))</f>
        <v/>
      </c>
      <c r="P2401" s="31" t="str">
        <f>IF($B2401="","",IF($P2400="",$B2401,MAX($P2400,$B2401)))</f>
        <v/>
      </c>
      <c r="Q2401" s="32" t="str">
        <f>IF($P2401="","",$B2401/$P2401-1)</f>
        <v/>
      </c>
    </row>
    <row r="2402">
      <c r="A2402" s="11" t="n"/>
      <c r="B2402" s="29" t="n"/>
      <c r="K2402" s="30" t="str">
        <f>IF($A2402="","",EDATE($A2402,12*$E$4))</f>
        <v/>
      </c>
      <c r="L2402" s="19" t="str">
        <f>IF($K2402="","",IF($K2402&gt;MAX($A$8:$A$5007),"",IFERROR(MATCH($K2402,$A$8:$A$5007,1),"")))</f>
        <v/>
      </c>
      <c r="M2402" s="30" t="str">
        <f>IF($L2402="","",INDEX($A$8:$A$5007,$L2402))</f>
        <v/>
      </c>
      <c r="N2402" s="31" t="str">
        <f>IF($L2402="","",INDEX($B$8:$B$5007,$L2402))</f>
        <v/>
      </c>
      <c r="O2402" s="32" t="str">
        <f>IF($M2402="","",IF($K2402-$M2402&gt;7,"",IF($M2402&lt;=$A2402,"",IF(OR($B2402&lt;=0,$N2402&lt;=0),"",($N2402/$B2402)^(365/($M2402-$A2402))-1))))</f>
        <v/>
      </c>
      <c r="P2402" s="31" t="str">
        <f>IF($B2402="","",IF($P2401="",$B2402,MAX($P2401,$B2402)))</f>
        <v/>
      </c>
      <c r="Q2402" s="32" t="str">
        <f>IF($P2402="","",$B2402/$P2402-1)</f>
        <v/>
      </c>
    </row>
    <row r="2403">
      <c r="A2403" s="11" t="n"/>
      <c r="B2403" s="29" t="n"/>
      <c r="K2403" s="30" t="str">
        <f>IF($A2403="","",EDATE($A2403,12*$E$4))</f>
        <v/>
      </c>
      <c r="L2403" s="19" t="str">
        <f>IF($K2403="","",IF($K2403&gt;MAX($A$8:$A$5007),"",IFERROR(MATCH($K2403,$A$8:$A$5007,1),"")))</f>
        <v/>
      </c>
      <c r="M2403" s="30" t="str">
        <f>IF($L2403="","",INDEX($A$8:$A$5007,$L2403))</f>
        <v/>
      </c>
      <c r="N2403" s="31" t="str">
        <f>IF($L2403="","",INDEX($B$8:$B$5007,$L2403))</f>
        <v/>
      </c>
      <c r="O2403" s="32" t="str">
        <f>IF($M2403="","",IF($K2403-$M2403&gt;7,"",IF($M2403&lt;=$A2403,"",IF(OR($B2403&lt;=0,$N2403&lt;=0),"",($N2403/$B2403)^(365/($M2403-$A2403))-1))))</f>
        <v/>
      </c>
      <c r="P2403" s="31" t="str">
        <f>IF($B2403="","",IF($P2402="",$B2403,MAX($P2402,$B2403)))</f>
        <v/>
      </c>
      <c r="Q2403" s="32" t="str">
        <f>IF($P2403="","",$B2403/$P2403-1)</f>
        <v/>
      </c>
    </row>
    <row r="2404">
      <c r="A2404" s="11" t="n"/>
      <c r="B2404" s="29" t="n"/>
      <c r="K2404" s="30" t="str">
        <f>IF($A2404="","",EDATE($A2404,12*$E$4))</f>
        <v/>
      </c>
      <c r="L2404" s="19" t="str">
        <f>IF($K2404="","",IF($K2404&gt;MAX($A$8:$A$5007),"",IFERROR(MATCH($K2404,$A$8:$A$5007,1),"")))</f>
        <v/>
      </c>
      <c r="M2404" s="30" t="str">
        <f>IF($L2404="","",INDEX($A$8:$A$5007,$L2404))</f>
        <v/>
      </c>
      <c r="N2404" s="31" t="str">
        <f>IF($L2404="","",INDEX($B$8:$B$5007,$L2404))</f>
        <v/>
      </c>
      <c r="O2404" s="32" t="str">
        <f>IF($M2404="","",IF($K2404-$M2404&gt;7,"",IF($M2404&lt;=$A2404,"",IF(OR($B2404&lt;=0,$N2404&lt;=0),"",($N2404/$B2404)^(365/($M2404-$A2404))-1))))</f>
        <v/>
      </c>
      <c r="P2404" s="31" t="str">
        <f>IF($B2404="","",IF($P2403="",$B2404,MAX($P2403,$B2404)))</f>
        <v/>
      </c>
      <c r="Q2404" s="32" t="str">
        <f>IF($P2404="","",$B2404/$P2404-1)</f>
        <v/>
      </c>
    </row>
    <row r="2405">
      <c r="A2405" s="11" t="n"/>
      <c r="B2405" s="29" t="n"/>
      <c r="K2405" s="30" t="str">
        <f>IF($A2405="","",EDATE($A2405,12*$E$4))</f>
        <v/>
      </c>
      <c r="L2405" s="19" t="str">
        <f>IF($K2405="","",IF($K2405&gt;MAX($A$8:$A$5007),"",IFERROR(MATCH($K2405,$A$8:$A$5007,1),"")))</f>
        <v/>
      </c>
      <c r="M2405" s="30" t="str">
        <f>IF($L2405="","",INDEX($A$8:$A$5007,$L2405))</f>
        <v/>
      </c>
      <c r="N2405" s="31" t="str">
        <f>IF($L2405="","",INDEX($B$8:$B$5007,$L2405))</f>
        <v/>
      </c>
      <c r="O2405" s="32" t="str">
        <f>IF($M2405="","",IF($K2405-$M2405&gt;7,"",IF($M2405&lt;=$A2405,"",IF(OR($B2405&lt;=0,$N2405&lt;=0),"",($N2405/$B2405)^(365/($M2405-$A2405))-1))))</f>
        <v/>
      </c>
      <c r="P2405" s="31" t="str">
        <f>IF($B2405="","",IF($P2404="",$B2405,MAX($P2404,$B2405)))</f>
        <v/>
      </c>
      <c r="Q2405" s="32" t="str">
        <f>IF($P2405="","",$B2405/$P2405-1)</f>
        <v/>
      </c>
    </row>
    <row r="2406">
      <c r="A2406" s="11" t="n"/>
      <c r="B2406" s="29" t="n"/>
      <c r="K2406" s="30" t="str">
        <f>IF($A2406="","",EDATE($A2406,12*$E$4))</f>
        <v/>
      </c>
      <c r="L2406" s="19" t="str">
        <f>IF($K2406="","",IF($K2406&gt;MAX($A$8:$A$5007),"",IFERROR(MATCH($K2406,$A$8:$A$5007,1),"")))</f>
        <v/>
      </c>
      <c r="M2406" s="30" t="str">
        <f>IF($L2406="","",INDEX($A$8:$A$5007,$L2406))</f>
        <v/>
      </c>
      <c r="N2406" s="31" t="str">
        <f>IF($L2406="","",INDEX($B$8:$B$5007,$L2406))</f>
        <v/>
      </c>
      <c r="O2406" s="32" t="str">
        <f>IF($M2406="","",IF($K2406-$M2406&gt;7,"",IF($M2406&lt;=$A2406,"",IF(OR($B2406&lt;=0,$N2406&lt;=0),"",($N2406/$B2406)^(365/($M2406-$A2406))-1))))</f>
        <v/>
      </c>
      <c r="P2406" s="31" t="str">
        <f>IF($B2406="","",IF($P2405="",$B2406,MAX($P2405,$B2406)))</f>
        <v/>
      </c>
      <c r="Q2406" s="32" t="str">
        <f>IF($P2406="","",$B2406/$P2406-1)</f>
        <v/>
      </c>
    </row>
    <row r="2407">
      <c r="A2407" s="11" t="n"/>
      <c r="B2407" s="29" t="n"/>
      <c r="K2407" s="30" t="str">
        <f>IF($A2407="","",EDATE($A2407,12*$E$4))</f>
        <v/>
      </c>
      <c r="L2407" s="19" t="str">
        <f>IF($K2407="","",IF($K2407&gt;MAX($A$8:$A$5007),"",IFERROR(MATCH($K2407,$A$8:$A$5007,1),"")))</f>
        <v/>
      </c>
      <c r="M2407" s="30" t="str">
        <f>IF($L2407="","",INDEX($A$8:$A$5007,$L2407))</f>
        <v/>
      </c>
      <c r="N2407" s="31" t="str">
        <f>IF($L2407="","",INDEX($B$8:$B$5007,$L2407))</f>
        <v/>
      </c>
      <c r="O2407" s="32" t="str">
        <f>IF($M2407="","",IF($K2407-$M2407&gt;7,"",IF($M2407&lt;=$A2407,"",IF(OR($B2407&lt;=0,$N2407&lt;=0),"",($N2407/$B2407)^(365/($M2407-$A2407))-1))))</f>
        <v/>
      </c>
      <c r="P2407" s="31" t="str">
        <f>IF($B2407="","",IF($P2406="",$B2407,MAX($P2406,$B2407)))</f>
        <v/>
      </c>
      <c r="Q2407" s="32" t="str">
        <f>IF($P2407="","",$B2407/$P2407-1)</f>
        <v/>
      </c>
    </row>
    <row r="2408">
      <c r="A2408" s="11" t="n"/>
      <c r="B2408" s="29" t="n"/>
      <c r="K2408" s="30" t="str">
        <f>IF($A2408="","",EDATE($A2408,12*$E$4))</f>
        <v/>
      </c>
      <c r="L2408" s="19" t="str">
        <f>IF($K2408="","",IF($K2408&gt;MAX($A$8:$A$5007),"",IFERROR(MATCH($K2408,$A$8:$A$5007,1),"")))</f>
        <v/>
      </c>
      <c r="M2408" s="30" t="str">
        <f>IF($L2408="","",INDEX($A$8:$A$5007,$L2408))</f>
        <v/>
      </c>
      <c r="N2408" s="31" t="str">
        <f>IF($L2408="","",INDEX($B$8:$B$5007,$L2408))</f>
        <v/>
      </c>
      <c r="O2408" s="32" t="str">
        <f>IF($M2408="","",IF($K2408-$M2408&gt;7,"",IF($M2408&lt;=$A2408,"",IF(OR($B2408&lt;=0,$N2408&lt;=0),"",($N2408/$B2408)^(365/($M2408-$A2408))-1))))</f>
        <v/>
      </c>
      <c r="P2408" s="31" t="str">
        <f>IF($B2408="","",IF($P2407="",$B2408,MAX($P2407,$B2408)))</f>
        <v/>
      </c>
      <c r="Q2408" s="32" t="str">
        <f>IF($P2408="","",$B2408/$P2408-1)</f>
        <v/>
      </c>
    </row>
    <row r="2409">
      <c r="A2409" s="11" t="n"/>
      <c r="B2409" s="29" t="n"/>
      <c r="K2409" s="30" t="str">
        <f>IF($A2409="","",EDATE($A2409,12*$E$4))</f>
        <v/>
      </c>
      <c r="L2409" s="19" t="str">
        <f>IF($K2409="","",IF($K2409&gt;MAX($A$8:$A$5007),"",IFERROR(MATCH($K2409,$A$8:$A$5007,1),"")))</f>
        <v/>
      </c>
      <c r="M2409" s="30" t="str">
        <f>IF($L2409="","",INDEX($A$8:$A$5007,$L2409))</f>
        <v/>
      </c>
      <c r="N2409" s="31" t="str">
        <f>IF($L2409="","",INDEX($B$8:$B$5007,$L2409))</f>
        <v/>
      </c>
      <c r="O2409" s="32" t="str">
        <f>IF($M2409="","",IF($K2409-$M2409&gt;7,"",IF($M2409&lt;=$A2409,"",IF(OR($B2409&lt;=0,$N2409&lt;=0),"",($N2409/$B2409)^(365/($M2409-$A2409))-1))))</f>
        <v/>
      </c>
      <c r="P2409" s="31" t="str">
        <f>IF($B2409="","",IF($P2408="",$B2409,MAX($P2408,$B2409)))</f>
        <v/>
      </c>
      <c r="Q2409" s="32" t="str">
        <f>IF($P2409="","",$B2409/$P2409-1)</f>
        <v/>
      </c>
    </row>
    <row r="2410">
      <c r="A2410" s="11" t="n"/>
      <c r="B2410" s="29" t="n"/>
      <c r="K2410" s="30" t="str">
        <f>IF($A2410="","",EDATE($A2410,12*$E$4))</f>
        <v/>
      </c>
      <c r="L2410" s="19" t="str">
        <f>IF($K2410="","",IF($K2410&gt;MAX($A$8:$A$5007),"",IFERROR(MATCH($K2410,$A$8:$A$5007,1),"")))</f>
        <v/>
      </c>
      <c r="M2410" s="30" t="str">
        <f>IF($L2410="","",INDEX($A$8:$A$5007,$L2410))</f>
        <v/>
      </c>
      <c r="N2410" s="31" t="str">
        <f>IF($L2410="","",INDEX($B$8:$B$5007,$L2410))</f>
        <v/>
      </c>
      <c r="O2410" s="32" t="str">
        <f>IF($M2410="","",IF($K2410-$M2410&gt;7,"",IF($M2410&lt;=$A2410,"",IF(OR($B2410&lt;=0,$N2410&lt;=0),"",($N2410/$B2410)^(365/($M2410-$A2410))-1))))</f>
        <v/>
      </c>
      <c r="P2410" s="31" t="str">
        <f>IF($B2410="","",IF($P2409="",$B2410,MAX($P2409,$B2410)))</f>
        <v/>
      </c>
      <c r="Q2410" s="32" t="str">
        <f>IF($P2410="","",$B2410/$P2410-1)</f>
        <v/>
      </c>
    </row>
    <row r="2411">
      <c r="A2411" s="11" t="n"/>
      <c r="B2411" s="29" t="n"/>
      <c r="K2411" s="30" t="str">
        <f>IF($A2411="","",EDATE($A2411,12*$E$4))</f>
        <v/>
      </c>
      <c r="L2411" s="19" t="str">
        <f>IF($K2411="","",IF($K2411&gt;MAX($A$8:$A$5007),"",IFERROR(MATCH($K2411,$A$8:$A$5007,1),"")))</f>
        <v/>
      </c>
      <c r="M2411" s="30" t="str">
        <f>IF($L2411="","",INDEX($A$8:$A$5007,$L2411))</f>
        <v/>
      </c>
      <c r="N2411" s="31" t="str">
        <f>IF($L2411="","",INDEX($B$8:$B$5007,$L2411))</f>
        <v/>
      </c>
      <c r="O2411" s="32" t="str">
        <f>IF($M2411="","",IF($K2411-$M2411&gt;7,"",IF($M2411&lt;=$A2411,"",IF(OR($B2411&lt;=0,$N2411&lt;=0),"",($N2411/$B2411)^(365/($M2411-$A2411))-1))))</f>
        <v/>
      </c>
      <c r="P2411" s="31" t="str">
        <f>IF($B2411="","",IF($P2410="",$B2411,MAX($P2410,$B2411)))</f>
        <v/>
      </c>
      <c r="Q2411" s="32" t="str">
        <f>IF($P2411="","",$B2411/$P2411-1)</f>
        <v/>
      </c>
    </row>
    <row r="2412">
      <c r="A2412" s="11" t="n"/>
      <c r="B2412" s="29" t="n"/>
      <c r="K2412" s="30" t="str">
        <f>IF($A2412="","",EDATE($A2412,12*$E$4))</f>
        <v/>
      </c>
      <c r="L2412" s="19" t="str">
        <f>IF($K2412="","",IF($K2412&gt;MAX($A$8:$A$5007),"",IFERROR(MATCH($K2412,$A$8:$A$5007,1),"")))</f>
        <v/>
      </c>
      <c r="M2412" s="30" t="str">
        <f>IF($L2412="","",INDEX($A$8:$A$5007,$L2412))</f>
        <v/>
      </c>
      <c r="N2412" s="31" t="str">
        <f>IF($L2412="","",INDEX($B$8:$B$5007,$L2412))</f>
        <v/>
      </c>
      <c r="O2412" s="32" t="str">
        <f>IF($M2412="","",IF($K2412-$M2412&gt;7,"",IF($M2412&lt;=$A2412,"",IF(OR($B2412&lt;=0,$N2412&lt;=0),"",($N2412/$B2412)^(365/($M2412-$A2412))-1))))</f>
        <v/>
      </c>
      <c r="P2412" s="31" t="str">
        <f>IF($B2412="","",IF($P2411="",$B2412,MAX($P2411,$B2412)))</f>
        <v/>
      </c>
      <c r="Q2412" s="32" t="str">
        <f>IF($P2412="","",$B2412/$P2412-1)</f>
        <v/>
      </c>
    </row>
    <row r="2413">
      <c r="A2413" s="11" t="n"/>
      <c r="B2413" s="29" t="n"/>
      <c r="K2413" s="30" t="str">
        <f>IF($A2413="","",EDATE($A2413,12*$E$4))</f>
        <v/>
      </c>
      <c r="L2413" s="19" t="str">
        <f>IF($K2413="","",IF($K2413&gt;MAX($A$8:$A$5007),"",IFERROR(MATCH($K2413,$A$8:$A$5007,1),"")))</f>
        <v/>
      </c>
      <c r="M2413" s="30" t="str">
        <f>IF($L2413="","",INDEX($A$8:$A$5007,$L2413))</f>
        <v/>
      </c>
      <c r="N2413" s="31" t="str">
        <f>IF($L2413="","",INDEX($B$8:$B$5007,$L2413))</f>
        <v/>
      </c>
      <c r="O2413" s="32" t="str">
        <f>IF($M2413="","",IF($K2413-$M2413&gt;7,"",IF($M2413&lt;=$A2413,"",IF(OR($B2413&lt;=0,$N2413&lt;=0),"",($N2413/$B2413)^(365/($M2413-$A2413))-1))))</f>
        <v/>
      </c>
      <c r="P2413" s="31" t="str">
        <f>IF($B2413="","",IF($P2412="",$B2413,MAX($P2412,$B2413)))</f>
        <v/>
      </c>
      <c r="Q2413" s="32" t="str">
        <f>IF($P2413="","",$B2413/$P2413-1)</f>
        <v/>
      </c>
    </row>
    <row r="2414">
      <c r="A2414" s="11" t="n"/>
      <c r="B2414" s="29" t="n"/>
      <c r="K2414" s="30" t="str">
        <f>IF($A2414="","",EDATE($A2414,12*$E$4))</f>
        <v/>
      </c>
      <c r="L2414" s="19" t="str">
        <f>IF($K2414="","",IF($K2414&gt;MAX($A$8:$A$5007),"",IFERROR(MATCH($K2414,$A$8:$A$5007,1),"")))</f>
        <v/>
      </c>
      <c r="M2414" s="30" t="str">
        <f>IF($L2414="","",INDEX($A$8:$A$5007,$L2414))</f>
        <v/>
      </c>
      <c r="N2414" s="31" t="str">
        <f>IF($L2414="","",INDEX($B$8:$B$5007,$L2414))</f>
        <v/>
      </c>
      <c r="O2414" s="32" t="str">
        <f>IF($M2414="","",IF($K2414-$M2414&gt;7,"",IF($M2414&lt;=$A2414,"",IF(OR($B2414&lt;=0,$N2414&lt;=0),"",($N2414/$B2414)^(365/($M2414-$A2414))-1))))</f>
        <v/>
      </c>
      <c r="P2414" s="31" t="str">
        <f>IF($B2414="","",IF($P2413="",$B2414,MAX($P2413,$B2414)))</f>
        <v/>
      </c>
      <c r="Q2414" s="32" t="str">
        <f>IF($P2414="","",$B2414/$P2414-1)</f>
        <v/>
      </c>
    </row>
    <row r="2415">
      <c r="A2415" s="11" t="n"/>
      <c r="B2415" s="29" t="n"/>
      <c r="K2415" s="30" t="str">
        <f>IF($A2415="","",EDATE($A2415,12*$E$4))</f>
        <v/>
      </c>
      <c r="L2415" s="19" t="str">
        <f>IF($K2415="","",IF($K2415&gt;MAX($A$8:$A$5007),"",IFERROR(MATCH($K2415,$A$8:$A$5007,1),"")))</f>
        <v/>
      </c>
      <c r="M2415" s="30" t="str">
        <f>IF($L2415="","",INDEX($A$8:$A$5007,$L2415))</f>
        <v/>
      </c>
      <c r="N2415" s="31" t="str">
        <f>IF($L2415="","",INDEX($B$8:$B$5007,$L2415))</f>
        <v/>
      </c>
      <c r="O2415" s="32" t="str">
        <f>IF($M2415="","",IF($K2415-$M2415&gt;7,"",IF($M2415&lt;=$A2415,"",IF(OR($B2415&lt;=0,$N2415&lt;=0),"",($N2415/$B2415)^(365/($M2415-$A2415))-1))))</f>
        <v/>
      </c>
      <c r="P2415" s="31" t="str">
        <f>IF($B2415="","",IF($P2414="",$B2415,MAX($P2414,$B2415)))</f>
        <v/>
      </c>
      <c r="Q2415" s="32" t="str">
        <f>IF($P2415="","",$B2415/$P2415-1)</f>
        <v/>
      </c>
    </row>
    <row r="2416">
      <c r="A2416" s="11" t="n"/>
      <c r="B2416" s="29" t="n"/>
      <c r="K2416" s="30" t="str">
        <f>IF($A2416="","",EDATE($A2416,12*$E$4))</f>
        <v/>
      </c>
      <c r="L2416" s="19" t="str">
        <f>IF($K2416="","",IF($K2416&gt;MAX($A$8:$A$5007),"",IFERROR(MATCH($K2416,$A$8:$A$5007,1),"")))</f>
        <v/>
      </c>
      <c r="M2416" s="30" t="str">
        <f>IF($L2416="","",INDEX($A$8:$A$5007,$L2416))</f>
        <v/>
      </c>
      <c r="N2416" s="31" t="str">
        <f>IF($L2416="","",INDEX($B$8:$B$5007,$L2416))</f>
        <v/>
      </c>
      <c r="O2416" s="32" t="str">
        <f>IF($M2416="","",IF($K2416-$M2416&gt;7,"",IF($M2416&lt;=$A2416,"",IF(OR($B2416&lt;=0,$N2416&lt;=0),"",($N2416/$B2416)^(365/($M2416-$A2416))-1))))</f>
        <v/>
      </c>
      <c r="P2416" s="31" t="str">
        <f>IF($B2416="","",IF($P2415="",$B2416,MAX($P2415,$B2416)))</f>
        <v/>
      </c>
      <c r="Q2416" s="32" t="str">
        <f>IF($P2416="","",$B2416/$P2416-1)</f>
        <v/>
      </c>
    </row>
    <row r="2417">
      <c r="A2417" s="11" t="n"/>
      <c r="B2417" s="29" t="n"/>
      <c r="K2417" s="30" t="str">
        <f>IF($A2417="","",EDATE($A2417,12*$E$4))</f>
        <v/>
      </c>
      <c r="L2417" s="19" t="str">
        <f>IF($K2417="","",IF($K2417&gt;MAX($A$8:$A$5007),"",IFERROR(MATCH($K2417,$A$8:$A$5007,1),"")))</f>
        <v/>
      </c>
      <c r="M2417" s="30" t="str">
        <f>IF($L2417="","",INDEX($A$8:$A$5007,$L2417))</f>
        <v/>
      </c>
      <c r="N2417" s="31" t="str">
        <f>IF($L2417="","",INDEX($B$8:$B$5007,$L2417))</f>
        <v/>
      </c>
      <c r="O2417" s="32" t="str">
        <f>IF($M2417="","",IF($K2417-$M2417&gt;7,"",IF($M2417&lt;=$A2417,"",IF(OR($B2417&lt;=0,$N2417&lt;=0),"",($N2417/$B2417)^(365/($M2417-$A2417))-1))))</f>
        <v/>
      </c>
      <c r="P2417" s="31" t="str">
        <f>IF($B2417="","",IF($P2416="",$B2417,MAX($P2416,$B2417)))</f>
        <v/>
      </c>
      <c r="Q2417" s="32" t="str">
        <f>IF($P2417="","",$B2417/$P2417-1)</f>
        <v/>
      </c>
    </row>
    <row r="2418">
      <c r="A2418" s="11" t="n"/>
      <c r="B2418" s="29" t="n"/>
      <c r="K2418" s="30" t="str">
        <f>IF($A2418="","",EDATE($A2418,12*$E$4))</f>
        <v/>
      </c>
      <c r="L2418" s="19" t="str">
        <f>IF($K2418="","",IF($K2418&gt;MAX($A$8:$A$5007),"",IFERROR(MATCH($K2418,$A$8:$A$5007,1),"")))</f>
        <v/>
      </c>
      <c r="M2418" s="30" t="str">
        <f>IF($L2418="","",INDEX($A$8:$A$5007,$L2418))</f>
        <v/>
      </c>
      <c r="N2418" s="31" t="str">
        <f>IF($L2418="","",INDEX($B$8:$B$5007,$L2418))</f>
        <v/>
      </c>
      <c r="O2418" s="32" t="str">
        <f>IF($M2418="","",IF($K2418-$M2418&gt;7,"",IF($M2418&lt;=$A2418,"",IF(OR($B2418&lt;=0,$N2418&lt;=0),"",($N2418/$B2418)^(365/($M2418-$A2418))-1))))</f>
        <v/>
      </c>
      <c r="P2418" s="31" t="str">
        <f>IF($B2418="","",IF($P2417="",$B2418,MAX($P2417,$B2418)))</f>
        <v/>
      </c>
      <c r="Q2418" s="32" t="str">
        <f>IF($P2418="","",$B2418/$P2418-1)</f>
        <v/>
      </c>
    </row>
    <row r="2419">
      <c r="A2419" s="11" t="n"/>
      <c r="B2419" s="29" t="n"/>
      <c r="K2419" s="30" t="str">
        <f>IF($A2419="","",EDATE($A2419,12*$E$4))</f>
        <v/>
      </c>
      <c r="L2419" s="19" t="str">
        <f>IF($K2419="","",IF($K2419&gt;MAX($A$8:$A$5007),"",IFERROR(MATCH($K2419,$A$8:$A$5007,1),"")))</f>
        <v/>
      </c>
      <c r="M2419" s="30" t="str">
        <f>IF($L2419="","",INDEX($A$8:$A$5007,$L2419))</f>
        <v/>
      </c>
      <c r="N2419" s="31" t="str">
        <f>IF($L2419="","",INDEX($B$8:$B$5007,$L2419))</f>
        <v/>
      </c>
      <c r="O2419" s="32" t="str">
        <f>IF($M2419="","",IF($K2419-$M2419&gt;7,"",IF($M2419&lt;=$A2419,"",IF(OR($B2419&lt;=0,$N2419&lt;=0),"",($N2419/$B2419)^(365/($M2419-$A2419))-1))))</f>
        <v/>
      </c>
      <c r="P2419" s="31" t="str">
        <f>IF($B2419="","",IF($P2418="",$B2419,MAX($P2418,$B2419)))</f>
        <v/>
      </c>
      <c r="Q2419" s="32" t="str">
        <f>IF($P2419="","",$B2419/$P2419-1)</f>
        <v/>
      </c>
    </row>
    <row r="2420">
      <c r="A2420" s="11" t="n"/>
      <c r="B2420" s="29" t="n"/>
      <c r="K2420" s="30" t="str">
        <f>IF($A2420="","",EDATE($A2420,12*$E$4))</f>
        <v/>
      </c>
      <c r="L2420" s="19" t="str">
        <f>IF($K2420="","",IF($K2420&gt;MAX($A$8:$A$5007),"",IFERROR(MATCH($K2420,$A$8:$A$5007,1),"")))</f>
        <v/>
      </c>
      <c r="M2420" s="30" t="str">
        <f>IF($L2420="","",INDEX($A$8:$A$5007,$L2420))</f>
        <v/>
      </c>
      <c r="N2420" s="31" t="str">
        <f>IF($L2420="","",INDEX($B$8:$B$5007,$L2420))</f>
        <v/>
      </c>
      <c r="O2420" s="32" t="str">
        <f>IF($M2420="","",IF($K2420-$M2420&gt;7,"",IF($M2420&lt;=$A2420,"",IF(OR($B2420&lt;=0,$N2420&lt;=0),"",($N2420/$B2420)^(365/($M2420-$A2420))-1))))</f>
        <v/>
      </c>
      <c r="P2420" s="31" t="str">
        <f>IF($B2420="","",IF($P2419="",$B2420,MAX($P2419,$B2420)))</f>
        <v/>
      </c>
      <c r="Q2420" s="32" t="str">
        <f>IF($P2420="","",$B2420/$P2420-1)</f>
        <v/>
      </c>
    </row>
    <row r="2421">
      <c r="A2421" s="11" t="n"/>
      <c r="B2421" s="29" t="n"/>
      <c r="K2421" s="30" t="str">
        <f>IF($A2421="","",EDATE($A2421,12*$E$4))</f>
        <v/>
      </c>
      <c r="L2421" s="19" t="str">
        <f>IF($K2421="","",IF($K2421&gt;MAX($A$8:$A$5007),"",IFERROR(MATCH($K2421,$A$8:$A$5007,1),"")))</f>
        <v/>
      </c>
      <c r="M2421" s="30" t="str">
        <f>IF($L2421="","",INDEX($A$8:$A$5007,$L2421))</f>
        <v/>
      </c>
      <c r="N2421" s="31" t="str">
        <f>IF($L2421="","",INDEX($B$8:$B$5007,$L2421))</f>
        <v/>
      </c>
      <c r="O2421" s="32" t="str">
        <f>IF($M2421="","",IF($K2421-$M2421&gt;7,"",IF($M2421&lt;=$A2421,"",IF(OR($B2421&lt;=0,$N2421&lt;=0),"",($N2421/$B2421)^(365/($M2421-$A2421))-1))))</f>
        <v/>
      </c>
      <c r="P2421" s="31" t="str">
        <f>IF($B2421="","",IF($P2420="",$B2421,MAX($P2420,$B2421)))</f>
        <v/>
      </c>
      <c r="Q2421" s="32" t="str">
        <f>IF($P2421="","",$B2421/$P2421-1)</f>
        <v/>
      </c>
    </row>
    <row r="2422">
      <c r="A2422" s="11" t="n"/>
      <c r="B2422" s="29" t="n"/>
      <c r="K2422" s="30" t="str">
        <f>IF($A2422="","",EDATE($A2422,12*$E$4))</f>
        <v/>
      </c>
      <c r="L2422" s="19" t="str">
        <f>IF($K2422="","",IF($K2422&gt;MAX($A$8:$A$5007),"",IFERROR(MATCH($K2422,$A$8:$A$5007,1),"")))</f>
        <v/>
      </c>
      <c r="M2422" s="30" t="str">
        <f>IF($L2422="","",INDEX($A$8:$A$5007,$L2422))</f>
        <v/>
      </c>
      <c r="N2422" s="31" t="str">
        <f>IF($L2422="","",INDEX($B$8:$B$5007,$L2422))</f>
        <v/>
      </c>
      <c r="O2422" s="32" t="str">
        <f>IF($M2422="","",IF($K2422-$M2422&gt;7,"",IF($M2422&lt;=$A2422,"",IF(OR($B2422&lt;=0,$N2422&lt;=0),"",($N2422/$B2422)^(365/($M2422-$A2422))-1))))</f>
        <v/>
      </c>
      <c r="P2422" s="31" t="str">
        <f>IF($B2422="","",IF($P2421="",$B2422,MAX($P2421,$B2422)))</f>
        <v/>
      </c>
      <c r="Q2422" s="32" t="str">
        <f>IF($P2422="","",$B2422/$P2422-1)</f>
        <v/>
      </c>
    </row>
    <row r="2423">
      <c r="A2423" s="11" t="n"/>
      <c r="B2423" s="29" t="n"/>
      <c r="K2423" s="30" t="str">
        <f>IF($A2423="","",EDATE($A2423,12*$E$4))</f>
        <v/>
      </c>
      <c r="L2423" s="19" t="str">
        <f>IF($K2423="","",IF($K2423&gt;MAX($A$8:$A$5007),"",IFERROR(MATCH($K2423,$A$8:$A$5007,1),"")))</f>
        <v/>
      </c>
      <c r="M2423" s="30" t="str">
        <f>IF($L2423="","",INDEX($A$8:$A$5007,$L2423))</f>
        <v/>
      </c>
      <c r="N2423" s="31" t="str">
        <f>IF($L2423="","",INDEX($B$8:$B$5007,$L2423))</f>
        <v/>
      </c>
      <c r="O2423" s="32" t="str">
        <f>IF($M2423="","",IF($K2423-$M2423&gt;7,"",IF($M2423&lt;=$A2423,"",IF(OR($B2423&lt;=0,$N2423&lt;=0),"",($N2423/$B2423)^(365/($M2423-$A2423))-1))))</f>
        <v/>
      </c>
      <c r="P2423" s="31" t="str">
        <f>IF($B2423="","",IF($P2422="",$B2423,MAX($P2422,$B2423)))</f>
        <v/>
      </c>
      <c r="Q2423" s="32" t="str">
        <f>IF($P2423="","",$B2423/$P2423-1)</f>
        <v/>
      </c>
    </row>
    <row r="2424">
      <c r="A2424" s="11" t="n"/>
      <c r="B2424" s="29" t="n"/>
      <c r="K2424" s="30" t="str">
        <f>IF($A2424="","",EDATE($A2424,12*$E$4))</f>
        <v/>
      </c>
      <c r="L2424" s="19" t="str">
        <f>IF($K2424="","",IF($K2424&gt;MAX($A$8:$A$5007),"",IFERROR(MATCH($K2424,$A$8:$A$5007,1),"")))</f>
        <v/>
      </c>
      <c r="M2424" s="30" t="str">
        <f>IF($L2424="","",INDEX($A$8:$A$5007,$L2424))</f>
        <v/>
      </c>
      <c r="N2424" s="31" t="str">
        <f>IF($L2424="","",INDEX($B$8:$B$5007,$L2424))</f>
        <v/>
      </c>
      <c r="O2424" s="32" t="str">
        <f>IF($M2424="","",IF($K2424-$M2424&gt;7,"",IF($M2424&lt;=$A2424,"",IF(OR($B2424&lt;=0,$N2424&lt;=0),"",($N2424/$B2424)^(365/($M2424-$A2424))-1))))</f>
        <v/>
      </c>
      <c r="P2424" s="31" t="str">
        <f>IF($B2424="","",IF($P2423="",$B2424,MAX($P2423,$B2424)))</f>
        <v/>
      </c>
      <c r="Q2424" s="32" t="str">
        <f>IF($P2424="","",$B2424/$P2424-1)</f>
        <v/>
      </c>
    </row>
    <row r="2425">
      <c r="A2425" s="11" t="n"/>
      <c r="B2425" s="29" t="n"/>
      <c r="K2425" s="30" t="str">
        <f>IF($A2425="","",EDATE($A2425,12*$E$4))</f>
        <v/>
      </c>
      <c r="L2425" s="19" t="str">
        <f>IF($K2425="","",IF($K2425&gt;MAX($A$8:$A$5007),"",IFERROR(MATCH($K2425,$A$8:$A$5007,1),"")))</f>
        <v/>
      </c>
      <c r="M2425" s="30" t="str">
        <f>IF($L2425="","",INDEX($A$8:$A$5007,$L2425))</f>
        <v/>
      </c>
      <c r="N2425" s="31" t="str">
        <f>IF($L2425="","",INDEX($B$8:$B$5007,$L2425))</f>
        <v/>
      </c>
      <c r="O2425" s="32" t="str">
        <f>IF($M2425="","",IF($K2425-$M2425&gt;7,"",IF($M2425&lt;=$A2425,"",IF(OR($B2425&lt;=0,$N2425&lt;=0),"",($N2425/$B2425)^(365/($M2425-$A2425))-1))))</f>
        <v/>
      </c>
      <c r="P2425" s="31" t="str">
        <f>IF($B2425="","",IF($P2424="",$B2425,MAX($P2424,$B2425)))</f>
        <v/>
      </c>
      <c r="Q2425" s="32" t="str">
        <f>IF($P2425="","",$B2425/$P2425-1)</f>
        <v/>
      </c>
    </row>
    <row r="2426">
      <c r="A2426" s="11" t="n"/>
      <c r="B2426" s="29" t="n"/>
      <c r="K2426" s="30" t="str">
        <f>IF($A2426="","",EDATE($A2426,12*$E$4))</f>
        <v/>
      </c>
      <c r="L2426" s="19" t="str">
        <f>IF($K2426="","",IF($K2426&gt;MAX($A$8:$A$5007),"",IFERROR(MATCH($K2426,$A$8:$A$5007,1),"")))</f>
        <v/>
      </c>
      <c r="M2426" s="30" t="str">
        <f>IF($L2426="","",INDEX($A$8:$A$5007,$L2426))</f>
        <v/>
      </c>
      <c r="N2426" s="31" t="str">
        <f>IF($L2426="","",INDEX($B$8:$B$5007,$L2426))</f>
        <v/>
      </c>
      <c r="O2426" s="32" t="str">
        <f>IF($M2426="","",IF($K2426-$M2426&gt;7,"",IF($M2426&lt;=$A2426,"",IF(OR($B2426&lt;=0,$N2426&lt;=0),"",($N2426/$B2426)^(365/($M2426-$A2426))-1))))</f>
        <v/>
      </c>
      <c r="P2426" s="31" t="str">
        <f>IF($B2426="","",IF($P2425="",$B2426,MAX($P2425,$B2426)))</f>
        <v/>
      </c>
      <c r="Q2426" s="32" t="str">
        <f>IF($P2426="","",$B2426/$P2426-1)</f>
        <v/>
      </c>
    </row>
    <row r="2427">
      <c r="A2427" s="11" t="n"/>
      <c r="B2427" s="29" t="n"/>
      <c r="K2427" s="30" t="str">
        <f>IF($A2427="","",EDATE($A2427,12*$E$4))</f>
        <v/>
      </c>
      <c r="L2427" s="19" t="str">
        <f>IF($K2427="","",IF($K2427&gt;MAX($A$8:$A$5007),"",IFERROR(MATCH($K2427,$A$8:$A$5007,1),"")))</f>
        <v/>
      </c>
      <c r="M2427" s="30" t="str">
        <f>IF($L2427="","",INDEX($A$8:$A$5007,$L2427))</f>
        <v/>
      </c>
      <c r="N2427" s="31" t="str">
        <f>IF($L2427="","",INDEX($B$8:$B$5007,$L2427))</f>
        <v/>
      </c>
      <c r="O2427" s="32" t="str">
        <f>IF($M2427="","",IF($K2427-$M2427&gt;7,"",IF($M2427&lt;=$A2427,"",IF(OR($B2427&lt;=0,$N2427&lt;=0),"",($N2427/$B2427)^(365/($M2427-$A2427))-1))))</f>
        <v/>
      </c>
      <c r="P2427" s="31" t="str">
        <f>IF($B2427="","",IF($P2426="",$B2427,MAX($P2426,$B2427)))</f>
        <v/>
      </c>
      <c r="Q2427" s="32" t="str">
        <f>IF($P2427="","",$B2427/$P2427-1)</f>
        <v/>
      </c>
    </row>
    <row r="2428">
      <c r="A2428" s="11" t="n"/>
      <c r="B2428" s="29" t="n"/>
      <c r="K2428" s="30" t="str">
        <f>IF($A2428="","",EDATE($A2428,12*$E$4))</f>
        <v/>
      </c>
      <c r="L2428" s="19" t="str">
        <f>IF($K2428="","",IF($K2428&gt;MAX($A$8:$A$5007),"",IFERROR(MATCH($K2428,$A$8:$A$5007,1),"")))</f>
        <v/>
      </c>
      <c r="M2428" s="30" t="str">
        <f>IF($L2428="","",INDEX($A$8:$A$5007,$L2428))</f>
        <v/>
      </c>
      <c r="N2428" s="31" t="str">
        <f>IF($L2428="","",INDEX($B$8:$B$5007,$L2428))</f>
        <v/>
      </c>
      <c r="O2428" s="32" t="str">
        <f>IF($M2428="","",IF($K2428-$M2428&gt;7,"",IF($M2428&lt;=$A2428,"",IF(OR($B2428&lt;=0,$N2428&lt;=0),"",($N2428/$B2428)^(365/($M2428-$A2428))-1))))</f>
        <v/>
      </c>
      <c r="P2428" s="31" t="str">
        <f>IF($B2428="","",IF($P2427="",$B2428,MAX($P2427,$B2428)))</f>
        <v/>
      </c>
      <c r="Q2428" s="32" t="str">
        <f>IF($P2428="","",$B2428/$P2428-1)</f>
        <v/>
      </c>
    </row>
    <row r="2429">
      <c r="A2429" s="11" t="n"/>
      <c r="B2429" s="29" t="n"/>
      <c r="K2429" s="30" t="str">
        <f>IF($A2429="","",EDATE($A2429,12*$E$4))</f>
        <v/>
      </c>
      <c r="L2429" s="19" t="str">
        <f>IF($K2429="","",IF($K2429&gt;MAX($A$8:$A$5007),"",IFERROR(MATCH($K2429,$A$8:$A$5007,1),"")))</f>
        <v/>
      </c>
      <c r="M2429" s="30" t="str">
        <f>IF($L2429="","",INDEX($A$8:$A$5007,$L2429))</f>
        <v/>
      </c>
      <c r="N2429" s="31" t="str">
        <f>IF($L2429="","",INDEX($B$8:$B$5007,$L2429))</f>
        <v/>
      </c>
      <c r="O2429" s="32" t="str">
        <f>IF($M2429="","",IF($K2429-$M2429&gt;7,"",IF($M2429&lt;=$A2429,"",IF(OR($B2429&lt;=0,$N2429&lt;=0),"",($N2429/$B2429)^(365/($M2429-$A2429))-1))))</f>
        <v/>
      </c>
      <c r="P2429" s="31" t="str">
        <f>IF($B2429="","",IF($P2428="",$B2429,MAX($P2428,$B2429)))</f>
        <v/>
      </c>
      <c r="Q2429" s="32" t="str">
        <f>IF($P2429="","",$B2429/$P2429-1)</f>
        <v/>
      </c>
    </row>
    <row r="2430">
      <c r="A2430" s="11" t="n"/>
      <c r="B2430" s="29" t="n"/>
      <c r="K2430" s="30" t="str">
        <f>IF($A2430="","",EDATE($A2430,12*$E$4))</f>
        <v/>
      </c>
      <c r="L2430" s="19" t="str">
        <f>IF($K2430="","",IF($K2430&gt;MAX($A$8:$A$5007),"",IFERROR(MATCH($K2430,$A$8:$A$5007,1),"")))</f>
        <v/>
      </c>
      <c r="M2430" s="30" t="str">
        <f>IF($L2430="","",INDEX($A$8:$A$5007,$L2430))</f>
        <v/>
      </c>
      <c r="N2430" s="31" t="str">
        <f>IF($L2430="","",INDEX($B$8:$B$5007,$L2430))</f>
        <v/>
      </c>
      <c r="O2430" s="32" t="str">
        <f>IF($M2430="","",IF($K2430-$M2430&gt;7,"",IF($M2430&lt;=$A2430,"",IF(OR($B2430&lt;=0,$N2430&lt;=0),"",($N2430/$B2430)^(365/($M2430-$A2430))-1))))</f>
        <v/>
      </c>
      <c r="P2430" s="31" t="str">
        <f>IF($B2430="","",IF($P2429="",$B2430,MAX($P2429,$B2430)))</f>
        <v/>
      </c>
      <c r="Q2430" s="32" t="str">
        <f>IF($P2430="","",$B2430/$P2430-1)</f>
        <v/>
      </c>
    </row>
    <row r="2431">
      <c r="A2431" s="11" t="n"/>
      <c r="B2431" s="29" t="n"/>
      <c r="K2431" s="30" t="str">
        <f>IF($A2431="","",EDATE($A2431,12*$E$4))</f>
        <v/>
      </c>
      <c r="L2431" s="19" t="str">
        <f>IF($K2431="","",IF($K2431&gt;MAX($A$8:$A$5007),"",IFERROR(MATCH($K2431,$A$8:$A$5007,1),"")))</f>
        <v/>
      </c>
      <c r="M2431" s="30" t="str">
        <f>IF($L2431="","",INDEX($A$8:$A$5007,$L2431))</f>
        <v/>
      </c>
      <c r="N2431" s="31" t="str">
        <f>IF($L2431="","",INDEX($B$8:$B$5007,$L2431))</f>
        <v/>
      </c>
      <c r="O2431" s="32" t="str">
        <f>IF($M2431="","",IF($K2431-$M2431&gt;7,"",IF($M2431&lt;=$A2431,"",IF(OR($B2431&lt;=0,$N2431&lt;=0),"",($N2431/$B2431)^(365/($M2431-$A2431))-1))))</f>
        <v/>
      </c>
      <c r="P2431" s="31" t="str">
        <f>IF($B2431="","",IF($P2430="",$B2431,MAX($P2430,$B2431)))</f>
        <v/>
      </c>
      <c r="Q2431" s="32" t="str">
        <f>IF($P2431="","",$B2431/$P2431-1)</f>
        <v/>
      </c>
    </row>
    <row r="2432">
      <c r="A2432" s="11" t="n"/>
      <c r="B2432" s="29" t="n"/>
      <c r="K2432" s="30" t="str">
        <f>IF($A2432="","",EDATE($A2432,12*$E$4))</f>
        <v/>
      </c>
      <c r="L2432" s="19" t="str">
        <f>IF($K2432="","",IF($K2432&gt;MAX($A$8:$A$5007),"",IFERROR(MATCH($K2432,$A$8:$A$5007,1),"")))</f>
        <v/>
      </c>
      <c r="M2432" s="30" t="str">
        <f>IF($L2432="","",INDEX($A$8:$A$5007,$L2432))</f>
        <v/>
      </c>
      <c r="N2432" s="31" t="str">
        <f>IF($L2432="","",INDEX($B$8:$B$5007,$L2432))</f>
        <v/>
      </c>
      <c r="O2432" s="32" t="str">
        <f>IF($M2432="","",IF($K2432-$M2432&gt;7,"",IF($M2432&lt;=$A2432,"",IF(OR($B2432&lt;=0,$N2432&lt;=0),"",($N2432/$B2432)^(365/($M2432-$A2432))-1))))</f>
        <v/>
      </c>
      <c r="P2432" s="31" t="str">
        <f>IF($B2432="","",IF($P2431="",$B2432,MAX($P2431,$B2432)))</f>
        <v/>
      </c>
      <c r="Q2432" s="32" t="str">
        <f>IF($P2432="","",$B2432/$P2432-1)</f>
        <v/>
      </c>
    </row>
    <row r="2433">
      <c r="A2433" s="11" t="n"/>
      <c r="B2433" s="29" t="n"/>
      <c r="K2433" s="30" t="str">
        <f>IF($A2433="","",EDATE($A2433,12*$E$4))</f>
        <v/>
      </c>
      <c r="L2433" s="19" t="str">
        <f>IF($K2433="","",IF($K2433&gt;MAX($A$8:$A$5007),"",IFERROR(MATCH($K2433,$A$8:$A$5007,1),"")))</f>
        <v/>
      </c>
      <c r="M2433" s="30" t="str">
        <f>IF($L2433="","",INDEX($A$8:$A$5007,$L2433))</f>
        <v/>
      </c>
      <c r="N2433" s="31" t="str">
        <f>IF($L2433="","",INDEX($B$8:$B$5007,$L2433))</f>
        <v/>
      </c>
      <c r="O2433" s="32" t="str">
        <f>IF($M2433="","",IF($K2433-$M2433&gt;7,"",IF($M2433&lt;=$A2433,"",IF(OR($B2433&lt;=0,$N2433&lt;=0),"",($N2433/$B2433)^(365/($M2433-$A2433))-1))))</f>
        <v/>
      </c>
      <c r="P2433" s="31" t="str">
        <f>IF($B2433="","",IF($P2432="",$B2433,MAX($P2432,$B2433)))</f>
        <v/>
      </c>
      <c r="Q2433" s="32" t="str">
        <f>IF($P2433="","",$B2433/$P2433-1)</f>
        <v/>
      </c>
    </row>
    <row r="2434">
      <c r="A2434" s="11" t="n"/>
      <c r="B2434" s="29" t="n"/>
      <c r="K2434" s="30" t="str">
        <f>IF($A2434="","",EDATE($A2434,12*$E$4))</f>
        <v/>
      </c>
      <c r="L2434" s="19" t="str">
        <f>IF($K2434="","",IF($K2434&gt;MAX($A$8:$A$5007),"",IFERROR(MATCH($K2434,$A$8:$A$5007,1),"")))</f>
        <v/>
      </c>
      <c r="M2434" s="30" t="str">
        <f>IF($L2434="","",INDEX($A$8:$A$5007,$L2434))</f>
        <v/>
      </c>
      <c r="N2434" s="31" t="str">
        <f>IF($L2434="","",INDEX($B$8:$B$5007,$L2434))</f>
        <v/>
      </c>
      <c r="O2434" s="32" t="str">
        <f>IF($M2434="","",IF($K2434-$M2434&gt;7,"",IF($M2434&lt;=$A2434,"",IF(OR($B2434&lt;=0,$N2434&lt;=0),"",($N2434/$B2434)^(365/($M2434-$A2434))-1))))</f>
        <v/>
      </c>
      <c r="P2434" s="31" t="str">
        <f>IF($B2434="","",IF($P2433="",$B2434,MAX($P2433,$B2434)))</f>
        <v/>
      </c>
      <c r="Q2434" s="32" t="str">
        <f>IF($P2434="","",$B2434/$P2434-1)</f>
        <v/>
      </c>
    </row>
    <row r="2435">
      <c r="A2435" s="11" t="n"/>
      <c r="B2435" s="29" t="n"/>
      <c r="K2435" s="30" t="str">
        <f>IF($A2435="","",EDATE($A2435,12*$E$4))</f>
        <v/>
      </c>
      <c r="L2435" s="19" t="str">
        <f>IF($K2435="","",IF($K2435&gt;MAX($A$8:$A$5007),"",IFERROR(MATCH($K2435,$A$8:$A$5007,1),"")))</f>
        <v/>
      </c>
      <c r="M2435" s="30" t="str">
        <f>IF($L2435="","",INDEX($A$8:$A$5007,$L2435))</f>
        <v/>
      </c>
      <c r="N2435" s="31" t="str">
        <f>IF($L2435="","",INDEX($B$8:$B$5007,$L2435))</f>
        <v/>
      </c>
      <c r="O2435" s="32" t="str">
        <f>IF($M2435="","",IF($K2435-$M2435&gt;7,"",IF($M2435&lt;=$A2435,"",IF(OR($B2435&lt;=0,$N2435&lt;=0),"",($N2435/$B2435)^(365/($M2435-$A2435))-1))))</f>
        <v/>
      </c>
      <c r="P2435" s="31" t="str">
        <f>IF($B2435="","",IF($P2434="",$B2435,MAX($P2434,$B2435)))</f>
        <v/>
      </c>
      <c r="Q2435" s="32" t="str">
        <f>IF($P2435="","",$B2435/$P2435-1)</f>
        <v/>
      </c>
    </row>
    <row r="2436">
      <c r="A2436" s="11" t="n"/>
      <c r="B2436" s="29" t="n"/>
      <c r="K2436" s="30" t="str">
        <f>IF($A2436="","",EDATE($A2436,12*$E$4))</f>
        <v/>
      </c>
      <c r="L2436" s="19" t="str">
        <f>IF($K2436="","",IF($K2436&gt;MAX($A$8:$A$5007),"",IFERROR(MATCH($K2436,$A$8:$A$5007,1),"")))</f>
        <v/>
      </c>
      <c r="M2436" s="30" t="str">
        <f>IF($L2436="","",INDEX($A$8:$A$5007,$L2436))</f>
        <v/>
      </c>
      <c r="N2436" s="31" t="str">
        <f>IF($L2436="","",INDEX($B$8:$B$5007,$L2436))</f>
        <v/>
      </c>
      <c r="O2436" s="32" t="str">
        <f>IF($M2436="","",IF($K2436-$M2436&gt;7,"",IF($M2436&lt;=$A2436,"",IF(OR($B2436&lt;=0,$N2436&lt;=0),"",($N2436/$B2436)^(365/($M2436-$A2436))-1))))</f>
        <v/>
      </c>
      <c r="P2436" s="31" t="str">
        <f>IF($B2436="","",IF($P2435="",$B2436,MAX($P2435,$B2436)))</f>
        <v/>
      </c>
      <c r="Q2436" s="32" t="str">
        <f>IF($P2436="","",$B2436/$P2436-1)</f>
        <v/>
      </c>
    </row>
    <row r="2437">
      <c r="A2437" s="11" t="n"/>
      <c r="B2437" s="29" t="n"/>
      <c r="K2437" s="30" t="str">
        <f>IF($A2437="","",EDATE($A2437,12*$E$4))</f>
        <v/>
      </c>
      <c r="L2437" s="19" t="str">
        <f>IF($K2437="","",IF($K2437&gt;MAX($A$8:$A$5007),"",IFERROR(MATCH($K2437,$A$8:$A$5007,1),"")))</f>
        <v/>
      </c>
      <c r="M2437" s="30" t="str">
        <f>IF($L2437="","",INDEX($A$8:$A$5007,$L2437))</f>
        <v/>
      </c>
      <c r="N2437" s="31" t="str">
        <f>IF($L2437="","",INDEX($B$8:$B$5007,$L2437))</f>
        <v/>
      </c>
      <c r="O2437" s="32" t="str">
        <f>IF($M2437="","",IF($K2437-$M2437&gt;7,"",IF($M2437&lt;=$A2437,"",IF(OR($B2437&lt;=0,$N2437&lt;=0),"",($N2437/$B2437)^(365/($M2437-$A2437))-1))))</f>
        <v/>
      </c>
      <c r="P2437" s="31" t="str">
        <f>IF($B2437="","",IF($P2436="",$B2437,MAX($P2436,$B2437)))</f>
        <v/>
      </c>
      <c r="Q2437" s="32" t="str">
        <f>IF($P2437="","",$B2437/$P2437-1)</f>
        <v/>
      </c>
    </row>
    <row r="2438">
      <c r="A2438" s="11" t="n"/>
      <c r="B2438" s="29" t="n"/>
      <c r="K2438" s="30" t="str">
        <f>IF($A2438="","",EDATE($A2438,12*$E$4))</f>
        <v/>
      </c>
      <c r="L2438" s="19" t="str">
        <f>IF($K2438="","",IF($K2438&gt;MAX($A$8:$A$5007),"",IFERROR(MATCH($K2438,$A$8:$A$5007,1),"")))</f>
        <v/>
      </c>
      <c r="M2438" s="30" t="str">
        <f>IF($L2438="","",INDEX($A$8:$A$5007,$L2438))</f>
        <v/>
      </c>
      <c r="N2438" s="31" t="str">
        <f>IF($L2438="","",INDEX($B$8:$B$5007,$L2438))</f>
        <v/>
      </c>
      <c r="O2438" s="32" t="str">
        <f>IF($M2438="","",IF($K2438-$M2438&gt;7,"",IF($M2438&lt;=$A2438,"",IF(OR($B2438&lt;=0,$N2438&lt;=0),"",($N2438/$B2438)^(365/($M2438-$A2438))-1))))</f>
        <v/>
      </c>
      <c r="P2438" s="31" t="str">
        <f>IF($B2438="","",IF($P2437="",$B2438,MAX($P2437,$B2438)))</f>
        <v/>
      </c>
      <c r="Q2438" s="32" t="str">
        <f>IF($P2438="","",$B2438/$P2438-1)</f>
        <v/>
      </c>
    </row>
    <row r="2439">
      <c r="A2439" s="11" t="n"/>
      <c r="B2439" s="29" t="n"/>
      <c r="K2439" s="30" t="str">
        <f>IF($A2439="","",EDATE($A2439,12*$E$4))</f>
        <v/>
      </c>
      <c r="L2439" s="19" t="str">
        <f>IF($K2439="","",IF($K2439&gt;MAX($A$8:$A$5007),"",IFERROR(MATCH($K2439,$A$8:$A$5007,1),"")))</f>
        <v/>
      </c>
      <c r="M2439" s="30" t="str">
        <f>IF($L2439="","",INDEX($A$8:$A$5007,$L2439))</f>
        <v/>
      </c>
      <c r="N2439" s="31" t="str">
        <f>IF($L2439="","",INDEX($B$8:$B$5007,$L2439))</f>
        <v/>
      </c>
      <c r="O2439" s="32" t="str">
        <f>IF($M2439="","",IF($K2439-$M2439&gt;7,"",IF($M2439&lt;=$A2439,"",IF(OR($B2439&lt;=0,$N2439&lt;=0),"",($N2439/$B2439)^(365/($M2439-$A2439))-1))))</f>
        <v/>
      </c>
      <c r="P2439" s="31" t="str">
        <f>IF($B2439="","",IF($P2438="",$B2439,MAX($P2438,$B2439)))</f>
        <v/>
      </c>
      <c r="Q2439" s="32" t="str">
        <f>IF($P2439="","",$B2439/$P2439-1)</f>
        <v/>
      </c>
    </row>
    <row r="2440">
      <c r="A2440" s="11" t="n"/>
      <c r="B2440" s="29" t="n"/>
      <c r="K2440" s="30" t="str">
        <f>IF($A2440="","",EDATE($A2440,12*$E$4))</f>
        <v/>
      </c>
      <c r="L2440" s="19" t="str">
        <f>IF($K2440="","",IF($K2440&gt;MAX($A$8:$A$5007),"",IFERROR(MATCH($K2440,$A$8:$A$5007,1),"")))</f>
        <v/>
      </c>
      <c r="M2440" s="30" t="str">
        <f>IF($L2440="","",INDEX($A$8:$A$5007,$L2440))</f>
        <v/>
      </c>
      <c r="N2440" s="31" t="str">
        <f>IF($L2440="","",INDEX($B$8:$B$5007,$L2440))</f>
        <v/>
      </c>
      <c r="O2440" s="32" t="str">
        <f>IF($M2440="","",IF($K2440-$M2440&gt;7,"",IF($M2440&lt;=$A2440,"",IF(OR($B2440&lt;=0,$N2440&lt;=0),"",($N2440/$B2440)^(365/($M2440-$A2440))-1))))</f>
        <v/>
      </c>
      <c r="P2440" s="31" t="str">
        <f>IF($B2440="","",IF($P2439="",$B2440,MAX($P2439,$B2440)))</f>
        <v/>
      </c>
      <c r="Q2440" s="32" t="str">
        <f>IF($P2440="","",$B2440/$P2440-1)</f>
        <v/>
      </c>
    </row>
    <row r="2441">
      <c r="A2441" s="11" t="n"/>
      <c r="B2441" s="29" t="n"/>
      <c r="K2441" s="30" t="str">
        <f>IF($A2441="","",EDATE($A2441,12*$E$4))</f>
        <v/>
      </c>
      <c r="L2441" s="19" t="str">
        <f>IF($K2441="","",IF($K2441&gt;MAX($A$8:$A$5007),"",IFERROR(MATCH($K2441,$A$8:$A$5007,1),"")))</f>
        <v/>
      </c>
      <c r="M2441" s="30" t="str">
        <f>IF($L2441="","",INDEX($A$8:$A$5007,$L2441))</f>
        <v/>
      </c>
      <c r="N2441" s="31" t="str">
        <f>IF($L2441="","",INDEX($B$8:$B$5007,$L2441))</f>
        <v/>
      </c>
      <c r="O2441" s="32" t="str">
        <f>IF($M2441="","",IF($K2441-$M2441&gt;7,"",IF($M2441&lt;=$A2441,"",IF(OR($B2441&lt;=0,$N2441&lt;=0),"",($N2441/$B2441)^(365/($M2441-$A2441))-1))))</f>
        <v/>
      </c>
      <c r="P2441" s="31" t="str">
        <f>IF($B2441="","",IF($P2440="",$B2441,MAX($P2440,$B2441)))</f>
        <v/>
      </c>
      <c r="Q2441" s="32" t="str">
        <f>IF($P2441="","",$B2441/$P2441-1)</f>
        <v/>
      </c>
    </row>
    <row r="2442">
      <c r="A2442" s="11" t="n"/>
      <c r="B2442" s="29" t="n"/>
      <c r="K2442" s="30" t="str">
        <f>IF($A2442="","",EDATE($A2442,12*$E$4))</f>
        <v/>
      </c>
      <c r="L2442" s="19" t="str">
        <f>IF($K2442="","",IF($K2442&gt;MAX($A$8:$A$5007),"",IFERROR(MATCH($K2442,$A$8:$A$5007,1),"")))</f>
        <v/>
      </c>
      <c r="M2442" s="30" t="str">
        <f>IF($L2442="","",INDEX($A$8:$A$5007,$L2442))</f>
        <v/>
      </c>
      <c r="N2442" s="31" t="str">
        <f>IF($L2442="","",INDEX($B$8:$B$5007,$L2442))</f>
        <v/>
      </c>
      <c r="O2442" s="32" t="str">
        <f>IF($M2442="","",IF($K2442-$M2442&gt;7,"",IF($M2442&lt;=$A2442,"",IF(OR($B2442&lt;=0,$N2442&lt;=0),"",($N2442/$B2442)^(365/($M2442-$A2442))-1))))</f>
        <v/>
      </c>
      <c r="P2442" s="31" t="str">
        <f>IF($B2442="","",IF($P2441="",$B2442,MAX($P2441,$B2442)))</f>
        <v/>
      </c>
      <c r="Q2442" s="32" t="str">
        <f>IF($P2442="","",$B2442/$P2442-1)</f>
        <v/>
      </c>
    </row>
    <row r="2443">
      <c r="A2443" s="11" t="n"/>
      <c r="B2443" s="29" t="n"/>
      <c r="K2443" s="30" t="str">
        <f>IF($A2443="","",EDATE($A2443,12*$E$4))</f>
        <v/>
      </c>
      <c r="L2443" s="19" t="str">
        <f>IF($K2443="","",IF($K2443&gt;MAX($A$8:$A$5007),"",IFERROR(MATCH($K2443,$A$8:$A$5007,1),"")))</f>
        <v/>
      </c>
      <c r="M2443" s="30" t="str">
        <f>IF($L2443="","",INDEX($A$8:$A$5007,$L2443))</f>
        <v/>
      </c>
      <c r="N2443" s="31" t="str">
        <f>IF($L2443="","",INDEX($B$8:$B$5007,$L2443))</f>
        <v/>
      </c>
      <c r="O2443" s="32" t="str">
        <f>IF($M2443="","",IF($K2443-$M2443&gt;7,"",IF($M2443&lt;=$A2443,"",IF(OR($B2443&lt;=0,$N2443&lt;=0),"",($N2443/$B2443)^(365/($M2443-$A2443))-1))))</f>
        <v/>
      </c>
      <c r="P2443" s="31" t="str">
        <f>IF($B2443="","",IF($P2442="",$B2443,MAX($P2442,$B2443)))</f>
        <v/>
      </c>
      <c r="Q2443" s="32" t="str">
        <f>IF($P2443="","",$B2443/$P2443-1)</f>
        <v/>
      </c>
    </row>
    <row r="2444">
      <c r="A2444" s="11" t="n"/>
      <c r="B2444" s="29" t="n"/>
      <c r="K2444" s="30" t="str">
        <f>IF($A2444="","",EDATE($A2444,12*$E$4))</f>
        <v/>
      </c>
      <c r="L2444" s="19" t="str">
        <f>IF($K2444="","",IF($K2444&gt;MAX($A$8:$A$5007),"",IFERROR(MATCH($K2444,$A$8:$A$5007,1),"")))</f>
        <v/>
      </c>
      <c r="M2444" s="30" t="str">
        <f>IF($L2444="","",INDEX($A$8:$A$5007,$L2444))</f>
        <v/>
      </c>
      <c r="N2444" s="31" t="str">
        <f>IF($L2444="","",INDEX($B$8:$B$5007,$L2444))</f>
        <v/>
      </c>
      <c r="O2444" s="32" t="str">
        <f>IF($M2444="","",IF($K2444-$M2444&gt;7,"",IF($M2444&lt;=$A2444,"",IF(OR($B2444&lt;=0,$N2444&lt;=0),"",($N2444/$B2444)^(365/($M2444-$A2444))-1))))</f>
        <v/>
      </c>
      <c r="P2444" s="31" t="str">
        <f>IF($B2444="","",IF($P2443="",$B2444,MAX($P2443,$B2444)))</f>
        <v/>
      </c>
      <c r="Q2444" s="32" t="str">
        <f>IF($P2444="","",$B2444/$P2444-1)</f>
        <v/>
      </c>
    </row>
    <row r="2445">
      <c r="A2445" s="11" t="n"/>
      <c r="B2445" s="29" t="n"/>
      <c r="K2445" s="30" t="str">
        <f>IF($A2445="","",EDATE($A2445,12*$E$4))</f>
        <v/>
      </c>
      <c r="L2445" s="19" t="str">
        <f>IF($K2445="","",IF($K2445&gt;MAX($A$8:$A$5007),"",IFERROR(MATCH($K2445,$A$8:$A$5007,1),"")))</f>
        <v/>
      </c>
      <c r="M2445" s="30" t="str">
        <f>IF($L2445="","",INDEX($A$8:$A$5007,$L2445))</f>
        <v/>
      </c>
      <c r="N2445" s="31" t="str">
        <f>IF($L2445="","",INDEX($B$8:$B$5007,$L2445))</f>
        <v/>
      </c>
      <c r="O2445" s="32" t="str">
        <f>IF($M2445="","",IF($K2445-$M2445&gt;7,"",IF($M2445&lt;=$A2445,"",IF(OR($B2445&lt;=0,$N2445&lt;=0),"",($N2445/$B2445)^(365/($M2445-$A2445))-1))))</f>
        <v/>
      </c>
      <c r="P2445" s="31" t="str">
        <f>IF($B2445="","",IF($P2444="",$B2445,MAX($P2444,$B2445)))</f>
        <v/>
      </c>
      <c r="Q2445" s="32" t="str">
        <f>IF($P2445="","",$B2445/$P2445-1)</f>
        <v/>
      </c>
    </row>
    <row r="2446">
      <c r="A2446" s="11" t="n"/>
      <c r="B2446" s="29" t="n"/>
      <c r="K2446" s="30" t="str">
        <f>IF($A2446="","",EDATE($A2446,12*$E$4))</f>
        <v/>
      </c>
      <c r="L2446" s="19" t="str">
        <f>IF($K2446="","",IF($K2446&gt;MAX($A$8:$A$5007),"",IFERROR(MATCH($K2446,$A$8:$A$5007,1),"")))</f>
        <v/>
      </c>
      <c r="M2446" s="30" t="str">
        <f>IF($L2446="","",INDEX($A$8:$A$5007,$L2446))</f>
        <v/>
      </c>
      <c r="N2446" s="31" t="str">
        <f>IF($L2446="","",INDEX($B$8:$B$5007,$L2446))</f>
        <v/>
      </c>
      <c r="O2446" s="32" t="str">
        <f>IF($M2446="","",IF($K2446-$M2446&gt;7,"",IF($M2446&lt;=$A2446,"",IF(OR($B2446&lt;=0,$N2446&lt;=0),"",($N2446/$B2446)^(365/($M2446-$A2446))-1))))</f>
        <v/>
      </c>
      <c r="P2446" s="31" t="str">
        <f>IF($B2446="","",IF($P2445="",$B2446,MAX($P2445,$B2446)))</f>
        <v/>
      </c>
      <c r="Q2446" s="32" t="str">
        <f>IF($P2446="","",$B2446/$P2446-1)</f>
        <v/>
      </c>
    </row>
    <row r="2447">
      <c r="A2447" s="11" t="n"/>
      <c r="B2447" s="29" t="n"/>
      <c r="K2447" s="30" t="str">
        <f>IF($A2447="","",EDATE($A2447,12*$E$4))</f>
        <v/>
      </c>
      <c r="L2447" s="19" t="str">
        <f>IF($K2447="","",IF($K2447&gt;MAX($A$8:$A$5007),"",IFERROR(MATCH($K2447,$A$8:$A$5007,1),"")))</f>
        <v/>
      </c>
      <c r="M2447" s="30" t="str">
        <f>IF($L2447="","",INDEX($A$8:$A$5007,$L2447))</f>
        <v/>
      </c>
      <c r="N2447" s="31" t="str">
        <f>IF($L2447="","",INDEX($B$8:$B$5007,$L2447))</f>
        <v/>
      </c>
      <c r="O2447" s="32" t="str">
        <f>IF($M2447="","",IF($K2447-$M2447&gt;7,"",IF($M2447&lt;=$A2447,"",IF(OR($B2447&lt;=0,$N2447&lt;=0),"",($N2447/$B2447)^(365/($M2447-$A2447))-1))))</f>
        <v/>
      </c>
      <c r="P2447" s="31" t="str">
        <f>IF($B2447="","",IF($P2446="",$B2447,MAX($P2446,$B2447)))</f>
        <v/>
      </c>
      <c r="Q2447" s="32" t="str">
        <f>IF($P2447="","",$B2447/$P2447-1)</f>
        <v/>
      </c>
    </row>
    <row r="2448">
      <c r="A2448" s="11" t="n"/>
      <c r="B2448" s="29" t="n"/>
      <c r="K2448" s="30" t="str">
        <f>IF($A2448="","",EDATE($A2448,12*$E$4))</f>
        <v/>
      </c>
      <c r="L2448" s="19" t="str">
        <f>IF($K2448="","",IF($K2448&gt;MAX($A$8:$A$5007),"",IFERROR(MATCH($K2448,$A$8:$A$5007,1),"")))</f>
        <v/>
      </c>
      <c r="M2448" s="30" t="str">
        <f>IF($L2448="","",INDEX($A$8:$A$5007,$L2448))</f>
        <v/>
      </c>
      <c r="N2448" s="31" t="str">
        <f>IF($L2448="","",INDEX($B$8:$B$5007,$L2448))</f>
        <v/>
      </c>
      <c r="O2448" s="32" t="str">
        <f>IF($M2448="","",IF($K2448-$M2448&gt;7,"",IF($M2448&lt;=$A2448,"",IF(OR($B2448&lt;=0,$N2448&lt;=0),"",($N2448/$B2448)^(365/($M2448-$A2448))-1))))</f>
        <v/>
      </c>
      <c r="P2448" s="31" t="str">
        <f>IF($B2448="","",IF($P2447="",$B2448,MAX($P2447,$B2448)))</f>
        <v/>
      </c>
      <c r="Q2448" s="32" t="str">
        <f>IF($P2448="","",$B2448/$P2448-1)</f>
        <v/>
      </c>
    </row>
    <row r="2449">
      <c r="A2449" s="11" t="n"/>
      <c r="B2449" s="29" t="n"/>
      <c r="K2449" s="30" t="str">
        <f>IF($A2449="","",EDATE($A2449,12*$E$4))</f>
        <v/>
      </c>
      <c r="L2449" s="19" t="str">
        <f>IF($K2449="","",IF($K2449&gt;MAX($A$8:$A$5007),"",IFERROR(MATCH($K2449,$A$8:$A$5007,1),"")))</f>
        <v/>
      </c>
      <c r="M2449" s="30" t="str">
        <f>IF($L2449="","",INDEX($A$8:$A$5007,$L2449))</f>
        <v/>
      </c>
      <c r="N2449" s="31" t="str">
        <f>IF($L2449="","",INDEX($B$8:$B$5007,$L2449))</f>
        <v/>
      </c>
      <c r="O2449" s="32" t="str">
        <f>IF($M2449="","",IF($K2449-$M2449&gt;7,"",IF($M2449&lt;=$A2449,"",IF(OR($B2449&lt;=0,$N2449&lt;=0),"",($N2449/$B2449)^(365/($M2449-$A2449))-1))))</f>
        <v/>
      </c>
      <c r="P2449" s="31" t="str">
        <f>IF($B2449="","",IF($P2448="",$B2449,MAX($P2448,$B2449)))</f>
        <v/>
      </c>
      <c r="Q2449" s="32" t="str">
        <f>IF($P2449="","",$B2449/$P2449-1)</f>
        <v/>
      </c>
    </row>
    <row r="2450">
      <c r="A2450" s="11" t="n"/>
      <c r="B2450" s="29" t="n"/>
      <c r="K2450" s="30" t="str">
        <f>IF($A2450="","",EDATE($A2450,12*$E$4))</f>
        <v/>
      </c>
      <c r="L2450" s="19" t="str">
        <f>IF($K2450="","",IF($K2450&gt;MAX($A$8:$A$5007),"",IFERROR(MATCH($K2450,$A$8:$A$5007,1),"")))</f>
        <v/>
      </c>
      <c r="M2450" s="30" t="str">
        <f>IF($L2450="","",INDEX($A$8:$A$5007,$L2450))</f>
        <v/>
      </c>
      <c r="N2450" s="31" t="str">
        <f>IF($L2450="","",INDEX($B$8:$B$5007,$L2450))</f>
        <v/>
      </c>
      <c r="O2450" s="32" t="str">
        <f>IF($M2450="","",IF($K2450-$M2450&gt;7,"",IF($M2450&lt;=$A2450,"",IF(OR($B2450&lt;=0,$N2450&lt;=0),"",($N2450/$B2450)^(365/($M2450-$A2450))-1))))</f>
        <v/>
      </c>
      <c r="P2450" s="31" t="str">
        <f>IF($B2450="","",IF($P2449="",$B2450,MAX($P2449,$B2450)))</f>
        <v/>
      </c>
      <c r="Q2450" s="32" t="str">
        <f>IF($P2450="","",$B2450/$P2450-1)</f>
        <v/>
      </c>
    </row>
    <row r="2451">
      <c r="A2451" s="11" t="n"/>
      <c r="B2451" s="29" t="n"/>
      <c r="K2451" s="30" t="str">
        <f>IF($A2451="","",EDATE($A2451,12*$E$4))</f>
        <v/>
      </c>
      <c r="L2451" s="19" t="str">
        <f>IF($K2451="","",IF($K2451&gt;MAX($A$8:$A$5007),"",IFERROR(MATCH($K2451,$A$8:$A$5007,1),"")))</f>
        <v/>
      </c>
      <c r="M2451" s="30" t="str">
        <f>IF($L2451="","",INDEX($A$8:$A$5007,$L2451))</f>
        <v/>
      </c>
      <c r="N2451" s="31" t="str">
        <f>IF($L2451="","",INDEX($B$8:$B$5007,$L2451))</f>
        <v/>
      </c>
      <c r="O2451" s="32" t="str">
        <f>IF($M2451="","",IF($K2451-$M2451&gt;7,"",IF($M2451&lt;=$A2451,"",IF(OR($B2451&lt;=0,$N2451&lt;=0),"",($N2451/$B2451)^(365/($M2451-$A2451))-1))))</f>
        <v/>
      </c>
      <c r="P2451" s="31" t="str">
        <f>IF($B2451="","",IF($P2450="",$B2451,MAX($P2450,$B2451)))</f>
        <v/>
      </c>
      <c r="Q2451" s="32" t="str">
        <f>IF($P2451="","",$B2451/$P2451-1)</f>
        <v/>
      </c>
    </row>
    <row r="2452">
      <c r="A2452" s="11" t="n"/>
      <c r="B2452" s="29" t="n"/>
      <c r="K2452" s="30" t="str">
        <f>IF($A2452="","",EDATE($A2452,12*$E$4))</f>
        <v/>
      </c>
      <c r="L2452" s="19" t="str">
        <f>IF($K2452="","",IF($K2452&gt;MAX($A$8:$A$5007),"",IFERROR(MATCH($K2452,$A$8:$A$5007,1),"")))</f>
        <v/>
      </c>
      <c r="M2452" s="30" t="str">
        <f>IF($L2452="","",INDEX($A$8:$A$5007,$L2452))</f>
        <v/>
      </c>
      <c r="N2452" s="31" t="str">
        <f>IF($L2452="","",INDEX($B$8:$B$5007,$L2452))</f>
        <v/>
      </c>
      <c r="O2452" s="32" t="str">
        <f>IF($M2452="","",IF($K2452-$M2452&gt;7,"",IF($M2452&lt;=$A2452,"",IF(OR($B2452&lt;=0,$N2452&lt;=0),"",($N2452/$B2452)^(365/($M2452-$A2452))-1))))</f>
        <v/>
      </c>
      <c r="P2452" s="31" t="str">
        <f>IF($B2452="","",IF($P2451="",$B2452,MAX($P2451,$B2452)))</f>
        <v/>
      </c>
      <c r="Q2452" s="32" t="str">
        <f>IF($P2452="","",$B2452/$P2452-1)</f>
        <v/>
      </c>
    </row>
    <row r="2453">
      <c r="A2453" s="11" t="n"/>
      <c r="B2453" s="29" t="n"/>
      <c r="K2453" s="30" t="str">
        <f>IF($A2453="","",EDATE($A2453,12*$E$4))</f>
        <v/>
      </c>
      <c r="L2453" s="19" t="str">
        <f>IF($K2453="","",IF($K2453&gt;MAX($A$8:$A$5007),"",IFERROR(MATCH($K2453,$A$8:$A$5007,1),"")))</f>
        <v/>
      </c>
      <c r="M2453" s="30" t="str">
        <f>IF($L2453="","",INDEX($A$8:$A$5007,$L2453))</f>
        <v/>
      </c>
      <c r="N2453" s="31" t="str">
        <f>IF($L2453="","",INDEX($B$8:$B$5007,$L2453))</f>
        <v/>
      </c>
      <c r="O2453" s="32" t="str">
        <f>IF($M2453="","",IF($K2453-$M2453&gt;7,"",IF($M2453&lt;=$A2453,"",IF(OR($B2453&lt;=0,$N2453&lt;=0),"",($N2453/$B2453)^(365/($M2453-$A2453))-1))))</f>
        <v/>
      </c>
      <c r="P2453" s="31" t="str">
        <f>IF($B2453="","",IF($P2452="",$B2453,MAX($P2452,$B2453)))</f>
        <v/>
      </c>
      <c r="Q2453" s="32" t="str">
        <f>IF($P2453="","",$B2453/$P2453-1)</f>
        <v/>
      </c>
    </row>
    <row r="2454">
      <c r="A2454" s="11" t="n"/>
      <c r="B2454" s="29" t="n"/>
      <c r="K2454" s="30" t="str">
        <f>IF($A2454="","",EDATE($A2454,12*$E$4))</f>
        <v/>
      </c>
      <c r="L2454" s="19" t="str">
        <f>IF($K2454="","",IF($K2454&gt;MAX($A$8:$A$5007),"",IFERROR(MATCH($K2454,$A$8:$A$5007,1),"")))</f>
        <v/>
      </c>
      <c r="M2454" s="30" t="str">
        <f>IF($L2454="","",INDEX($A$8:$A$5007,$L2454))</f>
        <v/>
      </c>
      <c r="N2454" s="31" t="str">
        <f>IF($L2454="","",INDEX($B$8:$B$5007,$L2454))</f>
        <v/>
      </c>
      <c r="O2454" s="32" t="str">
        <f>IF($M2454="","",IF($K2454-$M2454&gt;7,"",IF($M2454&lt;=$A2454,"",IF(OR($B2454&lt;=0,$N2454&lt;=0),"",($N2454/$B2454)^(365/($M2454-$A2454))-1))))</f>
        <v/>
      </c>
      <c r="P2454" s="31" t="str">
        <f>IF($B2454="","",IF($P2453="",$B2454,MAX($P2453,$B2454)))</f>
        <v/>
      </c>
      <c r="Q2454" s="32" t="str">
        <f>IF($P2454="","",$B2454/$P2454-1)</f>
        <v/>
      </c>
    </row>
    <row r="2455">
      <c r="A2455" s="11" t="n"/>
      <c r="B2455" s="29" t="n"/>
      <c r="K2455" s="30" t="str">
        <f>IF($A2455="","",EDATE($A2455,12*$E$4))</f>
        <v/>
      </c>
      <c r="L2455" s="19" t="str">
        <f>IF($K2455="","",IF($K2455&gt;MAX($A$8:$A$5007),"",IFERROR(MATCH($K2455,$A$8:$A$5007,1),"")))</f>
        <v/>
      </c>
      <c r="M2455" s="30" t="str">
        <f>IF($L2455="","",INDEX($A$8:$A$5007,$L2455))</f>
        <v/>
      </c>
      <c r="N2455" s="31" t="str">
        <f>IF($L2455="","",INDEX($B$8:$B$5007,$L2455))</f>
        <v/>
      </c>
      <c r="O2455" s="32" t="str">
        <f>IF($M2455="","",IF($K2455-$M2455&gt;7,"",IF($M2455&lt;=$A2455,"",IF(OR($B2455&lt;=0,$N2455&lt;=0),"",($N2455/$B2455)^(365/($M2455-$A2455))-1))))</f>
        <v/>
      </c>
      <c r="P2455" s="31" t="str">
        <f>IF($B2455="","",IF($P2454="",$B2455,MAX($P2454,$B2455)))</f>
        <v/>
      </c>
      <c r="Q2455" s="32" t="str">
        <f>IF($P2455="","",$B2455/$P2455-1)</f>
        <v/>
      </c>
    </row>
    <row r="2456">
      <c r="A2456" s="11" t="n"/>
      <c r="B2456" s="29" t="n"/>
      <c r="K2456" s="30" t="str">
        <f>IF($A2456="","",EDATE($A2456,12*$E$4))</f>
        <v/>
      </c>
      <c r="L2456" s="19" t="str">
        <f>IF($K2456="","",IF($K2456&gt;MAX($A$8:$A$5007),"",IFERROR(MATCH($K2456,$A$8:$A$5007,1),"")))</f>
        <v/>
      </c>
      <c r="M2456" s="30" t="str">
        <f>IF($L2456="","",INDEX($A$8:$A$5007,$L2456))</f>
        <v/>
      </c>
      <c r="N2456" s="31" t="str">
        <f>IF($L2456="","",INDEX($B$8:$B$5007,$L2456))</f>
        <v/>
      </c>
      <c r="O2456" s="32" t="str">
        <f>IF($M2456="","",IF($K2456-$M2456&gt;7,"",IF($M2456&lt;=$A2456,"",IF(OR($B2456&lt;=0,$N2456&lt;=0),"",($N2456/$B2456)^(365/($M2456-$A2456))-1))))</f>
        <v/>
      </c>
      <c r="P2456" s="31" t="str">
        <f>IF($B2456="","",IF($P2455="",$B2456,MAX($P2455,$B2456)))</f>
        <v/>
      </c>
      <c r="Q2456" s="32" t="str">
        <f>IF($P2456="","",$B2456/$P2456-1)</f>
        <v/>
      </c>
    </row>
    <row r="2457">
      <c r="A2457" s="11" t="n"/>
      <c r="B2457" s="29" t="n"/>
      <c r="K2457" s="30" t="str">
        <f>IF($A2457="","",EDATE($A2457,12*$E$4))</f>
        <v/>
      </c>
      <c r="L2457" s="19" t="str">
        <f>IF($K2457="","",IF($K2457&gt;MAX($A$8:$A$5007),"",IFERROR(MATCH($K2457,$A$8:$A$5007,1),"")))</f>
        <v/>
      </c>
      <c r="M2457" s="30" t="str">
        <f>IF($L2457="","",INDEX($A$8:$A$5007,$L2457))</f>
        <v/>
      </c>
      <c r="N2457" s="31" t="str">
        <f>IF($L2457="","",INDEX($B$8:$B$5007,$L2457))</f>
        <v/>
      </c>
      <c r="O2457" s="32" t="str">
        <f>IF($M2457="","",IF($K2457-$M2457&gt;7,"",IF($M2457&lt;=$A2457,"",IF(OR($B2457&lt;=0,$N2457&lt;=0),"",($N2457/$B2457)^(365/($M2457-$A2457))-1))))</f>
        <v/>
      </c>
      <c r="P2457" s="31" t="str">
        <f>IF($B2457="","",IF($P2456="",$B2457,MAX($P2456,$B2457)))</f>
        <v/>
      </c>
      <c r="Q2457" s="32" t="str">
        <f>IF($P2457="","",$B2457/$P2457-1)</f>
        <v/>
      </c>
    </row>
    <row r="2458">
      <c r="A2458" s="11" t="n"/>
      <c r="B2458" s="29" t="n"/>
      <c r="K2458" s="30" t="str">
        <f>IF($A2458="","",EDATE($A2458,12*$E$4))</f>
        <v/>
      </c>
      <c r="L2458" s="19" t="str">
        <f>IF($K2458="","",IF($K2458&gt;MAX($A$8:$A$5007),"",IFERROR(MATCH($K2458,$A$8:$A$5007,1),"")))</f>
        <v/>
      </c>
      <c r="M2458" s="30" t="str">
        <f>IF($L2458="","",INDEX($A$8:$A$5007,$L2458))</f>
        <v/>
      </c>
      <c r="N2458" s="31" t="str">
        <f>IF($L2458="","",INDEX($B$8:$B$5007,$L2458))</f>
        <v/>
      </c>
      <c r="O2458" s="32" t="str">
        <f>IF($M2458="","",IF($K2458-$M2458&gt;7,"",IF($M2458&lt;=$A2458,"",IF(OR($B2458&lt;=0,$N2458&lt;=0),"",($N2458/$B2458)^(365/($M2458-$A2458))-1))))</f>
        <v/>
      </c>
      <c r="P2458" s="31" t="str">
        <f>IF($B2458="","",IF($P2457="",$B2458,MAX($P2457,$B2458)))</f>
        <v/>
      </c>
      <c r="Q2458" s="32" t="str">
        <f>IF($P2458="","",$B2458/$P2458-1)</f>
        <v/>
      </c>
    </row>
    <row r="2459">
      <c r="A2459" s="11" t="n"/>
      <c r="B2459" s="29" t="n"/>
      <c r="K2459" s="30" t="str">
        <f>IF($A2459="","",EDATE($A2459,12*$E$4))</f>
        <v/>
      </c>
      <c r="L2459" s="19" t="str">
        <f>IF($K2459="","",IF($K2459&gt;MAX($A$8:$A$5007),"",IFERROR(MATCH($K2459,$A$8:$A$5007,1),"")))</f>
        <v/>
      </c>
      <c r="M2459" s="30" t="str">
        <f>IF($L2459="","",INDEX($A$8:$A$5007,$L2459))</f>
        <v/>
      </c>
      <c r="N2459" s="31" t="str">
        <f>IF($L2459="","",INDEX($B$8:$B$5007,$L2459))</f>
        <v/>
      </c>
      <c r="O2459" s="32" t="str">
        <f>IF($M2459="","",IF($K2459-$M2459&gt;7,"",IF($M2459&lt;=$A2459,"",IF(OR($B2459&lt;=0,$N2459&lt;=0),"",($N2459/$B2459)^(365/($M2459-$A2459))-1))))</f>
        <v/>
      </c>
      <c r="P2459" s="31" t="str">
        <f>IF($B2459="","",IF($P2458="",$B2459,MAX($P2458,$B2459)))</f>
        <v/>
      </c>
      <c r="Q2459" s="32" t="str">
        <f>IF($P2459="","",$B2459/$P2459-1)</f>
        <v/>
      </c>
    </row>
    <row r="2460">
      <c r="A2460" s="11" t="n"/>
      <c r="B2460" s="29" t="n"/>
      <c r="K2460" s="30" t="str">
        <f>IF($A2460="","",EDATE($A2460,12*$E$4))</f>
        <v/>
      </c>
      <c r="L2460" s="19" t="str">
        <f>IF($K2460="","",IF($K2460&gt;MAX($A$8:$A$5007),"",IFERROR(MATCH($K2460,$A$8:$A$5007,1),"")))</f>
        <v/>
      </c>
      <c r="M2460" s="30" t="str">
        <f>IF($L2460="","",INDEX($A$8:$A$5007,$L2460))</f>
        <v/>
      </c>
      <c r="N2460" s="31" t="str">
        <f>IF($L2460="","",INDEX($B$8:$B$5007,$L2460))</f>
        <v/>
      </c>
      <c r="O2460" s="32" t="str">
        <f>IF($M2460="","",IF($K2460-$M2460&gt;7,"",IF($M2460&lt;=$A2460,"",IF(OR($B2460&lt;=0,$N2460&lt;=0),"",($N2460/$B2460)^(365/($M2460-$A2460))-1))))</f>
        <v/>
      </c>
      <c r="P2460" s="31" t="str">
        <f>IF($B2460="","",IF($P2459="",$B2460,MAX($P2459,$B2460)))</f>
        <v/>
      </c>
      <c r="Q2460" s="32" t="str">
        <f>IF($P2460="","",$B2460/$P2460-1)</f>
        <v/>
      </c>
    </row>
    <row r="2461">
      <c r="A2461" s="11" t="n"/>
      <c r="B2461" s="29" t="n"/>
      <c r="K2461" s="30" t="str">
        <f>IF($A2461="","",EDATE($A2461,12*$E$4))</f>
        <v/>
      </c>
      <c r="L2461" s="19" t="str">
        <f>IF($K2461="","",IF($K2461&gt;MAX($A$8:$A$5007),"",IFERROR(MATCH($K2461,$A$8:$A$5007,1),"")))</f>
        <v/>
      </c>
      <c r="M2461" s="30" t="str">
        <f>IF($L2461="","",INDEX($A$8:$A$5007,$L2461))</f>
        <v/>
      </c>
      <c r="N2461" s="31" t="str">
        <f>IF($L2461="","",INDEX($B$8:$B$5007,$L2461))</f>
        <v/>
      </c>
      <c r="O2461" s="32" t="str">
        <f>IF($M2461="","",IF($K2461-$M2461&gt;7,"",IF($M2461&lt;=$A2461,"",IF(OR($B2461&lt;=0,$N2461&lt;=0),"",($N2461/$B2461)^(365/($M2461-$A2461))-1))))</f>
        <v/>
      </c>
      <c r="P2461" s="31" t="str">
        <f>IF($B2461="","",IF($P2460="",$B2461,MAX($P2460,$B2461)))</f>
        <v/>
      </c>
      <c r="Q2461" s="32" t="str">
        <f>IF($P2461="","",$B2461/$P2461-1)</f>
        <v/>
      </c>
    </row>
    <row r="2462">
      <c r="A2462" s="11" t="n"/>
      <c r="B2462" s="29" t="n"/>
      <c r="K2462" s="30" t="str">
        <f>IF($A2462="","",EDATE($A2462,12*$E$4))</f>
        <v/>
      </c>
      <c r="L2462" s="19" t="str">
        <f>IF($K2462="","",IF($K2462&gt;MAX($A$8:$A$5007),"",IFERROR(MATCH($K2462,$A$8:$A$5007,1),"")))</f>
        <v/>
      </c>
      <c r="M2462" s="30" t="str">
        <f>IF($L2462="","",INDEX($A$8:$A$5007,$L2462))</f>
        <v/>
      </c>
      <c r="N2462" s="31" t="str">
        <f>IF($L2462="","",INDEX($B$8:$B$5007,$L2462))</f>
        <v/>
      </c>
      <c r="O2462" s="32" t="str">
        <f>IF($M2462="","",IF($K2462-$M2462&gt;7,"",IF($M2462&lt;=$A2462,"",IF(OR($B2462&lt;=0,$N2462&lt;=0),"",($N2462/$B2462)^(365/($M2462-$A2462))-1))))</f>
        <v/>
      </c>
      <c r="P2462" s="31" t="str">
        <f>IF($B2462="","",IF($P2461="",$B2462,MAX($P2461,$B2462)))</f>
        <v/>
      </c>
      <c r="Q2462" s="32" t="str">
        <f>IF($P2462="","",$B2462/$P2462-1)</f>
        <v/>
      </c>
    </row>
    <row r="2463">
      <c r="A2463" s="11" t="n"/>
      <c r="B2463" s="29" t="n"/>
      <c r="K2463" s="30" t="str">
        <f>IF($A2463="","",EDATE($A2463,12*$E$4))</f>
        <v/>
      </c>
      <c r="L2463" s="19" t="str">
        <f>IF($K2463="","",IF($K2463&gt;MAX($A$8:$A$5007),"",IFERROR(MATCH($K2463,$A$8:$A$5007,1),"")))</f>
        <v/>
      </c>
      <c r="M2463" s="30" t="str">
        <f>IF($L2463="","",INDEX($A$8:$A$5007,$L2463))</f>
        <v/>
      </c>
      <c r="N2463" s="31" t="str">
        <f>IF($L2463="","",INDEX($B$8:$B$5007,$L2463))</f>
        <v/>
      </c>
      <c r="O2463" s="32" t="str">
        <f>IF($M2463="","",IF($K2463-$M2463&gt;7,"",IF($M2463&lt;=$A2463,"",IF(OR($B2463&lt;=0,$N2463&lt;=0),"",($N2463/$B2463)^(365/($M2463-$A2463))-1))))</f>
        <v/>
      </c>
      <c r="P2463" s="31" t="str">
        <f>IF($B2463="","",IF($P2462="",$B2463,MAX($P2462,$B2463)))</f>
        <v/>
      </c>
      <c r="Q2463" s="32" t="str">
        <f>IF($P2463="","",$B2463/$P2463-1)</f>
        <v/>
      </c>
    </row>
    <row r="2464">
      <c r="A2464" s="11" t="n"/>
      <c r="B2464" s="29" t="n"/>
      <c r="K2464" s="30" t="str">
        <f>IF($A2464="","",EDATE($A2464,12*$E$4))</f>
        <v/>
      </c>
      <c r="L2464" s="19" t="str">
        <f>IF($K2464="","",IF($K2464&gt;MAX($A$8:$A$5007),"",IFERROR(MATCH($K2464,$A$8:$A$5007,1),"")))</f>
        <v/>
      </c>
      <c r="M2464" s="30" t="str">
        <f>IF($L2464="","",INDEX($A$8:$A$5007,$L2464))</f>
        <v/>
      </c>
      <c r="N2464" s="31" t="str">
        <f>IF($L2464="","",INDEX($B$8:$B$5007,$L2464))</f>
        <v/>
      </c>
      <c r="O2464" s="32" t="str">
        <f>IF($M2464="","",IF($K2464-$M2464&gt;7,"",IF($M2464&lt;=$A2464,"",IF(OR($B2464&lt;=0,$N2464&lt;=0),"",($N2464/$B2464)^(365/($M2464-$A2464))-1))))</f>
        <v/>
      </c>
      <c r="P2464" s="31" t="str">
        <f>IF($B2464="","",IF($P2463="",$B2464,MAX($P2463,$B2464)))</f>
        <v/>
      </c>
      <c r="Q2464" s="32" t="str">
        <f>IF($P2464="","",$B2464/$P2464-1)</f>
        <v/>
      </c>
    </row>
    <row r="2465">
      <c r="A2465" s="11" t="n"/>
      <c r="B2465" s="29" t="n"/>
      <c r="K2465" s="30" t="str">
        <f>IF($A2465="","",EDATE($A2465,12*$E$4))</f>
        <v/>
      </c>
      <c r="L2465" s="19" t="str">
        <f>IF($K2465="","",IF($K2465&gt;MAX($A$8:$A$5007),"",IFERROR(MATCH($K2465,$A$8:$A$5007,1),"")))</f>
        <v/>
      </c>
      <c r="M2465" s="30" t="str">
        <f>IF($L2465="","",INDEX($A$8:$A$5007,$L2465))</f>
        <v/>
      </c>
      <c r="N2465" s="31" t="str">
        <f>IF($L2465="","",INDEX($B$8:$B$5007,$L2465))</f>
        <v/>
      </c>
      <c r="O2465" s="32" t="str">
        <f>IF($M2465="","",IF($K2465-$M2465&gt;7,"",IF($M2465&lt;=$A2465,"",IF(OR($B2465&lt;=0,$N2465&lt;=0),"",($N2465/$B2465)^(365/($M2465-$A2465))-1))))</f>
        <v/>
      </c>
      <c r="P2465" s="31" t="str">
        <f>IF($B2465="","",IF($P2464="",$B2465,MAX($P2464,$B2465)))</f>
        <v/>
      </c>
      <c r="Q2465" s="32" t="str">
        <f>IF($P2465="","",$B2465/$P2465-1)</f>
        <v/>
      </c>
    </row>
    <row r="2466">
      <c r="A2466" s="11" t="n"/>
      <c r="B2466" s="29" t="n"/>
      <c r="K2466" s="30" t="str">
        <f>IF($A2466="","",EDATE($A2466,12*$E$4))</f>
        <v/>
      </c>
      <c r="L2466" s="19" t="str">
        <f>IF($K2466="","",IF($K2466&gt;MAX($A$8:$A$5007),"",IFERROR(MATCH($K2466,$A$8:$A$5007,1),"")))</f>
        <v/>
      </c>
      <c r="M2466" s="30" t="str">
        <f>IF($L2466="","",INDEX($A$8:$A$5007,$L2466))</f>
        <v/>
      </c>
      <c r="N2466" s="31" t="str">
        <f>IF($L2466="","",INDEX($B$8:$B$5007,$L2466))</f>
        <v/>
      </c>
      <c r="O2466" s="32" t="str">
        <f>IF($M2466="","",IF($K2466-$M2466&gt;7,"",IF($M2466&lt;=$A2466,"",IF(OR($B2466&lt;=0,$N2466&lt;=0),"",($N2466/$B2466)^(365/($M2466-$A2466))-1))))</f>
        <v/>
      </c>
      <c r="P2466" s="31" t="str">
        <f>IF($B2466="","",IF($P2465="",$B2466,MAX($P2465,$B2466)))</f>
        <v/>
      </c>
      <c r="Q2466" s="32" t="str">
        <f>IF($P2466="","",$B2466/$P2466-1)</f>
        <v/>
      </c>
    </row>
    <row r="2467">
      <c r="A2467" s="11" t="n"/>
      <c r="B2467" s="29" t="n"/>
      <c r="K2467" s="30" t="str">
        <f>IF($A2467="","",EDATE($A2467,12*$E$4))</f>
        <v/>
      </c>
      <c r="L2467" s="19" t="str">
        <f>IF($K2467="","",IF($K2467&gt;MAX($A$8:$A$5007),"",IFERROR(MATCH($K2467,$A$8:$A$5007,1),"")))</f>
        <v/>
      </c>
      <c r="M2467" s="30" t="str">
        <f>IF($L2467="","",INDEX($A$8:$A$5007,$L2467))</f>
        <v/>
      </c>
      <c r="N2467" s="31" t="str">
        <f>IF($L2467="","",INDEX($B$8:$B$5007,$L2467))</f>
        <v/>
      </c>
      <c r="O2467" s="32" t="str">
        <f>IF($M2467="","",IF($K2467-$M2467&gt;7,"",IF($M2467&lt;=$A2467,"",IF(OR($B2467&lt;=0,$N2467&lt;=0),"",($N2467/$B2467)^(365/($M2467-$A2467))-1))))</f>
        <v/>
      </c>
      <c r="P2467" s="31" t="str">
        <f>IF($B2467="","",IF($P2466="",$B2467,MAX($P2466,$B2467)))</f>
        <v/>
      </c>
      <c r="Q2467" s="32" t="str">
        <f>IF($P2467="","",$B2467/$P2467-1)</f>
        <v/>
      </c>
    </row>
    <row r="2468">
      <c r="A2468" s="11" t="n"/>
      <c r="B2468" s="29" t="n"/>
      <c r="K2468" s="30" t="str">
        <f>IF($A2468="","",EDATE($A2468,12*$E$4))</f>
        <v/>
      </c>
      <c r="L2468" s="19" t="str">
        <f>IF($K2468="","",IF($K2468&gt;MAX($A$8:$A$5007),"",IFERROR(MATCH($K2468,$A$8:$A$5007,1),"")))</f>
        <v/>
      </c>
      <c r="M2468" s="30" t="str">
        <f>IF($L2468="","",INDEX($A$8:$A$5007,$L2468))</f>
        <v/>
      </c>
      <c r="N2468" s="31" t="str">
        <f>IF($L2468="","",INDEX($B$8:$B$5007,$L2468))</f>
        <v/>
      </c>
      <c r="O2468" s="32" t="str">
        <f>IF($M2468="","",IF($K2468-$M2468&gt;7,"",IF($M2468&lt;=$A2468,"",IF(OR($B2468&lt;=0,$N2468&lt;=0),"",($N2468/$B2468)^(365/($M2468-$A2468))-1))))</f>
        <v/>
      </c>
      <c r="P2468" s="31" t="str">
        <f>IF($B2468="","",IF($P2467="",$B2468,MAX($P2467,$B2468)))</f>
        <v/>
      </c>
      <c r="Q2468" s="32" t="str">
        <f>IF($P2468="","",$B2468/$P2468-1)</f>
        <v/>
      </c>
    </row>
    <row r="2469">
      <c r="A2469" s="11" t="n"/>
      <c r="B2469" s="29" t="n"/>
      <c r="K2469" s="30" t="str">
        <f>IF($A2469="","",EDATE($A2469,12*$E$4))</f>
        <v/>
      </c>
      <c r="L2469" s="19" t="str">
        <f>IF($K2469="","",IF($K2469&gt;MAX($A$8:$A$5007),"",IFERROR(MATCH($K2469,$A$8:$A$5007,1),"")))</f>
        <v/>
      </c>
      <c r="M2469" s="30" t="str">
        <f>IF($L2469="","",INDEX($A$8:$A$5007,$L2469))</f>
        <v/>
      </c>
      <c r="N2469" s="31" t="str">
        <f>IF($L2469="","",INDEX($B$8:$B$5007,$L2469))</f>
        <v/>
      </c>
      <c r="O2469" s="32" t="str">
        <f>IF($M2469="","",IF($K2469-$M2469&gt;7,"",IF($M2469&lt;=$A2469,"",IF(OR($B2469&lt;=0,$N2469&lt;=0),"",($N2469/$B2469)^(365/($M2469-$A2469))-1))))</f>
        <v/>
      </c>
      <c r="P2469" s="31" t="str">
        <f>IF($B2469="","",IF($P2468="",$B2469,MAX($P2468,$B2469)))</f>
        <v/>
      </c>
      <c r="Q2469" s="32" t="str">
        <f>IF($P2469="","",$B2469/$P2469-1)</f>
        <v/>
      </c>
    </row>
    <row r="2470">
      <c r="A2470" s="11" t="n"/>
      <c r="B2470" s="29" t="n"/>
      <c r="K2470" s="30" t="str">
        <f>IF($A2470="","",EDATE($A2470,12*$E$4))</f>
        <v/>
      </c>
      <c r="L2470" s="19" t="str">
        <f>IF($K2470="","",IF($K2470&gt;MAX($A$8:$A$5007),"",IFERROR(MATCH($K2470,$A$8:$A$5007,1),"")))</f>
        <v/>
      </c>
      <c r="M2470" s="30" t="str">
        <f>IF($L2470="","",INDEX($A$8:$A$5007,$L2470))</f>
        <v/>
      </c>
      <c r="N2470" s="31" t="str">
        <f>IF($L2470="","",INDEX($B$8:$B$5007,$L2470))</f>
        <v/>
      </c>
      <c r="O2470" s="32" t="str">
        <f>IF($M2470="","",IF($K2470-$M2470&gt;7,"",IF($M2470&lt;=$A2470,"",IF(OR($B2470&lt;=0,$N2470&lt;=0),"",($N2470/$B2470)^(365/($M2470-$A2470))-1))))</f>
        <v/>
      </c>
      <c r="P2470" s="31" t="str">
        <f>IF($B2470="","",IF($P2469="",$B2470,MAX($P2469,$B2470)))</f>
        <v/>
      </c>
      <c r="Q2470" s="32" t="str">
        <f>IF($P2470="","",$B2470/$P2470-1)</f>
        <v/>
      </c>
    </row>
    <row r="2471">
      <c r="A2471" s="11" t="n"/>
      <c r="B2471" s="29" t="n"/>
      <c r="K2471" s="30" t="str">
        <f>IF($A2471="","",EDATE($A2471,12*$E$4))</f>
        <v/>
      </c>
      <c r="L2471" s="19" t="str">
        <f>IF($K2471="","",IF($K2471&gt;MAX($A$8:$A$5007),"",IFERROR(MATCH($K2471,$A$8:$A$5007,1),"")))</f>
        <v/>
      </c>
      <c r="M2471" s="30" t="str">
        <f>IF($L2471="","",INDEX($A$8:$A$5007,$L2471))</f>
        <v/>
      </c>
      <c r="N2471" s="31" t="str">
        <f>IF($L2471="","",INDEX($B$8:$B$5007,$L2471))</f>
        <v/>
      </c>
      <c r="O2471" s="32" t="str">
        <f>IF($M2471="","",IF($K2471-$M2471&gt;7,"",IF($M2471&lt;=$A2471,"",IF(OR($B2471&lt;=0,$N2471&lt;=0),"",($N2471/$B2471)^(365/($M2471-$A2471))-1))))</f>
        <v/>
      </c>
      <c r="P2471" s="31" t="str">
        <f>IF($B2471="","",IF($P2470="",$B2471,MAX($P2470,$B2471)))</f>
        <v/>
      </c>
      <c r="Q2471" s="32" t="str">
        <f>IF($P2471="","",$B2471/$P2471-1)</f>
        <v/>
      </c>
    </row>
    <row r="2472">
      <c r="A2472" s="11" t="n"/>
      <c r="B2472" s="29" t="n"/>
      <c r="K2472" s="30" t="str">
        <f>IF($A2472="","",EDATE($A2472,12*$E$4))</f>
        <v/>
      </c>
      <c r="L2472" s="19" t="str">
        <f>IF($K2472="","",IF($K2472&gt;MAX($A$8:$A$5007),"",IFERROR(MATCH($K2472,$A$8:$A$5007,1),"")))</f>
        <v/>
      </c>
      <c r="M2472" s="30" t="str">
        <f>IF($L2472="","",INDEX($A$8:$A$5007,$L2472))</f>
        <v/>
      </c>
      <c r="N2472" s="31" t="str">
        <f>IF($L2472="","",INDEX($B$8:$B$5007,$L2472))</f>
        <v/>
      </c>
      <c r="O2472" s="32" t="str">
        <f>IF($M2472="","",IF($K2472-$M2472&gt;7,"",IF($M2472&lt;=$A2472,"",IF(OR($B2472&lt;=0,$N2472&lt;=0),"",($N2472/$B2472)^(365/($M2472-$A2472))-1))))</f>
        <v/>
      </c>
      <c r="P2472" s="31" t="str">
        <f>IF($B2472="","",IF($P2471="",$B2472,MAX($P2471,$B2472)))</f>
        <v/>
      </c>
      <c r="Q2472" s="32" t="str">
        <f>IF($P2472="","",$B2472/$P2472-1)</f>
        <v/>
      </c>
    </row>
    <row r="2473">
      <c r="A2473" s="11" t="n"/>
      <c r="B2473" s="29" t="n"/>
      <c r="K2473" s="30" t="str">
        <f>IF($A2473="","",EDATE($A2473,12*$E$4))</f>
        <v/>
      </c>
      <c r="L2473" s="19" t="str">
        <f>IF($K2473="","",IF($K2473&gt;MAX($A$8:$A$5007),"",IFERROR(MATCH($K2473,$A$8:$A$5007,1),"")))</f>
        <v/>
      </c>
      <c r="M2473" s="30" t="str">
        <f>IF($L2473="","",INDEX($A$8:$A$5007,$L2473))</f>
        <v/>
      </c>
      <c r="N2473" s="31" t="str">
        <f>IF($L2473="","",INDEX($B$8:$B$5007,$L2473))</f>
        <v/>
      </c>
      <c r="O2473" s="32" t="str">
        <f>IF($M2473="","",IF($K2473-$M2473&gt;7,"",IF($M2473&lt;=$A2473,"",IF(OR($B2473&lt;=0,$N2473&lt;=0),"",($N2473/$B2473)^(365/($M2473-$A2473))-1))))</f>
        <v/>
      </c>
      <c r="P2473" s="31" t="str">
        <f>IF($B2473="","",IF($P2472="",$B2473,MAX($P2472,$B2473)))</f>
        <v/>
      </c>
      <c r="Q2473" s="32" t="str">
        <f>IF($P2473="","",$B2473/$P2473-1)</f>
        <v/>
      </c>
    </row>
    <row r="2474">
      <c r="A2474" s="11" t="n"/>
      <c r="B2474" s="29" t="n"/>
      <c r="K2474" s="30" t="str">
        <f>IF($A2474="","",EDATE($A2474,12*$E$4))</f>
        <v/>
      </c>
      <c r="L2474" s="19" t="str">
        <f>IF($K2474="","",IF($K2474&gt;MAX($A$8:$A$5007),"",IFERROR(MATCH($K2474,$A$8:$A$5007,1),"")))</f>
        <v/>
      </c>
      <c r="M2474" s="30" t="str">
        <f>IF($L2474="","",INDEX($A$8:$A$5007,$L2474))</f>
        <v/>
      </c>
      <c r="N2474" s="31" t="str">
        <f>IF($L2474="","",INDEX($B$8:$B$5007,$L2474))</f>
        <v/>
      </c>
      <c r="O2474" s="32" t="str">
        <f>IF($M2474="","",IF($K2474-$M2474&gt;7,"",IF($M2474&lt;=$A2474,"",IF(OR($B2474&lt;=0,$N2474&lt;=0),"",($N2474/$B2474)^(365/($M2474-$A2474))-1))))</f>
        <v/>
      </c>
      <c r="P2474" s="31" t="str">
        <f>IF($B2474="","",IF($P2473="",$B2474,MAX($P2473,$B2474)))</f>
        <v/>
      </c>
      <c r="Q2474" s="32" t="str">
        <f>IF($P2474="","",$B2474/$P2474-1)</f>
        <v/>
      </c>
    </row>
    <row r="2475">
      <c r="A2475" s="11" t="n"/>
      <c r="B2475" s="29" t="n"/>
      <c r="K2475" s="30" t="str">
        <f>IF($A2475="","",EDATE($A2475,12*$E$4))</f>
        <v/>
      </c>
      <c r="L2475" s="19" t="str">
        <f>IF($K2475="","",IF($K2475&gt;MAX($A$8:$A$5007),"",IFERROR(MATCH($K2475,$A$8:$A$5007,1),"")))</f>
        <v/>
      </c>
      <c r="M2475" s="30" t="str">
        <f>IF($L2475="","",INDEX($A$8:$A$5007,$L2475))</f>
        <v/>
      </c>
      <c r="N2475" s="31" t="str">
        <f>IF($L2475="","",INDEX($B$8:$B$5007,$L2475))</f>
        <v/>
      </c>
      <c r="O2475" s="32" t="str">
        <f>IF($M2475="","",IF($K2475-$M2475&gt;7,"",IF($M2475&lt;=$A2475,"",IF(OR($B2475&lt;=0,$N2475&lt;=0),"",($N2475/$B2475)^(365/($M2475-$A2475))-1))))</f>
        <v/>
      </c>
      <c r="P2475" s="31" t="str">
        <f>IF($B2475="","",IF($P2474="",$B2475,MAX($P2474,$B2475)))</f>
        <v/>
      </c>
      <c r="Q2475" s="32" t="str">
        <f>IF($P2475="","",$B2475/$P2475-1)</f>
        <v/>
      </c>
    </row>
    <row r="2476">
      <c r="A2476" s="11" t="n"/>
      <c r="B2476" s="29" t="n"/>
      <c r="K2476" s="30" t="str">
        <f>IF($A2476="","",EDATE($A2476,12*$E$4))</f>
        <v/>
      </c>
      <c r="L2476" s="19" t="str">
        <f>IF($K2476="","",IF($K2476&gt;MAX($A$8:$A$5007),"",IFERROR(MATCH($K2476,$A$8:$A$5007,1),"")))</f>
        <v/>
      </c>
      <c r="M2476" s="30" t="str">
        <f>IF($L2476="","",INDEX($A$8:$A$5007,$L2476))</f>
        <v/>
      </c>
      <c r="N2476" s="31" t="str">
        <f>IF($L2476="","",INDEX($B$8:$B$5007,$L2476))</f>
        <v/>
      </c>
      <c r="O2476" s="32" t="str">
        <f>IF($M2476="","",IF($K2476-$M2476&gt;7,"",IF($M2476&lt;=$A2476,"",IF(OR($B2476&lt;=0,$N2476&lt;=0),"",($N2476/$B2476)^(365/($M2476-$A2476))-1))))</f>
        <v/>
      </c>
      <c r="P2476" s="31" t="str">
        <f>IF($B2476="","",IF($P2475="",$B2476,MAX($P2475,$B2476)))</f>
        <v/>
      </c>
      <c r="Q2476" s="32" t="str">
        <f>IF($P2476="","",$B2476/$P2476-1)</f>
        <v/>
      </c>
    </row>
    <row r="2477">
      <c r="A2477" s="11" t="n"/>
      <c r="B2477" s="29" t="n"/>
      <c r="K2477" s="30" t="str">
        <f>IF($A2477="","",EDATE($A2477,12*$E$4))</f>
        <v/>
      </c>
      <c r="L2477" s="19" t="str">
        <f>IF($K2477="","",IF($K2477&gt;MAX($A$8:$A$5007),"",IFERROR(MATCH($K2477,$A$8:$A$5007,1),"")))</f>
        <v/>
      </c>
      <c r="M2477" s="30" t="str">
        <f>IF($L2477="","",INDEX($A$8:$A$5007,$L2477))</f>
        <v/>
      </c>
      <c r="N2477" s="31" t="str">
        <f>IF($L2477="","",INDEX($B$8:$B$5007,$L2477))</f>
        <v/>
      </c>
      <c r="O2477" s="32" t="str">
        <f>IF($M2477="","",IF($K2477-$M2477&gt;7,"",IF($M2477&lt;=$A2477,"",IF(OR($B2477&lt;=0,$N2477&lt;=0),"",($N2477/$B2477)^(365/($M2477-$A2477))-1))))</f>
        <v/>
      </c>
      <c r="P2477" s="31" t="str">
        <f>IF($B2477="","",IF($P2476="",$B2477,MAX($P2476,$B2477)))</f>
        <v/>
      </c>
      <c r="Q2477" s="32" t="str">
        <f>IF($P2477="","",$B2477/$P2477-1)</f>
        <v/>
      </c>
    </row>
    <row r="2478">
      <c r="A2478" s="11" t="n"/>
      <c r="B2478" s="29" t="n"/>
      <c r="K2478" s="30" t="str">
        <f>IF($A2478="","",EDATE($A2478,12*$E$4))</f>
        <v/>
      </c>
      <c r="L2478" s="19" t="str">
        <f>IF($K2478="","",IF($K2478&gt;MAX($A$8:$A$5007),"",IFERROR(MATCH($K2478,$A$8:$A$5007,1),"")))</f>
        <v/>
      </c>
      <c r="M2478" s="30" t="str">
        <f>IF($L2478="","",INDEX($A$8:$A$5007,$L2478))</f>
        <v/>
      </c>
      <c r="N2478" s="31" t="str">
        <f>IF($L2478="","",INDEX($B$8:$B$5007,$L2478))</f>
        <v/>
      </c>
      <c r="O2478" s="32" t="str">
        <f>IF($M2478="","",IF($K2478-$M2478&gt;7,"",IF($M2478&lt;=$A2478,"",IF(OR($B2478&lt;=0,$N2478&lt;=0),"",($N2478/$B2478)^(365/($M2478-$A2478))-1))))</f>
        <v/>
      </c>
      <c r="P2478" s="31" t="str">
        <f>IF($B2478="","",IF($P2477="",$B2478,MAX($P2477,$B2478)))</f>
        <v/>
      </c>
      <c r="Q2478" s="32" t="str">
        <f>IF($P2478="","",$B2478/$P2478-1)</f>
        <v/>
      </c>
    </row>
    <row r="2479">
      <c r="A2479" s="11" t="n"/>
      <c r="B2479" s="29" t="n"/>
      <c r="K2479" s="30" t="str">
        <f>IF($A2479="","",EDATE($A2479,12*$E$4))</f>
        <v/>
      </c>
      <c r="L2479" s="19" t="str">
        <f>IF($K2479="","",IF($K2479&gt;MAX($A$8:$A$5007),"",IFERROR(MATCH($K2479,$A$8:$A$5007,1),"")))</f>
        <v/>
      </c>
      <c r="M2479" s="30" t="str">
        <f>IF($L2479="","",INDEX($A$8:$A$5007,$L2479))</f>
        <v/>
      </c>
      <c r="N2479" s="31" t="str">
        <f>IF($L2479="","",INDEX($B$8:$B$5007,$L2479))</f>
        <v/>
      </c>
      <c r="O2479" s="32" t="str">
        <f>IF($M2479="","",IF($K2479-$M2479&gt;7,"",IF($M2479&lt;=$A2479,"",IF(OR($B2479&lt;=0,$N2479&lt;=0),"",($N2479/$B2479)^(365/($M2479-$A2479))-1))))</f>
        <v/>
      </c>
      <c r="P2479" s="31" t="str">
        <f>IF($B2479="","",IF($P2478="",$B2479,MAX($P2478,$B2479)))</f>
        <v/>
      </c>
      <c r="Q2479" s="32" t="str">
        <f>IF($P2479="","",$B2479/$P2479-1)</f>
        <v/>
      </c>
    </row>
    <row r="2480">
      <c r="A2480" s="11" t="n"/>
      <c r="B2480" s="29" t="n"/>
      <c r="K2480" s="30" t="str">
        <f>IF($A2480="","",EDATE($A2480,12*$E$4))</f>
        <v/>
      </c>
      <c r="L2480" s="19" t="str">
        <f>IF($K2480="","",IF($K2480&gt;MAX($A$8:$A$5007),"",IFERROR(MATCH($K2480,$A$8:$A$5007,1),"")))</f>
        <v/>
      </c>
      <c r="M2480" s="30" t="str">
        <f>IF($L2480="","",INDEX($A$8:$A$5007,$L2480))</f>
        <v/>
      </c>
      <c r="N2480" s="31" t="str">
        <f>IF($L2480="","",INDEX($B$8:$B$5007,$L2480))</f>
        <v/>
      </c>
      <c r="O2480" s="32" t="str">
        <f>IF($M2480="","",IF($K2480-$M2480&gt;7,"",IF($M2480&lt;=$A2480,"",IF(OR($B2480&lt;=0,$N2480&lt;=0),"",($N2480/$B2480)^(365/($M2480-$A2480))-1))))</f>
        <v/>
      </c>
      <c r="P2480" s="31" t="str">
        <f>IF($B2480="","",IF($P2479="",$B2480,MAX($P2479,$B2480)))</f>
        <v/>
      </c>
      <c r="Q2480" s="32" t="str">
        <f>IF($P2480="","",$B2480/$P2480-1)</f>
        <v/>
      </c>
    </row>
    <row r="2481">
      <c r="A2481" s="11" t="n"/>
      <c r="B2481" s="29" t="n"/>
      <c r="K2481" s="30" t="str">
        <f>IF($A2481="","",EDATE($A2481,12*$E$4))</f>
        <v/>
      </c>
      <c r="L2481" s="19" t="str">
        <f>IF($K2481="","",IF($K2481&gt;MAX($A$8:$A$5007),"",IFERROR(MATCH($K2481,$A$8:$A$5007,1),"")))</f>
        <v/>
      </c>
      <c r="M2481" s="30" t="str">
        <f>IF($L2481="","",INDEX($A$8:$A$5007,$L2481))</f>
        <v/>
      </c>
      <c r="N2481" s="31" t="str">
        <f>IF($L2481="","",INDEX($B$8:$B$5007,$L2481))</f>
        <v/>
      </c>
      <c r="O2481" s="32" t="str">
        <f>IF($M2481="","",IF($K2481-$M2481&gt;7,"",IF($M2481&lt;=$A2481,"",IF(OR($B2481&lt;=0,$N2481&lt;=0),"",($N2481/$B2481)^(365/($M2481-$A2481))-1))))</f>
        <v/>
      </c>
      <c r="P2481" s="31" t="str">
        <f>IF($B2481="","",IF($P2480="",$B2481,MAX($P2480,$B2481)))</f>
        <v/>
      </c>
      <c r="Q2481" s="32" t="str">
        <f>IF($P2481="","",$B2481/$P2481-1)</f>
        <v/>
      </c>
    </row>
    <row r="2482">
      <c r="A2482" s="11" t="n"/>
      <c r="B2482" s="29" t="n"/>
      <c r="K2482" s="30" t="str">
        <f>IF($A2482="","",EDATE($A2482,12*$E$4))</f>
        <v/>
      </c>
      <c r="L2482" s="19" t="str">
        <f>IF($K2482="","",IF($K2482&gt;MAX($A$8:$A$5007),"",IFERROR(MATCH($K2482,$A$8:$A$5007,1),"")))</f>
        <v/>
      </c>
      <c r="M2482" s="30" t="str">
        <f>IF($L2482="","",INDEX($A$8:$A$5007,$L2482))</f>
        <v/>
      </c>
      <c r="N2482" s="31" t="str">
        <f>IF($L2482="","",INDEX($B$8:$B$5007,$L2482))</f>
        <v/>
      </c>
      <c r="O2482" s="32" t="str">
        <f>IF($M2482="","",IF($K2482-$M2482&gt;7,"",IF($M2482&lt;=$A2482,"",IF(OR($B2482&lt;=0,$N2482&lt;=0),"",($N2482/$B2482)^(365/($M2482-$A2482))-1))))</f>
        <v/>
      </c>
      <c r="P2482" s="31" t="str">
        <f>IF($B2482="","",IF($P2481="",$B2482,MAX($P2481,$B2482)))</f>
        <v/>
      </c>
      <c r="Q2482" s="32" t="str">
        <f>IF($P2482="","",$B2482/$P2482-1)</f>
        <v/>
      </c>
    </row>
    <row r="2483">
      <c r="A2483" s="11" t="n"/>
      <c r="B2483" s="29" t="n"/>
      <c r="K2483" s="30" t="str">
        <f>IF($A2483="","",EDATE($A2483,12*$E$4))</f>
        <v/>
      </c>
      <c r="L2483" s="19" t="str">
        <f>IF($K2483="","",IF($K2483&gt;MAX($A$8:$A$5007),"",IFERROR(MATCH($K2483,$A$8:$A$5007,1),"")))</f>
        <v/>
      </c>
      <c r="M2483" s="30" t="str">
        <f>IF($L2483="","",INDEX($A$8:$A$5007,$L2483))</f>
        <v/>
      </c>
      <c r="N2483" s="31" t="str">
        <f>IF($L2483="","",INDEX($B$8:$B$5007,$L2483))</f>
        <v/>
      </c>
      <c r="O2483" s="32" t="str">
        <f>IF($M2483="","",IF($K2483-$M2483&gt;7,"",IF($M2483&lt;=$A2483,"",IF(OR($B2483&lt;=0,$N2483&lt;=0),"",($N2483/$B2483)^(365/($M2483-$A2483))-1))))</f>
        <v/>
      </c>
      <c r="P2483" s="31" t="str">
        <f>IF($B2483="","",IF($P2482="",$B2483,MAX($P2482,$B2483)))</f>
        <v/>
      </c>
      <c r="Q2483" s="32" t="str">
        <f>IF($P2483="","",$B2483/$P2483-1)</f>
        <v/>
      </c>
    </row>
    <row r="2484">
      <c r="A2484" s="11" t="n"/>
      <c r="B2484" s="29" t="n"/>
      <c r="K2484" s="30" t="str">
        <f>IF($A2484="","",EDATE($A2484,12*$E$4))</f>
        <v/>
      </c>
      <c r="L2484" s="19" t="str">
        <f>IF($K2484="","",IF($K2484&gt;MAX($A$8:$A$5007),"",IFERROR(MATCH($K2484,$A$8:$A$5007,1),"")))</f>
        <v/>
      </c>
      <c r="M2484" s="30" t="str">
        <f>IF($L2484="","",INDEX($A$8:$A$5007,$L2484))</f>
        <v/>
      </c>
      <c r="N2484" s="31" t="str">
        <f>IF($L2484="","",INDEX($B$8:$B$5007,$L2484))</f>
        <v/>
      </c>
      <c r="O2484" s="32" t="str">
        <f>IF($M2484="","",IF($K2484-$M2484&gt;7,"",IF($M2484&lt;=$A2484,"",IF(OR($B2484&lt;=0,$N2484&lt;=0),"",($N2484/$B2484)^(365/($M2484-$A2484))-1))))</f>
        <v/>
      </c>
      <c r="P2484" s="31" t="str">
        <f>IF($B2484="","",IF($P2483="",$B2484,MAX($P2483,$B2484)))</f>
        <v/>
      </c>
      <c r="Q2484" s="32" t="str">
        <f>IF($P2484="","",$B2484/$P2484-1)</f>
        <v/>
      </c>
    </row>
    <row r="2485">
      <c r="A2485" s="11" t="n"/>
      <c r="B2485" s="29" t="n"/>
      <c r="K2485" s="30" t="str">
        <f>IF($A2485="","",EDATE($A2485,12*$E$4))</f>
        <v/>
      </c>
      <c r="L2485" s="19" t="str">
        <f>IF($K2485="","",IF($K2485&gt;MAX($A$8:$A$5007),"",IFERROR(MATCH($K2485,$A$8:$A$5007,1),"")))</f>
        <v/>
      </c>
      <c r="M2485" s="30" t="str">
        <f>IF($L2485="","",INDEX($A$8:$A$5007,$L2485))</f>
        <v/>
      </c>
      <c r="N2485" s="31" t="str">
        <f>IF($L2485="","",INDEX($B$8:$B$5007,$L2485))</f>
        <v/>
      </c>
      <c r="O2485" s="32" t="str">
        <f>IF($M2485="","",IF($K2485-$M2485&gt;7,"",IF($M2485&lt;=$A2485,"",IF(OR($B2485&lt;=0,$N2485&lt;=0),"",($N2485/$B2485)^(365/($M2485-$A2485))-1))))</f>
        <v/>
      </c>
      <c r="P2485" s="31" t="str">
        <f>IF($B2485="","",IF($P2484="",$B2485,MAX($P2484,$B2485)))</f>
        <v/>
      </c>
      <c r="Q2485" s="32" t="str">
        <f>IF($P2485="","",$B2485/$P2485-1)</f>
        <v/>
      </c>
    </row>
    <row r="2486">
      <c r="A2486" s="11" t="n"/>
      <c r="B2486" s="29" t="n"/>
      <c r="K2486" s="30" t="str">
        <f>IF($A2486="","",EDATE($A2486,12*$E$4))</f>
        <v/>
      </c>
      <c r="L2486" s="19" t="str">
        <f>IF($K2486="","",IF($K2486&gt;MAX($A$8:$A$5007),"",IFERROR(MATCH($K2486,$A$8:$A$5007,1),"")))</f>
        <v/>
      </c>
      <c r="M2486" s="30" t="str">
        <f>IF($L2486="","",INDEX($A$8:$A$5007,$L2486))</f>
        <v/>
      </c>
      <c r="N2486" s="31" t="str">
        <f>IF($L2486="","",INDEX($B$8:$B$5007,$L2486))</f>
        <v/>
      </c>
      <c r="O2486" s="32" t="str">
        <f>IF($M2486="","",IF($K2486-$M2486&gt;7,"",IF($M2486&lt;=$A2486,"",IF(OR($B2486&lt;=0,$N2486&lt;=0),"",($N2486/$B2486)^(365/($M2486-$A2486))-1))))</f>
        <v/>
      </c>
      <c r="P2486" s="31" t="str">
        <f>IF($B2486="","",IF($P2485="",$B2486,MAX($P2485,$B2486)))</f>
        <v/>
      </c>
      <c r="Q2486" s="32" t="str">
        <f>IF($P2486="","",$B2486/$P2486-1)</f>
        <v/>
      </c>
    </row>
    <row r="2487">
      <c r="A2487" s="11" t="n"/>
      <c r="B2487" s="29" t="n"/>
      <c r="K2487" s="30" t="str">
        <f>IF($A2487="","",EDATE($A2487,12*$E$4))</f>
        <v/>
      </c>
      <c r="L2487" s="19" t="str">
        <f>IF($K2487="","",IF($K2487&gt;MAX($A$8:$A$5007),"",IFERROR(MATCH($K2487,$A$8:$A$5007,1),"")))</f>
        <v/>
      </c>
      <c r="M2487" s="30" t="str">
        <f>IF($L2487="","",INDEX($A$8:$A$5007,$L2487))</f>
        <v/>
      </c>
      <c r="N2487" s="31" t="str">
        <f>IF($L2487="","",INDEX($B$8:$B$5007,$L2487))</f>
        <v/>
      </c>
      <c r="O2487" s="32" t="str">
        <f>IF($M2487="","",IF($K2487-$M2487&gt;7,"",IF($M2487&lt;=$A2487,"",IF(OR($B2487&lt;=0,$N2487&lt;=0),"",($N2487/$B2487)^(365/($M2487-$A2487))-1))))</f>
        <v/>
      </c>
      <c r="P2487" s="31" t="str">
        <f>IF($B2487="","",IF($P2486="",$B2487,MAX($P2486,$B2487)))</f>
        <v/>
      </c>
      <c r="Q2487" s="32" t="str">
        <f>IF($P2487="","",$B2487/$P2487-1)</f>
        <v/>
      </c>
    </row>
    <row r="2488">
      <c r="A2488" s="11" t="n"/>
      <c r="B2488" s="29" t="n"/>
      <c r="K2488" s="30" t="str">
        <f>IF($A2488="","",EDATE($A2488,12*$E$4))</f>
        <v/>
      </c>
      <c r="L2488" s="19" t="str">
        <f>IF($K2488="","",IF($K2488&gt;MAX($A$8:$A$5007),"",IFERROR(MATCH($K2488,$A$8:$A$5007,1),"")))</f>
        <v/>
      </c>
      <c r="M2488" s="30" t="str">
        <f>IF($L2488="","",INDEX($A$8:$A$5007,$L2488))</f>
        <v/>
      </c>
      <c r="N2488" s="31" t="str">
        <f>IF($L2488="","",INDEX($B$8:$B$5007,$L2488))</f>
        <v/>
      </c>
      <c r="O2488" s="32" t="str">
        <f>IF($M2488="","",IF($K2488-$M2488&gt;7,"",IF($M2488&lt;=$A2488,"",IF(OR($B2488&lt;=0,$N2488&lt;=0),"",($N2488/$B2488)^(365/($M2488-$A2488))-1))))</f>
        <v/>
      </c>
      <c r="P2488" s="31" t="str">
        <f>IF($B2488="","",IF($P2487="",$B2488,MAX($P2487,$B2488)))</f>
        <v/>
      </c>
      <c r="Q2488" s="32" t="str">
        <f>IF($P2488="","",$B2488/$P2488-1)</f>
        <v/>
      </c>
    </row>
    <row r="2489">
      <c r="A2489" s="11" t="n"/>
      <c r="B2489" s="29" t="n"/>
      <c r="K2489" s="30" t="str">
        <f>IF($A2489="","",EDATE($A2489,12*$E$4))</f>
        <v/>
      </c>
      <c r="L2489" s="19" t="str">
        <f>IF($K2489="","",IF($K2489&gt;MAX($A$8:$A$5007),"",IFERROR(MATCH($K2489,$A$8:$A$5007,1),"")))</f>
        <v/>
      </c>
      <c r="M2489" s="30" t="str">
        <f>IF($L2489="","",INDEX($A$8:$A$5007,$L2489))</f>
        <v/>
      </c>
      <c r="N2489" s="31" t="str">
        <f>IF($L2489="","",INDEX($B$8:$B$5007,$L2489))</f>
        <v/>
      </c>
      <c r="O2489" s="32" t="str">
        <f>IF($M2489="","",IF($K2489-$M2489&gt;7,"",IF($M2489&lt;=$A2489,"",IF(OR($B2489&lt;=0,$N2489&lt;=0),"",($N2489/$B2489)^(365/($M2489-$A2489))-1))))</f>
        <v/>
      </c>
      <c r="P2489" s="31" t="str">
        <f>IF($B2489="","",IF($P2488="",$B2489,MAX($P2488,$B2489)))</f>
        <v/>
      </c>
      <c r="Q2489" s="32" t="str">
        <f>IF($P2489="","",$B2489/$P2489-1)</f>
        <v/>
      </c>
    </row>
    <row r="2490">
      <c r="A2490" s="11" t="n"/>
      <c r="B2490" s="29" t="n"/>
      <c r="K2490" s="30" t="str">
        <f>IF($A2490="","",EDATE($A2490,12*$E$4))</f>
        <v/>
      </c>
      <c r="L2490" s="19" t="str">
        <f>IF($K2490="","",IF($K2490&gt;MAX($A$8:$A$5007),"",IFERROR(MATCH($K2490,$A$8:$A$5007,1),"")))</f>
        <v/>
      </c>
      <c r="M2490" s="30" t="str">
        <f>IF($L2490="","",INDEX($A$8:$A$5007,$L2490))</f>
        <v/>
      </c>
      <c r="N2490" s="31" t="str">
        <f>IF($L2490="","",INDEX($B$8:$B$5007,$L2490))</f>
        <v/>
      </c>
      <c r="O2490" s="32" t="str">
        <f>IF($M2490="","",IF($K2490-$M2490&gt;7,"",IF($M2490&lt;=$A2490,"",IF(OR($B2490&lt;=0,$N2490&lt;=0),"",($N2490/$B2490)^(365/($M2490-$A2490))-1))))</f>
        <v/>
      </c>
      <c r="P2490" s="31" t="str">
        <f>IF($B2490="","",IF($P2489="",$B2490,MAX($P2489,$B2490)))</f>
        <v/>
      </c>
      <c r="Q2490" s="32" t="str">
        <f>IF($P2490="","",$B2490/$P2490-1)</f>
        <v/>
      </c>
    </row>
    <row r="2491">
      <c r="A2491" s="11" t="n"/>
      <c r="B2491" s="29" t="n"/>
      <c r="K2491" s="30" t="str">
        <f>IF($A2491="","",EDATE($A2491,12*$E$4))</f>
        <v/>
      </c>
      <c r="L2491" s="19" t="str">
        <f>IF($K2491="","",IF($K2491&gt;MAX($A$8:$A$5007),"",IFERROR(MATCH($K2491,$A$8:$A$5007,1),"")))</f>
        <v/>
      </c>
      <c r="M2491" s="30" t="str">
        <f>IF($L2491="","",INDEX($A$8:$A$5007,$L2491))</f>
        <v/>
      </c>
      <c r="N2491" s="31" t="str">
        <f>IF($L2491="","",INDEX($B$8:$B$5007,$L2491))</f>
        <v/>
      </c>
      <c r="O2491" s="32" t="str">
        <f>IF($M2491="","",IF($K2491-$M2491&gt;7,"",IF($M2491&lt;=$A2491,"",IF(OR($B2491&lt;=0,$N2491&lt;=0),"",($N2491/$B2491)^(365/($M2491-$A2491))-1))))</f>
        <v/>
      </c>
      <c r="P2491" s="31" t="str">
        <f>IF($B2491="","",IF($P2490="",$B2491,MAX($P2490,$B2491)))</f>
        <v/>
      </c>
      <c r="Q2491" s="32" t="str">
        <f>IF($P2491="","",$B2491/$P2491-1)</f>
        <v/>
      </c>
    </row>
    <row r="2492">
      <c r="A2492" s="11" t="n"/>
      <c r="B2492" s="29" t="n"/>
      <c r="K2492" s="30" t="str">
        <f>IF($A2492="","",EDATE($A2492,12*$E$4))</f>
        <v/>
      </c>
      <c r="L2492" s="19" t="str">
        <f>IF($K2492="","",IF($K2492&gt;MAX($A$8:$A$5007),"",IFERROR(MATCH($K2492,$A$8:$A$5007,1),"")))</f>
        <v/>
      </c>
      <c r="M2492" s="30" t="str">
        <f>IF($L2492="","",INDEX($A$8:$A$5007,$L2492))</f>
        <v/>
      </c>
      <c r="N2492" s="31" t="str">
        <f>IF($L2492="","",INDEX($B$8:$B$5007,$L2492))</f>
        <v/>
      </c>
      <c r="O2492" s="32" t="str">
        <f>IF($M2492="","",IF($K2492-$M2492&gt;7,"",IF($M2492&lt;=$A2492,"",IF(OR($B2492&lt;=0,$N2492&lt;=0),"",($N2492/$B2492)^(365/($M2492-$A2492))-1))))</f>
        <v/>
      </c>
      <c r="P2492" s="31" t="str">
        <f>IF($B2492="","",IF($P2491="",$B2492,MAX($P2491,$B2492)))</f>
        <v/>
      </c>
      <c r="Q2492" s="32" t="str">
        <f>IF($P2492="","",$B2492/$P2492-1)</f>
        <v/>
      </c>
    </row>
    <row r="2493">
      <c r="A2493" s="11" t="n"/>
      <c r="B2493" s="29" t="n"/>
      <c r="K2493" s="30" t="str">
        <f>IF($A2493="","",EDATE($A2493,12*$E$4))</f>
        <v/>
      </c>
      <c r="L2493" s="19" t="str">
        <f>IF($K2493="","",IF($K2493&gt;MAX($A$8:$A$5007),"",IFERROR(MATCH($K2493,$A$8:$A$5007,1),"")))</f>
        <v/>
      </c>
      <c r="M2493" s="30" t="str">
        <f>IF($L2493="","",INDEX($A$8:$A$5007,$L2493))</f>
        <v/>
      </c>
      <c r="N2493" s="31" t="str">
        <f>IF($L2493="","",INDEX($B$8:$B$5007,$L2493))</f>
        <v/>
      </c>
      <c r="O2493" s="32" t="str">
        <f>IF($M2493="","",IF($K2493-$M2493&gt;7,"",IF($M2493&lt;=$A2493,"",IF(OR($B2493&lt;=0,$N2493&lt;=0),"",($N2493/$B2493)^(365/($M2493-$A2493))-1))))</f>
        <v/>
      </c>
      <c r="P2493" s="31" t="str">
        <f>IF($B2493="","",IF($P2492="",$B2493,MAX($P2492,$B2493)))</f>
        <v/>
      </c>
      <c r="Q2493" s="32" t="str">
        <f>IF($P2493="","",$B2493/$P2493-1)</f>
        <v/>
      </c>
    </row>
    <row r="2494">
      <c r="A2494" s="11" t="n"/>
      <c r="B2494" s="29" t="n"/>
      <c r="K2494" s="30" t="str">
        <f>IF($A2494="","",EDATE($A2494,12*$E$4))</f>
        <v/>
      </c>
      <c r="L2494" s="19" t="str">
        <f>IF($K2494="","",IF($K2494&gt;MAX($A$8:$A$5007),"",IFERROR(MATCH($K2494,$A$8:$A$5007,1),"")))</f>
        <v/>
      </c>
      <c r="M2494" s="30" t="str">
        <f>IF($L2494="","",INDEX($A$8:$A$5007,$L2494))</f>
        <v/>
      </c>
      <c r="N2494" s="31" t="str">
        <f>IF($L2494="","",INDEX($B$8:$B$5007,$L2494))</f>
        <v/>
      </c>
      <c r="O2494" s="32" t="str">
        <f>IF($M2494="","",IF($K2494-$M2494&gt;7,"",IF($M2494&lt;=$A2494,"",IF(OR($B2494&lt;=0,$N2494&lt;=0),"",($N2494/$B2494)^(365/($M2494-$A2494))-1))))</f>
        <v/>
      </c>
      <c r="P2494" s="31" t="str">
        <f>IF($B2494="","",IF($P2493="",$B2494,MAX($P2493,$B2494)))</f>
        <v/>
      </c>
      <c r="Q2494" s="32" t="str">
        <f>IF($P2494="","",$B2494/$P2494-1)</f>
        <v/>
      </c>
    </row>
    <row r="2495">
      <c r="A2495" s="11" t="n"/>
      <c r="B2495" s="29" t="n"/>
      <c r="K2495" s="30" t="str">
        <f>IF($A2495="","",EDATE($A2495,12*$E$4))</f>
        <v/>
      </c>
      <c r="L2495" s="19" t="str">
        <f>IF($K2495="","",IF($K2495&gt;MAX($A$8:$A$5007),"",IFERROR(MATCH($K2495,$A$8:$A$5007,1),"")))</f>
        <v/>
      </c>
      <c r="M2495" s="30" t="str">
        <f>IF($L2495="","",INDEX($A$8:$A$5007,$L2495))</f>
        <v/>
      </c>
      <c r="N2495" s="31" t="str">
        <f>IF($L2495="","",INDEX($B$8:$B$5007,$L2495))</f>
        <v/>
      </c>
      <c r="O2495" s="32" t="str">
        <f>IF($M2495="","",IF($K2495-$M2495&gt;7,"",IF($M2495&lt;=$A2495,"",IF(OR($B2495&lt;=0,$N2495&lt;=0),"",($N2495/$B2495)^(365/($M2495-$A2495))-1))))</f>
        <v/>
      </c>
      <c r="P2495" s="31" t="str">
        <f>IF($B2495="","",IF($P2494="",$B2495,MAX($P2494,$B2495)))</f>
        <v/>
      </c>
      <c r="Q2495" s="32" t="str">
        <f>IF($P2495="","",$B2495/$P2495-1)</f>
        <v/>
      </c>
    </row>
    <row r="2496">
      <c r="A2496" s="11" t="n"/>
      <c r="B2496" s="29" t="n"/>
      <c r="K2496" s="30" t="str">
        <f>IF($A2496="","",EDATE($A2496,12*$E$4))</f>
        <v/>
      </c>
      <c r="L2496" s="19" t="str">
        <f>IF($K2496="","",IF($K2496&gt;MAX($A$8:$A$5007),"",IFERROR(MATCH($K2496,$A$8:$A$5007,1),"")))</f>
        <v/>
      </c>
      <c r="M2496" s="30" t="str">
        <f>IF($L2496="","",INDEX($A$8:$A$5007,$L2496))</f>
        <v/>
      </c>
      <c r="N2496" s="31" t="str">
        <f>IF($L2496="","",INDEX($B$8:$B$5007,$L2496))</f>
        <v/>
      </c>
      <c r="O2496" s="32" t="str">
        <f>IF($M2496="","",IF($K2496-$M2496&gt;7,"",IF($M2496&lt;=$A2496,"",IF(OR($B2496&lt;=0,$N2496&lt;=0),"",($N2496/$B2496)^(365/($M2496-$A2496))-1))))</f>
        <v/>
      </c>
      <c r="P2496" s="31" t="str">
        <f>IF($B2496="","",IF($P2495="",$B2496,MAX($P2495,$B2496)))</f>
        <v/>
      </c>
      <c r="Q2496" s="32" t="str">
        <f>IF($P2496="","",$B2496/$P2496-1)</f>
        <v/>
      </c>
    </row>
    <row r="2497">
      <c r="A2497" s="11" t="n"/>
      <c r="B2497" s="29" t="n"/>
      <c r="K2497" s="30" t="str">
        <f>IF($A2497="","",EDATE($A2497,12*$E$4))</f>
        <v/>
      </c>
      <c r="L2497" s="19" t="str">
        <f>IF($K2497="","",IF($K2497&gt;MAX($A$8:$A$5007),"",IFERROR(MATCH($K2497,$A$8:$A$5007,1),"")))</f>
        <v/>
      </c>
      <c r="M2497" s="30" t="str">
        <f>IF($L2497="","",INDEX($A$8:$A$5007,$L2497))</f>
        <v/>
      </c>
      <c r="N2497" s="31" t="str">
        <f>IF($L2497="","",INDEX($B$8:$B$5007,$L2497))</f>
        <v/>
      </c>
      <c r="O2497" s="32" t="str">
        <f>IF($M2497="","",IF($K2497-$M2497&gt;7,"",IF($M2497&lt;=$A2497,"",IF(OR($B2497&lt;=0,$N2497&lt;=0),"",($N2497/$B2497)^(365/($M2497-$A2497))-1))))</f>
        <v/>
      </c>
      <c r="P2497" s="31" t="str">
        <f>IF($B2497="","",IF($P2496="",$B2497,MAX($P2496,$B2497)))</f>
        <v/>
      </c>
      <c r="Q2497" s="32" t="str">
        <f>IF($P2497="","",$B2497/$P2497-1)</f>
        <v/>
      </c>
    </row>
    <row r="2498">
      <c r="A2498" s="11" t="n"/>
      <c r="B2498" s="29" t="n"/>
      <c r="K2498" s="30" t="str">
        <f>IF($A2498="","",EDATE($A2498,12*$E$4))</f>
        <v/>
      </c>
      <c r="L2498" s="19" t="str">
        <f>IF($K2498="","",IF($K2498&gt;MAX($A$8:$A$5007),"",IFERROR(MATCH($K2498,$A$8:$A$5007,1),"")))</f>
        <v/>
      </c>
      <c r="M2498" s="30" t="str">
        <f>IF($L2498="","",INDEX($A$8:$A$5007,$L2498))</f>
        <v/>
      </c>
      <c r="N2498" s="31" t="str">
        <f>IF($L2498="","",INDEX($B$8:$B$5007,$L2498))</f>
        <v/>
      </c>
      <c r="O2498" s="32" t="str">
        <f>IF($M2498="","",IF($K2498-$M2498&gt;7,"",IF($M2498&lt;=$A2498,"",IF(OR($B2498&lt;=0,$N2498&lt;=0),"",($N2498/$B2498)^(365/($M2498-$A2498))-1))))</f>
        <v/>
      </c>
      <c r="P2498" s="31" t="str">
        <f>IF($B2498="","",IF($P2497="",$B2498,MAX($P2497,$B2498)))</f>
        <v/>
      </c>
      <c r="Q2498" s="32" t="str">
        <f>IF($P2498="","",$B2498/$P2498-1)</f>
        <v/>
      </c>
    </row>
    <row r="2499">
      <c r="A2499" s="11" t="n"/>
      <c r="B2499" s="29" t="n"/>
      <c r="K2499" s="30" t="str">
        <f>IF($A2499="","",EDATE($A2499,12*$E$4))</f>
        <v/>
      </c>
      <c r="L2499" s="19" t="str">
        <f>IF($K2499="","",IF($K2499&gt;MAX($A$8:$A$5007),"",IFERROR(MATCH($K2499,$A$8:$A$5007,1),"")))</f>
        <v/>
      </c>
      <c r="M2499" s="30" t="str">
        <f>IF($L2499="","",INDEX($A$8:$A$5007,$L2499))</f>
        <v/>
      </c>
      <c r="N2499" s="31" t="str">
        <f>IF($L2499="","",INDEX($B$8:$B$5007,$L2499))</f>
        <v/>
      </c>
      <c r="O2499" s="32" t="str">
        <f>IF($M2499="","",IF($K2499-$M2499&gt;7,"",IF($M2499&lt;=$A2499,"",IF(OR($B2499&lt;=0,$N2499&lt;=0),"",($N2499/$B2499)^(365/($M2499-$A2499))-1))))</f>
        <v/>
      </c>
      <c r="P2499" s="31" t="str">
        <f>IF($B2499="","",IF($P2498="",$B2499,MAX($P2498,$B2499)))</f>
        <v/>
      </c>
      <c r="Q2499" s="32" t="str">
        <f>IF($P2499="","",$B2499/$P2499-1)</f>
        <v/>
      </c>
    </row>
    <row r="2500">
      <c r="A2500" s="11" t="n"/>
      <c r="B2500" s="29" t="n"/>
      <c r="K2500" s="30" t="str">
        <f>IF($A2500="","",EDATE($A2500,12*$E$4))</f>
        <v/>
      </c>
      <c r="L2500" s="19" t="str">
        <f>IF($K2500="","",IF($K2500&gt;MAX($A$8:$A$5007),"",IFERROR(MATCH($K2500,$A$8:$A$5007,1),"")))</f>
        <v/>
      </c>
      <c r="M2500" s="30" t="str">
        <f>IF($L2500="","",INDEX($A$8:$A$5007,$L2500))</f>
        <v/>
      </c>
      <c r="N2500" s="31" t="str">
        <f>IF($L2500="","",INDEX($B$8:$B$5007,$L2500))</f>
        <v/>
      </c>
      <c r="O2500" s="32" t="str">
        <f>IF($M2500="","",IF($K2500-$M2500&gt;7,"",IF($M2500&lt;=$A2500,"",IF(OR($B2500&lt;=0,$N2500&lt;=0),"",($N2500/$B2500)^(365/($M2500-$A2500))-1))))</f>
        <v/>
      </c>
      <c r="P2500" s="31" t="str">
        <f>IF($B2500="","",IF($P2499="",$B2500,MAX($P2499,$B2500)))</f>
        <v/>
      </c>
      <c r="Q2500" s="32" t="str">
        <f>IF($P2500="","",$B2500/$P2500-1)</f>
        <v/>
      </c>
    </row>
    <row r="2501">
      <c r="A2501" s="11" t="n"/>
      <c r="B2501" s="29" t="n"/>
      <c r="K2501" s="30" t="str">
        <f>IF($A2501="","",EDATE($A2501,12*$E$4))</f>
        <v/>
      </c>
      <c r="L2501" s="19" t="str">
        <f>IF($K2501="","",IF($K2501&gt;MAX($A$8:$A$5007),"",IFERROR(MATCH($K2501,$A$8:$A$5007,1),"")))</f>
        <v/>
      </c>
      <c r="M2501" s="30" t="str">
        <f>IF($L2501="","",INDEX($A$8:$A$5007,$L2501))</f>
        <v/>
      </c>
      <c r="N2501" s="31" t="str">
        <f>IF($L2501="","",INDEX($B$8:$B$5007,$L2501))</f>
        <v/>
      </c>
      <c r="O2501" s="32" t="str">
        <f>IF($M2501="","",IF($K2501-$M2501&gt;7,"",IF($M2501&lt;=$A2501,"",IF(OR($B2501&lt;=0,$N2501&lt;=0),"",($N2501/$B2501)^(365/($M2501-$A2501))-1))))</f>
        <v/>
      </c>
      <c r="P2501" s="31" t="str">
        <f>IF($B2501="","",IF($P2500="",$B2501,MAX($P2500,$B2501)))</f>
        <v/>
      </c>
      <c r="Q2501" s="32" t="str">
        <f>IF($P2501="","",$B2501/$P2501-1)</f>
        <v/>
      </c>
    </row>
    <row r="2502">
      <c r="A2502" s="11" t="n"/>
      <c r="B2502" s="29" t="n"/>
      <c r="K2502" s="30" t="str">
        <f>IF($A2502="","",EDATE($A2502,12*$E$4))</f>
        <v/>
      </c>
      <c r="L2502" s="19" t="str">
        <f>IF($K2502="","",IF($K2502&gt;MAX($A$8:$A$5007),"",IFERROR(MATCH($K2502,$A$8:$A$5007,1),"")))</f>
        <v/>
      </c>
      <c r="M2502" s="30" t="str">
        <f>IF($L2502="","",INDEX($A$8:$A$5007,$L2502))</f>
        <v/>
      </c>
      <c r="N2502" s="31" t="str">
        <f>IF($L2502="","",INDEX($B$8:$B$5007,$L2502))</f>
        <v/>
      </c>
      <c r="O2502" s="32" t="str">
        <f>IF($M2502="","",IF($K2502-$M2502&gt;7,"",IF($M2502&lt;=$A2502,"",IF(OR($B2502&lt;=0,$N2502&lt;=0),"",($N2502/$B2502)^(365/($M2502-$A2502))-1))))</f>
        <v/>
      </c>
      <c r="P2502" s="31" t="str">
        <f>IF($B2502="","",IF($P2501="",$B2502,MAX($P2501,$B2502)))</f>
        <v/>
      </c>
      <c r="Q2502" s="32" t="str">
        <f>IF($P2502="","",$B2502/$P2502-1)</f>
        <v/>
      </c>
    </row>
    <row r="2503">
      <c r="A2503" s="11" t="n"/>
      <c r="B2503" s="29" t="n"/>
      <c r="K2503" s="30" t="str">
        <f>IF($A2503="","",EDATE($A2503,12*$E$4))</f>
        <v/>
      </c>
      <c r="L2503" s="19" t="str">
        <f>IF($K2503="","",IF($K2503&gt;MAX($A$8:$A$5007),"",IFERROR(MATCH($K2503,$A$8:$A$5007,1),"")))</f>
        <v/>
      </c>
      <c r="M2503" s="30" t="str">
        <f>IF($L2503="","",INDEX($A$8:$A$5007,$L2503))</f>
        <v/>
      </c>
      <c r="N2503" s="31" t="str">
        <f>IF($L2503="","",INDEX($B$8:$B$5007,$L2503))</f>
        <v/>
      </c>
      <c r="O2503" s="32" t="str">
        <f>IF($M2503="","",IF($K2503-$M2503&gt;7,"",IF($M2503&lt;=$A2503,"",IF(OR($B2503&lt;=0,$N2503&lt;=0),"",($N2503/$B2503)^(365/($M2503-$A2503))-1))))</f>
        <v/>
      </c>
      <c r="P2503" s="31" t="str">
        <f>IF($B2503="","",IF($P2502="",$B2503,MAX($P2502,$B2503)))</f>
        <v/>
      </c>
      <c r="Q2503" s="32" t="str">
        <f>IF($P2503="","",$B2503/$P2503-1)</f>
        <v/>
      </c>
    </row>
    <row r="2504">
      <c r="A2504" s="11" t="n"/>
      <c r="B2504" s="29" t="n"/>
      <c r="K2504" s="30" t="str">
        <f>IF($A2504="","",EDATE($A2504,12*$E$4))</f>
        <v/>
      </c>
      <c r="L2504" s="19" t="str">
        <f>IF($K2504="","",IF($K2504&gt;MAX($A$8:$A$5007),"",IFERROR(MATCH($K2504,$A$8:$A$5007,1),"")))</f>
        <v/>
      </c>
      <c r="M2504" s="30" t="str">
        <f>IF($L2504="","",INDEX($A$8:$A$5007,$L2504))</f>
        <v/>
      </c>
      <c r="N2504" s="31" t="str">
        <f>IF($L2504="","",INDEX($B$8:$B$5007,$L2504))</f>
        <v/>
      </c>
      <c r="O2504" s="32" t="str">
        <f>IF($M2504="","",IF($K2504-$M2504&gt;7,"",IF($M2504&lt;=$A2504,"",IF(OR($B2504&lt;=0,$N2504&lt;=0),"",($N2504/$B2504)^(365/($M2504-$A2504))-1))))</f>
        <v/>
      </c>
      <c r="P2504" s="31" t="str">
        <f>IF($B2504="","",IF($P2503="",$B2504,MAX($P2503,$B2504)))</f>
        <v/>
      </c>
      <c r="Q2504" s="32" t="str">
        <f>IF($P2504="","",$B2504/$P2504-1)</f>
        <v/>
      </c>
    </row>
    <row r="2505">
      <c r="A2505" s="11" t="n"/>
      <c r="B2505" s="29" t="n"/>
      <c r="K2505" s="30" t="str">
        <f>IF($A2505="","",EDATE($A2505,12*$E$4))</f>
        <v/>
      </c>
      <c r="L2505" s="19" t="str">
        <f>IF($K2505="","",IF($K2505&gt;MAX($A$8:$A$5007),"",IFERROR(MATCH($K2505,$A$8:$A$5007,1),"")))</f>
        <v/>
      </c>
      <c r="M2505" s="30" t="str">
        <f>IF($L2505="","",INDEX($A$8:$A$5007,$L2505))</f>
        <v/>
      </c>
      <c r="N2505" s="31" t="str">
        <f>IF($L2505="","",INDEX($B$8:$B$5007,$L2505))</f>
        <v/>
      </c>
      <c r="O2505" s="32" t="str">
        <f>IF($M2505="","",IF($K2505-$M2505&gt;7,"",IF($M2505&lt;=$A2505,"",IF(OR($B2505&lt;=0,$N2505&lt;=0),"",($N2505/$B2505)^(365/($M2505-$A2505))-1))))</f>
        <v/>
      </c>
      <c r="P2505" s="31" t="str">
        <f>IF($B2505="","",IF($P2504="",$B2505,MAX($P2504,$B2505)))</f>
        <v/>
      </c>
      <c r="Q2505" s="32" t="str">
        <f>IF($P2505="","",$B2505/$P2505-1)</f>
        <v/>
      </c>
    </row>
    <row r="2506">
      <c r="A2506" s="11" t="n"/>
      <c r="B2506" s="29" t="n"/>
      <c r="K2506" s="30" t="str">
        <f>IF($A2506="","",EDATE($A2506,12*$E$4))</f>
        <v/>
      </c>
      <c r="L2506" s="19" t="str">
        <f>IF($K2506="","",IF($K2506&gt;MAX($A$8:$A$5007),"",IFERROR(MATCH($K2506,$A$8:$A$5007,1),"")))</f>
        <v/>
      </c>
      <c r="M2506" s="30" t="str">
        <f>IF($L2506="","",INDEX($A$8:$A$5007,$L2506))</f>
        <v/>
      </c>
      <c r="N2506" s="31" t="str">
        <f>IF($L2506="","",INDEX($B$8:$B$5007,$L2506))</f>
        <v/>
      </c>
      <c r="O2506" s="32" t="str">
        <f>IF($M2506="","",IF($K2506-$M2506&gt;7,"",IF($M2506&lt;=$A2506,"",IF(OR($B2506&lt;=0,$N2506&lt;=0),"",($N2506/$B2506)^(365/($M2506-$A2506))-1))))</f>
        <v/>
      </c>
      <c r="P2506" s="31" t="str">
        <f>IF($B2506="","",IF($P2505="",$B2506,MAX($P2505,$B2506)))</f>
        <v/>
      </c>
      <c r="Q2506" s="32" t="str">
        <f>IF($P2506="","",$B2506/$P2506-1)</f>
        <v/>
      </c>
    </row>
    <row r="2507">
      <c r="A2507" s="11" t="n"/>
      <c r="B2507" s="29" t="n"/>
      <c r="K2507" s="30" t="str">
        <f>IF($A2507="","",EDATE($A2507,12*$E$4))</f>
        <v/>
      </c>
      <c r="L2507" s="19" t="str">
        <f>IF($K2507="","",IF($K2507&gt;MAX($A$8:$A$5007),"",IFERROR(MATCH($K2507,$A$8:$A$5007,1),"")))</f>
        <v/>
      </c>
      <c r="M2507" s="30" t="str">
        <f>IF($L2507="","",INDEX($A$8:$A$5007,$L2507))</f>
        <v/>
      </c>
      <c r="N2507" s="31" t="str">
        <f>IF($L2507="","",INDEX($B$8:$B$5007,$L2507))</f>
        <v/>
      </c>
      <c r="O2507" s="32" t="str">
        <f>IF($M2507="","",IF($K2507-$M2507&gt;7,"",IF($M2507&lt;=$A2507,"",IF(OR($B2507&lt;=0,$N2507&lt;=0),"",($N2507/$B2507)^(365/($M2507-$A2507))-1))))</f>
        <v/>
      </c>
      <c r="P2507" s="31" t="str">
        <f>IF($B2507="","",IF($P2506="",$B2507,MAX($P2506,$B2507)))</f>
        <v/>
      </c>
      <c r="Q2507" s="32" t="str">
        <f>IF($P2507="","",$B2507/$P2507-1)</f>
        <v/>
      </c>
    </row>
    <row r="2508">
      <c r="A2508" s="11" t="n"/>
      <c r="B2508" s="29" t="n"/>
      <c r="K2508" s="30" t="str">
        <f>IF($A2508="","",EDATE($A2508,12*$E$4))</f>
        <v/>
      </c>
      <c r="L2508" s="19" t="str">
        <f>IF($K2508="","",IF($K2508&gt;MAX($A$8:$A$5007),"",IFERROR(MATCH($K2508,$A$8:$A$5007,1),"")))</f>
        <v/>
      </c>
      <c r="M2508" s="30" t="str">
        <f>IF($L2508="","",INDEX($A$8:$A$5007,$L2508))</f>
        <v/>
      </c>
      <c r="N2508" s="31" t="str">
        <f>IF($L2508="","",INDEX($B$8:$B$5007,$L2508))</f>
        <v/>
      </c>
      <c r="O2508" s="32" t="str">
        <f>IF($M2508="","",IF($K2508-$M2508&gt;7,"",IF($M2508&lt;=$A2508,"",IF(OR($B2508&lt;=0,$N2508&lt;=0),"",($N2508/$B2508)^(365/($M2508-$A2508))-1))))</f>
        <v/>
      </c>
      <c r="P2508" s="31" t="str">
        <f>IF($B2508="","",IF($P2507="",$B2508,MAX($P2507,$B2508)))</f>
        <v/>
      </c>
      <c r="Q2508" s="32" t="str">
        <f>IF($P2508="","",$B2508/$P2508-1)</f>
        <v/>
      </c>
    </row>
    <row r="2509">
      <c r="A2509" s="11" t="n"/>
      <c r="B2509" s="29" t="n"/>
      <c r="K2509" s="30" t="str">
        <f>IF($A2509="","",EDATE($A2509,12*$E$4))</f>
        <v/>
      </c>
      <c r="L2509" s="19" t="str">
        <f>IF($K2509="","",IF($K2509&gt;MAX($A$8:$A$5007),"",IFERROR(MATCH($K2509,$A$8:$A$5007,1),"")))</f>
        <v/>
      </c>
      <c r="M2509" s="30" t="str">
        <f>IF($L2509="","",INDEX($A$8:$A$5007,$L2509))</f>
        <v/>
      </c>
      <c r="N2509" s="31" t="str">
        <f>IF($L2509="","",INDEX($B$8:$B$5007,$L2509))</f>
        <v/>
      </c>
      <c r="O2509" s="32" t="str">
        <f>IF($M2509="","",IF($K2509-$M2509&gt;7,"",IF($M2509&lt;=$A2509,"",IF(OR($B2509&lt;=0,$N2509&lt;=0),"",($N2509/$B2509)^(365/($M2509-$A2509))-1))))</f>
        <v/>
      </c>
      <c r="P2509" s="31" t="str">
        <f>IF($B2509="","",IF($P2508="",$B2509,MAX($P2508,$B2509)))</f>
        <v/>
      </c>
      <c r="Q2509" s="32" t="str">
        <f>IF($P2509="","",$B2509/$P2509-1)</f>
        <v/>
      </c>
    </row>
    <row r="2510">
      <c r="A2510" s="11" t="n"/>
      <c r="B2510" s="29" t="n"/>
      <c r="K2510" s="30" t="str">
        <f>IF($A2510="","",EDATE($A2510,12*$E$4))</f>
        <v/>
      </c>
      <c r="L2510" s="19" t="str">
        <f>IF($K2510="","",IF($K2510&gt;MAX($A$8:$A$5007),"",IFERROR(MATCH($K2510,$A$8:$A$5007,1),"")))</f>
        <v/>
      </c>
      <c r="M2510" s="30" t="str">
        <f>IF($L2510="","",INDEX($A$8:$A$5007,$L2510))</f>
        <v/>
      </c>
      <c r="N2510" s="31" t="str">
        <f>IF($L2510="","",INDEX($B$8:$B$5007,$L2510))</f>
        <v/>
      </c>
      <c r="O2510" s="32" t="str">
        <f>IF($M2510="","",IF($K2510-$M2510&gt;7,"",IF($M2510&lt;=$A2510,"",IF(OR($B2510&lt;=0,$N2510&lt;=0),"",($N2510/$B2510)^(365/($M2510-$A2510))-1))))</f>
        <v/>
      </c>
      <c r="P2510" s="31" t="str">
        <f>IF($B2510="","",IF($P2509="",$B2510,MAX($P2509,$B2510)))</f>
        <v/>
      </c>
      <c r="Q2510" s="32" t="str">
        <f>IF($P2510="","",$B2510/$P2510-1)</f>
        <v/>
      </c>
    </row>
    <row r="2511">
      <c r="A2511" s="11" t="n"/>
      <c r="B2511" s="29" t="n"/>
      <c r="K2511" s="30" t="str">
        <f>IF($A2511="","",EDATE($A2511,12*$E$4))</f>
        <v/>
      </c>
      <c r="L2511" s="19" t="str">
        <f>IF($K2511="","",IF($K2511&gt;MAX($A$8:$A$5007),"",IFERROR(MATCH($K2511,$A$8:$A$5007,1),"")))</f>
        <v/>
      </c>
      <c r="M2511" s="30" t="str">
        <f>IF($L2511="","",INDEX($A$8:$A$5007,$L2511))</f>
        <v/>
      </c>
      <c r="N2511" s="31" t="str">
        <f>IF($L2511="","",INDEX($B$8:$B$5007,$L2511))</f>
        <v/>
      </c>
      <c r="O2511" s="32" t="str">
        <f>IF($M2511="","",IF($K2511-$M2511&gt;7,"",IF($M2511&lt;=$A2511,"",IF(OR($B2511&lt;=0,$N2511&lt;=0),"",($N2511/$B2511)^(365/($M2511-$A2511))-1))))</f>
        <v/>
      </c>
      <c r="P2511" s="31" t="str">
        <f>IF($B2511="","",IF($P2510="",$B2511,MAX($P2510,$B2511)))</f>
        <v/>
      </c>
      <c r="Q2511" s="32" t="str">
        <f>IF($P2511="","",$B2511/$P2511-1)</f>
        <v/>
      </c>
    </row>
    <row r="2512">
      <c r="A2512" s="11" t="n"/>
      <c r="B2512" s="29" t="n"/>
      <c r="K2512" s="30" t="str">
        <f>IF($A2512="","",EDATE($A2512,12*$E$4))</f>
        <v/>
      </c>
      <c r="L2512" s="19" t="str">
        <f>IF($K2512="","",IF($K2512&gt;MAX($A$8:$A$5007),"",IFERROR(MATCH($K2512,$A$8:$A$5007,1),"")))</f>
        <v/>
      </c>
      <c r="M2512" s="30" t="str">
        <f>IF($L2512="","",INDEX($A$8:$A$5007,$L2512))</f>
        <v/>
      </c>
      <c r="N2512" s="31" t="str">
        <f>IF($L2512="","",INDEX($B$8:$B$5007,$L2512))</f>
        <v/>
      </c>
      <c r="O2512" s="32" t="str">
        <f>IF($M2512="","",IF($K2512-$M2512&gt;7,"",IF($M2512&lt;=$A2512,"",IF(OR($B2512&lt;=0,$N2512&lt;=0),"",($N2512/$B2512)^(365/($M2512-$A2512))-1))))</f>
        <v/>
      </c>
      <c r="P2512" s="31" t="str">
        <f>IF($B2512="","",IF($P2511="",$B2512,MAX($P2511,$B2512)))</f>
        <v/>
      </c>
      <c r="Q2512" s="32" t="str">
        <f>IF($P2512="","",$B2512/$P2512-1)</f>
        <v/>
      </c>
    </row>
    <row r="2513">
      <c r="A2513" s="11" t="n"/>
      <c r="B2513" s="29" t="n"/>
      <c r="K2513" s="30" t="str">
        <f>IF($A2513="","",EDATE($A2513,12*$E$4))</f>
        <v/>
      </c>
      <c r="L2513" s="19" t="str">
        <f>IF($K2513="","",IF($K2513&gt;MAX($A$8:$A$5007),"",IFERROR(MATCH($K2513,$A$8:$A$5007,1),"")))</f>
        <v/>
      </c>
      <c r="M2513" s="30" t="str">
        <f>IF($L2513="","",INDEX($A$8:$A$5007,$L2513))</f>
        <v/>
      </c>
      <c r="N2513" s="31" t="str">
        <f>IF($L2513="","",INDEX($B$8:$B$5007,$L2513))</f>
        <v/>
      </c>
      <c r="O2513" s="32" t="str">
        <f>IF($M2513="","",IF($K2513-$M2513&gt;7,"",IF($M2513&lt;=$A2513,"",IF(OR($B2513&lt;=0,$N2513&lt;=0),"",($N2513/$B2513)^(365/($M2513-$A2513))-1))))</f>
        <v/>
      </c>
      <c r="P2513" s="31" t="str">
        <f>IF($B2513="","",IF($P2512="",$B2513,MAX($P2512,$B2513)))</f>
        <v/>
      </c>
      <c r="Q2513" s="32" t="str">
        <f>IF($P2513="","",$B2513/$P2513-1)</f>
        <v/>
      </c>
    </row>
    <row r="2514">
      <c r="A2514" s="11" t="n"/>
      <c r="B2514" s="29" t="n"/>
      <c r="K2514" s="30" t="str">
        <f>IF($A2514="","",EDATE($A2514,12*$E$4))</f>
        <v/>
      </c>
      <c r="L2514" s="19" t="str">
        <f>IF($K2514="","",IF($K2514&gt;MAX($A$8:$A$5007),"",IFERROR(MATCH($K2514,$A$8:$A$5007,1),"")))</f>
        <v/>
      </c>
      <c r="M2514" s="30" t="str">
        <f>IF($L2514="","",INDEX($A$8:$A$5007,$L2514))</f>
        <v/>
      </c>
      <c r="N2514" s="31" t="str">
        <f>IF($L2514="","",INDEX($B$8:$B$5007,$L2514))</f>
        <v/>
      </c>
      <c r="O2514" s="32" t="str">
        <f>IF($M2514="","",IF($K2514-$M2514&gt;7,"",IF($M2514&lt;=$A2514,"",IF(OR($B2514&lt;=0,$N2514&lt;=0),"",($N2514/$B2514)^(365/($M2514-$A2514))-1))))</f>
        <v/>
      </c>
      <c r="P2514" s="31" t="str">
        <f>IF($B2514="","",IF($P2513="",$B2514,MAX($P2513,$B2514)))</f>
        <v/>
      </c>
      <c r="Q2514" s="32" t="str">
        <f>IF($P2514="","",$B2514/$P2514-1)</f>
        <v/>
      </c>
    </row>
    <row r="2515">
      <c r="A2515" s="11" t="n"/>
      <c r="B2515" s="29" t="n"/>
      <c r="K2515" s="30" t="str">
        <f>IF($A2515="","",EDATE($A2515,12*$E$4))</f>
        <v/>
      </c>
      <c r="L2515" s="19" t="str">
        <f>IF($K2515="","",IF($K2515&gt;MAX($A$8:$A$5007),"",IFERROR(MATCH($K2515,$A$8:$A$5007,1),"")))</f>
        <v/>
      </c>
      <c r="M2515" s="30" t="str">
        <f>IF($L2515="","",INDEX($A$8:$A$5007,$L2515))</f>
        <v/>
      </c>
      <c r="N2515" s="31" t="str">
        <f>IF($L2515="","",INDEX($B$8:$B$5007,$L2515))</f>
        <v/>
      </c>
      <c r="O2515" s="32" t="str">
        <f>IF($M2515="","",IF($K2515-$M2515&gt;7,"",IF($M2515&lt;=$A2515,"",IF(OR($B2515&lt;=0,$N2515&lt;=0),"",($N2515/$B2515)^(365/($M2515-$A2515))-1))))</f>
        <v/>
      </c>
      <c r="P2515" s="31" t="str">
        <f>IF($B2515="","",IF($P2514="",$B2515,MAX($P2514,$B2515)))</f>
        <v/>
      </c>
      <c r="Q2515" s="32" t="str">
        <f>IF($P2515="","",$B2515/$P2515-1)</f>
        <v/>
      </c>
    </row>
    <row r="2516">
      <c r="A2516" s="11" t="n"/>
      <c r="B2516" s="29" t="n"/>
      <c r="K2516" s="30" t="str">
        <f>IF($A2516="","",EDATE($A2516,12*$E$4))</f>
        <v/>
      </c>
      <c r="L2516" s="19" t="str">
        <f>IF($K2516="","",IF($K2516&gt;MAX($A$8:$A$5007),"",IFERROR(MATCH($K2516,$A$8:$A$5007,1),"")))</f>
        <v/>
      </c>
      <c r="M2516" s="30" t="str">
        <f>IF($L2516="","",INDEX($A$8:$A$5007,$L2516))</f>
        <v/>
      </c>
      <c r="N2516" s="31" t="str">
        <f>IF($L2516="","",INDEX($B$8:$B$5007,$L2516))</f>
        <v/>
      </c>
      <c r="O2516" s="32" t="str">
        <f>IF($M2516="","",IF($K2516-$M2516&gt;7,"",IF($M2516&lt;=$A2516,"",IF(OR($B2516&lt;=0,$N2516&lt;=0),"",($N2516/$B2516)^(365/($M2516-$A2516))-1))))</f>
        <v/>
      </c>
      <c r="P2516" s="31" t="str">
        <f>IF($B2516="","",IF($P2515="",$B2516,MAX($P2515,$B2516)))</f>
        <v/>
      </c>
      <c r="Q2516" s="32" t="str">
        <f>IF($P2516="","",$B2516/$P2516-1)</f>
        <v/>
      </c>
    </row>
    <row r="2517">
      <c r="A2517" s="11" t="n"/>
      <c r="B2517" s="29" t="n"/>
      <c r="K2517" s="30" t="str">
        <f>IF($A2517="","",EDATE($A2517,12*$E$4))</f>
        <v/>
      </c>
      <c r="L2517" s="19" t="str">
        <f>IF($K2517="","",IF($K2517&gt;MAX($A$8:$A$5007),"",IFERROR(MATCH($K2517,$A$8:$A$5007,1),"")))</f>
        <v/>
      </c>
      <c r="M2517" s="30" t="str">
        <f>IF($L2517="","",INDEX($A$8:$A$5007,$L2517))</f>
        <v/>
      </c>
      <c r="N2517" s="31" t="str">
        <f>IF($L2517="","",INDEX($B$8:$B$5007,$L2517))</f>
        <v/>
      </c>
      <c r="O2517" s="32" t="str">
        <f>IF($M2517="","",IF($K2517-$M2517&gt;7,"",IF($M2517&lt;=$A2517,"",IF(OR($B2517&lt;=0,$N2517&lt;=0),"",($N2517/$B2517)^(365/($M2517-$A2517))-1))))</f>
        <v/>
      </c>
      <c r="P2517" s="31" t="str">
        <f>IF($B2517="","",IF($P2516="",$B2517,MAX($P2516,$B2517)))</f>
        <v/>
      </c>
      <c r="Q2517" s="32" t="str">
        <f>IF($P2517="","",$B2517/$P2517-1)</f>
        <v/>
      </c>
    </row>
    <row r="2518">
      <c r="A2518" s="11" t="n"/>
      <c r="B2518" s="29" t="n"/>
      <c r="K2518" s="30" t="str">
        <f>IF($A2518="","",EDATE($A2518,12*$E$4))</f>
        <v/>
      </c>
      <c r="L2518" s="19" t="str">
        <f>IF($K2518="","",IF($K2518&gt;MAX($A$8:$A$5007),"",IFERROR(MATCH($K2518,$A$8:$A$5007,1),"")))</f>
        <v/>
      </c>
      <c r="M2518" s="30" t="str">
        <f>IF($L2518="","",INDEX($A$8:$A$5007,$L2518))</f>
        <v/>
      </c>
      <c r="N2518" s="31" t="str">
        <f>IF($L2518="","",INDEX($B$8:$B$5007,$L2518))</f>
        <v/>
      </c>
      <c r="O2518" s="32" t="str">
        <f>IF($M2518="","",IF($K2518-$M2518&gt;7,"",IF($M2518&lt;=$A2518,"",IF(OR($B2518&lt;=0,$N2518&lt;=0),"",($N2518/$B2518)^(365/($M2518-$A2518))-1))))</f>
        <v/>
      </c>
      <c r="P2518" s="31" t="str">
        <f>IF($B2518="","",IF($P2517="",$B2518,MAX($P2517,$B2518)))</f>
        <v/>
      </c>
      <c r="Q2518" s="32" t="str">
        <f>IF($P2518="","",$B2518/$P2518-1)</f>
        <v/>
      </c>
    </row>
    <row r="2519">
      <c r="A2519" s="11" t="n"/>
      <c r="B2519" s="29" t="n"/>
      <c r="K2519" s="30" t="str">
        <f>IF($A2519="","",EDATE($A2519,12*$E$4))</f>
        <v/>
      </c>
      <c r="L2519" s="19" t="str">
        <f>IF($K2519="","",IF($K2519&gt;MAX($A$8:$A$5007),"",IFERROR(MATCH($K2519,$A$8:$A$5007,1),"")))</f>
        <v/>
      </c>
      <c r="M2519" s="30" t="str">
        <f>IF($L2519="","",INDEX($A$8:$A$5007,$L2519))</f>
        <v/>
      </c>
      <c r="N2519" s="31" t="str">
        <f>IF($L2519="","",INDEX($B$8:$B$5007,$L2519))</f>
        <v/>
      </c>
      <c r="O2519" s="32" t="str">
        <f>IF($M2519="","",IF($K2519-$M2519&gt;7,"",IF($M2519&lt;=$A2519,"",IF(OR($B2519&lt;=0,$N2519&lt;=0),"",($N2519/$B2519)^(365/($M2519-$A2519))-1))))</f>
        <v/>
      </c>
      <c r="P2519" s="31" t="str">
        <f>IF($B2519="","",IF($P2518="",$B2519,MAX($P2518,$B2519)))</f>
        <v/>
      </c>
      <c r="Q2519" s="32" t="str">
        <f>IF($P2519="","",$B2519/$P2519-1)</f>
        <v/>
      </c>
    </row>
    <row r="2520">
      <c r="A2520" s="11" t="n"/>
      <c r="B2520" s="29" t="n"/>
      <c r="K2520" s="30" t="str">
        <f>IF($A2520="","",EDATE($A2520,12*$E$4))</f>
        <v/>
      </c>
      <c r="L2520" s="19" t="str">
        <f>IF($K2520="","",IF($K2520&gt;MAX($A$8:$A$5007),"",IFERROR(MATCH($K2520,$A$8:$A$5007,1),"")))</f>
        <v/>
      </c>
      <c r="M2520" s="30" t="str">
        <f>IF($L2520="","",INDEX($A$8:$A$5007,$L2520))</f>
        <v/>
      </c>
      <c r="N2520" s="31" t="str">
        <f>IF($L2520="","",INDEX($B$8:$B$5007,$L2520))</f>
        <v/>
      </c>
      <c r="O2520" s="32" t="str">
        <f>IF($M2520="","",IF($K2520-$M2520&gt;7,"",IF($M2520&lt;=$A2520,"",IF(OR($B2520&lt;=0,$N2520&lt;=0),"",($N2520/$B2520)^(365/($M2520-$A2520))-1))))</f>
        <v/>
      </c>
      <c r="P2520" s="31" t="str">
        <f>IF($B2520="","",IF($P2519="",$B2520,MAX($P2519,$B2520)))</f>
        <v/>
      </c>
      <c r="Q2520" s="32" t="str">
        <f>IF($P2520="","",$B2520/$P2520-1)</f>
        <v/>
      </c>
    </row>
    <row r="2521">
      <c r="A2521" s="11" t="n"/>
      <c r="B2521" s="29" t="n"/>
      <c r="K2521" s="30" t="str">
        <f>IF($A2521="","",EDATE($A2521,12*$E$4))</f>
        <v/>
      </c>
      <c r="L2521" s="19" t="str">
        <f>IF($K2521="","",IF($K2521&gt;MAX($A$8:$A$5007),"",IFERROR(MATCH($K2521,$A$8:$A$5007,1),"")))</f>
        <v/>
      </c>
      <c r="M2521" s="30" t="str">
        <f>IF($L2521="","",INDEX($A$8:$A$5007,$L2521))</f>
        <v/>
      </c>
      <c r="N2521" s="31" t="str">
        <f>IF($L2521="","",INDEX($B$8:$B$5007,$L2521))</f>
        <v/>
      </c>
      <c r="O2521" s="32" t="str">
        <f>IF($M2521="","",IF($K2521-$M2521&gt;7,"",IF($M2521&lt;=$A2521,"",IF(OR($B2521&lt;=0,$N2521&lt;=0),"",($N2521/$B2521)^(365/($M2521-$A2521))-1))))</f>
        <v/>
      </c>
      <c r="P2521" s="31" t="str">
        <f>IF($B2521="","",IF($P2520="",$B2521,MAX($P2520,$B2521)))</f>
        <v/>
      </c>
      <c r="Q2521" s="32" t="str">
        <f>IF($P2521="","",$B2521/$P2521-1)</f>
        <v/>
      </c>
    </row>
    <row r="2522">
      <c r="A2522" s="11" t="n"/>
      <c r="B2522" s="29" t="n"/>
      <c r="K2522" s="30" t="str">
        <f>IF($A2522="","",EDATE($A2522,12*$E$4))</f>
        <v/>
      </c>
      <c r="L2522" s="19" t="str">
        <f>IF($K2522="","",IF($K2522&gt;MAX($A$8:$A$5007),"",IFERROR(MATCH($K2522,$A$8:$A$5007,1),"")))</f>
        <v/>
      </c>
      <c r="M2522" s="30" t="str">
        <f>IF($L2522="","",INDEX($A$8:$A$5007,$L2522))</f>
        <v/>
      </c>
      <c r="N2522" s="31" t="str">
        <f>IF($L2522="","",INDEX($B$8:$B$5007,$L2522))</f>
        <v/>
      </c>
      <c r="O2522" s="32" t="str">
        <f>IF($M2522="","",IF($K2522-$M2522&gt;7,"",IF($M2522&lt;=$A2522,"",IF(OR($B2522&lt;=0,$N2522&lt;=0),"",($N2522/$B2522)^(365/($M2522-$A2522))-1))))</f>
        <v/>
      </c>
      <c r="P2522" s="31" t="str">
        <f>IF($B2522="","",IF($P2521="",$B2522,MAX($P2521,$B2522)))</f>
        <v/>
      </c>
      <c r="Q2522" s="32" t="str">
        <f>IF($P2522="","",$B2522/$P2522-1)</f>
        <v/>
      </c>
    </row>
    <row r="2523">
      <c r="A2523" s="11" t="n"/>
      <c r="B2523" s="29" t="n"/>
      <c r="K2523" s="30" t="str">
        <f>IF($A2523="","",EDATE($A2523,12*$E$4))</f>
        <v/>
      </c>
      <c r="L2523" s="19" t="str">
        <f>IF($K2523="","",IF($K2523&gt;MAX($A$8:$A$5007),"",IFERROR(MATCH($K2523,$A$8:$A$5007,1),"")))</f>
        <v/>
      </c>
      <c r="M2523" s="30" t="str">
        <f>IF($L2523="","",INDEX($A$8:$A$5007,$L2523))</f>
        <v/>
      </c>
      <c r="N2523" s="31" t="str">
        <f>IF($L2523="","",INDEX($B$8:$B$5007,$L2523))</f>
        <v/>
      </c>
      <c r="O2523" s="32" t="str">
        <f>IF($M2523="","",IF($K2523-$M2523&gt;7,"",IF($M2523&lt;=$A2523,"",IF(OR($B2523&lt;=0,$N2523&lt;=0),"",($N2523/$B2523)^(365/($M2523-$A2523))-1))))</f>
        <v/>
      </c>
      <c r="P2523" s="31" t="str">
        <f>IF($B2523="","",IF($P2522="",$B2523,MAX($P2522,$B2523)))</f>
        <v/>
      </c>
      <c r="Q2523" s="32" t="str">
        <f>IF($P2523="","",$B2523/$P2523-1)</f>
        <v/>
      </c>
    </row>
    <row r="2524">
      <c r="A2524" s="11" t="n"/>
      <c r="B2524" s="29" t="n"/>
      <c r="K2524" s="30" t="str">
        <f>IF($A2524="","",EDATE($A2524,12*$E$4))</f>
        <v/>
      </c>
      <c r="L2524" s="19" t="str">
        <f>IF($K2524="","",IF($K2524&gt;MAX($A$8:$A$5007),"",IFERROR(MATCH($K2524,$A$8:$A$5007,1),"")))</f>
        <v/>
      </c>
      <c r="M2524" s="30" t="str">
        <f>IF($L2524="","",INDEX($A$8:$A$5007,$L2524))</f>
        <v/>
      </c>
      <c r="N2524" s="31" t="str">
        <f>IF($L2524="","",INDEX($B$8:$B$5007,$L2524))</f>
        <v/>
      </c>
      <c r="O2524" s="32" t="str">
        <f>IF($M2524="","",IF($K2524-$M2524&gt;7,"",IF($M2524&lt;=$A2524,"",IF(OR($B2524&lt;=0,$N2524&lt;=0),"",($N2524/$B2524)^(365/($M2524-$A2524))-1))))</f>
        <v/>
      </c>
      <c r="P2524" s="31" t="str">
        <f>IF($B2524="","",IF($P2523="",$B2524,MAX($P2523,$B2524)))</f>
        <v/>
      </c>
      <c r="Q2524" s="32" t="str">
        <f>IF($P2524="","",$B2524/$P2524-1)</f>
        <v/>
      </c>
    </row>
    <row r="2525">
      <c r="A2525" s="11" t="n"/>
      <c r="B2525" s="29" t="n"/>
      <c r="K2525" s="30" t="str">
        <f>IF($A2525="","",EDATE($A2525,12*$E$4))</f>
        <v/>
      </c>
      <c r="L2525" s="19" t="str">
        <f>IF($K2525="","",IF($K2525&gt;MAX($A$8:$A$5007),"",IFERROR(MATCH($K2525,$A$8:$A$5007,1),"")))</f>
        <v/>
      </c>
      <c r="M2525" s="30" t="str">
        <f>IF($L2525="","",INDEX($A$8:$A$5007,$L2525))</f>
        <v/>
      </c>
      <c r="N2525" s="31" t="str">
        <f>IF($L2525="","",INDEX($B$8:$B$5007,$L2525))</f>
        <v/>
      </c>
      <c r="O2525" s="32" t="str">
        <f>IF($M2525="","",IF($K2525-$M2525&gt;7,"",IF($M2525&lt;=$A2525,"",IF(OR($B2525&lt;=0,$N2525&lt;=0),"",($N2525/$B2525)^(365/($M2525-$A2525))-1))))</f>
        <v/>
      </c>
      <c r="P2525" s="31" t="str">
        <f>IF($B2525="","",IF($P2524="",$B2525,MAX($P2524,$B2525)))</f>
        <v/>
      </c>
      <c r="Q2525" s="32" t="str">
        <f>IF($P2525="","",$B2525/$P2525-1)</f>
        <v/>
      </c>
    </row>
    <row r="2526">
      <c r="A2526" s="11" t="n"/>
      <c r="B2526" s="29" t="n"/>
      <c r="K2526" s="30" t="str">
        <f>IF($A2526="","",EDATE($A2526,12*$E$4))</f>
        <v/>
      </c>
      <c r="L2526" s="19" t="str">
        <f>IF($K2526="","",IF($K2526&gt;MAX($A$8:$A$5007),"",IFERROR(MATCH($K2526,$A$8:$A$5007,1),"")))</f>
        <v/>
      </c>
      <c r="M2526" s="30" t="str">
        <f>IF($L2526="","",INDEX($A$8:$A$5007,$L2526))</f>
        <v/>
      </c>
      <c r="N2526" s="31" t="str">
        <f>IF($L2526="","",INDEX($B$8:$B$5007,$L2526))</f>
        <v/>
      </c>
      <c r="O2526" s="32" t="str">
        <f>IF($M2526="","",IF($K2526-$M2526&gt;7,"",IF($M2526&lt;=$A2526,"",IF(OR($B2526&lt;=0,$N2526&lt;=0),"",($N2526/$B2526)^(365/($M2526-$A2526))-1))))</f>
        <v/>
      </c>
      <c r="P2526" s="31" t="str">
        <f>IF($B2526="","",IF($P2525="",$B2526,MAX($P2525,$B2526)))</f>
        <v/>
      </c>
      <c r="Q2526" s="32" t="str">
        <f>IF($P2526="","",$B2526/$P2526-1)</f>
        <v/>
      </c>
    </row>
    <row r="2527">
      <c r="A2527" s="11" t="n"/>
      <c r="B2527" s="29" t="n"/>
      <c r="K2527" s="30" t="str">
        <f>IF($A2527="","",EDATE($A2527,12*$E$4))</f>
        <v/>
      </c>
      <c r="L2527" s="19" t="str">
        <f>IF($K2527="","",IF($K2527&gt;MAX($A$8:$A$5007),"",IFERROR(MATCH($K2527,$A$8:$A$5007,1),"")))</f>
        <v/>
      </c>
      <c r="M2527" s="30" t="str">
        <f>IF($L2527="","",INDEX($A$8:$A$5007,$L2527))</f>
        <v/>
      </c>
      <c r="N2527" s="31" t="str">
        <f>IF($L2527="","",INDEX($B$8:$B$5007,$L2527))</f>
        <v/>
      </c>
      <c r="O2527" s="32" t="str">
        <f>IF($M2527="","",IF($K2527-$M2527&gt;7,"",IF($M2527&lt;=$A2527,"",IF(OR($B2527&lt;=0,$N2527&lt;=0),"",($N2527/$B2527)^(365/($M2527-$A2527))-1))))</f>
        <v/>
      </c>
      <c r="P2527" s="31" t="str">
        <f>IF($B2527="","",IF($P2526="",$B2527,MAX($P2526,$B2527)))</f>
        <v/>
      </c>
      <c r="Q2527" s="32" t="str">
        <f>IF($P2527="","",$B2527/$P2527-1)</f>
        <v/>
      </c>
    </row>
    <row r="2528">
      <c r="A2528" s="11" t="n"/>
      <c r="B2528" s="29" t="n"/>
      <c r="K2528" s="30" t="str">
        <f>IF($A2528="","",EDATE($A2528,12*$E$4))</f>
        <v/>
      </c>
      <c r="L2528" s="19" t="str">
        <f>IF($K2528="","",IF($K2528&gt;MAX($A$8:$A$5007),"",IFERROR(MATCH($K2528,$A$8:$A$5007,1),"")))</f>
        <v/>
      </c>
      <c r="M2528" s="30" t="str">
        <f>IF($L2528="","",INDEX($A$8:$A$5007,$L2528))</f>
        <v/>
      </c>
      <c r="N2528" s="31" t="str">
        <f>IF($L2528="","",INDEX($B$8:$B$5007,$L2528))</f>
        <v/>
      </c>
      <c r="O2528" s="32" t="str">
        <f>IF($M2528="","",IF($K2528-$M2528&gt;7,"",IF($M2528&lt;=$A2528,"",IF(OR($B2528&lt;=0,$N2528&lt;=0),"",($N2528/$B2528)^(365/($M2528-$A2528))-1))))</f>
        <v/>
      </c>
      <c r="P2528" s="31" t="str">
        <f>IF($B2528="","",IF($P2527="",$B2528,MAX($P2527,$B2528)))</f>
        <v/>
      </c>
      <c r="Q2528" s="32" t="str">
        <f>IF($P2528="","",$B2528/$P2528-1)</f>
        <v/>
      </c>
    </row>
    <row r="2529">
      <c r="A2529" s="11" t="n"/>
      <c r="B2529" s="29" t="n"/>
      <c r="K2529" s="30" t="str">
        <f>IF($A2529="","",EDATE($A2529,12*$E$4))</f>
        <v/>
      </c>
      <c r="L2529" s="19" t="str">
        <f>IF($K2529="","",IF($K2529&gt;MAX($A$8:$A$5007),"",IFERROR(MATCH($K2529,$A$8:$A$5007,1),"")))</f>
        <v/>
      </c>
      <c r="M2529" s="30" t="str">
        <f>IF($L2529="","",INDEX($A$8:$A$5007,$L2529))</f>
        <v/>
      </c>
      <c r="N2529" s="31" t="str">
        <f>IF($L2529="","",INDEX($B$8:$B$5007,$L2529))</f>
        <v/>
      </c>
      <c r="O2529" s="32" t="str">
        <f>IF($M2529="","",IF($K2529-$M2529&gt;7,"",IF($M2529&lt;=$A2529,"",IF(OR($B2529&lt;=0,$N2529&lt;=0),"",($N2529/$B2529)^(365/($M2529-$A2529))-1))))</f>
        <v/>
      </c>
      <c r="P2529" s="31" t="str">
        <f>IF($B2529="","",IF($P2528="",$B2529,MAX($P2528,$B2529)))</f>
        <v/>
      </c>
      <c r="Q2529" s="32" t="str">
        <f>IF($P2529="","",$B2529/$P2529-1)</f>
        <v/>
      </c>
    </row>
    <row r="2530">
      <c r="A2530" s="11" t="n"/>
      <c r="B2530" s="29" t="n"/>
      <c r="K2530" s="30" t="str">
        <f>IF($A2530="","",EDATE($A2530,12*$E$4))</f>
        <v/>
      </c>
      <c r="L2530" s="19" t="str">
        <f>IF($K2530="","",IF($K2530&gt;MAX($A$8:$A$5007),"",IFERROR(MATCH($K2530,$A$8:$A$5007,1),"")))</f>
        <v/>
      </c>
      <c r="M2530" s="30" t="str">
        <f>IF($L2530="","",INDEX($A$8:$A$5007,$L2530))</f>
        <v/>
      </c>
      <c r="N2530" s="31" t="str">
        <f>IF($L2530="","",INDEX($B$8:$B$5007,$L2530))</f>
        <v/>
      </c>
      <c r="O2530" s="32" t="str">
        <f>IF($M2530="","",IF($K2530-$M2530&gt;7,"",IF($M2530&lt;=$A2530,"",IF(OR($B2530&lt;=0,$N2530&lt;=0),"",($N2530/$B2530)^(365/($M2530-$A2530))-1))))</f>
        <v/>
      </c>
      <c r="P2530" s="31" t="str">
        <f>IF($B2530="","",IF($P2529="",$B2530,MAX($P2529,$B2530)))</f>
        <v/>
      </c>
      <c r="Q2530" s="32" t="str">
        <f>IF($P2530="","",$B2530/$P2530-1)</f>
        <v/>
      </c>
    </row>
    <row r="2531">
      <c r="A2531" s="11" t="n"/>
      <c r="B2531" s="29" t="n"/>
      <c r="K2531" s="30" t="str">
        <f>IF($A2531="","",EDATE($A2531,12*$E$4))</f>
        <v/>
      </c>
      <c r="L2531" s="19" t="str">
        <f>IF($K2531="","",IF($K2531&gt;MAX($A$8:$A$5007),"",IFERROR(MATCH($K2531,$A$8:$A$5007,1),"")))</f>
        <v/>
      </c>
      <c r="M2531" s="30" t="str">
        <f>IF($L2531="","",INDEX($A$8:$A$5007,$L2531))</f>
        <v/>
      </c>
      <c r="N2531" s="31" t="str">
        <f>IF($L2531="","",INDEX($B$8:$B$5007,$L2531))</f>
        <v/>
      </c>
      <c r="O2531" s="32" t="str">
        <f>IF($M2531="","",IF($K2531-$M2531&gt;7,"",IF($M2531&lt;=$A2531,"",IF(OR($B2531&lt;=0,$N2531&lt;=0),"",($N2531/$B2531)^(365/($M2531-$A2531))-1))))</f>
        <v/>
      </c>
      <c r="P2531" s="31" t="str">
        <f>IF($B2531="","",IF($P2530="",$B2531,MAX($P2530,$B2531)))</f>
        <v/>
      </c>
      <c r="Q2531" s="32" t="str">
        <f>IF($P2531="","",$B2531/$P2531-1)</f>
        <v/>
      </c>
    </row>
    <row r="2532">
      <c r="A2532" s="11" t="n"/>
      <c r="B2532" s="29" t="n"/>
      <c r="K2532" s="30" t="str">
        <f>IF($A2532="","",EDATE($A2532,12*$E$4))</f>
        <v/>
      </c>
      <c r="L2532" s="19" t="str">
        <f>IF($K2532="","",IF($K2532&gt;MAX($A$8:$A$5007),"",IFERROR(MATCH($K2532,$A$8:$A$5007,1),"")))</f>
        <v/>
      </c>
      <c r="M2532" s="30" t="str">
        <f>IF($L2532="","",INDEX($A$8:$A$5007,$L2532))</f>
        <v/>
      </c>
      <c r="N2532" s="31" t="str">
        <f>IF($L2532="","",INDEX($B$8:$B$5007,$L2532))</f>
        <v/>
      </c>
      <c r="O2532" s="32" t="str">
        <f>IF($M2532="","",IF($K2532-$M2532&gt;7,"",IF($M2532&lt;=$A2532,"",IF(OR($B2532&lt;=0,$N2532&lt;=0),"",($N2532/$B2532)^(365/($M2532-$A2532))-1))))</f>
        <v/>
      </c>
      <c r="P2532" s="31" t="str">
        <f>IF($B2532="","",IF($P2531="",$B2532,MAX($P2531,$B2532)))</f>
        <v/>
      </c>
      <c r="Q2532" s="32" t="str">
        <f>IF($P2532="","",$B2532/$P2532-1)</f>
        <v/>
      </c>
    </row>
    <row r="2533">
      <c r="A2533" s="11" t="n"/>
      <c r="B2533" s="29" t="n"/>
      <c r="K2533" s="30" t="str">
        <f>IF($A2533="","",EDATE($A2533,12*$E$4))</f>
        <v/>
      </c>
      <c r="L2533" s="19" t="str">
        <f>IF($K2533="","",IF($K2533&gt;MAX($A$8:$A$5007),"",IFERROR(MATCH($K2533,$A$8:$A$5007,1),"")))</f>
        <v/>
      </c>
      <c r="M2533" s="30" t="str">
        <f>IF($L2533="","",INDEX($A$8:$A$5007,$L2533))</f>
        <v/>
      </c>
      <c r="N2533" s="31" t="str">
        <f>IF($L2533="","",INDEX($B$8:$B$5007,$L2533))</f>
        <v/>
      </c>
      <c r="O2533" s="32" t="str">
        <f>IF($M2533="","",IF($K2533-$M2533&gt;7,"",IF($M2533&lt;=$A2533,"",IF(OR($B2533&lt;=0,$N2533&lt;=0),"",($N2533/$B2533)^(365/($M2533-$A2533))-1))))</f>
        <v/>
      </c>
      <c r="P2533" s="31" t="str">
        <f>IF($B2533="","",IF($P2532="",$B2533,MAX($P2532,$B2533)))</f>
        <v/>
      </c>
      <c r="Q2533" s="32" t="str">
        <f>IF($P2533="","",$B2533/$P2533-1)</f>
        <v/>
      </c>
    </row>
    <row r="2534">
      <c r="A2534" s="11" t="n"/>
      <c r="B2534" s="29" t="n"/>
      <c r="K2534" s="30" t="str">
        <f>IF($A2534="","",EDATE($A2534,12*$E$4))</f>
        <v/>
      </c>
      <c r="L2534" s="19" t="str">
        <f>IF($K2534="","",IF($K2534&gt;MAX($A$8:$A$5007),"",IFERROR(MATCH($K2534,$A$8:$A$5007,1),"")))</f>
        <v/>
      </c>
      <c r="M2534" s="30" t="str">
        <f>IF($L2534="","",INDEX($A$8:$A$5007,$L2534))</f>
        <v/>
      </c>
      <c r="N2534" s="31" t="str">
        <f>IF($L2534="","",INDEX($B$8:$B$5007,$L2534))</f>
        <v/>
      </c>
      <c r="O2534" s="32" t="str">
        <f>IF($M2534="","",IF($K2534-$M2534&gt;7,"",IF($M2534&lt;=$A2534,"",IF(OR($B2534&lt;=0,$N2534&lt;=0),"",($N2534/$B2534)^(365/($M2534-$A2534))-1))))</f>
        <v/>
      </c>
      <c r="P2534" s="31" t="str">
        <f>IF($B2534="","",IF($P2533="",$B2534,MAX($P2533,$B2534)))</f>
        <v/>
      </c>
      <c r="Q2534" s="32" t="str">
        <f>IF($P2534="","",$B2534/$P2534-1)</f>
        <v/>
      </c>
    </row>
    <row r="2535">
      <c r="A2535" s="11" t="n"/>
      <c r="B2535" s="29" t="n"/>
      <c r="K2535" s="30" t="str">
        <f>IF($A2535="","",EDATE($A2535,12*$E$4))</f>
        <v/>
      </c>
      <c r="L2535" s="19" t="str">
        <f>IF($K2535="","",IF($K2535&gt;MAX($A$8:$A$5007),"",IFERROR(MATCH($K2535,$A$8:$A$5007,1),"")))</f>
        <v/>
      </c>
      <c r="M2535" s="30" t="str">
        <f>IF($L2535="","",INDEX($A$8:$A$5007,$L2535))</f>
        <v/>
      </c>
      <c r="N2535" s="31" t="str">
        <f>IF($L2535="","",INDEX($B$8:$B$5007,$L2535))</f>
        <v/>
      </c>
      <c r="O2535" s="32" t="str">
        <f>IF($M2535="","",IF($K2535-$M2535&gt;7,"",IF($M2535&lt;=$A2535,"",IF(OR($B2535&lt;=0,$N2535&lt;=0),"",($N2535/$B2535)^(365/($M2535-$A2535))-1))))</f>
        <v/>
      </c>
      <c r="P2535" s="31" t="str">
        <f>IF($B2535="","",IF($P2534="",$B2535,MAX($P2534,$B2535)))</f>
        <v/>
      </c>
      <c r="Q2535" s="32" t="str">
        <f>IF($P2535="","",$B2535/$P2535-1)</f>
        <v/>
      </c>
    </row>
    <row r="2536">
      <c r="A2536" s="11" t="n"/>
      <c r="B2536" s="29" t="n"/>
      <c r="K2536" s="30" t="str">
        <f>IF($A2536="","",EDATE($A2536,12*$E$4))</f>
        <v/>
      </c>
      <c r="L2536" s="19" t="str">
        <f>IF($K2536="","",IF($K2536&gt;MAX($A$8:$A$5007),"",IFERROR(MATCH($K2536,$A$8:$A$5007,1),"")))</f>
        <v/>
      </c>
      <c r="M2536" s="30" t="str">
        <f>IF($L2536="","",INDEX($A$8:$A$5007,$L2536))</f>
        <v/>
      </c>
      <c r="N2536" s="31" t="str">
        <f>IF($L2536="","",INDEX($B$8:$B$5007,$L2536))</f>
        <v/>
      </c>
      <c r="O2536" s="32" t="str">
        <f>IF($M2536="","",IF($K2536-$M2536&gt;7,"",IF($M2536&lt;=$A2536,"",IF(OR($B2536&lt;=0,$N2536&lt;=0),"",($N2536/$B2536)^(365/($M2536-$A2536))-1))))</f>
        <v/>
      </c>
      <c r="P2536" s="31" t="str">
        <f>IF($B2536="","",IF($P2535="",$B2536,MAX($P2535,$B2536)))</f>
        <v/>
      </c>
      <c r="Q2536" s="32" t="str">
        <f>IF($P2536="","",$B2536/$P2536-1)</f>
        <v/>
      </c>
    </row>
    <row r="2537">
      <c r="A2537" s="11" t="n"/>
      <c r="B2537" s="29" t="n"/>
      <c r="K2537" s="30" t="str">
        <f>IF($A2537="","",EDATE($A2537,12*$E$4))</f>
        <v/>
      </c>
      <c r="L2537" s="19" t="str">
        <f>IF($K2537="","",IF($K2537&gt;MAX($A$8:$A$5007),"",IFERROR(MATCH($K2537,$A$8:$A$5007,1),"")))</f>
        <v/>
      </c>
      <c r="M2537" s="30" t="str">
        <f>IF($L2537="","",INDEX($A$8:$A$5007,$L2537))</f>
        <v/>
      </c>
      <c r="N2537" s="31" t="str">
        <f>IF($L2537="","",INDEX($B$8:$B$5007,$L2537))</f>
        <v/>
      </c>
      <c r="O2537" s="32" t="str">
        <f>IF($M2537="","",IF($K2537-$M2537&gt;7,"",IF($M2537&lt;=$A2537,"",IF(OR($B2537&lt;=0,$N2537&lt;=0),"",($N2537/$B2537)^(365/($M2537-$A2537))-1))))</f>
        <v/>
      </c>
      <c r="P2537" s="31" t="str">
        <f>IF($B2537="","",IF($P2536="",$B2537,MAX($P2536,$B2537)))</f>
        <v/>
      </c>
      <c r="Q2537" s="32" t="str">
        <f>IF($P2537="","",$B2537/$P2537-1)</f>
        <v/>
      </c>
    </row>
    <row r="2538">
      <c r="A2538" s="11" t="n"/>
      <c r="B2538" s="29" t="n"/>
      <c r="K2538" s="30" t="str">
        <f>IF($A2538="","",EDATE($A2538,12*$E$4))</f>
        <v/>
      </c>
      <c r="L2538" s="19" t="str">
        <f>IF($K2538="","",IF($K2538&gt;MAX($A$8:$A$5007),"",IFERROR(MATCH($K2538,$A$8:$A$5007,1),"")))</f>
        <v/>
      </c>
      <c r="M2538" s="30" t="str">
        <f>IF($L2538="","",INDEX($A$8:$A$5007,$L2538))</f>
        <v/>
      </c>
      <c r="N2538" s="31" t="str">
        <f>IF($L2538="","",INDEX($B$8:$B$5007,$L2538))</f>
        <v/>
      </c>
      <c r="O2538" s="32" t="str">
        <f>IF($M2538="","",IF($K2538-$M2538&gt;7,"",IF($M2538&lt;=$A2538,"",IF(OR($B2538&lt;=0,$N2538&lt;=0),"",($N2538/$B2538)^(365/($M2538-$A2538))-1))))</f>
        <v/>
      </c>
      <c r="P2538" s="31" t="str">
        <f>IF($B2538="","",IF($P2537="",$B2538,MAX($P2537,$B2538)))</f>
        <v/>
      </c>
      <c r="Q2538" s="32" t="str">
        <f>IF($P2538="","",$B2538/$P2538-1)</f>
        <v/>
      </c>
    </row>
    <row r="2539">
      <c r="A2539" s="11" t="n"/>
      <c r="B2539" s="29" t="n"/>
      <c r="K2539" s="30" t="str">
        <f>IF($A2539="","",EDATE($A2539,12*$E$4))</f>
        <v/>
      </c>
      <c r="L2539" s="19" t="str">
        <f>IF($K2539="","",IF($K2539&gt;MAX($A$8:$A$5007),"",IFERROR(MATCH($K2539,$A$8:$A$5007,1),"")))</f>
        <v/>
      </c>
      <c r="M2539" s="30" t="str">
        <f>IF($L2539="","",INDEX($A$8:$A$5007,$L2539))</f>
        <v/>
      </c>
      <c r="N2539" s="31" t="str">
        <f>IF($L2539="","",INDEX($B$8:$B$5007,$L2539))</f>
        <v/>
      </c>
      <c r="O2539" s="32" t="str">
        <f>IF($M2539="","",IF($K2539-$M2539&gt;7,"",IF($M2539&lt;=$A2539,"",IF(OR($B2539&lt;=0,$N2539&lt;=0),"",($N2539/$B2539)^(365/($M2539-$A2539))-1))))</f>
        <v/>
      </c>
      <c r="P2539" s="31" t="str">
        <f>IF($B2539="","",IF($P2538="",$B2539,MAX($P2538,$B2539)))</f>
        <v/>
      </c>
      <c r="Q2539" s="32" t="str">
        <f>IF($P2539="","",$B2539/$P2539-1)</f>
        <v/>
      </c>
    </row>
    <row r="2540">
      <c r="A2540" s="11" t="n"/>
      <c r="B2540" s="29" t="n"/>
      <c r="K2540" s="30" t="str">
        <f>IF($A2540="","",EDATE($A2540,12*$E$4))</f>
        <v/>
      </c>
      <c r="L2540" s="19" t="str">
        <f>IF($K2540="","",IF($K2540&gt;MAX($A$8:$A$5007),"",IFERROR(MATCH($K2540,$A$8:$A$5007,1),"")))</f>
        <v/>
      </c>
      <c r="M2540" s="30" t="str">
        <f>IF($L2540="","",INDEX($A$8:$A$5007,$L2540))</f>
        <v/>
      </c>
      <c r="N2540" s="31" t="str">
        <f>IF($L2540="","",INDEX($B$8:$B$5007,$L2540))</f>
        <v/>
      </c>
      <c r="O2540" s="32" t="str">
        <f>IF($M2540="","",IF($K2540-$M2540&gt;7,"",IF($M2540&lt;=$A2540,"",IF(OR($B2540&lt;=0,$N2540&lt;=0),"",($N2540/$B2540)^(365/($M2540-$A2540))-1))))</f>
        <v/>
      </c>
      <c r="P2540" s="31" t="str">
        <f>IF($B2540="","",IF($P2539="",$B2540,MAX($P2539,$B2540)))</f>
        <v/>
      </c>
      <c r="Q2540" s="32" t="str">
        <f>IF($P2540="","",$B2540/$P2540-1)</f>
        <v/>
      </c>
    </row>
    <row r="2541">
      <c r="A2541" s="11" t="n"/>
      <c r="B2541" s="29" t="n"/>
      <c r="K2541" s="30" t="str">
        <f>IF($A2541="","",EDATE($A2541,12*$E$4))</f>
        <v/>
      </c>
      <c r="L2541" s="19" t="str">
        <f>IF($K2541="","",IF($K2541&gt;MAX($A$8:$A$5007),"",IFERROR(MATCH($K2541,$A$8:$A$5007,1),"")))</f>
        <v/>
      </c>
      <c r="M2541" s="30" t="str">
        <f>IF($L2541="","",INDEX($A$8:$A$5007,$L2541))</f>
        <v/>
      </c>
      <c r="N2541" s="31" t="str">
        <f>IF($L2541="","",INDEX($B$8:$B$5007,$L2541))</f>
        <v/>
      </c>
      <c r="O2541" s="32" t="str">
        <f>IF($M2541="","",IF($K2541-$M2541&gt;7,"",IF($M2541&lt;=$A2541,"",IF(OR($B2541&lt;=0,$N2541&lt;=0),"",($N2541/$B2541)^(365/($M2541-$A2541))-1))))</f>
        <v/>
      </c>
      <c r="P2541" s="31" t="str">
        <f>IF($B2541="","",IF($P2540="",$B2541,MAX($P2540,$B2541)))</f>
        <v/>
      </c>
      <c r="Q2541" s="32" t="str">
        <f>IF($P2541="","",$B2541/$P2541-1)</f>
        <v/>
      </c>
    </row>
    <row r="2542">
      <c r="A2542" s="11" t="n"/>
      <c r="B2542" s="29" t="n"/>
      <c r="K2542" s="30" t="str">
        <f>IF($A2542="","",EDATE($A2542,12*$E$4))</f>
        <v/>
      </c>
      <c r="L2542" s="19" t="str">
        <f>IF($K2542="","",IF($K2542&gt;MAX($A$8:$A$5007),"",IFERROR(MATCH($K2542,$A$8:$A$5007,1),"")))</f>
        <v/>
      </c>
      <c r="M2542" s="30" t="str">
        <f>IF($L2542="","",INDEX($A$8:$A$5007,$L2542))</f>
        <v/>
      </c>
      <c r="N2542" s="31" t="str">
        <f>IF($L2542="","",INDEX($B$8:$B$5007,$L2542))</f>
        <v/>
      </c>
      <c r="O2542" s="32" t="str">
        <f>IF($M2542="","",IF($K2542-$M2542&gt;7,"",IF($M2542&lt;=$A2542,"",IF(OR($B2542&lt;=0,$N2542&lt;=0),"",($N2542/$B2542)^(365/($M2542-$A2542))-1))))</f>
        <v/>
      </c>
      <c r="P2542" s="31" t="str">
        <f>IF($B2542="","",IF($P2541="",$B2542,MAX($P2541,$B2542)))</f>
        <v/>
      </c>
      <c r="Q2542" s="32" t="str">
        <f>IF($P2542="","",$B2542/$P2542-1)</f>
        <v/>
      </c>
    </row>
    <row r="2543">
      <c r="A2543" s="11" t="n"/>
      <c r="B2543" s="29" t="n"/>
      <c r="K2543" s="30" t="str">
        <f>IF($A2543="","",EDATE($A2543,12*$E$4))</f>
        <v/>
      </c>
      <c r="L2543" s="19" t="str">
        <f>IF($K2543="","",IF($K2543&gt;MAX($A$8:$A$5007),"",IFERROR(MATCH($K2543,$A$8:$A$5007,1),"")))</f>
        <v/>
      </c>
      <c r="M2543" s="30" t="str">
        <f>IF($L2543="","",INDEX($A$8:$A$5007,$L2543))</f>
        <v/>
      </c>
      <c r="N2543" s="31" t="str">
        <f>IF($L2543="","",INDEX($B$8:$B$5007,$L2543))</f>
        <v/>
      </c>
      <c r="O2543" s="32" t="str">
        <f>IF($M2543="","",IF($K2543-$M2543&gt;7,"",IF($M2543&lt;=$A2543,"",IF(OR($B2543&lt;=0,$N2543&lt;=0),"",($N2543/$B2543)^(365/($M2543-$A2543))-1))))</f>
        <v/>
      </c>
      <c r="P2543" s="31" t="str">
        <f>IF($B2543="","",IF($P2542="",$B2543,MAX($P2542,$B2543)))</f>
        <v/>
      </c>
      <c r="Q2543" s="32" t="str">
        <f>IF($P2543="","",$B2543/$P2543-1)</f>
        <v/>
      </c>
    </row>
    <row r="2544">
      <c r="A2544" s="11" t="n"/>
      <c r="B2544" s="29" t="n"/>
      <c r="K2544" s="30" t="str">
        <f>IF($A2544="","",EDATE($A2544,12*$E$4))</f>
        <v/>
      </c>
      <c r="L2544" s="19" t="str">
        <f>IF($K2544="","",IF($K2544&gt;MAX($A$8:$A$5007),"",IFERROR(MATCH($K2544,$A$8:$A$5007,1),"")))</f>
        <v/>
      </c>
      <c r="M2544" s="30" t="str">
        <f>IF($L2544="","",INDEX($A$8:$A$5007,$L2544))</f>
        <v/>
      </c>
      <c r="N2544" s="31" t="str">
        <f>IF($L2544="","",INDEX($B$8:$B$5007,$L2544))</f>
        <v/>
      </c>
      <c r="O2544" s="32" t="str">
        <f>IF($M2544="","",IF($K2544-$M2544&gt;7,"",IF($M2544&lt;=$A2544,"",IF(OR($B2544&lt;=0,$N2544&lt;=0),"",($N2544/$B2544)^(365/($M2544-$A2544))-1))))</f>
        <v/>
      </c>
      <c r="P2544" s="31" t="str">
        <f>IF($B2544="","",IF($P2543="",$B2544,MAX($P2543,$B2544)))</f>
        <v/>
      </c>
      <c r="Q2544" s="32" t="str">
        <f>IF($P2544="","",$B2544/$P2544-1)</f>
        <v/>
      </c>
    </row>
    <row r="2545">
      <c r="A2545" s="11" t="n"/>
      <c r="B2545" s="29" t="n"/>
      <c r="K2545" s="30" t="str">
        <f>IF($A2545="","",EDATE($A2545,12*$E$4))</f>
        <v/>
      </c>
      <c r="L2545" s="19" t="str">
        <f>IF($K2545="","",IF($K2545&gt;MAX($A$8:$A$5007),"",IFERROR(MATCH($K2545,$A$8:$A$5007,1),"")))</f>
        <v/>
      </c>
      <c r="M2545" s="30" t="str">
        <f>IF($L2545="","",INDEX($A$8:$A$5007,$L2545))</f>
        <v/>
      </c>
      <c r="N2545" s="31" t="str">
        <f>IF($L2545="","",INDEX($B$8:$B$5007,$L2545))</f>
        <v/>
      </c>
      <c r="O2545" s="32" t="str">
        <f>IF($M2545="","",IF($K2545-$M2545&gt;7,"",IF($M2545&lt;=$A2545,"",IF(OR($B2545&lt;=0,$N2545&lt;=0),"",($N2545/$B2545)^(365/($M2545-$A2545))-1))))</f>
        <v/>
      </c>
      <c r="P2545" s="31" t="str">
        <f>IF($B2545="","",IF($P2544="",$B2545,MAX($P2544,$B2545)))</f>
        <v/>
      </c>
      <c r="Q2545" s="32" t="str">
        <f>IF($P2545="","",$B2545/$P2545-1)</f>
        <v/>
      </c>
    </row>
    <row r="2546">
      <c r="A2546" s="11" t="n"/>
      <c r="B2546" s="29" t="n"/>
      <c r="K2546" s="30" t="str">
        <f>IF($A2546="","",EDATE($A2546,12*$E$4))</f>
        <v/>
      </c>
      <c r="L2546" s="19" t="str">
        <f>IF($K2546="","",IF($K2546&gt;MAX($A$8:$A$5007),"",IFERROR(MATCH($K2546,$A$8:$A$5007,1),"")))</f>
        <v/>
      </c>
      <c r="M2546" s="30" t="str">
        <f>IF($L2546="","",INDEX($A$8:$A$5007,$L2546))</f>
        <v/>
      </c>
      <c r="N2546" s="31" t="str">
        <f>IF($L2546="","",INDEX($B$8:$B$5007,$L2546))</f>
        <v/>
      </c>
      <c r="O2546" s="32" t="str">
        <f>IF($M2546="","",IF($K2546-$M2546&gt;7,"",IF($M2546&lt;=$A2546,"",IF(OR($B2546&lt;=0,$N2546&lt;=0),"",($N2546/$B2546)^(365/($M2546-$A2546))-1))))</f>
        <v/>
      </c>
      <c r="P2546" s="31" t="str">
        <f>IF($B2546="","",IF($P2545="",$B2546,MAX($P2545,$B2546)))</f>
        <v/>
      </c>
      <c r="Q2546" s="32" t="str">
        <f>IF($P2546="","",$B2546/$P2546-1)</f>
        <v/>
      </c>
    </row>
    <row r="2547">
      <c r="A2547" s="11" t="n"/>
      <c r="B2547" s="29" t="n"/>
      <c r="K2547" s="30" t="str">
        <f>IF($A2547="","",EDATE($A2547,12*$E$4))</f>
        <v/>
      </c>
      <c r="L2547" s="19" t="str">
        <f>IF($K2547="","",IF($K2547&gt;MAX($A$8:$A$5007),"",IFERROR(MATCH($K2547,$A$8:$A$5007,1),"")))</f>
        <v/>
      </c>
      <c r="M2547" s="30" t="str">
        <f>IF($L2547="","",INDEX($A$8:$A$5007,$L2547))</f>
        <v/>
      </c>
      <c r="N2547" s="31" t="str">
        <f>IF($L2547="","",INDEX($B$8:$B$5007,$L2547))</f>
        <v/>
      </c>
      <c r="O2547" s="32" t="str">
        <f>IF($M2547="","",IF($K2547-$M2547&gt;7,"",IF($M2547&lt;=$A2547,"",IF(OR($B2547&lt;=0,$N2547&lt;=0),"",($N2547/$B2547)^(365/($M2547-$A2547))-1))))</f>
        <v/>
      </c>
      <c r="P2547" s="31" t="str">
        <f>IF($B2547="","",IF($P2546="",$B2547,MAX($P2546,$B2547)))</f>
        <v/>
      </c>
      <c r="Q2547" s="32" t="str">
        <f>IF($P2547="","",$B2547/$P2547-1)</f>
        <v/>
      </c>
    </row>
    <row r="2548">
      <c r="A2548" s="11" t="n"/>
      <c r="B2548" s="29" t="n"/>
      <c r="K2548" s="30" t="str">
        <f>IF($A2548="","",EDATE($A2548,12*$E$4))</f>
        <v/>
      </c>
      <c r="L2548" s="19" t="str">
        <f>IF($K2548="","",IF($K2548&gt;MAX($A$8:$A$5007),"",IFERROR(MATCH($K2548,$A$8:$A$5007,1),"")))</f>
        <v/>
      </c>
      <c r="M2548" s="30" t="str">
        <f>IF($L2548="","",INDEX($A$8:$A$5007,$L2548))</f>
        <v/>
      </c>
      <c r="N2548" s="31" t="str">
        <f>IF($L2548="","",INDEX($B$8:$B$5007,$L2548))</f>
        <v/>
      </c>
      <c r="O2548" s="32" t="str">
        <f>IF($M2548="","",IF($K2548-$M2548&gt;7,"",IF($M2548&lt;=$A2548,"",IF(OR($B2548&lt;=0,$N2548&lt;=0),"",($N2548/$B2548)^(365/($M2548-$A2548))-1))))</f>
        <v/>
      </c>
      <c r="P2548" s="31" t="str">
        <f>IF($B2548="","",IF($P2547="",$B2548,MAX($P2547,$B2548)))</f>
        <v/>
      </c>
      <c r="Q2548" s="32" t="str">
        <f>IF($P2548="","",$B2548/$P2548-1)</f>
        <v/>
      </c>
    </row>
    <row r="2549">
      <c r="A2549" s="11" t="n"/>
      <c r="B2549" s="29" t="n"/>
      <c r="K2549" s="30" t="str">
        <f>IF($A2549="","",EDATE($A2549,12*$E$4))</f>
        <v/>
      </c>
      <c r="L2549" s="19" t="str">
        <f>IF($K2549="","",IF($K2549&gt;MAX($A$8:$A$5007),"",IFERROR(MATCH($K2549,$A$8:$A$5007,1),"")))</f>
        <v/>
      </c>
      <c r="M2549" s="30" t="str">
        <f>IF($L2549="","",INDEX($A$8:$A$5007,$L2549))</f>
        <v/>
      </c>
      <c r="N2549" s="31" t="str">
        <f>IF($L2549="","",INDEX($B$8:$B$5007,$L2549))</f>
        <v/>
      </c>
      <c r="O2549" s="32" t="str">
        <f>IF($M2549="","",IF($K2549-$M2549&gt;7,"",IF($M2549&lt;=$A2549,"",IF(OR($B2549&lt;=0,$N2549&lt;=0),"",($N2549/$B2549)^(365/($M2549-$A2549))-1))))</f>
        <v/>
      </c>
      <c r="P2549" s="31" t="str">
        <f>IF($B2549="","",IF($P2548="",$B2549,MAX($P2548,$B2549)))</f>
        <v/>
      </c>
      <c r="Q2549" s="32" t="str">
        <f>IF($P2549="","",$B2549/$P2549-1)</f>
        <v/>
      </c>
    </row>
    <row r="2550">
      <c r="A2550" s="11" t="n"/>
      <c r="B2550" s="29" t="n"/>
      <c r="K2550" s="30" t="str">
        <f>IF($A2550="","",EDATE($A2550,12*$E$4))</f>
        <v/>
      </c>
      <c r="L2550" s="19" t="str">
        <f>IF($K2550="","",IF($K2550&gt;MAX($A$8:$A$5007),"",IFERROR(MATCH($K2550,$A$8:$A$5007,1),"")))</f>
        <v/>
      </c>
      <c r="M2550" s="30" t="str">
        <f>IF($L2550="","",INDEX($A$8:$A$5007,$L2550))</f>
        <v/>
      </c>
      <c r="N2550" s="31" t="str">
        <f>IF($L2550="","",INDEX($B$8:$B$5007,$L2550))</f>
        <v/>
      </c>
      <c r="O2550" s="32" t="str">
        <f>IF($M2550="","",IF($K2550-$M2550&gt;7,"",IF($M2550&lt;=$A2550,"",IF(OR($B2550&lt;=0,$N2550&lt;=0),"",($N2550/$B2550)^(365/($M2550-$A2550))-1))))</f>
        <v/>
      </c>
      <c r="P2550" s="31" t="str">
        <f>IF($B2550="","",IF($P2549="",$B2550,MAX($P2549,$B2550)))</f>
        <v/>
      </c>
      <c r="Q2550" s="32" t="str">
        <f>IF($P2550="","",$B2550/$P2550-1)</f>
        <v/>
      </c>
    </row>
    <row r="2551">
      <c r="A2551" s="11" t="n"/>
      <c r="B2551" s="29" t="n"/>
      <c r="K2551" s="30" t="str">
        <f>IF($A2551="","",EDATE($A2551,12*$E$4))</f>
        <v/>
      </c>
      <c r="L2551" s="19" t="str">
        <f>IF($K2551="","",IF($K2551&gt;MAX($A$8:$A$5007),"",IFERROR(MATCH($K2551,$A$8:$A$5007,1),"")))</f>
        <v/>
      </c>
      <c r="M2551" s="30" t="str">
        <f>IF($L2551="","",INDEX($A$8:$A$5007,$L2551))</f>
        <v/>
      </c>
      <c r="N2551" s="31" t="str">
        <f>IF($L2551="","",INDEX($B$8:$B$5007,$L2551))</f>
        <v/>
      </c>
      <c r="O2551" s="32" t="str">
        <f>IF($M2551="","",IF($K2551-$M2551&gt;7,"",IF($M2551&lt;=$A2551,"",IF(OR($B2551&lt;=0,$N2551&lt;=0),"",($N2551/$B2551)^(365/($M2551-$A2551))-1))))</f>
        <v/>
      </c>
      <c r="P2551" s="31" t="str">
        <f>IF($B2551="","",IF($P2550="",$B2551,MAX($P2550,$B2551)))</f>
        <v/>
      </c>
      <c r="Q2551" s="32" t="str">
        <f>IF($P2551="","",$B2551/$P2551-1)</f>
        <v/>
      </c>
    </row>
    <row r="2552">
      <c r="A2552" s="11" t="n"/>
      <c r="B2552" s="29" t="n"/>
      <c r="K2552" s="30" t="str">
        <f>IF($A2552="","",EDATE($A2552,12*$E$4))</f>
        <v/>
      </c>
      <c r="L2552" s="19" t="str">
        <f>IF($K2552="","",IF($K2552&gt;MAX($A$8:$A$5007),"",IFERROR(MATCH($K2552,$A$8:$A$5007,1),"")))</f>
        <v/>
      </c>
      <c r="M2552" s="30" t="str">
        <f>IF($L2552="","",INDEX($A$8:$A$5007,$L2552))</f>
        <v/>
      </c>
      <c r="N2552" s="31" t="str">
        <f>IF($L2552="","",INDEX($B$8:$B$5007,$L2552))</f>
        <v/>
      </c>
      <c r="O2552" s="32" t="str">
        <f>IF($M2552="","",IF($K2552-$M2552&gt;7,"",IF($M2552&lt;=$A2552,"",IF(OR($B2552&lt;=0,$N2552&lt;=0),"",($N2552/$B2552)^(365/($M2552-$A2552))-1))))</f>
        <v/>
      </c>
      <c r="P2552" s="31" t="str">
        <f>IF($B2552="","",IF($P2551="",$B2552,MAX($P2551,$B2552)))</f>
        <v/>
      </c>
      <c r="Q2552" s="32" t="str">
        <f>IF($P2552="","",$B2552/$P2552-1)</f>
        <v/>
      </c>
    </row>
    <row r="2553">
      <c r="A2553" s="11" t="n"/>
      <c r="B2553" s="29" t="n"/>
      <c r="K2553" s="30" t="str">
        <f>IF($A2553="","",EDATE($A2553,12*$E$4))</f>
        <v/>
      </c>
      <c r="L2553" s="19" t="str">
        <f>IF($K2553="","",IF($K2553&gt;MAX($A$8:$A$5007),"",IFERROR(MATCH($K2553,$A$8:$A$5007,1),"")))</f>
        <v/>
      </c>
      <c r="M2553" s="30" t="str">
        <f>IF($L2553="","",INDEX($A$8:$A$5007,$L2553))</f>
        <v/>
      </c>
      <c r="N2553" s="31" t="str">
        <f>IF($L2553="","",INDEX($B$8:$B$5007,$L2553))</f>
        <v/>
      </c>
      <c r="O2553" s="32" t="str">
        <f>IF($M2553="","",IF($K2553-$M2553&gt;7,"",IF($M2553&lt;=$A2553,"",IF(OR($B2553&lt;=0,$N2553&lt;=0),"",($N2553/$B2553)^(365/($M2553-$A2553))-1))))</f>
        <v/>
      </c>
      <c r="P2553" s="31" t="str">
        <f>IF($B2553="","",IF($P2552="",$B2553,MAX($P2552,$B2553)))</f>
        <v/>
      </c>
      <c r="Q2553" s="32" t="str">
        <f>IF($P2553="","",$B2553/$P2553-1)</f>
        <v/>
      </c>
    </row>
    <row r="2554">
      <c r="A2554" s="11" t="n"/>
      <c r="B2554" s="29" t="n"/>
      <c r="K2554" s="30" t="str">
        <f>IF($A2554="","",EDATE($A2554,12*$E$4))</f>
        <v/>
      </c>
      <c r="L2554" s="19" t="str">
        <f>IF($K2554="","",IF($K2554&gt;MAX($A$8:$A$5007),"",IFERROR(MATCH($K2554,$A$8:$A$5007,1),"")))</f>
        <v/>
      </c>
      <c r="M2554" s="30" t="str">
        <f>IF($L2554="","",INDEX($A$8:$A$5007,$L2554))</f>
        <v/>
      </c>
      <c r="N2554" s="31" t="str">
        <f>IF($L2554="","",INDEX($B$8:$B$5007,$L2554))</f>
        <v/>
      </c>
      <c r="O2554" s="32" t="str">
        <f>IF($M2554="","",IF($K2554-$M2554&gt;7,"",IF($M2554&lt;=$A2554,"",IF(OR($B2554&lt;=0,$N2554&lt;=0),"",($N2554/$B2554)^(365/($M2554-$A2554))-1))))</f>
        <v/>
      </c>
      <c r="P2554" s="31" t="str">
        <f>IF($B2554="","",IF($P2553="",$B2554,MAX($P2553,$B2554)))</f>
        <v/>
      </c>
      <c r="Q2554" s="32" t="str">
        <f>IF($P2554="","",$B2554/$P2554-1)</f>
        <v/>
      </c>
    </row>
    <row r="2555">
      <c r="A2555" s="11" t="n"/>
      <c r="B2555" s="29" t="n"/>
      <c r="K2555" s="30" t="str">
        <f>IF($A2555="","",EDATE($A2555,12*$E$4))</f>
        <v/>
      </c>
      <c r="L2555" s="19" t="str">
        <f>IF($K2555="","",IF($K2555&gt;MAX($A$8:$A$5007),"",IFERROR(MATCH($K2555,$A$8:$A$5007,1),"")))</f>
        <v/>
      </c>
      <c r="M2555" s="30" t="str">
        <f>IF($L2555="","",INDEX($A$8:$A$5007,$L2555))</f>
        <v/>
      </c>
      <c r="N2555" s="31" t="str">
        <f>IF($L2555="","",INDEX($B$8:$B$5007,$L2555))</f>
        <v/>
      </c>
      <c r="O2555" s="32" t="str">
        <f>IF($M2555="","",IF($K2555-$M2555&gt;7,"",IF($M2555&lt;=$A2555,"",IF(OR($B2555&lt;=0,$N2555&lt;=0),"",($N2555/$B2555)^(365/($M2555-$A2555))-1))))</f>
        <v/>
      </c>
      <c r="P2555" s="31" t="str">
        <f>IF($B2555="","",IF($P2554="",$B2555,MAX($P2554,$B2555)))</f>
        <v/>
      </c>
      <c r="Q2555" s="32" t="str">
        <f>IF($P2555="","",$B2555/$P2555-1)</f>
        <v/>
      </c>
    </row>
    <row r="2556">
      <c r="A2556" s="11" t="n"/>
      <c r="B2556" s="29" t="n"/>
      <c r="K2556" s="30" t="str">
        <f>IF($A2556="","",EDATE($A2556,12*$E$4))</f>
        <v/>
      </c>
      <c r="L2556" s="19" t="str">
        <f>IF($K2556="","",IF($K2556&gt;MAX($A$8:$A$5007),"",IFERROR(MATCH($K2556,$A$8:$A$5007,1),"")))</f>
        <v/>
      </c>
      <c r="M2556" s="30" t="str">
        <f>IF($L2556="","",INDEX($A$8:$A$5007,$L2556))</f>
        <v/>
      </c>
      <c r="N2556" s="31" t="str">
        <f>IF($L2556="","",INDEX($B$8:$B$5007,$L2556))</f>
        <v/>
      </c>
      <c r="O2556" s="32" t="str">
        <f>IF($M2556="","",IF($K2556-$M2556&gt;7,"",IF($M2556&lt;=$A2556,"",IF(OR($B2556&lt;=0,$N2556&lt;=0),"",($N2556/$B2556)^(365/($M2556-$A2556))-1))))</f>
        <v/>
      </c>
      <c r="P2556" s="31" t="str">
        <f>IF($B2556="","",IF($P2555="",$B2556,MAX($P2555,$B2556)))</f>
        <v/>
      </c>
      <c r="Q2556" s="32" t="str">
        <f>IF($P2556="","",$B2556/$P2556-1)</f>
        <v/>
      </c>
    </row>
    <row r="2557">
      <c r="A2557" s="11" t="n"/>
      <c r="B2557" s="29" t="n"/>
      <c r="K2557" s="30" t="str">
        <f>IF($A2557="","",EDATE($A2557,12*$E$4))</f>
        <v/>
      </c>
      <c r="L2557" s="19" t="str">
        <f>IF($K2557="","",IF($K2557&gt;MAX($A$8:$A$5007),"",IFERROR(MATCH($K2557,$A$8:$A$5007,1),"")))</f>
        <v/>
      </c>
      <c r="M2557" s="30" t="str">
        <f>IF($L2557="","",INDEX($A$8:$A$5007,$L2557))</f>
        <v/>
      </c>
      <c r="N2557" s="31" t="str">
        <f>IF($L2557="","",INDEX($B$8:$B$5007,$L2557))</f>
        <v/>
      </c>
      <c r="O2557" s="32" t="str">
        <f>IF($M2557="","",IF($K2557-$M2557&gt;7,"",IF($M2557&lt;=$A2557,"",IF(OR($B2557&lt;=0,$N2557&lt;=0),"",($N2557/$B2557)^(365/($M2557-$A2557))-1))))</f>
        <v/>
      </c>
      <c r="P2557" s="31" t="str">
        <f>IF($B2557="","",IF($P2556="",$B2557,MAX($P2556,$B2557)))</f>
        <v/>
      </c>
      <c r="Q2557" s="32" t="str">
        <f>IF($P2557="","",$B2557/$P2557-1)</f>
        <v/>
      </c>
    </row>
    <row r="2558">
      <c r="A2558" s="11" t="n"/>
      <c r="B2558" s="29" t="n"/>
      <c r="K2558" s="30" t="str">
        <f>IF($A2558="","",EDATE($A2558,12*$E$4))</f>
        <v/>
      </c>
      <c r="L2558" s="19" t="str">
        <f>IF($K2558="","",IF($K2558&gt;MAX($A$8:$A$5007),"",IFERROR(MATCH($K2558,$A$8:$A$5007,1),"")))</f>
        <v/>
      </c>
      <c r="M2558" s="30" t="str">
        <f>IF($L2558="","",INDEX($A$8:$A$5007,$L2558))</f>
        <v/>
      </c>
      <c r="N2558" s="31" t="str">
        <f>IF($L2558="","",INDEX($B$8:$B$5007,$L2558))</f>
        <v/>
      </c>
      <c r="O2558" s="32" t="str">
        <f>IF($M2558="","",IF($K2558-$M2558&gt;7,"",IF($M2558&lt;=$A2558,"",IF(OR($B2558&lt;=0,$N2558&lt;=0),"",($N2558/$B2558)^(365/($M2558-$A2558))-1))))</f>
        <v/>
      </c>
      <c r="P2558" s="31" t="str">
        <f>IF($B2558="","",IF($P2557="",$B2558,MAX($P2557,$B2558)))</f>
        <v/>
      </c>
      <c r="Q2558" s="32" t="str">
        <f>IF($P2558="","",$B2558/$P2558-1)</f>
        <v/>
      </c>
    </row>
    <row r="2559">
      <c r="A2559" s="11" t="n"/>
      <c r="B2559" s="29" t="n"/>
      <c r="K2559" s="30" t="str">
        <f>IF($A2559="","",EDATE($A2559,12*$E$4))</f>
        <v/>
      </c>
      <c r="L2559" s="19" t="str">
        <f>IF($K2559="","",IF($K2559&gt;MAX($A$8:$A$5007),"",IFERROR(MATCH($K2559,$A$8:$A$5007,1),"")))</f>
        <v/>
      </c>
      <c r="M2559" s="30" t="str">
        <f>IF($L2559="","",INDEX($A$8:$A$5007,$L2559))</f>
        <v/>
      </c>
      <c r="N2559" s="31" t="str">
        <f>IF($L2559="","",INDEX($B$8:$B$5007,$L2559))</f>
        <v/>
      </c>
      <c r="O2559" s="32" t="str">
        <f>IF($M2559="","",IF($K2559-$M2559&gt;7,"",IF($M2559&lt;=$A2559,"",IF(OR($B2559&lt;=0,$N2559&lt;=0),"",($N2559/$B2559)^(365/($M2559-$A2559))-1))))</f>
        <v/>
      </c>
      <c r="P2559" s="31" t="str">
        <f>IF($B2559="","",IF($P2558="",$B2559,MAX($P2558,$B2559)))</f>
        <v/>
      </c>
      <c r="Q2559" s="32" t="str">
        <f>IF($P2559="","",$B2559/$P2559-1)</f>
        <v/>
      </c>
    </row>
    <row r="2560">
      <c r="A2560" s="11" t="n"/>
      <c r="B2560" s="29" t="n"/>
      <c r="K2560" s="30" t="str">
        <f>IF($A2560="","",EDATE($A2560,12*$E$4))</f>
        <v/>
      </c>
      <c r="L2560" s="19" t="str">
        <f>IF($K2560="","",IF($K2560&gt;MAX($A$8:$A$5007),"",IFERROR(MATCH($K2560,$A$8:$A$5007,1),"")))</f>
        <v/>
      </c>
      <c r="M2560" s="30" t="str">
        <f>IF($L2560="","",INDEX($A$8:$A$5007,$L2560))</f>
        <v/>
      </c>
      <c r="N2560" s="31" t="str">
        <f>IF($L2560="","",INDEX($B$8:$B$5007,$L2560))</f>
        <v/>
      </c>
      <c r="O2560" s="32" t="str">
        <f>IF($M2560="","",IF($K2560-$M2560&gt;7,"",IF($M2560&lt;=$A2560,"",IF(OR($B2560&lt;=0,$N2560&lt;=0),"",($N2560/$B2560)^(365/($M2560-$A2560))-1))))</f>
        <v/>
      </c>
      <c r="P2560" s="31" t="str">
        <f>IF($B2560="","",IF($P2559="",$B2560,MAX($P2559,$B2560)))</f>
        <v/>
      </c>
      <c r="Q2560" s="32" t="str">
        <f>IF($P2560="","",$B2560/$P2560-1)</f>
        <v/>
      </c>
    </row>
    <row r="2561">
      <c r="A2561" s="11" t="n"/>
      <c r="B2561" s="29" t="n"/>
      <c r="K2561" s="30" t="str">
        <f>IF($A2561="","",EDATE($A2561,12*$E$4))</f>
        <v/>
      </c>
      <c r="L2561" s="19" t="str">
        <f>IF($K2561="","",IF($K2561&gt;MAX($A$8:$A$5007),"",IFERROR(MATCH($K2561,$A$8:$A$5007,1),"")))</f>
        <v/>
      </c>
      <c r="M2561" s="30" t="str">
        <f>IF($L2561="","",INDEX($A$8:$A$5007,$L2561))</f>
        <v/>
      </c>
      <c r="N2561" s="31" t="str">
        <f>IF($L2561="","",INDEX($B$8:$B$5007,$L2561))</f>
        <v/>
      </c>
      <c r="O2561" s="32" t="str">
        <f>IF($M2561="","",IF($K2561-$M2561&gt;7,"",IF($M2561&lt;=$A2561,"",IF(OR($B2561&lt;=0,$N2561&lt;=0),"",($N2561/$B2561)^(365/($M2561-$A2561))-1))))</f>
        <v/>
      </c>
      <c r="P2561" s="31" t="str">
        <f>IF($B2561="","",IF($P2560="",$B2561,MAX($P2560,$B2561)))</f>
        <v/>
      </c>
      <c r="Q2561" s="32" t="str">
        <f>IF($P2561="","",$B2561/$P2561-1)</f>
        <v/>
      </c>
    </row>
    <row r="2562">
      <c r="A2562" s="11" t="n"/>
      <c r="B2562" s="29" t="n"/>
      <c r="K2562" s="30" t="str">
        <f>IF($A2562="","",EDATE($A2562,12*$E$4))</f>
        <v/>
      </c>
      <c r="L2562" s="19" t="str">
        <f>IF($K2562="","",IF($K2562&gt;MAX($A$8:$A$5007),"",IFERROR(MATCH($K2562,$A$8:$A$5007,1),"")))</f>
        <v/>
      </c>
      <c r="M2562" s="30" t="str">
        <f>IF($L2562="","",INDEX($A$8:$A$5007,$L2562))</f>
        <v/>
      </c>
      <c r="N2562" s="31" t="str">
        <f>IF($L2562="","",INDEX($B$8:$B$5007,$L2562))</f>
        <v/>
      </c>
      <c r="O2562" s="32" t="str">
        <f>IF($M2562="","",IF($K2562-$M2562&gt;7,"",IF($M2562&lt;=$A2562,"",IF(OR($B2562&lt;=0,$N2562&lt;=0),"",($N2562/$B2562)^(365/($M2562-$A2562))-1))))</f>
        <v/>
      </c>
      <c r="P2562" s="31" t="str">
        <f>IF($B2562="","",IF($P2561="",$B2562,MAX($P2561,$B2562)))</f>
        <v/>
      </c>
      <c r="Q2562" s="32" t="str">
        <f>IF($P2562="","",$B2562/$P2562-1)</f>
        <v/>
      </c>
    </row>
    <row r="2563">
      <c r="A2563" s="11" t="n"/>
      <c r="B2563" s="29" t="n"/>
      <c r="K2563" s="30" t="str">
        <f>IF($A2563="","",EDATE($A2563,12*$E$4))</f>
        <v/>
      </c>
      <c r="L2563" s="19" t="str">
        <f>IF($K2563="","",IF($K2563&gt;MAX($A$8:$A$5007),"",IFERROR(MATCH($K2563,$A$8:$A$5007,1),"")))</f>
        <v/>
      </c>
      <c r="M2563" s="30" t="str">
        <f>IF($L2563="","",INDEX($A$8:$A$5007,$L2563))</f>
        <v/>
      </c>
      <c r="N2563" s="31" t="str">
        <f>IF($L2563="","",INDEX($B$8:$B$5007,$L2563))</f>
        <v/>
      </c>
      <c r="O2563" s="32" t="str">
        <f>IF($M2563="","",IF($K2563-$M2563&gt;7,"",IF($M2563&lt;=$A2563,"",IF(OR($B2563&lt;=0,$N2563&lt;=0),"",($N2563/$B2563)^(365/($M2563-$A2563))-1))))</f>
        <v/>
      </c>
      <c r="P2563" s="31" t="str">
        <f>IF($B2563="","",IF($P2562="",$B2563,MAX($P2562,$B2563)))</f>
        <v/>
      </c>
      <c r="Q2563" s="32" t="str">
        <f>IF($P2563="","",$B2563/$P2563-1)</f>
        <v/>
      </c>
    </row>
    <row r="2564">
      <c r="A2564" s="11" t="n"/>
      <c r="B2564" s="29" t="n"/>
      <c r="K2564" s="30" t="str">
        <f>IF($A2564="","",EDATE($A2564,12*$E$4))</f>
        <v/>
      </c>
      <c r="L2564" s="19" t="str">
        <f>IF($K2564="","",IF($K2564&gt;MAX($A$8:$A$5007),"",IFERROR(MATCH($K2564,$A$8:$A$5007,1),"")))</f>
        <v/>
      </c>
      <c r="M2564" s="30" t="str">
        <f>IF($L2564="","",INDEX($A$8:$A$5007,$L2564))</f>
        <v/>
      </c>
      <c r="N2564" s="31" t="str">
        <f>IF($L2564="","",INDEX($B$8:$B$5007,$L2564))</f>
        <v/>
      </c>
      <c r="O2564" s="32" t="str">
        <f>IF($M2564="","",IF($K2564-$M2564&gt;7,"",IF($M2564&lt;=$A2564,"",IF(OR($B2564&lt;=0,$N2564&lt;=0),"",($N2564/$B2564)^(365/($M2564-$A2564))-1))))</f>
        <v/>
      </c>
      <c r="P2564" s="31" t="str">
        <f>IF($B2564="","",IF($P2563="",$B2564,MAX($P2563,$B2564)))</f>
        <v/>
      </c>
      <c r="Q2564" s="32" t="str">
        <f>IF($P2564="","",$B2564/$P2564-1)</f>
        <v/>
      </c>
    </row>
    <row r="2565">
      <c r="A2565" s="11" t="n"/>
      <c r="B2565" s="29" t="n"/>
      <c r="K2565" s="30" t="str">
        <f>IF($A2565="","",EDATE($A2565,12*$E$4))</f>
        <v/>
      </c>
      <c r="L2565" s="19" t="str">
        <f>IF($K2565="","",IF($K2565&gt;MAX($A$8:$A$5007),"",IFERROR(MATCH($K2565,$A$8:$A$5007,1),"")))</f>
        <v/>
      </c>
      <c r="M2565" s="30" t="str">
        <f>IF($L2565="","",INDEX($A$8:$A$5007,$L2565))</f>
        <v/>
      </c>
      <c r="N2565" s="31" t="str">
        <f>IF($L2565="","",INDEX($B$8:$B$5007,$L2565))</f>
        <v/>
      </c>
      <c r="O2565" s="32" t="str">
        <f>IF($M2565="","",IF($K2565-$M2565&gt;7,"",IF($M2565&lt;=$A2565,"",IF(OR($B2565&lt;=0,$N2565&lt;=0),"",($N2565/$B2565)^(365/($M2565-$A2565))-1))))</f>
        <v/>
      </c>
      <c r="P2565" s="31" t="str">
        <f>IF($B2565="","",IF($P2564="",$B2565,MAX($P2564,$B2565)))</f>
        <v/>
      </c>
      <c r="Q2565" s="32" t="str">
        <f>IF($P2565="","",$B2565/$P2565-1)</f>
        <v/>
      </c>
    </row>
    <row r="2566">
      <c r="A2566" s="11" t="n"/>
      <c r="B2566" s="29" t="n"/>
      <c r="K2566" s="30" t="str">
        <f>IF($A2566="","",EDATE($A2566,12*$E$4))</f>
        <v/>
      </c>
      <c r="L2566" s="19" t="str">
        <f>IF($K2566="","",IF($K2566&gt;MAX($A$8:$A$5007),"",IFERROR(MATCH($K2566,$A$8:$A$5007,1),"")))</f>
        <v/>
      </c>
      <c r="M2566" s="30" t="str">
        <f>IF($L2566="","",INDEX($A$8:$A$5007,$L2566))</f>
        <v/>
      </c>
      <c r="N2566" s="31" t="str">
        <f>IF($L2566="","",INDEX($B$8:$B$5007,$L2566))</f>
        <v/>
      </c>
      <c r="O2566" s="32" t="str">
        <f>IF($M2566="","",IF($K2566-$M2566&gt;7,"",IF($M2566&lt;=$A2566,"",IF(OR($B2566&lt;=0,$N2566&lt;=0),"",($N2566/$B2566)^(365/($M2566-$A2566))-1))))</f>
        <v/>
      </c>
      <c r="P2566" s="31" t="str">
        <f>IF($B2566="","",IF($P2565="",$B2566,MAX($P2565,$B2566)))</f>
        <v/>
      </c>
      <c r="Q2566" s="32" t="str">
        <f>IF($P2566="","",$B2566/$P2566-1)</f>
        <v/>
      </c>
    </row>
    <row r="2567">
      <c r="A2567" s="11" t="n"/>
      <c r="B2567" s="29" t="n"/>
      <c r="K2567" s="30" t="str">
        <f>IF($A2567="","",EDATE($A2567,12*$E$4))</f>
        <v/>
      </c>
      <c r="L2567" s="19" t="str">
        <f>IF($K2567="","",IF($K2567&gt;MAX($A$8:$A$5007),"",IFERROR(MATCH($K2567,$A$8:$A$5007,1),"")))</f>
        <v/>
      </c>
      <c r="M2567" s="30" t="str">
        <f>IF($L2567="","",INDEX($A$8:$A$5007,$L2567))</f>
        <v/>
      </c>
      <c r="N2567" s="31" t="str">
        <f>IF($L2567="","",INDEX($B$8:$B$5007,$L2567))</f>
        <v/>
      </c>
      <c r="O2567" s="32" t="str">
        <f>IF($M2567="","",IF($K2567-$M2567&gt;7,"",IF($M2567&lt;=$A2567,"",IF(OR($B2567&lt;=0,$N2567&lt;=0),"",($N2567/$B2567)^(365/($M2567-$A2567))-1))))</f>
        <v/>
      </c>
      <c r="P2567" s="31" t="str">
        <f>IF($B2567="","",IF($P2566="",$B2567,MAX($P2566,$B2567)))</f>
        <v/>
      </c>
      <c r="Q2567" s="32" t="str">
        <f>IF($P2567="","",$B2567/$P2567-1)</f>
        <v/>
      </c>
    </row>
    <row r="2568">
      <c r="A2568" s="11" t="n"/>
      <c r="B2568" s="29" t="n"/>
      <c r="K2568" s="30" t="str">
        <f>IF($A2568="","",EDATE($A2568,12*$E$4))</f>
        <v/>
      </c>
      <c r="L2568" s="19" t="str">
        <f>IF($K2568="","",IF($K2568&gt;MAX($A$8:$A$5007),"",IFERROR(MATCH($K2568,$A$8:$A$5007,1),"")))</f>
        <v/>
      </c>
      <c r="M2568" s="30" t="str">
        <f>IF($L2568="","",INDEX($A$8:$A$5007,$L2568))</f>
        <v/>
      </c>
      <c r="N2568" s="31" t="str">
        <f>IF($L2568="","",INDEX($B$8:$B$5007,$L2568))</f>
        <v/>
      </c>
      <c r="O2568" s="32" t="str">
        <f>IF($M2568="","",IF($K2568-$M2568&gt;7,"",IF($M2568&lt;=$A2568,"",IF(OR($B2568&lt;=0,$N2568&lt;=0),"",($N2568/$B2568)^(365/($M2568-$A2568))-1))))</f>
        <v/>
      </c>
      <c r="P2568" s="31" t="str">
        <f>IF($B2568="","",IF($P2567="",$B2568,MAX($P2567,$B2568)))</f>
        <v/>
      </c>
      <c r="Q2568" s="32" t="str">
        <f>IF($P2568="","",$B2568/$P2568-1)</f>
        <v/>
      </c>
    </row>
    <row r="2569">
      <c r="A2569" s="11" t="n"/>
      <c r="B2569" s="29" t="n"/>
      <c r="K2569" s="30" t="str">
        <f>IF($A2569="","",EDATE($A2569,12*$E$4))</f>
        <v/>
      </c>
      <c r="L2569" s="19" t="str">
        <f>IF($K2569="","",IF($K2569&gt;MAX($A$8:$A$5007),"",IFERROR(MATCH($K2569,$A$8:$A$5007,1),"")))</f>
        <v/>
      </c>
      <c r="M2569" s="30" t="str">
        <f>IF($L2569="","",INDEX($A$8:$A$5007,$L2569))</f>
        <v/>
      </c>
      <c r="N2569" s="31" t="str">
        <f>IF($L2569="","",INDEX($B$8:$B$5007,$L2569))</f>
        <v/>
      </c>
      <c r="O2569" s="32" t="str">
        <f>IF($M2569="","",IF($K2569-$M2569&gt;7,"",IF($M2569&lt;=$A2569,"",IF(OR($B2569&lt;=0,$N2569&lt;=0),"",($N2569/$B2569)^(365/($M2569-$A2569))-1))))</f>
        <v/>
      </c>
      <c r="P2569" s="31" t="str">
        <f>IF($B2569="","",IF($P2568="",$B2569,MAX($P2568,$B2569)))</f>
        <v/>
      </c>
      <c r="Q2569" s="32" t="str">
        <f>IF($P2569="","",$B2569/$P2569-1)</f>
        <v/>
      </c>
    </row>
    <row r="2570">
      <c r="A2570" s="11" t="n"/>
      <c r="B2570" s="29" t="n"/>
      <c r="K2570" s="30" t="str">
        <f>IF($A2570="","",EDATE($A2570,12*$E$4))</f>
        <v/>
      </c>
      <c r="L2570" s="19" t="str">
        <f>IF($K2570="","",IF($K2570&gt;MAX($A$8:$A$5007),"",IFERROR(MATCH($K2570,$A$8:$A$5007,1),"")))</f>
        <v/>
      </c>
      <c r="M2570" s="30" t="str">
        <f>IF($L2570="","",INDEX($A$8:$A$5007,$L2570))</f>
        <v/>
      </c>
      <c r="N2570" s="31" t="str">
        <f>IF($L2570="","",INDEX($B$8:$B$5007,$L2570))</f>
        <v/>
      </c>
      <c r="O2570" s="32" t="str">
        <f>IF($M2570="","",IF($K2570-$M2570&gt;7,"",IF($M2570&lt;=$A2570,"",IF(OR($B2570&lt;=0,$N2570&lt;=0),"",($N2570/$B2570)^(365/($M2570-$A2570))-1))))</f>
        <v/>
      </c>
      <c r="P2570" s="31" t="str">
        <f>IF($B2570="","",IF($P2569="",$B2570,MAX($P2569,$B2570)))</f>
        <v/>
      </c>
      <c r="Q2570" s="32" t="str">
        <f>IF($P2570="","",$B2570/$P2570-1)</f>
        <v/>
      </c>
    </row>
    <row r="2571">
      <c r="A2571" s="11" t="n"/>
      <c r="B2571" s="29" t="n"/>
      <c r="K2571" s="30" t="str">
        <f>IF($A2571="","",EDATE($A2571,12*$E$4))</f>
        <v/>
      </c>
      <c r="L2571" s="19" t="str">
        <f>IF($K2571="","",IF($K2571&gt;MAX($A$8:$A$5007),"",IFERROR(MATCH($K2571,$A$8:$A$5007,1),"")))</f>
        <v/>
      </c>
      <c r="M2571" s="30" t="str">
        <f>IF($L2571="","",INDEX($A$8:$A$5007,$L2571))</f>
        <v/>
      </c>
      <c r="N2571" s="31" t="str">
        <f>IF($L2571="","",INDEX($B$8:$B$5007,$L2571))</f>
        <v/>
      </c>
      <c r="O2571" s="32" t="str">
        <f>IF($M2571="","",IF($K2571-$M2571&gt;7,"",IF($M2571&lt;=$A2571,"",IF(OR($B2571&lt;=0,$N2571&lt;=0),"",($N2571/$B2571)^(365/($M2571-$A2571))-1))))</f>
        <v/>
      </c>
      <c r="P2571" s="31" t="str">
        <f>IF($B2571="","",IF($P2570="",$B2571,MAX($P2570,$B2571)))</f>
        <v/>
      </c>
      <c r="Q2571" s="32" t="str">
        <f>IF($P2571="","",$B2571/$P2571-1)</f>
        <v/>
      </c>
    </row>
    <row r="2572">
      <c r="A2572" s="11" t="n"/>
      <c r="B2572" s="29" t="n"/>
      <c r="K2572" s="30" t="str">
        <f>IF($A2572="","",EDATE($A2572,12*$E$4))</f>
        <v/>
      </c>
      <c r="L2572" s="19" t="str">
        <f>IF($K2572="","",IF($K2572&gt;MAX($A$8:$A$5007),"",IFERROR(MATCH($K2572,$A$8:$A$5007,1),"")))</f>
        <v/>
      </c>
      <c r="M2572" s="30" t="str">
        <f>IF($L2572="","",INDEX($A$8:$A$5007,$L2572))</f>
        <v/>
      </c>
      <c r="N2572" s="31" t="str">
        <f>IF($L2572="","",INDEX($B$8:$B$5007,$L2572))</f>
        <v/>
      </c>
      <c r="O2572" s="32" t="str">
        <f>IF($M2572="","",IF($K2572-$M2572&gt;7,"",IF($M2572&lt;=$A2572,"",IF(OR($B2572&lt;=0,$N2572&lt;=0),"",($N2572/$B2572)^(365/($M2572-$A2572))-1))))</f>
        <v/>
      </c>
      <c r="P2572" s="31" t="str">
        <f>IF($B2572="","",IF($P2571="",$B2572,MAX($P2571,$B2572)))</f>
        <v/>
      </c>
      <c r="Q2572" s="32" t="str">
        <f>IF($P2572="","",$B2572/$P2572-1)</f>
        <v/>
      </c>
    </row>
    <row r="2573">
      <c r="A2573" s="11" t="n"/>
      <c r="B2573" s="29" t="n"/>
      <c r="K2573" s="30" t="str">
        <f>IF($A2573="","",EDATE($A2573,12*$E$4))</f>
        <v/>
      </c>
      <c r="L2573" s="19" t="str">
        <f>IF($K2573="","",IF($K2573&gt;MAX($A$8:$A$5007),"",IFERROR(MATCH($K2573,$A$8:$A$5007,1),"")))</f>
        <v/>
      </c>
      <c r="M2573" s="30" t="str">
        <f>IF($L2573="","",INDEX($A$8:$A$5007,$L2573))</f>
        <v/>
      </c>
      <c r="N2573" s="31" t="str">
        <f>IF($L2573="","",INDEX($B$8:$B$5007,$L2573))</f>
        <v/>
      </c>
      <c r="O2573" s="32" t="str">
        <f>IF($M2573="","",IF($K2573-$M2573&gt;7,"",IF($M2573&lt;=$A2573,"",IF(OR($B2573&lt;=0,$N2573&lt;=0),"",($N2573/$B2573)^(365/($M2573-$A2573))-1))))</f>
        <v/>
      </c>
      <c r="P2573" s="31" t="str">
        <f>IF($B2573="","",IF($P2572="",$B2573,MAX($P2572,$B2573)))</f>
        <v/>
      </c>
      <c r="Q2573" s="32" t="str">
        <f>IF($P2573="","",$B2573/$P2573-1)</f>
        <v/>
      </c>
    </row>
    <row r="2574">
      <c r="A2574" s="11" t="n"/>
      <c r="B2574" s="29" t="n"/>
      <c r="K2574" s="30" t="str">
        <f>IF($A2574="","",EDATE($A2574,12*$E$4))</f>
        <v/>
      </c>
      <c r="L2574" s="19" t="str">
        <f>IF($K2574="","",IF($K2574&gt;MAX($A$8:$A$5007),"",IFERROR(MATCH($K2574,$A$8:$A$5007,1),"")))</f>
        <v/>
      </c>
      <c r="M2574" s="30" t="str">
        <f>IF($L2574="","",INDEX($A$8:$A$5007,$L2574))</f>
        <v/>
      </c>
      <c r="N2574" s="31" t="str">
        <f>IF($L2574="","",INDEX($B$8:$B$5007,$L2574))</f>
        <v/>
      </c>
      <c r="O2574" s="32" t="str">
        <f>IF($M2574="","",IF($K2574-$M2574&gt;7,"",IF($M2574&lt;=$A2574,"",IF(OR($B2574&lt;=0,$N2574&lt;=0),"",($N2574/$B2574)^(365/($M2574-$A2574))-1))))</f>
        <v/>
      </c>
      <c r="P2574" s="31" t="str">
        <f>IF($B2574="","",IF($P2573="",$B2574,MAX($P2573,$B2574)))</f>
        <v/>
      </c>
      <c r="Q2574" s="32" t="str">
        <f>IF($P2574="","",$B2574/$P2574-1)</f>
        <v/>
      </c>
    </row>
    <row r="2575">
      <c r="A2575" s="11" t="n"/>
      <c r="B2575" s="29" t="n"/>
      <c r="K2575" s="30" t="str">
        <f>IF($A2575="","",EDATE($A2575,12*$E$4))</f>
        <v/>
      </c>
      <c r="L2575" s="19" t="str">
        <f>IF($K2575="","",IF($K2575&gt;MAX($A$8:$A$5007),"",IFERROR(MATCH($K2575,$A$8:$A$5007,1),"")))</f>
        <v/>
      </c>
      <c r="M2575" s="30" t="str">
        <f>IF($L2575="","",INDEX($A$8:$A$5007,$L2575))</f>
        <v/>
      </c>
      <c r="N2575" s="31" t="str">
        <f>IF($L2575="","",INDEX($B$8:$B$5007,$L2575))</f>
        <v/>
      </c>
      <c r="O2575" s="32" t="str">
        <f>IF($M2575="","",IF($K2575-$M2575&gt;7,"",IF($M2575&lt;=$A2575,"",IF(OR($B2575&lt;=0,$N2575&lt;=0),"",($N2575/$B2575)^(365/($M2575-$A2575))-1))))</f>
        <v/>
      </c>
      <c r="P2575" s="31" t="str">
        <f>IF($B2575="","",IF($P2574="",$B2575,MAX($P2574,$B2575)))</f>
        <v/>
      </c>
      <c r="Q2575" s="32" t="str">
        <f>IF($P2575="","",$B2575/$P2575-1)</f>
        <v/>
      </c>
    </row>
    <row r="2576">
      <c r="A2576" s="11" t="n"/>
      <c r="B2576" s="29" t="n"/>
      <c r="K2576" s="30" t="str">
        <f>IF($A2576="","",EDATE($A2576,12*$E$4))</f>
        <v/>
      </c>
      <c r="L2576" s="19" t="str">
        <f>IF($K2576="","",IF($K2576&gt;MAX($A$8:$A$5007),"",IFERROR(MATCH($K2576,$A$8:$A$5007,1),"")))</f>
        <v/>
      </c>
      <c r="M2576" s="30" t="str">
        <f>IF($L2576="","",INDEX($A$8:$A$5007,$L2576))</f>
        <v/>
      </c>
      <c r="N2576" s="31" t="str">
        <f>IF($L2576="","",INDEX($B$8:$B$5007,$L2576))</f>
        <v/>
      </c>
      <c r="O2576" s="32" t="str">
        <f>IF($M2576="","",IF($K2576-$M2576&gt;7,"",IF($M2576&lt;=$A2576,"",IF(OR($B2576&lt;=0,$N2576&lt;=0),"",($N2576/$B2576)^(365/($M2576-$A2576))-1))))</f>
        <v/>
      </c>
      <c r="P2576" s="31" t="str">
        <f>IF($B2576="","",IF($P2575="",$B2576,MAX($P2575,$B2576)))</f>
        <v/>
      </c>
      <c r="Q2576" s="32" t="str">
        <f>IF($P2576="","",$B2576/$P2576-1)</f>
        <v/>
      </c>
    </row>
    <row r="2577">
      <c r="A2577" s="11" t="n"/>
      <c r="B2577" s="29" t="n"/>
      <c r="K2577" s="30" t="str">
        <f>IF($A2577="","",EDATE($A2577,12*$E$4))</f>
        <v/>
      </c>
      <c r="L2577" s="19" t="str">
        <f>IF($K2577="","",IF($K2577&gt;MAX($A$8:$A$5007),"",IFERROR(MATCH($K2577,$A$8:$A$5007,1),"")))</f>
        <v/>
      </c>
      <c r="M2577" s="30" t="str">
        <f>IF($L2577="","",INDEX($A$8:$A$5007,$L2577))</f>
        <v/>
      </c>
      <c r="N2577" s="31" t="str">
        <f>IF($L2577="","",INDEX($B$8:$B$5007,$L2577))</f>
        <v/>
      </c>
      <c r="O2577" s="32" t="str">
        <f>IF($M2577="","",IF($K2577-$M2577&gt;7,"",IF($M2577&lt;=$A2577,"",IF(OR($B2577&lt;=0,$N2577&lt;=0),"",($N2577/$B2577)^(365/($M2577-$A2577))-1))))</f>
        <v/>
      </c>
      <c r="P2577" s="31" t="str">
        <f>IF($B2577="","",IF($P2576="",$B2577,MAX($P2576,$B2577)))</f>
        <v/>
      </c>
      <c r="Q2577" s="32" t="str">
        <f>IF($P2577="","",$B2577/$P2577-1)</f>
        <v/>
      </c>
    </row>
    <row r="2578">
      <c r="A2578" s="11" t="n"/>
      <c r="B2578" s="29" t="n"/>
      <c r="K2578" s="30" t="str">
        <f>IF($A2578="","",EDATE($A2578,12*$E$4))</f>
        <v/>
      </c>
      <c r="L2578" s="19" t="str">
        <f>IF($K2578="","",IF($K2578&gt;MAX($A$8:$A$5007),"",IFERROR(MATCH($K2578,$A$8:$A$5007,1),"")))</f>
        <v/>
      </c>
      <c r="M2578" s="30" t="str">
        <f>IF($L2578="","",INDEX($A$8:$A$5007,$L2578))</f>
        <v/>
      </c>
      <c r="N2578" s="31" t="str">
        <f>IF($L2578="","",INDEX($B$8:$B$5007,$L2578))</f>
        <v/>
      </c>
      <c r="O2578" s="32" t="str">
        <f>IF($M2578="","",IF($K2578-$M2578&gt;7,"",IF($M2578&lt;=$A2578,"",IF(OR($B2578&lt;=0,$N2578&lt;=0),"",($N2578/$B2578)^(365/($M2578-$A2578))-1))))</f>
        <v/>
      </c>
      <c r="P2578" s="31" t="str">
        <f>IF($B2578="","",IF($P2577="",$B2578,MAX($P2577,$B2578)))</f>
        <v/>
      </c>
      <c r="Q2578" s="32" t="str">
        <f>IF($P2578="","",$B2578/$P2578-1)</f>
        <v/>
      </c>
    </row>
    <row r="2579">
      <c r="A2579" s="11" t="n"/>
      <c r="B2579" s="29" t="n"/>
      <c r="K2579" s="30" t="str">
        <f>IF($A2579="","",EDATE($A2579,12*$E$4))</f>
        <v/>
      </c>
      <c r="L2579" s="19" t="str">
        <f>IF($K2579="","",IF($K2579&gt;MAX($A$8:$A$5007),"",IFERROR(MATCH($K2579,$A$8:$A$5007,1),"")))</f>
        <v/>
      </c>
      <c r="M2579" s="30" t="str">
        <f>IF($L2579="","",INDEX($A$8:$A$5007,$L2579))</f>
        <v/>
      </c>
      <c r="N2579" s="31" t="str">
        <f>IF($L2579="","",INDEX($B$8:$B$5007,$L2579))</f>
        <v/>
      </c>
      <c r="O2579" s="32" t="str">
        <f>IF($M2579="","",IF($K2579-$M2579&gt;7,"",IF($M2579&lt;=$A2579,"",IF(OR($B2579&lt;=0,$N2579&lt;=0),"",($N2579/$B2579)^(365/($M2579-$A2579))-1))))</f>
        <v/>
      </c>
      <c r="P2579" s="31" t="str">
        <f>IF($B2579="","",IF($P2578="",$B2579,MAX($P2578,$B2579)))</f>
        <v/>
      </c>
      <c r="Q2579" s="32" t="str">
        <f>IF($P2579="","",$B2579/$P2579-1)</f>
        <v/>
      </c>
    </row>
    <row r="2580">
      <c r="A2580" s="11" t="n"/>
      <c r="B2580" s="29" t="n"/>
      <c r="K2580" s="30" t="str">
        <f>IF($A2580="","",EDATE($A2580,12*$E$4))</f>
        <v/>
      </c>
      <c r="L2580" s="19" t="str">
        <f>IF($K2580="","",IF($K2580&gt;MAX($A$8:$A$5007),"",IFERROR(MATCH($K2580,$A$8:$A$5007,1),"")))</f>
        <v/>
      </c>
      <c r="M2580" s="30" t="str">
        <f>IF($L2580="","",INDEX($A$8:$A$5007,$L2580))</f>
        <v/>
      </c>
      <c r="N2580" s="31" t="str">
        <f>IF($L2580="","",INDEX($B$8:$B$5007,$L2580))</f>
        <v/>
      </c>
      <c r="O2580" s="32" t="str">
        <f>IF($M2580="","",IF($K2580-$M2580&gt;7,"",IF($M2580&lt;=$A2580,"",IF(OR($B2580&lt;=0,$N2580&lt;=0),"",($N2580/$B2580)^(365/($M2580-$A2580))-1))))</f>
        <v/>
      </c>
      <c r="P2580" s="31" t="str">
        <f>IF($B2580="","",IF($P2579="",$B2580,MAX($P2579,$B2580)))</f>
        <v/>
      </c>
      <c r="Q2580" s="32" t="str">
        <f>IF($P2580="","",$B2580/$P2580-1)</f>
        <v/>
      </c>
    </row>
    <row r="2581">
      <c r="A2581" s="11" t="n"/>
      <c r="B2581" s="29" t="n"/>
      <c r="K2581" s="30" t="str">
        <f>IF($A2581="","",EDATE($A2581,12*$E$4))</f>
        <v/>
      </c>
      <c r="L2581" s="19" t="str">
        <f>IF($K2581="","",IF($K2581&gt;MAX($A$8:$A$5007),"",IFERROR(MATCH($K2581,$A$8:$A$5007,1),"")))</f>
        <v/>
      </c>
      <c r="M2581" s="30" t="str">
        <f>IF($L2581="","",INDEX($A$8:$A$5007,$L2581))</f>
        <v/>
      </c>
      <c r="N2581" s="31" t="str">
        <f>IF($L2581="","",INDEX($B$8:$B$5007,$L2581))</f>
        <v/>
      </c>
      <c r="O2581" s="32" t="str">
        <f>IF($M2581="","",IF($K2581-$M2581&gt;7,"",IF($M2581&lt;=$A2581,"",IF(OR($B2581&lt;=0,$N2581&lt;=0),"",($N2581/$B2581)^(365/($M2581-$A2581))-1))))</f>
        <v/>
      </c>
      <c r="P2581" s="31" t="str">
        <f>IF($B2581="","",IF($P2580="",$B2581,MAX($P2580,$B2581)))</f>
        <v/>
      </c>
      <c r="Q2581" s="32" t="str">
        <f>IF($P2581="","",$B2581/$P2581-1)</f>
        <v/>
      </c>
    </row>
    <row r="2582">
      <c r="A2582" s="11" t="n"/>
      <c r="B2582" s="29" t="n"/>
      <c r="K2582" s="30" t="str">
        <f>IF($A2582="","",EDATE($A2582,12*$E$4))</f>
        <v/>
      </c>
      <c r="L2582" s="19" t="str">
        <f>IF($K2582="","",IF($K2582&gt;MAX($A$8:$A$5007),"",IFERROR(MATCH($K2582,$A$8:$A$5007,1),"")))</f>
        <v/>
      </c>
      <c r="M2582" s="30" t="str">
        <f>IF($L2582="","",INDEX($A$8:$A$5007,$L2582))</f>
        <v/>
      </c>
      <c r="N2582" s="31" t="str">
        <f>IF($L2582="","",INDEX($B$8:$B$5007,$L2582))</f>
        <v/>
      </c>
      <c r="O2582" s="32" t="str">
        <f>IF($M2582="","",IF($K2582-$M2582&gt;7,"",IF($M2582&lt;=$A2582,"",IF(OR($B2582&lt;=0,$N2582&lt;=0),"",($N2582/$B2582)^(365/($M2582-$A2582))-1))))</f>
        <v/>
      </c>
      <c r="P2582" s="31" t="str">
        <f>IF($B2582="","",IF($P2581="",$B2582,MAX($P2581,$B2582)))</f>
        <v/>
      </c>
      <c r="Q2582" s="32" t="str">
        <f>IF($P2582="","",$B2582/$P2582-1)</f>
        <v/>
      </c>
    </row>
    <row r="2583">
      <c r="A2583" s="11" t="n"/>
      <c r="B2583" s="29" t="n"/>
      <c r="K2583" s="30" t="str">
        <f>IF($A2583="","",EDATE($A2583,12*$E$4))</f>
        <v/>
      </c>
      <c r="L2583" s="19" t="str">
        <f>IF($K2583="","",IF($K2583&gt;MAX($A$8:$A$5007),"",IFERROR(MATCH($K2583,$A$8:$A$5007,1),"")))</f>
        <v/>
      </c>
      <c r="M2583" s="30" t="str">
        <f>IF($L2583="","",INDEX($A$8:$A$5007,$L2583))</f>
        <v/>
      </c>
      <c r="N2583" s="31" t="str">
        <f>IF($L2583="","",INDEX($B$8:$B$5007,$L2583))</f>
        <v/>
      </c>
      <c r="O2583" s="32" t="str">
        <f>IF($M2583="","",IF($K2583-$M2583&gt;7,"",IF($M2583&lt;=$A2583,"",IF(OR($B2583&lt;=0,$N2583&lt;=0),"",($N2583/$B2583)^(365/($M2583-$A2583))-1))))</f>
        <v/>
      </c>
      <c r="P2583" s="31" t="str">
        <f>IF($B2583="","",IF($P2582="",$B2583,MAX($P2582,$B2583)))</f>
        <v/>
      </c>
      <c r="Q2583" s="32" t="str">
        <f>IF($P2583="","",$B2583/$P2583-1)</f>
        <v/>
      </c>
    </row>
    <row r="2584">
      <c r="A2584" s="11" t="n"/>
      <c r="B2584" s="29" t="n"/>
      <c r="K2584" s="30" t="str">
        <f>IF($A2584="","",EDATE($A2584,12*$E$4))</f>
        <v/>
      </c>
      <c r="L2584" s="19" t="str">
        <f>IF($K2584="","",IF($K2584&gt;MAX($A$8:$A$5007),"",IFERROR(MATCH($K2584,$A$8:$A$5007,1),"")))</f>
        <v/>
      </c>
      <c r="M2584" s="30" t="str">
        <f>IF($L2584="","",INDEX($A$8:$A$5007,$L2584))</f>
        <v/>
      </c>
      <c r="N2584" s="31" t="str">
        <f>IF($L2584="","",INDEX($B$8:$B$5007,$L2584))</f>
        <v/>
      </c>
      <c r="O2584" s="32" t="str">
        <f>IF($M2584="","",IF($K2584-$M2584&gt;7,"",IF($M2584&lt;=$A2584,"",IF(OR($B2584&lt;=0,$N2584&lt;=0),"",($N2584/$B2584)^(365/($M2584-$A2584))-1))))</f>
        <v/>
      </c>
      <c r="P2584" s="31" t="str">
        <f>IF($B2584="","",IF($P2583="",$B2584,MAX($P2583,$B2584)))</f>
        <v/>
      </c>
      <c r="Q2584" s="32" t="str">
        <f>IF($P2584="","",$B2584/$P2584-1)</f>
        <v/>
      </c>
    </row>
    <row r="2585">
      <c r="A2585" s="11" t="n"/>
      <c r="B2585" s="29" t="n"/>
      <c r="K2585" s="30" t="str">
        <f>IF($A2585="","",EDATE($A2585,12*$E$4))</f>
        <v/>
      </c>
      <c r="L2585" s="19" t="str">
        <f>IF($K2585="","",IF($K2585&gt;MAX($A$8:$A$5007),"",IFERROR(MATCH($K2585,$A$8:$A$5007,1),"")))</f>
        <v/>
      </c>
      <c r="M2585" s="30" t="str">
        <f>IF($L2585="","",INDEX($A$8:$A$5007,$L2585))</f>
        <v/>
      </c>
      <c r="N2585" s="31" t="str">
        <f>IF($L2585="","",INDEX($B$8:$B$5007,$L2585))</f>
        <v/>
      </c>
      <c r="O2585" s="32" t="str">
        <f>IF($M2585="","",IF($K2585-$M2585&gt;7,"",IF($M2585&lt;=$A2585,"",IF(OR($B2585&lt;=0,$N2585&lt;=0),"",($N2585/$B2585)^(365/($M2585-$A2585))-1))))</f>
        <v/>
      </c>
      <c r="P2585" s="31" t="str">
        <f>IF($B2585="","",IF($P2584="",$B2585,MAX($P2584,$B2585)))</f>
        <v/>
      </c>
      <c r="Q2585" s="32" t="str">
        <f>IF($P2585="","",$B2585/$P2585-1)</f>
        <v/>
      </c>
    </row>
    <row r="2586">
      <c r="A2586" s="11" t="n"/>
      <c r="B2586" s="29" t="n"/>
      <c r="K2586" s="30" t="str">
        <f>IF($A2586="","",EDATE($A2586,12*$E$4))</f>
        <v/>
      </c>
      <c r="L2586" s="19" t="str">
        <f>IF($K2586="","",IF($K2586&gt;MAX($A$8:$A$5007),"",IFERROR(MATCH($K2586,$A$8:$A$5007,1),"")))</f>
        <v/>
      </c>
      <c r="M2586" s="30" t="str">
        <f>IF($L2586="","",INDEX($A$8:$A$5007,$L2586))</f>
        <v/>
      </c>
      <c r="N2586" s="31" t="str">
        <f>IF($L2586="","",INDEX($B$8:$B$5007,$L2586))</f>
        <v/>
      </c>
      <c r="O2586" s="32" t="str">
        <f>IF($M2586="","",IF($K2586-$M2586&gt;7,"",IF($M2586&lt;=$A2586,"",IF(OR($B2586&lt;=0,$N2586&lt;=0),"",($N2586/$B2586)^(365/($M2586-$A2586))-1))))</f>
        <v/>
      </c>
      <c r="P2586" s="31" t="str">
        <f>IF($B2586="","",IF($P2585="",$B2586,MAX($P2585,$B2586)))</f>
        <v/>
      </c>
      <c r="Q2586" s="32" t="str">
        <f>IF($P2586="","",$B2586/$P2586-1)</f>
        <v/>
      </c>
    </row>
    <row r="2587">
      <c r="A2587" s="11" t="n"/>
      <c r="B2587" s="29" t="n"/>
      <c r="K2587" s="30" t="str">
        <f>IF($A2587="","",EDATE($A2587,12*$E$4))</f>
        <v/>
      </c>
      <c r="L2587" s="19" t="str">
        <f>IF($K2587="","",IF($K2587&gt;MAX($A$8:$A$5007),"",IFERROR(MATCH($K2587,$A$8:$A$5007,1),"")))</f>
        <v/>
      </c>
      <c r="M2587" s="30" t="str">
        <f>IF($L2587="","",INDEX($A$8:$A$5007,$L2587))</f>
        <v/>
      </c>
      <c r="N2587" s="31" t="str">
        <f>IF($L2587="","",INDEX($B$8:$B$5007,$L2587))</f>
        <v/>
      </c>
      <c r="O2587" s="32" t="str">
        <f>IF($M2587="","",IF($K2587-$M2587&gt;7,"",IF($M2587&lt;=$A2587,"",IF(OR($B2587&lt;=0,$N2587&lt;=0),"",($N2587/$B2587)^(365/($M2587-$A2587))-1))))</f>
        <v/>
      </c>
      <c r="P2587" s="31" t="str">
        <f>IF($B2587="","",IF($P2586="",$B2587,MAX($P2586,$B2587)))</f>
        <v/>
      </c>
      <c r="Q2587" s="32" t="str">
        <f>IF($P2587="","",$B2587/$P2587-1)</f>
        <v/>
      </c>
    </row>
    <row r="2588">
      <c r="A2588" s="11" t="n"/>
      <c r="B2588" s="29" t="n"/>
      <c r="K2588" s="30" t="str">
        <f>IF($A2588="","",EDATE($A2588,12*$E$4))</f>
        <v/>
      </c>
      <c r="L2588" s="19" t="str">
        <f>IF($K2588="","",IF($K2588&gt;MAX($A$8:$A$5007),"",IFERROR(MATCH($K2588,$A$8:$A$5007,1),"")))</f>
        <v/>
      </c>
      <c r="M2588" s="30" t="str">
        <f>IF($L2588="","",INDEX($A$8:$A$5007,$L2588))</f>
        <v/>
      </c>
      <c r="N2588" s="31" t="str">
        <f>IF($L2588="","",INDEX($B$8:$B$5007,$L2588))</f>
        <v/>
      </c>
      <c r="O2588" s="32" t="str">
        <f>IF($M2588="","",IF($K2588-$M2588&gt;7,"",IF($M2588&lt;=$A2588,"",IF(OR($B2588&lt;=0,$N2588&lt;=0),"",($N2588/$B2588)^(365/($M2588-$A2588))-1))))</f>
        <v/>
      </c>
      <c r="P2588" s="31" t="str">
        <f>IF($B2588="","",IF($P2587="",$B2588,MAX($P2587,$B2588)))</f>
        <v/>
      </c>
      <c r="Q2588" s="32" t="str">
        <f>IF($P2588="","",$B2588/$P2588-1)</f>
        <v/>
      </c>
    </row>
    <row r="2589">
      <c r="A2589" s="11" t="n"/>
      <c r="B2589" s="29" t="n"/>
      <c r="K2589" s="30" t="str">
        <f>IF($A2589="","",EDATE($A2589,12*$E$4))</f>
        <v/>
      </c>
      <c r="L2589" s="19" t="str">
        <f>IF($K2589="","",IF($K2589&gt;MAX($A$8:$A$5007),"",IFERROR(MATCH($K2589,$A$8:$A$5007,1),"")))</f>
        <v/>
      </c>
      <c r="M2589" s="30" t="str">
        <f>IF($L2589="","",INDEX($A$8:$A$5007,$L2589))</f>
        <v/>
      </c>
      <c r="N2589" s="31" t="str">
        <f>IF($L2589="","",INDEX($B$8:$B$5007,$L2589))</f>
        <v/>
      </c>
      <c r="O2589" s="32" t="str">
        <f>IF($M2589="","",IF($K2589-$M2589&gt;7,"",IF($M2589&lt;=$A2589,"",IF(OR($B2589&lt;=0,$N2589&lt;=0),"",($N2589/$B2589)^(365/($M2589-$A2589))-1))))</f>
        <v/>
      </c>
      <c r="P2589" s="31" t="str">
        <f>IF($B2589="","",IF($P2588="",$B2589,MAX($P2588,$B2589)))</f>
        <v/>
      </c>
      <c r="Q2589" s="32" t="str">
        <f>IF($P2589="","",$B2589/$P2589-1)</f>
        <v/>
      </c>
    </row>
    <row r="2590">
      <c r="A2590" s="11" t="n"/>
      <c r="B2590" s="29" t="n"/>
      <c r="K2590" s="30" t="str">
        <f>IF($A2590="","",EDATE($A2590,12*$E$4))</f>
        <v/>
      </c>
      <c r="L2590" s="19" t="str">
        <f>IF($K2590="","",IF($K2590&gt;MAX($A$8:$A$5007),"",IFERROR(MATCH($K2590,$A$8:$A$5007,1),"")))</f>
        <v/>
      </c>
      <c r="M2590" s="30" t="str">
        <f>IF($L2590="","",INDEX($A$8:$A$5007,$L2590))</f>
        <v/>
      </c>
      <c r="N2590" s="31" t="str">
        <f>IF($L2590="","",INDEX($B$8:$B$5007,$L2590))</f>
        <v/>
      </c>
      <c r="O2590" s="32" t="str">
        <f>IF($M2590="","",IF($K2590-$M2590&gt;7,"",IF($M2590&lt;=$A2590,"",IF(OR($B2590&lt;=0,$N2590&lt;=0),"",($N2590/$B2590)^(365/($M2590-$A2590))-1))))</f>
        <v/>
      </c>
      <c r="P2590" s="31" t="str">
        <f>IF($B2590="","",IF($P2589="",$B2590,MAX($P2589,$B2590)))</f>
        <v/>
      </c>
      <c r="Q2590" s="32" t="str">
        <f>IF($P2590="","",$B2590/$P2590-1)</f>
        <v/>
      </c>
    </row>
    <row r="2591">
      <c r="A2591" s="11" t="n"/>
      <c r="B2591" s="29" t="n"/>
      <c r="K2591" s="30" t="str">
        <f>IF($A2591="","",EDATE($A2591,12*$E$4))</f>
        <v/>
      </c>
      <c r="L2591" s="19" t="str">
        <f>IF($K2591="","",IF($K2591&gt;MAX($A$8:$A$5007),"",IFERROR(MATCH($K2591,$A$8:$A$5007,1),"")))</f>
        <v/>
      </c>
      <c r="M2591" s="30" t="str">
        <f>IF($L2591="","",INDEX($A$8:$A$5007,$L2591))</f>
        <v/>
      </c>
      <c r="N2591" s="31" t="str">
        <f>IF($L2591="","",INDEX($B$8:$B$5007,$L2591))</f>
        <v/>
      </c>
      <c r="O2591" s="32" t="str">
        <f>IF($M2591="","",IF($K2591-$M2591&gt;7,"",IF($M2591&lt;=$A2591,"",IF(OR($B2591&lt;=0,$N2591&lt;=0),"",($N2591/$B2591)^(365/($M2591-$A2591))-1))))</f>
        <v/>
      </c>
      <c r="P2591" s="31" t="str">
        <f>IF($B2591="","",IF($P2590="",$B2591,MAX($P2590,$B2591)))</f>
        <v/>
      </c>
      <c r="Q2591" s="32" t="str">
        <f>IF($P2591="","",$B2591/$P2591-1)</f>
        <v/>
      </c>
    </row>
    <row r="2592">
      <c r="A2592" s="11" t="n"/>
      <c r="B2592" s="29" t="n"/>
      <c r="K2592" s="30" t="str">
        <f>IF($A2592="","",EDATE($A2592,12*$E$4))</f>
        <v/>
      </c>
      <c r="L2592" s="19" t="str">
        <f>IF($K2592="","",IF($K2592&gt;MAX($A$8:$A$5007),"",IFERROR(MATCH($K2592,$A$8:$A$5007,1),"")))</f>
        <v/>
      </c>
      <c r="M2592" s="30" t="str">
        <f>IF($L2592="","",INDEX($A$8:$A$5007,$L2592))</f>
        <v/>
      </c>
      <c r="N2592" s="31" t="str">
        <f>IF($L2592="","",INDEX($B$8:$B$5007,$L2592))</f>
        <v/>
      </c>
      <c r="O2592" s="32" t="str">
        <f>IF($M2592="","",IF($K2592-$M2592&gt;7,"",IF($M2592&lt;=$A2592,"",IF(OR($B2592&lt;=0,$N2592&lt;=0),"",($N2592/$B2592)^(365/($M2592-$A2592))-1))))</f>
        <v/>
      </c>
      <c r="P2592" s="31" t="str">
        <f>IF($B2592="","",IF($P2591="",$B2592,MAX($P2591,$B2592)))</f>
        <v/>
      </c>
      <c r="Q2592" s="32" t="str">
        <f>IF($P2592="","",$B2592/$P2592-1)</f>
        <v/>
      </c>
    </row>
    <row r="2593">
      <c r="A2593" s="11" t="n"/>
      <c r="B2593" s="29" t="n"/>
      <c r="K2593" s="30" t="str">
        <f>IF($A2593="","",EDATE($A2593,12*$E$4))</f>
        <v/>
      </c>
      <c r="L2593" s="19" t="str">
        <f>IF($K2593="","",IF($K2593&gt;MAX($A$8:$A$5007),"",IFERROR(MATCH($K2593,$A$8:$A$5007,1),"")))</f>
        <v/>
      </c>
      <c r="M2593" s="30" t="str">
        <f>IF($L2593="","",INDEX($A$8:$A$5007,$L2593))</f>
        <v/>
      </c>
      <c r="N2593" s="31" t="str">
        <f>IF($L2593="","",INDEX($B$8:$B$5007,$L2593))</f>
        <v/>
      </c>
      <c r="O2593" s="32" t="str">
        <f>IF($M2593="","",IF($K2593-$M2593&gt;7,"",IF($M2593&lt;=$A2593,"",IF(OR($B2593&lt;=0,$N2593&lt;=0),"",($N2593/$B2593)^(365/($M2593-$A2593))-1))))</f>
        <v/>
      </c>
      <c r="P2593" s="31" t="str">
        <f>IF($B2593="","",IF($P2592="",$B2593,MAX($P2592,$B2593)))</f>
        <v/>
      </c>
      <c r="Q2593" s="32" t="str">
        <f>IF($P2593="","",$B2593/$P2593-1)</f>
        <v/>
      </c>
    </row>
    <row r="2594">
      <c r="A2594" s="11" t="n"/>
      <c r="B2594" s="29" t="n"/>
      <c r="K2594" s="30" t="str">
        <f>IF($A2594="","",EDATE($A2594,12*$E$4))</f>
        <v/>
      </c>
      <c r="L2594" s="19" t="str">
        <f>IF($K2594="","",IF($K2594&gt;MAX($A$8:$A$5007),"",IFERROR(MATCH($K2594,$A$8:$A$5007,1),"")))</f>
        <v/>
      </c>
      <c r="M2594" s="30" t="str">
        <f>IF($L2594="","",INDEX($A$8:$A$5007,$L2594))</f>
        <v/>
      </c>
      <c r="N2594" s="31" t="str">
        <f>IF($L2594="","",INDEX($B$8:$B$5007,$L2594))</f>
        <v/>
      </c>
      <c r="O2594" s="32" t="str">
        <f>IF($M2594="","",IF($K2594-$M2594&gt;7,"",IF($M2594&lt;=$A2594,"",IF(OR($B2594&lt;=0,$N2594&lt;=0),"",($N2594/$B2594)^(365/($M2594-$A2594))-1))))</f>
        <v/>
      </c>
      <c r="P2594" s="31" t="str">
        <f>IF($B2594="","",IF($P2593="",$B2594,MAX($P2593,$B2594)))</f>
        <v/>
      </c>
      <c r="Q2594" s="32" t="str">
        <f>IF($P2594="","",$B2594/$P2594-1)</f>
        <v/>
      </c>
    </row>
    <row r="2595">
      <c r="A2595" s="11" t="n"/>
      <c r="B2595" s="29" t="n"/>
      <c r="K2595" s="30" t="str">
        <f>IF($A2595="","",EDATE($A2595,12*$E$4))</f>
        <v/>
      </c>
      <c r="L2595" s="19" t="str">
        <f>IF($K2595="","",IF($K2595&gt;MAX($A$8:$A$5007),"",IFERROR(MATCH($K2595,$A$8:$A$5007,1),"")))</f>
        <v/>
      </c>
      <c r="M2595" s="30" t="str">
        <f>IF($L2595="","",INDEX($A$8:$A$5007,$L2595))</f>
        <v/>
      </c>
      <c r="N2595" s="31" t="str">
        <f>IF($L2595="","",INDEX($B$8:$B$5007,$L2595))</f>
        <v/>
      </c>
      <c r="O2595" s="32" t="str">
        <f>IF($M2595="","",IF($K2595-$M2595&gt;7,"",IF($M2595&lt;=$A2595,"",IF(OR($B2595&lt;=0,$N2595&lt;=0),"",($N2595/$B2595)^(365/($M2595-$A2595))-1))))</f>
        <v/>
      </c>
      <c r="P2595" s="31" t="str">
        <f>IF($B2595="","",IF($P2594="",$B2595,MAX($P2594,$B2595)))</f>
        <v/>
      </c>
      <c r="Q2595" s="32" t="str">
        <f>IF($P2595="","",$B2595/$P2595-1)</f>
        <v/>
      </c>
    </row>
    <row r="2596">
      <c r="A2596" s="11" t="n"/>
      <c r="B2596" s="29" t="n"/>
      <c r="K2596" s="30" t="str">
        <f>IF($A2596="","",EDATE($A2596,12*$E$4))</f>
        <v/>
      </c>
      <c r="L2596" s="19" t="str">
        <f>IF($K2596="","",IF($K2596&gt;MAX($A$8:$A$5007),"",IFERROR(MATCH($K2596,$A$8:$A$5007,1),"")))</f>
        <v/>
      </c>
      <c r="M2596" s="30" t="str">
        <f>IF($L2596="","",INDEX($A$8:$A$5007,$L2596))</f>
        <v/>
      </c>
      <c r="N2596" s="31" t="str">
        <f>IF($L2596="","",INDEX($B$8:$B$5007,$L2596))</f>
        <v/>
      </c>
      <c r="O2596" s="32" t="str">
        <f>IF($M2596="","",IF($K2596-$M2596&gt;7,"",IF($M2596&lt;=$A2596,"",IF(OR($B2596&lt;=0,$N2596&lt;=0),"",($N2596/$B2596)^(365/($M2596-$A2596))-1))))</f>
        <v/>
      </c>
      <c r="P2596" s="31" t="str">
        <f>IF($B2596="","",IF($P2595="",$B2596,MAX($P2595,$B2596)))</f>
        <v/>
      </c>
      <c r="Q2596" s="32" t="str">
        <f>IF($P2596="","",$B2596/$P2596-1)</f>
        <v/>
      </c>
    </row>
    <row r="2597">
      <c r="A2597" s="11" t="n"/>
      <c r="B2597" s="29" t="n"/>
      <c r="K2597" s="30" t="str">
        <f>IF($A2597="","",EDATE($A2597,12*$E$4))</f>
        <v/>
      </c>
      <c r="L2597" s="19" t="str">
        <f>IF($K2597="","",IF($K2597&gt;MAX($A$8:$A$5007),"",IFERROR(MATCH($K2597,$A$8:$A$5007,1),"")))</f>
        <v/>
      </c>
      <c r="M2597" s="30" t="str">
        <f>IF($L2597="","",INDEX($A$8:$A$5007,$L2597))</f>
        <v/>
      </c>
      <c r="N2597" s="31" t="str">
        <f>IF($L2597="","",INDEX($B$8:$B$5007,$L2597))</f>
        <v/>
      </c>
      <c r="O2597" s="32" t="str">
        <f>IF($M2597="","",IF($K2597-$M2597&gt;7,"",IF($M2597&lt;=$A2597,"",IF(OR($B2597&lt;=0,$N2597&lt;=0),"",($N2597/$B2597)^(365/($M2597-$A2597))-1))))</f>
        <v/>
      </c>
      <c r="P2597" s="31" t="str">
        <f>IF($B2597="","",IF($P2596="",$B2597,MAX($P2596,$B2597)))</f>
        <v/>
      </c>
      <c r="Q2597" s="32" t="str">
        <f>IF($P2597="","",$B2597/$P2597-1)</f>
        <v/>
      </c>
    </row>
    <row r="2598">
      <c r="A2598" s="11" t="n"/>
      <c r="B2598" s="29" t="n"/>
      <c r="K2598" s="30" t="str">
        <f>IF($A2598="","",EDATE($A2598,12*$E$4))</f>
        <v/>
      </c>
      <c r="L2598" s="19" t="str">
        <f>IF($K2598="","",IF($K2598&gt;MAX($A$8:$A$5007),"",IFERROR(MATCH($K2598,$A$8:$A$5007,1),"")))</f>
        <v/>
      </c>
      <c r="M2598" s="30" t="str">
        <f>IF($L2598="","",INDEX($A$8:$A$5007,$L2598))</f>
        <v/>
      </c>
      <c r="N2598" s="31" t="str">
        <f>IF($L2598="","",INDEX($B$8:$B$5007,$L2598))</f>
        <v/>
      </c>
      <c r="O2598" s="32" t="str">
        <f>IF($M2598="","",IF($K2598-$M2598&gt;7,"",IF($M2598&lt;=$A2598,"",IF(OR($B2598&lt;=0,$N2598&lt;=0),"",($N2598/$B2598)^(365/($M2598-$A2598))-1))))</f>
        <v/>
      </c>
      <c r="P2598" s="31" t="str">
        <f>IF($B2598="","",IF($P2597="",$B2598,MAX($P2597,$B2598)))</f>
        <v/>
      </c>
      <c r="Q2598" s="32" t="str">
        <f>IF($P2598="","",$B2598/$P2598-1)</f>
        <v/>
      </c>
    </row>
    <row r="2599">
      <c r="A2599" s="11" t="n"/>
      <c r="B2599" s="29" t="n"/>
      <c r="K2599" s="30" t="str">
        <f>IF($A2599="","",EDATE($A2599,12*$E$4))</f>
        <v/>
      </c>
      <c r="L2599" s="19" t="str">
        <f>IF($K2599="","",IF($K2599&gt;MAX($A$8:$A$5007),"",IFERROR(MATCH($K2599,$A$8:$A$5007,1),"")))</f>
        <v/>
      </c>
      <c r="M2599" s="30" t="str">
        <f>IF($L2599="","",INDEX($A$8:$A$5007,$L2599))</f>
        <v/>
      </c>
      <c r="N2599" s="31" t="str">
        <f>IF($L2599="","",INDEX($B$8:$B$5007,$L2599))</f>
        <v/>
      </c>
      <c r="O2599" s="32" t="str">
        <f>IF($M2599="","",IF($K2599-$M2599&gt;7,"",IF($M2599&lt;=$A2599,"",IF(OR($B2599&lt;=0,$N2599&lt;=0),"",($N2599/$B2599)^(365/($M2599-$A2599))-1))))</f>
        <v/>
      </c>
      <c r="P2599" s="31" t="str">
        <f>IF($B2599="","",IF($P2598="",$B2599,MAX($P2598,$B2599)))</f>
        <v/>
      </c>
      <c r="Q2599" s="32" t="str">
        <f>IF($P2599="","",$B2599/$P2599-1)</f>
        <v/>
      </c>
    </row>
    <row r="2600">
      <c r="A2600" s="11" t="n"/>
      <c r="B2600" s="29" t="n"/>
      <c r="K2600" s="30" t="str">
        <f>IF($A2600="","",EDATE($A2600,12*$E$4))</f>
        <v/>
      </c>
      <c r="L2600" s="19" t="str">
        <f>IF($K2600="","",IF($K2600&gt;MAX($A$8:$A$5007),"",IFERROR(MATCH($K2600,$A$8:$A$5007,1),"")))</f>
        <v/>
      </c>
      <c r="M2600" s="30" t="str">
        <f>IF($L2600="","",INDEX($A$8:$A$5007,$L2600))</f>
        <v/>
      </c>
      <c r="N2600" s="31" t="str">
        <f>IF($L2600="","",INDEX($B$8:$B$5007,$L2600))</f>
        <v/>
      </c>
      <c r="O2600" s="32" t="str">
        <f>IF($M2600="","",IF($K2600-$M2600&gt;7,"",IF($M2600&lt;=$A2600,"",IF(OR($B2600&lt;=0,$N2600&lt;=0),"",($N2600/$B2600)^(365/($M2600-$A2600))-1))))</f>
        <v/>
      </c>
      <c r="P2600" s="31" t="str">
        <f>IF($B2600="","",IF($P2599="",$B2600,MAX($P2599,$B2600)))</f>
        <v/>
      </c>
      <c r="Q2600" s="32" t="str">
        <f>IF($P2600="","",$B2600/$P2600-1)</f>
        <v/>
      </c>
    </row>
    <row r="2601">
      <c r="A2601" s="11" t="n"/>
      <c r="B2601" s="29" t="n"/>
      <c r="K2601" s="30" t="str">
        <f>IF($A2601="","",EDATE($A2601,12*$E$4))</f>
        <v/>
      </c>
      <c r="L2601" s="19" t="str">
        <f>IF($K2601="","",IF($K2601&gt;MAX($A$8:$A$5007),"",IFERROR(MATCH($K2601,$A$8:$A$5007,1),"")))</f>
        <v/>
      </c>
      <c r="M2601" s="30" t="str">
        <f>IF($L2601="","",INDEX($A$8:$A$5007,$L2601))</f>
        <v/>
      </c>
      <c r="N2601" s="31" t="str">
        <f>IF($L2601="","",INDEX($B$8:$B$5007,$L2601))</f>
        <v/>
      </c>
      <c r="O2601" s="32" t="str">
        <f>IF($M2601="","",IF($K2601-$M2601&gt;7,"",IF($M2601&lt;=$A2601,"",IF(OR($B2601&lt;=0,$N2601&lt;=0),"",($N2601/$B2601)^(365/($M2601-$A2601))-1))))</f>
        <v/>
      </c>
      <c r="P2601" s="31" t="str">
        <f>IF($B2601="","",IF($P2600="",$B2601,MAX($P2600,$B2601)))</f>
        <v/>
      </c>
      <c r="Q2601" s="32" t="str">
        <f>IF($P2601="","",$B2601/$P2601-1)</f>
        <v/>
      </c>
    </row>
    <row r="2602">
      <c r="A2602" s="11" t="n"/>
      <c r="B2602" s="29" t="n"/>
      <c r="K2602" s="30" t="str">
        <f>IF($A2602="","",EDATE($A2602,12*$E$4))</f>
        <v/>
      </c>
      <c r="L2602" s="19" t="str">
        <f>IF($K2602="","",IF($K2602&gt;MAX($A$8:$A$5007),"",IFERROR(MATCH($K2602,$A$8:$A$5007,1),"")))</f>
        <v/>
      </c>
      <c r="M2602" s="30" t="str">
        <f>IF($L2602="","",INDEX($A$8:$A$5007,$L2602))</f>
        <v/>
      </c>
      <c r="N2602" s="31" t="str">
        <f>IF($L2602="","",INDEX($B$8:$B$5007,$L2602))</f>
        <v/>
      </c>
      <c r="O2602" s="32" t="str">
        <f>IF($M2602="","",IF($K2602-$M2602&gt;7,"",IF($M2602&lt;=$A2602,"",IF(OR($B2602&lt;=0,$N2602&lt;=0),"",($N2602/$B2602)^(365/($M2602-$A2602))-1))))</f>
        <v/>
      </c>
      <c r="P2602" s="31" t="str">
        <f>IF($B2602="","",IF($P2601="",$B2602,MAX($P2601,$B2602)))</f>
        <v/>
      </c>
      <c r="Q2602" s="32" t="str">
        <f>IF($P2602="","",$B2602/$P2602-1)</f>
        <v/>
      </c>
    </row>
    <row r="2603">
      <c r="A2603" s="11" t="n"/>
      <c r="B2603" s="29" t="n"/>
      <c r="K2603" s="30" t="str">
        <f>IF($A2603="","",EDATE($A2603,12*$E$4))</f>
        <v/>
      </c>
      <c r="L2603" s="19" t="str">
        <f>IF($K2603="","",IF($K2603&gt;MAX($A$8:$A$5007),"",IFERROR(MATCH($K2603,$A$8:$A$5007,1),"")))</f>
        <v/>
      </c>
      <c r="M2603" s="30" t="str">
        <f>IF($L2603="","",INDEX($A$8:$A$5007,$L2603))</f>
        <v/>
      </c>
      <c r="N2603" s="31" t="str">
        <f>IF($L2603="","",INDEX($B$8:$B$5007,$L2603))</f>
        <v/>
      </c>
      <c r="O2603" s="32" t="str">
        <f>IF($M2603="","",IF($K2603-$M2603&gt;7,"",IF($M2603&lt;=$A2603,"",IF(OR($B2603&lt;=0,$N2603&lt;=0),"",($N2603/$B2603)^(365/($M2603-$A2603))-1))))</f>
        <v/>
      </c>
      <c r="P2603" s="31" t="str">
        <f>IF($B2603="","",IF($P2602="",$B2603,MAX($P2602,$B2603)))</f>
        <v/>
      </c>
      <c r="Q2603" s="32" t="str">
        <f>IF($P2603="","",$B2603/$P2603-1)</f>
        <v/>
      </c>
    </row>
    <row r="2604">
      <c r="A2604" s="11" t="n"/>
      <c r="B2604" s="29" t="n"/>
      <c r="K2604" s="30" t="str">
        <f>IF($A2604="","",EDATE($A2604,12*$E$4))</f>
        <v/>
      </c>
      <c r="L2604" s="19" t="str">
        <f>IF($K2604="","",IF($K2604&gt;MAX($A$8:$A$5007),"",IFERROR(MATCH($K2604,$A$8:$A$5007,1),"")))</f>
        <v/>
      </c>
      <c r="M2604" s="30" t="str">
        <f>IF($L2604="","",INDEX($A$8:$A$5007,$L2604))</f>
        <v/>
      </c>
      <c r="N2604" s="31" t="str">
        <f>IF($L2604="","",INDEX($B$8:$B$5007,$L2604))</f>
        <v/>
      </c>
      <c r="O2604" s="32" t="str">
        <f>IF($M2604="","",IF($K2604-$M2604&gt;7,"",IF($M2604&lt;=$A2604,"",IF(OR($B2604&lt;=0,$N2604&lt;=0),"",($N2604/$B2604)^(365/($M2604-$A2604))-1))))</f>
        <v/>
      </c>
      <c r="P2604" s="31" t="str">
        <f>IF($B2604="","",IF($P2603="",$B2604,MAX($P2603,$B2604)))</f>
        <v/>
      </c>
      <c r="Q2604" s="32" t="str">
        <f>IF($P2604="","",$B2604/$P2604-1)</f>
        <v/>
      </c>
    </row>
    <row r="2605">
      <c r="A2605" s="11" t="n"/>
      <c r="B2605" s="29" t="n"/>
      <c r="K2605" s="30" t="str">
        <f>IF($A2605="","",EDATE($A2605,12*$E$4))</f>
        <v/>
      </c>
      <c r="L2605" s="19" t="str">
        <f>IF($K2605="","",IF($K2605&gt;MAX($A$8:$A$5007),"",IFERROR(MATCH($K2605,$A$8:$A$5007,1),"")))</f>
        <v/>
      </c>
      <c r="M2605" s="30" t="str">
        <f>IF($L2605="","",INDEX($A$8:$A$5007,$L2605))</f>
        <v/>
      </c>
      <c r="N2605" s="31" t="str">
        <f>IF($L2605="","",INDEX($B$8:$B$5007,$L2605))</f>
        <v/>
      </c>
      <c r="O2605" s="32" t="str">
        <f>IF($M2605="","",IF($K2605-$M2605&gt;7,"",IF($M2605&lt;=$A2605,"",IF(OR($B2605&lt;=0,$N2605&lt;=0),"",($N2605/$B2605)^(365/($M2605-$A2605))-1))))</f>
        <v/>
      </c>
      <c r="P2605" s="31" t="str">
        <f>IF($B2605="","",IF($P2604="",$B2605,MAX($P2604,$B2605)))</f>
        <v/>
      </c>
      <c r="Q2605" s="32" t="str">
        <f>IF($P2605="","",$B2605/$P2605-1)</f>
        <v/>
      </c>
    </row>
    <row r="2606">
      <c r="A2606" s="11" t="n"/>
      <c r="B2606" s="29" t="n"/>
      <c r="K2606" s="30" t="str">
        <f>IF($A2606="","",EDATE($A2606,12*$E$4))</f>
        <v/>
      </c>
      <c r="L2606" s="19" t="str">
        <f>IF($K2606="","",IF($K2606&gt;MAX($A$8:$A$5007),"",IFERROR(MATCH($K2606,$A$8:$A$5007,1),"")))</f>
        <v/>
      </c>
      <c r="M2606" s="30" t="str">
        <f>IF($L2606="","",INDEX($A$8:$A$5007,$L2606))</f>
        <v/>
      </c>
      <c r="N2606" s="31" t="str">
        <f>IF($L2606="","",INDEX($B$8:$B$5007,$L2606))</f>
        <v/>
      </c>
      <c r="O2606" s="32" t="str">
        <f>IF($M2606="","",IF($K2606-$M2606&gt;7,"",IF($M2606&lt;=$A2606,"",IF(OR($B2606&lt;=0,$N2606&lt;=0),"",($N2606/$B2606)^(365/($M2606-$A2606))-1))))</f>
        <v/>
      </c>
      <c r="P2606" s="31" t="str">
        <f>IF($B2606="","",IF($P2605="",$B2606,MAX($P2605,$B2606)))</f>
        <v/>
      </c>
      <c r="Q2606" s="32" t="str">
        <f>IF($P2606="","",$B2606/$P2606-1)</f>
        <v/>
      </c>
    </row>
    <row r="2607">
      <c r="A2607" s="11" t="n"/>
      <c r="B2607" s="29" t="n"/>
      <c r="K2607" s="30" t="str">
        <f>IF($A2607="","",EDATE($A2607,12*$E$4))</f>
        <v/>
      </c>
      <c r="L2607" s="19" t="str">
        <f>IF($K2607="","",IF($K2607&gt;MAX($A$8:$A$5007),"",IFERROR(MATCH($K2607,$A$8:$A$5007,1),"")))</f>
        <v/>
      </c>
      <c r="M2607" s="30" t="str">
        <f>IF($L2607="","",INDEX($A$8:$A$5007,$L2607))</f>
        <v/>
      </c>
      <c r="N2607" s="31" t="str">
        <f>IF($L2607="","",INDEX($B$8:$B$5007,$L2607))</f>
        <v/>
      </c>
      <c r="O2607" s="32" t="str">
        <f>IF($M2607="","",IF($K2607-$M2607&gt;7,"",IF($M2607&lt;=$A2607,"",IF(OR($B2607&lt;=0,$N2607&lt;=0),"",($N2607/$B2607)^(365/($M2607-$A2607))-1))))</f>
        <v/>
      </c>
      <c r="P2607" s="31" t="str">
        <f>IF($B2607="","",IF($P2606="",$B2607,MAX($P2606,$B2607)))</f>
        <v/>
      </c>
      <c r="Q2607" s="32" t="str">
        <f>IF($P2607="","",$B2607/$P2607-1)</f>
        <v/>
      </c>
    </row>
    <row r="2608">
      <c r="A2608" s="11" t="n"/>
      <c r="B2608" s="29" t="n"/>
      <c r="K2608" s="30" t="str">
        <f>IF($A2608="","",EDATE($A2608,12*$E$4))</f>
        <v/>
      </c>
      <c r="L2608" s="19" t="str">
        <f>IF($K2608="","",IF($K2608&gt;MAX($A$8:$A$5007),"",IFERROR(MATCH($K2608,$A$8:$A$5007,1),"")))</f>
        <v/>
      </c>
      <c r="M2608" s="30" t="str">
        <f>IF($L2608="","",INDEX($A$8:$A$5007,$L2608))</f>
        <v/>
      </c>
      <c r="N2608" s="31" t="str">
        <f>IF($L2608="","",INDEX($B$8:$B$5007,$L2608))</f>
        <v/>
      </c>
      <c r="O2608" s="32" t="str">
        <f>IF($M2608="","",IF($K2608-$M2608&gt;7,"",IF($M2608&lt;=$A2608,"",IF(OR($B2608&lt;=0,$N2608&lt;=0),"",($N2608/$B2608)^(365/($M2608-$A2608))-1))))</f>
        <v/>
      </c>
      <c r="P2608" s="31" t="str">
        <f>IF($B2608="","",IF($P2607="",$B2608,MAX($P2607,$B2608)))</f>
        <v/>
      </c>
      <c r="Q2608" s="32" t="str">
        <f>IF($P2608="","",$B2608/$P2608-1)</f>
        <v/>
      </c>
    </row>
    <row r="2609">
      <c r="A2609" s="11" t="n"/>
      <c r="B2609" s="29" t="n"/>
      <c r="K2609" s="30" t="str">
        <f>IF($A2609="","",EDATE($A2609,12*$E$4))</f>
        <v/>
      </c>
      <c r="L2609" s="19" t="str">
        <f>IF($K2609="","",IF($K2609&gt;MAX($A$8:$A$5007),"",IFERROR(MATCH($K2609,$A$8:$A$5007,1),"")))</f>
        <v/>
      </c>
      <c r="M2609" s="30" t="str">
        <f>IF($L2609="","",INDEX($A$8:$A$5007,$L2609))</f>
        <v/>
      </c>
      <c r="N2609" s="31" t="str">
        <f>IF($L2609="","",INDEX($B$8:$B$5007,$L2609))</f>
        <v/>
      </c>
      <c r="O2609" s="32" t="str">
        <f>IF($M2609="","",IF($K2609-$M2609&gt;7,"",IF($M2609&lt;=$A2609,"",IF(OR($B2609&lt;=0,$N2609&lt;=0),"",($N2609/$B2609)^(365/($M2609-$A2609))-1))))</f>
        <v/>
      </c>
      <c r="P2609" s="31" t="str">
        <f>IF($B2609="","",IF($P2608="",$B2609,MAX($P2608,$B2609)))</f>
        <v/>
      </c>
      <c r="Q2609" s="32" t="str">
        <f>IF($P2609="","",$B2609/$P2609-1)</f>
        <v/>
      </c>
    </row>
    <row r="2610">
      <c r="A2610" s="11" t="n"/>
      <c r="B2610" s="29" t="n"/>
      <c r="K2610" s="30" t="str">
        <f>IF($A2610="","",EDATE($A2610,12*$E$4))</f>
        <v/>
      </c>
      <c r="L2610" s="19" t="str">
        <f>IF($K2610="","",IF($K2610&gt;MAX($A$8:$A$5007),"",IFERROR(MATCH($K2610,$A$8:$A$5007,1),"")))</f>
        <v/>
      </c>
      <c r="M2610" s="30" t="str">
        <f>IF($L2610="","",INDEX($A$8:$A$5007,$L2610))</f>
        <v/>
      </c>
      <c r="N2610" s="31" t="str">
        <f>IF($L2610="","",INDEX($B$8:$B$5007,$L2610))</f>
        <v/>
      </c>
      <c r="O2610" s="32" t="str">
        <f>IF($M2610="","",IF($K2610-$M2610&gt;7,"",IF($M2610&lt;=$A2610,"",IF(OR($B2610&lt;=0,$N2610&lt;=0),"",($N2610/$B2610)^(365/($M2610-$A2610))-1))))</f>
        <v/>
      </c>
      <c r="P2610" s="31" t="str">
        <f>IF($B2610="","",IF($P2609="",$B2610,MAX($P2609,$B2610)))</f>
        <v/>
      </c>
      <c r="Q2610" s="32" t="str">
        <f>IF($P2610="","",$B2610/$P2610-1)</f>
        <v/>
      </c>
    </row>
    <row r="2611">
      <c r="A2611" s="11" t="n"/>
      <c r="B2611" s="29" t="n"/>
      <c r="K2611" s="30" t="str">
        <f>IF($A2611="","",EDATE($A2611,12*$E$4))</f>
        <v/>
      </c>
      <c r="L2611" s="19" t="str">
        <f>IF($K2611="","",IF($K2611&gt;MAX($A$8:$A$5007),"",IFERROR(MATCH($K2611,$A$8:$A$5007,1),"")))</f>
        <v/>
      </c>
      <c r="M2611" s="30" t="str">
        <f>IF($L2611="","",INDEX($A$8:$A$5007,$L2611))</f>
        <v/>
      </c>
      <c r="N2611" s="31" t="str">
        <f>IF($L2611="","",INDEX($B$8:$B$5007,$L2611))</f>
        <v/>
      </c>
      <c r="O2611" s="32" t="str">
        <f>IF($M2611="","",IF($K2611-$M2611&gt;7,"",IF($M2611&lt;=$A2611,"",IF(OR($B2611&lt;=0,$N2611&lt;=0),"",($N2611/$B2611)^(365/($M2611-$A2611))-1))))</f>
        <v/>
      </c>
      <c r="P2611" s="31" t="str">
        <f>IF($B2611="","",IF($P2610="",$B2611,MAX($P2610,$B2611)))</f>
        <v/>
      </c>
      <c r="Q2611" s="32" t="str">
        <f>IF($P2611="","",$B2611/$P2611-1)</f>
        <v/>
      </c>
    </row>
    <row r="2612">
      <c r="A2612" s="11" t="n"/>
      <c r="B2612" s="29" t="n"/>
      <c r="K2612" s="30" t="str">
        <f>IF($A2612="","",EDATE($A2612,12*$E$4))</f>
        <v/>
      </c>
      <c r="L2612" s="19" t="str">
        <f>IF($K2612="","",IF($K2612&gt;MAX($A$8:$A$5007),"",IFERROR(MATCH($K2612,$A$8:$A$5007,1),"")))</f>
        <v/>
      </c>
      <c r="M2612" s="30" t="str">
        <f>IF($L2612="","",INDEX($A$8:$A$5007,$L2612))</f>
        <v/>
      </c>
      <c r="N2612" s="31" t="str">
        <f>IF($L2612="","",INDEX($B$8:$B$5007,$L2612))</f>
        <v/>
      </c>
      <c r="O2612" s="32" t="str">
        <f>IF($M2612="","",IF($K2612-$M2612&gt;7,"",IF($M2612&lt;=$A2612,"",IF(OR($B2612&lt;=0,$N2612&lt;=0),"",($N2612/$B2612)^(365/($M2612-$A2612))-1))))</f>
        <v/>
      </c>
      <c r="P2612" s="31" t="str">
        <f>IF($B2612="","",IF($P2611="",$B2612,MAX($P2611,$B2612)))</f>
        <v/>
      </c>
      <c r="Q2612" s="32" t="str">
        <f>IF($P2612="","",$B2612/$P2612-1)</f>
        <v/>
      </c>
    </row>
    <row r="2613">
      <c r="A2613" s="11" t="n"/>
      <c r="B2613" s="29" t="n"/>
      <c r="K2613" s="30" t="str">
        <f>IF($A2613="","",EDATE($A2613,12*$E$4))</f>
        <v/>
      </c>
      <c r="L2613" s="19" t="str">
        <f>IF($K2613="","",IF($K2613&gt;MAX($A$8:$A$5007),"",IFERROR(MATCH($K2613,$A$8:$A$5007,1),"")))</f>
        <v/>
      </c>
      <c r="M2613" s="30" t="str">
        <f>IF($L2613="","",INDEX($A$8:$A$5007,$L2613))</f>
        <v/>
      </c>
      <c r="N2613" s="31" t="str">
        <f>IF($L2613="","",INDEX($B$8:$B$5007,$L2613))</f>
        <v/>
      </c>
      <c r="O2613" s="32" t="str">
        <f>IF($M2613="","",IF($K2613-$M2613&gt;7,"",IF($M2613&lt;=$A2613,"",IF(OR($B2613&lt;=0,$N2613&lt;=0),"",($N2613/$B2613)^(365/($M2613-$A2613))-1))))</f>
        <v/>
      </c>
      <c r="P2613" s="31" t="str">
        <f>IF($B2613="","",IF($P2612="",$B2613,MAX($P2612,$B2613)))</f>
        <v/>
      </c>
      <c r="Q2613" s="32" t="str">
        <f>IF($P2613="","",$B2613/$P2613-1)</f>
        <v/>
      </c>
    </row>
    <row r="2614">
      <c r="A2614" s="11" t="n"/>
      <c r="B2614" s="29" t="n"/>
      <c r="K2614" s="30" t="str">
        <f>IF($A2614="","",EDATE($A2614,12*$E$4))</f>
        <v/>
      </c>
      <c r="L2614" s="19" t="str">
        <f>IF($K2614="","",IF($K2614&gt;MAX($A$8:$A$5007),"",IFERROR(MATCH($K2614,$A$8:$A$5007,1),"")))</f>
        <v/>
      </c>
      <c r="M2614" s="30" t="str">
        <f>IF($L2614="","",INDEX($A$8:$A$5007,$L2614))</f>
        <v/>
      </c>
      <c r="N2614" s="31" t="str">
        <f>IF($L2614="","",INDEX($B$8:$B$5007,$L2614))</f>
        <v/>
      </c>
      <c r="O2614" s="32" t="str">
        <f>IF($M2614="","",IF($K2614-$M2614&gt;7,"",IF($M2614&lt;=$A2614,"",IF(OR($B2614&lt;=0,$N2614&lt;=0),"",($N2614/$B2614)^(365/($M2614-$A2614))-1))))</f>
        <v/>
      </c>
      <c r="P2614" s="31" t="str">
        <f>IF($B2614="","",IF($P2613="",$B2614,MAX($P2613,$B2614)))</f>
        <v/>
      </c>
      <c r="Q2614" s="32" t="str">
        <f>IF($P2614="","",$B2614/$P2614-1)</f>
        <v/>
      </c>
    </row>
    <row r="2615">
      <c r="A2615" s="11" t="n"/>
      <c r="B2615" s="29" t="n"/>
      <c r="K2615" s="30" t="str">
        <f>IF($A2615="","",EDATE($A2615,12*$E$4))</f>
        <v/>
      </c>
      <c r="L2615" s="19" t="str">
        <f>IF($K2615="","",IF($K2615&gt;MAX($A$8:$A$5007),"",IFERROR(MATCH($K2615,$A$8:$A$5007,1),"")))</f>
        <v/>
      </c>
      <c r="M2615" s="30" t="str">
        <f>IF($L2615="","",INDEX($A$8:$A$5007,$L2615))</f>
        <v/>
      </c>
      <c r="N2615" s="31" t="str">
        <f>IF($L2615="","",INDEX($B$8:$B$5007,$L2615))</f>
        <v/>
      </c>
      <c r="O2615" s="32" t="str">
        <f>IF($M2615="","",IF($K2615-$M2615&gt;7,"",IF($M2615&lt;=$A2615,"",IF(OR($B2615&lt;=0,$N2615&lt;=0),"",($N2615/$B2615)^(365/($M2615-$A2615))-1))))</f>
        <v/>
      </c>
      <c r="P2615" s="31" t="str">
        <f>IF($B2615="","",IF($P2614="",$B2615,MAX($P2614,$B2615)))</f>
        <v/>
      </c>
      <c r="Q2615" s="32" t="str">
        <f>IF($P2615="","",$B2615/$P2615-1)</f>
        <v/>
      </c>
    </row>
    <row r="2616">
      <c r="A2616" s="11" t="n"/>
      <c r="B2616" s="29" t="n"/>
      <c r="K2616" s="30" t="str">
        <f>IF($A2616="","",EDATE($A2616,12*$E$4))</f>
        <v/>
      </c>
      <c r="L2616" s="19" t="str">
        <f>IF($K2616="","",IF($K2616&gt;MAX($A$8:$A$5007),"",IFERROR(MATCH($K2616,$A$8:$A$5007,1),"")))</f>
        <v/>
      </c>
      <c r="M2616" s="30" t="str">
        <f>IF($L2616="","",INDEX($A$8:$A$5007,$L2616))</f>
        <v/>
      </c>
      <c r="N2616" s="31" t="str">
        <f>IF($L2616="","",INDEX($B$8:$B$5007,$L2616))</f>
        <v/>
      </c>
      <c r="O2616" s="32" t="str">
        <f>IF($M2616="","",IF($K2616-$M2616&gt;7,"",IF($M2616&lt;=$A2616,"",IF(OR($B2616&lt;=0,$N2616&lt;=0),"",($N2616/$B2616)^(365/($M2616-$A2616))-1))))</f>
        <v/>
      </c>
      <c r="P2616" s="31" t="str">
        <f>IF($B2616="","",IF($P2615="",$B2616,MAX($P2615,$B2616)))</f>
        <v/>
      </c>
      <c r="Q2616" s="32" t="str">
        <f>IF($P2616="","",$B2616/$P2616-1)</f>
        <v/>
      </c>
    </row>
    <row r="2617">
      <c r="A2617" s="11" t="n"/>
      <c r="B2617" s="29" t="n"/>
      <c r="K2617" s="30" t="str">
        <f>IF($A2617="","",EDATE($A2617,12*$E$4))</f>
        <v/>
      </c>
      <c r="L2617" s="19" t="str">
        <f>IF($K2617="","",IF($K2617&gt;MAX($A$8:$A$5007),"",IFERROR(MATCH($K2617,$A$8:$A$5007,1),"")))</f>
        <v/>
      </c>
      <c r="M2617" s="30" t="str">
        <f>IF($L2617="","",INDEX($A$8:$A$5007,$L2617))</f>
        <v/>
      </c>
      <c r="N2617" s="31" t="str">
        <f>IF($L2617="","",INDEX($B$8:$B$5007,$L2617))</f>
        <v/>
      </c>
      <c r="O2617" s="32" t="str">
        <f>IF($M2617="","",IF($K2617-$M2617&gt;7,"",IF($M2617&lt;=$A2617,"",IF(OR($B2617&lt;=0,$N2617&lt;=0),"",($N2617/$B2617)^(365/($M2617-$A2617))-1))))</f>
        <v/>
      </c>
      <c r="P2617" s="31" t="str">
        <f>IF($B2617="","",IF($P2616="",$B2617,MAX($P2616,$B2617)))</f>
        <v/>
      </c>
      <c r="Q2617" s="32" t="str">
        <f>IF($P2617="","",$B2617/$P2617-1)</f>
        <v/>
      </c>
    </row>
    <row r="2618">
      <c r="A2618" s="11" t="n"/>
      <c r="B2618" s="29" t="n"/>
      <c r="K2618" s="30" t="str">
        <f>IF($A2618="","",EDATE($A2618,12*$E$4))</f>
        <v/>
      </c>
      <c r="L2618" s="19" t="str">
        <f>IF($K2618="","",IF($K2618&gt;MAX($A$8:$A$5007),"",IFERROR(MATCH($K2618,$A$8:$A$5007,1),"")))</f>
        <v/>
      </c>
      <c r="M2618" s="30" t="str">
        <f>IF($L2618="","",INDEX($A$8:$A$5007,$L2618))</f>
        <v/>
      </c>
      <c r="N2618" s="31" t="str">
        <f>IF($L2618="","",INDEX($B$8:$B$5007,$L2618))</f>
        <v/>
      </c>
      <c r="O2618" s="32" t="str">
        <f>IF($M2618="","",IF($K2618-$M2618&gt;7,"",IF($M2618&lt;=$A2618,"",IF(OR($B2618&lt;=0,$N2618&lt;=0),"",($N2618/$B2618)^(365/($M2618-$A2618))-1))))</f>
        <v/>
      </c>
      <c r="P2618" s="31" t="str">
        <f>IF($B2618="","",IF($P2617="",$B2618,MAX($P2617,$B2618)))</f>
        <v/>
      </c>
      <c r="Q2618" s="32" t="str">
        <f>IF($P2618="","",$B2618/$P2618-1)</f>
        <v/>
      </c>
    </row>
    <row r="2619">
      <c r="A2619" s="11" t="n"/>
      <c r="B2619" s="29" t="n"/>
      <c r="K2619" s="30" t="str">
        <f>IF($A2619="","",EDATE($A2619,12*$E$4))</f>
        <v/>
      </c>
      <c r="L2619" s="19" t="str">
        <f>IF($K2619="","",IF($K2619&gt;MAX($A$8:$A$5007),"",IFERROR(MATCH($K2619,$A$8:$A$5007,1),"")))</f>
        <v/>
      </c>
      <c r="M2619" s="30" t="str">
        <f>IF($L2619="","",INDEX($A$8:$A$5007,$L2619))</f>
        <v/>
      </c>
      <c r="N2619" s="31" t="str">
        <f>IF($L2619="","",INDEX($B$8:$B$5007,$L2619))</f>
        <v/>
      </c>
      <c r="O2619" s="32" t="str">
        <f>IF($M2619="","",IF($K2619-$M2619&gt;7,"",IF($M2619&lt;=$A2619,"",IF(OR($B2619&lt;=0,$N2619&lt;=0),"",($N2619/$B2619)^(365/($M2619-$A2619))-1))))</f>
        <v/>
      </c>
      <c r="P2619" s="31" t="str">
        <f>IF($B2619="","",IF($P2618="",$B2619,MAX($P2618,$B2619)))</f>
        <v/>
      </c>
      <c r="Q2619" s="32" t="str">
        <f>IF($P2619="","",$B2619/$P2619-1)</f>
        <v/>
      </c>
    </row>
    <row r="2620">
      <c r="A2620" s="11" t="n"/>
      <c r="B2620" s="29" t="n"/>
      <c r="K2620" s="30" t="str">
        <f>IF($A2620="","",EDATE($A2620,12*$E$4))</f>
        <v/>
      </c>
      <c r="L2620" s="19" t="str">
        <f>IF($K2620="","",IF($K2620&gt;MAX($A$8:$A$5007),"",IFERROR(MATCH($K2620,$A$8:$A$5007,1),"")))</f>
        <v/>
      </c>
      <c r="M2620" s="30" t="str">
        <f>IF($L2620="","",INDEX($A$8:$A$5007,$L2620))</f>
        <v/>
      </c>
      <c r="N2620" s="31" t="str">
        <f>IF($L2620="","",INDEX($B$8:$B$5007,$L2620))</f>
        <v/>
      </c>
      <c r="O2620" s="32" t="str">
        <f>IF($M2620="","",IF($K2620-$M2620&gt;7,"",IF($M2620&lt;=$A2620,"",IF(OR($B2620&lt;=0,$N2620&lt;=0),"",($N2620/$B2620)^(365/($M2620-$A2620))-1))))</f>
        <v/>
      </c>
      <c r="P2620" s="31" t="str">
        <f>IF($B2620="","",IF($P2619="",$B2620,MAX($P2619,$B2620)))</f>
        <v/>
      </c>
      <c r="Q2620" s="32" t="str">
        <f>IF($P2620="","",$B2620/$P2620-1)</f>
        <v/>
      </c>
    </row>
    <row r="2621">
      <c r="A2621" s="11" t="n"/>
      <c r="B2621" s="29" t="n"/>
      <c r="K2621" s="30" t="str">
        <f>IF($A2621="","",EDATE($A2621,12*$E$4))</f>
        <v/>
      </c>
      <c r="L2621" s="19" t="str">
        <f>IF($K2621="","",IF($K2621&gt;MAX($A$8:$A$5007),"",IFERROR(MATCH($K2621,$A$8:$A$5007,1),"")))</f>
        <v/>
      </c>
      <c r="M2621" s="30" t="str">
        <f>IF($L2621="","",INDEX($A$8:$A$5007,$L2621))</f>
        <v/>
      </c>
      <c r="N2621" s="31" t="str">
        <f>IF($L2621="","",INDEX($B$8:$B$5007,$L2621))</f>
        <v/>
      </c>
      <c r="O2621" s="32" t="str">
        <f>IF($M2621="","",IF($K2621-$M2621&gt;7,"",IF($M2621&lt;=$A2621,"",IF(OR($B2621&lt;=0,$N2621&lt;=0),"",($N2621/$B2621)^(365/($M2621-$A2621))-1))))</f>
        <v/>
      </c>
      <c r="P2621" s="31" t="str">
        <f>IF($B2621="","",IF($P2620="",$B2621,MAX($P2620,$B2621)))</f>
        <v/>
      </c>
      <c r="Q2621" s="32" t="str">
        <f>IF($P2621="","",$B2621/$P2621-1)</f>
        <v/>
      </c>
    </row>
    <row r="2622">
      <c r="A2622" s="11" t="n"/>
      <c r="B2622" s="29" t="n"/>
      <c r="K2622" s="30" t="str">
        <f>IF($A2622="","",EDATE($A2622,12*$E$4))</f>
        <v/>
      </c>
      <c r="L2622" s="19" t="str">
        <f>IF($K2622="","",IF($K2622&gt;MAX($A$8:$A$5007),"",IFERROR(MATCH($K2622,$A$8:$A$5007,1),"")))</f>
        <v/>
      </c>
      <c r="M2622" s="30" t="str">
        <f>IF($L2622="","",INDEX($A$8:$A$5007,$L2622))</f>
        <v/>
      </c>
      <c r="N2622" s="31" t="str">
        <f>IF($L2622="","",INDEX($B$8:$B$5007,$L2622))</f>
        <v/>
      </c>
      <c r="O2622" s="32" t="str">
        <f>IF($M2622="","",IF($K2622-$M2622&gt;7,"",IF($M2622&lt;=$A2622,"",IF(OR($B2622&lt;=0,$N2622&lt;=0),"",($N2622/$B2622)^(365/($M2622-$A2622))-1))))</f>
        <v/>
      </c>
      <c r="P2622" s="31" t="str">
        <f>IF($B2622="","",IF($P2621="",$B2622,MAX($P2621,$B2622)))</f>
        <v/>
      </c>
      <c r="Q2622" s="32" t="str">
        <f>IF($P2622="","",$B2622/$P2622-1)</f>
        <v/>
      </c>
    </row>
    <row r="2623">
      <c r="A2623" s="11" t="n"/>
      <c r="B2623" s="29" t="n"/>
      <c r="K2623" s="30" t="str">
        <f>IF($A2623="","",EDATE($A2623,12*$E$4))</f>
        <v/>
      </c>
      <c r="L2623" s="19" t="str">
        <f>IF($K2623="","",IF($K2623&gt;MAX($A$8:$A$5007),"",IFERROR(MATCH($K2623,$A$8:$A$5007,1),"")))</f>
        <v/>
      </c>
      <c r="M2623" s="30" t="str">
        <f>IF($L2623="","",INDEX($A$8:$A$5007,$L2623))</f>
        <v/>
      </c>
      <c r="N2623" s="31" t="str">
        <f>IF($L2623="","",INDEX($B$8:$B$5007,$L2623))</f>
        <v/>
      </c>
      <c r="O2623" s="32" t="str">
        <f>IF($M2623="","",IF($K2623-$M2623&gt;7,"",IF($M2623&lt;=$A2623,"",IF(OR($B2623&lt;=0,$N2623&lt;=0),"",($N2623/$B2623)^(365/($M2623-$A2623))-1))))</f>
        <v/>
      </c>
      <c r="P2623" s="31" t="str">
        <f>IF($B2623="","",IF($P2622="",$B2623,MAX($P2622,$B2623)))</f>
        <v/>
      </c>
      <c r="Q2623" s="32" t="str">
        <f>IF($P2623="","",$B2623/$P2623-1)</f>
        <v/>
      </c>
    </row>
    <row r="2624">
      <c r="A2624" s="11" t="n"/>
      <c r="B2624" s="29" t="n"/>
      <c r="K2624" s="30" t="str">
        <f>IF($A2624="","",EDATE($A2624,12*$E$4))</f>
        <v/>
      </c>
      <c r="L2624" s="19" t="str">
        <f>IF($K2624="","",IF($K2624&gt;MAX($A$8:$A$5007),"",IFERROR(MATCH($K2624,$A$8:$A$5007,1),"")))</f>
        <v/>
      </c>
      <c r="M2624" s="30" t="str">
        <f>IF($L2624="","",INDEX($A$8:$A$5007,$L2624))</f>
        <v/>
      </c>
      <c r="N2624" s="31" t="str">
        <f>IF($L2624="","",INDEX($B$8:$B$5007,$L2624))</f>
        <v/>
      </c>
      <c r="O2624" s="32" t="str">
        <f>IF($M2624="","",IF($K2624-$M2624&gt;7,"",IF($M2624&lt;=$A2624,"",IF(OR($B2624&lt;=0,$N2624&lt;=0),"",($N2624/$B2624)^(365/($M2624-$A2624))-1))))</f>
        <v/>
      </c>
      <c r="P2624" s="31" t="str">
        <f>IF($B2624="","",IF($P2623="",$B2624,MAX($P2623,$B2624)))</f>
        <v/>
      </c>
      <c r="Q2624" s="32" t="str">
        <f>IF($P2624="","",$B2624/$P2624-1)</f>
        <v/>
      </c>
    </row>
    <row r="2625">
      <c r="A2625" s="11" t="n"/>
      <c r="B2625" s="29" t="n"/>
      <c r="K2625" s="30" t="str">
        <f>IF($A2625="","",EDATE($A2625,12*$E$4))</f>
        <v/>
      </c>
      <c r="L2625" s="19" t="str">
        <f>IF($K2625="","",IF($K2625&gt;MAX($A$8:$A$5007),"",IFERROR(MATCH($K2625,$A$8:$A$5007,1),"")))</f>
        <v/>
      </c>
      <c r="M2625" s="30" t="str">
        <f>IF($L2625="","",INDEX($A$8:$A$5007,$L2625))</f>
        <v/>
      </c>
      <c r="N2625" s="31" t="str">
        <f>IF($L2625="","",INDEX($B$8:$B$5007,$L2625))</f>
        <v/>
      </c>
      <c r="O2625" s="32" t="str">
        <f>IF($M2625="","",IF($K2625-$M2625&gt;7,"",IF($M2625&lt;=$A2625,"",IF(OR($B2625&lt;=0,$N2625&lt;=0),"",($N2625/$B2625)^(365/($M2625-$A2625))-1))))</f>
        <v/>
      </c>
      <c r="P2625" s="31" t="str">
        <f>IF($B2625="","",IF($P2624="",$B2625,MAX($P2624,$B2625)))</f>
        <v/>
      </c>
      <c r="Q2625" s="32" t="str">
        <f>IF($P2625="","",$B2625/$P2625-1)</f>
        <v/>
      </c>
    </row>
    <row r="2626">
      <c r="A2626" s="11" t="n"/>
      <c r="B2626" s="29" t="n"/>
      <c r="K2626" s="30" t="str">
        <f>IF($A2626="","",EDATE($A2626,12*$E$4))</f>
        <v/>
      </c>
      <c r="L2626" s="19" t="str">
        <f>IF($K2626="","",IF($K2626&gt;MAX($A$8:$A$5007),"",IFERROR(MATCH($K2626,$A$8:$A$5007,1),"")))</f>
        <v/>
      </c>
      <c r="M2626" s="30" t="str">
        <f>IF($L2626="","",INDEX($A$8:$A$5007,$L2626))</f>
        <v/>
      </c>
      <c r="N2626" s="31" t="str">
        <f>IF($L2626="","",INDEX($B$8:$B$5007,$L2626))</f>
        <v/>
      </c>
      <c r="O2626" s="32" t="str">
        <f>IF($M2626="","",IF($K2626-$M2626&gt;7,"",IF($M2626&lt;=$A2626,"",IF(OR($B2626&lt;=0,$N2626&lt;=0),"",($N2626/$B2626)^(365/($M2626-$A2626))-1))))</f>
        <v/>
      </c>
      <c r="P2626" s="31" t="str">
        <f>IF($B2626="","",IF($P2625="",$B2626,MAX($P2625,$B2626)))</f>
        <v/>
      </c>
      <c r="Q2626" s="32" t="str">
        <f>IF($P2626="","",$B2626/$P2626-1)</f>
        <v/>
      </c>
    </row>
    <row r="2627">
      <c r="A2627" s="11" t="n"/>
      <c r="B2627" s="29" t="n"/>
      <c r="K2627" s="30" t="str">
        <f>IF($A2627="","",EDATE($A2627,12*$E$4))</f>
        <v/>
      </c>
      <c r="L2627" s="19" t="str">
        <f>IF($K2627="","",IF($K2627&gt;MAX($A$8:$A$5007),"",IFERROR(MATCH($K2627,$A$8:$A$5007,1),"")))</f>
        <v/>
      </c>
      <c r="M2627" s="30" t="str">
        <f>IF($L2627="","",INDEX($A$8:$A$5007,$L2627))</f>
        <v/>
      </c>
      <c r="N2627" s="31" t="str">
        <f>IF($L2627="","",INDEX($B$8:$B$5007,$L2627))</f>
        <v/>
      </c>
      <c r="O2627" s="32" t="str">
        <f>IF($M2627="","",IF($K2627-$M2627&gt;7,"",IF($M2627&lt;=$A2627,"",IF(OR($B2627&lt;=0,$N2627&lt;=0),"",($N2627/$B2627)^(365/($M2627-$A2627))-1))))</f>
        <v/>
      </c>
      <c r="P2627" s="31" t="str">
        <f>IF($B2627="","",IF($P2626="",$B2627,MAX($P2626,$B2627)))</f>
        <v/>
      </c>
      <c r="Q2627" s="32" t="str">
        <f>IF($P2627="","",$B2627/$P2627-1)</f>
        <v/>
      </c>
    </row>
    <row r="2628">
      <c r="A2628" s="11" t="n"/>
      <c r="B2628" s="29" t="n"/>
      <c r="K2628" s="30" t="str">
        <f>IF($A2628="","",EDATE($A2628,12*$E$4))</f>
        <v/>
      </c>
      <c r="L2628" s="19" t="str">
        <f>IF($K2628="","",IF($K2628&gt;MAX($A$8:$A$5007),"",IFERROR(MATCH($K2628,$A$8:$A$5007,1),"")))</f>
        <v/>
      </c>
      <c r="M2628" s="30" t="str">
        <f>IF($L2628="","",INDEX($A$8:$A$5007,$L2628))</f>
        <v/>
      </c>
      <c r="N2628" s="31" t="str">
        <f>IF($L2628="","",INDEX($B$8:$B$5007,$L2628))</f>
        <v/>
      </c>
      <c r="O2628" s="32" t="str">
        <f>IF($M2628="","",IF($K2628-$M2628&gt;7,"",IF($M2628&lt;=$A2628,"",IF(OR($B2628&lt;=0,$N2628&lt;=0),"",($N2628/$B2628)^(365/($M2628-$A2628))-1))))</f>
        <v/>
      </c>
      <c r="P2628" s="31" t="str">
        <f>IF($B2628="","",IF($P2627="",$B2628,MAX($P2627,$B2628)))</f>
        <v/>
      </c>
      <c r="Q2628" s="32" t="str">
        <f>IF($P2628="","",$B2628/$P2628-1)</f>
        <v/>
      </c>
    </row>
    <row r="2629">
      <c r="A2629" s="11" t="n"/>
      <c r="B2629" s="29" t="n"/>
      <c r="K2629" s="30" t="str">
        <f>IF($A2629="","",EDATE($A2629,12*$E$4))</f>
        <v/>
      </c>
      <c r="L2629" s="19" t="str">
        <f>IF($K2629="","",IF($K2629&gt;MAX($A$8:$A$5007),"",IFERROR(MATCH($K2629,$A$8:$A$5007,1),"")))</f>
        <v/>
      </c>
      <c r="M2629" s="30" t="str">
        <f>IF($L2629="","",INDEX($A$8:$A$5007,$L2629))</f>
        <v/>
      </c>
      <c r="N2629" s="31" t="str">
        <f>IF($L2629="","",INDEX($B$8:$B$5007,$L2629))</f>
        <v/>
      </c>
      <c r="O2629" s="32" t="str">
        <f>IF($M2629="","",IF($K2629-$M2629&gt;7,"",IF($M2629&lt;=$A2629,"",IF(OR($B2629&lt;=0,$N2629&lt;=0),"",($N2629/$B2629)^(365/($M2629-$A2629))-1))))</f>
        <v/>
      </c>
      <c r="P2629" s="31" t="str">
        <f>IF($B2629="","",IF($P2628="",$B2629,MAX($P2628,$B2629)))</f>
        <v/>
      </c>
      <c r="Q2629" s="32" t="str">
        <f>IF($P2629="","",$B2629/$P2629-1)</f>
        <v/>
      </c>
    </row>
    <row r="2630">
      <c r="A2630" s="11" t="n"/>
      <c r="B2630" s="29" t="n"/>
      <c r="K2630" s="30" t="str">
        <f>IF($A2630="","",EDATE($A2630,12*$E$4))</f>
        <v/>
      </c>
      <c r="L2630" s="19" t="str">
        <f>IF($K2630="","",IF($K2630&gt;MAX($A$8:$A$5007),"",IFERROR(MATCH($K2630,$A$8:$A$5007,1),"")))</f>
        <v/>
      </c>
      <c r="M2630" s="30" t="str">
        <f>IF($L2630="","",INDEX($A$8:$A$5007,$L2630))</f>
        <v/>
      </c>
      <c r="N2630" s="31" t="str">
        <f>IF($L2630="","",INDEX($B$8:$B$5007,$L2630))</f>
        <v/>
      </c>
      <c r="O2630" s="32" t="str">
        <f>IF($M2630="","",IF($K2630-$M2630&gt;7,"",IF($M2630&lt;=$A2630,"",IF(OR($B2630&lt;=0,$N2630&lt;=0),"",($N2630/$B2630)^(365/($M2630-$A2630))-1))))</f>
        <v/>
      </c>
      <c r="P2630" s="31" t="str">
        <f>IF($B2630="","",IF($P2629="",$B2630,MAX($P2629,$B2630)))</f>
        <v/>
      </c>
      <c r="Q2630" s="32" t="str">
        <f>IF($P2630="","",$B2630/$P2630-1)</f>
        <v/>
      </c>
    </row>
    <row r="2631">
      <c r="A2631" s="11" t="n"/>
      <c r="B2631" s="29" t="n"/>
      <c r="K2631" s="30" t="str">
        <f>IF($A2631="","",EDATE($A2631,12*$E$4))</f>
        <v/>
      </c>
      <c r="L2631" s="19" t="str">
        <f>IF($K2631="","",IF($K2631&gt;MAX($A$8:$A$5007),"",IFERROR(MATCH($K2631,$A$8:$A$5007,1),"")))</f>
        <v/>
      </c>
      <c r="M2631" s="30" t="str">
        <f>IF($L2631="","",INDEX($A$8:$A$5007,$L2631))</f>
        <v/>
      </c>
      <c r="N2631" s="31" t="str">
        <f>IF($L2631="","",INDEX($B$8:$B$5007,$L2631))</f>
        <v/>
      </c>
      <c r="O2631" s="32" t="str">
        <f>IF($M2631="","",IF($K2631-$M2631&gt;7,"",IF($M2631&lt;=$A2631,"",IF(OR($B2631&lt;=0,$N2631&lt;=0),"",($N2631/$B2631)^(365/($M2631-$A2631))-1))))</f>
        <v/>
      </c>
      <c r="P2631" s="31" t="str">
        <f>IF($B2631="","",IF($P2630="",$B2631,MAX($P2630,$B2631)))</f>
        <v/>
      </c>
      <c r="Q2631" s="32" t="str">
        <f>IF($P2631="","",$B2631/$P2631-1)</f>
        <v/>
      </c>
    </row>
    <row r="2632">
      <c r="A2632" s="11" t="n"/>
      <c r="B2632" s="29" t="n"/>
      <c r="K2632" s="30" t="str">
        <f>IF($A2632="","",EDATE($A2632,12*$E$4))</f>
        <v/>
      </c>
      <c r="L2632" s="19" t="str">
        <f>IF($K2632="","",IF($K2632&gt;MAX($A$8:$A$5007),"",IFERROR(MATCH($K2632,$A$8:$A$5007,1),"")))</f>
        <v/>
      </c>
      <c r="M2632" s="30" t="str">
        <f>IF($L2632="","",INDEX($A$8:$A$5007,$L2632))</f>
        <v/>
      </c>
      <c r="N2632" s="31" t="str">
        <f>IF($L2632="","",INDEX($B$8:$B$5007,$L2632))</f>
        <v/>
      </c>
      <c r="O2632" s="32" t="str">
        <f>IF($M2632="","",IF($K2632-$M2632&gt;7,"",IF($M2632&lt;=$A2632,"",IF(OR($B2632&lt;=0,$N2632&lt;=0),"",($N2632/$B2632)^(365/($M2632-$A2632))-1))))</f>
        <v/>
      </c>
      <c r="P2632" s="31" t="str">
        <f>IF($B2632="","",IF($P2631="",$B2632,MAX($P2631,$B2632)))</f>
        <v/>
      </c>
      <c r="Q2632" s="32" t="str">
        <f>IF($P2632="","",$B2632/$P2632-1)</f>
        <v/>
      </c>
    </row>
    <row r="2633">
      <c r="A2633" s="11" t="n"/>
      <c r="B2633" s="29" t="n"/>
      <c r="K2633" s="30" t="str">
        <f>IF($A2633="","",EDATE($A2633,12*$E$4))</f>
        <v/>
      </c>
      <c r="L2633" s="19" t="str">
        <f>IF($K2633="","",IF($K2633&gt;MAX($A$8:$A$5007),"",IFERROR(MATCH($K2633,$A$8:$A$5007,1),"")))</f>
        <v/>
      </c>
      <c r="M2633" s="30" t="str">
        <f>IF($L2633="","",INDEX($A$8:$A$5007,$L2633))</f>
        <v/>
      </c>
      <c r="N2633" s="31" t="str">
        <f>IF($L2633="","",INDEX($B$8:$B$5007,$L2633))</f>
        <v/>
      </c>
      <c r="O2633" s="32" t="str">
        <f>IF($M2633="","",IF($K2633-$M2633&gt;7,"",IF($M2633&lt;=$A2633,"",IF(OR($B2633&lt;=0,$N2633&lt;=0),"",($N2633/$B2633)^(365/($M2633-$A2633))-1))))</f>
        <v/>
      </c>
      <c r="P2633" s="31" t="str">
        <f>IF($B2633="","",IF($P2632="",$B2633,MAX($P2632,$B2633)))</f>
        <v/>
      </c>
      <c r="Q2633" s="32" t="str">
        <f>IF($P2633="","",$B2633/$P2633-1)</f>
        <v/>
      </c>
    </row>
    <row r="2634">
      <c r="A2634" s="11" t="n"/>
      <c r="B2634" s="29" t="n"/>
      <c r="K2634" s="30" t="str">
        <f>IF($A2634="","",EDATE($A2634,12*$E$4))</f>
        <v/>
      </c>
      <c r="L2634" s="19" t="str">
        <f>IF($K2634="","",IF($K2634&gt;MAX($A$8:$A$5007),"",IFERROR(MATCH($K2634,$A$8:$A$5007,1),"")))</f>
        <v/>
      </c>
      <c r="M2634" s="30" t="str">
        <f>IF($L2634="","",INDEX($A$8:$A$5007,$L2634))</f>
        <v/>
      </c>
      <c r="N2634" s="31" t="str">
        <f>IF($L2634="","",INDEX($B$8:$B$5007,$L2634))</f>
        <v/>
      </c>
      <c r="O2634" s="32" t="str">
        <f>IF($M2634="","",IF($K2634-$M2634&gt;7,"",IF($M2634&lt;=$A2634,"",IF(OR($B2634&lt;=0,$N2634&lt;=0),"",($N2634/$B2634)^(365/($M2634-$A2634))-1))))</f>
        <v/>
      </c>
      <c r="P2634" s="31" t="str">
        <f>IF($B2634="","",IF($P2633="",$B2634,MAX($P2633,$B2634)))</f>
        <v/>
      </c>
      <c r="Q2634" s="32" t="str">
        <f>IF($P2634="","",$B2634/$P2634-1)</f>
        <v/>
      </c>
    </row>
    <row r="2635">
      <c r="A2635" s="11" t="n"/>
      <c r="B2635" s="29" t="n"/>
      <c r="K2635" s="30" t="str">
        <f>IF($A2635="","",EDATE($A2635,12*$E$4))</f>
        <v/>
      </c>
      <c r="L2635" s="19" t="str">
        <f>IF($K2635="","",IF($K2635&gt;MAX($A$8:$A$5007),"",IFERROR(MATCH($K2635,$A$8:$A$5007,1),"")))</f>
        <v/>
      </c>
      <c r="M2635" s="30" t="str">
        <f>IF($L2635="","",INDEX($A$8:$A$5007,$L2635))</f>
        <v/>
      </c>
      <c r="N2635" s="31" t="str">
        <f>IF($L2635="","",INDEX($B$8:$B$5007,$L2635))</f>
        <v/>
      </c>
      <c r="O2635" s="32" t="str">
        <f>IF($M2635="","",IF($K2635-$M2635&gt;7,"",IF($M2635&lt;=$A2635,"",IF(OR($B2635&lt;=0,$N2635&lt;=0),"",($N2635/$B2635)^(365/($M2635-$A2635))-1))))</f>
        <v/>
      </c>
      <c r="P2635" s="31" t="str">
        <f>IF($B2635="","",IF($P2634="",$B2635,MAX($P2634,$B2635)))</f>
        <v/>
      </c>
      <c r="Q2635" s="32" t="str">
        <f>IF($P2635="","",$B2635/$P2635-1)</f>
        <v/>
      </c>
    </row>
    <row r="2636">
      <c r="A2636" s="11" t="n"/>
      <c r="B2636" s="29" t="n"/>
      <c r="K2636" s="30" t="str">
        <f>IF($A2636="","",EDATE($A2636,12*$E$4))</f>
        <v/>
      </c>
      <c r="L2636" s="19" t="str">
        <f>IF($K2636="","",IF($K2636&gt;MAX($A$8:$A$5007),"",IFERROR(MATCH($K2636,$A$8:$A$5007,1),"")))</f>
        <v/>
      </c>
      <c r="M2636" s="30" t="str">
        <f>IF($L2636="","",INDEX($A$8:$A$5007,$L2636))</f>
        <v/>
      </c>
      <c r="N2636" s="31" t="str">
        <f>IF($L2636="","",INDEX($B$8:$B$5007,$L2636))</f>
        <v/>
      </c>
      <c r="O2636" s="32" t="str">
        <f>IF($M2636="","",IF($K2636-$M2636&gt;7,"",IF($M2636&lt;=$A2636,"",IF(OR($B2636&lt;=0,$N2636&lt;=0),"",($N2636/$B2636)^(365/($M2636-$A2636))-1))))</f>
        <v/>
      </c>
      <c r="P2636" s="31" t="str">
        <f>IF($B2636="","",IF($P2635="",$B2636,MAX($P2635,$B2636)))</f>
        <v/>
      </c>
      <c r="Q2636" s="32" t="str">
        <f>IF($P2636="","",$B2636/$P2636-1)</f>
        <v/>
      </c>
    </row>
    <row r="2637">
      <c r="A2637" s="11" t="n"/>
      <c r="B2637" s="29" t="n"/>
      <c r="K2637" s="30" t="str">
        <f>IF($A2637="","",EDATE($A2637,12*$E$4))</f>
        <v/>
      </c>
      <c r="L2637" s="19" t="str">
        <f>IF($K2637="","",IF($K2637&gt;MAX($A$8:$A$5007),"",IFERROR(MATCH($K2637,$A$8:$A$5007,1),"")))</f>
        <v/>
      </c>
      <c r="M2637" s="30" t="str">
        <f>IF($L2637="","",INDEX($A$8:$A$5007,$L2637))</f>
        <v/>
      </c>
      <c r="N2637" s="31" t="str">
        <f>IF($L2637="","",INDEX($B$8:$B$5007,$L2637))</f>
        <v/>
      </c>
      <c r="O2637" s="32" t="str">
        <f>IF($M2637="","",IF($K2637-$M2637&gt;7,"",IF($M2637&lt;=$A2637,"",IF(OR($B2637&lt;=0,$N2637&lt;=0),"",($N2637/$B2637)^(365/($M2637-$A2637))-1))))</f>
        <v/>
      </c>
      <c r="P2637" s="31" t="str">
        <f>IF($B2637="","",IF($P2636="",$B2637,MAX($P2636,$B2637)))</f>
        <v/>
      </c>
      <c r="Q2637" s="32" t="str">
        <f>IF($P2637="","",$B2637/$P2637-1)</f>
        <v/>
      </c>
    </row>
    <row r="2638">
      <c r="A2638" s="11" t="n"/>
      <c r="B2638" s="29" t="n"/>
      <c r="K2638" s="30" t="str">
        <f>IF($A2638="","",EDATE($A2638,12*$E$4))</f>
        <v/>
      </c>
      <c r="L2638" s="19" t="str">
        <f>IF($K2638="","",IF($K2638&gt;MAX($A$8:$A$5007),"",IFERROR(MATCH($K2638,$A$8:$A$5007,1),"")))</f>
        <v/>
      </c>
      <c r="M2638" s="30" t="str">
        <f>IF($L2638="","",INDEX($A$8:$A$5007,$L2638))</f>
        <v/>
      </c>
      <c r="N2638" s="31" t="str">
        <f>IF($L2638="","",INDEX($B$8:$B$5007,$L2638))</f>
        <v/>
      </c>
      <c r="O2638" s="32" t="str">
        <f>IF($M2638="","",IF($K2638-$M2638&gt;7,"",IF($M2638&lt;=$A2638,"",IF(OR($B2638&lt;=0,$N2638&lt;=0),"",($N2638/$B2638)^(365/($M2638-$A2638))-1))))</f>
        <v/>
      </c>
      <c r="P2638" s="31" t="str">
        <f>IF($B2638="","",IF($P2637="",$B2638,MAX($P2637,$B2638)))</f>
        <v/>
      </c>
      <c r="Q2638" s="32" t="str">
        <f>IF($P2638="","",$B2638/$P2638-1)</f>
        <v/>
      </c>
    </row>
    <row r="2639">
      <c r="A2639" s="11" t="n"/>
      <c r="B2639" s="29" t="n"/>
      <c r="K2639" s="30" t="str">
        <f>IF($A2639="","",EDATE($A2639,12*$E$4))</f>
        <v/>
      </c>
      <c r="L2639" s="19" t="str">
        <f>IF($K2639="","",IF($K2639&gt;MAX($A$8:$A$5007),"",IFERROR(MATCH($K2639,$A$8:$A$5007,1),"")))</f>
        <v/>
      </c>
      <c r="M2639" s="30" t="str">
        <f>IF($L2639="","",INDEX($A$8:$A$5007,$L2639))</f>
        <v/>
      </c>
      <c r="N2639" s="31" t="str">
        <f>IF($L2639="","",INDEX($B$8:$B$5007,$L2639))</f>
        <v/>
      </c>
      <c r="O2639" s="32" t="str">
        <f>IF($M2639="","",IF($K2639-$M2639&gt;7,"",IF($M2639&lt;=$A2639,"",IF(OR($B2639&lt;=0,$N2639&lt;=0),"",($N2639/$B2639)^(365/($M2639-$A2639))-1))))</f>
        <v/>
      </c>
      <c r="P2639" s="31" t="str">
        <f>IF($B2639="","",IF($P2638="",$B2639,MAX($P2638,$B2639)))</f>
        <v/>
      </c>
      <c r="Q2639" s="32" t="str">
        <f>IF($P2639="","",$B2639/$P2639-1)</f>
        <v/>
      </c>
    </row>
    <row r="2640">
      <c r="A2640" s="11" t="n"/>
      <c r="B2640" s="29" t="n"/>
      <c r="K2640" s="30" t="str">
        <f>IF($A2640="","",EDATE($A2640,12*$E$4))</f>
        <v/>
      </c>
      <c r="L2640" s="19" t="str">
        <f>IF($K2640="","",IF($K2640&gt;MAX($A$8:$A$5007),"",IFERROR(MATCH($K2640,$A$8:$A$5007,1),"")))</f>
        <v/>
      </c>
      <c r="M2640" s="30" t="str">
        <f>IF($L2640="","",INDEX($A$8:$A$5007,$L2640))</f>
        <v/>
      </c>
      <c r="N2640" s="31" t="str">
        <f>IF($L2640="","",INDEX($B$8:$B$5007,$L2640))</f>
        <v/>
      </c>
      <c r="O2640" s="32" t="str">
        <f>IF($M2640="","",IF($K2640-$M2640&gt;7,"",IF($M2640&lt;=$A2640,"",IF(OR($B2640&lt;=0,$N2640&lt;=0),"",($N2640/$B2640)^(365/($M2640-$A2640))-1))))</f>
        <v/>
      </c>
      <c r="P2640" s="31" t="str">
        <f>IF($B2640="","",IF($P2639="",$B2640,MAX($P2639,$B2640)))</f>
        <v/>
      </c>
      <c r="Q2640" s="32" t="str">
        <f>IF($P2640="","",$B2640/$P2640-1)</f>
        <v/>
      </c>
    </row>
    <row r="2641">
      <c r="A2641" s="11" t="n"/>
      <c r="B2641" s="29" t="n"/>
      <c r="K2641" s="30" t="str">
        <f>IF($A2641="","",EDATE($A2641,12*$E$4))</f>
        <v/>
      </c>
      <c r="L2641" s="19" t="str">
        <f>IF($K2641="","",IF($K2641&gt;MAX($A$8:$A$5007),"",IFERROR(MATCH($K2641,$A$8:$A$5007,1),"")))</f>
        <v/>
      </c>
      <c r="M2641" s="30" t="str">
        <f>IF($L2641="","",INDEX($A$8:$A$5007,$L2641))</f>
        <v/>
      </c>
      <c r="N2641" s="31" t="str">
        <f>IF($L2641="","",INDEX($B$8:$B$5007,$L2641))</f>
        <v/>
      </c>
      <c r="O2641" s="32" t="str">
        <f>IF($M2641="","",IF($K2641-$M2641&gt;7,"",IF($M2641&lt;=$A2641,"",IF(OR($B2641&lt;=0,$N2641&lt;=0),"",($N2641/$B2641)^(365/($M2641-$A2641))-1))))</f>
        <v/>
      </c>
      <c r="P2641" s="31" t="str">
        <f>IF($B2641="","",IF($P2640="",$B2641,MAX($P2640,$B2641)))</f>
        <v/>
      </c>
      <c r="Q2641" s="32" t="str">
        <f>IF($P2641="","",$B2641/$P2641-1)</f>
        <v/>
      </c>
    </row>
    <row r="2642">
      <c r="A2642" s="11" t="n"/>
      <c r="B2642" s="29" t="n"/>
      <c r="K2642" s="30" t="str">
        <f>IF($A2642="","",EDATE($A2642,12*$E$4))</f>
        <v/>
      </c>
      <c r="L2642" s="19" t="str">
        <f>IF($K2642="","",IF($K2642&gt;MAX($A$8:$A$5007),"",IFERROR(MATCH($K2642,$A$8:$A$5007,1),"")))</f>
        <v/>
      </c>
      <c r="M2642" s="30" t="str">
        <f>IF($L2642="","",INDEX($A$8:$A$5007,$L2642))</f>
        <v/>
      </c>
      <c r="N2642" s="31" t="str">
        <f>IF($L2642="","",INDEX($B$8:$B$5007,$L2642))</f>
        <v/>
      </c>
      <c r="O2642" s="32" t="str">
        <f>IF($M2642="","",IF($K2642-$M2642&gt;7,"",IF($M2642&lt;=$A2642,"",IF(OR($B2642&lt;=0,$N2642&lt;=0),"",($N2642/$B2642)^(365/($M2642-$A2642))-1))))</f>
        <v/>
      </c>
      <c r="P2642" s="31" t="str">
        <f>IF($B2642="","",IF($P2641="",$B2642,MAX($P2641,$B2642)))</f>
        <v/>
      </c>
      <c r="Q2642" s="32" t="str">
        <f>IF($P2642="","",$B2642/$P2642-1)</f>
        <v/>
      </c>
    </row>
    <row r="2643">
      <c r="A2643" s="11" t="n"/>
      <c r="B2643" s="29" t="n"/>
      <c r="K2643" s="30" t="str">
        <f>IF($A2643="","",EDATE($A2643,12*$E$4))</f>
        <v/>
      </c>
      <c r="L2643" s="19" t="str">
        <f>IF($K2643="","",IF($K2643&gt;MAX($A$8:$A$5007),"",IFERROR(MATCH($K2643,$A$8:$A$5007,1),"")))</f>
        <v/>
      </c>
      <c r="M2643" s="30" t="str">
        <f>IF($L2643="","",INDEX($A$8:$A$5007,$L2643))</f>
        <v/>
      </c>
      <c r="N2643" s="31" t="str">
        <f>IF($L2643="","",INDEX($B$8:$B$5007,$L2643))</f>
        <v/>
      </c>
      <c r="O2643" s="32" t="str">
        <f>IF($M2643="","",IF($K2643-$M2643&gt;7,"",IF($M2643&lt;=$A2643,"",IF(OR($B2643&lt;=0,$N2643&lt;=0),"",($N2643/$B2643)^(365/($M2643-$A2643))-1))))</f>
        <v/>
      </c>
      <c r="P2643" s="31" t="str">
        <f>IF($B2643="","",IF($P2642="",$B2643,MAX($P2642,$B2643)))</f>
        <v/>
      </c>
      <c r="Q2643" s="32" t="str">
        <f>IF($P2643="","",$B2643/$P2643-1)</f>
        <v/>
      </c>
    </row>
    <row r="2644">
      <c r="A2644" s="11" t="n"/>
      <c r="B2644" s="29" t="n"/>
      <c r="K2644" s="30" t="str">
        <f>IF($A2644="","",EDATE($A2644,12*$E$4))</f>
        <v/>
      </c>
      <c r="L2644" s="19" t="str">
        <f>IF($K2644="","",IF($K2644&gt;MAX($A$8:$A$5007),"",IFERROR(MATCH($K2644,$A$8:$A$5007,1),"")))</f>
        <v/>
      </c>
      <c r="M2644" s="30" t="str">
        <f>IF($L2644="","",INDEX($A$8:$A$5007,$L2644))</f>
        <v/>
      </c>
      <c r="N2644" s="31" t="str">
        <f>IF($L2644="","",INDEX($B$8:$B$5007,$L2644))</f>
        <v/>
      </c>
      <c r="O2644" s="32" t="str">
        <f>IF($M2644="","",IF($K2644-$M2644&gt;7,"",IF($M2644&lt;=$A2644,"",IF(OR($B2644&lt;=0,$N2644&lt;=0),"",($N2644/$B2644)^(365/($M2644-$A2644))-1))))</f>
        <v/>
      </c>
      <c r="P2644" s="31" t="str">
        <f>IF($B2644="","",IF($P2643="",$B2644,MAX($P2643,$B2644)))</f>
        <v/>
      </c>
      <c r="Q2644" s="32" t="str">
        <f>IF($P2644="","",$B2644/$P2644-1)</f>
        <v/>
      </c>
    </row>
    <row r="2645">
      <c r="A2645" s="11" t="n"/>
      <c r="B2645" s="29" t="n"/>
      <c r="K2645" s="30" t="str">
        <f>IF($A2645="","",EDATE($A2645,12*$E$4))</f>
        <v/>
      </c>
      <c r="L2645" s="19" t="str">
        <f>IF($K2645="","",IF($K2645&gt;MAX($A$8:$A$5007),"",IFERROR(MATCH($K2645,$A$8:$A$5007,1),"")))</f>
        <v/>
      </c>
      <c r="M2645" s="30" t="str">
        <f>IF($L2645="","",INDEX($A$8:$A$5007,$L2645))</f>
        <v/>
      </c>
      <c r="N2645" s="31" t="str">
        <f>IF($L2645="","",INDEX($B$8:$B$5007,$L2645))</f>
        <v/>
      </c>
      <c r="O2645" s="32" t="str">
        <f>IF($M2645="","",IF($K2645-$M2645&gt;7,"",IF($M2645&lt;=$A2645,"",IF(OR($B2645&lt;=0,$N2645&lt;=0),"",($N2645/$B2645)^(365/($M2645-$A2645))-1))))</f>
        <v/>
      </c>
      <c r="P2645" s="31" t="str">
        <f>IF($B2645="","",IF($P2644="",$B2645,MAX($P2644,$B2645)))</f>
        <v/>
      </c>
      <c r="Q2645" s="32" t="str">
        <f>IF($P2645="","",$B2645/$P2645-1)</f>
        <v/>
      </c>
    </row>
    <row r="2646">
      <c r="A2646" s="11" t="n"/>
      <c r="B2646" s="29" t="n"/>
      <c r="K2646" s="30" t="str">
        <f>IF($A2646="","",EDATE($A2646,12*$E$4))</f>
        <v/>
      </c>
      <c r="L2646" s="19" t="str">
        <f>IF($K2646="","",IF($K2646&gt;MAX($A$8:$A$5007),"",IFERROR(MATCH($K2646,$A$8:$A$5007,1),"")))</f>
        <v/>
      </c>
      <c r="M2646" s="30" t="str">
        <f>IF($L2646="","",INDEX($A$8:$A$5007,$L2646))</f>
        <v/>
      </c>
      <c r="N2646" s="31" t="str">
        <f>IF($L2646="","",INDEX($B$8:$B$5007,$L2646))</f>
        <v/>
      </c>
      <c r="O2646" s="32" t="str">
        <f>IF($M2646="","",IF($K2646-$M2646&gt;7,"",IF($M2646&lt;=$A2646,"",IF(OR($B2646&lt;=0,$N2646&lt;=0),"",($N2646/$B2646)^(365/($M2646-$A2646))-1))))</f>
        <v/>
      </c>
      <c r="P2646" s="31" t="str">
        <f>IF($B2646="","",IF($P2645="",$B2646,MAX($P2645,$B2646)))</f>
        <v/>
      </c>
      <c r="Q2646" s="32" t="str">
        <f>IF($P2646="","",$B2646/$P2646-1)</f>
        <v/>
      </c>
    </row>
    <row r="2647">
      <c r="A2647" s="11" t="n"/>
      <c r="B2647" s="29" t="n"/>
      <c r="K2647" s="30" t="str">
        <f>IF($A2647="","",EDATE($A2647,12*$E$4))</f>
        <v/>
      </c>
      <c r="L2647" s="19" t="str">
        <f>IF($K2647="","",IF($K2647&gt;MAX($A$8:$A$5007),"",IFERROR(MATCH($K2647,$A$8:$A$5007,1),"")))</f>
        <v/>
      </c>
      <c r="M2647" s="30" t="str">
        <f>IF($L2647="","",INDEX($A$8:$A$5007,$L2647))</f>
        <v/>
      </c>
      <c r="N2647" s="31" t="str">
        <f>IF($L2647="","",INDEX($B$8:$B$5007,$L2647))</f>
        <v/>
      </c>
      <c r="O2647" s="32" t="str">
        <f>IF($M2647="","",IF($K2647-$M2647&gt;7,"",IF($M2647&lt;=$A2647,"",IF(OR($B2647&lt;=0,$N2647&lt;=0),"",($N2647/$B2647)^(365/($M2647-$A2647))-1))))</f>
        <v/>
      </c>
      <c r="P2647" s="31" t="str">
        <f>IF($B2647="","",IF($P2646="",$B2647,MAX($P2646,$B2647)))</f>
        <v/>
      </c>
      <c r="Q2647" s="32" t="str">
        <f>IF($P2647="","",$B2647/$P2647-1)</f>
        <v/>
      </c>
    </row>
    <row r="2648">
      <c r="A2648" s="11" t="n"/>
      <c r="B2648" s="29" t="n"/>
      <c r="K2648" s="30" t="str">
        <f>IF($A2648="","",EDATE($A2648,12*$E$4))</f>
        <v/>
      </c>
      <c r="L2648" s="19" t="str">
        <f>IF($K2648="","",IF($K2648&gt;MAX($A$8:$A$5007),"",IFERROR(MATCH($K2648,$A$8:$A$5007,1),"")))</f>
        <v/>
      </c>
      <c r="M2648" s="30" t="str">
        <f>IF($L2648="","",INDEX($A$8:$A$5007,$L2648))</f>
        <v/>
      </c>
      <c r="N2648" s="31" t="str">
        <f>IF($L2648="","",INDEX($B$8:$B$5007,$L2648))</f>
        <v/>
      </c>
      <c r="O2648" s="32" t="str">
        <f>IF($M2648="","",IF($K2648-$M2648&gt;7,"",IF($M2648&lt;=$A2648,"",IF(OR($B2648&lt;=0,$N2648&lt;=0),"",($N2648/$B2648)^(365/($M2648-$A2648))-1))))</f>
        <v/>
      </c>
      <c r="P2648" s="31" t="str">
        <f>IF($B2648="","",IF($P2647="",$B2648,MAX($P2647,$B2648)))</f>
        <v/>
      </c>
      <c r="Q2648" s="32" t="str">
        <f>IF($P2648="","",$B2648/$P2648-1)</f>
        <v/>
      </c>
    </row>
    <row r="2649">
      <c r="A2649" s="11" t="n"/>
      <c r="B2649" s="29" t="n"/>
      <c r="K2649" s="30" t="str">
        <f>IF($A2649="","",EDATE($A2649,12*$E$4))</f>
        <v/>
      </c>
      <c r="L2649" s="19" t="str">
        <f>IF($K2649="","",IF($K2649&gt;MAX($A$8:$A$5007),"",IFERROR(MATCH($K2649,$A$8:$A$5007,1),"")))</f>
        <v/>
      </c>
      <c r="M2649" s="30" t="str">
        <f>IF($L2649="","",INDEX($A$8:$A$5007,$L2649))</f>
        <v/>
      </c>
      <c r="N2649" s="31" t="str">
        <f>IF($L2649="","",INDEX($B$8:$B$5007,$L2649))</f>
        <v/>
      </c>
      <c r="O2649" s="32" t="str">
        <f>IF($M2649="","",IF($K2649-$M2649&gt;7,"",IF($M2649&lt;=$A2649,"",IF(OR($B2649&lt;=0,$N2649&lt;=0),"",($N2649/$B2649)^(365/($M2649-$A2649))-1))))</f>
        <v/>
      </c>
      <c r="P2649" s="31" t="str">
        <f>IF($B2649="","",IF($P2648="",$B2649,MAX($P2648,$B2649)))</f>
        <v/>
      </c>
      <c r="Q2649" s="32" t="str">
        <f>IF($P2649="","",$B2649/$P2649-1)</f>
        <v/>
      </c>
    </row>
    <row r="2650">
      <c r="A2650" s="11" t="n"/>
      <c r="B2650" s="29" t="n"/>
      <c r="K2650" s="30" t="str">
        <f>IF($A2650="","",EDATE($A2650,12*$E$4))</f>
        <v/>
      </c>
      <c r="L2650" s="19" t="str">
        <f>IF($K2650="","",IF($K2650&gt;MAX($A$8:$A$5007),"",IFERROR(MATCH($K2650,$A$8:$A$5007,1),"")))</f>
        <v/>
      </c>
      <c r="M2650" s="30" t="str">
        <f>IF($L2650="","",INDEX($A$8:$A$5007,$L2650))</f>
        <v/>
      </c>
      <c r="N2650" s="31" t="str">
        <f>IF($L2650="","",INDEX($B$8:$B$5007,$L2650))</f>
        <v/>
      </c>
      <c r="O2650" s="32" t="str">
        <f>IF($M2650="","",IF($K2650-$M2650&gt;7,"",IF($M2650&lt;=$A2650,"",IF(OR($B2650&lt;=0,$N2650&lt;=0),"",($N2650/$B2650)^(365/($M2650-$A2650))-1))))</f>
        <v/>
      </c>
      <c r="P2650" s="31" t="str">
        <f>IF($B2650="","",IF($P2649="",$B2650,MAX($P2649,$B2650)))</f>
        <v/>
      </c>
      <c r="Q2650" s="32" t="str">
        <f>IF($P2650="","",$B2650/$P2650-1)</f>
        <v/>
      </c>
    </row>
    <row r="2651">
      <c r="A2651" s="11" t="n"/>
      <c r="B2651" s="29" t="n"/>
      <c r="K2651" s="30" t="str">
        <f>IF($A2651="","",EDATE($A2651,12*$E$4))</f>
        <v/>
      </c>
      <c r="L2651" s="19" t="str">
        <f>IF($K2651="","",IF($K2651&gt;MAX($A$8:$A$5007),"",IFERROR(MATCH($K2651,$A$8:$A$5007,1),"")))</f>
        <v/>
      </c>
      <c r="M2651" s="30" t="str">
        <f>IF($L2651="","",INDEX($A$8:$A$5007,$L2651))</f>
        <v/>
      </c>
      <c r="N2651" s="31" t="str">
        <f>IF($L2651="","",INDEX($B$8:$B$5007,$L2651))</f>
        <v/>
      </c>
      <c r="O2651" s="32" t="str">
        <f>IF($M2651="","",IF($K2651-$M2651&gt;7,"",IF($M2651&lt;=$A2651,"",IF(OR($B2651&lt;=0,$N2651&lt;=0),"",($N2651/$B2651)^(365/($M2651-$A2651))-1))))</f>
        <v/>
      </c>
      <c r="P2651" s="31" t="str">
        <f>IF($B2651="","",IF($P2650="",$B2651,MAX($P2650,$B2651)))</f>
        <v/>
      </c>
      <c r="Q2651" s="32" t="str">
        <f>IF($P2651="","",$B2651/$P2651-1)</f>
        <v/>
      </c>
    </row>
    <row r="2652">
      <c r="A2652" s="11" t="n"/>
      <c r="B2652" s="29" t="n"/>
      <c r="K2652" s="30" t="str">
        <f>IF($A2652="","",EDATE($A2652,12*$E$4))</f>
        <v/>
      </c>
      <c r="L2652" s="19" t="str">
        <f>IF($K2652="","",IF($K2652&gt;MAX($A$8:$A$5007),"",IFERROR(MATCH($K2652,$A$8:$A$5007,1),"")))</f>
        <v/>
      </c>
      <c r="M2652" s="30" t="str">
        <f>IF($L2652="","",INDEX($A$8:$A$5007,$L2652))</f>
        <v/>
      </c>
      <c r="N2652" s="31" t="str">
        <f>IF($L2652="","",INDEX($B$8:$B$5007,$L2652))</f>
        <v/>
      </c>
      <c r="O2652" s="32" t="str">
        <f>IF($M2652="","",IF($K2652-$M2652&gt;7,"",IF($M2652&lt;=$A2652,"",IF(OR($B2652&lt;=0,$N2652&lt;=0),"",($N2652/$B2652)^(365/($M2652-$A2652))-1))))</f>
        <v/>
      </c>
      <c r="P2652" s="31" t="str">
        <f>IF($B2652="","",IF($P2651="",$B2652,MAX($P2651,$B2652)))</f>
        <v/>
      </c>
      <c r="Q2652" s="32" t="str">
        <f>IF($P2652="","",$B2652/$P2652-1)</f>
        <v/>
      </c>
    </row>
    <row r="2653">
      <c r="A2653" s="11" t="n"/>
      <c r="B2653" s="29" t="n"/>
      <c r="K2653" s="30" t="str">
        <f>IF($A2653="","",EDATE($A2653,12*$E$4))</f>
        <v/>
      </c>
      <c r="L2653" s="19" t="str">
        <f>IF($K2653="","",IF($K2653&gt;MAX($A$8:$A$5007),"",IFERROR(MATCH($K2653,$A$8:$A$5007,1),"")))</f>
        <v/>
      </c>
      <c r="M2653" s="30" t="str">
        <f>IF($L2653="","",INDEX($A$8:$A$5007,$L2653))</f>
        <v/>
      </c>
      <c r="N2653" s="31" t="str">
        <f>IF($L2653="","",INDEX($B$8:$B$5007,$L2653))</f>
        <v/>
      </c>
      <c r="O2653" s="32" t="str">
        <f>IF($M2653="","",IF($K2653-$M2653&gt;7,"",IF($M2653&lt;=$A2653,"",IF(OR($B2653&lt;=0,$N2653&lt;=0),"",($N2653/$B2653)^(365/($M2653-$A2653))-1))))</f>
        <v/>
      </c>
      <c r="P2653" s="31" t="str">
        <f>IF($B2653="","",IF($P2652="",$B2653,MAX($P2652,$B2653)))</f>
        <v/>
      </c>
      <c r="Q2653" s="32" t="str">
        <f>IF($P2653="","",$B2653/$P2653-1)</f>
        <v/>
      </c>
    </row>
    <row r="2654">
      <c r="A2654" s="11" t="n"/>
      <c r="B2654" s="29" t="n"/>
      <c r="K2654" s="30" t="str">
        <f>IF($A2654="","",EDATE($A2654,12*$E$4))</f>
        <v/>
      </c>
      <c r="L2654" s="19" t="str">
        <f>IF($K2654="","",IF($K2654&gt;MAX($A$8:$A$5007),"",IFERROR(MATCH($K2654,$A$8:$A$5007,1),"")))</f>
        <v/>
      </c>
      <c r="M2654" s="30" t="str">
        <f>IF($L2654="","",INDEX($A$8:$A$5007,$L2654))</f>
        <v/>
      </c>
      <c r="N2654" s="31" t="str">
        <f>IF($L2654="","",INDEX($B$8:$B$5007,$L2654))</f>
        <v/>
      </c>
      <c r="O2654" s="32" t="str">
        <f>IF($M2654="","",IF($K2654-$M2654&gt;7,"",IF($M2654&lt;=$A2654,"",IF(OR($B2654&lt;=0,$N2654&lt;=0),"",($N2654/$B2654)^(365/($M2654-$A2654))-1))))</f>
        <v/>
      </c>
      <c r="P2654" s="31" t="str">
        <f>IF($B2654="","",IF($P2653="",$B2654,MAX($P2653,$B2654)))</f>
        <v/>
      </c>
      <c r="Q2654" s="32" t="str">
        <f>IF($P2654="","",$B2654/$P2654-1)</f>
        <v/>
      </c>
    </row>
    <row r="2655">
      <c r="A2655" s="11" t="n"/>
      <c r="B2655" s="29" t="n"/>
      <c r="K2655" s="30" t="str">
        <f>IF($A2655="","",EDATE($A2655,12*$E$4))</f>
        <v/>
      </c>
      <c r="L2655" s="19" t="str">
        <f>IF($K2655="","",IF($K2655&gt;MAX($A$8:$A$5007),"",IFERROR(MATCH($K2655,$A$8:$A$5007,1),"")))</f>
        <v/>
      </c>
      <c r="M2655" s="30" t="str">
        <f>IF($L2655="","",INDEX($A$8:$A$5007,$L2655))</f>
        <v/>
      </c>
      <c r="N2655" s="31" t="str">
        <f>IF($L2655="","",INDEX($B$8:$B$5007,$L2655))</f>
        <v/>
      </c>
      <c r="O2655" s="32" t="str">
        <f>IF($M2655="","",IF($K2655-$M2655&gt;7,"",IF($M2655&lt;=$A2655,"",IF(OR($B2655&lt;=0,$N2655&lt;=0),"",($N2655/$B2655)^(365/($M2655-$A2655))-1))))</f>
        <v/>
      </c>
      <c r="P2655" s="31" t="str">
        <f>IF($B2655="","",IF($P2654="",$B2655,MAX($P2654,$B2655)))</f>
        <v/>
      </c>
      <c r="Q2655" s="32" t="str">
        <f>IF($P2655="","",$B2655/$P2655-1)</f>
        <v/>
      </c>
    </row>
    <row r="2656">
      <c r="A2656" s="11" t="n"/>
      <c r="B2656" s="29" t="n"/>
      <c r="K2656" s="30" t="str">
        <f>IF($A2656="","",EDATE($A2656,12*$E$4))</f>
        <v/>
      </c>
      <c r="L2656" s="19" t="str">
        <f>IF($K2656="","",IF($K2656&gt;MAX($A$8:$A$5007),"",IFERROR(MATCH($K2656,$A$8:$A$5007,1),"")))</f>
        <v/>
      </c>
      <c r="M2656" s="30" t="str">
        <f>IF($L2656="","",INDEX($A$8:$A$5007,$L2656))</f>
        <v/>
      </c>
      <c r="N2656" s="31" t="str">
        <f>IF($L2656="","",INDEX($B$8:$B$5007,$L2656))</f>
        <v/>
      </c>
      <c r="O2656" s="32" t="str">
        <f>IF($M2656="","",IF($K2656-$M2656&gt;7,"",IF($M2656&lt;=$A2656,"",IF(OR($B2656&lt;=0,$N2656&lt;=0),"",($N2656/$B2656)^(365/($M2656-$A2656))-1))))</f>
        <v/>
      </c>
      <c r="P2656" s="31" t="str">
        <f>IF($B2656="","",IF($P2655="",$B2656,MAX($P2655,$B2656)))</f>
        <v/>
      </c>
      <c r="Q2656" s="32" t="str">
        <f>IF($P2656="","",$B2656/$P2656-1)</f>
        <v/>
      </c>
    </row>
    <row r="2657">
      <c r="A2657" s="11" t="n"/>
      <c r="B2657" s="29" t="n"/>
      <c r="K2657" s="30" t="str">
        <f>IF($A2657="","",EDATE($A2657,12*$E$4))</f>
        <v/>
      </c>
      <c r="L2657" s="19" t="str">
        <f>IF($K2657="","",IF($K2657&gt;MAX($A$8:$A$5007),"",IFERROR(MATCH($K2657,$A$8:$A$5007,1),"")))</f>
        <v/>
      </c>
      <c r="M2657" s="30" t="str">
        <f>IF($L2657="","",INDEX($A$8:$A$5007,$L2657))</f>
        <v/>
      </c>
      <c r="N2657" s="31" t="str">
        <f>IF($L2657="","",INDEX($B$8:$B$5007,$L2657))</f>
        <v/>
      </c>
      <c r="O2657" s="32" t="str">
        <f>IF($M2657="","",IF($K2657-$M2657&gt;7,"",IF($M2657&lt;=$A2657,"",IF(OR($B2657&lt;=0,$N2657&lt;=0),"",($N2657/$B2657)^(365/($M2657-$A2657))-1))))</f>
        <v/>
      </c>
      <c r="P2657" s="31" t="str">
        <f>IF($B2657="","",IF($P2656="",$B2657,MAX($P2656,$B2657)))</f>
        <v/>
      </c>
      <c r="Q2657" s="32" t="str">
        <f>IF($P2657="","",$B2657/$P2657-1)</f>
        <v/>
      </c>
    </row>
    <row r="2658">
      <c r="A2658" s="11" t="n"/>
      <c r="B2658" s="29" t="n"/>
      <c r="K2658" s="30" t="str">
        <f>IF($A2658="","",EDATE($A2658,12*$E$4))</f>
        <v/>
      </c>
      <c r="L2658" s="19" t="str">
        <f>IF($K2658="","",IF($K2658&gt;MAX($A$8:$A$5007),"",IFERROR(MATCH($K2658,$A$8:$A$5007,1),"")))</f>
        <v/>
      </c>
      <c r="M2658" s="30" t="str">
        <f>IF($L2658="","",INDEX($A$8:$A$5007,$L2658))</f>
        <v/>
      </c>
      <c r="N2658" s="31" t="str">
        <f>IF($L2658="","",INDEX($B$8:$B$5007,$L2658))</f>
        <v/>
      </c>
      <c r="O2658" s="32" t="str">
        <f>IF($M2658="","",IF($K2658-$M2658&gt;7,"",IF($M2658&lt;=$A2658,"",IF(OR($B2658&lt;=0,$N2658&lt;=0),"",($N2658/$B2658)^(365/($M2658-$A2658))-1))))</f>
        <v/>
      </c>
      <c r="P2658" s="31" t="str">
        <f>IF($B2658="","",IF($P2657="",$B2658,MAX($P2657,$B2658)))</f>
        <v/>
      </c>
      <c r="Q2658" s="32" t="str">
        <f>IF($P2658="","",$B2658/$P2658-1)</f>
        <v/>
      </c>
    </row>
    <row r="2659">
      <c r="A2659" s="11" t="n"/>
      <c r="B2659" s="29" t="n"/>
      <c r="K2659" s="30" t="str">
        <f>IF($A2659="","",EDATE($A2659,12*$E$4))</f>
        <v/>
      </c>
      <c r="L2659" s="19" t="str">
        <f>IF($K2659="","",IF($K2659&gt;MAX($A$8:$A$5007),"",IFERROR(MATCH($K2659,$A$8:$A$5007,1),"")))</f>
        <v/>
      </c>
      <c r="M2659" s="30" t="str">
        <f>IF($L2659="","",INDEX($A$8:$A$5007,$L2659))</f>
        <v/>
      </c>
      <c r="N2659" s="31" t="str">
        <f>IF($L2659="","",INDEX($B$8:$B$5007,$L2659))</f>
        <v/>
      </c>
      <c r="O2659" s="32" t="str">
        <f>IF($M2659="","",IF($K2659-$M2659&gt;7,"",IF($M2659&lt;=$A2659,"",IF(OR($B2659&lt;=0,$N2659&lt;=0),"",($N2659/$B2659)^(365/($M2659-$A2659))-1))))</f>
        <v/>
      </c>
      <c r="P2659" s="31" t="str">
        <f>IF($B2659="","",IF($P2658="",$B2659,MAX($P2658,$B2659)))</f>
        <v/>
      </c>
      <c r="Q2659" s="32" t="str">
        <f>IF($P2659="","",$B2659/$P2659-1)</f>
        <v/>
      </c>
    </row>
    <row r="2660">
      <c r="A2660" s="11" t="n"/>
      <c r="B2660" s="29" t="n"/>
      <c r="K2660" s="30" t="str">
        <f>IF($A2660="","",EDATE($A2660,12*$E$4))</f>
        <v/>
      </c>
      <c r="L2660" s="19" t="str">
        <f>IF($K2660="","",IF($K2660&gt;MAX($A$8:$A$5007),"",IFERROR(MATCH($K2660,$A$8:$A$5007,1),"")))</f>
        <v/>
      </c>
      <c r="M2660" s="30" t="str">
        <f>IF($L2660="","",INDEX($A$8:$A$5007,$L2660))</f>
        <v/>
      </c>
      <c r="N2660" s="31" t="str">
        <f>IF($L2660="","",INDEX($B$8:$B$5007,$L2660))</f>
        <v/>
      </c>
      <c r="O2660" s="32" t="str">
        <f>IF($M2660="","",IF($K2660-$M2660&gt;7,"",IF($M2660&lt;=$A2660,"",IF(OR($B2660&lt;=0,$N2660&lt;=0),"",($N2660/$B2660)^(365/($M2660-$A2660))-1))))</f>
        <v/>
      </c>
      <c r="P2660" s="31" t="str">
        <f>IF($B2660="","",IF($P2659="",$B2660,MAX($P2659,$B2660)))</f>
        <v/>
      </c>
      <c r="Q2660" s="32" t="str">
        <f>IF($P2660="","",$B2660/$P2660-1)</f>
        <v/>
      </c>
    </row>
    <row r="2661">
      <c r="A2661" s="11" t="n"/>
      <c r="B2661" s="29" t="n"/>
      <c r="K2661" s="30" t="str">
        <f>IF($A2661="","",EDATE($A2661,12*$E$4))</f>
        <v/>
      </c>
      <c r="L2661" s="19" t="str">
        <f>IF($K2661="","",IF($K2661&gt;MAX($A$8:$A$5007),"",IFERROR(MATCH($K2661,$A$8:$A$5007,1),"")))</f>
        <v/>
      </c>
      <c r="M2661" s="30" t="str">
        <f>IF($L2661="","",INDEX($A$8:$A$5007,$L2661))</f>
        <v/>
      </c>
      <c r="N2661" s="31" t="str">
        <f>IF($L2661="","",INDEX($B$8:$B$5007,$L2661))</f>
        <v/>
      </c>
      <c r="O2661" s="32" t="str">
        <f>IF($M2661="","",IF($K2661-$M2661&gt;7,"",IF($M2661&lt;=$A2661,"",IF(OR($B2661&lt;=0,$N2661&lt;=0),"",($N2661/$B2661)^(365/($M2661-$A2661))-1))))</f>
        <v/>
      </c>
      <c r="P2661" s="31" t="str">
        <f>IF($B2661="","",IF($P2660="",$B2661,MAX($P2660,$B2661)))</f>
        <v/>
      </c>
      <c r="Q2661" s="32" t="str">
        <f>IF($P2661="","",$B2661/$P2661-1)</f>
        <v/>
      </c>
    </row>
    <row r="2662">
      <c r="A2662" s="11" t="n"/>
      <c r="B2662" s="29" t="n"/>
      <c r="K2662" s="30" t="str">
        <f>IF($A2662="","",EDATE($A2662,12*$E$4))</f>
        <v/>
      </c>
      <c r="L2662" s="19" t="str">
        <f>IF($K2662="","",IF($K2662&gt;MAX($A$8:$A$5007),"",IFERROR(MATCH($K2662,$A$8:$A$5007,1),"")))</f>
        <v/>
      </c>
      <c r="M2662" s="30" t="str">
        <f>IF($L2662="","",INDEX($A$8:$A$5007,$L2662))</f>
        <v/>
      </c>
      <c r="N2662" s="31" t="str">
        <f>IF($L2662="","",INDEX($B$8:$B$5007,$L2662))</f>
        <v/>
      </c>
      <c r="O2662" s="32" t="str">
        <f>IF($M2662="","",IF($K2662-$M2662&gt;7,"",IF($M2662&lt;=$A2662,"",IF(OR($B2662&lt;=0,$N2662&lt;=0),"",($N2662/$B2662)^(365/($M2662-$A2662))-1))))</f>
        <v/>
      </c>
      <c r="P2662" s="31" t="str">
        <f>IF($B2662="","",IF($P2661="",$B2662,MAX($P2661,$B2662)))</f>
        <v/>
      </c>
      <c r="Q2662" s="32" t="str">
        <f>IF($P2662="","",$B2662/$P2662-1)</f>
        <v/>
      </c>
    </row>
    <row r="2663">
      <c r="A2663" s="11" t="n"/>
      <c r="B2663" s="29" t="n"/>
      <c r="K2663" s="30" t="str">
        <f>IF($A2663="","",EDATE($A2663,12*$E$4))</f>
        <v/>
      </c>
      <c r="L2663" s="19" t="str">
        <f>IF($K2663="","",IF($K2663&gt;MAX($A$8:$A$5007),"",IFERROR(MATCH($K2663,$A$8:$A$5007,1),"")))</f>
        <v/>
      </c>
      <c r="M2663" s="30" t="str">
        <f>IF($L2663="","",INDEX($A$8:$A$5007,$L2663))</f>
        <v/>
      </c>
      <c r="N2663" s="31" t="str">
        <f>IF($L2663="","",INDEX($B$8:$B$5007,$L2663))</f>
        <v/>
      </c>
      <c r="O2663" s="32" t="str">
        <f>IF($M2663="","",IF($K2663-$M2663&gt;7,"",IF($M2663&lt;=$A2663,"",IF(OR($B2663&lt;=0,$N2663&lt;=0),"",($N2663/$B2663)^(365/($M2663-$A2663))-1))))</f>
        <v/>
      </c>
      <c r="P2663" s="31" t="str">
        <f>IF($B2663="","",IF($P2662="",$B2663,MAX($P2662,$B2663)))</f>
        <v/>
      </c>
      <c r="Q2663" s="32" t="str">
        <f>IF($P2663="","",$B2663/$P2663-1)</f>
        <v/>
      </c>
    </row>
    <row r="2664">
      <c r="A2664" s="11" t="n"/>
      <c r="B2664" s="29" t="n"/>
      <c r="K2664" s="30" t="str">
        <f>IF($A2664="","",EDATE($A2664,12*$E$4))</f>
        <v/>
      </c>
      <c r="L2664" s="19" t="str">
        <f>IF($K2664="","",IF($K2664&gt;MAX($A$8:$A$5007),"",IFERROR(MATCH($K2664,$A$8:$A$5007,1),"")))</f>
        <v/>
      </c>
      <c r="M2664" s="30" t="str">
        <f>IF($L2664="","",INDEX($A$8:$A$5007,$L2664))</f>
        <v/>
      </c>
      <c r="N2664" s="31" t="str">
        <f>IF($L2664="","",INDEX($B$8:$B$5007,$L2664))</f>
        <v/>
      </c>
      <c r="O2664" s="32" t="str">
        <f>IF($M2664="","",IF($K2664-$M2664&gt;7,"",IF($M2664&lt;=$A2664,"",IF(OR($B2664&lt;=0,$N2664&lt;=0),"",($N2664/$B2664)^(365/($M2664-$A2664))-1))))</f>
        <v/>
      </c>
      <c r="P2664" s="31" t="str">
        <f>IF($B2664="","",IF($P2663="",$B2664,MAX($P2663,$B2664)))</f>
        <v/>
      </c>
      <c r="Q2664" s="32" t="str">
        <f>IF($P2664="","",$B2664/$P2664-1)</f>
        <v/>
      </c>
    </row>
    <row r="2665">
      <c r="A2665" s="11" t="n"/>
      <c r="B2665" s="29" t="n"/>
      <c r="K2665" s="30" t="str">
        <f>IF($A2665="","",EDATE($A2665,12*$E$4))</f>
        <v/>
      </c>
      <c r="L2665" s="19" t="str">
        <f>IF($K2665="","",IF($K2665&gt;MAX($A$8:$A$5007),"",IFERROR(MATCH($K2665,$A$8:$A$5007,1),"")))</f>
        <v/>
      </c>
      <c r="M2665" s="30" t="str">
        <f>IF($L2665="","",INDEX($A$8:$A$5007,$L2665))</f>
        <v/>
      </c>
      <c r="N2665" s="31" t="str">
        <f>IF($L2665="","",INDEX($B$8:$B$5007,$L2665))</f>
        <v/>
      </c>
      <c r="O2665" s="32" t="str">
        <f>IF($M2665="","",IF($K2665-$M2665&gt;7,"",IF($M2665&lt;=$A2665,"",IF(OR($B2665&lt;=0,$N2665&lt;=0),"",($N2665/$B2665)^(365/($M2665-$A2665))-1))))</f>
        <v/>
      </c>
      <c r="P2665" s="31" t="str">
        <f>IF($B2665="","",IF($P2664="",$B2665,MAX($P2664,$B2665)))</f>
        <v/>
      </c>
      <c r="Q2665" s="32" t="str">
        <f>IF($P2665="","",$B2665/$P2665-1)</f>
        <v/>
      </c>
    </row>
    <row r="2666">
      <c r="A2666" s="11" t="n"/>
      <c r="B2666" s="29" t="n"/>
      <c r="K2666" s="30" t="str">
        <f>IF($A2666="","",EDATE($A2666,12*$E$4))</f>
        <v/>
      </c>
      <c r="L2666" s="19" t="str">
        <f>IF($K2666="","",IF($K2666&gt;MAX($A$8:$A$5007),"",IFERROR(MATCH($K2666,$A$8:$A$5007,1),"")))</f>
        <v/>
      </c>
      <c r="M2666" s="30" t="str">
        <f>IF($L2666="","",INDEX($A$8:$A$5007,$L2666))</f>
        <v/>
      </c>
      <c r="N2666" s="31" t="str">
        <f>IF($L2666="","",INDEX($B$8:$B$5007,$L2666))</f>
        <v/>
      </c>
      <c r="O2666" s="32" t="str">
        <f>IF($M2666="","",IF($K2666-$M2666&gt;7,"",IF($M2666&lt;=$A2666,"",IF(OR($B2666&lt;=0,$N2666&lt;=0),"",($N2666/$B2666)^(365/($M2666-$A2666))-1))))</f>
        <v/>
      </c>
      <c r="P2666" s="31" t="str">
        <f>IF($B2666="","",IF($P2665="",$B2666,MAX($P2665,$B2666)))</f>
        <v/>
      </c>
      <c r="Q2666" s="32" t="str">
        <f>IF($P2666="","",$B2666/$P2666-1)</f>
        <v/>
      </c>
    </row>
    <row r="2667">
      <c r="A2667" s="11" t="n"/>
      <c r="B2667" s="29" t="n"/>
      <c r="K2667" s="30" t="str">
        <f>IF($A2667="","",EDATE($A2667,12*$E$4))</f>
        <v/>
      </c>
      <c r="L2667" s="19" t="str">
        <f>IF($K2667="","",IF($K2667&gt;MAX($A$8:$A$5007),"",IFERROR(MATCH($K2667,$A$8:$A$5007,1),"")))</f>
        <v/>
      </c>
      <c r="M2667" s="30" t="str">
        <f>IF($L2667="","",INDEX($A$8:$A$5007,$L2667))</f>
        <v/>
      </c>
      <c r="N2667" s="31" t="str">
        <f>IF($L2667="","",INDEX($B$8:$B$5007,$L2667))</f>
        <v/>
      </c>
      <c r="O2667" s="32" t="str">
        <f>IF($M2667="","",IF($K2667-$M2667&gt;7,"",IF($M2667&lt;=$A2667,"",IF(OR($B2667&lt;=0,$N2667&lt;=0),"",($N2667/$B2667)^(365/($M2667-$A2667))-1))))</f>
        <v/>
      </c>
      <c r="P2667" s="31" t="str">
        <f>IF($B2667="","",IF($P2666="",$B2667,MAX($P2666,$B2667)))</f>
        <v/>
      </c>
      <c r="Q2667" s="32" t="str">
        <f>IF($P2667="","",$B2667/$P2667-1)</f>
        <v/>
      </c>
    </row>
    <row r="2668">
      <c r="A2668" s="11" t="n"/>
      <c r="B2668" s="29" t="n"/>
      <c r="K2668" s="30" t="str">
        <f>IF($A2668="","",EDATE($A2668,12*$E$4))</f>
        <v/>
      </c>
      <c r="L2668" s="19" t="str">
        <f>IF($K2668="","",IF($K2668&gt;MAX($A$8:$A$5007),"",IFERROR(MATCH($K2668,$A$8:$A$5007,1),"")))</f>
        <v/>
      </c>
      <c r="M2668" s="30" t="str">
        <f>IF($L2668="","",INDEX($A$8:$A$5007,$L2668))</f>
        <v/>
      </c>
      <c r="N2668" s="31" t="str">
        <f>IF($L2668="","",INDEX($B$8:$B$5007,$L2668))</f>
        <v/>
      </c>
      <c r="O2668" s="32" t="str">
        <f>IF($M2668="","",IF($K2668-$M2668&gt;7,"",IF($M2668&lt;=$A2668,"",IF(OR($B2668&lt;=0,$N2668&lt;=0),"",($N2668/$B2668)^(365/($M2668-$A2668))-1))))</f>
        <v/>
      </c>
      <c r="P2668" s="31" t="str">
        <f>IF($B2668="","",IF($P2667="",$B2668,MAX($P2667,$B2668)))</f>
        <v/>
      </c>
      <c r="Q2668" s="32" t="str">
        <f>IF($P2668="","",$B2668/$P2668-1)</f>
        <v/>
      </c>
    </row>
    <row r="2669">
      <c r="A2669" s="11" t="n"/>
      <c r="B2669" s="29" t="n"/>
      <c r="K2669" s="30" t="str">
        <f>IF($A2669="","",EDATE($A2669,12*$E$4))</f>
        <v/>
      </c>
      <c r="L2669" s="19" t="str">
        <f>IF($K2669="","",IF($K2669&gt;MAX($A$8:$A$5007),"",IFERROR(MATCH($K2669,$A$8:$A$5007,1),"")))</f>
        <v/>
      </c>
      <c r="M2669" s="30" t="str">
        <f>IF($L2669="","",INDEX($A$8:$A$5007,$L2669))</f>
        <v/>
      </c>
      <c r="N2669" s="31" t="str">
        <f>IF($L2669="","",INDEX($B$8:$B$5007,$L2669))</f>
        <v/>
      </c>
      <c r="O2669" s="32" t="str">
        <f>IF($M2669="","",IF($K2669-$M2669&gt;7,"",IF($M2669&lt;=$A2669,"",IF(OR($B2669&lt;=0,$N2669&lt;=0),"",($N2669/$B2669)^(365/($M2669-$A2669))-1))))</f>
        <v/>
      </c>
      <c r="P2669" s="31" t="str">
        <f>IF($B2669="","",IF($P2668="",$B2669,MAX($P2668,$B2669)))</f>
        <v/>
      </c>
      <c r="Q2669" s="32" t="str">
        <f>IF($P2669="","",$B2669/$P2669-1)</f>
        <v/>
      </c>
    </row>
    <row r="2670">
      <c r="A2670" s="11" t="n"/>
      <c r="B2670" s="29" t="n"/>
      <c r="K2670" s="30" t="str">
        <f>IF($A2670="","",EDATE($A2670,12*$E$4))</f>
        <v/>
      </c>
      <c r="L2670" s="19" t="str">
        <f>IF($K2670="","",IF($K2670&gt;MAX($A$8:$A$5007),"",IFERROR(MATCH($K2670,$A$8:$A$5007,1),"")))</f>
        <v/>
      </c>
      <c r="M2670" s="30" t="str">
        <f>IF($L2670="","",INDEX($A$8:$A$5007,$L2670))</f>
        <v/>
      </c>
      <c r="N2670" s="31" t="str">
        <f>IF($L2670="","",INDEX($B$8:$B$5007,$L2670))</f>
        <v/>
      </c>
      <c r="O2670" s="32" t="str">
        <f>IF($M2670="","",IF($K2670-$M2670&gt;7,"",IF($M2670&lt;=$A2670,"",IF(OR($B2670&lt;=0,$N2670&lt;=0),"",($N2670/$B2670)^(365/($M2670-$A2670))-1))))</f>
        <v/>
      </c>
      <c r="P2670" s="31" t="str">
        <f>IF($B2670="","",IF($P2669="",$B2670,MAX($P2669,$B2670)))</f>
        <v/>
      </c>
      <c r="Q2670" s="32" t="str">
        <f>IF($P2670="","",$B2670/$P2670-1)</f>
        <v/>
      </c>
    </row>
    <row r="2671">
      <c r="A2671" s="11" t="n"/>
      <c r="B2671" s="29" t="n"/>
      <c r="K2671" s="30" t="str">
        <f>IF($A2671="","",EDATE($A2671,12*$E$4))</f>
        <v/>
      </c>
      <c r="L2671" s="19" t="str">
        <f>IF($K2671="","",IF($K2671&gt;MAX($A$8:$A$5007),"",IFERROR(MATCH($K2671,$A$8:$A$5007,1),"")))</f>
        <v/>
      </c>
      <c r="M2671" s="30" t="str">
        <f>IF($L2671="","",INDEX($A$8:$A$5007,$L2671))</f>
        <v/>
      </c>
      <c r="N2671" s="31" t="str">
        <f>IF($L2671="","",INDEX($B$8:$B$5007,$L2671))</f>
        <v/>
      </c>
      <c r="O2671" s="32" t="str">
        <f>IF($M2671="","",IF($K2671-$M2671&gt;7,"",IF($M2671&lt;=$A2671,"",IF(OR($B2671&lt;=0,$N2671&lt;=0),"",($N2671/$B2671)^(365/($M2671-$A2671))-1))))</f>
        <v/>
      </c>
      <c r="P2671" s="31" t="str">
        <f>IF($B2671="","",IF($P2670="",$B2671,MAX($P2670,$B2671)))</f>
        <v/>
      </c>
      <c r="Q2671" s="32" t="str">
        <f>IF($P2671="","",$B2671/$P2671-1)</f>
        <v/>
      </c>
    </row>
    <row r="2672">
      <c r="A2672" s="11" t="n"/>
      <c r="B2672" s="29" t="n"/>
      <c r="K2672" s="30" t="str">
        <f>IF($A2672="","",EDATE($A2672,12*$E$4))</f>
        <v/>
      </c>
      <c r="L2672" s="19" t="str">
        <f>IF($K2672="","",IF($K2672&gt;MAX($A$8:$A$5007),"",IFERROR(MATCH($K2672,$A$8:$A$5007,1),"")))</f>
        <v/>
      </c>
      <c r="M2672" s="30" t="str">
        <f>IF($L2672="","",INDEX($A$8:$A$5007,$L2672))</f>
        <v/>
      </c>
      <c r="N2672" s="31" t="str">
        <f>IF($L2672="","",INDEX($B$8:$B$5007,$L2672))</f>
        <v/>
      </c>
      <c r="O2672" s="32" t="str">
        <f>IF($M2672="","",IF($K2672-$M2672&gt;7,"",IF($M2672&lt;=$A2672,"",IF(OR($B2672&lt;=0,$N2672&lt;=0),"",($N2672/$B2672)^(365/($M2672-$A2672))-1))))</f>
        <v/>
      </c>
      <c r="P2672" s="31" t="str">
        <f>IF($B2672="","",IF($P2671="",$B2672,MAX($P2671,$B2672)))</f>
        <v/>
      </c>
      <c r="Q2672" s="32" t="str">
        <f>IF($P2672="","",$B2672/$P2672-1)</f>
        <v/>
      </c>
    </row>
    <row r="2673">
      <c r="A2673" s="11" t="n"/>
      <c r="B2673" s="29" t="n"/>
      <c r="K2673" s="30" t="str">
        <f>IF($A2673="","",EDATE($A2673,12*$E$4))</f>
        <v/>
      </c>
      <c r="L2673" s="19" t="str">
        <f>IF($K2673="","",IF($K2673&gt;MAX($A$8:$A$5007),"",IFERROR(MATCH($K2673,$A$8:$A$5007,1),"")))</f>
        <v/>
      </c>
      <c r="M2673" s="30" t="str">
        <f>IF($L2673="","",INDEX($A$8:$A$5007,$L2673))</f>
        <v/>
      </c>
      <c r="N2673" s="31" t="str">
        <f>IF($L2673="","",INDEX($B$8:$B$5007,$L2673))</f>
        <v/>
      </c>
      <c r="O2673" s="32" t="str">
        <f>IF($M2673="","",IF($K2673-$M2673&gt;7,"",IF($M2673&lt;=$A2673,"",IF(OR($B2673&lt;=0,$N2673&lt;=0),"",($N2673/$B2673)^(365/($M2673-$A2673))-1))))</f>
        <v/>
      </c>
      <c r="P2673" s="31" t="str">
        <f>IF($B2673="","",IF($P2672="",$B2673,MAX($P2672,$B2673)))</f>
        <v/>
      </c>
      <c r="Q2673" s="32" t="str">
        <f>IF($P2673="","",$B2673/$P2673-1)</f>
        <v/>
      </c>
    </row>
    <row r="2674">
      <c r="A2674" s="11" t="n"/>
      <c r="B2674" s="29" t="n"/>
      <c r="K2674" s="30" t="str">
        <f>IF($A2674="","",EDATE($A2674,12*$E$4))</f>
        <v/>
      </c>
      <c r="L2674" s="19" t="str">
        <f>IF($K2674="","",IF($K2674&gt;MAX($A$8:$A$5007),"",IFERROR(MATCH($K2674,$A$8:$A$5007,1),"")))</f>
        <v/>
      </c>
      <c r="M2674" s="30" t="str">
        <f>IF($L2674="","",INDEX($A$8:$A$5007,$L2674))</f>
        <v/>
      </c>
      <c r="N2674" s="31" t="str">
        <f>IF($L2674="","",INDEX($B$8:$B$5007,$L2674))</f>
        <v/>
      </c>
      <c r="O2674" s="32" t="str">
        <f>IF($M2674="","",IF($K2674-$M2674&gt;7,"",IF($M2674&lt;=$A2674,"",IF(OR($B2674&lt;=0,$N2674&lt;=0),"",($N2674/$B2674)^(365/($M2674-$A2674))-1))))</f>
        <v/>
      </c>
      <c r="P2674" s="31" t="str">
        <f>IF($B2674="","",IF($P2673="",$B2674,MAX($P2673,$B2674)))</f>
        <v/>
      </c>
      <c r="Q2674" s="32" t="str">
        <f>IF($P2674="","",$B2674/$P2674-1)</f>
        <v/>
      </c>
    </row>
    <row r="2675">
      <c r="A2675" s="11" t="n"/>
      <c r="B2675" s="29" t="n"/>
      <c r="K2675" s="30" t="str">
        <f>IF($A2675="","",EDATE($A2675,12*$E$4))</f>
        <v/>
      </c>
      <c r="L2675" s="19" t="str">
        <f>IF($K2675="","",IF($K2675&gt;MAX($A$8:$A$5007),"",IFERROR(MATCH($K2675,$A$8:$A$5007,1),"")))</f>
        <v/>
      </c>
      <c r="M2675" s="30" t="str">
        <f>IF($L2675="","",INDEX($A$8:$A$5007,$L2675))</f>
        <v/>
      </c>
      <c r="N2675" s="31" t="str">
        <f>IF($L2675="","",INDEX($B$8:$B$5007,$L2675))</f>
        <v/>
      </c>
      <c r="O2675" s="32" t="str">
        <f>IF($M2675="","",IF($K2675-$M2675&gt;7,"",IF($M2675&lt;=$A2675,"",IF(OR($B2675&lt;=0,$N2675&lt;=0),"",($N2675/$B2675)^(365/($M2675-$A2675))-1))))</f>
        <v/>
      </c>
      <c r="P2675" s="31" t="str">
        <f>IF($B2675="","",IF($P2674="",$B2675,MAX($P2674,$B2675)))</f>
        <v/>
      </c>
      <c r="Q2675" s="32" t="str">
        <f>IF($P2675="","",$B2675/$P2675-1)</f>
        <v/>
      </c>
    </row>
    <row r="2676">
      <c r="A2676" s="11" t="n"/>
      <c r="B2676" s="29" t="n"/>
      <c r="K2676" s="30" t="str">
        <f>IF($A2676="","",EDATE($A2676,12*$E$4))</f>
        <v/>
      </c>
      <c r="L2676" s="19" t="str">
        <f>IF($K2676="","",IF($K2676&gt;MAX($A$8:$A$5007),"",IFERROR(MATCH($K2676,$A$8:$A$5007,1),"")))</f>
        <v/>
      </c>
      <c r="M2676" s="30" t="str">
        <f>IF($L2676="","",INDEX($A$8:$A$5007,$L2676))</f>
        <v/>
      </c>
      <c r="N2676" s="31" t="str">
        <f>IF($L2676="","",INDEX($B$8:$B$5007,$L2676))</f>
        <v/>
      </c>
      <c r="O2676" s="32" t="str">
        <f>IF($M2676="","",IF($K2676-$M2676&gt;7,"",IF($M2676&lt;=$A2676,"",IF(OR($B2676&lt;=0,$N2676&lt;=0),"",($N2676/$B2676)^(365/($M2676-$A2676))-1))))</f>
        <v/>
      </c>
      <c r="P2676" s="31" t="str">
        <f>IF($B2676="","",IF($P2675="",$B2676,MAX($P2675,$B2676)))</f>
        <v/>
      </c>
      <c r="Q2676" s="32" t="str">
        <f>IF($P2676="","",$B2676/$P2676-1)</f>
        <v/>
      </c>
    </row>
    <row r="2677">
      <c r="A2677" s="11" t="n"/>
      <c r="B2677" s="29" t="n"/>
      <c r="K2677" s="30" t="str">
        <f>IF($A2677="","",EDATE($A2677,12*$E$4))</f>
        <v/>
      </c>
      <c r="L2677" s="19" t="str">
        <f>IF($K2677="","",IF($K2677&gt;MAX($A$8:$A$5007),"",IFERROR(MATCH($K2677,$A$8:$A$5007,1),"")))</f>
        <v/>
      </c>
      <c r="M2677" s="30" t="str">
        <f>IF($L2677="","",INDEX($A$8:$A$5007,$L2677))</f>
        <v/>
      </c>
      <c r="N2677" s="31" t="str">
        <f>IF($L2677="","",INDEX($B$8:$B$5007,$L2677))</f>
        <v/>
      </c>
      <c r="O2677" s="32" t="str">
        <f>IF($M2677="","",IF($K2677-$M2677&gt;7,"",IF($M2677&lt;=$A2677,"",IF(OR($B2677&lt;=0,$N2677&lt;=0),"",($N2677/$B2677)^(365/($M2677-$A2677))-1))))</f>
        <v/>
      </c>
      <c r="P2677" s="31" t="str">
        <f>IF($B2677="","",IF($P2676="",$B2677,MAX($P2676,$B2677)))</f>
        <v/>
      </c>
      <c r="Q2677" s="32" t="str">
        <f>IF($P2677="","",$B2677/$P2677-1)</f>
        <v/>
      </c>
    </row>
    <row r="2678">
      <c r="A2678" s="11" t="n"/>
      <c r="B2678" s="29" t="n"/>
      <c r="K2678" s="30" t="str">
        <f>IF($A2678="","",EDATE($A2678,12*$E$4))</f>
        <v/>
      </c>
      <c r="L2678" s="19" t="str">
        <f>IF($K2678="","",IF($K2678&gt;MAX($A$8:$A$5007),"",IFERROR(MATCH($K2678,$A$8:$A$5007,1),"")))</f>
        <v/>
      </c>
      <c r="M2678" s="30" t="str">
        <f>IF($L2678="","",INDEX($A$8:$A$5007,$L2678))</f>
        <v/>
      </c>
      <c r="N2678" s="31" t="str">
        <f>IF($L2678="","",INDEX($B$8:$B$5007,$L2678))</f>
        <v/>
      </c>
      <c r="O2678" s="32" t="str">
        <f>IF($M2678="","",IF($K2678-$M2678&gt;7,"",IF($M2678&lt;=$A2678,"",IF(OR($B2678&lt;=0,$N2678&lt;=0),"",($N2678/$B2678)^(365/($M2678-$A2678))-1))))</f>
        <v/>
      </c>
      <c r="P2678" s="31" t="str">
        <f>IF($B2678="","",IF($P2677="",$B2678,MAX($P2677,$B2678)))</f>
        <v/>
      </c>
      <c r="Q2678" s="32" t="str">
        <f>IF($P2678="","",$B2678/$P2678-1)</f>
        <v/>
      </c>
    </row>
    <row r="2679">
      <c r="A2679" s="11" t="n"/>
      <c r="B2679" s="29" t="n"/>
      <c r="K2679" s="30" t="str">
        <f>IF($A2679="","",EDATE($A2679,12*$E$4))</f>
        <v/>
      </c>
      <c r="L2679" s="19" t="str">
        <f>IF($K2679="","",IF($K2679&gt;MAX($A$8:$A$5007),"",IFERROR(MATCH($K2679,$A$8:$A$5007,1),"")))</f>
        <v/>
      </c>
      <c r="M2679" s="30" t="str">
        <f>IF($L2679="","",INDEX($A$8:$A$5007,$L2679))</f>
        <v/>
      </c>
      <c r="N2679" s="31" t="str">
        <f>IF($L2679="","",INDEX($B$8:$B$5007,$L2679))</f>
        <v/>
      </c>
      <c r="O2679" s="32" t="str">
        <f>IF($M2679="","",IF($K2679-$M2679&gt;7,"",IF($M2679&lt;=$A2679,"",IF(OR($B2679&lt;=0,$N2679&lt;=0),"",($N2679/$B2679)^(365/($M2679-$A2679))-1))))</f>
        <v/>
      </c>
      <c r="P2679" s="31" t="str">
        <f>IF($B2679="","",IF($P2678="",$B2679,MAX($P2678,$B2679)))</f>
        <v/>
      </c>
      <c r="Q2679" s="32" t="str">
        <f>IF($P2679="","",$B2679/$P2679-1)</f>
        <v/>
      </c>
    </row>
    <row r="2680">
      <c r="A2680" s="11" t="n"/>
      <c r="B2680" s="29" t="n"/>
      <c r="K2680" s="30" t="str">
        <f>IF($A2680="","",EDATE($A2680,12*$E$4))</f>
        <v/>
      </c>
      <c r="L2680" s="19" t="str">
        <f>IF($K2680="","",IF($K2680&gt;MAX($A$8:$A$5007),"",IFERROR(MATCH($K2680,$A$8:$A$5007,1),"")))</f>
        <v/>
      </c>
      <c r="M2680" s="30" t="str">
        <f>IF($L2680="","",INDEX($A$8:$A$5007,$L2680))</f>
        <v/>
      </c>
      <c r="N2680" s="31" t="str">
        <f>IF($L2680="","",INDEX($B$8:$B$5007,$L2680))</f>
        <v/>
      </c>
      <c r="O2680" s="32" t="str">
        <f>IF($M2680="","",IF($K2680-$M2680&gt;7,"",IF($M2680&lt;=$A2680,"",IF(OR($B2680&lt;=0,$N2680&lt;=0),"",($N2680/$B2680)^(365/($M2680-$A2680))-1))))</f>
        <v/>
      </c>
      <c r="P2680" s="31" t="str">
        <f>IF($B2680="","",IF($P2679="",$B2680,MAX($P2679,$B2680)))</f>
        <v/>
      </c>
      <c r="Q2680" s="32" t="str">
        <f>IF($P2680="","",$B2680/$P2680-1)</f>
        <v/>
      </c>
    </row>
    <row r="2681">
      <c r="A2681" s="11" t="n"/>
      <c r="B2681" s="29" t="n"/>
      <c r="K2681" s="30" t="str">
        <f>IF($A2681="","",EDATE($A2681,12*$E$4))</f>
        <v/>
      </c>
      <c r="L2681" s="19" t="str">
        <f>IF($K2681="","",IF($K2681&gt;MAX($A$8:$A$5007),"",IFERROR(MATCH($K2681,$A$8:$A$5007,1),"")))</f>
        <v/>
      </c>
      <c r="M2681" s="30" t="str">
        <f>IF($L2681="","",INDEX($A$8:$A$5007,$L2681))</f>
        <v/>
      </c>
      <c r="N2681" s="31" t="str">
        <f>IF($L2681="","",INDEX($B$8:$B$5007,$L2681))</f>
        <v/>
      </c>
      <c r="O2681" s="32" t="str">
        <f>IF($M2681="","",IF($K2681-$M2681&gt;7,"",IF($M2681&lt;=$A2681,"",IF(OR($B2681&lt;=0,$N2681&lt;=0),"",($N2681/$B2681)^(365/($M2681-$A2681))-1))))</f>
        <v/>
      </c>
      <c r="P2681" s="31" t="str">
        <f>IF($B2681="","",IF($P2680="",$B2681,MAX($P2680,$B2681)))</f>
        <v/>
      </c>
      <c r="Q2681" s="32" t="str">
        <f>IF($P2681="","",$B2681/$P2681-1)</f>
        <v/>
      </c>
    </row>
    <row r="2682">
      <c r="A2682" s="11" t="n"/>
      <c r="B2682" s="29" t="n"/>
      <c r="K2682" s="30" t="str">
        <f>IF($A2682="","",EDATE($A2682,12*$E$4))</f>
        <v/>
      </c>
      <c r="L2682" s="19" t="str">
        <f>IF($K2682="","",IF($K2682&gt;MAX($A$8:$A$5007),"",IFERROR(MATCH($K2682,$A$8:$A$5007,1),"")))</f>
        <v/>
      </c>
      <c r="M2682" s="30" t="str">
        <f>IF($L2682="","",INDEX($A$8:$A$5007,$L2682))</f>
        <v/>
      </c>
      <c r="N2682" s="31" t="str">
        <f>IF($L2682="","",INDEX($B$8:$B$5007,$L2682))</f>
        <v/>
      </c>
      <c r="O2682" s="32" t="str">
        <f>IF($M2682="","",IF($K2682-$M2682&gt;7,"",IF($M2682&lt;=$A2682,"",IF(OR($B2682&lt;=0,$N2682&lt;=0),"",($N2682/$B2682)^(365/($M2682-$A2682))-1))))</f>
        <v/>
      </c>
      <c r="P2682" s="31" t="str">
        <f>IF($B2682="","",IF($P2681="",$B2682,MAX($P2681,$B2682)))</f>
        <v/>
      </c>
      <c r="Q2682" s="32" t="str">
        <f>IF($P2682="","",$B2682/$P2682-1)</f>
        <v/>
      </c>
    </row>
    <row r="2683">
      <c r="A2683" s="11" t="n"/>
      <c r="B2683" s="29" t="n"/>
      <c r="K2683" s="30" t="str">
        <f>IF($A2683="","",EDATE($A2683,12*$E$4))</f>
        <v/>
      </c>
      <c r="L2683" s="19" t="str">
        <f>IF($K2683="","",IF($K2683&gt;MAX($A$8:$A$5007),"",IFERROR(MATCH($K2683,$A$8:$A$5007,1),"")))</f>
        <v/>
      </c>
      <c r="M2683" s="30" t="str">
        <f>IF($L2683="","",INDEX($A$8:$A$5007,$L2683))</f>
        <v/>
      </c>
      <c r="N2683" s="31" t="str">
        <f>IF($L2683="","",INDEX($B$8:$B$5007,$L2683))</f>
        <v/>
      </c>
      <c r="O2683" s="32" t="str">
        <f>IF($M2683="","",IF($K2683-$M2683&gt;7,"",IF($M2683&lt;=$A2683,"",IF(OR($B2683&lt;=0,$N2683&lt;=0),"",($N2683/$B2683)^(365/($M2683-$A2683))-1))))</f>
        <v/>
      </c>
      <c r="P2683" s="31" t="str">
        <f>IF($B2683="","",IF($P2682="",$B2683,MAX($P2682,$B2683)))</f>
        <v/>
      </c>
      <c r="Q2683" s="32" t="str">
        <f>IF($P2683="","",$B2683/$P2683-1)</f>
        <v/>
      </c>
    </row>
    <row r="2684">
      <c r="A2684" s="11" t="n"/>
      <c r="B2684" s="29" t="n"/>
      <c r="K2684" s="30" t="str">
        <f>IF($A2684="","",EDATE($A2684,12*$E$4))</f>
        <v/>
      </c>
      <c r="L2684" s="19" t="str">
        <f>IF($K2684="","",IF($K2684&gt;MAX($A$8:$A$5007),"",IFERROR(MATCH($K2684,$A$8:$A$5007,1),"")))</f>
        <v/>
      </c>
      <c r="M2684" s="30" t="str">
        <f>IF($L2684="","",INDEX($A$8:$A$5007,$L2684))</f>
        <v/>
      </c>
      <c r="N2684" s="31" t="str">
        <f>IF($L2684="","",INDEX($B$8:$B$5007,$L2684))</f>
        <v/>
      </c>
      <c r="O2684" s="32" t="str">
        <f>IF($M2684="","",IF($K2684-$M2684&gt;7,"",IF($M2684&lt;=$A2684,"",IF(OR($B2684&lt;=0,$N2684&lt;=0),"",($N2684/$B2684)^(365/($M2684-$A2684))-1))))</f>
        <v/>
      </c>
      <c r="P2684" s="31" t="str">
        <f>IF($B2684="","",IF($P2683="",$B2684,MAX($P2683,$B2684)))</f>
        <v/>
      </c>
      <c r="Q2684" s="32" t="str">
        <f>IF($P2684="","",$B2684/$P2684-1)</f>
        <v/>
      </c>
    </row>
    <row r="2685">
      <c r="A2685" s="11" t="n"/>
      <c r="B2685" s="29" t="n"/>
      <c r="K2685" s="30" t="str">
        <f>IF($A2685="","",EDATE($A2685,12*$E$4))</f>
        <v/>
      </c>
      <c r="L2685" s="19" t="str">
        <f>IF($K2685="","",IF($K2685&gt;MAX($A$8:$A$5007),"",IFERROR(MATCH($K2685,$A$8:$A$5007,1),"")))</f>
        <v/>
      </c>
      <c r="M2685" s="30" t="str">
        <f>IF($L2685="","",INDEX($A$8:$A$5007,$L2685))</f>
        <v/>
      </c>
      <c r="N2685" s="31" t="str">
        <f>IF($L2685="","",INDEX($B$8:$B$5007,$L2685))</f>
        <v/>
      </c>
      <c r="O2685" s="32" t="str">
        <f>IF($M2685="","",IF($K2685-$M2685&gt;7,"",IF($M2685&lt;=$A2685,"",IF(OR($B2685&lt;=0,$N2685&lt;=0),"",($N2685/$B2685)^(365/($M2685-$A2685))-1))))</f>
        <v/>
      </c>
      <c r="P2685" s="31" t="str">
        <f>IF($B2685="","",IF($P2684="",$B2685,MAX($P2684,$B2685)))</f>
        <v/>
      </c>
      <c r="Q2685" s="32" t="str">
        <f>IF($P2685="","",$B2685/$P2685-1)</f>
        <v/>
      </c>
    </row>
    <row r="2686">
      <c r="A2686" s="11" t="n"/>
      <c r="B2686" s="29" t="n"/>
      <c r="K2686" s="30" t="str">
        <f>IF($A2686="","",EDATE($A2686,12*$E$4))</f>
        <v/>
      </c>
      <c r="L2686" s="19" t="str">
        <f>IF($K2686="","",IF($K2686&gt;MAX($A$8:$A$5007),"",IFERROR(MATCH($K2686,$A$8:$A$5007,1),"")))</f>
        <v/>
      </c>
      <c r="M2686" s="30" t="str">
        <f>IF($L2686="","",INDEX($A$8:$A$5007,$L2686))</f>
        <v/>
      </c>
      <c r="N2686" s="31" t="str">
        <f>IF($L2686="","",INDEX($B$8:$B$5007,$L2686))</f>
        <v/>
      </c>
      <c r="O2686" s="32" t="str">
        <f>IF($M2686="","",IF($K2686-$M2686&gt;7,"",IF($M2686&lt;=$A2686,"",IF(OR($B2686&lt;=0,$N2686&lt;=0),"",($N2686/$B2686)^(365/($M2686-$A2686))-1))))</f>
        <v/>
      </c>
      <c r="P2686" s="31" t="str">
        <f>IF($B2686="","",IF($P2685="",$B2686,MAX($P2685,$B2686)))</f>
        <v/>
      </c>
      <c r="Q2686" s="32" t="str">
        <f>IF($P2686="","",$B2686/$P2686-1)</f>
        <v/>
      </c>
    </row>
    <row r="2687">
      <c r="A2687" s="11" t="n"/>
      <c r="B2687" s="29" t="n"/>
      <c r="K2687" s="30" t="str">
        <f>IF($A2687="","",EDATE($A2687,12*$E$4))</f>
        <v/>
      </c>
      <c r="L2687" s="19" t="str">
        <f>IF($K2687="","",IF($K2687&gt;MAX($A$8:$A$5007),"",IFERROR(MATCH($K2687,$A$8:$A$5007,1),"")))</f>
        <v/>
      </c>
      <c r="M2687" s="30" t="str">
        <f>IF($L2687="","",INDEX($A$8:$A$5007,$L2687))</f>
        <v/>
      </c>
      <c r="N2687" s="31" t="str">
        <f>IF($L2687="","",INDEX($B$8:$B$5007,$L2687))</f>
        <v/>
      </c>
      <c r="O2687" s="32" t="str">
        <f>IF($M2687="","",IF($K2687-$M2687&gt;7,"",IF($M2687&lt;=$A2687,"",IF(OR($B2687&lt;=0,$N2687&lt;=0),"",($N2687/$B2687)^(365/($M2687-$A2687))-1))))</f>
        <v/>
      </c>
      <c r="P2687" s="31" t="str">
        <f>IF($B2687="","",IF($P2686="",$B2687,MAX($P2686,$B2687)))</f>
        <v/>
      </c>
      <c r="Q2687" s="32" t="str">
        <f>IF($P2687="","",$B2687/$P2687-1)</f>
        <v/>
      </c>
    </row>
    <row r="2688">
      <c r="A2688" s="11" t="n"/>
      <c r="B2688" s="29" t="n"/>
      <c r="K2688" s="30" t="str">
        <f>IF($A2688="","",EDATE($A2688,12*$E$4))</f>
        <v/>
      </c>
      <c r="L2688" s="19" t="str">
        <f>IF($K2688="","",IF($K2688&gt;MAX($A$8:$A$5007),"",IFERROR(MATCH($K2688,$A$8:$A$5007,1),"")))</f>
        <v/>
      </c>
      <c r="M2688" s="30" t="str">
        <f>IF($L2688="","",INDEX($A$8:$A$5007,$L2688))</f>
        <v/>
      </c>
      <c r="N2688" s="31" t="str">
        <f>IF($L2688="","",INDEX($B$8:$B$5007,$L2688))</f>
        <v/>
      </c>
      <c r="O2688" s="32" t="str">
        <f>IF($M2688="","",IF($K2688-$M2688&gt;7,"",IF($M2688&lt;=$A2688,"",IF(OR($B2688&lt;=0,$N2688&lt;=0),"",($N2688/$B2688)^(365/($M2688-$A2688))-1))))</f>
        <v/>
      </c>
      <c r="P2688" s="31" t="str">
        <f>IF($B2688="","",IF($P2687="",$B2688,MAX($P2687,$B2688)))</f>
        <v/>
      </c>
      <c r="Q2688" s="32" t="str">
        <f>IF($P2688="","",$B2688/$P2688-1)</f>
        <v/>
      </c>
    </row>
    <row r="2689">
      <c r="A2689" s="11" t="n"/>
      <c r="B2689" s="29" t="n"/>
      <c r="K2689" s="30" t="str">
        <f>IF($A2689="","",EDATE($A2689,12*$E$4))</f>
        <v/>
      </c>
      <c r="L2689" s="19" t="str">
        <f>IF($K2689="","",IF($K2689&gt;MAX($A$8:$A$5007),"",IFERROR(MATCH($K2689,$A$8:$A$5007,1),"")))</f>
        <v/>
      </c>
      <c r="M2689" s="30" t="str">
        <f>IF($L2689="","",INDEX($A$8:$A$5007,$L2689))</f>
        <v/>
      </c>
      <c r="N2689" s="31" t="str">
        <f>IF($L2689="","",INDEX($B$8:$B$5007,$L2689))</f>
        <v/>
      </c>
      <c r="O2689" s="32" t="str">
        <f>IF($M2689="","",IF($K2689-$M2689&gt;7,"",IF($M2689&lt;=$A2689,"",IF(OR($B2689&lt;=0,$N2689&lt;=0),"",($N2689/$B2689)^(365/($M2689-$A2689))-1))))</f>
        <v/>
      </c>
      <c r="P2689" s="31" t="str">
        <f>IF($B2689="","",IF($P2688="",$B2689,MAX($P2688,$B2689)))</f>
        <v/>
      </c>
      <c r="Q2689" s="32" t="str">
        <f>IF($P2689="","",$B2689/$P2689-1)</f>
        <v/>
      </c>
    </row>
    <row r="2690">
      <c r="A2690" s="11" t="n"/>
      <c r="B2690" s="29" t="n"/>
      <c r="K2690" s="30" t="str">
        <f>IF($A2690="","",EDATE($A2690,12*$E$4))</f>
        <v/>
      </c>
      <c r="L2690" s="19" t="str">
        <f>IF($K2690="","",IF($K2690&gt;MAX($A$8:$A$5007),"",IFERROR(MATCH($K2690,$A$8:$A$5007,1),"")))</f>
        <v/>
      </c>
      <c r="M2690" s="30" t="str">
        <f>IF($L2690="","",INDEX($A$8:$A$5007,$L2690))</f>
        <v/>
      </c>
      <c r="N2690" s="31" t="str">
        <f>IF($L2690="","",INDEX($B$8:$B$5007,$L2690))</f>
        <v/>
      </c>
      <c r="O2690" s="32" t="str">
        <f>IF($M2690="","",IF($K2690-$M2690&gt;7,"",IF($M2690&lt;=$A2690,"",IF(OR($B2690&lt;=0,$N2690&lt;=0),"",($N2690/$B2690)^(365/($M2690-$A2690))-1))))</f>
        <v/>
      </c>
      <c r="P2690" s="31" t="str">
        <f>IF($B2690="","",IF($P2689="",$B2690,MAX($P2689,$B2690)))</f>
        <v/>
      </c>
      <c r="Q2690" s="32" t="str">
        <f>IF($P2690="","",$B2690/$P2690-1)</f>
        <v/>
      </c>
    </row>
    <row r="2691">
      <c r="A2691" s="11" t="n"/>
      <c r="B2691" s="29" t="n"/>
      <c r="K2691" s="30" t="str">
        <f>IF($A2691="","",EDATE($A2691,12*$E$4))</f>
        <v/>
      </c>
      <c r="L2691" s="19" t="str">
        <f>IF($K2691="","",IF($K2691&gt;MAX($A$8:$A$5007),"",IFERROR(MATCH($K2691,$A$8:$A$5007,1),"")))</f>
        <v/>
      </c>
      <c r="M2691" s="30" t="str">
        <f>IF($L2691="","",INDEX($A$8:$A$5007,$L2691))</f>
        <v/>
      </c>
      <c r="N2691" s="31" t="str">
        <f>IF($L2691="","",INDEX($B$8:$B$5007,$L2691))</f>
        <v/>
      </c>
      <c r="O2691" s="32" t="str">
        <f>IF($M2691="","",IF($K2691-$M2691&gt;7,"",IF($M2691&lt;=$A2691,"",IF(OR($B2691&lt;=0,$N2691&lt;=0),"",($N2691/$B2691)^(365/($M2691-$A2691))-1))))</f>
        <v/>
      </c>
      <c r="P2691" s="31" t="str">
        <f>IF($B2691="","",IF($P2690="",$B2691,MAX($P2690,$B2691)))</f>
        <v/>
      </c>
      <c r="Q2691" s="32" t="str">
        <f>IF($P2691="","",$B2691/$P2691-1)</f>
        <v/>
      </c>
    </row>
    <row r="2692">
      <c r="A2692" s="11" t="n"/>
      <c r="B2692" s="29" t="n"/>
      <c r="K2692" s="30" t="str">
        <f>IF($A2692="","",EDATE($A2692,12*$E$4))</f>
        <v/>
      </c>
      <c r="L2692" s="19" t="str">
        <f>IF($K2692="","",IF($K2692&gt;MAX($A$8:$A$5007),"",IFERROR(MATCH($K2692,$A$8:$A$5007,1),"")))</f>
        <v/>
      </c>
      <c r="M2692" s="30" t="str">
        <f>IF($L2692="","",INDEX($A$8:$A$5007,$L2692))</f>
        <v/>
      </c>
      <c r="N2692" s="31" t="str">
        <f>IF($L2692="","",INDEX($B$8:$B$5007,$L2692))</f>
        <v/>
      </c>
      <c r="O2692" s="32" t="str">
        <f>IF($M2692="","",IF($K2692-$M2692&gt;7,"",IF($M2692&lt;=$A2692,"",IF(OR($B2692&lt;=0,$N2692&lt;=0),"",($N2692/$B2692)^(365/($M2692-$A2692))-1))))</f>
        <v/>
      </c>
      <c r="P2692" s="31" t="str">
        <f>IF($B2692="","",IF($P2691="",$B2692,MAX($P2691,$B2692)))</f>
        <v/>
      </c>
      <c r="Q2692" s="32" t="str">
        <f>IF($P2692="","",$B2692/$P2692-1)</f>
        <v/>
      </c>
    </row>
    <row r="2693">
      <c r="A2693" s="11" t="n"/>
      <c r="B2693" s="29" t="n"/>
      <c r="K2693" s="30" t="str">
        <f>IF($A2693="","",EDATE($A2693,12*$E$4))</f>
        <v/>
      </c>
      <c r="L2693" s="19" t="str">
        <f>IF($K2693="","",IF($K2693&gt;MAX($A$8:$A$5007),"",IFERROR(MATCH($K2693,$A$8:$A$5007,1),"")))</f>
        <v/>
      </c>
      <c r="M2693" s="30" t="str">
        <f>IF($L2693="","",INDEX($A$8:$A$5007,$L2693))</f>
        <v/>
      </c>
      <c r="N2693" s="31" t="str">
        <f>IF($L2693="","",INDEX($B$8:$B$5007,$L2693))</f>
        <v/>
      </c>
      <c r="O2693" s="32" t="str">
        <f>IF($M2693="","",IF($K2693-$M2693&gt;7,"",IF($M2693&lt;=$A2693,"",IF(OR($B2693&lt;=0,$N2693&lt;=0),"",($N2693/$B2693)^(365/($M2693-$A2693))-1))))</f>
        <v/>
      </c>
      <c r="P2693" s="31" t="str">
        <f>IF($B2693="","",IF($P2692="",$B2693,MAX($P2692,$B2693)))</f>
        <v/>
      </c>
      <c r="Q2693" s="32" t="str">
        <f>IF($P2693="","",$B2693/$P2693-1)</f>
        <v/>
      </c>
    </row>
    <row r="2694">
      <c r="A2694" s="11" t="n"/>
      <c r="B2694" s="29" t="n"/>
      <c r="K2694" s="30" t="str">
        <f>IF($A2694="","",EDATE($A2694,12*$E$4))</f>
        <v/>
      </c>
      <c r="L2694" s="19" t="str">
        <f>IF($K2694="","",IF($K2694&gt;MAX($A$8:$A$5007),"",IFERROR(MATCH($K2694,$A$8:$A$5007,1),"")))</f>
        <v/>
      </c>
      <c r="M2694" s="30" t="str">
        <f>IF($L2694="","",INDEX($A$8:$A$5007,$L2694))</f>
        <v/>
      </c>
      <c r="N2694" s="31" t="str">
        <f>IF($L2694="","",INDEX($B$8:$B$5007,$L2694))</f>
        <v/>
      </c>
      <c r="O2694" s="32" t="str">
        <f>IF($M2694="","",IF($K2694-$M2694&gt;7,"",IF($M2694&lt;=$A2694,"",IF(OR($B2694&lt;=0,$N2694&lt;=0),"",($N2694/$B2694)^(365/($M2694-$A2694))-1))))</f>
        <v/>
      </c>
      <c r="P2694" s="31" t="str">
        <f>IF($B2694="","",IF($P2693="",$B2694,MAX($P2693,$B2694)))</f>
        <v/>
      </c>
      <c r="Q2694" s="32" t="str">
        <f>IF($P2694="","",$B2694/$P2694-1)</f>
        <v/>
      </c>
    </row>
    <row r="2695">
      <c r="A2695" s="11" t="n"/>
      <c r="B2695" s="29" t="n"/>
      <c r="K2695" s="30" t="str">
        <f>IF($A2695="","",EDATE($A2695,12*$E$4))</f>
        <v/>
      </c>
      <c r="L2695" s="19" t="str">
        <f>IF($K2695="","",IF($K2695&gt;MAX($A$8:$A$5007),"",IFERROR(MATCH($K2695,$A$8:$A$5007,1),"")))</f>
        <v/>
      </c>
      <c r="M2695" s="30" t="str">
        <f>IF($L2695="","",INDEX($A$8:$A$5007,$L2695))</f>
        <v/>
      </c>
      <c r="N2695" s="31" t="str">
        <f>IF($L2695="","",INDEX($B$8:$B$5007,$L2695))</f>
        <v/>
      </c>
      <c r="O2695" s="32" t="str">
        <f>IF($M2695="","",IF($K2695-$M2695&gt;7,"",IF($M2695&lt;=$A2695,"",IF(OR($B2695&lt;=0,$N2695&lt;=0),"",($N2695/$B2695)^(365/($M2695-$A2695))-1))))</f>
        <v/>
      </c>
      <c r="P2695" s="31" t="str">
        <f>IF($B2695="","",IF($P2694="",$B2695,MAX($P2694,$B2695)))</f>
        <v/>
      </c>
      <c r="Q2695" s="32" t="str">
        <f>IF($P2695="","",$B2695/$P2695-1)</f>
        <v/>
      </c>
    </row>
    <row r="2696">
      <c r="A2696" s="11" t="n"/>
      <c r="B2696" s="29" t="n"/>
      <c r="K2696" s="30" t="str">
        <f>IF($A2696="","",EDATE($A2696,12*$E$4))</f>
        <v/>
      </c>
      <c r="L2696" s="19" t="str">
        <f>IF($K2696="","",IF($K2696&gt;MAX($A$8:$A$5007),"",IFERROR(MATCH($K2696,$A$8:$A$5007,1),"")))</f>
        <v/>
      </c>
      <c r="M2696" s="30" t="str">
        <f>IF($L2696="","",INDEX($A$8:$A$5007,$L2696))</f>
        <v/>
      </c>
      <c r="N2696" s="31" t="str">
        <f>IF($L2696="","",INDEX($B$8:$B$5007,$L2696))</f>
        <v/>
      </c>
      <c r="O2696" s="32" t="str">
        <f>IF($M2696="","",IF($K2696-$M2696&gt;7,"",IF($M2696&lt;=$A2696,"",IF(OR($B2696&lt;=0,$N2696&lt;=0),"",($N2696/$B2696)^(365/($M2696-$A2696))-1))))</f>
        <v/>
      </c>
      <c r="P2696" s="31" t="str">
        <f>IF($B2696="","",IF($P2695="",$B2696,MAX($P2695,$B2696)))</f>
        <v/>
      </c>
      <c r="Q2696" s="32" t="str">
        <f>IF($P2696="","",$B2696/$P2696-1)</f>
        <v/>
      </c>
    </row>
    <row r="2697">
      <c r="A2697" s="11" t="n"/>
      <c r="B2697" s="29" t="n"/>
      <c r="K2697" s="30" t="str">
        <f>IF($A2697="","",EDATE($A2697,12*$E$4))</f>
        <v/>
      </c>
      <c r="L2697" s="19" t="str">
        <f>IF($K2697="","",IF($K2697&gt;MAX($A$8:$A$5007),"",IFERROR(MATCH($K2697,$A$8:$A$5007,1),"")))</f>
        <v/>
      </c>
      <c r="M2697" s="30" t="str">
        <f>IF($L2697="","",INDEX($A$8:$A$5007,$L2697))</f>
        <v/>
      </c>
      <c r="N2697" s="31" t="str">
        <f>IF($L2697="","",INDEX($B$8:$B$5007,$L2697))</f>
        <v/>
      </c>
      <c r="O2697" s="32" t="str">
        <f>IF($M2697="","",IF($K2697-$M2697&gt;7,"",IF($M2697&lt;=$A2697,"",IF(OR($B2697&lt;=0,$N2697&lt;=0),"",($N2697/$B2697)^(365/($M2697-$A2697))-1))))</f>
        <v/>
      </c>
      <c r="P2697" s="31" t="str">
        <f>IF($B2697="","",IF($P2696="",$B2697,MAX($P2696,$B2697)))</f>
        <v/>
      </c>
      <c r="Q2697" s="32" t="str">
        <f>IF($P2697="","",$B2697/$P2697-1)</f>
        <v/>
      </c>
    </row>
    <row r="2698">
      <c r="A2698" s="11" t="n"/>
      <c r="B2698" s="29" t="n"/>
      <c r="K2698" s="30" t="str">
        <f>IF($A2698="","",EDATE($A2698,12*$E$4))</f>
        <v/>
      </c>
      <c r="L2698" s="19" t="str">
        <f>IF($K2698="","",IF($K2698&gt;MAX($A$8:$A$5007),"",IFERROR(MATCH($K2698,$A$8:$A$5007,1),"")))</f>
        <v/>
      </c>
      <c r="M2698" s="30" t="str">
        <f>IF($L2698="","",INDEX($A$8:$A$5007,$L2698))</f>
        <v/>
      </c>
      <c r="N2698" s="31" t="str">
        <f>IF($L2698="","",INDEX($B$8:$B$5007,$L2698))</f>
        <v/>
      </c>
      <c r="O2698" s="32" t="str">
        <f>IF($M2698="","",IF($K2698-$M2698&gt;7,"",IF($M2698&lt;=$A2698,"",IF(OR($B2698&lt;=0,$N2698&lt;=0),"",($N2698/$B2698)^(365/($M2698-$A2698))-1))))</f>
        <v/>
      </c>
      <c r="P2698" s="31" t="str">
        <f>IF($B2698="","",IF($P2697="",$B2698,MAX($P2697,$B2698)))</f>
        <v/>
      </c>
      <c r="Q2698" s="32" t="str">
        <f>IF($P2698="","",$B2698/$P2698-1)</f>
        <v/>
      </c>
    </row>
    <row r="2699">
      <c r="A2699" s="11" t="n"/>
      <c r="B2699" s="29" t="n"/>
      <c r="K2699" s="30" t="str">
        <f>IF($A2699="","",EDATE($A2699,12*$E$4))</f>
        <v/>
      </c>
      <c r="L2699" s="19" t="str">
        <f>IF($K2699="","",IF($K2699&gt;MAX($A$8:$A$5007),"",IFERROR(MATCH($K2699,$A$8:$A$5007,1),"")))</f>
        <v/>
      </c>
      <c r="M2699" s="30" t="str">
        <f>IF($L2699="","",INDEX($A$8:$A$5007,$L2699))</f>
        <v/>
      </c>
      <c r="N2699" s="31" t="str">
        <f>IF($L2699="","",INDEX($B$8:$B$5007,$L2699))</f>
        <v/>
      </c>
      <c r="O2699" s="32" t="str">
        <f>IF($M2699="","",IF($K2699-$M2699&gt;7,"",IF($M2699&lt;=$A2699,"",IF(OR($B2699&lt;=0,$N2699&lt;=0),"",($N2699/$B2699)^(365/($M2699-$A2699))-1))))</f>
        <v/>
      </c>
      <c r="P2699" s="31" t="str">
        <f>IF($B2699="","",IF($P2698="",$B2699,MAX($P2698,$B2699)))</f>
        <v/>
      </c>
      <c r="Q2699" s="32" t="str">
        <f>IF($P2699="","",$B2699/$P2699-1)</f>
        <v/>
      </c>
    </row>
    <row r="2700">
      <c r="A2700" s="11" t="n"/>
      <c r="B2700" s="29" t="n"/>
      <c r="K2700" s="30" t="str">
        <f>IF($A2700="","",EDATE($A2700,12*$E$4))</f>
        <v/>
      </c>
      <c r="L2700" s="19" t="str">
        <f>IF($K2700="","",IF($K2700&gt;MAX($A$8:$A$5007),"",IFERROR(MATCH($K2700,$A$8:$A$5007,1),"")))</f>
        <v/>
      </c>
      <c r="M2700" s="30" t="str">
        <f>IF($L2700="","",INDEX($A$8:$A$5007,$L2700))</f>
        <v/>
      </c>
      <c r="N2700" s="31" t="str">
        <f>IF($L2700="","",INDEX($B$8:$B$5007,$L2700))</f>
        <v/>
      </c>
      <c r="O2700" s="32" t="str">
        <f>IF($M2700="","",IF($K2700-$M2700&gt;7,"",IF($M2700&lt;=$A2700,"",IF(OR($B2700&lt;=0,$N2700&lt;=0),"",($N2700/$B2700)^(365/($M2700-$A2700))-1))))</f>
        <v/>
      </c>
      <c r="P2700" s="31" t="str">
        <f>IF($B2700="","",IF($P2699="",$B2700,MAX($P2699,$B2700)))</f>
        <v/>
      </c>
      <c r="Q2700" s="32" t="str">
        <f>IF($P2700="","",$B2700/$P2700-1)</f>
        <v/>
      </c>
    </row>
    <row r="2701">
      <c r="A2701" s="11" t="n"/>
      <c r="B2701" s="29" t="n"/>
      <c r="K2701" s="30" t="str">
        <f>IF($A2701="","",EDATE($A2701,12*$E$4))</f>
        <v/>
      </c>
      <c r="L2701" s="19" t="str">
        <f>IF($K2701="","",IF($K2701&gt;MAX($A$8:$A$5007),"",IFERROR(MATCH($K2701,$A$8:$A$5007,1),"")))</f>
        <v/>
      </c>
      <c r="M2701" s="30" t="str">
        <f>IF($L2701="","",INDEX($A$8:$A$5007,$L2701))</f>
        <v/>
      </c>
      <c r="N2701" s="31" t="str">
        <f>IF($L2701="","",INDEX($B$8:$B$5007,$L2701))</f>
        <v/>
      </c>
      <c r="O2701" s="32" t="str">
        <f>IF($M2701="","",IF($K2701-$M2701&gt;7,"",IF($M2701&lt;=$A2701,"",IF(OR($B2701&lt;=0,$N2701&lt;=0),"",($N2701/$B2701)^(365/($M2701-$A2701))-1))))</f>
        <v/>
      </c>
      <c r="P2701" s="31" t="str">
        <f>IF($B2701="","",IF($P2700="",$B2701,MAX($P2700,$B2701)))</f>
        <v/>
      </c>
      <c r="Q2701" s="32" t="str">
        <f>IF($P2701="","",$B2701/$P2701-1)</f>
        <v/>
      </c>
    </row>
    <row r="2702">
      <c r="A2702" s="11" t="n"/>
      <c r="B2702" s="29" t="n"/>
      <c r="K2702" s="30" t="str">
        <f>IF($A2702="","",EDATE($A2702,12*$E$4))</f>
        <v/>
      </c>
      <c r="L2702" s="19" t="str">
        <f>IF($K2702="","",IF($K2702&gt;MAX($A$8:$A$5007),"",IFERROR(MATCH($K2702,$A$8:$A$5007,1),"")))</f>
        <v/>
      </c>
      <c r="M2702" s="30" t="str">
        <f>IF($L2702="","",INDEX($A$8:$A$5007,$L2702))</f>
        <v/>
      </c>
      <c r="N2702" s="31" t="str">
        <f>IF($L2702="","",INDEX($B$8:$B$5007,$L2702))</f>
        <v/>
      </c>
      <c r="O2702" s="32" t="str">
        <f>IF($M2702="","",IF($K2702-$M2702&gt;7,"",IF($M2702&lt;=$A2702,"",IF(OR($B2702&lt;=0,$N2702&lt;=0),"",($N2702/$B2702)^(365/($M2702-$A2702))-1))))</f>
        <v/>
      </c>
      <c r="P2702" s="31" t="str">
        <f>IF($B2702="","",IF($P2701="",$B2702,MAX($P2701,$B2702)))</f>
        <v/>
      </c>
      <c r="Q2702" s="32" t="str">
        <f>IF($P2702="","",$B2702/$P2702-1)</f>
        <v/>
      </c>
    </row>
    <row r="2703">
      <c r="A2703" s="11" t="n"/>
      <c r="B2703" s="29" t="n"/>
      <c r="K2703" s="30" t="str">
        <f>IF($A2703="","",EDATE($A2703,12*$E$4))</f>
        <v/>
      </c>
      <c r="L2703" s="19" t="str">
        <f>IF($K2703="","",IF($K2703&gt;MAX($A$8:$A$5007),"",IFERROR(MATCH($K2703,$A$8:$A$5007,1),"")))</f>
        <v/>
      </c>
      <c r="M2703" s="30" t="str">
        <f>IF($L2703="","",INDEX($A$8:$A$5007,$L2703))</f>
        <v/>
      </c>
      <c r="N2703" s="31" t="str">
        <f>IF($L2703="","",INDEX($B$8:$B$5007,$L2703))</f>
        <v/>
      </c>
      <c r="O2703" s="32" t="str">
        <f>IF($M2703="","",IF($K2703-$M2703&gt;7,"",IF($M2703&lt;=$A2703,"",IF(OR($B2703&lt;=0,$N2703&lt;=0),"",($N2703/$B2703)^(365/($M2703-$A2703))-1))))</f>
        <v/>
      </c>
      <c r="P2703" s="31" t="str">
        <f>IF($B2703="","",IF($P2702="",$B2703,MAX($P2702,$B2703)))</f>
        <v/>
      </c>
      <c r="Q2703" s="32" t="str">
        <f>IF($P2703="","",$B2703/$P2703-1)</f>
        <v/>
      </c>
    </row>
    <row r="2704">
      <c r="A2704" s="11" t="n"/>
      <c r="B2704" s="29" t="n"/>
      <c r="K2704" s="30" t="str">
        <f>IF($A2704="","",EDATE($A2704,12*$E$4))</f>
        <v/>
      </c>
      <c r="L2704" s="19" t="str">
        <f>IF($K2704="","",IF($K2704&gt;MAX($A$8:$A$5007),"",IFERROR(MATCH($K2704,$A$8:$A$5007,1),"")))</f>
        <v/>
      </c>
      <c r="M2704" s="30" t="str">
        <f>IF($L2704="","",INDEX($A$8:$A$5007,$L2704))</f>
        <v/>
      </c>
      <c r="N2704" s="31" t="str">
        <f>IF($L2704="","",INDEX($B$8:$B$5007,$L2704))</f>
        <v/>
      </c>
      <c r="O2704" s="32" t="str">
        <f>IF($M2704="","",IF($K2704-$M2704&gt;7,"",IF($M2704&lt;=$A2704,"",IF(OR($B2704&lt;=0,$N2704&lt;=0),"",($N2704/$B2704)^(365/($M2704-$A2704))-1))))</f>
        <v/>
      </c>
      <c r="P2704" s="31" t="str">
        <f>IF($B2704="","",IF($P2703="",$B2704,MAX($P2703,$B2704)))</f>
        <v/>
      </c>
      <c r="Q2704" s="32" t="str">
        <f>IF($P2704="","",$B2704/$P2704-1)</f>
        <v/>
      </c>
    </row>
    <row r="2705">
      <c r="A2705" s="11" t="n"/>
      <c r="B2705" s="29" t="n"/>
      <c r="K2705" s="30" t="str">
        <f>IF($A2705="","",EDATE($A2705,12*$E$4))</f>
        <v/>
      </c>
      <c r="L2705" s="19" t="str">
        <f>IF($K2705="","",IF($K2705&gt;MAX($A$8:$A$5007),"",IFERROR(MATCH($K2705,$A$8:$A$5007,1),"")))</f>
        <v/>
      </c>
      <c r="M2705" s="30" t="str">
        <f>IF($L2705="","",INDEX($A$8:$A$5007,$L2705))</f>
        <v/>
      </c>
      <c r="N2705" s="31" t="str">
        <f>IF($L2705="","",INDEX($B$8:$B$5007,$L2705))</f>
        <v/>
      </c>
      <c r="O2705" s="32" t="str">
        <f>IF($M2705="","",IF($K2705-$M2705&gt;7,"",IF($M2705&lt;=$A2705,"",IF(OR($B2705&lt;=0,$N2705&lt;=0),"",($N2705/$B2705)^(365/($M2705-$A2705))-1))))</f>
        <v/>
      </c>
      <c r="P2705" s="31" t="str">
        <f>IF($B2705="","",IF($P2704="",$B2705,MAX($P2704,$B2705)))</f>
        <v/>
      </c>
      <c r="Q2705" s="32" t="str">
        <f>IF($P2705="","",$B2705/$P2705-1)</f>
        <v/>
      </c>
    </row>
    <row r="2706">
      <c r="A2706" s="11" t="n"/>
      <c r="B2706" s="29" t="n"/>
      <c r="K2706" s="30" t="str">
        <f>IF($A2706="","",EDATE($A2706,12*$E$4))</f>
        <v/>
      </c>
      <c r="L2706" s="19" t="str">
        <f>IF($K2706="","",IF($K2706&gt;MAX($A$8:$A$5007),"",IFERROR(MATCH($K2706,$A$8:$A$5007,1),"")))</f>
        <v/>
      </c>
      <c r="M2706" s="30" t="str">
        <f>IF($L2706="","",INDEX($A$8:$A$5007,$L2706))</f>
        <v/>
      </c>
      <c r="N2706" s="31" t="str">
        <f>IF($L2706="","",INDEX($B$8:$B$5007,$L2706))</f>
        <v/>
      </c>
      <c r="O2706" s="32" t="str">
        <f>IF($M2706="","",IF($K2706-$M2706&gt;7,"",IF($M2706&lt;=$A2706,"",IF(OR($B2706&lt;=0,$N2706&lt;=0),"",($N2706/$B2706)^(365/($M2706-$A2706))-1))))</f>
        <v/>
      </c>
      <c r="P2706" s="31" t="str">
        <f>IF($B2706="","",IF($P2705="",$B2706,MAX($P2705,$B2706)))</f>
        <v/>
      </c>
      <c r="Q2706" s="32" t="str">
        <f>IF($P2706="","",$B2706/$P2706-1)</f>
        <v/>
      </c>
    </row>
    <row r="2707">
      <c r="A2707" s="11" t="n"/>
      <c r="B2707" s="29" t="n"/>
      <c r="K2707" s="30" t="str">
        <f>IF($A2707="","",EDATE($A2707,12*$E$4))</f>
        <v/>
      </c>
      <c r="L2707" s="19" t="str">
        <f>IF($K2707="","",IF($K2707&gt;MAX($A$8:$A$5007),"",IFERROR(MATCH($K2707,$A$8:$A$5007,1),"")))</f>
        <v/>
      </c>
      <c r="M2707" s="30" t="str">
        <f>IF($L2707="","",INDEX($A$8:$A$5007,$L2707))</f>
        <v/>
      </c>
      <c r="N2707" s="31" t="str">
        <f>IF($L2707="","",INDEX($B$8:$B$5007,$L2707))</f>
        <v/>
      </c>
      <c r="O2707" s="32" t="str">
        <f>IF($M2707="","",IF($K2707-$M2707&gt;7,"",IF($M2707&lt;=$A2707,"",IF(OR($B2707&lt;=0,$N2707&lt;=0),"",($N2707/$B2707)^(365/($M2707-$A2707))-1))))</f>
        <v/>
      </c>
      <c r="P2707" s="31" t="str">
        <f>IF($B2707="","",IF($P2706="",$B2707,MAX($P2706,$B2707)))</f>
        <v/>
      </c>
      <c r="Q2707" s="32" t="str">
        <f>IF($P2707="","",$B2707/$P2707-1)</f>
        <v/>
      </c>
    </row>
    <row r="2708">
      <c r="A2708" s="11" t="n"/>
      <c r="B2708" s="29" t="n"/>
      <c r="K2708" s="30" t="str">
        <f>IF($A2708="","",EDATE($A2708,12*$E$4))</f>
        <v/>
      </c>
      <c r="L2708" s="19" t="str">
        <f>IF($K2708="","",IF($K2708&gt;MAX($A$8:$A$5007),"",IFERROR(MATCH($K2708,$A$8:$A$5007,1),"")))</f>
        <v/>
      </c>
      <c r="M2708" s="30" t="str">
        <f>IF($L2708="","",INDEX($A$8:$A$5007,$L2708))</f>
        <v/>
      </c>
      <c r="N2708" s="31" t="str">
        <f>IF($L2708="","",INDEX($B$8:$B$5007,$L2708))</f>
        <v/>
      </c>
      <c r="O2708" s="32" t="str">
        <f>IF($M2708="","",IF($K2708-$M2708&gt;7,"",IF($M2708&lt;=$A2708,"",IF(OR($B2708&lt;=0,$N2708&lt;=0),"",($N2708/$B2708)^(365/($M2708-$A2708))-1))))</f>
        <v/>
      </c>
      <c r="P2708" s="31" t="str">
        <f>IF($B2708="","",IF($P2707="",$B2708,MAX($P2707,$B2708)))</f>
        <v/>
      </c>
      <c r="Q2708" s="32" t="str">
        <f>IF($P2708="","",$B2708/$P2708-1)</f>
        <v/>
      </c>
    </row>
    <row r="2709">
      <c r="A2709" s="11" t="n"/>
      <c r="B2709" s="29" t="n"/>
      <c r="K2709" s="30" t="str">
        <f>IF($A2709="","",EDATE($A2709,12*$E$4))</f>
        <v/>
      </c>
      <c r="L2709" s="19" t="str">
        <f>IF($K2709="","",IF($K2709&gt;MAX($A$8:$A$5007),"",IFERROR(MATCH($K2709,$A$8:$A$5007,1),"")))</f>
        <v/>
      </c>
      <c r="M2709" s="30" t="str">
        <f>IF($L2709="","",INDEX($A$8:$A$5007,$L2709))</f>
        <v/>
      </c>
      <c r="N2709" s="31" t="str">
        <f>IF($L2709="","",INDEX($B$8:$B$5007,$L2709))</f>
        <v/>
      </c>
      <c r="O2709" s="32" t="str">
        <f>IF($M2709="","",IF($K2709-$M2709&gt;7,"",IF($M2709&lt;=$A2709,"",IF(OR($B2709&lt;=0,$N2709&lt;=0),"",($N2709/$B2709)^(365/($M2709-$A2709))-1))))</f>
        <v/>
      </c>
      <c r="P2709" s="31" t="str">
        <f>IF($B2709="","",IF($P2708="",$B2709,MAX($P2708,$B2709)))</f>
        <v/>
      </c>
      <c r="Q2709" s="32" t="str">
        <f>IF($P2709="","",$B2709/$P2709-1)</f>
        <v/>
      </c>
    </row>
    <row r="2710">
      <c r="A2710" s="11" t="n"/>
      <c r="B2710" s="29" t="n"/>
      <c r="K2710" s="30" t="str">
        <f>IF($A2710="","",EDATE($A2710,12*$E$4))</f>
        <v/>
      </c>
      <c r="L2710" s="19" t="str">
        <f>IF($K2710="","",IF($K2710&gt;MAX($A$8:$A$5007),"",IFERROR(MATCH($K2710,$A$8:$A$5007,1),"")))</f>
        <v/>
      </c>
      <c r="M2710" s="30" t="str">
        <f>IF($L2710="","",INDEX($A$8:$A$5007,$L2710))</f>
        <v/>
      </c>
      <c r="N2710" s="31" t="str">
        <f>IF($L2710="","",INDEX($B$8:$B$5007,$L2710))</f>
        <v/>
      </c>
      <c r="O2710" s="32" t="str">
        <f>IF($M2710="","",IF($K2710-$M2710&gt;7,"",IF($M2710&lt;=$A2710,"",IF(OR($B2710&lt;=0,$N2710&lt;=0),"",($N2710/$B2710)^(365/($M2710-$A2710))-1))))</f>
        <v/>
      </c>
      <c r="P2710" s="31" t="str">
        <f>IF($B2710="","",IF($P2709="",$B2710,MAX($P2709,$B2710)))</f>
        <v/>
      </c>
      <c r="Q2710" s="32" t="str">
        <f>IF($P2710="","",$B2710/$P2710-1)</f>
        <v/>
      </c>
    </row>
    <row r="2711">
      <c r="A2711" s="11" t="n"/>
      <c r="B2711" s="29" t="n"/>
      <c r="K2711" s="30" t="str">
        <f>IF($A2711="","",EDATE($A2711,12*$E$4))</f>
        <v/>
      </c>
      <c r="L2711" s="19" t="str">
        <f>IF($K2711="","",IF($K2711&gt;MAX($A$8:$A$5007),"",IFERROR(MATCH($K2711,$A$8:$A$5007,1),"")))</f>
        <v/>
      </c>
      <c r="M2711" s="30" t="str">
        <f>IF($L2711="","",INDEX($A$8:$A$5007,$L2711))</f>
        <v/>
      </c>
      <c r="N2711" s="31" t="str">
        <f>IF($L2711="","",INDEX($B$8:$B$5007,$L2711))</f>
        <v/>
      </c>
      <c r="O2711" s="32" t="str">
        <f>IF($M2711="","",IF($K2711-$M2711&gt;7,"",IF($M2711&lt;=$A2711,"",IF(OR($B2711&lt;=0,$N2711&lt;=0),"",($N2711/$B2711)^(365/($M2711-$A2711))-1))))</f>
        <v/>
      </c>
      <c r="P2711" s="31" t="str">
        <f>IF($B2711="","",IF($P2710="",$B2711,MAX($P2710,$B2711)))</f>
        <v/>
      </c>
      <c r="Q2711" s="32" t="str">
        <f>IF($P2711="","",$B2711/$P2711-1)</f>
        <v/>
      </c>
    </row>
    <row r="2712">
      <c r="A2712" s="11" t="n"/>
      <c r="B2712" s="29" t="n"/>
      <c r="K2712" s="30" t="str">
        <f>IF($A2712="","",EDATE($A2712,12*$E$4))</f>
        <v/>
      </c>
      <c r="L2712" s="19" t="str">
        <f>IF($K2712="","",IF($K2712&gt;MAX($A$8:$A$5007),"",IFERROR(MATCH($K2712,$A$8:$A$5007,1),"")))</f>
        <v/>
      </c>
      <c r="M2712" s="30" t="str">
        <f>IF($L2712="","",INDEX($A$8:$A$5007,$L2712))</f>
        <v/>
      </c>
      <c r="N2712" s="31" t="str">
        <f>IF($L2712="","",INDEX($B$8:$B$5007,$L2712))</f>
        <v/>
      </c>
      <c r="O2712" s="32" t="str">
        <f>IF($M2712="","",IF($K2712-$M2712&gt;7,"",IF($M2712&lt;=$A2712,"",IF(OR($B2712&lt;=0,$N2712&lt;=0),"",($N2712/$B2712)^(365/($M2712-$A2712))-1))))</f>
        <v/>
      </c>
      <c r="P2712" s="31" t="str">
        <f>IF($B2712="","",IF($P2711="",$B2712,MAX($P2711,$B2712)))</f>
        <v/>
      </c>
      <c r="Q2712" s="32" t="str">
        <f>IF($P2712="","",$B2712/$P2712-1)</f>
        <v/>
      </c>
    </row>
    <row r="2713">
      <c r="A2713" s="11" t="n"/>
      <c r="B2713" s="29" t="n"/>
      <c r="K2713" s="30" t="str">
        <f>IF($A2713="","",EDATE($A2713,12*$E$4))</f>
        <v/>
      </c>
      <c r="L2713" s="19" t="str">
        <f>IF($K2713="","",IF($K2713&gt;MAX($A$8:$A$5007),"",IFERROR(MATCH($K2713,$A$8:$A$5007,1),"")))</f>
        <v/>
      </c>
      <c r="M2713" s="30" t="str">
        <f>IF($L2713="","",INDEX($A$8:$A$5007,$L2713))</f>
        <v/>
      </c>
      <c r="N2713" s="31" t="str">
        <f>IF($L2713="","",INDEX($B$8:$B$5007,$L2713))</f>
        <v/>
      </c>
      <c r="O2713" s="32" t="str">
        <f>IF($M2713="","",IF($K2713-$M2713&gt;7,"",IF($M2713&lt;=$A2713,"",IF(OR($B2713&lt;=0,$N2713&lt;=0),"",($N2713/$B2713)^(365/($M2713-$A2713))-1))))</f>
        <v/>
      </c>
      <c r="P2713" s="31" t="str">
        <f>IF($B2713="","",IF($P2712="",$B2713,MAX($P2712,$B2713)))</f>
        <v/>
      </c>
      <c r="Q2713" s="32" t="str">
        <f>IF($P2713="","",$B2713/$P2713-1)</f>
        <v/>
      </c>
    </row>
    <row r="2714">
      <c r="A2714" s="11" t="n"/>
      <c r="B2714" s="29" t="n"/>
      <c r="K2714" s="30" t="str">
        <f>IF($A2714="","",EDATE($A2714,12*$E$4))</f>
        <v/>
      </c>
      <c r="L2714" s="19" t="str">
        <f>IF($K2714="","",IF($K2714&gt;MAX($A$8:$A$5007),"",IFERROR(MATCH($K2714,$A$8:$A$5007,1),"")))</f>
        <v/>
      </c>
      <c r="M2714" s="30" t="str">
        <f>IF($L2714="","",INDEX($A$8:$A$5007,$L2714))</f>
        <v/>
      </c>
      <c r="N2714" s="31" t="str">
        <f>IF($L2714="","",INDEX($B$8:$B$5007,$L2714))</f>
        <v/>
      </c>
      <c r="O2714" s="32" t="str">
        <f>IF($M2714="","",IF($K2714-$M2714&gt;7,"",IF($M2714&lt;=$A2714,"",IF(OR($B2714&lt;=0,$N2714&lt;=0),"",($N2714/$B2714)^(365/($M2714-$A2714))-1))))</f>
        <v/>
      </c>
      <c r="P2714" s="31" t="str">
        <f>IF($B2714="","",IF($P2713="",$B2714,MAX($P2713,$B2714)))</f>
        <v/>
      </c>
      <c r="Q2714" s="32" t="str">
        <f>IF($P2714="","",$B2714/$P2714-1)</f>
        <v/>
      </c>
    </row>
    <row r="2715">
      <c r="A2715" s="11" t="n"/>
      <c r="B2715" s="29" t="n"/>
      <c r="K2715" s="30" t="str">
        <f>IF($A2715="","",EDATE($A2715,12*$E$4))</f>
        <v/>
      </c>
      <c r="L2715" s="19" t="str">
        <f>IF($K2715="","",IF($K2715&gt;MAX($A$8:$A$5007),"",IFERROR(MATCH($K2715,$A$8:$A$5007,1),"")))</f>
        <v/>
      </c>
      <c r="M2715" s="30" t="str">
        <f>IF($L2715="","",INDEX($A$8:$A$5007,$L2715))</f>
        <v/>
      </c>
      <c r="N2715" s="31" t="str">
        <f>IF($L2715="","",INDEX($B$8:$B$5007,$L2715))</f>
        <v/>
      </c>
      <c r="O2715" s="32" t="str">
        <f>IF($M2715="","",IF($K2715-$M2715&gt;7,"",IF($M2715&lt;=$A2715,"",IF(OR($B2715&lt;=0,$N2715&lt;=0),"",($N2715/$B2715)^(365/($M2715-$A2715))-1))))</f>
        <v/>
      </c>
      <c r="P2715" s="31" t="str">
        <f>IF($B2715="","",IF($P2714="",$B2715,MAX($P2714,$B2715)))</f>
        <v/>
      </c>
      <c r="Q2715" s="32" t="str">
        <f>IF($P2715="","",$B2715/$P2715-1)</f>
        <v/>
      </c>
    </row>
    <row r="2716">
      <c r="A2716" s="11" t="n"/>
      <c r="B2716" s="29" t="n"/>
      <c r="K2716" s="30" t="str">
        <f>IF($A2716="","",EDATE($A2716,12*$E$4))</f>
        <v/>
      </c>
      <c r="L2716" s="19" t="str">
        <f>IF($K2716="","",IF($K2716&gt;MAX($A$8:$A$5007),"",IFERROR(MATCH($K2716,$A$8:$A$5007,1),"")))</f>
        <v/>
      </c>
      <c r="M2716" s="30" t="str">
        <f>IF($L2716="","",INDEX($A$8:$A$5007,$L2716))</f>
        <v/>
      </c>
      <c r="N2716" s="31" t="str">
        <f>IF($L2716="","",INDEX($B$8:$B$5007,$L2716))</f>
        <v/>
      </c>
      <c r="O2716" s="32" t="str">
        <f>IF($M2716="","",IF($K2716-$M2716&gt;7,"",IF($M2716&lt;=$A2716,"",IF(OR($B2716&lt;=0,$N2716&lt;=0),"",($N2716/$B2716)^(365/($M2716-$A2716))-1))))</f>
        <v/>
      </c>
      <c r="P2716" s="31" t="str">
        <f>IF($B2716="","",IF($P2715="",$B2716,MAX($P2715,$B2716)))</f>
        <v/>
      </c>
      <c r="Q2716" s="32" t="str">
        <f>IF($P2716="","",$B2716/$P2716-1)</f>
        <v/>
      </c>
    </row>
    <row r="2717">
      <c r="A2717" s="11" t="n"/>
      <c r="B2717" s="29" t="n"/>
      <c r="K2717" s="30" t="str">
        <f>IF($A2717="","",EDATE($A2717,12*$E$4))</f>
        <v/>
      </c>
      <c r="L2717" s="19" t="str">
        <f>IF($K2717="","",IF($K2717&gt;MAX($A$8:$A$5007),"",IFERROR(MATCH($K2717,$A$8:$A$5007,1),"")))</f>
        <v/>
      </c>
      <c r="M2717" s="30" t="str">
        <f>IF($L2717="","",INDEX($A$8:$A$5007,$L2717))</f>
        <v/>
      </c>
      <c r="N2717" s="31" t="str">
        <f>IF($L2717="","",INDEX($B$8:$B$5007,$L2717))</f>
        <v/>
      </c>
      <c r="O2717" s="32" t="str">
        <f>IF($M2717="","",IF($K2717-$M2717&gt;7,"",IF($M2717&lt;=$A2717,"",IF(OR($B2717&lt;=0,$N2717&lt;=0),"",($N2717/$B2717)^(365/($M2717-$A2717))-1))))</f>
        <v/>
      </c>
      <c r="P2717" s="31" t="str">
        <f>IF($B2717="","",IF($P2716="",$B2717,MAX($P2716,$B2717)))</f>
        <v/>
      </c>
      <c r="Q2717" s="32" t="str">
        <f>IF($P2717="","",$B2717/$P2717-1)</f>
        <v/>
      </c>
    </row>
    <row r="2718">
      <c r="A2718" s="11" t="n"/>
      <c r="B2718" s="29" t="n"/>
      <c r="K2718" s="30" t="str">
        <f>IF($A2718="","",EDATE($A2718,12*$E$4))</f>
        <v/>
      </c>
      <c r="L2718" s="19" t="str">
        <f>IF($K2718="","",IF($K2718&gt;MAX($A$8:$A$5007),"",IFERROR(MATCH($K2718,$A$8:$A$5007,1),"")))</f>
        <v/>
      </c>
      <c r="M2718" s="30" t="str">
        <f>IF($L2718="","",INDEX($A$8:$A$5007,$L2718))</f>
        <v/>
      </c>
      <c r="N2718" s="31" t="str">
        <f>IF($L2718="","",INDEX($B$8:$B$5007,$L2718))</f>
        <v/>
      </c>
      <c r="O2718" s="32" t="str">
        <f>IF($M2718="","",IF($K2718-$M2718&gt;7,"",IF($M2718&lt;=$A2718,"",IF(OR($B2718&lt;=0,$N2718&lt;=0),"",($N2718/$B2718)^(365/($M2718-$A2718))-1))))</f>
        <v/>
      </c>
      <c r="P2718" s="31" t="str">
        <f>IF($B2718="","",IF($P2717="",$B2718,MAX($P2717,$B2718)))</f>
        <v/>
      </c>
      <c r="Q2718" s="32" t="str">
        <f>IF($P2718="","",$B2718/$P2718-1)</f>
        <v/>
      </c>
    </row>
    <row r="2719">
      <c r="A2719" s="11" t="n"/>
      <c r="B2719" s="29" t="n"/>
      <c r="K2719" s="30" t="str">
        <f>IF($A2719="","",EDATE($A2719,12*$E$4))</f>
        <v/>
      </c>
      <c r="L2719" s="19" t="str">
        <f>IF($K2719="","",IF($K2719&gt;MAX($A$8:$A$5007),"",IFERROR(MATCH($K2719,$A$8:$A$5007,1),"")))</f>
        <v/>
      </c>
      <c r="M2719" s="30" t="str">
        <f>IF($L2719="","",INDEX($A$8:$A$5007,$L2719))</f>
        <v/>
      </c>
      <c r="N2719" s="31" t="str">
        <f>IF($L2719="","",INDEX($B$8:$B$5007,$L2719))</f>
        <v/>
      </c>
      <c r="O2719" s="32" t="str">
        <f>IF($M2719="","",IF($K2719-$M2719&gt;7,"",IF($M2719&lt;=$A2719,"",IF(OR($B2719&lt;=0,$N2719&lt;=0),"",($N2719/$B2719)^(365/($M2719-$A2719))-1))))</f>
        <v/>
      </c>
      <c r="P2719" s="31" t="str">
        <f>IF($B2719="","",IF($P2718="",$B2719,MAX($P2718,$B2719)))</f>
        <v/>
      </c>
      <c r="Q2719" s="32" t="str">
        <f>IF($P2719="","",$B2719/$P2719-1)</f>
        <v/>
      </c>
    </row>
    <row r="2720">
      <c r="A2720" s="11" t="n"/>
      <c r="B2720" s="29" t="n"/>
      <c r="K2720" s="30" t="str">
        <f>IF($A2720="","",EDATE($A2720,12*$E$4))</f>
        <v/>
      </c>
      <c r="L2720" s="19" t="str">
        <f>IF($K2720="","",IF($K2720&gt;MAX($A$8:$A$5007),"",IFERROR(MATCH($K2720,$A$8:$A$5007,1),"")))</f>
        <v/>
      </c>
      <c r="M2720" s="30" t="str">
        <f>IF($L2720="","",INDEX($A$8:$A$5007,$L2720))</f>
        <v/>
      </c>
      <c r="N2720" s="31" t="str">
        <f>IF($L2720="","",INDEX($B$8:$B$5007,$L2720))</f>
        <v/>
      </c>
      <c r="O2720" s="32" t="str">
        <f>IF($M2720="","",IF($K2720-$M2720&gt;7,"",IF($M2720&lt;=$A2720,"",IF(OR($B2720&lt;=0,$N2720&lt;=0),"",($N2720/$B2720)^(365/($M2720-$A2720))-1))))</f>
        <v/>
      </c>
      <c r="P2720" s="31" t="str">
        <f>IF($B2720="","",IF($P2719="",$B2720,MAX($P2719,$B2720)))</f>
        <v/>
      </c>
      <c r="Q2720" s="32" t="str">
        <f>IF($P2720="","",$B2720/$P2720-1)</f>
        <v/>
      </c>
    </row>
    <row r="2721">
      <c r="A2721" s="11" t="n"/>
      <c r="B2721" s="29" t="n"/>
      <c r="K2721" s="30" t="str">
        <f>IF($A2721="","",EDATE($A2721,12*$E$4))</f>
        <v/>
      </c>
      <c r="L2721" s="19" t="str">
        <f>IF($K2721="","",IF($K2721&gt;MAX($A$8:$A$5007),"",IFERROR(MATCH($K2721,$A$8:$A$5007,1),"")))</f>
        <v/>
      </c>
      <c r="M2721" s="30" t="str">
        <f>IF($L2721="","",INDEX($A$8:$A$5007,$L2721))</f>
        <v/>
      </c>
      <c r="N2721" s="31" t="str">
        <f>IF($L2721="","",INDEX($B$8:$B$5007,$L2721))</f>
        <v/>
      </c>
      <c r="O2721" s="32" t="str">
        <f>IF($M2721="","",IF($K2721-$M2721&gt;7,"",IF($M2721&lt;=$A2721,"",IF(OR($B2721&lt;=0,$N2721&lt;=0),"",($N2721/$B2721)^(365/($M2721-$A2721))-1))))</f>
        <v/>
      </c>
      <c r="P2721" s="31" t="str">
        <f>IF($B2721="","",IF($P2720="",$B2721,MAX($P2720,$B2721)))</f>
        <v/>
      </c>
      <c r="Q2721" s="32" t="str">
        <f>IF($P2721="","",$B2721/$P2721-1)</f>
        <v/>
      </c>
    </row>
    <row r="2722">
      <c r="A2722" s="11" t="n"/>
      <c r="B2722" s="29" t="n"/>
      <c r="K2722" s="30" t="str">
        <f>IF($A2722="","",EDATE($A2722,12*$E$4))</f>
        <v/>
      </c>
      <c r="L2722" s="19" t="str">
        <f>IF($K2722="","",IF($K2722&gt;MAX($A$8:$A$5007),"",IFERROR(MATCH($K2722,$A$8:$A$5007,1),"")))</f>
        <v/>
      </c>
      <c r="M2722" s="30" t="str">
        <f>IF($L2722="","",INDEX($A$8:$A$5007,$L2722))</f>
        <v/>
      </c>
      <c r="N2722" s="31" t="str">
        <f>IF($L2722="","",INDEX($B$8:$B$5007,$L2722))</f>
        <v/>
      </c>
      <c r="O2722" s="32" t="str">
        <f>IF($M2722="","",IF($K2722-$M2722&gt;7,"",IF($M2722&lt;=$A2722,"",IF(OR($B2722&lt;=0,$N2722&lt;=0),"",($N2722/$B2722)^(365/($M2722-$A2722))-1))))</f>
        <v/>
      </c>
      <c r="P2722" s="31" t="str">
        <f>IF($B2722="","",IF($P2721="",$B2722,MAX($P2721,$B2722)))</f>
        <v/>
      </c>
      <c r="Q2722" s="32" t="str">
        <f>IF($P2722="","",$B2722/$P2722-1)</f>
        <v/>
      </c>
    </row>
    <row r="2723">
      <c r="A2723" s="11" t="n"/>
      <c r="B2723" s="29" t="n"/>
      <c r="K2723" s="30" t="str">
        <f>IF($A2723="","",EDATE($A2723,12*$E$4))</f>
        <v/>
      </c>
      <c r="L2723" s="19" t="str">
        <f>IF($K2723="","",IF($K2723&gt;MAX($A$8:$A$5007),"",IFERROR(MATCH($K2723,$A$8:$A$5007,1),"")))</f>
        <v/>
      </c>
      <c r="M2723" s="30" t="str">
        <f>IF($L2723="","",INDEX($A$8:$A$5007,$L2723))</f>
        <v/>
      </c>
      <c r="N2723" s="31" t="str">
        <f>IF($L2723="","",INDEX($B$8:$B$5007,$L2723))</f>
        <v/>
      </c>
      <c r="O2723" s="32" t="str">
        <f>IF($M2723="","",IF($K2723-$M2723&gt;7,"",IF($M2723&lt;=$A2723,"",IF(OR($B2723&lt;=0,$N2723&lt;=0),"",($N2723/$B2723)^(365/($M2723-$A2723))-1))))</f>
        <v/>
      </c>
      <c r="P2723" s="31" t="str">
        <f>IF($B2723="","",IF($P2722="",$B2723,MAX($P2722,$B2723)))</f>
        <v/>
      </c>
      <c r="Q2723" s="32" t="str">
        <f>IF($P2723="","",$B2723/$P2723-1)</f>
        <v/>
      </c>
    </row>
    <row r="2724">
      <c r="A2724" s="11" t="n"/>
      <c r="B2724" s="29" t="n"/>
      <c r="K2724" s="30" t="str">
        <f>IF($A2724="","",EDATE($A2724,12*$E$4))</f>
        <v/>
      </c>
      <c r="L2724" s="19" t="str">
        <f>IF($K2724="","",IF($K2724&gt;MAX($A$8:$A$5007),"",IFERROR(MATCH($K2724,$A$8:$A$5007,1),"")))</f>
        <v/>
      </c>
      <c r="M2724" s="30" t="str">
        <f>IF($L2724="","",INDEX($A$8:$A$5007,$L2724))</f>
        <v/>
      </c>
      <c r="N2724" s="31" t="str">
        <f>IF($L2724="","",INDEX($B$8:$B$5007,$L2724))</f>
        <v/>
      </c>
      <c r="O2724" s="32" t="str">
        <f>IF($M2724="","",IF($K2724-$M2724&gt;7,"",IF($M2724&lt;=$A2724,"",IF(OR($B2724&lt;=0,$N2724&lt;=0),"",($N2724/$B2724)^(365/($M2724-$A2724))-1))))</f>
        <v/>
      </c>
      <c r="P2724" s="31" t="str">
        <f>IF($B2724="","",IF($P2723="",$B2724,MAX($P2723,$B2724)))</f>
        <v/>
      </c>
      <c r="Q2724" s="32" t="str">
        <f>IF($P2724="","",$B2724/$P2724-1)</f>
        <v/>
      </c>
    </row>
    <row r="2725">
      <c r="A2725" s="11" t="n"/>
      <c r="B2725" s="29" t="n"/>
      <c r="K2725" s="30" t="str">
        <f>IF($A2725="","",EDATE($A2725,12*$E$4))</f>
        <v/>
      </c>
      <c r="L2725" s="19" t="str">
        <f>IF($K2725="","",IF($K2725&gt;MAX($A$8:$A$5007),"",IFERROR(MATCH($K2725,$A$8:$A$5007,1),"")))</f>
        <v/>
      </c>
      <c r="M2725" s="30" t="str">
        <f>IF($L2725="","",INDEX($A$8:$A$5007,$L2725))</f>
        <v/>
      </c>
      <c r="N2725" s="31" t="str">
        <f>IF($L2725="","",INDEX($B$8:$B$5007,$L2725))</f>
        <v/>
      </c>
      <c r="O2725" s="32" t="str">
        <f>IF($M2725="","",IF($K2725-$M2725&gt;7,"",IF($M2725&lt;=$A2725,"",IF(OR($B2725&lt;=0,$N2725&lt;=0),"",($N2725/$B2725)^(365/($M2725-$A2725))-1))))</f>
        <v/>
      </c>
      <c r="P2725" s="31" t="str">
        <f>IF($B2725="","",IF($P2724="",$B2725,MAX($P2724,$B2725)))</f>
        <v/>
      </c>
      <c r="Q2725" s="32" t="str">
        <f>IF($P2725="","",$B2725/$P2725-1)</f>
        <v/>
      </c>
    </row>
    <row r="2726">
      <c r="A2726" s="11" t="n"/>
      <c r="B2726" s="29" t="n"/>
      <c r="K2726" s="30" t="str">
        <f>IF($A2726="","",EDATE($A2726,12*$E$4))</f>
        <v/>
      </c>
      <c r="L2726" s="19" t="str">
        <f>IF($K2726="","",IF($K2726&gt;MAX($A$8:$A$5007),"",IFERROR(MATCH($K2726,$A$8:$A$5007,1),"")))</f>
        <v/>
      </c>
      <c r="M2726" s="30" t="str">
        <f>IF($L2726="","",INDEX($A$8:$A$5007,$L2726))</f>
        <v/>
      </c>
      <c r="N2726" s="31" t="str">
        <f>IF($L2726="","",INDEX($B$8:$B$5007,$L2726))</f>
        <v/>
      </c>
      <c r="O2726" s="32" t="str">
        <f>IF($M2726="","",IF($K2726-$M2726&gt;7,"",IF($M2726&lt;=$A2726,"",IF(OR($B2726&lt;=0,$N2726&lt;=0),"",($N2726/$B2726)^(365/($M2726-$A2726))-1))))</f>
        <v/>
      </c>
      <c r="P2726" s="31" t="str">
        <f>IF($B2726="","",IF($P2725="",$B2726,MAX($P2725,$B2726)))</f>
        <v/>
      </c>
      <c r="Q2726" s="32" t="str">
        <f>IF($P2726="","",$B2726/$P2726-1)</f>
        <v/>
      </c>
    </row>
    <row r="2727">
      <c r="A2727" s="11" t="n"/>
      <c r="B2727" s="29" t="n"/>
      <c r="K2727" s="30" t="str">
        <f>IF($A2727="","",EDATE($A2727,12*$E$4))</f>
        <v/>
      </c>
      <c r="L2727" s="19" t="str">
        <f>IF($K2727="","",IF($K2727&gt;MAX($A$8:$A$5007),"",IFERROR(MATCH($K2727,$A$8:$A$5007,1),"")))</f>
        <v/>
      </c>
      <c r="M2727" s="30" t="str">
        <f>IF($L2727="","",INDEX($A$8:$A$5007,$L2727))</f>
        <v/>
      </c>
      <c r="N2727" s="31" t="str">
        <f>IF($L2727="","",INDEX($B$8:$B$5007,$L2727))</f>
        <v/>
      </c>
      <c r="O2727" s="32" t="str">
        <f>IF($M2727="","",IF($K2727-$M2727&gt;7,"",IF($M2727&lt;=$A2727,"",IF(OR($B2727&lt;=0,$N2727&lt;=0),"",($N2727/$B2727)^(365/($M2727-$A2727))-1))))</f>
        <v/>
      </c>
      <c r="P2727" s="31" t="str">
        <f>IF($B2727="","",IF($P2726="",$B2727,MAX($P2726,$B2727)))</f>
        <v/>
      </c>
      <c r="Q2727" s="32" t="str">
        <f>IF($P2727="","",$B2727/$P2727-1)</f>
        <v/>
      </c>
    </row>
    <row r="2728">
      <c r="A2728" s="11" t="n"/>
      <c r="B2728" s="29" t="n"/>
      <c r="K2728" s="30" t="str">
        <f>IF($A2728="","",EDATE($A2728,12*$E$4))</f>
        <v/>
      </c>
      <c r="L2728" s="19" t="str">
        <f>IF($K2728="","",IF($K2728&gt;MAX($A$8:$A$5007),"",IFERROR(MATCH($K2728,$A$8:$A$5007,1),"")))</f>
        <v/>
      </c>
      <c r="M2728" s="30" t="str">
        <f>IF($L2728="","",INDEX($A$8:$A$5007,$L2728))</f>
        <v/>
      </c>
      <c r="N2728" s="31" t="str">
        <f>IF($L2728="","",INDEX($B$8:$B$5007,$L2728))</f>
        <v/>
      </c>
      <c r="O2728" s="32" t="str">
        <f>IF($M2728="","",IF($K2728-$M2728&gt;7,"",IF($M2728&lt;=$A2728,"",IF(OR($B2728&lt;=0,$N2728&lt;=0),"",($N2728/$B2728)^(365/($M2728-$A2728))-1))))</f>
        <v/>
      </c>
      <c r="P2728" s="31" t="str">
        <f>IF($B2728="","",IF($P2727="",$B2728,MAX($P2727,$B2728)))</f>
        <v/>
      </c>
      <c r="Q2728" s="32" t="str">
        <f>IF($P2728="","",$B2728/$P2728-1)</f>
        <v/>
      </c>
    </row>
    <row r="2729">
      <c r="A2729" s="11" t="n"/>
      <c r="B2729" s="29" t="n"/>
      <c r="K2729" s="30" t="str">
        <f>IF($A2729="","",EDATE($A2729,12*$E$4))</f>
        <v/>
      </c>
      <c r="L2729" s="19" t="str">
        <f>IF($K2729="","",IF($K2729&gt;MAX($A$8:$A$5007),"",IFERROR(MATCH($K2729,$A$8:$A$5007,1),"")))</f>
        <v/>
      </c>
      <c r="M2729" s="30" t="str">
        <f>IF($L2729="","",INDEX($A$8:$A$5007,$L2729))</f>
        <v/>
      </c>
      <c r="N2729" s="31" t="str">
        <f>IF($L2729="","",INDEX($B$8:$B$5007,$L2729))</f>
        <v/>
      </c>
      <c r="O2729" s="32" t="str">
        <f>IF($M2729="","",IF($K2729-$M2729&gt;7,"",IF($M2729&lt;=$A2729,"",IF(OR($B2729&lt;=0,$N2729&lt;=0),"",($N2729/$B2729)^(365/($M2729-$A2729))-1))))</f>
        <v/>
      </c>
      <c r="P2729" s="31" t="str">
        <f>IF($B2729="","",IF($P2728="",$B2729,MAX($P2728,$B2729)))</f>
        <v/>
      </c>
      <c r="Q2729" s="32" t="str">
        <f>IF($P2729="","",$B2729/$P2729-1)</f>
        <v/>
      </c>
    </row>
    <row r="2730">
      <c r="A2730" s="11" t="n"/>
      <c r="B2730" s="29" t="n"/>
      <c r="K2730" s="30" t="str">
        <f>IF($A2730="","",EDATE($A2730,12*$E$4))</f>
        <v/>
      </c>
      <c r="L2730" s="19" t="str">
        <f>IF($K2730="","",IF($K2730&gt;MAX($A$8:$A$5007),"",IFERROR(MATCH($K2730,$A$8:$A$5007,1),"")))</f>
        <v/>
      </c>
      <c r="M2730" s="30" t="str">
        <f>IF($L2730="","",INDEX($A$8:$A$5007,$L2730))</f>
        <v/>
      </c>
      <c r="N2730" s="31" t="str">
        <f>IF($L2730="","",INDEX($B$8:$B$5007,$L2730))</f>
        <v/>
      </c>
      <c r="O2730" s="32" t="str">
        <f>IF($M2730="","",IF($K2730-$M2730&gt;7,"",IF($M2730&lt;=$A2730,"",IF(OR($B2730&lt;=0,$N2730&lt;=0),"",($N2730/$B2730)^(365/($M2730-$A2730))-1))))</f>
        <v/>
      </c>
      <c r="P2730" s="31" t="str">
        <f>IF($B2730="","",IF($P2729="",$B2730,MAX($P2729,$B2730)))</f>
        <v/>
      </c>
      <c r="Q2730" s="32" t="str">
        <f>IF($P2730="","",$B2730/$P2730-1)</f>
        <v/>
      </c>
    </row>
    <row r="2731">
      <c r="A2731" s="11" t="n"/>
      <c r="B2731" s="29" t="n"/>
      <c r="K2731" s="30" t="str">
        <f>IF($A2731="","",EDATE($A2731,12*$E$4))</f>
        <v/>
      </c>
      <c r="L2731" s="19" t="str">
        <f>IF($K2731="","",IF($K2731&gt;MAX($A$8:$A$5007),"",IFERROR(MATCH($K2731,$A$8:$A$5007,1),"")))</f>
        <v/>
      </c>
      <c r="M2731" s="30" t="str">
        <f>IF($L2731="","",INDEX($A$8:$A$5007,$L2731))</f>
        <v/>
      </c>
      <c r="N2731" s="31" t="str">
        <f>IF($L2731="","",INDEX($B$8:$B$5007,$L2731))</f>
        <v/>
      </c>
      <c r="O2731" s="32" t="str">
        <f>IF($M2731="","",IF($K2731-$M2731&gt;7,"",IF($M2731&lt;=$A2731,"",IF(OR($B2731&lt;=0,$N2731&lt;=0),"",($N2731/$B2731)^(365/($M2731-$A2731))-1))))</f>
        <v/>
      </c>
      <c r="P2731" s="31" t="str">
        <f>IF($B2731="","",IF($P2730="",$B2731,MAX($P2730,$B2731)))</f>
        <v/>
      </c>
      <c r="Q2731" s="32" t="str">
        <f>IF($P2731="","",$B2731/$P2731-1)</f>
        <v/>
      </c>
    </row>
    <row r="2732">
      <c r="A2732" s="11" t="n"/>
      <c r="B2732" s="29" t="n"/>
      <c r="K2732" s="30" t="str">
        <f>IF($A2732="","",EDATE($A2732,12*$E$4))</f>
        <v/>
      </c>
      <c r="L2732" s="19" t="str">
        <f>IF($K2732="","",IF($K2732&gt;MAX($A$8:$A$5007),"",IFERROR(MATCH($K2732,$A$8:$A$5007,1),"")))</f>
        <v/>
      </c>
      <c r="M2732" s="30" t="str">
        <f>IF($L2732="","",INDEX($A$8:$A$5007,$L2732))</f>
        <v/>
      </c>
      <c r="N2732" s="31" t="str">
        <f>IF($L2732="","",INDEX($B$8:$B$5007,$L2732))</f>
        <v/>
      </c>
      <c r="O2732" s="32" t="str">
        <f>IF($M2732="","",IF($K2732-$M2732&gt;7,"",IF($M2732&lt;=$A2732,"",IF(OR($B2732&lt;=0,$N2732&lt;=0),"",($N2732/$B2732)^(365/($M2732-$A2732))-1))))</f>
        <v/>
      </c>
      <c r="P2732" s="31" t="str">
        <f>IF($B2732="","",IF($P2731="",$B2732,MAX($P2731,$B2732)))</f>
        <v/>
      </c>
      <c r="Q2732" s="32" t="str">
        <f>IF($P2732="","",$B2732/$P2732-1)</f>
        <v/>
      </c>
    </row>
    <row r="2733">
      <c r="A2733" s="11" t="n"/>
      <c r="B2733" s="29" t="n"/>
      <c r="K2733" s="30" t="str">
        <f>IF($A2733="","",EDATE($A2733,12*$E$4))</f>
        <v/>
      </c>
      <c r="L2733" s="19" t="str">
        <f>IF($K2733="","",IF($K2733&gt;MAX($A$8:$A$5007),"",IFERROR(MATCH($K2733,$A$8:$A$5007,1),"")))</f>
        <v/>
      </c>
      <c r="M2733" s="30" t="str">
        <f>IF($L2733="","",INDEX($A$8:$A$5007,$L2733))</f>
        <v/>
      </c>
      <c r="N2733" s="31" t="str">
        <f>IF($L2733="","",INDEX($B$8:$B$5007,$L2733))</f>
        <v/>
      </c>
      <c r="O2733" s="32" t="str">
        <f>IF($M2733="","",IF($K2733-$M2733&gt;7,"",IF($M2733&lt;=$A2733,"",IF(OR($B2733&lt;=0,$N2733&lt;=0),"",($N2733/$B2733)^(365/($M2733-$A2733))-1))))</f>
        <v/>
      </c>
      <c r="P2733" s="31" t="str">
        <f>IF($B2733="","",IF($P2732="",$B2733,MAX($P2732,$B2733)))</f>
        <v/>
      </c>
      <c r="Q2733" s="32" t="str">
        <f>IF($P2733="","",$B2733/$P2733-1)</f>
        <v/>
      </c>
    </row>
    <row r="2734">
      <c r="A2734" s="11" t="n"/>
      <c r="B2734" s="29" t="n"/>
      <c r="K2734" s="30" t="str">
        <f>IF($A2734="","",EDATE($A2734,12*$E$4))</f>
        <v/>
      </c>
      <c r="L2734" s="19" t="str">
        <f>IF($K2734="","",IF($K2734&gt;MAX($A$8:$A$5007),"",IFERROR(MATCH($K2734,$A$8:$A$5007,1),"")))</f>
        <v/>
      </c>
      <c r="M2734" s="30" t="str">
        <f>IF($L2734="","",INDEX($A$8:$A$5007,$L2734))</f>
        <v/>
      </c>
      <c r="N2734" s="31" t="str">
        <f>IF($L2734="","",INDEX($B$8:$B$5007,$L2734))</f>
        <v/>
      </c>
      <c r="O2734" s="32" t="str">
        <f>IF($M2734="","",IF($K2734-$M2734&gt;7,"",IF($M2734&lt;=$A2734,"",IF(OR($B2734&lt;=0,$N2734&lt;=0),"",($N2734/$B2734)^(365/($M2734-$A2734))-1))))</f>
        <v/>
      </c>
      <c r="P2734" s="31" t="str">
        <f>IF($B2734="","",IF($P2733="",$B2734,MAX($P2733,$B2734)))</f>
        <v/>
      </c>
      <c r="Q2734" s="32" t="str">
        <f>IF($P2734="","",$B2734/$P2734-1)</f>
        <v/>
      </c>
    </row>
    <row r="2735">
      <c r="A2735" s="11" t="n"/>
      <c r="B2735" s="29" t="n"/>
      <c r="K2735" s="30" t="str">
        <f>IF($A2735="","",EDATE($A2735,12*$E$4))</f>
        <v/>
      </c>
      <c r="L2735" s="19" t="str">
        <f>IF($K2735="","",IF($K2735&gt;MAX($A$8:$A$5007),"",IFERROR(MATCH($K2735,$A$8:$A$5007,1),"")))</f>
        <v/>
      </c>
      <c r="M2735" s="30" t="str">
        <f>IF($L2735="","",INDEX($A$8:$A$5007,$L2735))</f>
        <v/>
      </c>
      <c r="N2735" s="31" t="str">
        <f>IF($L2735="","",INDEX($B$8:$B$5007,$L2735))</f>
        <v/>
      </c>
      <c r="O2735" s="32" t="str">
        <f>IF($M2735="","",IF($K2735-$M2735&gt;7,"",IF($M2735&lt;=$A2735,"",IF(OR($B2735&lt;=0,$N2735&lt;=0),"",($N2735/$B2735)^(365/($M2735-$A2735))-1))))</f>
        <v/>
      </c>
      <c r="P2735" s="31" t="str">
        <f>IF($B2735="","",IF($P2734="",$B2735,MAX($P2734,$B2735)))</f>
        <v/>
      </c>
      <c r="Q2735" s="32" t="str">
        <f>IF($P2735="","",$B2735/$P2735-1)</f>
        <v/>
      </c>
    </row>
    <row r="2736">
      <c r="A2736" s="11" t="n"/>
      <c r="B2736" s="29" t="n"/>
      <c r="K2736" s="30" t="str">
        <f>IF($A2736="","",EDATE($A2736,12*$E$4))</f>
        <v/>
      </c>
      <c r="L2736" s="19" t="str">
        <f>IF($K2736="","",IF($K2736&gt;MAX($A$8:$A$5007),"",IFERROR(MATCH($K2736,$A$8:$A$5007,1),"")))</f>
        <v/>
      </c>
      <c r="M2736" s="30" t="str">
        <f>IF($L2736="","",INDEX($A$8:$A$5007,$L2736))</f>
        <v/>
      </c>
      <c r="N2736" s="31" t="str">
        <f>IF($L2736="","",INDEX($B$8:$B$5007,$L2736))</f>
        <v/>
      </c>
      <c r="O2736" s="32" t="str">
        <f>IF($M2736="","",IF($K2736-$M2736&gt;7,"",IF($M2736&lt;=$A2736,"",IF(OR($B2736&lt;=0,$N2736&lt;=0),"",($N2736/$B2736)^(365/($M2736-$A2736))-1))))</f>
        <v/>
      </c>
      <c r="P2736" s="31" t="str">
        <f>IF($B2736="","",IF($P2735="",$B2736,MAX($P2735,$B2736)))</f>
        <v/>
      </c>
      <c r="Q2736" s="32" t="str">
        <f>IF($P2736="","",$B2736/$P2736-1)</f>
        <v/>
      </c>
    </row>
    <row r="2737">
      <c r="A2737" s="11" t="n"/>
      <c r="B2737" s="29" t="n"/>
      <c r="K2737" s="30" t="str">
        <f>IF($A2737="","",EDATE($A2737,12*$E$4))</f>
        <v/>
      </c>
      <c r="L2737" s="19" t="str">
        <f>IF($K2737="","",IF($K2737&gt;MAX($A$8:$A$5007),"",IFERROR(MATCH($K2737,$A$8:$A$5007,1),"")))</f>
        <v/>
      </c>
      <c r="M2737" s="30" t="str">
        <f>IF($L2737="","",INDEX($A$8:$A$5007,$L2737))</f>
        <v/>
      </c>
      <c r="N2737" s="31" t="str">
        <f>IF($L2737="","",INDEX($B$8:$B$5007,$L2737))</f>
        <v/>
      </c>
      <c r="O2737" s="32" t="str">
        <f>IF($M2737="","",IF($K2737-$M2737&gt;7,"",IF($M2737&lt;=$A2737,"",IF(OR($B2737&lt;=0,$N2737&lt;=0),"",($N2737/$B2737)^(365/($M2737-$A2737))-1))))</f>
        <v/>
      </c>
      <c r="P2737" s="31" t="str">
        <f>IF($B2737="","",IF($P2736="",$B2737,MAX($P2736,$B2737)))</f>
        <v/>
      </c>
      <c r="Q2737" s="32" t="str">
        <f>IF($P2737="","",$B2737/$P2737-1)</f>
        <v/>
      </c>
    </row>
    <row r="2738">
      <c r="A2738" s="11" t="n"/>
      <c r="B2738" s="29" t="n"/>
      <c r="K2738" s="30" t="str">
        <f>IF($A2738="","",EDATE($A2738,12*$E$4))</f>
        <v/>
      </c>
      <c r="L2738" s="19" t="str">
        <f>IF($K2738="","",IF($K2738&gt;MAX($A$8:$A$5007),"",IFERROR(MATCH($K2738,$A$8:$A$5007,1),"")))</f>
        <v/>
      </c>
      <c r="M2738" s="30" t="str">
        <f>IF($L2738="","",INDEX($A$8:$A$5007,$L2738))</f>
        <v/>
      </c>
      <c r="N2738" s="31" t="str">
        <f>IF($L2738="","",INDEX($B$8:$B$5007,$L2738))</f>
        <v/>
      </c>
      <c r="O2738" s="32" t="str">
        <f>IF($M2738="","",IF($K2738-$M2738&gt;7,"",IF($M2738&lt;=$A2738,"",IF(OR($B2738&lt;=0,$N2738&lt;=0),"",($N2738/$B2738)^(365/($M2738-$A2738))-1))))</f>
        <v/>
      </c>
      <c r="P2738" s="31" t="str">
        <f>IF($B2738="","",IF($P2737="",$B2738,MAX($P2737,$B2738)))</f>
        <v/>
      </c>
      <c r="Q2738" s="32" t="str">
        <f>IF($P2738="","",$B2738/$P2738-1)</f>
        <v/>
      </c>
    </row>
    <row r="2739">
      <c r="A2739" s="11" t="n"/>
      <c r="B2739" s="29" t="n"/>
      <c r="K2739" s="30" t="str">
        <f>IF($A2739="","",EDATE($A2739,12*$E$4))</f>
        <v/>
      </c>
      <c r="L2739" s="19" t="str">
        <f>IF($K2739="","",IF($K2739&gt;MAX($A$8:$A$5007),"",IFERROR(MATCH($K2739,$A$8:$A$5007,1),"")))</f>
        <v/>
      </c>
      <c r="M2739" s="30" t="str">
        <f>IF($L2739="","",INDEX($A$8:$A$5007,$L2739))</f>
        <v/>
      </c>
      <c r="N2739" s="31" t="str">
        <f>IF($L2739="","",INDEX($B$8:$B$5007,$L2739))</f>
        <v/>
      </c>
      <c r="O2739" s="32" t="str">
        <f>IF($M2739="","",IF($K2739-$M2739&gt;7,"",IF($M2739&lt;=$A2739,"",IF(OR($B2739&lt;=0,$N2739&lt;=0),"",($N2739/$B2739)^(365/($M2739-$A2739))-1))))</f>
        <v/>
      </c>
      <c r="P2739" s="31" t="str">
        <f>IF($B2739="","",IF($P2738="",$B2739,MAX($P2738,$B2739)))</f>
        <v/>
      </c>
      <c r="Q2739" s="32" t="str">
        <f>IF($P2739="","",$B2739/$P2739-1)</f>
        <v/>
      </c>
    </row>
    <row r="2740">
      <c r="A2740" s="11" t="n"/>
      <c r="B2740" s="29" t="n"/>
      <c r="K2740" s="30" t="str">
        <f>IF($A2740="","",EDATE($A2740,12*$E$4))</f>
        <v/>
      </c>
      <c r="L2740" s="19" t="str">
        <f>IF($K2740="","",IF($K2740&gt;MAX($A$8:$A$5007),"",IFERROR(MATCH($K2740,$A$8:$A$5007,1),"")))</f>
        <v/>
      </c>
      <c r="M2740" s="30" t="str">
        <f>IF($L2740="","",INDEX($A$8:$A$5007,$L2740))</f>
        <v/>
      </c>
      <c r="N2740" s="31" t="str">
        <f>IF($L2740="","",INDEX($B$8:$B$5007,$L2740))</f>
        <v/>
      </c>
      <c r="O2740" s="32" t="str">
        <f>IF($M2740="","",IF($K2740-$M2740&gt;7,"",IF($M2740&lt;=$A2740,"",IF(OR($B2740&lt;=0,$N2740&lt;=0),"",($N2740/$B2740)^(365/($M2740-$A2740))-1))))</f>
        <v/>
      </c>
      <c r="P2740" s="31" t="str">
        <f>IF($B2740="","",IF($P2739="",$B2740,MAX($P2739,$B2740)))</f>
        <v/>
      </c>
      <c r="Q2740" s="32" t="str">
        <f>IF($P2740="","",$B2740/$P2740-1)</f>
        <v/>
      </c>
    </row>
    <row r="2741">
      <c r="A2741" s="11" t="n"/>
      <c r="B2741" s="29" t="n"/>
      <c r="K2741" s="30" t="str">
        <f>IF($A2741="","",EDATE($A2741,12*$E$4))</f>
        <v/>
      </c>
      <c r="L2741" s="19" t="str">
        <f>IF($K2741="","",IF($K2741&gt;MAX($A$8:$A$5007),"",IFERROR(MATCH($K2741,$A$8:$A$5007,1),"")))</f>
        <v/>
      </c>
      <c r="M2741" s="30" t="str">
        <f>IF($L2741="","",INDEX($A$8:$A$5007,$L2741))</f>
        <v/>
      </c>
      <c r="N2741" s="31" t="str">
        <f>IF($L2741="","",INDEX($B$8:$B$5007,$L2741))</f>
        <v/>
      </c>
      <c r="O2741" s="32" t="str">
        <f>IF($M2741="","",IF($K2741-$M2741&gt;7,"",IF($M2741&lt;=$A2741,"",IF(OR($B2741&lt;=0,$N2741&lt;=0),"",($N2741/$B2741)^(365/($M2741-$A2741))-1))))</f>
        <v/>
      </c>
      <c r="P2741" s="31" t="str">
        <f>IF($B2741="","",IF($P2740="",$B2741,MAX($P2740,$B2741)))</f>
        <v/>
      </c>
      <c r="Q2741" s="32" t="str">
        <f>IF($P2741="","",$B2741/$P2741-1)</f>
        <v/>
      </c>
    </row>
    <row r="2742">
      <c r="A2742" s="11" t="n"/>
      <c r="B2742" s="29" t="n"/>
      <c r="K2742" s="30" t="str">
        <f>IF($A2742="","",EDATE($A2742,12*$E$4))</f>
        <v/>
      </c>
      <c r="L2742" s="19" t="str">
        <f>IF($K2742="","",IF($K2742&gt;MAX($A$8:$A$5007),"",IFERROR(MATCH($K2742,$A$8:$A$5007,1),"")))</f>
        <v/>
      </c>
      <c r="M2742" s="30" t="str">
        <f>IF($L2742="","",INDEX($A$8:$A$5007,$L2742))</f>
        <v/>
      </c>
      <c r="N2742" s="31" t="str">
        <f>IF($L2742="","",INDEX($B$8:$B$5007,$L2742))</f>
        <v/>
      </c>
      <c r="O2742" s="32" t="str">
        <f>IF($M2742="","",IF($K2742-$M2742&gt;7,"",IF($M2742&lt;=$A2742,"",IF(OR($B2742&lt;=0,$N2742&lt;=0),"",($N2742/$B2742)^(365/($M2742-$A2742))-1))))</f>
        <v/>
      </c>
      <c r="P2742" s="31" t="str">
        <f>IF($B2742="","",IF($P2741="",$B2742,MAX($P2741,$B2742)))</f>
        <v/>
      </c>
      <c r="Q2742" s="32" t="str">
        <f>IF($P2742="","",$B2742/$P2742-1)</f>
        <v/>
      </c>
    </row>
    <row r="2743">
      <c r="A2743" s="11" t="n"/>
      <c r="B2743" s="29" t="n"/>
      <c r="K2743" s="30" t="str">
        <f>IF($A2743="","",EDATE($A2743,12*$E$4))</f>
        <v/>
      </c>
      <c r="L2743" s="19" t="str">
        <f>IF($K2743="","",IF($K2743&gt;MAX($A$8:$A$5007),"",IFERROR(MATCH($K2743,$A$8:$A$5007,1),"")))</f>
        <v/>
      </c>
      <c r="M2743" s="30" t="str">
        <f>IF($L2743="","",INDEX($A$8:$A$5007,$L2743))</f>
        <v/>
      </c>
      <c r="N2743" s="31" t="str">
        <f>IF($L2743="","",INDEX($B$8:$B$5007,$L2743))</f>
        <v/>
      </c>
      <c r="O2743" s="32" t="str">
        <f>IF($M2743="","",IF($K2743-$M2743&gt;7,"",IF($M2743&lt;=$A2743,"",IF(OR($B2743&lt;=0,$N2743&lt;=0),"",($N2743/$B2743)^(365/($M2743-$A2743))-1))))</f>
        <v/>
      </c>
      <c r="P2743" s="31" t="str">
        <f>IF($B2743="","",IF($P2742="",$B2743,MAX($P2742,$B2743)))</f>
        <v/>
      </c>
      <c r="Q2743" s="32" t="str">
        <f>IF($P2743="","",$B2743/$P2743-1)</f>
        <v/>
      </c>
    </row>
    <row r="2744">
      <c r="A2744" s="11" t="n"/>
      <c r="B2744" s="29" t="n"/>
      <c r="K2744" s="30" t="str">
        <f>IF($A2744="","",EDATE($A2744,12*$E$4))</f>
        <v/>
      </c>
      <c r="L2744" s="19" t="str">
        <f>IF($K2744="","",IF($K2744&gt;MAX($A$8:$A$5007),"",IFERROR(MATCH($K2744,$A$8:$A$5007,1),"")))</f>
        <v/>
      </c>
      <c r="M2744" s="30" t="str">
        <f>IF($L2744="","",INDEX($A$8:$A$5007,$L2744))</f>
        <v/>
      </c>
      <c r="N2744" s="31" t="str">
        <f>IF($L2744="","",INDEX($B$8:$B$5007,$L2744))</f>
        <v/>
      </c>
      <c r="O2744" s="32" t="str">
        <f>IF($M2744="","",IF($K2744-$M2744&gt;7,"",IF($M2744&lt;=$A2744,"",IF(OR($B2744&lt;=0,$N2744&lt;=0),"",($N2744/$B2744)^(365/($M2744-$A2744))-1))))</f>
        <v/>
      </c>
      <c r="P2744" s="31" t="str">
        <f>IF($B2744="","",IF($P2743="",$B2744,MAX($P2743,$B2744)))</f>
        <v/>
      </c>
      <c r="Q2744" s="32" t="str">
        <f>IF($P2744="","",$B2744/$P2744-1)</f>
        <v/>
      </c>
    </row>
    <row r="2745">
      <c r="A2745" s="11" t="n"/>
      <c r="B2745" s="29" t="n"/>
      <c r="K2745" s="30" t="str">
        <f>IF($A2745="","",EDATE($A2745,12*$E$4))</f>
        <v/>
      </c>
      <c r="L2745" s="19" t="str">
        <f>IF($K2745="","",IF($K2745&gt;MAX($A$8:$A$5007),"",IFERROR(MATCH($K2745,$A$8:$A$5007,1),"")))</f>
        <v/>
      </c>
      <c r="M2745" s="30" t="str">
        <f>IF($L2745="","",INDEX($A$8:$A$5007,$L2745))</f>
        <v/>
      </c>
      <c r="N2745" s="31" t="str">
        <f>IF($L2745="","",INDEX($B$8:$B$5007,$L2745))</f>
        <v/>
      </c>
      <c r="O2745" s="32" t="str">
        <f>IF($M2745="","",IF($K2745-$M2745&gt;7,"",IF($M2745&lt;=$A2745,"",IF(OR($B2745&lt;=0,$N2745&lt;=0),"",($N2745/$B2745)^(365/($M2745-$A2745))-1))))</f>
        <v/>
      </c>
      <c r="P2745" s="31" t="str">
        <f>IF($B2745="","",IF($P2744="",$B2745,MAX($P2744,$B2745)))</f>
        <v/>
      </c>
      <c r="Q2745" s="32" t="str">
        <f>IF($P2745="","",$B2745/$P2745-1)</f>
        <v/>
      </c>
    </row>
    <row r="2746">
      <c r="A2746" s="11" t="n"/>
      <c r="B2746" s="29" t="n"/>
      <c r="K2746" s="30" t="str">
        <f>IF($A2746="","",EDATE($A2746,12*$E$4))</f>
        <v/>
      </c>
      <c r="L2746" s="19" t="str">
        <f>IF($K2746="","",IF($K2746&gt;MAX($A$8:$A$5007),"",IFERROR(MATCH($K2746,$A$8:$A$5007,1),"")))</f>
        <v/>
      </c>
      <c r="M2746" s="30" t="str">
        <f>IF($L2746="","",INDEX($A$8:$A$5007,$L2746))</f>
        <v/>
      </c>
      <c r="N2746" s="31" t="str">
        <f>IF($L2746="","",INDEX($B$8:$B$5007,$L2746))</f>
        <v/>
      </c>
      <c r="O2746" s="32" t="str">
        <f>IF($M2746="","",IF($K2746-$M2746&gt;7,"",IF($M2746&lt;=$A2746,"",IF(OR($B2746&lt;=0,$N2746&lt;=0),"",($N2746/$B2746)^(365/($M2746-$A2746))-1))))</f>
        <v/>
      </c>
      <c r="P2746" s="31" t="str">
        <f>IF($B2746="","",IF($P2745="",$B2746,MAX($P2745,$B2746)))</f>
        <v/>
      </c>
      <c r="Q2746" s="32" t="str">
        <f>IF($P2746="","",$B2746/$P2746-1)</f>
        <v/>
      </c>
    </row>
    <row r="2747">
      <c r="A2747" s="11" t="n"/>
      <c r="B2747" s="29" t="n"/>
      <c r="K2747" s="30" t="str">
        <f>IF($A2747="","",EDATE($A2747,12*$E$4))</f>
        <v/>
      </c>
      <c r="L2747" s="19" t="str">
        <f>IF($K2747="","",IF($K2747&gt;MAX($A$8:$A$5007),"",IFERROR(MATCH($K2747,$A$8:$A$5007,1),"")))</f>
        <v/>
      </c>
      <c r="M2747" s="30" t="str">
        <f>IF($L2747="","",INDEX($A$8:$A$5007,$L2747))</f>
        <v/>
      </c>
      <c r="N2747" s="31" t="str">
        <f>IF($L2747="","",INDEX($B$8:$B$5007,$L2747))</f>
        <v/>
      </c>
      <c r="O2747" s="32" t="str">
        <f>IF($M2747="","",IF($K2747-$M2747&gt;7,"",IF($M2747&lt;=$A2747,"",IF(OR($B2747&lt;=0,$N2747&lt;=0),"",($N2747/$B2747)^(365/($M2747-$A2747))-1))))</f>
        <v/>
      </c>
      <c r="P2747" s="31" t="str">
        <f>IF($B2747="","",IF($P2746="",$B2747,MAX($P2746,$B2747)))</f>
        <v/>
      </c>
      <c r="Q2747" s="32" t="str">
        <f>IF($P2747="","",$B2747/$P2747-1)</f>
        <v/>
      </c>
    </row>
    <row r="2748">
      <c r="A2748" s="11" t="n"/>
      <c r="B2748" s="29" t="n"/>
      <c r="K2748" s="30" t="str">
        <f>IF($A2748="","",EDATE($A2748,12*$E$4))</f>
        <v/>
      </c>
      <c r="L2748" s="19" t="str">
        <f>IF($K2748="","",IF($K2748&gt;MAX($A$8:$A$5007),"",IFERROR(MATCH($K2748,$A$8:$A$5007,1),"")))</f>
        <v/>
      </c>
      <c r="M2748" s="30" t="str">
        <f>IF($L2748="","",INDEX($A$8:$A$5007,$L2748))</f>
        <v/>
      </c>
      <c r="N2748" s="31" t="str">
        <f>IF($L2748="","",INDEX($B$8:$B$5007,$L2748))</f>
        <v/>
      </c>
      <c r="O2748" s="32" t="str">
        <f>IF($M2748="","",IF($K2748-$M2748&gt;7,"",IF($M2748&lt;=$A2748,"",IF(OR($B2748&lt;=0,$N2748&lt;=0),"",($N2748/$B2748)^(365/($M2748-$A2748))-1))))</f>
        <v/>
      </c>
      <c r="P2748" s="31" t="str">
        <f>IF($B2748="","",IF($P2747="",$B2748,MAX($P2747,$B2748)))</f>
        <v/>
      </c>
      <c r="Q2748" s="32" t="str">
        <f>IF($P2748="","",$B2748/$P2748-1)</f>
        <v/>
      </c>
    </row>
    <row r="2749">
      <c r="A2749" s="11" t="n"/>
      <c r="B2749" s="29" t="n"/>
      <c r="K2749" s="30" t="str">
        <f>IF($A2749="","",EDATE($A2749,12*$E$4))</f>
        <v/>
      </c>
      <c r="L2749" s="19" t="str">
        <f>IF($K2749="","",IF($K2749&gt;MAX($A$8:$A$5007),"",IFERROR(MATCH($K2749,$A$8:$A$5007,1),"")))</f>
        <v/>
      </c>
      <c r="M2749" s="30" t="str">
        <f>IF($L2749="","",INDEX($A$8:$A$5007,$L2749))</f>
        <v/>
      </c>
      <c r="N2749" s="31" t="str">
        <f>IF($L2749="","",INDEX($B$8:$B$5007,$L2749))</f>
        <v/>
      </c>
      <c r="O2749" s="32" t="str">
        <f>IF($M2749="","",IF($K2749-$M2749&gt;7,"",IF($M2749&lt;=$A2749,"",IF(OR($B2749&lt;=0,$N2749&lt;=0),"",($N2749/$B2749)^(365/($M2749-$A2749))-1))))</f>
        <v/>
      </c>
      <c r="P2749" s="31" t="str">
        <f>IF($B2749="","",IF($P2748="",$B2749,MAX($P2748,$B2749)))</f>
        <v/>
      </c>
      <c r="Q2749" s="32" t="str">
        <f>IF($P2749="","",$B2749/$P2749-1)</f>
        <v/>
      </c>
    </row>
    <row r="2750">
      <c r="A2750" s="11" t="n"/>
      <c r="B2750" s="29" t="n"/>
      <c r="K2750" s="30" t="str">
        <f>IF($A2750="","",EDATE($A2750,12*$E$4))</f>
        <v/>
      </c>
      <c r="L2750" s="19" t="str">
        <f>IF($K2750="","",IF($K2750&gt;MAX($A$8:$A$5007),"",IFERROR(MATCH($K2750,$A$8:$A$5007,1),"")))</f>
        <v/>
      </c>
      <c r="M2750" s="30" t="str">
        <f>IF($L2750="","",INDEX($A$8:$A$5007,$L2750))</f>
        <v/>
      </c>
      <c r="N2750" s="31" t="str">
        <f>IF($L2750="","",INDEX($B$8:$B$5007,$L2750))</f>
        <v/>
      </c>
      <c r="O2750" s="32" t="str">
        <f>IF($M2750="","",IF($K2750-$M2750&gt;7,"",IF($M2750&lt;=$A2750,"",IF(OR($B2750&lt;=0,$N2750&lt;=0),"",($N2750/$B2750)^(365/($M2750-$A2750))-1))))</f>
        <v/>
      </c>
      <c r="P2750" s="31" t="str">
        <f>IF($B2750="","",IF($P2749="",$B2750,MAX($P2749,$B2750)))</f>
        <v/>
      </c>
      <c r="Q2750" s="32" t="str">
        <f>IF($P2750="","",$B2750/$P2750-1)</f>
        <v/>
      </c>
    </row>
    <row r="2751">
      <c r="A2751" s="11" t="n"/>
      <c r="B2751" s="29" t="n"/>
      <c r="K2751" s="30" t="str">
        <f>IF($A2751="","",EDATE($A2751,12*$E$4))</f>
        <v/>
      </c>
      <c r="L2751" s="19" t="str">
        <f>IF($K2751="","",IF($K2751&gt;MAX($A$8:$A$5007),"",IFERROR(MATCH($K2751,$A$8:$A$5007,1),"")))</f>
        <v/>
      </c>
      <c r="M2751" s="30" t="str">
        <f>IF($L2751="","",INDEX($A$8:$A$5007,$L2751))</f>
        <v/>
      </c>
      <c r="N2751" s="31" t="str">
        <f>IF($L2751="","",INDEX($B$8:$B$5007,$L2751))</f>
        <v/>
      </c>
      <c r="O2751" s="32" t="str">
        <f>IF($M2751="","",IF($K2751-$M2751&gt;7,"",IF($M2751&lt;=$A2751,"",IF(OR($B2751&lt;=0,$N2751&lt;=0),"",($N2751/$B2751)^(365/($M2751-$A2751))-1))))</f>
        <v/>
      </c>
      <c r="P2751" s="31" t="str">
        <f>IF($B2751="","",IF($P2750="",$B2751,MAX($P2750,$B2751)))</f>
        <v/>
      </c>
      <c r="Q2751" s="32" t="str">
        <f>IF($P2751="","",$B2751/$P2751-1)</f>
        <v/>
      </c>
    </row>
    <row r="2752">
      <c r="A2752" s="11" t="n"/>
      <c r="B2752" s="29" t="n"/>
      <c r="K2752" s="30" t="str">
        <f>IF($A2752="","",EDATE($A2752,12*$E$4))</f>
        <v/>
      </c>
      <c r="L2752" s="19" t="str">
        <f>IF($K2752="","",IF($K2752&gt;MAX($A$8:$A$5007),"",IFERROR(MATCH($K2752,$A$8:$A$5007,1),"")))</f>
        <v/>
      </c>
      <c r="M2752" s="30" t="str">
        <f>IF($L2752="","",INDEX($A$8:$A$5007,$L2752))</f>
        <v/>
      </c>
      <c r="N2752" s="31" t="str">
        <f>IF($L2752="","",INDEX($B$8:$B$5007,$L2752))</f>
        <v/>
      </c>
      <c r="O2752" s="32" t="str">
        <f>IF($M2752="","",IF($K2752-$M2752&gt;7,"",IF($M2752&lt;=$A2752,"",IF(OR($B2752&lt;=0,$N2752&lt;=0),"",($N2752/$B2752)^(365/($M2752-$A2752))-1))))</f>
        <v/>
      </c>
      <c r="P2752" s="31" t="str">
        <f>IF($B2752="","",IF($P2751="",$B2752,MAX($P2751,$B2752)))</f>
        <v/>
      </c>
      <c r="Q2752" s="32" t="str">
        <f>IF($P2752="","",$B2752/$P2752-1)</f>
        <v/>
      </c>
    </row>
    <row r="2753">
      <c r="A2753" s="11" t="n"/>
      <c r="B2753" s="29" t="n"/>
      <c r="K2753" s="30" t="str">
        <f>IF($A2753="","",EDATE($A2753,12*$E$4))</f>
        <v/>
      </c>
      <c r="L2753" s="19" t="str">
        <f>IF($K2753="","",IF($K2753&gt;MAX($A$8:$A$5007),"",IFERROR(MATCH($K2753,$A$8:$A$5007,1),"")))</f>
        <v/>
      </c>
      <c r="M2753" s="30" t="str">
        <f>IF($L2753="","",INDEX($A$8:$A$5007,$L2753))</f>
        <v/>
      </c>
      <c r="N2753" s="31" t="str">
        <f>IF($L2753="","",INDEX($B$8:$B$5007,$L2753))</f>
        <v/>
      </c>
      <c r="O2753" s="32" t="str">
        <f>IF($M2753="","",IF($K2753-$M2753&gt;7,"",IF($M2753&lt;=$A2753,"",IF(OR($B2753&lt;=0,$N2753&lt;=0),"",($N2753/$B2753)^(365/($M2753-$A2753))-1))))</f>
        <v/>
      </c>
      <c r="P2753" s="31" t="str">
        <f>IF($B2753="","",IF($P2752="",$B2753,MAX($P2752,$B2753)))</f>
        <v/>
      </c>
      <c r="Q2753" s="32" t="str">
        <f>IF($P2753="","",$B2753/$P2753-1)</f>
        <v/>
      </c>
    </row>
    <row r="2754">
      <c r="A2754" s="11" t="n"/>
      <c r="B2754" s="29" t="n"/>
      <c r="K2754" s="30" t="str">
        <f>IF($A2754="","",EDATE($A2754,12*$E$4))</f>
        <v/>
      </c>
      <c r="L2754" s="19" t="str">
        <f>IF($K2754="","",IF($K2754&gt;MAX($A$8:$A$5007),"",IFERROR(MATCH($K2754,$A$8:$A$5007,1),"")))</f>
        <v/>
      </c>
      <c r="M2754" s="30" t="str">
        <f>IF($L2754="","",INDEX($A$8:$A$5007,$L2754))</f>
        <v/>
      </c>
      <c r="N2754" s="31" t="str">
        <f>IF($L2754="","",INDEX($B$8:$B$5007,$L2754))</f>
        <v/>
      </c>
      <c r="O2754" s="32" t="str">
        <f>IF($M2754="","",IF($K2754-$M2754&gt;7,"",IF($M2754&lt;=$A2754,"",IF(OR($B2754&lt;=0,$N2754&lt;=0),"",($N2754/$B2754)^(365/($M2754-$A2754))-1))))</f>
        <v/>
      </c>
      <c r="P2754" s="31" t="str">
        <f>IF($B2754="","",IF($P2753="",$B2754,MAX($P2753,$B2754)))</f>
        <v/>
      </c>
      <c r="Q2754" s="32" t="str">
        <f>IF($P2754="","",$B2754/$P2754-1)</f>
        <v/>
      </c>
    </row>
    <row r="2755">
      <c r="A2755" s="11" t="n"/>
      <c r="B2755" s="29" t="n"/>
      <c r="K2755" s="30" t="str">
        <f>IF($A2755="","",EDATE($A2755,12*$E$4))</f>
        <v/>
      </c>
      <c r="L2755" s="19" t="str">
        <f>IF($K2755="","",IF($K2755&gt;MAX($A$8:$A$5007),"",IFERROR(MATCH($K2755,$A$8:$A$5007,1),"")))</f>
        <v/>
      </c>
      <c r="M2755" s="30" t="str">
        <f>IF($L2755="","",INDEX($A$8:$A$5007,$L2755))</f>
        <v/>
      </c>
      <c r="N2755" s="31" t="str">
        <f>IF($L2755="","",INDEX($B$8:$B$5007,$L2755))</f>
        <v/>
      </c>
      <c r="O2755" s="32" t="str">
        <f>IF($M2755="","",IF($K2755-$M2755&gt;7,"",IF($M2755&lt;=$A2755,"",IF(OR($B2755&lt;=0,$N2755&lt;=0),"",($N2755/$B2755)^(365/($M2755-$A2755))-1))))</f>
        <v/>
      </c>
      <c r="P2755" s="31" t="str">
        <f>IF($B2755="","",IF($P2754="",$B2755,MAX($P2754,$B2755)))</f>
        <v/>
      </c>
      <c r="Q2755" s="32" t="str">
        <f>IF($P2755="","",$B2755/$P2755-1)</f>
        <v/>
      </c>
    </row>
    <row r="2756">
      <c r="A2756" s="11" t="n"/>
      <c r="B2756" s="29" t="n"/>
      <c r="K2756" s="30" t="str">
        <f>IF($A2756="","",EDATE($A2756,12*$E$4))</f>
        <v/>
      </c>
      <c r="L2756" s="19" t="str">
        <f>IF($K2756="","",IF($K2756&gt;MAX($A$8:$A$5007),"",IFERROR(MATCH($K2756,$A$8:$A$5007,1),"")))</f>
        <v/>
      </c>
      <c r="M2756" s="30" t="str">
        <f>IF($L2756="","",INDEX($A$8:$A$5007,$L2756))</f>
        <v/>
      </c>
      <c r="N2756" s="31" t="str">
        <f>IF($L2756="","",INDEX($B$8:$B$5007,$L2756))</f>
        <v/>
      </c>
      <c r="O2756" s="32" t="str">
        <f>IF($M2756="","",IF($K2756-$M2756&gt;7,"",IF($M2756&lt;=$A2756,"",IF(OR($B2756&lt;=0,$N2756&lt;=0),"",($N2756/$B2756)^(365/($M2756-$A2756))-1))))</f>
        <v/>
      </c>
      <c r="P2756" s="31" t="str">
        <f>IF($B2756="","",IF($P2755="",$B2756,MAX($P2755,$B2756)))</f>
        <v/>
      </c>
      <c r="Q2756" s="32" t="str">
        <f>IF($P2756="","",$B2756/$P2756-1)</f>
        <v/>
      </c>
    </row>
    <row r="2757">
      <c r="A2757" s="11" t="n"/>
      <c r="B2757" s="29" t="n"/>
      <c r="K2757" s="30" t="str">
        <f>IF($A2757="","",EDATE($A2757,12*$E$4))</f>
        <v/>
      </c>
      <c r="L2757" s="19" t="str">
        <f>IF($K2757="","",IF($K2757&gt;MAX($A$8:$A$5007),"",IFERROR(MATCH($K2757,$A$8:$A$5007,1),"")))</f>
        <v/>
      </c>
      <c r="M2757" s="30" t="str">
        <f>IF($L2757="","",INDEX($A$8:$A$5007,$L2757))</f>
        <v/>
      </c>
      <c r="N2757" s="31" t="str">
        <f>IF($L2757="","",INDEX($B$8:$B$5007,$L2757))</f>
        <v/>
      </c>
      <c r="O2757" s="32" t="str">
        <f>IF($M2757="","",IF($K2757-$M2757&gt;7,"",IF($M2757&lt;=$A2757,"",IF(OR($B2757&lt;=0,$N2757&lt;=0),"",($N2757/$B2757)^(365/($M2757-$A2757))-1))))</f>
        <v/>
      </c>
      <c r="P2757" s="31" t="str">
        <f>IF($B2757="","",IF($P2756="",$B2757,MAX($P2756,$B2757)))</f>
        <v/>
      </c>
      <c r="Q2757" s="32" t="str">
        <f>IF($P2757="","",$B2757/$P2757-1)</f>
        <v/>
      </c>
    </row>
    <row r="2758">
      <c r="A2758" s="11" t="n"/>
      <c r="B2758" s="29" t="n"/>
      <c r="K2758" s="30" t="str">
        <f>IF($A2758="","",EDATE($A2758,12*$E$4))</f>
        <v/>
      </c>
      <c r="L2758" s="19" t="str">
        <f>IF($K2758="","",IF($K2758&gt;MAX($A$8:$A$5007),"",IFERROR(MATCH($K2758,$A$8:$A$5007,1),"")))</f>
        <v/>
      </c>
      <c r="M2758" s="30" t="str">
        <f>IF($L2758="","",INDEX($A$8:$A$5007,$L2758))</f>
        <v/>
      </c>
      <c r="N2758" s="31" t="str">
        <f>IF($L2758="","",INDEX($B$8:$B$5007,$L2758))</f>
        <v/>
      </c>
      <c r="O2758" s="32" t="str">
        <f>IF($M2758="","",IF($K2758-$M2758&gt;7,"",IF($M2758&lt;=$A2758,"",IF(OR($B2758&lt;=0,$N2758&lt;=0),"",($N2758/$B2758)^(365/($M2758-$A2758))-1))))</f>
        <v/>
      </c>
      <c r="P2758" s="31" t="str">
        <f>IF($B2758="","",IF($P2757="",$B2758,MAX($P2757,$B2758)))</f>
        <v/>
      </c>
      <c r="Q2758" s="32" t="str">
        <f>IF($P2758="","",$B2758/$P2758-1)</f>
        <v/>
      </c>
    </row>
    <row r="2759">
      <c r="A2759" s="11" t="n"/>
      <c r="B2759" s="29" t="n"/>
      <c r="K2759" s="30" t="str">
        <f>IF($A2759="","",EDATE($A2759,12*$E$4))</f>
        <v/>
      </c>
      <c r="L2759" s="19" t="str">
        <f>IF($K2759="","",IF($K2759&gt;MAX($A$8:$A$5007),"",IFERROR(MATCH($K2759,$A$8:$A$5007,1),"")))</f>
        <v/>
      </c>
      <c r="M2759" s="30" t="str">
        <f>IF($L2759="","",INDEX($A$8:$A$5007,$L2759))</f>
        <v/>
      </c>
      <c r="N2759" s="31" t="str">
        <f>IF($L2759="","",INDEX($B$8:$B$5007,$L2759))</f>
        <v/>
      </c>
      <c r="O2759" s="32" t="str">
        <f>IF($M2759="","",IF($K2759-$M2759&gt;7,"",IF($M2759&lt;=$A2759,"",IF(OR($B2759&lt;=0,$N2759&lt;=0),"",($N2759/$B2759)^(365/($M2759-$A2759))-1))))</f>
        <v/>
      </c>
      <c r="P2759" s="31" t="str">
        <f>IF($B2759="","",IF($P2758="",$B2759,MAX($P2758,$B2759)))</f>
        <v/>
      </c>
      <c r="Q2759" s="32" t="str">
        <f>IF($P2759="","",$B2759/$P2759-1)</f>
        <v/>
      </c>
    </row>
    <row r="2760">
      <c r="A2760" s="11" t="n"/>
      <c r="B2760" s="29" t="n"/>
      <c r="K2760" s="30" t="str">
        <f>IF($A2760="","",EDATE($A2760,12*$E$4))</f>
        <v/>
      </c>
      <c r="L2760" s="19" t="str">
        <f>IF($K2760="","",IF($K2760&gt;MAX($A$8:$A$5007),"",IFERROR(MATCH($K2760,$A$8:$A$5007,1),"")))</f>
        <v/>
      </c>
      <c r="M2760" s="30" t="str">
        <f>IF($L2760="","",INDEX($A$8:$A$5007,$L2760))</f>
        <v/>
      </c>
      <c r="N2760" s="31" t="str">
        <f>IF($L2760="","",INDEX($B$8:$B$5007,$L2760))</f>
        <v/>
      </c>
      <c r="O2760" s="32" t="str">
        <f>IF($M2760="","",IF($K2760-$M2760&gt;7,"",IF($M2760&lt;=$A2760,"",IF(OR($B2760&lt;=0,$N2760&lt;=0),"",($N2760/$B2760)^(365/($M2760-$A2760))-1))))</f>
        <v/>
      </c>
      <c r="P2760" s="31" t="str">
        <f>IF($B2760="","",IF($P2759="",$B2760,MAX($P2759,$B2760)))</f>
        <v/>
      </c>
      <c r="Q2760" s="32" t="str">
        <f>IF($P2760="","",$B2760/$P2760-1)</f>
        <v/>
      </c>
    </row>
    <row r="2761">
      <c r="A2761" s="11" t="n"/>
      <c r="B2761" s="29" t="n"/>
      <c r="K2761" s="30" t="str">
        <f>IF($A2761="","",EDATE($A2761,12*$E$4))</f>
        <v/>
      </c>
      <c r="L2761" s="19" t="str">
        <f>IF($K2761="","",IF($K2761&gt;MAX($A$8:$A$5007),"",IFERROR(MATCH($K2761,$A$8:$A$5007,1),"")))</f>
        <v/>
      </c>
      <c r="M2761" s="30" t="str">
        <f>IF($L2761="","",INDEX($A$8:$A$5007,$L2761))</f>
        <v/>
      </c>
      <c r="N2761" s="31" t="str">
        <f>IF($L2761="","",INDEX($B$8:$B$5007,$L2761))</f>
        <v/>
      </c>
      <c r="O2761" s="32" t="str">
        <f>IF($M2761="","",IF($K2761-$M2761&gt;7,"",IF($M2761&lt;=$A2761,"",IF(OR($B2761&lt;=0,$N2761&lt;=0),"",($N2761/$B2761)^(365/($M2761-$A2761))-1))))</f>
        <v/>
      </c>
      <c r="P2761" s="31" t="str">
        <f>IF($B2761="","",IF($P2760="",$B2761,MAX($P2760,$B2761)))</f>
        <v/>
      </c>
      <c r="Q2761" s="32" t="str">
        <f>IF($P2761="","",$B2761/$P2761-1)</f>
        <v/>
      </c>
    </row>
    <row r="2762">
      <c r="A2762" s="11" t="n"/>
      <c r="B2762" s="29" t="n"/>
      <c r="K2762" s="30" t="str">
        <f>IF($A2762="","",EDATE($A2762,12*$E$4))</f>
        <v/>
      </c>
      <c r="L2762" s="19" t="str">
        <f>IF($K2762="","",IF($K2762&gt;MAX($A$8:$A$5007),"",IFERROR(MATCH($K2762,$A$8:$A$5007,1),"")))</f>
        <v/>
      </c>
      <c r="M2762" s="30" t="str">
        <f>IF($L2762="","",INDEX($A$8:$A$5007,$L2762))</f>
        <v/>
      </c>
      <c r="N2762" s="31" t="str">
        <f>IF($L2762="","",INDEX($B$8:$B$5007,$L2762))</f>
        <v/>
      </c>
      <c r="O2762" s="32" t="str">
        <f>IF($M2762="","",IF($K2762-$M2762&gt;7,"",IF($M2762&lt;=$A2762,"",IF(OR($B2762&lt;=0,$N2762&lt;=0),"",($N2762/$B2762)^(365/($M2762-$A2762))-1))))</f>
        <v/>
      </c>
      <c r="P2762" s="31" t="str">
        <f>IF($B2762="","",IF($P2761="",$B2762,MAX($P2761,$B2762)))</f>
        <v/>
      </c>
      <c r="Q2762" s="32" t="str">
        <f>IF($P2762="","",$B2762/$P2762-1)</f>
        <v/>
      </c>
    </row>
    <row r="2763">
      <c r="A2763" s="11" t="n"/>
      <c r="B2763" s="29" t="n"/>
      <c r="K2763" s="30" t="str">
        <f>IF($A2763="","",EDATE($A2763,12*$E$4))</f>
        <v/>
      </c>
      <c r="L2763" s="19" t="str">
        <f>IF($K2763="","",IF($K2763&gt;MAX($A$8:$A$5007),"",IFERROR(MATCH($K2763,$A$8:$A$5007,1),"")))</f>
        <v/>
      </c>
      <c r="M2763" s="30" t="str">
        <f>IF($L2763="","",INDEX($A$8:$A$5007,$L2763))</f>
        <v/>
      </c>
      <c r="N2763" s="31" t="str">
        <f>IF($L2763="","",INDEX($B$8:$B$5007,$L2763))</f>
        <v/>
      </c>
      <c r="O2763" s="32" t="str">
        <f>IF($M2763="","",IF($K2763-$M2763&gt;7,"",IF($M2763&lt;=$A2763,"",IF(OR($B2763&lt;=0,$N2763&lt;=0),"",($N2763/$B2763)^(365/($M2763-$A2763))-1))))</f>
        <v/>
      </c>
      <c r="P2763" s="31" t="str">
        <f>IF($B2763="","",IF($P2762="",$B2763,MAX($P2762,$B2763)))</f>
        <v/>
      </c>
      <c r="Q2763" s="32" t="str">
        <f>IF($P2763="","",$B2763/$P2763-1)</f>
        <v/>
      </c>
    </row>
    <row r="2764">
      <c r="A2764" s="11" t="n"/>
      <c r="B2764" s="29" t="n"/>
      <c r="K2764" s="30" t="str">
        <f>IF($A2764="","",EDATE($A2764,12*$E$4))</f>
        <v/>
      </c>
      <c r="L2764" s="19" t="str">
        <f>IF($K2764="","",IF($K2764&gt;MAX($A$8:$A$5007),"",IFERROR(MATCH($K2764,$A$8:$A$5007,1),"")))</f>
        <v/>
      </c>
      <c r="M2764" s="30" t="str">
        <f>IF($L2764="","",INDEX($A$8:$A$5007,$L2764))</f>
        <v/>
      </c>
      <c r="N2764" s="31" t="str">
        <f>IF($L2764="","",INDEX($B$8:$B$5007,$L2764))</f>
        <v/>
      </c>
      <c r="O2764" s="32" t="str">
        <f>IF($M2764="","",IF($K2764-$M2764&gt;7,"",IF($M2764&lt;=$A2764,"",IF(OR($B2764&lt;=0,$N2764&lt;=0),"",($N2764/$B2764)^(365/($M2764-$A2764))-1))))</f>
        <v/>
      </c>
      <c r="P2764" s="31" t="str">
        <f>IF($B2764="","",IF($P2763="",$B2764,MAX($P2763,$B2764)))</f>
        <v/>
      </c>
      <c r="Q2764" s="32" t="str">
        <f>IF($P2764="","",$B2764/$P2764-1)</f>
        <v/>
      </c>
    </row>
    <row r="2765">
      <c r="A2765" s="11" t="n"/>
      <c r="B2765" s="29" t="n"/>
      <c r="K2765" s="30" t="str">
        <f>IF($A2765="","",EDATE($A2765,12*$E$4))</f>
        <v/>
      </c>
      <c r="L2765" s="19" t="str">
        <f>IF($K2765="","",IF($K2765&gt;MAX($A$8:$A$5007),"",IFERROR(MATCH($K2765,$A$8:$A$5007,1),"")))</f>
        <v/>
      </c>
      <c r="M2765" s="30" t="str">
        <f>IF($L2765="","",INDEX($A$8:$A$5007,$L2765))</f>
        <v/>
      </c>
      <c r="N2765" s="31" t="str">
        <f>IF($L2765="","",INDEX($B$8:$B$5007,$L2765))</f>
        <v/>
      </c>
      <c r="O2765" s="32" t="str">
        <f>IF($M2765="","",IF($K2765-$M2765&gt;7,"",IF($M2765&lt;=$A2765,"",IF(OR($B2765&lt;=0,$N2765&lt;=0),"",($N2765/$B2765)^(365/($M2765-$A2765))-1))))</f>
        <v/>
      </c>
      <c r="P2765" s="31" t="str">
        <f>IF($B2765="","",IF($P2764="",$B2765,MAX($P2764,$B2765)))</f>
        <v/>
      </c>
      <c r="Q2765" s="32" t="str">
        <f>IF($P2765="","",$B2765/$P2765-1)</f>
        <v/>
      </c>
    </row>
    <row r="2766">
      <c r="A2766" s="11" t="n"/>
      <c r="B2766" s="29" t="n"/>
      <c r="K2766" s="30" t="str">
        <f>IF($A2766="","",EDATE($A2766,12*$E$4))</f>
        <v/>
      </c>
      <c r="L2766" s="19" t="str">
        <f>IF($K2766="","",IF($K2766&gt;MAX($A$8:$A$5007),"",IFERROR(MATCH($K2766,$A$8:$A$5007,1),"")))</f>
        <v/>
      </c>
      <c r="M2766" s="30" t="str">
        <f>IF($L2766="","",INDEX($A$8:$A$5007,$L2766))</f>
        <v/>
      </c>
      <c r="N2766" s="31" t="str">
        <f>IF($L2766="","",INDEX($B$8:$B$5007,$L2766))</f>
        <v/>
      </c>
      <c r="O2766" s="32" t="str">
        <f>IF($M2766="","",IF($K2766-$M2766&gt;7,"",IF($M2766&lt;=$A2766,"",IF(OR($B2766&lt;=0,$N2766&lt;=0),"",($N2766/$B2766)^(365/($M2766-$A2766))-1))))</f>
        <v/>
      </c>
      <c r="P2766" s="31" t="str">
        <f>IF($B2766="","",IF($P2765="",$B2766,MAX($P2765,$B2766)))</f>
        <v/>
      </c>
      <c r="Q2766" s="32" t="str">
        <f>IF($P2766="","",$B2766/$P2766-1)</f>
        <v/>
      </c>
    </row>
    <row r="2767">
      <c r="A2767" s="11" t="n"/>
      <c r="B2767" s="29" t="n"/>
      <c r="K2767" s="30" t="str">
        <f>IF($A2767="","",EDATE($A2767,12*$E$4))</f>
        <v/>
      </c>
      <c r="L2767" s="19" t="str">
        <f>IF($K2767="","",IF($K2767&gt;MAX($A$8:$A$5007),"",IFERROR(MATCH($K2767,$A$8:$A$5007,1),"")))</f>
        <v/>
      </c>
      <c r="M2767" s="30" t="str">
        <f>IF($L2767="","",INDEX($A$8:$A$5007,$L2767))</f>
        <v/>
      </c>
      <c r="N2767" s="31" t="str">
        <f>IF($L2767="","",INDEX($B$8:$B$5007,$L2767))</f>
        <v/>
      </c>
      <c r="O2767" s="32" t="str">
        <f>IF($M2767="","",IF($K2767-$M2767&gt;7,"",IF($M2767&lt;=$A2767,"",IF(OR($B2767&lt;=0,$N2767&lt;=0),"",($N2767/$B2767)^(365/($M2767-$A2767))-1))))</f>
        <v/>
      </c>
      <c r="P2767" s="31" t="str">
        <f>IF($B2767="","",IF($P2766="",$B2767,MAX($P2766,$B2767)))</f>
        <v/>
      </c>
      <c r="Q2767" s="32" t="str">
        <f>IF($P2767="","",$B2767/$P2767-1)</f>
        <v/>
      </c>
    </row>
    <row r="2768">
      <c r="A2768" s="11" t="n"/>
      <c r="B2768" s="29" t="n"/>
      <c r="K2768" s="30" t="str">
        <f>IF($A2768="","",EDATE($A2768,12*$E$4))</f>
        <v/>
      </c>
      <c r="L2768" s="19" t="str">
        <f>IF($K2768="","",IF($K2768&gt;MAX($A$8:$A$5007),"",IFERROR(MATCH($K2768,$A$8:$A$5007,1),"")))</f>
        <v/>
      </c>
      <c r="M2768" s="30" t="str">
        <f>IF($L2768="","",INDEX($A$8:$A$5007,$L2768))</f>
        <v/>
      </c>
      <c r="N2768" s="31" t="str">
        <f>IF($L2768="","",INDEX($B$8:$B$5007,$L2768))</f>
        <v/>
      </c>
      <c r="O2768" s="32" t="str">
        <f>IF($M2768="","",IF($K2768-$M2768&gt;7,"",IF($M2768&lt;=$A2768,"",IF(OR($B2768&lt;=0,$N2768&lt;=0),"",($N2768/$B2768)^(365/($M2768-$A2768))-1))))</f>
        <v/>
      </c>
      <c r="P2768" s="31" t="str">
        <f>IF($B2768="","",IF($P2767="",$B2768,MAX($P2767,$B2768)))</f>
        <v/>
      </c>
      <c r="Q2768" s="32" t="str">
        <f>IF($P2768="","",$B2768/$P2768-1)</f>
        <v/>
      </c>
    </row>
    <row r="2769">
      <c r="A2769" s="11" t="n"/>
      <c r="B2769" s="29" t="n"/>
      <c r="K2769" s="30" t="str">
        <f>IF($A2769="","",EDATE($A2769,12*$E$4))</f>
        <v/>
      </c>
      <c r="L2769" s="19" t="str">
        <f>IF($K2769="","",IF($K2769&gt;MAX($A$8:$A$5007),"",IFERROR(MATCH($K2769,$A$8:$A$5007,1),"")))</f>
        <v/>
      </c>
      <c r="M2769" s="30" t="str">
        <f>IF($L2769="","",INDEX($A$8:$A$5007,$L2769))</f>
        <v/>
      </c>
      <c r="N2769" s="31" t="str">
        <f>IF($L2769="","",INDEX($B$8:$B$5007,$L2769))</f>
        <v/>
      </c>
      <c r="O2769" s="32" t="str">
        <f>IF($M2769="","",IF($K2769-$M2769&gt;7,"",IF($M2769&lt;=$A2769,"",IF(OR($B2769&lt;=0,$N2769&lt;=0),"",($N2769/$B2769)^(365/($M2769-$A2769))-1))))</f>
        <v/>
      </c>
      <c r="P2769" s="31" t="str">
        <f>IF($B2769="","",IF($P2768="",$B2769,MAX($P2768,$B2769)))</f>
        <v/>
      </c>
      <c r="Q2769" s="32" t="str">
        <f>IF($P2769="","",$B2769/$P2769-1)</f>
        <v/>
      </c>
    </row>
    <row r="2770">
      <c r="A2770" s="11" t="n"/>
      <c r="B2770" s="29" t="n"/>
      <c r="K2770" s="30" t="str">
        <f>IF($A2770="","",EDATE($A2770,12*$E$4))</f>
        <v/>
      </c>
      <c r="L2770" s="19" t="str">
        <f>IF($K2770="","",IF($K2770&gt;MAX($A$8:$A$5007),"",IFERROR(MATCH($K2770,$A$8:$A$5007,1),"")))</f>
        <v/>
      </c>
      <c r="M2770" s="30" t="str">
        <f>IF($L2770="","",INDEX($A$8:$A$5007,$L2770))</f>
        <v/>
      </c>
      <c r="N2770" s="31" t="str">
        <f>IF($L2770="","",INDEX($B$8:$B$5007,$L2770))</f>
        <v/>
      </c>
      <c r="O2770" s="32" t="str">
        <f>IF($M2770="","",IF($K2770-$M2770&gt;7,"",IF($M2770&lt;=$A2770,"",IF(OR($B2770&lt;=0,$N2770&lt;=0),"",($N2770/$B2770)^(365/($M2770-$A2770))-1))))</f>
        <v/>
      </c>
      <c r="P2770" s="31" t="str">
        <f>IF($B2770="","",IF($P2769="",$B2770,MAX($P2769,$B2770)))</f>
        <v/>
      </c>
      <c r="Q2770" s="32" t="str">
        <f>IF($P2770="","",$B2770/$P2770-1)</f>
        <v/>
      </c>
    </row>
    <row r="2771">
      <c r="A2771" s="11" t="n"/>
      <c r="B2771" s="29" t="n"/>
      <c r="K2771" s="30" t="str">
        <f>IF($A2771="","",EDATE($A2771,12*$E$4))</f>
        <v/>
      </c>
      <c r="L2771" s="19" t="str">
        <f>IF($K2771="","",IF($K2771&gt;MAX($A$8:$A$5007),"",IFERROR(MATCH($K2771,$A$8:$A$5007,1),"")))</f>
        <v/>
      </c>
      <c r="M2771" s="30" t="str">
        <f>IF($L2771="","",INDEX($A$8:$A$5007,$L2771))</f>
        <v/>
      </c>
      <c r="N2771" s="31" t="str">
        <f>IF($L2771="","",INDEX($B$8:$B$5007,$L2771))</f>
        <v/>
      </c>
      <c r="O2771" s="32" t="str">
        <f>IF($M2771="","",IF($K2771-$M2771&gt;7,"",IF($M2771&lt;=$A2771,"",IF(OR($B2771&lt;=0,$N2771&lt;=0),"",($N2771/$B2771)^(365/($M2771-$A2771))-1))))</f>
        <v/>
      </c>
      <c r="P2771" s="31" t="str">
        <f>IF($B2771="","",IF($P2770="",$B2771,MAX($P2770,$B2771)))</f>
        <v/>
      </c>
      <c r="Q2771" s="32" t="str">
        <f>IF($P2771="","",$B2771/$P2771-1)</f>
        <v/>
      </c>
    </row>
    <row r="2772">
      <c r="A2772" s="11" t="n"/>
      <c r="B2772" s="29" t="n"/>
      <c r="K2772" s="30" t="str">
        <f>IF($A2772="","",EDATE($A2772,12*$E$4))</f>
        <v/>
      </c>
      <c r="L2772" s="19" t="str">
        <f>IF($K2772="","",IF($K2772&gt;MAX($A$8:$A$5007),"",IFERROR(MATCH($K2772,$A$8:$A$5007,1),"")))</f>
        <v/>
      </c>
      <c r="M2772" s="30" t="str">
        <f>IF($L2772="","",INDEX($A$8:$A$5007,$L2772))</f>
        <v/>
      </c>
      <c r="N2772" s="31" t="str">
        <f>IF($L2772="","",INDEX($B$8:$B$5007,$L2772))</f>
        <v/>
      </c>
      <c r="O2772" s="32" t="str">
        <f>IF($M2772="","",IF($K2772-$M2772&gt;7,"",IF($M2772&lt;=$A2772,"",IF(OR($B2772&lt;=0,$N2772&lt;=0),"",($N2772/$B2772)^(365/($M2772-$A2772))-1))))</f>
        <v/>
      </c>
      <c r="P2772" s="31" t="str">
        <f>IF($B2772="","",IF($P2771="",$B2772,MAX($P2771,$B2772)))</f>
        <v/>
      </c>
      <c r="Q2772" s="32" t="str">
        <f>IF($P2772="","",$B2772/$P2772-1)</f>
        <v/>
      </c>
    </row>
    <row r="2773">
      <c r="A2773" s="11" t="n"/>
      <c r="B2773" s="29" t="n"/>
      <c r="K2773" s="30" t="str">
        <f>IF($A2773="","",EDATE($A2773,12*$E$4))</f>
        <v/>
      </c>
      <c r="L2773" s="19" t="str">
        <f>IF($K2773="","",IF($K2773&gt;MAX($A$8:$A$5007),"",IFERROR(MATCH($K2773,$A$8:$A$5007,1),"")))</f>
        <v/>
      </c>
      <c r="M2773" s="30" t="str">
        <f>IF($L2773="","",INDEX($A$8:$A$5007,$L2773))</f>
        <v/>
      </c>
      <c r="N2773" s="31" t="str">
        <f>IF($L2773="","",INDEX($B$8:$B$5007,$L2773))</f>
        <v/>
      </c>
      <c r="O2773" s="32" t="str">
        <f>IF($M2773="","",IF($K2773-$M2773&gt;7,"",IF($M2773&lt;=$A2773,"",IF(OR($B2773&lt;=0,$N2773&lt;=0),"",($N2773/$B2773)^(365/($M2773-$A2773))-1))))</f>
        <v/>
      </c>
      <c r="P2773" s="31" t="str">
        <f>IF($B2773="","",IF($P2772="",$B2773,MAX($P2772,$B2773)))</f>
        <v/>
      </c>
      <c r="Q2773" s="32" t="str">
        <f>IF($P2773="","",$B2773/$P2773-1)</f>
        <v/>
      </c>
    </row>
    <row r="2774">
      <c r="A2774" s="11" t="n"/>
      <c r="B2774" s="29" t="n"/>
      <c r="K2774" s="30" t="str">
        <f>IF($A2774="","",EDATE($A2774,12*$E$4))</f>
        <v/>
      </c>
      <c r="L2774" s="19" t="str">
        <f>IF($K2774="","",IF($K2774&gt;MAX($A$8:$A$5007),"",IFERROR(MATCH($K2774,$A$8:$A$5007,1),"")))</f>
        <v/>
      </c>
      <c r="M2774" s="30" t="str">
        <f>IF($L2774="","",INDEX($A$8:$A$5007,$L2774))</f>
        <v/>
      </c>
      <c r="N2774" s="31" t="str">
        <f>IF($L2774="","",INDEX($B$8:$B$5007,$L2774))</f>
        <v/>
      </c>
      <c r="O2774" s="32" t="str">
        <f>IF($M2774="","",IF($K2774-$M2774&gt;7,"",IF($M2774&lt;=$A2774,"",IF(OR($B2774&lt;=0,$N2774&lt;=0),"",($N2774/$B2774)^(365/($M2774-$A2774))-1))))</f>
        <v/>
      </c>
      <c r="P2774" s="31" t="str">
        <f>IF($B2774="","",IF($P2773="",$B2774,MAX($P2773,$B2774)))</f>
        <v/>
      </c>
      <c r="Q2774" s="32" t="str">
        <f>IF($P2774="","",$B2774/$P2774-1)</f>
        <v/>
      </c>
    </row>
    <row r="2775">
      <c r="A2775" s="11" t="n"/>
      <c r="B2775" s="29" t="n"/>
      <c r="K2775" s="30" t="str">
        <f>IF($A2775="","",EDATE($A2775,12*$E$4))</f>
        <v/>
      </c>
      <c r="L2775" s="19" t="str">
        <f>IF($K2775="","",IF($K2775&gt;MAX($A$8:$A$5007),"",IFERROR(MATCH($K2775,$A$8:$A$5007,1),"")))</f>
        <v/>
      </c>
      <c r="M2775" s="30" t="str">
        <f>IF($L2775="","",INDEX($A$8:$A$5007,$L2775))</f>
        <v/>
      </c>
      <c r="N2775" s="31" t="str">
        <f>IF($L2775="","",INDEX($B$8:$B$5007,$L2775))</f>
        <v/>
      </c>
      <c r="O2775" s="32" t="str">
        <f>IF($M2775="","",IF($K2775-$M2775&gt;7,"",IF($M2775&lt;=$A2775,"",IF(OR($B2775&lt;=0,$N2775&lt;=0),"",($N2775/$B2775)^(365/($M2775-$A2775))-1))))</f>
        <v/>
      </c>
      <c r="P2775" s="31" t="str">
        <f>IF($B2775="","",IF($P2774="",$B2775,MAX($P2774,$B2775)))</f>
        <v/>
      </c>
      <c r="Q2775" s="32" t="str">
        <f>IF($P2775="","",$B2775/$P2775-1)</f>
        <v/>
      </c>
    </row>
    <row r="2776">
      <c r="A2776" s="11" t="n"/>
      <c r="B2776" s="29" t="n"/>
      <c r="K2776" s="30" t="str">
        <f>IF($A2776="","",EDATE($A2776,12*$E$4))</f>
        <v/>
      </c>
      <c r="L2776" s="19" t="str">
        <f>IF($K2776="","",IF($K2776&gt;MAX($A$8:$A$5007),"",IFERROR(MATCH($K2776,$A$8:$A$5007,1),"")))</f>
        <v/>
      </c>
      <c r="M2776" s="30" t="str">
        <f>IF($L2776="","",INDEX($A$8:$A$5007,$L2776))</f>
        <v/>
      </c>
      <c r="N2776" s="31" t="str">
        <f>IF($L2776="","",INDEX($B$8:$B$5007,$L2776))</f>
        <v/>
      </c>
      <c r="O2776" s="32" t="str">
        <f>IF($M2776="","",IF($K2776-$M2776&gt;7,"",IF($M2776&lt;=$A2776,"",IF(OR($B2776&lt;=0,$N2776&lt;=0),"",($N2776/$B2776)^(365/($M2776-$A2776))-1))))</f>
        <v/>
      </c>
      <c r="P2776" s="31" t="str">
        <f>IF($B2776="","",IF($P2775="",$B2776,MAX($P2775,$B2776)))</f>
        <v/>
      </c>
      <c r="Q2776" s="32" t="str">
        <f>IF($P2776="","",$B2776/$P2776-1)</f>
        <v/>
      </c>
    </row>
    <row r="2777">
      <c r="A2777" s="11" t="n"/>
      <c r="B2777" s="29" t="n"/>
      <c r="K2777" s="30" t="str">
        <f>IF($A2777="","",EDATE($A2777,12*$E$4))</f>
        <v/>
      </c>
      <c r="L2777" s="19" t="str">
        <f>IF($K2777="","",IF($K2777&gt;MAX($A$8:$A$5007),"",IFERROR(MATCH($K2777,$A$8:$A$5007,1),"")))</f>
        <v/>
      </c>
      <c r="M2777" s="30" t="str">
        <f>IF($L2777="","",INDEX($A$8:$A$5007,$L2777))</f>
        <v/>
      </c>
      <c r="N2777" s="31" t="str">
        <f>IF($L2777="","",INDEX($B$8:$B$5007,$L2777))</f>
        <v/>
      </c>
      <c r="O2777" s="32" t="str">
        <f>IF($M2777="","",IF($K2777-$M2777&gt;7,"",IF($M2777&lt;=$A2777,"",IF(OR($B2777&lt;=0,$N2777&lt;=0),"",($N2777/$B2777)^(365/($M2777-$A2777))-1))))</f>
        <v/>
      </c>
      <c r="P2777" s="31" t="str">
        <f>IF($B2777="","",IF($P2776="",$B2777,MAX($P2776,$B2777)))</f>
        <v/>
      </c>
      <c r="Q2777" s="32" t="str">
        <f>IF($P2777="","",$B2777/$P2777-1)</f>
        <v/>
      </c>
    </row>
    <row r="2778">
      <c r="A2778" s="11" t="n"/>
      <c r="B2778" s="29" t="n"/>
      <c r="K2778" s="30" t="str">
        <f>IF($A2778="","",EDATE($A2778,12*$E$4))</f>
        <v/>
      </c>
      <c r="L2778" s="19" t="str">
        <f>IF($K2778="","",IF($K2778&gt;MAX($A$8:$A$5007),"",IFERROR(MATCH($K2778,$A$8:$A$5007,1),"")))</f>
        <v/>
      </c>
      <c r="M2778" s="30" t="str">
        <f>IF($L2778="","",INDEX($A$8:$A$5007,$L2778))</f>
        <v/>
      </c>
      <c r="N2778" s="31" t="str">
        <f>IF($L2778="","",INDEX($B$8:$B$5007,$L2778))</f>
        <v/>
      </c>
      <c r="O2778" s="32" t="str">
        <f>IF($M2778="","",IF($K2778-$M2778&gt;7,"",IF($M2778&lt;=$A2778,"",IF(OR($B2778&lt;=0,$N2778&lt;=0),"",($N2778/$B2778)^(365/($M2778-$A2778))-1))))</f>
        <v/>
      </c>
      <c r="P2778" s="31" t="str">
        <f>IF($B2778="","",IF($P2777="",$B2778,MAX($P2777,$B2778)))</f>
        <v/>
      </c>
      <c r="Q2778" s="32" t="str">
        <f>IF($P2778="","",$B2778/$P2778-1)</f>
        <v/>
      </c>
    </row>
    <row r="2779">
      <c r="A2779" s="11" t="n"/>
      <c r="B2779" s="29" t="n"/>
      <c r="K2779" s="30" t="str">
        <f>IF($A2779="","",EDATE($A2779,12*$E$4))</f>
        <v/>
      </c>
      <c r="L2779" s="19" t="str">
        <f>IF($K2779="","",IF($K2779&gt;MAX($A$8:$A$5007),"",IFERROR(MATCH($K2779,$A$8:$A$5007,1),"")))</f>
        <v/>
      </c>
      <c r="M2779" s="30" t="str">
        <f>IF($L2779="","",INDEX($A$8:$A$5007,$L2779))</f>
        <v/>
      </c>
      <c r="N2779" s="31" t="str">
        <f>IF($L2779="","",INDEX($B$8:$B$5007,$L2779))</f>
        <v/>
      </c>
      <c r="O2779" s="32" t="str">
        <f>IF($M2779="","",IF($K2779-$M2779&gt;7,"",IF($M2779&lt;=$A2779,"",IF(OR($B2779&lt;=0,$N2779&lt;=0),"",($N2779/$B2779)^(365/($M2779-$A2779))-1))))</f>
        <v/>
      </c>
      <c r="P2779" s="31" t="str">
        <f>IF($B2779="","",IF($P2778="",$B2779,MAX($P2778,$B2779)))</f>
        <v/>
      </c>
      <c r="Q2779" s="32" t="str">
        <f>IF($P2779="","",$B2779/$P2779-1)</f>
        <v/>
      </c>
    </row>
    <row r="2780">
      <c r="A2780" s="11" t="n"/>
      <c r="B2780" s="29" t="n"/>
      <c r="K2780" s="30" t="str">
        <f>IF($A2780="","",EDATE($A2780,12*$E$4))</f>
        <v/>
      </c>
      <c r="L2780" s="19" t="str">
        <f>IF($K2780="","",IF($K2780&gt;MAX($A$8:$A$5007),"",IFERROR(MATCH($K2780,$A$8:$A$5007,1),"")))</f>
        <v/>
      </c>
      <c r="M2780" s="30" t="str">
        <f>IF($L2780="","",INDEX($A$8:$A$5007,$L2780))</f>
        <v/>
      </c>
      <c r="N2780" s="31" t="str">
        <f>IF($L2780="","",INDEX($B$8:$B$5007,$L2780))</f>
        <v/>
      </c>
      <c r="O2780" s="32" t="str">
        <f>IF($M2780="","",IF($K2780-$M2780&gt;7,"",IF($M2780&lt;=$A2780,"",IF(OR($B2780&lt;=0,$N2780&lt;=0),"",($N2780/$B2780)^(365/($M2780-$A2780))-1))))</f>
        <v/>
      </c>
      <c r="P2780" s="31" t="str">
        <f>IF($B2780="","",IF($P2779="",$B2780,MAX($P2779,$B2780)))</f>
        <v/>
      </c>
      <c r="Q2780" s="32" t="str">
        <f>IF($P2780="","",$B2780/$P2780-1)</f>
        <v/>
      </c>
    </row>
    <row r="2781">
      <c r="A2781" s="11" t="n"/>
      <c r="B2781" s="29" t="n"/>
      <c r="K2781" s="30" t="str">
        <f>IF($A2781="","",EDATE($A2781,12*$E$4))</f>
        <v/>
      </c>
      <c r="L2781" s="19" t="str">
        <f>IF($K2781="","",IF($K2781&gt;MAX($A$8:$A$5007),"",IFERROR(MATCH($K2781,$A$8:$A$5007,1),"")))</f>
        <v/>
      </c>
      <c r="M2781" s="30" t="str">
        <f>IF($L2781="","",INDEX($A$8:$A$5007,$L2781))</f>
        <v/>
      </c>
      <c r="N2781" s="31" t="str">
        <f>IF($L2781="","",INDEX($B$8:$B$5007,$L2781))</f>
        <v/>
      </c>
      <c r="O2781" s="32" t="str">
        <f>IF($M2781="","",IF($K2781-$M2781&gt;7,"",IF($M2781&lt;=$A2781,"",IF(OR($B2781&lt;=0,$N2781&lt;=0),"",($N2781/$B2781)^(365/($M2781-$A2781))-1))))</f>
        <v/>
      </c>
      <c r="P2781" s="31" t="str">
        <f>IF($B2781="","",IF($P2780="",$B2781,MAX($P2780,$B2781)))</f>
        <v/>
      </c>
      <c r="Q2781" s="32" t="str">
        <f>IF($P2781="","",$B2781/$P2781-1)</f>
        <v/>
      </c>
    </row>
    <row r="2782">
      <c r="A2782" s="11" t="n"/>
      <c r="B2782" s="29" t="n"/>
      <c r="K2782" s="30" t="str">
        <f>IF($A2782="","",EDATE($A2782,12*$E$4))</f>
        <v/>
      </c>
      <c r="L2782" s="19" t="str">
        <f>IF($K2782="","",IF($K2782&gt;MAX($A$8:$A$5007),"",IFERROR(MATCH($K2782,$A$8:$A$5007,1),"")))</f>
        <v/>
      </c>
      <c r="M2782" s="30" t="str">
        <f>IF($L2782="","",INDEX($A$8:$A$5007,$L2782))</f>
        <v/>
      </c>
      <c r="N2782" s="31" t="str">
        <f>IF($L2782="","",INDEX($B$8:$B$5007,$L2782))</f>
        <v/>
      </c>
      <c r="O2782" s="32" t="str">
        <f>IF($M2782="","",IF($K2782-$M2782&gt;7,"",IF($M2782&lt;=$A2782,"",IF(OR($B2782&lt;=0,$N2782&lt;=0),"",($N2782/$B2782)^(365/($M2782-$A2782))-1))))</f>
        <v/>
      </c>
      <c r="P2782" s="31" t="str">
        <f>IF($B2782="","",IF($P2781="",$B2782,MAX($P2781,$B2782)))</f>
        <v/>
      </c>
      <c r="Q2782" s="32" t="str">
        <f>IF($P2782="","",$B2782/$P2782-1)</f>
        <v/>
      </c>
    </row>
    <row r="2783">
      <c r="A2783" s="11" t="n"/>
      <c r="B2783" s="29" t="n"/>
      <c r="K2783" s="30" t="str">
        <f>IF($A2783="","",EDATE($A2783,12*$E$4))</f>
        <v/>
      </c>
      <c r="L2783" s="19" t="str">
        <f>IF($K2783="","",IF($K2783&gt;MAX($A$8:$A$5007),"",IFERROR(MATCH($K2783,$A$8:$A$5007,1),"")))</f>
        <v/>
      </c>
      <c r="M2783" s="30" t="str">
        <f>IF($L2783="","",INDEX($A$8:$A$5007,$L2783))</f>
        <v/>
      </c>
      <c r="N2783" s="31" t="str">
        <f>IF($L2783="","",INDEX($B$8:$B$5007,$L2783))</f>
        <v/>
      </c>
      <c r="O2783" s="32" t="str">
        <f>IF($M2783="","",IF($K2783-$M2783&gt;7,"",IF($M2783&lt;=$A2783,"",IF(OR($B2783&lt;=0,$N2783&lt;=0),"",($N2783/$B2783)^(365/($M2783-$A2783))-1))))</f>
        <v/>
      </c>
      <c r="P2783" s="31" t="str">
        <f>IF($B2783="","",IF($P2782="",$B2783,MAX($P2782,$B2783)))</f>
        <v/>
      </c>
      <c r="Q2783" s="32" t="str">
        <f>IF($P2783="","",$B2783/$P2783-1)</f>
        <v/>
      </c>
    </row>
    <row r="2784">
      <c r="A2784" s="11" t="n"/>
      <c r="B2784" s="29" t="n"/>
      <c r="K2784" s="30" t="str">
        <f>IF($A2784="","",EDATE($A2784,12*$E$4))</f>
        <v/>
      </c>
      <c r="L2784" s="19" t="str">
        <f>IF($K2784="","",IF($K2784&gt;MAX($A$8:$A$5007),"",IFERROR(MATCH($K2784,$A$8:$A$5007,1),"")))</f>
        <v/>
      </c>
      <c r="M2784" s="30" t="str">
        <f>IF($L2784="","",INDEX($A$8:$A$5007,$L2784))</f>
        <v/>
      </c>
      <c r="N2784" s="31" t="str">
        <f>IF($L2784="","",INDEX($B$8:$B$5007,$L2784))</f>
        <v/>
      </c>
      <c r="O2784" s="32" t="str">
        <f>IF($M2784="","",IF($K2784-$M2784&gt;7,"",IF($M2784&lt;=$A2784,"",IF(OR($B2784&lt;=0,$N2784&lt;=0),"",($N2784/$B2784)^(365/($M2784-$A2784))-1))))</f>
        <v/>
      </c>
      <c r="P2784" s="31" t="str">
        <f>IF($B2784="","",IF($P2783="",$B2784,MAX($P2783,$B2784)))</f>
        <v/>
      </c>
      <c r="Q2784" s="32" t="str">
        <f>IF($P2784="","",$B2784/$P2784-1)</f>
        <v/>
      </c>
    </row>
    <row r="2785">
      <c r="A2785" s="11" t="n"/>
      <c r="B2785" s="29" t="n"/>
      <c r="K2785" s="30" t="str">
        <f>IF($A2785="","",EDATE($A2785,12*$E$4))</f>
        <v/>
      </c>
      <c r="L2785" s="19" t="str">
        <f>IF($K2785="","",IF($K2785&gt;MAX($A$8:$A$5007),"",IFERROR(MATCH($K2785,$A$8:$A$5007,1),"")))</f>
        <v/>
      </c>
      <c r="M2785" s="30" t="str">
        <f>IF($L2785="","",INDEX($A$8:$A$5007,$L2785))</f>
        <v/>
      </c>
      <c r="N2785" s="31" t="str">
        <f>IF($L2785="","",INDEX($B$8:$B$5007,$L2785))</f>
        <v/>
      </c>
      <c r="O2785" s="32" t="str">
        <f>IF($M2785="","",IF($K2785-$M2785&gt;7,"",IF($M2785&lt;=$A2785,"",IF(OR($B2785&lt;=0,$N2785&lt;=0),"",($N2785/$B2785)^(365/($M2785-$A2785))-1))))</f>
        <v/>
      </c>
      <c r="P2785" s="31" t="str">
        <f>IF($B2785="","",IF($P2784="",$B2785,MAX($P2784,$B2785)))</f>
        <v/>
      </c>
      <c r="Q2785" s="32" t="str">
        <f>IF($P2785="","",$B2785/$P2785-1)</f>
        <v/>
      </c>
    </row>
    <row r="2786">
      <c r="A2786" s="11" t="n"/>
      <c r="B2786" s="29" t="n"/>
      <c r="K2786" s="30" t="str">
        <f>IF($A2786="","",EDATE($A2786,12*$E$4))</f>
        <v/>
      </c>
      <c r="L2786" s="19" t="str">
        <f>IF($K2786="","",IF($K2786&gt;MAX($A$8:$A$5007),"",IFERROR(MATCH($K2786,$A$8:$A$5007,1),"")))</f>
        <v/>
      </c>
      <c r="M2786" s="30" t="str">
        <f>IF($L2786="","",INDEX($A$8:$A$5007,$L2786))</f>
        <v/>
      </c>
      <c r="N2786" s="31" t="str">
        <f>IF($L2786="","",INDEX($B$8:$B$5007,$L2786))</f>
        <v/>
      </c>
      <c r="O2786" s="32" t="str">
        <f>IF($M2786="","",IF($K2786-$M2786&gt;7,"",IF($M2786&lt;=$A2786,"",IF(OR($B2786&lt;=0,$N2786&lt;=0),"",($N2786/$B2786)^(365/($M2786-$A2786))-1))))</f>
        <v/>
      </c>
      <c r="P2786" s="31" t="str">
        <f>IF($B2786="","",IF($P2785="",$B2786,MAX($P2785,$B2786)))</f>
        <v/>
      </c>
      <c r="Q2786" s="32" t="str">
        <f>IF($P2786="","",$B2786/$P2786-1)</f>
        <v/>
      </c>
    </row>
    <row r="2787">
      <c r="A2787" s="11" t="n"/>
      <c r="B2787" s="29" t="n"/>
      <c r="K2787" s="30" t="str">
        <f>IF($A2787="","",EDATE($A2787,12*$E$4))</f>
        <v/>
      </c>
      <c r="L2787" s="19" t="str">
        <f>IF($K2787="","",IF($K2787&gt;MAX($A$8:$A$5007),"",IFERROR(MATCH($K2787,$A$8:$A$5007,1),"")))</f>
        <v/>
      </c>
      <c r="M2787" s="30" t="str">
        <f>IF($L2787="","",INDEX($A$8:$A$5007,$L2787))</f>
        <v/>
      </c>
      <c r="N2787" s="31" t="str">
        <f>IF($L2787="","",INDEX($B$8:$B$5007,$L2787))</f>
        <v/>
      </c>
      <c r="O2787" s="32" t="str">
        <f>IF($M2787="","",IF($K2787-$M2787&gt;7,"",IF($M2787&lt;=$A2787,"",IF(OR($B2787&lt;=0,$N2787&lt;=0),"",($N2787/$B2787)^(365/($M2787-$A2787))-1))))</f>
        <v/>
      </c>
      <c r="P2787" s="31" t="str">
        <f>IF($B2787="","",IF($P2786="",$B2787,MAX($P2786,$B2787)))</f>
        <v/>
      </c>
      <c r="Q2787" s="32" t="str">
        <f>IF($P2787="","",$B2787/$P2787-1)</f>
        <v/>
      </c>
    </row>
    <row r="2788">
      <c r="A2788" s="11" t="n"/>
      <c r="B2788" s="29" t="n"/>
      <c r="K2788" s="30" t="str">
        <f>IF($A2788="","",EDATE($A2788,12*$E$4))</f>
        <v/>
      </c>
      <c r="L2788" s="19" t="str">
        <f>IF($K2788="","",IF($K2788&gt;MAX($A$8:$A$5007),"",IFERROR(MATCH($K2788,$A$8:$A$5007,1),"")))</f>
        <v/>
      </c>
      <c r="M2788" s="30" t="str">
        <f>IF($L2788="","",INDEX($A$8:$A$5007,$L2788))</f>
        <v/>
      </c>
      <c r="N2788" s="31" t="str">
        <f>IF($L2788="","",INDEX($B$8:$B$5007,$L2788))</f>
        <v/>
      </c>
      <c r="O2788" s="32" t="str">
        <f>IF($M2788="","",IF($K2788-$M2788&gt;7,"",IF($M2788&lt;=$A2788,"",IF(OR($B2788&lt;=0,$N2788&lt;=0),"",($N2788/$B2788)^(365/($M2788-$A2788))-1))))</f>
        <v/>
      </c>
      <c r="P2788" s="31" t="str">
        <f>IF($B2788="","",IF($P2787="",$B2788,MAX($P2787,$B2788)))</f>
        <v/>
      </c>
      <c r="Q2788" s="32" t="str">
        <f>IF($P2788="","",$B2788/$P2788-1)</f>
        <v/>
      </c>
    </row>
    <row r="2789">
      <c r="A2789" s="11" t="n"/>
      <c r="B2789" s="29" t="n"/>
      <c r="K2789" s="30" t="str">
        <f>IF($A2789="","",EDATE($A2789,12*$E$4))</f>
        <v/>
      </c>
      <c r="L2789" s="19" t="str">
        <f>IF($K2789="","",IF($K2789&gt;MAX($A$8:$A$5007),"",IFERROR(MATCH($K2789,$A$8:$A$5007,1),"")))</f>
        <v/>
      </c>
      <c r="M2789" s="30" t="str">
        <f>IF($L2789="","",INDEX($A$8:$A$5007,$L2789))</f>
        <v/>
      </c>
      <c r="N2789" s="31" t="str">
        <f>IF($L2789="","",INDEX($B$8:$B$5007,$L2789))</f>
        <v/>
      </c>
      <c r="O2789" s="32" t="str">
        <f>IF($M2789="","",IF($K2789-$M2789&gt;7,"",IF($M2789&lt;=$A2789,"",IF(OR($B2789&lt;=0,$N2789&lt;=0),"",($N2789/$B2789)^(365/($M2789-$A2789))-1))))</f>
        <v/>
      </c>
      <c r="P2789" s="31" t="str">
        <f>IF($B2789="","",IF($P2788="",$B2789,MAX($P2788,$B2789)))</f>
        <v/>
      </c>
      <c r="Q2789" s="32" t="str">
        <f>IF($P2789="","",$B2789/$P2789-1)</f>
        <v/>
      </c>
    </row>
    <row r="2790">
      <c r="A2790" s="11" t="n"/>
      <c r="B2790" s="29" t="n"/>
      <c r="K2790" s="30" t="str">
        <f>IF($A2790="","",EDATE($A2790,12*$E$4))</f>
        <v/>
      </c>
      <c r="L2790" s="19" t="str">
        <f>IF($K2790="","",IF($K2790&gt;MAX($A$8:$A$5007),"",IFERROR(MATCH($K2790,$A$8:$A$5007,1),"")))</f>
        <v/>
      </c>
      <c r="M2790" s="30" t="str">
        <f>IF($L2790="","",INDEX($A$8:$A$5007,$L2790))</f>
        <v/>
      </c>
      <c r="N2790" s="31" t="str">
        <f>IF($L2790="","",INDEX($B$8:$B$5007,$L2790))</f>
        <v/>
      </c>
      <c r="O2790" s="32" t="str">
        <f>IF($M2790="","",IF($K2790-$M2790&gt;7,"",IF($M2790&lt;=$A2790,"",IF(OR($B2790&lt;=0,$N2790&lt;=0),"",($N2790/$B2790)^(365/($M2790-$A2790))-1))))</f>
        <v/>
      </c>
      <c r="P2790" s="31" t="str">
        <f>IF($B2790="","",IF($P2789="",$B2790,MAX($P2789,$B2790)))</f>
        <v/>
      </c>
      <c r="Q2790" s="32" t="str">
        <f>IF($P2790="","",$B2790/$P2790-1)</f>
        <v/>
      </c>
    </row>
    <row r="2791">
      <c r="A2791" s="11" t="n"/>
      <c r="B2791" s="29" t="n"/>
      <c r="K2791" s="30" t="str">
        <f>IF($A2791="","",EDATE($A2791,12*$E$4))</f>
        <v/>
      </c>
      <c r="L2791" s="19" t="str">
        <f>IF($K2791="","",IF($K2791&gt;MAX($A$8:$A$5007),"",IFERROR(MATCH($K2791,$A$8:$A$5007,1),"")))</f>
        <v/>
      </c>
      <c r="M2791" s="30" t="str">
        <f>IF($L2791="","",INDEX($A$8:$A$5007,$L2791))</f>
        <v/>
      </c>
      <c r="N2791" s="31" t="str">
        <f>IF($L2791="","",INDEX($B$8:$B$5007,$L2791))</f>
        <v/>
      </c>
      <c r="O2791" s="32" t="str">
        <f>IF($M2791="","",IF($K2791-$M2791&gt;7,"",IF($M2791&lt;=$A2791,"",IF(OR($B2791&lt;=0,$N2791&lt;=0),"",($N2791/$B2791)^(365/($M2791-$A2791))-1))))</f>
        <v/>
      </c>
      <c r="P2791" s="31" t="str">
        <f>IF($B2791="","",IF($P2790="",$B2791,MAX($P2790,$B2791)))</f>
        <v/>
      </c>
      <c r="Q2791" s="32" t="str">
        <f>IF($P2791="","",$B2791/$P2791-1)</f>
        <v/>
      </c>
    </row>
    <row r="2792">
      <c r="A2792" s="11" t="n"/>
      <c r="B2792" s="29" t="n"/>
      <c r="K2792" s="30" t="str">
        <f>IF($A2792="","",EDATE($A2792,12*$E$4))</f>
        <v/>
      </c>
      <c r="L2792" s="19" t="str">
        <f>IF($K2792="","",IF($K2792&gt;MAX($A$8:$A$5007),"",IFERROR(MATCH($K2792,$A$8:$A$5007,1),"")))</f>
        <v/>
      </c>
      <c r="M2792" s="30" t="str">
        <f>IF($L2792="","",INDEX($A$8:$A$5007,$L2792))</f>
        <v/>
      </c>
      <c r="N2792" s="31" t="str">
        <f>IF($L2792="","",INDEX($B$8:$B$5007,$L2792))</f>
        <v/>
      </c>
      <c r="O2792" s="32" t="str">
        <f>IF($M2792="","",IF($K2792-$M2792&gt;7,"",IF($M2792&lt;=$A2792,"",IF(OR($B2792&lt;=0,$N2792&lt;=0),"",($N2792/$B2792)^(365/($M2792-$A2792))-1))))</f>
        <v/>
      </c>
      <c r="P2792" s="31" t="str">
        <f>IF($B2792="","",IF($P2791="",$B2792,MAX($P2791,$B2792)))</f>
        <v/>
      </c>
      <c r="Q2792" s="32" t="str">
        <f>IF($P2792="","",$B2792/$P2792-1)</f>
        <v/>
      </c>
    </row>
    <row r="2793">
      <c r="A2793" s="11" t="n"/>
      <c r="B2793" s="29" t="n"/>
      <c r="K2793" s="30" t="str">
        <f>IF($A2793="","",EDATE($A2793,12*$E$4))</f>
        <v/>
      </c>
      <c r="L2793" s="19" t="str">
        <f>IF($K2793="","",IF($K2793&gt;MAX($A$8:$A$5007),"",IFERROR(MATCH($K2793,$A$8:$A$5007,1),"")))</f>
        <v/>
      </c>
      <c r="M2793" s="30" t="str">
        <f>IF($L2793="","",INDEX($A$8:$A$5007,$L2793))</f>
        <v/>
      </c>
      <c r="N2793" s="31" t="str">
        <f>IF($L2793="","",INDEX($B$8:$B$5007,$L2793))</f>
        <v/>
      </c>
      <c r="O2793" s="32" t="str">
        <f>IF($M2793="","",IF($K2793-$M2793&gt;7,"",IF($M2793&lt;=$A2793,"",IF(OR($B2793&lt;=0,$N2793&lt;=0),"",($N2793/$B2793)^(365/($M2793-$A2793))-1))))</f>
        <v/>
      </c>
      <c r="P2793" s="31" t="str">
        <f>IF($B2793="","",IF($P2792="",$B2793,MAX($P2792,$B2793)))</f>
        <v/>
      </c>
      <c r="Q2793" s="32" t="str">
        <f>IF($P2793="","",$B2793/$P2793-1)</f>
        <v/>
      </c>
    </row>
    <row r="2794">
      <c r="A2794" s="11" t="n"/>
      <c r="B2794" s="29" t="n"/>
      <c r="K2794" s="30" t="str">
        <f>IF($A2794="","",EDATE($A2794,12*$E$4))</f>
        <v/>
      </c>
      <c r="L2794" s="19" t="str">
        <f>IF($K2794="","",IF($K2794&gt;MAX($A$8:$A$5007),"",IFERROR(MATCH($K2794,$A$8:$A$5007,1),"")))</f>
        <v/>
      </c>
      <c r="M2794" s="30" t="str">
        <f>IF($L2794="","",INDEX($A$8:$A$5007,$L2794))</f>
        <v/>
      </c>
      <c r="N2794" s="31" t="str">
        <f>IF($L2794="","",INDEX($B$8:$B$5007,$L2794))</f>
        <v/>
      </c>
      <c r="O2794" s="32" t="str">
        <f>IF($M2794="","",IF($K2794-$M2794&gt;7,"",IF($M2794&lt;=$A2794,"",IF(OR($B2794&lt;=0,$N2794&lt;=0),"",($N2794/$B2794)^(365/($M2794-$A2794))-1))))</f>
        <v/>
      </c>
      <c r="P2794" s="31" t="str">
        <f>IF($B2794="","",IF($P2793="",$B2794,MAX($P2793,$B2794)))</f>
        <v/>
      </c>
      <c r="Q2794" s="32" t="str">
        <f>IF($P2794="","",$B2794/$P2794-1)</f>
        <v/>
      </c>
    </row>
    <row r="2795">
      <c r="A2795" s="11" t="n"/>
      <c r="B2795" s="29" t="n"/>
      <c r="K2795" s="30" t="str">
        <f>IF($A2795="","",EDATE($A2795,12*$E$4))</f>
        <v/>
      </c>
      <c r="L2795" s="19" t="str">
        <f>IF($K2795="","",IF($K2795&gt;MAX($A$8:$A$5007),"",IFERROR(MATCH($K2795,$A$8:$A$5007,1),"")))</f>
        <v/>
      </c>
      <c r="M2795" s="30" t="str">
        <f>IF($L2795="","",INDEX($A$8:$A$5007,$L2795))</f>
        <v/>
      </c>
      <c r="N2795" s="31" t="str">
        <f>IF($L2795="","",INDEX($B$8:$B$5007,$L2795))</f>
        <v/>
      </c>
      <c r="O2795" s="32" t="str">
        <f>IF($M2795="","",IF($K2795-$M2795&gt;7,"",IF($M2795&lt;=$A2795,"",IF(OR($B2795&lt;=0,$N2795&lt;=0),"",($N2795/$B2795)^(365/($M2795-$A2795))-1))))</f>
        <v/>
      </c>
      <c r="P2795" s="31" t="str">
        <f>IF($B2795="","",IF($P2794="",$B2795,MAX($P2794,$B2795)))</f>
        <v/>
      </c>
      <c r="Q2795" s="32" t="str">
        <f>IF($P2795="","",$B2795/$P2795-1)</f>
        <v/>
      </c>
    </row>
    <row r="2796">
      <c r="A2796" s="11" t="n"/>
      <c r="B2796" s="29" t="n"/>
      <c r="K2796" s="30" t="str">
        <f>IF($A2796="","",EDATE($A2796,12*$E$4))</f>
        <v/>
      </c>
      <c r="L2796" s="19" t="str">
        <f>IF($K2796="","",IF($K2796&gt;MAX($A$8:$A$5007),"",IFERROR(MATCH($K2796,$A$8:$A$5007,1),"")))</f>
        <v/>
      </c>
      <c r="M2796" s="30" t="str">
        <f>IF($L2796="","",INDEX($A$8:$A$5007,$L2796))</f>
        <v/>
      </c>
      <c r="N2796" s="31" t="str">
        <f>IF($L2796="","",INDEX($B$8:$B$5007,$L2796))</f>
        <v/>
      </c>
      <c r="O2796" s="32" t="str">
        <f>IF($M2796="","",IF($K2796-$M2796&gt;7,"",IF($M2796&lt;=$A2796,"",IF(OR($B2796&lt;=0,$N2796&lt;=0),"",($N2796/$B2796)^(365/($M2796-$A2796))-1))))</f>
        <v/>
      </c>
      <c r="P2796" s="31" t="str">
        <f>IF($B2796="","",IF($P2795="",$B2796,MAX($P2795,$B2796)))</f>
        <v/>
      </c>
      <c r="Q2796" s="32" t="str">
        <f>IF($P2796="","",$B2796/$P2796-1)</f>
        <v/>
      </c>
    </row>
    <row r="2797">
      <c r="A2797" s="11" t="n"/>
      <c r="B2797" s="29" t="n"/>
      <c r="K2797" s="30" t="str">
        <f>IF($A2797="","",EDATE($A2797,12*$E$4))</f>
        <v/>
      </c>
      <c r="L2797" s="19" t="str">
        <f>IF($K2797="","",IF($K2797&gt;MAX($A$8:$A$5007),"",IFERROR(MATCH($K2797,$A$8:$A$5007,1),"")))</f>
        <v/>
      </c>
      <c r="M2797" s="30" t="str">
        <f>IF($L2797="","",INDEX($A$8:$A$5007,$L2797))</f>
        <v/>
      </c>
      <c r="N2797" s="31" t="str">
        <f>IF($L2797="","",INDEX($B$8:$B$5007,$L2797))</f>
        <v/>
      </c>
      <c r="O2797" s="32" t="str">
        <f>IF($M2797="","",IF($K2797-$M2797&gt;7,"",IF($M2797&lt;=$A2797,"",IF(OR($B2797&lt;=0,$N2797&lt;=0),"",($N2797/$B2797)^(365/($M2797-$A2797))-1))))</f>
        <v/>
      </c>
      <c r="P2797" s="31" t="str">
        <f>IF($B2797="","",IF($P2796="",$B2797,MAX($P2796,$B2797)))</f>
        <v/>
      </c>
      <c r="Q2797" s="32" t="str">
        <f>IF($P2797="","",$B2797/$P2797-1)</f>
        <v/>
      </c>
    </row>
    <row r="2798">
      <c r="A2798" s="11" t="n"/>
      <c r="B2798" s="29" t="n"/>
      <c r="K2798" s="30" t="str">
        <f>IF($A2798="","",EDATE($A2798,12*$E$4))</f>
        <v/>
      </c>
      <c r="L2798" s="19" t="str">
        <f>IF($K2798="","",IF($K2798&gt;MAX($A$8:$A$5007),"",IFERROR(MATCH($K2798,$A$8:$A$5007,1),"")))</f>
        <v/>
      </c>
      <c r="M2798" s="30" t="str">
        <f>IF($L2798="","",INDEX($A$8:$A$5007,$L2798))</f>
        <v/>
      </c>
      <c r="N2798" s="31" t="str">
        <f>IF($L2798="","",INDEX($B$8:$B$5007,$L2798))</f>
        <v/>
      </c>
      <c r="O2798" s="32" t="str">
        <f>IF($M2798="","",IF($K2798-$M2798&gt;7,"",IF($M2798&lt;=$A2798,"",IF(OR($B2798&lt;=0,$N2798&lt;=0),"",($N2798/$B2798)^(365/($M2798-$A2798))-1))))</f>
        <v/>
      </c>
      <c r="P2798" s="31" t="str">
        <f>IF($B2798="","",IF($P2797="",$B2798,MAX($P2797,$B2798)))</f>
        <v/>
      </c>
      <c r="Q2798" s="32" t="str">
        <f>IF($P2798="","",$B2798/$P2798-1)</f>
        <v/>
      </c>
    </row>
    <row r="2799">
      <c r="A2799" s="11" t="n"/>
      <c r="B2799" s="29" t="n"/>
      <c r="K2799" s="30" t="str">
        <f>IF($A2799="","",EDATE($A2799,12*$E$4))</f>
        <v/>
      </c>
      <c r="L2799" s="19" t="str">
        <f>IF($K2799="","",IF($K2799&gt;MAX($A$8:$A$5007),"",IFERROR(MATCH($K2799,$A$8:$A$5007,1),"")))</f>
        <v/>
      </c>
      <c r="M2799" s="30" t="str">
        <f>IF($L2799="","",INDEX($A$8:$A$5007,$L2799))</f>
        <v/>
      </c>
      <c r="N2799" s="31" t="str">
        <f>IF($L2799="","",INDEX($B$8:$B$5007,$L2799))</f>
        <v/>
      </c>
      <c r="O2799" s="32" t="str">
        <f>IF($M2799="","",IF($K2799-$M2799&gt;7,"",IF($M2799&lt;=$A2799,"",IF(OR($B2799&lt;=0,$N2799&lt;=0),"",($N2799/$B2799)^(365/($M2799-$A2799))-1))))</f>
        <v/>
      </c>
      <c r="P2799" s="31" t="str">
        <f>IF($B2799="","",IF($P2798="",$B2799,MAX($P2798,$B2799)))</f>
        <v/>
      </c>
      <c r="Q2799" s="32" t="str">
        <f>IF($P2799="","",$B2799/$P2799-1)</f>
        <v/>
      </c>
    </row>
    <row r="2800">
      <c r="A2800" s="11" t="n"/>
      <c r="B2800" s="29" t="n"/>
      <c r="K2800" s="30" t="str">
        <f>IF($A2800="","",EDATE($A2800,12*$E$4))</f>
        <v/>
      </c>
      <c r="L2800" s="19" t="str">
        <f>IF($K2800="","",IF($K2800&gt;MAX($A$8:$A$5007),"",IFERROR(MATCH($K2800,$A$8:$A$5007,1),"")))</f>
        <v/>
      </c>
      <c r="M2800" s="30" t="str">
        <f>IF($L2800="","",INDEX($A$8:$A$5007,$L2800))</f>
        <v/>
      </c>
      <c r="N2800" s="31" t="str">
        <f>IF($L2800="","",INDEX($B$8:$B$5007,$L2800))</f>
        <v/>
      </c>
      <c r="O2800" s="32" t="str">
        <f>IF($M2800="","",IF($K2800-$M2800&gt;7,"",IF($M2800&lt;=$A2800,"",IF(OR($B2800&lt;=0,$N2800&lt;=0),"",($N2800/$B2800)^(365/($M2800-$A2800))-1))))</f>
        <v/>
      </c>
      <c r="P2800" s="31" t="str">
        <f>IF($B2800="","",IF($P2799="",$B2800,MAX($P2799,$B2800)))</f>
        <v/>
      </c>
      <c r="Q2800" s="32" t="str">
        <f>IF($P2800="","",$B2800/$P2800-1)</f>
        <v/>
      </c>
    </row>
    <row r="2801">
      <c r="A2801" s="11" t="n"/>
      <c r="B2801" s="29" t="n"/>
      <c r="K2801" s="30" t="str">
        <f>IF($A2801="","",EDATE($A2801,12*$E$4))</f>
        <v/>
      </c>
      <c r="L2801" s="19" t="str">
        <f>IF($K2801="","",IF($K2801&gt;MAX($A$8:$A$5007),"",IFERROR(MATCH($K2801,$A$8:$A$5007,1),"")))</f>
        <v/>
      </c>
      <c r="M2801" s="30" t="str">
        <f>IF($L2801="","",INDEX($A$8:$A$5007,$L2801))</f>
        <v/>
      </c>
      <c r="N2801" s="31" t="str">
        <f>IF($L2801="","",INDEX($B$8:$B$5007,$L2801))</f>
        <v/>
      </c>
      <c r="O2801" s="32" t="str">
        <f>IF($M2801="","",IF($K2801-$M2801&gt;7,"",IF($M2801&lt;=$A2801,"",IF(OR($B2801&lt;=0,$N2801&lt;=0),"",($N2801/$B2801)^(365/($M2801-$A2801))-1))))</f>
        <v/>
      </c>
      <c r="P2801" s="31" t="str">
        <f>IF($B2801="","",IF($P2800="",$B2801,MAX($P2800,$B2801)))</f>
        <v/>
      </c>
      <c r="Q2801" s="32" t="str">
        <f>IF($P2801="","",$B2801/$P2801-1)</f>
        <v/>
      </c>
    </row>
    <row r="2802">
      <c r="A2802" s="11" t="n"/>
      <c r="B2802" s="29" t="n"/>
      <c r="K2802" s="30" t="str">
        <f>IF($A2802="","",EDATE($A2802,12*$E$4))</f>
        <v/>
      </c>
      <c r="L2802" s="19" t="str">
        <f>IF($K2802="","",IF($K2802&gt;MAX($A$8:$A$5007),"",IFERROR(MATCH($K2802,$A$8:$A$5007,1),"")))</f>
        <v/>
      </c>
      <c r="M2802" s="30" t="str">
        <f>IF($L2802="","",INDEX($A$8:$A$5007,$L2802))</f>
        <v/>
      </c>
      <c r="N2802" s="31" t="str">
        <f>IF($L2802="","",INDEX($B$8:$B$5007,$L2802))</f>
        <v/>
      </c>
      <c r="O2802" s="32" t="str">
        <f>IF($M2802="","",IF($K2802-$M2802&gt;7,"",IF($M2802&lt;=$A2802,"",IF(OR($B2802&lt;=0,$N2802&lt;=0),"",($N2802/$B2802)^(365/($M2802-$A2802))-1))))</f>
        <v/>
      </c>
      <c r="P2802" s="31" t="str">
        <f>IF($B2802="","",IF($P2801="",$B2802,MAX($P2801,$B2802)))</f>
        <v/>
      </c>
      <c r="Q2802" s="32" t="str">
        <f>IF($P2802="","",$B2802/$P2802-1)</f>
        <v/>
      </c>
    </row>
    <row r="2803">
      <c r="A2803" s="11" t="n"/>
      <c r="B2803" s="29" t="n"/>
      <c r="K2803" s="30" t="str">
        <f>IF($A2803="","",EDATE($A2803,12*$E$4))</f>
        <v/>
      </c>
      <c r="L2803" s="19" t="str">
        <f>IF($K2803="","",IF($K2803&gt;MAX($A$8:$A$5007),"",IFERROR(MATCH($K2803,$A$8:$A$5007,1),"")))</f>
        <v/>
      </c>
      <c r="M2803" s="30" t="str">
        <f>IF($L2803="","",INDEX($A$8:$A$5007,$L2803))</f>
        <v/>
      </c>
      <c r="N2803" s="31" t="str">
        <f>IF($L2803="","",INDEX($B$8:$B$5007,$L2803))</f>
        <v/>
      </c>
      <c r="O2803" s="32" t="str">
        <f>IF($M2803="","",IF($K2803-$M2803&gt;7,"",IF($M2803&lt;=$A2803,"",IF(OR($B2803&lt;=0,$N2803&lt;=0),"",($N2803/$B2803)^(365/($M2803-$A2803))-1))))</f>
        <v/>
      </c>
      <c r="P2803" s="31" t="str">
        <f>IF($B2803="","",IF($P2802="",$B2803,MAX($P2802,$B2803)))</f>
        <v/>
      </c>
      <c r="Q2803" s="32" t="str">
        <f>IF($P2803="","",$B2803/$P2803-1)</f>
        <v/>
      </c>
    </row>
    <row r="2804">
      <c r="A2804" s="11" t="n"/>
      <c r="B2804" s="29" t="n"/>
      <c r="K2804" s="30" t="str">
        <f>IF($A2804="","",EDATE($A2804,12*$E$4))</f>
        <v/>
      </c>
      <c r="L2804" s="19" t="str">
        <f>IF($K2804="","",IF($K2804&gt;MAX($A$8:$A$5007),"",IFERROR(MATCH($K2804,$A$8:$A$5007,1),"")))</f>
        <v/>
      </c>
      <c r="M2804" s="30" t="str">
        <f>IF($L2804="","",INDEX($A$8:$A$5007,$L2804))</f>
        <v/>
      </c>
      <c r="N2804" s="31" t="str">
        <f>IF($L2804="","",INDEX($B$8:$B$5007,$L2804))</f>
        <v/>
      </c>
      <c r="O2804" s="32" t="str">
        <f>IF($M2804="","",IF($K2804-$M2804&gt;7,"",IF($M2804&lt;=$A2804,"",IF(OR($B2804&lt;=0,$N2804&lt;=0),"",($N2804/$B2804)^(365/($M2804-$A2804))-1))))</f>
        <v/>
      </c>
      <c r="P2804" s="31" t="str">
        <f>IF($B2804="","",IF($P2803="",$B2804,MAX($P2803,$B2804)))</f>
        <v/>
      </c>
      <c r="Q2804" s="32" t="str">
        <f>IF($P2804="","",$B2804/$P2804-1)</f>
        <v/>
      </c>
    </row>
    <row r="2805">
      <c r="A2805" s="11" t="n"/>
      <c r="B2805" s="29" t="n"/>
      <c r="K2805" s="30" t="str">
        <f>IF($A2805="","",EDATE($A2805,12*$E$4))</f>
        <v/>
      </c>
      <c r="L2805" s="19" t="str">
        <f>IF($K2805="","",IF($K2805&gt;MAX($A$8:$A$5007),"",IFERROR(MATCH($K2805,$A$8:$A$5007,1),"")))</f>
        <v/>
      </c>
      <c r="M2805" s="30" t="str">
        <f>IF($L2805="","",INDEX($A$8:$A$5007,$L2805))</f>
        <v/>
      </c>
      <c r="N2805" s="31" t="str">
        <f>IF($L2805="","",INDEX($B$8:$B$5007,$L2805))</f>
        <v/>
      </c>
      <c r="O2805" s="32" t="str">
        <f>IF($M2805="","",IF($K2805-$M2805&gt;7,"",IF($M2805&lt;=$A2805,"",IF(OR($B2805&lt;=0,$N2805&lt;=0),"",($N2805/$B2805)^(365/($M2805-$A2805))-1))))</f>
        <v/>
      </c>
      <c r="P2805" s="31" t="str">
        <f>IF($B2805="","",IF($P2804="",$B2805,MAX($P2804,$B2805)))</f>
        <v/>
      </c>
      <c r="Q2805" s="32" t="str">
        <f>IF($P2805="","",$B2805/$P2805-1)</f>
        <v/>
      </c>
    </row>
    <row r="2806">
      <c r="A2806" s="11" t="n"/>
      <c r="B2806" s="29" t="n"/>
      <c r="K2806" s="30" t="str">
        <f>IF($A2806="","",EDATE($A2806,12*$E$4))</f>
        <v/>
      </c>
      <c r="L2806" s="19" t="str">
        <f>IF($K2806="","",IF($K2806&gt;MAX($A$8:$A$5007),"",IFERROR(MATCH($K2806,$A$8:$A$5007,1),"")))</f>
        <v/>
      </c>
      <c r="M2806" s="30" t="str">
        <f>IF($L2806="","",INDEX($A$8:$A$5007,$L2806))</f>
        <v/>
      </c>
      <c r="N2806" s="31" t="str">
        <f>IF($L2806="","",INDEX($B$8:$B$5007,$L2806))</f>
        <v/>
      </c>
      <c r="O2806" s="32" t="str">
        <f>IF($M2806="","",IF($K2806-$M2806&gt;7,"",IF($M2806&lt;=$A2806,"",IF(OR($B2806&lt;=0,$N2806&lt;=0),"",($N2806/$B2806)^(365/($M2806-$A2806))-1))))</f>
        <v/>
      </c>
      <c r="P2806" s="31" t="str">
        <f>IF($B2806="","",IF($P2805="",$B2806,MAX($P2805,$B2806)))</f>
        <v/>
      </c>
      <c r="Q2806" s="32" t="str">
        <f>IF($P2806="","",$B2806/$P2806-1)</f>
        <v/>
      </c>
    </row>
    <row r="2807">
      <c r="A2807" s="11" t="n"/>
      <c r="B2807" s="29" t="n"/>
      <c r="K2807" s="30" t="str">
        <f>IF($A2807="","",EDATE($A2807,12*$E$4))</f>
        <v/>
      </c>
      <c r="L2807" s="19" t="str">
        <f>IF($K2807="","",IF($K2807&gt;MAX($A$8:$A$5007),"",IFERROR(MATCH($K2807,$A$8:$A$5007,1),"")))</f>
        <v/>
      </c>
      <c r="M2807" s="30" t="str">
        <f>IF($L2807="","",INDEX($A$8:$A$5007,$L2807))</f>
        <v/>
      </c>
      <c r="N2807" s="31" t="str">
        <f>IF($L2807="","",INDEX($B$8:$B$5007,$L2807))</f>
        <v/>
      </c>
      <c r="O2807" s="32" t="str">
        <f>IF($M2807="","",IF($K2807-$M2807&gt;7,"",IF($M2807&lt;=$A2807,"",IF(OR($B2807&lt;=0,$N2807&lt;=0),"",($N2807/$B2807)^(365/($M2807-$A2807))-1))))</f>
        <v/>
      </c>
      <c r="P2807" s="31" t="str">
        <f>IF($B2807="","",IF($P2806="",$B2807,MAX($P2806,$B2807)))</f>
        <v/>
      </c>
      <c r="Q2807" s="32" t="str">
        <f>IF($P2807="","",$B2807/$P2807-1)</f>
        <v/>
      </c>
    </row>
    <row r="2808">
      <c r="A2808" s="11" t="n"/>
      <c r="B2808" s="29" t="n"/>
      <c r="K2808" s="30" t="str">
        <f>IF($A2808="","",EDATE($A2808,12*$E$4))</f>
        <v/>
      </c>
      <c r="L2808" s="19" t="str">
        <f>IF($K2808="","",IF($K2808&gt;MAX($A$8:$A$5007),"",IFERROR(MATCH($K2808,$A$8:$A$5007,1),"")))</f>
        <v/>
      </c>
      <c r="M2808" s="30" t="str">
        <f>IF($L2808="","",INDEX($A$8:$A$5007,$L2808))</f>
        <v/>
      </c>
      <c r="N2808" s="31" t="str">
        <f>IF($L2808="","",INDEX($B$8:$B$5007,$L2808))</f>
        <v/>
      </c>
      <c r="O2808" s="32" t="str">
        <f>IF($M2808="","",IF($K2808-$M2808&gt;7,"",IF($M2808&lt;=$A2808,"",IF(OR($B2808&lt;=0,$N2808&lt;=0),"",($N2808/$B2808)^(365/($M2808-$A2808))-1))))</f>
        <v/>
      </c>
      <c r="P2808" s="31" t="str">
        <f>IF($B2808="","",IF($P2807="",$B2808,MAX($P2807,$B2808)))</f>
        <v/>
      </c>
      <c r="Q2808" s="32" t="str">
        <f>IF($P2808="","",$B2808/$P2808-1)</f>
        <v/>
      </c>
    </row>
    <row r="2809">
      <c r="A2809" s="11" t="n"/>
      <c r="B2809" s="29" t="n"/>
      <c r="K2809" s="30" t="str">
        <f>IF($A2809="","",EDATE($A2809,12*$E$4))</f>
        <v/>
      </c>
      <c r="L2809" s="19" t="str">
        <f>IF($K2809="","",IF($K2809&gt;MAX($A$8:$A$5007),"",IFERROR(MATCH($K2809,$A$8:$A$5007,1),"")))</f>
        <v/>
      </c>
      <c r="M2809" s="30" t="str">
        <f>IF($L2809="","",INDEX($A$8:$A$5007,$L2809))</f>
        <v/>
      </c>
      <c r="N2809" s="31" t="str">
        <f>IF($L2809="","",INDEX($B$8:$B$5007,$L2809))</f>
        <v/>
      </c>
      <c r="O2809" s="32" t="str">
        <f>IF($M2809="","",IF($K2809-$M2809&gt;7,"",IF($M2809&lt;=$A2809,"",IF(OR($B2809&lt;=0,$N2809&lt;=0),"",($N2809/$B2809)^(365/($M2809-$A2809))-1))))</f>
        <v/>
      </c>
      <c r="P2809" s="31" t="str">
        <f>IF($B2809="","",IF($P2808="",$B2809,MAX($P2808,$B2809)))</f>
        <v/>
      </c>
      <c r="Q2809" s="32" t="str">
        <f>IF($P2809="","",$B2809/$P2809-1)</f>
        <v/>
      </c>
    </row>
    <row r="2810">
      <c r="A2810" s="11" t="n"/>
      <c r="B2810" s="29" t="n"/>
      <c r="K2810" s="30" t="str">
        <f>IF($A2810="","",EDATE($A2810,12*$E$4))</f>
        <v/>
      </c>
      <c r="L2810" s="19" t="str">
        <f>IF($K2810="","",IF($K2810&gt;MAX($A$8:$A$5007),"",IFERROR(MATCH($K2810,$A$8:$A$5007,1),"")))</f>
        <v/>
      </c>
      <c r="M2810" s="30" t="str">
        <f>IF($L2810="","",INDEX($A$8:$A$5007,$L2810))</f>
        <v/>
      </c>
      <c r="N2810" s="31" t="str">
        <f>IF($L2810="","",INDEX($B$8:$B$5007,$L2810))</f>
        <v/>
      </c>
      <c r="O2810" s="32" t="str">
        <f>IF($M2810="","",IF($K2810-$M2810&gt;7,"",IF($M2810&lt;=$A2810,"",IF(OR($B2810&lt;=0,$N2810&lt;=0),"",($N2810/$B2810)^(365/($M2810-$A2810))-1))))</f>
        <v/>
      </c>
      <c r="P2810" s="31" t="str">
        <f>IF($B2810="","",IF($P2809="",$B2810,MAX($P2809,$B2810)))</f>
        <v/>
      </c>
      <c r="Q2810" s="32" t="str">
        <f>IF($P2810="","",$B2810/$P2810-1)</f>
        <v/>
      </c>
    </row>
    <row r="2811">
      <c r="A2811" s="11" t="n"/>
      <c r="B2811" s="29" t="n"/>
      <c r="K2811" s="30" t="str">
        <f>IF($A2811="","",EDATE($A2811,12*$E$4))</f>
        <v/>
      </c>
      <c r="L2811" s="19" t="str">
        <f>IF($K2811="","",IF($K2811&gt;MAX($A$8:$A$5007),"",IFERROR(MATCH($K2811,$A$8:$A$5007,1),"")))</f>
        <v/>
      </c>
      <c r="M2811" s="30" t="str">
        <f>IF($L2811="","",INDEX($A$8:$A$5007,$L2811))</f>
        <v/>
      </c>
      <c r="N2811" s="31" t="str">
        <f>IF($L2811="","",INDEX($B$8:$B$5007,$L2811))</f>
        <v/>
      </c>
      <c r="O2811" s="32" t="str">
        <f>IF($M2811="","",IF($K2811-$M2811&gt;7,"",IF($M2811&lt;=$A2811,"",IF(OR($B2811&lt;=0,$N2811&lt;=0),"",($N2811/$B2811)^(365/($M2811-$A2811))-1))))</f>
        <v/>
      </c>
      <c r="P2811" s="31" t="str">
        <f>IF($B2811="","",IF($P2810="",$B2811,MAX($P2810,$B2811)))</f>
        <v/>
      </c>
      <c r="Q2811" s="32" t="str">
        <f>IF($P2811="","",$B2811/$P2811-1)</f>
        <v/>
      </c>
    </row>
    <row r="2812">
      <c r="A2812" s="11" t="n"/>
      <c r="B2812" s="29" t="n"/>
      <c r="K2812" s="30" t="str">
        <f>IF($A2812="","",EDATE($A2812,12*$E$4))</f>
        <v/>
      </c>
      <c r="L2812" s="19" t="str">
        <f>IF($K2812="","",IF($K2812&gt;MAX($A$8:$A$5007),"",IFERROR(MATCH($K2812,$A$8:$A$5007,1),"")))</f>
        <v/>
      </c>
      <c r="M2812" s="30" t="str">
        <f>IF($L2812="","",INDEX($A$8:$A$5007,$L2812))</f>
        <v/>
      </c>
      <c r="N2812" s="31" t="str">
        <f>IF($L2812="","",INDEX($B$8:$B$5007,$L2812))</f>
        <v/>
      </c>
      <c r="O2812" s="32" t="str">
        <f>IF($M2812="","",IF($K2812-$M2812&gt;7,"",IF($M2812&lt;=$A2812,"",IF(OR($B2812&lt;=0,$N2812&lt;=0),"",($N2812/$B2812)^(365/($M2812-$A2812))-1))))</f>
        <v/>
      </c>
      <c r="P2812" s="31" t="str">
        <f>IF($B2812="","",IF($P2811="",$B2812,MAX($P2811,$B2812)))</f>
        <v/>
      </c>
      <c r="Q2812" s="32" t="str">
        <f>IF($P2812="","",$B2812/$P2812-1)</f>
        <v/>
      </c>
    </row>
    <row r="2813">
      <c r="A2813" s="11" t="n"/>
      <c r="B2813" s="29" t="n"/>
      <c r="K2813" s="30" t="str">
        <f>IF($A2813="","",EDATE($A2813,12*$E$4))</f>
        <v/>
      </c>
      <c r="L2813" s="19" t="str">
        <f>IF($K2813="","",IF($K2813&gt;MAX($A$8:$A$5007),"",IFERROR(MATCH($K2813,$A$8:$A$5007,1),"")))</f>
        <v/>
      </c>
      <c r="M2813" s="30" t="str">
        <f>IF($L2813="","",INDEX($A$8:$A$5007,$L2813))</f>
        <v/>
      </c>
      <c r="N2813" s="31" t="str">
        <f>IF($L2813="","",INDEX($B$8:$B$5007,$L2813))</f>
        <v/>
      </c>
      <c r="O2813" s="32" t="str">
        <f>IF($M2813="","",IF($K2813-$M2813&gt;7,"",IF($M2813&lt;=$A2813,"",IF(OR($B2813&lt;=0,$N2813&lt;=0),"",($N2813/$B2813)^(365/($M2813-$A2813))-1))))</f>
        <v/>
      </c>
      <c r="P2813" s="31" t="str">
        <f>IF($B2813="","",IF($P2812="",$B2813,MAX($P2812,$B2813)))</f>
        <v/>
      </c>
      <c r="Q2813" s="32" t="str">
        <f>IF($P2813="","",$B2813/$P2813-1)</f>
        <v/>
      </c>
    </row>
    <row r="2814">
      <c r="A2814" s="11" t="n"/>
      <c r="B2814" s="29" t="n"/>
      <c r="K2814" s="30" t="str">
        <f>IF($A2814="","",EDATE($A2814,12*$E$4))</f>
        <v/>
      </c>
      <c r="L2814" s="19" t="str">
        <f>IF($K2814="","",IF($K2814&gt;MAX($A$8:$A$5007),"",IFERROR(MATCH($K2814,$A$8:$A$5007,1),"")))</f>
        <v/>
      </c>
      <c r="M2814" s="30" t="str">
        <f>IF($L2814="","",INDEX($A$8:$A$5007,$L2814))</f>
        <v/>
      </c>
      <c r="N2814" s="31" t="str">
        <f>IF($L2814="","",INDEX($B$8:$B$5007,$L2814))</f>
        <v/>
      </c>
      <c r="O2814" s="32" t="str">
        <f>IF($M2814="","",IF($K2814-$M2814&gt;7,"",IF($M2814&lt;=$A2814,"",IF(OR($B2814&lt;=0,$N2814&lt;=0),"",($N2814/$B2814)^(365/($M2814-$A2814))-1))))</f>
        <v/>
      </c>
      <c r="P2814" s="31" t="str">
        <f>IF($B2814="","",IF($P2813="",$B2814,MAX($P2813,$B2814)))</f>
        <v/>
      </c>
      <c r="Q2814" s="32" t="str">
        <f>IF($P2814="","",$B2814/$P2814-1)</f>
        <v/>
      </c>
    </row>
    <row r="2815">
      <c r="A2815" s="11" t="n"/>
      <c r="B2815" s="29" t="n"/>
      <c r="K2815" s="30" t="str">
        <f>IF($A2815="","",EDATE($A2815,12*$E$4))</f>
        <v/>
      </c>
      <c r="L2815" s="19" t="str">
        <f>IF($K2815="","",IF($K2815&gt;MAX($A$8:$A$5007),"",IFERROR(MATCH($K2815,$A$8:$A$5007,1),"")))</f>
        <v/>
      </c>
      <c r="M2815" s="30" t="str">
        <f>IF($L2815="","",INDEX($A$8:$A$5007,$L2815))</f>
        <v/>
      </c>
      <c r="N2815" s="31" t="str">
        <f>IF($L2815="","",INDEX($B$8:$B$5007,$L2815))</f>
        <v/>
      </c>
      <c r="O2815" s="32" t="str">
        <f>IF($M2815="","",IF($K2815-$M2815&gt;7,"",IF($M2815&lt;=$A2815,"",IF(OR($B2815&lt;=0,$N2815&lt;=0),"",($N2815/$B2815)^(365/($M2815-$A2815))-1))))</f>
        <v/>
      </c>
      <c r="P2815" s="31" t="str">
        <f>IF($B2815="","",IF($P2814="",$B2815,MAX($P2814,$B2815)))</f>
        <v/>
      </c>
      <c r="Q2815" s="32" t="str">
        <f>IF($P2815="","",$B2815/$P2815-1)</f>
        <v/>
      </c>
    </row>
    <row r="2816">
      <c r="A2816" s="11" t="n"/>
      <c r="B2816" s="29" t="n"/>
      <c r="K2816" s="30" t="str">
        <f>IF($A2816="","",EDATE($A2816,12*$E$4))</f>
        <v/>
      </c>
      <c r="L2816" s="19" t="str">
        <f>IF($K2816="","",IF($K2816&gt;MAX($A$8:$A$5007),"",IFERROR(MATCH($K2816,$A$8:$A$5007,1),"")))</f>
        <v/>
      </c>
      <c r="M2816" s="30" t="str">
        <f>IF($L2816="","",INDEX($A$8:$A$5007,$L2816))</f>
        <v/>
      </c>
      <c r="N2816" s="31" t="str">
        <f>IF($L2816="","",INDEX($B$8:$B$5007,$L2816))</f>
        <v/>
      </c>
      <c r="O2816" s="32" t="str">
        <f>IF($M2816="","",IF($K2816-$M2816&gt;7,"",IF($M2816&lt;=$A2816,"",IF(OR($B2816&lt;=0,$N2816&lt;=0),"",($N2816/$B2816)^(365/($M2816-$A2816))-1))))</f>
        <v/>
      </c>
      <c r="P2816" s="31" t="str">
        <f>IF($B2816="","",IF($P2815="",$B2816,MAX($P2815,$B2816)))</f>
        <v/>
      </c>
      <c r="Q2816" s="32" t="str">
        <f>IF($P2816="","",$B2816/$P2816-1)</f>
        <v/>
      </c>
    </row>
    <row r="2817">
      <c r="A2817" s="11" t="n"/>
      <c r="B2817" s="29" t="n"/>
      <c r="K2817" s="30" t="str">
        <f>IF($A2817="","",EDATE($A2817,12*$E$4))</f>
        <v/>
      </c>
      <c r="L2817" s="19" t="str">
        <f>IF($K2817="","",IF($K2817&gt;MAX($A$8:$A$5007),"",IFERROR(MATCH($K2817,$A$8:$A$5007,1),"")))</f>
        <v/>
      </c>
      <c r="M2817" s="30" t="str">
        <f>IF($L2817="","",INDEX($A$8:$A$5007,$L2817))</f>
        <v/>
      </c>
      <c r="N2817" s="31" t="str">
        <f>IF($L2817="","",INDEX($B$8:$B$5007,$L2817))</f>
        <v/>
      </c>
      <c r="O2817" s="32" t="str">
        <f>IF($M2817="","",IF($K2817-$M2817&gt;7,"",IF($M2817&lt;=$A2817,"",IF(OR($B2817&lt;=0,$N2817&lt;=0),"",($N2817/$B2817)^(365/($M2817-$A2817))-1))))</f>
        <v/>
      </c>
      <c r="P2817" s="31" t="str">
        <f>IF($B2817="","",IF($P2816="",$B2817,MAX($P2816,$B2817)))</f>
        <v/>
      </c>
      <c r="Q2817" s="32" t="str">
        <f>IF($P2817="","",$B2817/$P2817-1)</f>
        <v/>
      </c>
    </row>
    <row r="2818">
      <c r="A2818" s="11" t="n"/>
      <c r="B2818" s="29" t="n"/>
      <c r="K2818" s="30" t="str">
        <f>IF($A2818="","",EDATE($A2818,12*$E$4))</f>
        <v/>
      </c>
      <c r="L2818" s="19" t="str">
        <f>IF($K2818="","",IF($K2818&gt;MAX($A$8:$A$5007),"",IFERROR(MATCH($K2818,$A$8:$A$5007,1),"")))</f>
        <v/>
      </c>
      <c r="M2818" s="30" t="str">
        <f>IF($L2818="","",INDEX($A$8:$A$5007,$L2818))</f>
        <v/>
      </c>
      <c r="N2818" s="31" t="str">
        <f>IF($L2818="","",INDEX($B$8:$B$5007,$L2818))</f>
        <v/>
      </c>
      <c r="O2818" s="32" t="str">
        <f>IF($M2818="","",IF($K2818-$M2818&gt;7,"",IF($M2818&lt;=$A2818,"",IF(OR($B2818&lt;=0,$N2818&lt;=0),"",($N2818/$B2818)^(365/($M2818-$A2818))-1))))</f>
        <v/>
      </c>
      <c r="P2818" s="31" t="str">
        <f>IF($B2818="","",IF($P2817="",$B2818,MAX($P2817,$B2818)))</f>
        <v/>
      </c>
      <c r="Q2818" s="32" t="str">
        <f>IF($P2818="","",$B2818/$P2818-1)</f>
        <v/>
      </c>
    </row>
    <row r="2819">
      <c r="A2819" s="11" t="n"/>
      <c r="B2819" s="29" t="n"/>
      <c r="K2819" s="30" t="str">
        <f>IF($A2819="","",EDATE($A2819,12*$E$4))</f>
        <v/>
      </c>
      <c r="L2819" s="19" t="str">
        <f>IF($K2819="","",IF($K2819&gt;MAX($A$8:$A$5007),"",IFERROR(MATCH($K2819,$A$8:$A$5007,1),"")))</f>
        <v/>
      </c>
      <c r="M2819" s="30" t="str">
        <f>IF($L2819="","",INDEX($A$8:$A$5007,$L2819))</f>
        <v/>
      </c>
      <c r="N2819" s="31" t="str">
        <f>IF($L2819="","",INDEX($B$8:$B$5007,$L2819))</f>
        <v/>
      </c>
      <c r="O2819" s="32" t="str">
        <f>IF($M2819="","",IF($K2819-$M2819&gt;7,"",IF($M2819&lt;=$A2819,"",IF(OR($B2819&lt;=0,$N2819&lt;=0),"",($N2819/$B2819)^(365/($M2819-$A2819))-1))))</f>
        <v/>
      </c>
      <c r="P2819" s="31" t="str">
        <f>IF($B2819="","",IF($P2818="",$B2819,MAX($P2818,$B2819)))</f>
        <v/>
      </c>
      <c r="Q2819" s="32" t="str">
        <f>IF($P2819="","",$B2819/$P2819-1)</f>
        <v/>
      </c>
    </row>
    <row r="2820">
      <c r="A2820" s="11" t="n"/>
      <c r="B2820" s="29" t="n"/>
      <c r="K2820" s="30" t="str">
        <f>IF($A2820="","",EDATE($A2820,12*$E$4))</f>
        <v/>
      </c>
      <c r="L2820" s="19" t="str">
        <f>IF($K2820="","",IF($K2820&gt;MAX($A$8:$A$5007),"",IFERROR(MATCH($K2820,$A$8:$A$5007,1),"")))</f>
        <v/>
      </c>
      <c r="M2820" s="30" t="str">
        <f>IF($L2820="","",INDEX($A$8:$A$5007,$L2820))</f>
        <v/>
      </c>
      <c r="N2820" s="31" t="str">
        <f>IF($L2820="","",INDEX($B$8:$B$5007,$L2820))</f>
        <v/>
      </c>
      <c r="O2820" s="32" t="str">
        <f>IF($M2820="","",IF($K2820-$M2820&gt;7,"",IF($M2820&lt;=$A2820,"",IF(OR($B2820&lt;=0,$N2820&lt;=0),"",($N2820/$B2820)^(365/($M2820-$A2820))-1))))</f>
        <v/>
      </c>
      <c r="P2820" s="31" t="str">
        <f>IF($B2820="","",IF($P2819="",$B2820,MAX($P2819,$B2820)))</f>
        <v/>
      </c>
      <c r="Q2820" s="32" t="str">
        <f>IF($P2820="","",$B2820/$P2820-1)</f>
        <v/>
      </c>
    </row>
    <row r="2821">
      <c r="A2821" s="11" t="n"/>
      <c r="B2821" s="29" t="n"/>
      <c r="K2821" s="30" t="str">
        <f>IF($A2821="","",EDATE($A2821,12*$E$4))</f>
        <v/>
      </c>
      <c r="L2821" s="19" t="str">
        <f>IF($K2821="","",IF($K2821&gt;MAX($A$8:$A$5007),"",IFERROR(MATCH($K2821,$A$8:$A$5007,1),"")))</f>
        <v/>
      </c>
      <c r="M2821" s="30" t="str">
        <f>IF($L2821="","",INDEX($A$8:$A$5007,$L2821))</f>
        <v/>
      </c>
      <c r="N2821" s="31" t="str">
        <f>IF($L2821="","",INDEX($B$8:$B$5007,$L2821))</f>
        <v/>
      </c>
      <c r="O2821" s="32" t="str">
        <f>IF($M2821="","",IF($K2821-$M2821&gt;7,"",IF($M2821&lt;=$A2821,"",IF(OR($B2821&lt;=0,$N2821&lt;=0),"",($N2821/$B2821)^(365/($M2821-$A2821))-1))))</f>
        <v/>
      </c>
      <c r="P2821" s="31" t="str">
        <f>IF($B2821="","",IF($P2820="",$B2821,MAX($P2820,$B2821)))</f>
        <v/>
      </c>
      <c r="Q2821" s="32" t="str">
        <f>IF($P2821="","",$B2821/$P2821-1)</f>
        <v/>
      </c>
    </row>
    <row r="2822">
      <c r="A2822" s="11" t="n"/>
      <c r="B2822" s="29" t="n"/>
      <c r="K2822" s="30" t="str">
        <f>IF($A2822="","",EDATE($A2822,12*$E$4))</f>
        <v/>
      </c>
      <c r="L2822" s="19" t="str">
        <f>IF($K2822="","",IF($K2822&gt;MAX($A$8:$A$5007),"",IFERROR(MATCH($K2822,$A$8:$A$5007,1),"")))</f>
        <v/>
      </c>
      <c r="M2822" s="30" t="str">
        <f>IF($L2822="","",INDEX($A$8:$A$5007,$L2822))</f>
        <v/>
      </c>
      <c r="N2822" s="31" t="str">
        <f>IF($L2822="","",INDEX($B$8:$B$5007,$L2822))</f>
        <v/>
      </c>
      <c r="O2822" s="32" t="str">
        <f>IF($M2822="","",IF($K2822-$M2822&gt;7,"",IF($M2822&lt;=$A2822,"",IF(OR($B2822&lt;=0,$N2822&lt;=0),"",($N2822/$B2822)^(365/($M2822-$A2822))-1))))</f>
        <v/>
      </c>
      <c r="P2822" s="31" t="str">
        <f>IF($B2822="","",IF($P2821="",$B2822,MAX($P2821,$B2822)))</f>
        <v/>
      </c>
      <c r="Q2822" s="32" t="str">
        <f>IF($P2822="","",$B2822/$P2822-1)</f>
        <v/>
      </c>
    </row>
    <row r="2823">
      <c r="A2823" s="11" t="n"/>
      <c r="B2823" s="29" t="n"/>
      <c r="K2823" s="30" t="str">
        <f>IF($A2823="","",EDATE($A2823,12*$E$4))</f>
        <v/>
      </c>
      <c r="L2823" s="19" t="str">
        <f>IF($K2823="","",IF($K2823&gt;MAX($A$8:$A$5007),"",IFERROR(MATCH($K2823,$A$8:$A$5007,1),"")))</f>
        <v/>
      </c>
      <c r="M2823" s="30" t="str">
        <f>IF($L2823="","",INDEX($A$8:$A$5007,$L2823))</f>
        <v/>
      </c>
      <c r="N2823" s="31" t="str">
        <f>IF($L2823="","",INDEX($B$8:$B$5007,$L2823))</f>
        <v/>
      </c>
      <c r="O2823" s="32" t="str">
        <f>IF($M2823="","",IF($K2823-$M2823&gt;7,"",IF($M2823&lt;=$A2823,"",IF(OR($B2823&lt;=0,$N2823&lt;=0),"",($N2823/$B2823)^(365/($M2823-$A2823))-1))))</f>
        <v/>
      </c>
      <c r="P2823" s="31" t="str">
        <f>IF($B2823="","",IF($P2822="",$B2823,MAX($P2822,$B2823)))</f>
        <v/>
      </c>
      <c r="Q2823" s="32" t="str">
        <f>IF($P2823="","",$B2823/$P2823-1)</f>
        <v/>
      </c>
    </row>
    <row r="2824">
      <c r="A2824" s="11" t="n"/>
      <c r="B2824" s="29" t="n"/>
      <c r="K2824" s="30" t="str">
        <f>IF($A2824="","",EDATE($A2824,12*$E$4))</f>
        <v/>
      </c>
      <c r="L2824" s="19" t="str">
        <f>IF($K2824="","",IF($K2824&gt;MAX($A$8:$A$5007),"",IFERROR(MATCH($K2824,$A$8:$A$5007,1),"")))</f>
        <v/>
      </c>
      <c r="M2824" s="30" t="str">
        <f>IF($L2824="","",INDEX($A$8:$A$5007,$L2824))</f>
        <v/>
      </c>
      <c r="N2824" s="31" t="str">
        <f>IF($L2824="","",INDEX($B$8:$B$5007,$L2824))</f>
        <v/>
      </c>
      <c r="O2824" s="32" t="str">
        <f>IF($M2824="","",IF($K2824-$M2824&gt;7,"",IF($M2824&lt;=$A2824,"",IF(OR($B2824&lt;=0,$N2824&lt;=0),"",($N2824/$B2824)^(365/($M2824-$A2824))-1))))</f>
        <v/>
      </c>
      <c r="P2824" s="31" t="str">
        <f>IF($B2824="","",IF($P2823="",$B2824,MAX($P2823,$B2824)))</f>
        <v/>
      </c>
      <c r="Q2824" s="32" t="str">
        <f>IF($P2824="","",$B2824/$P2824-1)</f>
        <v/>
      </c>
    </row>
    <row r="2825">
      <c r="A2825" s="11" t="n"/>
      <c r="B2825" s="29" t="n"/>
      <c r="K2825" s="30" t="str">
        <f>IF($A2825="","",EDATE($A2825,12*$E$4))</f>
        <v/>
      </c>
      <c r="L2825" s="19" t="str">
        <f>IF($K2825="","",IF($K2825&gt;MAX($A$8:$A$5007),"",IFERROR(MATCH($K2825,$A$8:$A$5007,1),"")))</f>
        <v/>
      </c>
      <c r="M2825" s="30" t="str">
        <f>IF($L2825="","",INDEX($A$8:$A$5007,$L2825))</f>
        <v/>
      </c>
      <c r="N2825" s="31" t="str">
        <f>IF($L2825="","",INDEX($B$8:$B$5007,$L2825))</f>
        <v/>
      </c>
      <c r="O2825" s="32" t="str">
        <f>IF($M2825="","",IF($K2825-$M2825&gt;7,"",IF($M2825&lt;=$A2825,"",IF(OR($B2825&lt;=0,$N2825&lt;=0),"",($N2825/$B2825)^(365/($M2825-$A2825))-1))))</f>
        <v/>
      </c>
      <c r="P2825" s="31" t="str">
        <f>IF($B2825="","",IF($P2824="",$B2825,MAX($P2824,$B2825)))</f>
        <v/>
      </c>
      <c r="Q2825" s="32" t="str">
        <f>IF($P2825="","",$B2825/$P2825-1)</f>
        <v/>
      </c>
    </row>
    <row r="2826">
      <c r="A2826" s="11" t="n"/>
      <c r="B2826" s="29" t="n"/>
      <c r="K2826" s="30" t="str">
        <f>IF($A2826="","",EDATE($A2826,12*$E$4))</f>
        <v/>
      </c>
      <c r="L2826" s="19" t="str">
        <f>IF($K2826="","",IF($K2826&gt;MAX($A$8:$A$5007),"",IFERROR(MATCH($K2826,$A$8:$A$5007,1),"")))</f>
        <v/>
      </c>
      <c r="M2826" s="30" t="str">
        <f>IF($L2826="","",INDEX($A$8:$A$5007,$L2826))</f>
        <v/>
      </c>
      <c r="N2826" s="31" t="str">
        <f>IF($L2826="","",INDEX($B$8:$B$5007,$L2826))</f>
        <v/>
      </c>
      <c r="O2826" s="32" t="str">
        <f>IF($M2826="","",IF($K2826-$M2826&gt;7,"",IF($M2826&lt;=$A2826,"",IF(OR($B2826&lt;=0,$N2826&lt;=0),"",($N2826/$B2826)^(365/($M2826-$A2826))-1))))</f>
        <v/>
      </c>
      <c r="P2826" s="31" t="str">
        <f>IF($B2826="","",IF($P2825="",$B2826,MAX($P2825,$B2826)))</f>
        <v/>
      </c>
      <c r="Q2826" s="32" t="str">
        <f>IF($P2826="","",$B2826/$P2826-1)</f>
        <v/>
      </c>
    </row>
    <row r="2827">
      <c r="A2827" s="11" t="n"/>
      <c r="B2827" s="29" t="n"/>
      <c r="K2827" s="30" t="str">
        <f>IF($A2827="","",EDATE($A2827,12*$E$4))</f>
        <v/>
      </c>
      <c r="L2827" s="19" t="str">
        <f>IF($K2827="","",IF($K2827&gt;MAX($A$8:$A$5007),"",IFERROR(MATCH($K2827,$A$8:$A$5007,1),"")))</f>
        <v/>
      </c>
      <c r="M2827" s="30" t="str">
        <f>IF($L2827="","",INDEX($A$8:$A$5007,$L2827))</f>
        <v/>
      </c>
      <c r="N2827" s="31" t="str">
        <f>IF($L2827="","",INDEX($B$8:$B$5007,$L2827))</f>
        <v/>
      </c>
      <c r="O2827" s="32" t="str">
        <f>IF($M2827="","",IF($K2827-$M2827&gt;7,"",IF($M2827&lt;=$A2827,"",IF(OR($B2827&lt;=0,$N2827&lt;=0),"",($N2827/$B2827)^(365/($M2827-$A2827))-1))))</f>
        <v/>
      </c>
      <c r="P2827" s="31" t="str">
        <f>IF($B2827="","",IF($P2826="",$B2827,MAX($P2826,$B2827)))</f>
        <v/>
      </c>
      <c r="Q2827" s="32" t="str">
        <f>IF($P2827="","",$B2827/$P2827-1)</f>
        <v/>
      </c>
    </row>
    <row r="2828">
      <c r="A2828" s="11" t="n"/>
      <c r="B2828" s="29" t="n"/>
      <c r="K2828" s="30" t="str">
        <f>IF($A2828="","",EDATE($A2828,12*$E$4))</f>
        <v/>
      </c>
      <c r="L2828" s="19" t="str">
        <f>IF($K2828="","",IF($K2828&gt;MAX($A$8:$A$5007),"",IFERROR(MATCH($K2828,$A$8:$A$5007,1),"")))</f>
        <v/>
      </c>
      <c r="M2828" s="30" t="str">
        <f>IF($L2828="","",INDEX($A$8:$A$5007,$L2828))</f>
        <v/>
      </c>
      <c r="N2828" s="31" t="str">
        <f>IF($L2828="","",INDEX($B$8:$B$5007,$L2828))</f>
        <v/>
      </c>
      <c r="O2828" s="32" t="str">
        <f>IF($M2828="","",IF($K2828-$M2828&gt;7,"",IF($M2828&lt;=$A2828,"",IF(OR($B2828&lt;=0,$N2828&lt;=0),"",($N2828/$B2828)^(365/($M2828-$A2828))-1))))</f>
        <v/>
      </c>
      <c r="P2828" s="31" t="str">
        <f>IF($B2828="","",IF($P2827="",$B2828,MAX($P2827,$B2828)))</f>
        <v/>
      </c>
      <c r="Q2828" s="32" t="str">
        <f>IF($P2828="","",$B2828/$P2828-1)</f>
        <v/>
      </c>
    </row>
    <row r="2829">
      <c r="A2829" s="11" t="n"/>
      <c r="B2829" s="29" t="n"/>
      <c r="K2829" s="30" t="str">
        <f>IF($A2829="","",EDATE($A2829,12*$E$4))</f>
        <v/>
      </c>
      <c r="L2829" s="19" t="str">
        <f>IF($K2829="","",IF($K2829&gt;MAX($A$8:$A$5007),"",IFERROR(MATCH($K2829,$A$8:$A$5007,1),"")))</f>
        <v/>
      </c>
      <c r="M2829" s="30" t="str">
        <f>IF($L2829="","",INDEX($A$8:$A$5007,$L2829))</f>
        <v/>
      </c>
      <c r="N2829" s="31" t="str">
        <f>IF($L2829="","",INDEX($B$8:$B$5007,$L2829))</f>
        <v/>
      </c>
      <c r="O2829" s="32" t="str">
        <f>IF($M2829="","",IF($K2829-$M2829&gt;7,"",IF($M2829&lt;=$A2829,"",IF(OR($B2829&lt;=0,$N2829&lt;=0),"",($N2829/$B2829)^(365/($M2829-$A2829))-1))))</f>
        <v/>
      </c>
      <c r="P2829" s="31" t="str">
        <f>IF($B2829="","",IF($P2828="",$B2829,MAX($P2828,$B2829)))</f>
        <v/>
      </c>
      <c r="Q2829" s="32" t="str">
        <f>IF($P2829="","",$B2829/$P2829-1)</f>
        <v/>
      </c>
    </row>
    <row r="2830">
      <c r="A2830" s="11" t="n"/>
      <c r="B2830" s="29" t="n"/>
      <c r="K2830" s="30" t="str">
        <f>IF($A2830="","",EDATE($A2830,12*$E$4))</f>
        <v/>
      </c>
      <c r="L2830" s="19" t="str">
        <f>IF($K2830="","",IF($K2830&gt;MAX($A$8:$A$5007),"",IFERROR(MATCH($K2830,$A$8:$A$5007,1),"")))</f>
        <v/>
      </c>
      <c r="M2830" s="30" t="str">
        <f>IF($L2830="","",INDEX($A$8:$A$5007,$L2830))</f>
        <v/>
      </c>
      <c r="N2830" s="31" t="str">
        <f>IF($L2830="","",INDEX($B$8:$B$5007,$L2830))</f>
        <v/>
      </c>
      <c r="O2830" s="32" t="str">
        <f>IF($M2830="","",IF($K2830-$M2830&gt;7,"",IF($M2830&lt;=$A2830,"",IF(OR($B2830&lt;=0,$N2830&lt;=0),"",($N2830/$B2830)^(365/($M2830-$A2830))-1))))</f>
        <v/>
      </c>
      <c r="P2830" s="31" t="str">
        <f>IF($B2830="","",IF($P2829="",$B2830,MAX($P2829,$B2830)))</f>
        <v/>
      </c>
      <c r="Q2830" s="32" t="str">
        <f>IF($P2830="","",$B2830/$P2830-1)</f>
        <v/>
      </c>
    </row>
    <row r="2831">
      <c r="A2831" s="11" t="n"/>
      <c r="B2831" s="29" t="n"/>
      <c r="K2831" s="30" t="str">
        <f>IF($A2831="","",EDATE($A2831,12*$E$4))</f>
        <v/>
      </c>
      <c r="L2831" s="19" t="str">
        <f>IF($K2831="","",IF($K2831&gt;MAX($A$8:$A$5007),"",IFERROR(MATCH($K2831,$A$8:$A$5007,1),"")))</f>
        <v/>
      </c>
      <c r="M2831" s="30" t="str">
        <f>IF($L2831="","",INDEX($A$8:$A$5007,$L2831))</f>
        <v/>
      </c>
      <c r="N2831" s="31" t="str">
        <f>IF($L2831="","",INDEX($B$8:$B$5007,$L2831))</f>
        <v/>
      </c>
      <c r="O2831" s="32" t="str">
        <f>IF($M2831="","",IF($K2831-$M2831&gt;7,"",IF($M2831&lt;=$A2831,"",IF(OR($B2831&lt;=0,$N2831&lt;=0),"",($N2831/$B2831)^(365/($M2831-$A2831))-1))))</f>
        <v/>
      </c>
      <c r="P2831" s="31" t="str">
        <f>IF($B2831="","",IF($P2830="",$B2831,MAX($P2830,$B2831)))</f>
        <v/>
      </c>
      <c r="Q2831" s="32" t="str">
        <f>IF($P2831="","",$B2831/$P2831-1)</f>
        <v/>
      </c>
    </row>
    <row r="2832">
      <c r="A2832" s="11" t="n"/>
      <c r="B2832" s="29" t="n"/>
      <c r="K2832" s="30" t="str">
        <f>IF($A2832="","",EDATE($A2832,12*$E$4))</f>
        <v/>
      </c>
      <c r="L2832" s="19" t="str">
        <f>IF($K2832="","",IF($K2832&gt;MAX($A$8:$A$5007),"",IFERROR(MATCH($K2832,$A$8:$A$5007,1),"")))</f>
        <v/>
      </c>
      <c r="M2832" s="30" t="str">
        <f>IF($L2832="","",INDEX($A$8:$A$5007,$L2832))</f>
        <v/>
      </c>
      <c r="N2832" s="31" t="str">
        <f>IF($L2832="","",INDEX($B$8:$B$5007,$L2832))</f>
        <v/>
      </c>
      <c r="O2832" s="32" t="str">
        <f>IF($M2832="","",IF($K2832-$M2832&gt;7,"",IF($M2832&lt;=$A2832,"",IF(OR($B2832&lt;=0,$N2832&lt;=0),"",($N2832/$B2832)^(365/($M2832-$A2832))-1))))</f>
        <v/>
      </c>
      <c r="P2832" s="31" t="str">
        <f>IF($B2832="","",IF($P2831="",$B2832,MAX($P2831,$B2832)))</f>
        <v/>
      </c>
      <c r="Q2832" s="32" t="str">
        <f>IF($P2832="","",$B2832/$P2832-1)</f>
        <v/>
      </c>
    </row>
    <row r="2833">
      <c r="A2833" s="11" t="n"/>
      <c r="B2833" s="29" t="n"/>
      <c r="K2833" s="30" t="str">
        <f>IF($A2833="","",EDATE($A2833,12*$E$4))</f>
        <v/>
      </c>
      <c r="L2833" s="19" t="str">
        <f>IF($K2833="","",IF($K2833&gt;MAX($A$8:$A$5007),"",IFERROR(MATCH($K2833,$A$8:$A$5007,1),"")))</f>
        <v/>
      </c>
      <c r="M2833" s="30" t="str">
        <f>IF($L2833="","",INDEX($A$8:$A$5007,$L2833))</f>
        <v/>
      </c>
      <c r="N2833" s="31" t="str">
        <f>IF($L2833="","",INDEX($B$8:$B$5007,$L2833))</f>
        <v/>
      </c>
      <c r="O2833" s="32" t="str">
        <f>IF($M2833="","",IF($K2833-$M2833&gt;7,"",IF($M2833&lt;=$A2833,"",IF(OR($B2833&lt;=0,$N2833&lt;=0),"",($N2833/$B2833)^(365/($M2833-$A2833))-1))))</f>
        <v/>
      </c>
      <c r="P2833" s="31" t="str">
        <f>IF($B2833="","",IF($P2832="",$B2833,MAX($P2832,$B2833)))</f>
        <v/>
      </c>
      <c r="Q2833" s="32" t="str">
        <f>IF($P2833="","",$B2833/$P2833-1)</f>
        <v/>
      </c>
    </row>
    <row r="2834">
      <c r="A2834" s="11" t="n"/>
      <c r="B2834" s="29" t="n"/>
      <c r="K2834" s="30" t="str">
        <f>IF($A2834="","",EDATE($A2834,12*$E$4))</f>
        <v/>
      </c>
      <c r="L2834" s="19" t="str">
        <f>IF($K2834="","",IF($K2834&gt;MAX($A$8:$A$5007),"",IFERROR(MATCH($K2834,$A$8:$A$5007,1),"")))</f>
        <v/>
      </c>
      <c r="M2834" s="30" t="str">
        <f>IF($L2834="","",INDEX($A$8:$A$5007,$L2834))</f>
        <v/>
      </c>
      <c r="N2834" s="31" t="str">
        <f>IF($L2834="","",INDEX($B$8:$B$5007,$L2834))</f>
        <v/>
      </c>
      <c r="O2834" s="32" t="str">
        <f>IF($M2834="","",IF($K2834-$M2834&gt;7,"",IF($M2834&lt;=$A2834,"",IF(OR($B2834&lt;=0,$N2834&lt;=0),"",($N2834/$B2834)^(365/($M2834-$A2834))-1))))</f>
        <v/>
      </c>
      <c r="P2834" s="31" t="str">
        <f>IF($B2834="","",IF($P2833="",$B2834,MAX($P2833,$B2834)))</f>
        <v/>
      </c>
      <c r="Q2834" s="32" t="str">
        <f>IF($P2834="","",$B2834/$P2834-1)</f>
        <v/>
      </c>
    </row>
    <row r="2835">
      <c r="A2835" s="11" t="n"/>
      <c r="B2835" s="29" t="n"/>
      <c r="K2835" s="30" t="str">
        <f>IF($A2835="","",EDATE($A2835,12*$E$4))</f>
        <v/>
      </c>
      <c r="L2835" s="19" t="str">
        <f>IF($K2835="","",IF($K2835&gt;MAX($A$8:$A$5007),"",IFERROR(MATCH($K2835,$A$8:$A$5007,1),"")))</f>
        <v/>
      </c>
      <c r="M2835" s="30" t="str">
        <f>IF($L2835="","",INDEX($A$8:$A$5007,$L2835))</f>
        <v/>
      </c>
      <c r="N2835" s="31" t="str">
        <f>IF($L2835="","",INDEX($B$8:$B$5007,$L2835))</f>
        <v/>
      </c>
      <c r="O2835" s="32" t="str">
        <f>IF($M2835="","",IF($K2835-$M2835&gt;7,"",IF($M2835&lt;=$A2835,"",IF(OR($B2835&lt;=0,$N2835&lt;=0),"",($N2835/$B2835)^(365/($M2835-$A2835))-1))))</f>
        <v/>
      </c>
      <c r="P2835" s="31" t="str">
        <f>IF($B2835="","",IF($P2834="",$B2835,MAX($P2834,$B2835)))</f>
        <v/>
      </c>
      <c r="Q2835" s="32" t="str">
        <f>IF($P2835="","",$B2835/$P2835-1)</f>
        <v/>
      </c>
    </row>
    <row r="2836">
      <c r="A2836" s="11" t="n"/>
      <c r="B2836" s="29" t="n"/>
      <c r="K2836" s="30" t="str">
        <f>IF($A2836="","",EDATE($A2836,12*$E$4))</f>
        <v/>
      </c>
      <c r="L2836" s="19" t="str">
        <f>IF($K2836="","",IF($K2836&gt;MAX($A$8:$A$5007),"",IFERROR(MATCH($K2836,$A$8:$A$5007,1),"")))</f>
        <v/>
      </c>
      <c r="M2836" s="30" t="str">
        <f>IF($L2836="","",INDEX($A$8:$A$5007,$L2836))</f>
        <v/>
      </c>
      <c r="N2836" s="31" t="str">
        <f>IF($L2836="","",INDEX($B$8:$B$5007,$L2836))</f>
        <v/>
      </c>
      <c r="O2836" s="32" t="str">
        <f>IF($M2836="","",IF($K2836-$M2836&gt;7,"",IF($M2836&lt;=$A2836,"",IF(OR($B2836&lt;=0,$N2836&lt;=0),"",($N2836/$B2836)^(365/($M2836-$A2836))-1))))</f>
        <v/>
      </c>
      <c r="P2836" s="31" t="str">
        <f>IF($B2836="","",IF($P2835="",$B2836,MAX($P2835,$B2836)))</f>
        <v/>
      </c>
      <c r="Q2836" s="32" t="str">
        <f>IF($P2836="","",$B2836/$P2836-1)</f>
        <v/>
      </c>
    </row>
    <row r="2837">
      <c r="A2837" s="11" t="n"/>
      <c r="B2837" s="29" t="n"/>
      <c r="K2837" s="30" t="str">
        <f>IF($A2837="","",EDATE($A2837,12*$E$4))</f>
        <v/>
      </c>
      <c r="L2837" s="19" t="str">
        <f>IF($K2837="","",IF($K2837&gt;MAX($A$8:$A$5007),"",IFERROR(MATCH($K2837,$A$8:$A$5007,1),"")))</f>
        <v/>
      </c>
      <c r="M2837" s="30" t="str">
        <f>IF($L2837="","",INDEX($A$8:$A$5007,$L2837))</f>
        <v/>
      </c>
      <c r="N2837" s="31" t="str">
        <f>IF($L2837="","",INDEX($B$8:$B$5007,$L2837))</f>
        <v/>
      </c>
      <c r="O2837" s="32" t="str">
        <f>IF($M2837="","",IF($K2837-$M2837&gt;7,"",IF($M2837&lt;=$A2837,"",IF(OR($B2837&lt;=0,$N2837&lt;=0),"",($N2837/$B2837)^(365/($M2837-$A2837))-1))))</f>
        <v/>
      </c>
      <c r="P2837" s="31" t="str">
        <f>IF($B2837="","",IF($P2836="",$B2837,MAX($P2836,$B2837)))</f>
        <v/>
      </c>
      <c r="Q2837" s="32" t="str">
        <f>IF($P2837="","",$B2837/$P2837-1)</f>
        <v/>
      </c>
    </row>
    <row r="2838">
      <c r="A2838" s="11" t="n"/>
      <c r="B2838" s="29" t="n"/>
      <c r="K2838" s="30" t="str">
        <f>IF($A2838="","",EDATE($A2838,12*$E$4))</f>
        <v/>
      </c>
      <c r="L2838" s="19" t="str">
        <f>IF($K2838="","",IF($K2838&gt;MAX($A$8:$A$5007),"",IFERROR(MATCH($K2838,$A$8:$A$5007,1),"")))</f>
        <v/>
      </c>
      <c r="M2838" s="30" t="str">
        <f>IF($L2838="","",INDEX($A$8:$A$5007,$L2838))</f>
        <v/>
      </c>
      <c r="N2838" s="31" t="str">
        <f>IF($L2838="","",INDEX($B$8:$B$5007,$L2838))</f>
        <v/>
      </c>
      <c r="O2838" s="32" t="str">
        <f>IF($M2838="","",IF($K2838-$M2838&gt;7,"",IF($M2838&lt;=$A2838,"",IF(OR($B2838&lt;=0,$N2838&lt;=0),"",($N2838/$B2838)^(365/($M2838-$A2838))-1))))</f>
        <v/>
      </c>
      <c r="P2838" s="31" t="str">
        <f>IF($B2838="","",IF($P2837="",$B2838,MAX($P2837,$B2838)))</f>
        <v/>
      </c>
      <c r="Q2838" s="32" t="str">
        <f>IF($P2838="","",$B2838/$P2838-1)</f>
        <v/>
      </c>
    </row>
    <row r="2839">
      <c r="A2839" s="11" t="n"/>
      <c r="B2839" s="29" t="n"/>
      <c r="K2839" s="30" t="str">
        <f>IF($A2839="","",EDATE($A2839,12*$E$4))</f>
        <v/>
      </c>
      <c r="L2839" s="19" t="str">
        <f>IF($K2839="","",IF($K2839&gt;MAX($A$8:$A$5007),"",IFERROR(MATCH($K2839,$A$8:$A$5007,1),"")))</f>
        <v/>
      </c>
      <c r="M2839" s="30" t="str">
        <f>IF($L2839="","",INDEX($A$8:$A$5007,$L2839))</f>
        <v/>
      </c>
      <c r="N2839" s="31" t="str">
        <f>IF($L2839="","",INDEX($B$8:$B$5007,$L2839))</f>
        <v/>
      </c>
      <c r="O2839" s="32" t="str">
        <f>IF($M2839="","",IF($K2839-$M2839&gt;7,"",IF($M2839&lt;=$A2839,"",IF(OR($B2839&lt;=0,$N2839&lt;=0),"",($N2839/$B2839)^(365/($M2839-$A2839))-1))))</f>
        <v/>
      </c>
      <c r="P2839" s="31" t="str">
        <f>IF($B2839="","",IF($P2838="",$B2839,MAX($P2838,$B2839)))</f>
        <v/>
      </c>
      <c r="Q2839" s="32" t="str">
        <f>IF($P2839="","",$B2839/$P2839-1)</f>
        <v/>
      </c>
    </row>
    <row r="2840">
      <c r="A2840" s="11" t="n"/>
      <c r="B2840" s="29" t="n"/>
      <c r="K2840" s="30" t="str">
        <f>IF($A2840="","",EDATE($A2840,12*$E$4))</f>
        <v/>
      </c>
      <c r="L2840" s="19" t="str">
        <f>IF($K2840="","",IF($K2840&gt;MAX($A$8:$A$5007),"",IFERROR(MATCH($K2840,$A$8:$A$5007,1),"")))</f>
        <v/>
      </c>
      <c r="M2840" s="30" t="str">
        <f>IF($L2840="","",INDEX($A$8:$A$5007,$L2840))</f>
        <v/>
      </c>
      <c r="N2840" s="31" t="str">
        <f>IF($L2840="","",INDEX($B$8:$B$5007,$L2840))</f>
        <v/>
      </c>
      <c r="O2840" s="32" t="str">
        <f>IF($M2840="","",IF($K2840-$M2840&gt;7,"",IF($M2840&lt;=$A2840,"",IF(OR($B2840&lt;=0,$N2840&lt;=0),"",($N2840/$B2840)^(365/($M2840-$A2840))-1))))</f>
        <v/>
      </c>
      <c r="P2840" s="31" t="str">
        <f>IF($B2840="","",IF($P2839="",$B2840,MAX($P2839,$B2840)))</f>
        <v/>
      </c>
      <c r="Q2840" s="32" t="str">
        <f>IF($P2840="","",$B2840/$P2840-1)</f>
        <v/>
      </c>
    </row>
    <row r="2841">
      <c r="A2841" s="11" t="n"/>
      <c r="B2841" s="29" t="n"/>
      <c r="K2841" s="30" t="str">
        <f>IF($A2841="","",EDATE($A2841,12*$E$4))</f>
        <v/>
      </c>
      <c r="L2841" s="19" t="str">
        <f>IF($K2841="","",IF($K2841&gt;MAX($A$8:$A$5007),"",IFERROR(MATCH($K2841,$A$8:$A$5007,1),"")))</f>
        <v/>
      </c>
      <c r="M2841" s="30" t="str">
        <f>IF($L2841="","",INDEX($A$8:$A$5007,$L2841))</f>
        <v/>
      </c>
      <c r="N2841" s="31" t="str">
        <f>IF($L2841="","",INDEX($B$8:$B$5007,$L2841))</f>
        <v/>
      </c>
      <c r="O2841" s="32" t="str">
        <f>IF($M2841="","",IF($K2841-$M2841&gt;7,"",IF($M2841&lt;=$A2841,"",IF(OR($B2841&lt;=0,$N2841&lt;=0),"",($N2841/$B2841)^(365/($M2841-$A2841))-1))))</f>
        <v/>
      </c>
      <c r="P2841" s="31" t="str">
        <f>IF($B2841="","",IF($P2840="",$B2841,MAX($P2840,$B2841)))</f>
        <v/>
      </c>
      <c r="Q2841" s="32" t="str">
        <f>IF($P2841="","",$B2841/$P2841-1)</f>
        <v/>
      </c>
    </row>
    <row r="2842">
      <c r="A2842" s="11" t="n"/>
      <c r="B2842" s="29" t="n"/>
      <c r="K2842" s="30" t="str">
        <f>IF($A2842="","",EDATE($A2842,12*$E$4))</f>
        <v/>
      </c>
      <c r="L2842" s="19" t="str">
        <f>IF($K2842="","",IF($K2842&gt;MAX($A$8:$A$5007),"",IFERROR(MATCH($K2842,$A$8:$A$5007,1),"")))</f>
        <v/>
      </c>
      <c r="M2842" s="30" t="str">
        <f>IF($L2842="","",INDEX($A$8:$A$5007,$L2842))</f>
        <v/>
      </c>
      <c r="N2842" s="31" t="str">
        <f>IF($L2842="","",INDEX($B$8:$B$5007,$L2842))</f>
        <v/>
      </c>
      <c r="O2842" s="32" t="str">
        <f>IF($M2842="","",IF($K2842-$M2842&gt;7,"",IF($M2842&lt;=$A2842,"",IF(OR($B2842&lt;=0,$N2842&lt;=0),"",($N2842/$B2842)^(365/($M2842-$A2842))-1))))</f>
        <v/>
      </c>
      <c r="P2842" s="31" t="str">
        <f>IF($B2842="","",IF($P2841="",$B2842,MAX($P2841,$B2842)))</f>
        <v/>
      </c>
      <c r="Q2842" s="32" t="str">
        <f>IF($P2842="","",$B2842/$P2842-1)</f>
        <v/>
      </c>
    </row>
    <row r="2843">
      <c r="A2843" s="11" t="n"/>
      <c r="B2843" s="29" t="n"/>
      <c r="K2843" s="30" t="str">
        <f>IF($A2843="","",EDATE($A2843,12*$E$4))</f>
        <v/>
      </c>
      <c r="L2843" s="19" t="str">
        <f>IF($K2843="","",IF($K2843&gt;MAX($A$8:$A$5007),"",IFERROR(MATCH($K2843,$A$8:$A$5007,1),"")))</f>
        <v/>
      </c>
      <c r="M2843" s="30" t="str">
        <f>IF($L2843="","",INDEX($A$8:$A$5007,$L2843))</f>
        <v/>
      </c>
      <c r="N2843" s="31" t="str">
        <f>IF($L2843="","",INDEX($B$8:$B$5007,$L2843))</f>
        <v/>
      </c>
      <c r="O2843" s="32" t="str">
        <f>IF($M2843="","",IF($K2843-$M2843&gt;7,"",IF($M2843&lt;=$A2843,"",IF(OR($B2843&lt;=0,$N2843&lt;=0),"",($N2843/$B2843)^(365/($M2843-$A2843))-1))))</f>
        <v/>
      </c>
      <c r="P2843" s="31" t="str">
        <f>IF($B2843="","",IF($P2842="",$B2843,MAX($P2842,$B2843)))</f>
        <v/>
      </c>
      <c r="Q2843" s="32" t="str">
        <f>IF($P2843="","",$B2843/$P2843-1)</f>
        <v/>
      </c>
    </row>
    <row r="2844">
      <c r="A2844" s="11" t="n"/>
      <c r="B2844" s="29" t="n"/>
      <c r="K2844" s="30" t="str">
        <f>IF($A2844="","",EDATE($A2844,12*$E$4))</f>
        <v/>
      </c>
      <c r="L2844" s="19" t="str">
        <f>IF($K2844="","",IF($K2844&gt;MAX($A$8:$A$5007),"",IFERROR(MATCH($K2844,$A$8:$A$5007,1),"")))</f>
        <v/>
      </c>
      <c r="M2844" s="30" t="str">
        <f>IF($L2844="","",INDEX($A$8:$A$5007,$L2844))</f>
        <v/>
      </c>
      <c r="N2844" s="31" t="str">
        <f>IF($L2844="","",INDEX($B$8:$B$5007,$L2844))</f>
        <v/>
      </c>
      <c r="O2844" s="32" t="str">
        <f>IF($M2844="","",IF($K2844-$M2844&gt;7,"",IF($M2844&lt;=$A2844,"",IF(OR($B2844&lt;=0,$N2844&lt;=0),"",($N2844/$B2844)^(365/($M2844-$A2844))-1))))</f>
        <v/>
      </c>
      <c r="P2844" s="31" t="str">
        <f>IF($B2844="","",IF($P2843="",$B2844,MAX($P2843,$B2844)))</f>
        <v/>
      </c>
      <c r="Q2844" s="32" t="str">
        <f>IF($P2844="","",$B2844/$P2844-1)</f>
        <v/>
      </c>
    </row>
    <row r="2845">
      <c r="A2845" s="11" t="n"/>
      <c r="B2845" s="29" t="n"/>
      <c r="K2845" s="30" t="str">
        <f>IF($A2845="","",EDATE($A2845,12*$E$4))</f>
        <v/>
      </c>
      <c r="L2845" s="19" t="str">
        <f>IF($K2845="","",IF($K2845&gt;MAX($A$8:$A$5007),"",IFERROR(MATCH($K2845,$A$8:$A$5007,1),"")))</f>
        <v/>
      </c>
      <c r="M2845" s="30" t="str">
        <f>IF($L2845="","",INDEX($A$8:$A$5007,$L2845))</f>
        <v/>
      </c>
      <c r="N2845" s="31" t="str">
        <f>IF($L2845="","",INDEX($B$8:$B$5007,$L2845))</f>
        <v/>
      </c>
      <c r="O2845" s="32" t="str">
        <f>IF($M2845="","",IF($K2845-$M2845&gt;7,"",IF($M2845&lt;=$A2845,"",IF(OR($B2845&lt;=0,$N2845&lt;=0),"",($N2845/$B2845)^(365/($M2845-$A2845))-1))))</f>
        <v/>
      </c>
      <c r="P2845" s="31" t="str">
        <f>IF($B2845="","",IF($P2844="",$B2845,MAX($P2844,$B2845)))</f>
        <v/>
      </c>
      <c r="Q2845" s="32" t="str">
        <f>IF($P2845="","",$B2845/$P2845-1)</f>
        <v/>
      </c>
    </row>
    <row r="2846">
      <c r="A2846" s="11" t="n"/>
      <c r="B2846" s="29" t="n"/>
      <c r="K2846" s="30" t="str">
        <f>IF($A2846="","",EDATE($A2846,12*$E$4))</f>
        <v/>
      </c>
      <c r="L2846" s="19" t="str">
        <f>IF($K2846="","",IF($K2846&gt;MAX($A$8:$A$5007),"",IFERROR(MATCH($K2846,$A$8:$A$5007,1),"")))</f>
        <v/>
      </c>
      <c r="M2846" s="30" t="str">
        <f>IF($L2846="","",INDEX($A$8:$A$5007,$L2846))</f>
        <v/>
      </c>
      <c r="N2846" s="31" t="str">
        <f>IF($L2846="","",INDEX($B$8:$B$5007,$L2846))</f>
        <v/>
      </c>
      <c r="O2846" s="32" t="str">
        <f>IF($M2846="","",IF($K2846-$M2846&gt;7,"",IF($M2846&lt;=$A2846,"",IF(OR($B2846&lt;=0,$N2846&lt;=0),"",($N2846/$B2846)^(365/($M2846-$A2846))-1))))</f>
        <v/>
      </c>
      <c r="P2846" s="31" t="str">
        <f>IF($B2846="","",IF($P2845="",$B2846,MAX($P2845,$B2846)))</f>
        <v/>
      </c>
      <c r="Q2846" s="32" t="str">
        <f>IF($P2846="","",$B2846/$P2846-1)</f>
        <v/>
      </c>
    </row>
    <row r="2847">
      <c r="A2847" s="11" t="n"/>
      <c r="B2847" s="29" t="n"/>
      <c r="K2847" s="30" t="str">
        <f>IF($A2847="","",EDATE($A2847,12*$E$4))</f>
        <v/>
      </c>
      <c r="L2847" s="19" t="str">
        <f>IF($K2847="","",IF($K2847&gt;MAX($A$8:$A$5007),"",IFERROR(MATCH($K2847,$A$8:$A$5007,1),"")))</f>
        <v/>
      </c>
      <c r="M2847" s="30" t="str">
        <f>IF($L2847="","",INDEX($A$8:$A$5007,$L2847))</f>
        <v/>
      </c>
      <c r="N2847" s="31" t="str">
        <f>IF($L2847="","",INDEX($B$8:$B$5007,$L2847))</f>
        <v/>
      </c>
      <c r="O2847" s="32" t="str">
        <f>IF($M2847="","",IF($K2847-$M2847&gt;7,"",IF($M2847&lt;=$A2847,"",IF(OR($B2847&lt;=0,$N2847&lt;=0),"",($N2847/$B2847)^(365/($M2847-$A2847))-1))))</f>
        <v/>
      </c>
      <c r="P2847" s="31" t="str">
        <f>IF($B2847="","",IF($P2846="",$B2847,MAX($P2846,$B2847)))</f>
        <v/>
      </c>
      <c r="Q2847" s="32" t="str">
        <f>IF($P2847="","",$B2847/$P2847-1)</f>
        <v/>
      </c>
    </row>
    <row r="2848">
      <c r="A2848" s="11" t="n"/>
      <c r="B2848" s="29" t="n"/>
      <c r="K2848" s="30" t="str">
        <f>IF($A2848="","",EDATE($A2848,12*$E$4))</f>
        <v/>
      </c>
      <c r="L2848" s="19" t="str">
        <f>IF($K2848="","",IF($K2848&gt;MAX($A$8:$A$5007),"",IFERROR(MATCH($K2848,$A$8:$A$5007,1),"")))</f>
        <v/>
      </c>
      <c r="M2848" s="30" t="str">
        <f>IF($L2848="","",INDEX($A$8:$A$5007,$L2848))</f>
        <v/>
      </c>
      <c r="N2848" s="31" t="str">
        <f>IF($L2848="","",INDEX($B$8:$B$5007,$L2848))</f>
        <v/>
      </c>
      <c r="O2848" s="32" t="str">
        <f>IF($M2848="","",IF($K2848-$M2848&gt;7,"",IF($M2848&lt;=$A2848,"",IF(OR($B2848&lt;=0,$N2848&lt;=0),"",($N2848/$B2848)^(365/($M2848-$A2848))-1))))</f>
        <v/>
      </c>
      <c r="P2848" s="31" t="str">
        <f>IF($B2848="","",IF($P2847="",$B2848,MAX($P2847,$B2848)))</f>
        <v/>
      </c>
      <c r="Q2848" s="32" t="str">
        <f>IF($P2848="","",$B2848/$P2848-1)</f>
        <v/>
      </c>
    </row>
    <row r="2849">
      <c r="A2849" s="11" t="n"/>
      <c r="B2849" s="29" t="n"/>
      <c r="K2849" s="30" t="str">
        <f>IF($A2849="","",EDATE($A2849,12*$E$4))</f>
        <v/>
      </c>
      <c r="L2849" s="19" t="str">
        <f>IF($K2849="","",IF($K2849&gt;MAX($A$8:$A$5007),"",IFERROR(MATCH($K2849,$A$8:$A$5007,1),"")))</f>
        <v/>
      </c>
      <c r="M2849" s="30" t="str">
        <f>IF($L2849="","",INDEX($A$8:$A$5007,$L2849))</f>
        <v/>
      </c>
      <c r="N2849" s="31" t="str">
        <f>IF($L2849="","",INDEX($B$8:$B$5007,$L2849))</f>
        <v/>
      </c>
      <c r="O2849" s="32" t="str">
        <f>IF($M2849="","",IF($K2849-$M2849&gt;7,"",IF($M2849&lt;=$A2849,"",IF(OR($B2849&lt;=0,$N2849&lt;=0),"",($N2849/$B2849)^(365/($M2849-$A2849))-1))))</f>
        <v/>
      </c>
      <c r="P2849" s="31" t="str">
        <f>IF($B2849="","",IF($P2848="",$B2849,MAX($P2848,$B2849)))</f>
        <v/>
      </c>
      <c r="Q2849" s="32" t="str">
        <f>IF($P2849="","",$B2849/$P2849-1)</f>
        <v/>
      </c>
    </row>
    <row r="2850">
      <c r="A2850" s="11" t="n"/>
      <c r="B2850" s="29" t="n"/>
      <c r="K2850" s="30" t="str">
        <f>IF($A2850="","",EDATE($A2850,12*$E$4))</f>
        <v/>
      </c>
      <c r="L2850" s="19" t="str">
        <f>IF($K2850="","",IF($K2850&gt;MAX($A$8:$A$5007),"",IFERROR(MATCH($K2850,$A$8:$A$5007,1),"")))</f>
        <v/>
      </c>
      <c r="M2850" s="30" t="str">
        <f>IF($L2850="","",INDEX($A$8:$A$5007,$L2850))</f>
        <v/>
      </c>
      <c r="N2850" s="31" t="str">
        <f>IF($L2850="","",INDEX($B$8:$B$5007,$L2850))</f>
        <v/>
      </c>
      <c r="O2850" s="32" t="str">
        <f>IF($M2850="","",IF($K2850-$M2850&gt;7,"",IF($M2850&lt;=$A2850,"",IF(OR($B2850&lt;=0,$N2850&lt;=0),"",($N2850/$B2850)^(365/($M2850-$A2850))-1))))</f>
        <v/>
      </c>
      <c r="P2850" s="31" t="str">
        <f>IF($B2850="","",IF($P2849="",$B2850,MAX($P2849,$B2850)))</f>
        <v/>
      </c>
      <c r="Q2850" s="32" t="str">
        <f>IF($P2850="","",$B2850/$P2850-1)</f>
        <v/>
      </c>
    </row>
    <row r="2851">
      <c r="A2851" s="11" t="n"/>
      <c r="B2851" s="29" t="n"/>
      <c r="K2851" s="30" t="str">
        <f>IF($A2851="","",EDATE($A2851,12*$E$4))</f>
        <v/>
      </c>
      <c r="L2851" s="19" t="str">
        <f>IF($K2851="","",IF($K2851&gt;MAX($A$8:$A$5007),"",IFERROR(MATCH($K2851,$A$8:$A$5007,1),"")))</f>
        <v/>
      </c>
      <c r="M2851" s="30" t="str">
        <f>IF($L2851="","",INDEX($A$8:$A$5007,$L2851))</f>
        <v/>
      </c>
      <c r="N2851" s="31" t="str">
        <f>IF($L2851="","",INDEX($B$8:$B$5007,$L2851))</f>
        <v/>
      </c>
      <c r="O2851" s="32" t="str">
        <f>IF($M2851="","",IF($K2851-$M2851&gt;7,"",IF($M2851&lt;=$A2851,"",IF(OR($B2851&lt;=0,$N2851&lt;=0),"",($N2851/$B2851)^(365/($M2851-$A2851))-1))))</f>
        <v/>
      </c>
      <c r="P2851" s="31" t="str">
        <f>IF($B2851="","",IF($P2850="",$B2851,MAX($P2850,$B2851)))</f>
        <v/>
      </c>
      <c r="Q2851" s="32" t="str">
        <f>IF($P2851="","",$B2851/$P2851-1)</f>
        <v/>
      </c>
    </row>
    <row r="2852">
      <c r="A2852" s="11" t="n"/>
      <c r="B2852" s="29" t="n"/>
      <c r="K2852" s="30" t="str">
        <f>IF($A2852="","",EDATE($A2852,12*$E$4))</f>
        <v/>
      </c>
      <c r="L2852" s="19" t="str">
        <f>IF($K2852="","",IF($K2852&gt;MAX($A$8:$A$5007),"",IFERROR(MATCH($K2852,$A$8:$A$5007,1),"")))</f>
        <v/>
      </c>
      <c r="M2852" s="30" t="str">
        <f>IF($L2852="","",INDEX($A$8:$A$5007,$L2852))</f>
        <v/>
      </c>
      <c r="N2852" s="31" t="str">
        <f>IF($L2852="","",INDEX($B$8:$B$5007,$L2852))</f>
        <v/>
      </c>
      <c r="O2852" s="32" t="str">
        <f>IF($M2852="","",IF($K2852-$M2852&gt;7,"",IF($M2852&lt;=$A2852,"",IF(OR($B2852&lt;=0,$N2852&lt;=0),"",($N2852/$B2852)^(365/($M2852-$A2852))-1))))</f>
        <v/>
      </c>
      <c r="P2852" s="31" t="str">
        <f>IF($B2852="","",IF($P2851="",$B2852,MAX($P2851,$B2852)))</f>
        <v/>
      </c>
      <c r="Q2852" s="32" t="str">
        <f>IF($P2852="","",$B2852/$P2852-1)</f>
        <v/>
      </c>
    </row>
    <row r="2853">
      <c r="A2853" s="11" t="n"/>
      <c r="B2853" s="29" t="n"/>
      <c r="K2853" s="30" t="str">
        <f>IF($A2853="","",EDATE($A2853,12*$E$4))</f>
        <v/>
      </c>
      <c r="L2853" s="19" t="str">
        <f>IF($K2853="","",IF($K2853&gt;MAX($A$8:$A$5007),"",IFERROR(MATCH($K2853,$A$8:$A$5007,1),"")))</f>
        <v/>
      </c>
      <c r="M2853" s="30" t="str">
        <f>IF($L2853="","",INDEX($A$8:$A$5007,$L2853))</f>
        <v/>
      </c>
      <c r="N2853" s="31" t="str">
        <f>IF($L2853="","",INDEX($B$8:$B$5007,$L2853))</f>
        <v/>
      </c>
      <c r="O2853" s="32" t="str">
        <f>IF($M2853="","",IF($K2853-$M2853&gt;7,"",IF($M2853&lt;=$A2853,"",IF(OR($B2853&lt;=0,$N2853&lt;=0),"",($N2853/$B2853)^(365/($M2853-$A2853))-1))))</f>
        <v/>
      </c>
      <c r="P2853" s="31" t="str">
        <f>IF($B2853="","",IF($P2852="",$B2853,MAX($P2852,$B2853)))</f>
        <v/>
      </c>
      <c r="Q2853" s="32" t="str">
        <f>IF($P2853="","",$B2853/$P2853-1)</f>
        <v/>
      </c>
    </row>
    <row r="2854">
      <c r="A2854" s="11" t="n"/>
      <c r="B2854" s="29" t="n"/>
      <c r="K2854" s="30" t="str">
        <f>IF($A2854="","",EDATE($A2854,12*$E$4))</f>
        <v/>
      </c>
      <c r="L2854" s="19" t="str">
        <f>IF($K2854="","",IF($K2854&gt;MAX($A$8:$A$5007),"",IFERROR(MATCH($K2854,$A$8:$A$5007,1),"")))</f>
        <v/>
      </c>
      <c r="M2854" s="30" t="str">
        <f>IF($L2854="","",INDEX($A$8:$A$5007,$L2854))</f>
        <v/>
      </c>
      <c r="N2854" s="31" t="str">
        <f>IF($L2854="","",INDEX($B$8:$B$5007,$L2854))</f>
        <v/>
      </c>
      <c r="O2854" s="32" t="str">
        <f>IF($M2854="","",IF($K2854-$M2854&gt;7,"",IF($M2854&lt;=$A2854,"",IF(OR($B2854&lt;=0,$N2854&lt;=0),"",($N2854/$B2854)^(365/($M2854-$A2854))-1))))</f>
        <v/>
      </c>
      <c r="P2854" s="31" t="str">
        <f>IF($B2854="","",IF($P2853="",$B2854,MAX($P2853,$B2854)))</f>
        <v/>
      </c>
      <c r="Q2854" s="32" t="str">
        <f>IF($P2854="","",$B2854/$P2854-1)</f>
        <v/>
      </c>
    </row>
    <row r="2855">
      <c r="A2855" s="11" t="n"/>
      <c r="B2855" s="29" t="n"/>
      <c r="K2855" s="30" t="str">
        <f>IF($A2855="","",EDATE($A2855,12*$E$4))</f>
        <v/>
      </c>
      <c r="L2855" s="19" t="str">
        <f>IF($K2855="","",IF($K2855&gt;MAX($A$8:$A$5007),"",IFERROR(MATCH($K2855,$A$8:$A$5007,1),"")))</f>
        <v/>
      </c>
      <c r="M2855" s="30" t="str">
        <f>IF($L2855="","",INDEX($A$8:$A$5007,$L2855))</f>
        <v/>
      </c>
      <c r="N2855" s="31" t="str">
        <f>IF($L2855="","",INDEX($B$8:$B$5007,$L2855))</f>
        <v/>
      </c>
      <c r="O2855" s="32" t="str">
        <f>IF($M2855="","",IF($K2855-$M2855&gt;7,"",IF($M2855&lt;=$A2855,"",IF(OR($B2855&lt;=0,$N2855&lt;=0),"",($N2855/$B2855)^(365/($M2855-$A2855))-1))))</f>
        <v/>
      </c>
      <c r="P2855" s="31" t="str">
        <f>IF($B2855="","",IF($P2854="",$B2855,MAX($P2854,$B2855)))</f>
        <v/>
      </c>
      <c r="Q2855" s="32" t="str">
        <f>IF($P2855="","",$B2855/$P2855-1)</f>
        <v/>
      </c>
    </row>
    <row r="2856">
      <c r="A2856" s="11" t="n"/>
      <c r="B2856" s="29" t="n"/>
      <c r="K2856" s="30" t="str">
        <f>IF($A2856="","",EDATE($A2856,12*$E$4))</f>
        <v/>
      </c>
      <c r="L2856" s="19" t="str">
        <f>IF($K2856="","",IF($K2856&gt;MAX($A$8:$A$5007),"",IFERROR(MATCH($K2856,$A$8:$A$5007,1),"")))</f>
        <v/>
      </c>
      <c r="M2856" s="30" t="str">
        <f>IF($L2856="","",INDEX($A$8:$A$5007,$L2856))</f>
        <v/>
      </c>
      <c r="N2856" s="31" t="str">
        <f>IF($L2856="","",INDEX($B$8:$B$5007,$L2856))</f>
        <v/>
      </c>
      <c r="O2856" s="32" t="str">
        <f>IF($M2856="","",IF($K2856-$M2856&gt;7,"",IF($M2856&lt;=$A2856,"",IF(OR($B2856&lt;=0,$N2856&lt;=0),"",($N2856/$B2856)^(365/($M2856-$A2856))-1))))</f>
        <v/>
      </c>
      <c r="P2856" s="31" t="str">
        <f>IF($B2856="","",IF($P2855="",$B2856,MAX($P2855,$B2856)))</f>
        <v/>
      </c>
      <c r="Q2856" s="32" t="str">
        <f>IF($P2856="","",$B2856/$P2856-1)</f>
        <v/>
      </c>
    </row>
    <row r="2857">
      <c r="A2857" s="11" t="n"/>
      <c r="B2857" s="29" t="n"/>
      <c r="K2857" s="30" t="str">
        <f>IF($A2857="","",EDATE($A2857,12*$E$4))</f>
        <v/>
      </c>
      <c r="L2857" s="19" t="str">
        <f>IF($K2857="","",IF($K2857&gt;MAX($A$8:$A$5007),"",IFERROR(MATCH($K2857,$A$8:$A$5007,1),"")))</f>
        <v/>
      </c>
      <c r="M2857" s="30" t="str">
        <f>IF($L2857="","",INDEX($A$8:$A$5007,$L2857))</f>
        <v/>
      </c>
      <c r="N2857" s="31" t="str">
        <f>IF($L2857="","",INDEX($B$8:$B$5007,$L2857))</f>
        <v/>
      </c>
      <c r="O2857" s="32" t="str">
        <f>IF($M2857="","",IF($K2857-$M2857&gt;7,"",IF($M2857&lt;=$A2857,"",IF(OR($B2857&lt;=0,$N2857&lt;=0),"",($N2857/$B2857)^(365/($M2857-$A2857))-1))))</f>
        <v/>
      </c>
      <c r="P2857" s="31" t="str">
        <f>IF($B2857="","",IF($P2856="",$B2857,MAX($P2856,$B2857)))</f>
        <v/>
      </c>
      <c r="Q2857" s="32" t="str">
        <f>IF($P2857="","",$B2857/$P2857-1)</f>
        <v/>
      </c>
    </row>
    <row r="2858">
      <c r="A2858" s="11" t="n"/>
      <c r="B2858" s="29" t="n"/>
      <c r="K2858" s="30" t="str">
        <f>IF($A2858="","",EDATE($A2858,12*$E$4))</f>
        <v/>
      </c>
      <c r="L2858" s="19" t="str">
        <f>IF($K2858="","",IF($K2858&gt;MAX($A$8:$A$5007),"",IFERROR(MATCH($K2858,$A$8:$A$5007,1),"")))</f>
        <v/>
      </c>
      <c r="M2858" s="30" t="str">
        <f>IF($L2858="","",INDEX($A$8:$A$5007,$L2858))</f>
        <v/>
      </c>
      <c r="N2858" s="31" t="str">
        <f>IF($L2858="","",INDEX($B$8:$B$5007,$L2858))</f>
        <v/>
      </c>
      <c r="O2858" s="32" t="str">
        <f>IF($M2858="","",IF($K2858-$M2858&gt;7,"",IF($M2858&lt;=$A2858,"",IF(OR($B2858&lt;=0,$N2858&lt;=0),"",($N2858/$B2858)^(365/($M2858-$A2858))-1))))</f>
        <v/>
      </c>
      <c r="P2858" s="31" t="str">
        <f>IF($B2858="","",IF($P2857="",$B2858,MAX($P2857,$B2858)))</f>
        <v/>
      </c>
      <c r="Q2858" s="32" t="str">
        <f>IF($P2858="","",$B2858/$P2858-1)</f>
        <v/>
      </c>
    </row>
    <row r="2859">
      <c r="A2859" s="11" t="n"/>
      <c r="B2859" s="29" t="n"/>
      <c r="K2859" s="30" t="str">
        <f>IF($A2859="","",EDATE($A2859,12*$E$4))</f>
        <v/>
      </c>
      <c r="L2859" s="19" t="str">
        <f>IF($K2859="","",IF($K2859&gt;MAX($A$8:$A$5007),"",IFERROR(MATCH($K2859,$A$8:$A$5007,1),"")))</f>
        <v/>
      </c>
      <c r="M2859" s="30" t="str">
        <f>IF($L2859="","",INDEX($A$8:$A$5007,$L2859))</f>
        <v/>
      </c>
      <c r="N2859" s="31" t="str">
        <f>IF($L2859="","",INDEX($B$8:$B$5007,$L2859))</f>
        <v/>
      </c>
      <c r="O2859" s="32" t="str">
        <f>IF($M2859="","",IF($K2859-$M2859&gt;7,"",IF($M2859&lt;=$A2859,"",IF(OR($B2859&lt;=0,$N2859&lt;=0),"",($N2859/$B2859)^(365/($M2859-$A2859))-1))))</f>
        <v/>
      </c>
      <c r="P2859" s="31" t="str">
        <f>IF($B2859="","",IF($P2858="",$B2859,MAX($P2858,$B2859)))</f>
        <v/>
      </c>
      <c r="Q2859" s="32" t="str">
        <f>IF($P2859="","",$B2859/$P2859-1)</f>
        <v/>
      </c>
    </row>
    <row r="2860">
      <c r="A2860" s="11" t="n"/>
      <c r="B2860" s="29" t="n"/>
      <c r="K2860" s="30" t="str">
        <f>IF($A2860="","",EDATE($A2860,12*$E$4))</f>
        <v/>
      </c>
      <c r="L2860" s="19" t="str">
        <f>IF($K2860="","",IF($K2860&gt;MAX($A$8:$A$5007),"",IFERROR(MATCH($K2860,$A$8:$A$5007,1),"")))</f>
        <v/>
      </c>
      <c r="M2860" s="30" t="str">
        <f>IF($L2860="","",INDEX($A$8:$A$5007,$L2860))</f>
        <v/>
      </c>
      <c r="N2860" s="31" t="str">
        <f>IF($L2860="","",INDEX($B$8:$B$5007,$L2860))</f>
        <v/>
      </c>
      <c r="O2860" s="32" t="str">
        <f>IF($M2860="","",IF($K2860-$M2860&gt;7,"",IF($M2860&lt;=$A2860,"",IF(OR($B2860&lt;=0,$N2860&lt;=0),"",($N2860/$B2860)^(365/($M2860-$A2860))-1))))</f>
        <v/>
      </c>
      <c r="P2860" s="31" t="str">
        <f>IF($B2860="","",IF($P2859="",$B2860,MAX($P2859,$B2860)))</f>
        <v/>
      </c>
      <c r="Q2860" s="32" t="str">
        <f>IF($P2860="","",$B2860/$P2860-1)</f>
        <v/>
      </c>
    </row>
    <row r="2861">
      <c r="A2861" s="11" t="n"/>
      <c r="B2861" s="29" t="n"/>
      <c r="K2861" s="30" t="str">
        <f>IF($A2861="","",EDATE($A2861,12*$E$4))</f>
        <v/>
      </c>
      <c r="L2861" s="19" t="str">
        <f>IF($K2861="","",IF($K2861&gt;MAX($A$8:$A$5007),"",IFERROR(MATCH($K2861,$A$8:$A$5007,1),"")))</f>
        <v/>
      </c>
      <c r="M2861" s="30" t="str">
        <f>IF($L2861="","",INDEX($A$8:$A$5007,$L2861))</f>
        <v/>
      </c>
      <c r="N2861" s="31" t="str">
        <f>IF($L2861="","",INDEX($B$8:$B$5007,$L2861))</f>
        <v/>
      </c>
      <c r="O2861" s="32" t="str">
        <f>IF($M2861="","",IF($K2861-$M2861&gt;7,"",IF($M2861&lt;=$A2861,"",IF(OR($B2861&lt;=0,$N2861&lt;=0),"",($N2861/$B2861)^(365/($M2861-$A2861))-1))))</f>
        <v/>
      </c>
      <c r="P2861" s="31" t="str">
        <f>IF($B2861="","",IF($P2860="",$B2861,MAX($P2860,$B2861)))</f>
        <v/>
      </c>
      <c r="Q2861" s="32" t="str">
        <f>IF($P2861="","",$B2861/$P2861-1)</f>
        <v/>
      </c>
    </row>
    <row r="2862">
      <c r="A2862" s="11" t="n"/>
      <c r="B2862" s="29" t="n"/>
      <c r="K2862" s="30" t="str">
        <f>IF($A2862="","",EDATE($A2862,12*$E$4))</f>
        <v/>
      </c>
      <c r="L2862" s="19" t="str">
        <f>IF($K2862="","",IF($K2862&gt;MAX($A$8:$A$5007),"",IFERROR(MATCH($K2862,$A$8:$A$5007,1),"")))</f>
        <v/>
      </c>
      <c r="M2862" s="30" t="str">
        <f>IF($L2862="","",INDEX($A$8:$A$5007,$L2862))</f>
        <v/>
      </c>
      <c r="N2862" s="31" t="str">
        <f>IF($L2862="","",INDEX($B$8:$B$5007,$L2862))</f>
        <v/>
      </c>
      <c r="O2862" s="32" t="str">
        <f>IF($M2862="","",IF($K2862-$M2862&gt;7,"",IF($M2862&lt;=$A2862,"",IF(OR($B2862&lt;=0,$N2862&lt;=0),"",($N2862/$B2862)^(365/($M2862-$A2862))-1))))</f>
        <v/>
      </c>
      <c r="P2862" s="31" t="str">
        <f>IF($B2862="","",IF($P2861="",$B2862,MAX($P2861,$B2862)))</f>
        <v/>
      </c>
      <c r="Q2862" s="32" t="str">
        <f>IF($P2862="","",$B2862/$P2862-1)</f>
        <v/>
      </c>
    </row>
    <row r="2863">
      <c r="A2863" s="11" t="n"/>
      <c r="B2863" s="29" t="n"/>
      <c r="K2863" s="30" t="str">
        <f>IF($A2863="","",EDATE($A2863,12*$E$4))</f>
        <v/>
      </c>
      <c r="L2863" s="19" t="str">
        <f>IF($K2863="","",IF($K2863&gt;MAX($A$8:$A$5007),"",IFERROR(MATCH($K2863,$A$8:$A$5007,1),"")))</f>
        <v/>
      </c>
      <c r="M2863" s="30" t="str">
        <f>IF($L2863="","",INDEX($A$8:$A$5007,$L2863))</f>
        <v/>
      </c>
      <c r="N2863" s="31" t="str">
        <f>IF($L2863="","",INDEX($B$8:$B$5007,$L2863))</f>
        <v/>
      </c>
      <c r="O2863" s="32" t="str">
        <f>IF($M2863="","",IF($K2863-$M2863&gt;7,"",IF($M2863&lt;=$A2863,"",IF(OR($B2863&lt;=0,$N2863&lt;=0),"",($N2863/$B2863)^(365/($M2863-$A2863))-1))))</f>
        <v/>
      </c>
      <c r="P2863" s="31" t="str">
        <f>IF($B2863="","",IF($P2862="",$B2863,MAX($P2862,$B2863)))</f>
        <v/>
      </c>
      <c r="Q2863" s="32" t="str">
        <f>IF($P2863="","",$B2863/$P2863-1)</f>
        <v/>
      </c>
    </row>
    <row r="2864">
      <c r="A2864" s="11" t="n"/>
      <c r="B2864" s="29" t="n"/>
      <c r="K2864" s="30" t="str">
        <f>IF($A2864="","",EDATE($A2864,12*$E$4))</f>
        <v/>
      </c>
      <c r="L2864" s="19" t="str">
        <f>IF($K2864="","",IF($K2864&gt;MAX($A$8:$A$5007),"",IFERROR(MATCH($K2864,$A$8:$A$5007,1),"")))</f>
        <v/>
      </c>
      <c r="M2864" s="30" t="str">
        <f>IF($L2864="","",INDEX($A$8:$A$5007,$L2864))</f>
        <v/>
      </c>
      <c r="N2864" s="31" t="str">
        <f>IF($L2864="","",INDEX($B$8:$B$5007,$L2864))</f>
        <v/>
      </c>
      <c r="O2864" s="32" t="str">
        <f>IF($M2864="","",IF($K2864-$M2864&gt;7,"",IF($M2864&lt;=$A2864,"",IF(OR($B2864&lt;=0,$N2864&lt;=0),"",($N2864/$B2864)^(365/($M2864-$A2864))-1))))</f>
        <v/>
      </c>
      <c r="P2864" s="31" t="str">
        <f>IF($B2864="","",IF($P2863="",$B2864,MAX($P2863,$B2864)))</f>
        <v/>
      </c>
      <c r="Q2864" s="32" t="str">
        <f>IF($P2864="","",$B2864/$P2864-1)</f>
        <v/>
      </c>
    </row>
    <row r="2865">
      <c r="A2865" s="11" t="n"/>
      <c r="B2865" s="29" t="n"/>
      <c r="K2865" s="30" t="str">
        <f>IF($A2865="","",EDATE($A2865,12*$E$4))</f>
        <v/>
      </c>
      <c r="L2865" s="19" t="str">
        <f>IF($K2865="","",IF($K2865&gt;MAX($A$8:$A$5007),"",IFERROR(MATCH($K2865,$A$8:$A$5007,1),"")))</f>
        <v/>
      </c>
      <c r="M2865" s="30" t="str">
        <f>IF($L2865="","",INDEX($A$8:$A$5007,$L2865))</f>
        <v/>
      </c>
      <c r="N2865" s="31" t="str">
        <f>IF($L2865="","",INDEX($B$8:$B$5007,$L2865))</f>
        <v/>
      </c>
      <c r="O2865" s="32" t="str">
        <f>IF($M2865="","",IF($K2865-$M2865&gt;7,"",IF($M2865&lt;=$A2865,"",IF(OR($B2865&lt;=0,$N2865&lt;=0),"",($N2865/$B2865)^(365/($M2865-$A2865))-1))))</f>
        <v/>
      </c>
      <c r="P2865" s="31" t="str">
        <f>IF($B2865="","",IF($P2864="",$B2865,MAX($P2864,$B2865)))</f>
        <v/>
      </c>
      <c r="Q2865" s="32" t="str">
        <f>IF($P2865="","",$B2865/$P2865-1)</f>
        <v/>
      </c>
    </row>
    <row r="2866">
      <c r="A2866" s="11" t="n"/>
      <c r="B2866" s="29" t="n"/>
      <c r="K2866" s="30" t="str">
        <f>IF($A2866="","",EDATE($A2866,12*$E$4))</f>
        <v/>
      </c>
      <c r="L2866" s="19" t="str">
        <f>IF($K2866="","",IF($K2866&gt;MAX($A$8:$A$5007),"",IFERROR(MATCH($K2866,$A$8:$A$5007,1),"")))</f>
        <v/>
      </c>
      <c r="M2866" s="30" t="str">
        <f>IF($L2866="","",INDEX($A$8:$A$5007,$L2866))</f>
        <v/>
      </c>
      <c r="N2866" s="31" t="str">
        <f>IF($L2866="","",INDEX($B$8:$B$5007,$L2866))</f>
        <v/>
      </c>
      <c r="O2866" s="32" t="str">
        <f>IF($M2866="","",IF($K2866-$M2866&gt;7,"",IF($M2866&lt;=$A2866,"",IF(OR($B2866&lt;=0,$N2866&lt;=0),"",($N2866/$B2866)^(365/($M2866-$A2866))-1))))</f>
        <v/>
      </c>
      <c r="P2866" s="31" t="str">
        <f>IF($B2866="","",IF($P2865="",$B2866,MAX($P2865,$B2866)))</f>
        <v/>
      </c>
      <c r="Q2866" s="32" t="str">
        <f>IF($P2866="","",$B2866/$P2866-1)</f>
        <v/>
      </c>
    </row>
    <row r="2867">
      <c r="A2867" s="11" t="n"/>
      <c r="B2867" s="29" t="n"/>
      <c r="K2867" s="30" t="str">
        <f>IF($A2867="","",EDATE($A2867,12*$E$4))</f>
        <v/>
      </c>
      <c r="L2867" s="19" t="str">
        <f>IF($K2867="","",IF($K2867&gt;MAX($A$8:$A$5007),"",IFERROR(MATCH($K2867,$A$8:$A$5007,1),"")))</f>
        <v/>
      </c>
      <c r="M2867" s="30" t="str">
        <f>IF($L2867="","",INDEX($A$8:$A$5007,$L2867))</f>
        <v/>
      </c>
      <c r="N2867" s="31" t="str">
        <f>IF($L2867="","",INDEX($B$8:$B$5007,$L2867))</f>
        <v/>
      </c>
      <c r="O2867" s="32" t="str">
        <f>IF($M2867="","",IF($K2867-$M2867&gt;7,"",IF($M2867&lt;=$A2867,"",IF(OR($B2867&lt;=0,$N2867&lt;=0),"",($N2867/$B2867)^(365/($M2867-$A2867))-1))))</f>
        <v/>
      </c>
      <c r="P2867" s="31" t="str">
        <f>IF($B2867="","",IF($P2866="",$B2867,MAX($P2866,$B2867)))</f>
        <v/>
      </c>
      <c r="Q2867" s="32" t="str">
        <f>IF($P2867="","",$B2867/$P2867-1)</f>
        <v/>
      </c>
    </row>
    <row r="2868">
      <c r="A2868" s="11" t="n"/>
      <c r="B2868" s="29" t="n"/>
      <c r="K2868" s="30" t="str">
        <f>IF($A2868="","",EDATE($A2868,12*$E$4))</f>
        <v/>
      </c>
      <c r="L2868" s="19" t="str">
        <f>IF($K2868="","",IF($K2868&gt;MAX($A$8:$A$5007),"",IFERROR(MATCH($K2868,$A$8:$A$5007,1),"")))</f>
        <v/>
      </c>
      <c r="M2868" s="30" t="str">
        <f>IF($L2868="","",INDEX($A$8:$A$5007,$L2868))</f>
        <v/>
      </c>
      <c r="N2868" s="31" t="str">
        <f>IF($L2868="","",INDEX($B$8:$B$5007,$L2868))</f>
        <v/>
      </c>
      <c r="O2868" s="32" t="str">
        <f>IF($M2868="","",IF($K2868-$M2868&gt;7,"",IF($M2868&lt;=$A2868,"",IF(OR($B2868&lt;=0,$N2868&lt;=0),"",($N2868/$B2868)^(365/($M2868-$A2868))-1))))</f>
        <v/>
      </c>
      <c r="P2868" s="31" t="str">
        <f>IF($B2868="","",IF($P2867="",$B2868,MAX($P2867,$B2868)))</f>
        <v/>
      </c>
      <c r="Q2868" s="32" t="str">
        <f>IF($P2868="","",$B2868/$P2868-1)</f>
        <v/>
      </c>
    </row>
    <row r="2869">
      <c r="A2869" s="11" t="n"/>
      <c r="B2869" s="29" t="n"/>
      <c r="K2869" s="30" t="str">
        <f>IF($A2869="","",EDATE($A2869,12*$E$4))</f>
        <v/>
      </c>
      <c r="L2869" s="19" t="str">
        <f>IF($K2869="","",IF($K2869&gt;MAX($A$8:$A$5007),"",IFERROR(MATCH($K2869,$A$8:$A$5007,1),"")))</f>
        <v/>
      </c>
      <c r="M2869" s="30" t="str">
        <f>IF($L2869="","",INDEX($A$8:$A$5007,$L2869))</f>
        <v/>
      </c>
      <c r="N2869" s="31" t="str">
        <f>IF($L2869="","",INDEX($B$8:$B$5007,$L2869))</f>
        <v/>
      </c>
      <c r="O2869" s="32" t="str">
        <f>IF($M2869="","",IF($K2869-$M2869&gt;7,"",IF($M2869&lt;=$A2869,"",IF(OR($B2869&lt;=0,$N2869&lt;=0),"",($N2869/$B2869)^(365/($M2869-$A2869))-1))))</f>
        <v/>
      </c>
      <c r="P2869" s="31" t="str">
        <f>IF($B2869="","",IF($P2868="",$B2869,MAX($P2868,$B2869)))</f>
        <v/>
      </c>
      <c r="Q2869" s="32" t="str">
        <f>IF($P2869="","",$B2869/$P2869-1)</f>
        <v/>
      </c>
    </row>
    <row r="2870">
      <c r="A2870" s="11" t="n"/>
      <c r="B2870" s="29" t="n"/>
      <c r="K2870" s="30" t="str">
        <f>IF($A2870="","",EDATE($A2870,12*$E$4))</f>
        <v/>
      </c>
      <c r="L2870" s="19" t="str">
        <f>IF($K2870="","",IF($K2870&gt;MAX($A$8:$A$5007),"",IFERROR(MATCH($K2870,$A$8:$A$5007,1),"")))</f>
        <v/>
      </c>
      <c r="M2870" s="30" t="str">
        <f>IF($L2870="","",INDEX($A$8:$A$5007,$L2870))</f>
        <v/>
      </c>
      <c r="N2870" s="31" t="str">
        <f>IF($L2870="","",INDEX($B$8:$B$5007,$L2870))</f>
        <v/>
      </c>
      <c r="O2870" s="32" t="str">
        <f>IF($M2870="","",IF($K2870-$M2870&gt;7,"",IF($M2870&lt;=$A2870,"",IF(OR($B2870&lt;=0,$N2870&lt;=0),"",($N2870/$B2870)^(365/($M2870-$A2870))-1))))</f>
        <v/>
      </c>
      <c r="P2870" s="31" t="str">
        <f>IF($B2870="","",IF($P2869="",$B2870,MAX($P2869,$B2870)))</f>
        <v/>
      </c>
      <c r="Q2870" s="32" t="str">
        <f>IF($P2870="","",$B2870/$P2870-1)</f>
        <v/>
      </c>
    </row>
    <row r="2871">
      <c r="A2871" s="11" t="n"/>
      <c r="B2871" s="29" t="n"/>
      <c r="K2871" s="30" t="str">
        <f>IF($A2871="","",EDATE($A2871,12*$E$4))</f>
        <v/>
      </c>
      <c r="L2871" s="19" t="str">
        <f>IF($K2871="","",IF($K2871&gt;MAX($A$8:$A$5007),"",IFERROR(MATCH($K2871,$A$8:$A$5007,1),"")))</f>
        <v/>
      </c>
      <c r="M2871" s="30" t="str">
        <f>IF($L2871="","",INDEX($A$8:$A$5007,$L2871))</f>
        <v/>
      </c>
      <c r="N2871" s="31" t="str">
        <f>IF($L2871="","",INDEX($B$8:$B$5007,$L2871))</f>
        <v/>
      </c>
      <c r="O2871" s="32" t="str">
        <f>IF($M2871="","",IF($K2871-$M2871&gt;7,"",IF($M2871&lt;=$A2871,"",IF(OR($B2871&lt;=0,$N2871&lt;=0),"",($N2871/$B2871)^(365/($M2871-$A2871))-1))))</f>
        <v/>
      </c>
      <c r="P2871" s="31" t="str">
        <f>IF($B2871="","",IF($P2870="",$B2871,MAX($P2870,$B2871)))</f>
        <v/>
      </c>
      <c r="Q2871" s="32" t="str">
        <f>IF($P2871="","",$B2871/$P2871-1)</f>
        <v/>
      </c>
    </row>
    <row r="2872">
      <c r="A2872" s="11" t="n"/>
      <c r="B2872" s="29" t="n"/>
      <c r="K2872" s="30" t="str">
        <f>IF($A2872="","",EDATE($A2872,12*$E$4))</f>
        <v/>
      </c>
      <c r="L2872" s="19" t="str">
        <f>IF($K2872="","",IF($K2872&gt;MAX($A$8:$A$5007),"",IFERROR(MATCH($K2872,$A$8:$A$5007,1),"")))</f>
        <v/>
      </c>
      <c r="M2872" s="30" t="str">
        <f>IF($L2872="","",INDEX($A$8:$A$5007,$L2872))</f>
        <v/>
      </c>
      <c r="N2872" s="31" t="str">
        <f>IF($L2872="","",INDEX($B$8:$B$5007,$L2872))</f>
        <v/>
      </c>
      <c r="O2872" s="32" t="str">
        <f>IF($M2872="","",IF($K2872-$M2872&gt;7,"",IF($M2872&lt;=$A2872,"",IF(OR($B2872&lt;=0,$N2872&lt;=0),"",($N2872/$B2872)^(365/($M2872-$A2872))-1))))</f>
        <v/>
      </c>
      <c r="P2872" s="31" t="str">
        <f>IF($B2872="","",IF($P2871="",$B2872,MAX($P2871,$B2872)))</f>
        <v/>
      </c>
      <c r="Q2872" s="32" t="str">
        <f>IF($P2872="","",$B2872/$P2872-1)</f>
        <v/>
      </c>
    </row>
    <row r="2873">
      <c r="A2873" s="11" t="n"/>
      <c r="B2873" s="29" t="n"/>
      <c r="K2873" s="30" t="str">
        <f>IF($A2873="","",EDATE($A2873,12*$E$4))</f>
        <v/>
      </c>
      <c r="L2873" s="19" t="str">
        <f>IF($K2873="","",IF($K2873&gt;MAX($A$8:$A$5007),"",IFERROR(MATCH($K2873,$A$8:$A$5007,1),"")))</f>
        <v/>
      </c>
      <c r="M2873" s="30" t="str">
        <f>IF($L2873="","",INDEX($A$8:$A$5007,$L2873))</f>
        <v/>
      </c>
      <c r="N2873" s="31" t="str">
        <f>IF($L2873="","",INDEX($B$8:$B$5007,$L2873))</f>
        <v/>
      </c>
      <c r="O2873" s="32" t="str">
        <f>IF($M2873="","",IF($K2873-$M2873&gt;7,"",IF($M2873&lt;=$A2873,"",IF(OR($B2873&lt;=0,$N2873&lt;=0),"",($N2873/$B2873)^(365/($M2873-$A2873))-1))))</f>
        <v/>
      </c>
      <c r="P2873" s="31" t="str">
        <f>IF($B2873="","",IF($P2872="",$B2873,MAX($P2872,$B2873)))</f>
        <v/>
      </c>
      <c r="Q2873" s="32" t="str">
        <f>IF($P2873="","",$B2873/$P2873-1)</f>
        <v/>
      </c>
    </row>
    <row r="2874">
      <c r="A2874" s="11" t="n"/>
      <c r="B2874" s="29" t="n"/>
      <c r="K2874" s="30" t="str">
        <f>IF($A2874="","",EDATE($A2874,12*$E$4))</f>
        <v/>
      </c>
      <c r="L2874" s="19" t="str">
        <f>IF($K2874="","",IF($K2874&gt;MAX($A$8:$A$5007),"",IFERROR(MATCH($K2874,$A$8:$A$5007,1),"")))</f>
        <v/>
      </c>
      <c r="M2874" s="30" t="str">
        <f>IF($L2874="","",INDEX($A$8:$A$5007,$L2874))</f>
        <v/>
      </c>
      <c r="N2874" s="31" t="str">
        <f>IF($L2874="","",INDEX($B$8:$B$5007,$L2874))</f>
        <v/>
      </c>
      <c r="O2874" s="32" t="str">
        <f>IF($M2874="","",IF($K2874-$M2874&gt;7,"",IF($M2874&lt;=$A2874,"",IF(OR($B2874&lt;=0,$N2874&lt;=0),"",($N2874/$B2874)^(365/($M2874-$A2874))-1))))</f>
        <v/>
      </c>
      <c r="P2874" s="31" t="str">
        <f>IF($B2874="","",IF($P2873="",$B2874,MAX($P2873,$B2874)))</f>
        <v/>
      </c>
      <c r="Q2874" s="32" t="str">
        <f>IF($P2874="","",$B2874/$P2874-1)</f>
        <v/>
      </c>
    </row>
    <row r="2875">
      <c r="A2875" s="11" t="n"/>
      <c r="B2875" s="29" t="n"/>
      <c r="K2875" s="30" t="str">
        <f>IF($A2875="","",EDATE($A2875,12*$E$4))</f>
        <v/>
      </c>
      <c r="L2875" s="19" t="str">
        <f>IF($K2875="","",IF($K2875&gt;MAX($A$8:$A$5007),"",IFERROR(MATCH($K2875,$A$8:$A$5007,1),"")))</f>
        <v/>
      </c>
      <c r="M2875" s="30" t="str">
        <f>IF($L2875="","",INDEX($A$8:$A$5007,$L2875))</f>
        <v/>
      </c>
      <c r="N2875" s="31" t="str">
        <f>IF($L2875="","",INDEX($B$8:$B$5007,$L2875))</f>
        <v/>
      </c>
      <c r="O2875" s="32" t="str">
        <f>IF($M2875="","",IF($K2875-$M2875&gt;7,"",IF($M2875&lt;=$A2875,"",IF(OR($B2875&lt;=0,$N2875&lt;=0),"",($N2875/$B2875)^(365/($M2875-$A2875))-1))))</f>
        <v/>
      </c>
      <c r="P2875" s="31" t="str">
        <f>IF($B2875="","",IF($P2874="",$B2875,MAX($P2874,$B2875)))</f>
        <v/>
      </c>
      <c r="Q2875" s="32" t="str">
        <f>IF($P2875="","",$B2875/$P2875-1)</f>
        <v/>
      </c>
    </row>
    <row r="2876">
      <c r="A2876" s="11" t="n"/>
      <c r="B2876" s="29" t="n"/>
      <c r="K2876" s="30" t="str">
        <f>IF($A2876="","",EDATE($A2876,12*$E$4))</f>
        <v/>
      </c>
      <c r="L2876" s="19" t="str">
        <f>IF($K2876="","",IF($K2876&gt;MAX($A$8:$A$5007),"",IFERROR(MATCH($K2876,$A$8:$A$5007,1),"")))</f>
        <v/>
      </c>
      <c r="M2876" s="30" t="str">
        <f>IF($L2876="","",INDEX($A$8:$A$5007,$L2876))</f>
        <v/>
      </c>
      <c r="N2876" s="31" t="str">
        <f>IF($L2876="","",INDEX($B$8:$B$5007,$L2876))</f>
        <v/>
      </c>
      <c r="O2876" s="32" t="str">
        <f>IF($M2876="","",IF($K2876-$M2876&gt;7,"",IF($M2876&lt;=$A2876,"",IF(OR($B2876&lt;=0,$N2876&lt;=0),"",($N2876/$B2876)^(365/($M2876-$A2876))-1))))</f>
        <v/>
      </c>
      <c r="P2876" s="31" t="str">
        <f>IF($B2876="","",IF($P2875="",$B2876,MAX($P2875,$B2876)))</f>
        <v/>
      </c>
      <c r="Q2876" s="32" t="str">
        <f>IF($P2876="","",$B2876/$P2876-1)</f>
        <v/>
      </c>
    </row>
    <row r="2877">
      <c r="A2877" s="11" t="n"/>
      <c r="B2877" s="29" t="n"/>
      <c r="K2877" s="30" t="str">
        <f>IF($A2877="","",EDATE($A2877,12*$E$4))</f>
        <v/>
      </c>
      <c r="L2877" s="19" t="str">
        <f>IF($K2877="","",IF($K2877&gt;MAX($A$8:$A$5007),"",IFERROR(MATCH($K2877,$A$8:$A$5007,1),"")))</f>
        <v/>
      </c>
      <c r="M2877" s="30" t="str">
        <f>IF($L2877="","",INDEX($A$8:$A$5007,$L2877))</f>
        <v/>
      </c>
      <c r="N2877" s="31" t="str">
        <f>IF($L2877="","",INDEX($B$8:$B$5007,$L2877))</f>
        <v/>
      </c>
      <c r="O2877" s="32" t="str">
        <f>IF($M2877="","",IF($K2877-$M2877&gt;7,"",IF($M2877&lt;=$A2877,"",IF(OR($B2877&lt;=0,$N2877&lt;=0),"",($N2877/$B2877)^(365/($M2877-$A2877))-1))))</f>
        <v/>
      </c>
      <c r="P2877" s="31" t="str">
        <f>IF($B2877="","",IF($P2876="",$B2877,MAX($P2876,$B2877)))</f>
        <v/>
      </c>
      <c r="Q2877" s="32" t="str">
        <f>IF($P2877="","",$B2877/$P2877-1)</f>
        <v/>
      </c>
    </row>
    <row r="2878">
      <c r="A2878" s="11" t="n"/>
      <c r="B2878" s="29" t="n"/>
      <c r="K2878" s="30" t="str">
        <f>IF($A2878="","",EDATE($A2878,12*$E$4))</f>
        <v/>
      </c>
      <c r="L2878" s="19" t="str">
        <f>IF($K2878="","",IF($K2878&gt;MAX($A$8:$A$5007),"",IFERROR(MATCH($K2878,$A$8:$A$5007,1),"")))</f>
        <v/>
      </c>
      <c r="M2878" s="30" t="str">
        <f>IF($L2878="","",INDEX($A$8:$A$5007,$L2878))</f>
        <v/>
      </c>
      <c r="N2878" s="31" t="str">
        <f>IF($L2878="","",INDEX($B$8:$B$5007,$L2878))</f>
        <v/>
      </c>
      <c r="O2878" s="32" t="str">
        <f>IF($M2878="","",IF($K2878-$M2878&gt;7,"",IF($M2878&lt;=$A2878,"",IF(OR($B2878&lt;=0,$N2878&lt;=0),"",($N2878/$B2878)^(365/($M2878-$A2878))-1))))</f>
        <v/>
      </c>
      <c r="P2878" s="31" t="str">
        <f>IF($B2878="","",IF($P2877="",$B2878,MAX($P2877,$B2878)))</f>
        <v/>
      </c>
      <c r="Q2878" s="32" t="str">
        <f>IF($P2878="","",$B2878/$P2878-1)</f>
        <v/>
      </c>
    </row>
    <row r="2879">
      <c r="A2879" s="11" t="n"/>
      <c r="B2879" s="29" t="n"/>
      <c r="K2879" s="30" t="str">
        <f>IF($A2879="","",EDATE($A2879,12*$E$4))</f>
        <v/>
      </c>
      <c r="L2879" s="19" t="str">
        <f>IF($K2879="","",IF($K2879&gt;MAX($A$8:$A$5007),"",IFERROR(MATCH($K2879,$A$8:$A$5007,1),"")))</f>
        <v/>
      </c>
      <c r="M2879" s="30" t="str">
        <f>IF($L2879="","",INDEX($A$8:$A$5007,$L2879))</f>
        <v/>
      </c>
      <c r="N2879" s="31" t="str">
        <f>IF($L2879="","",INDEX($B$8:$B$5007,$L2879))</f>
        <v/>
      </c>
      <c r="O2879" s="32" t="str">
        <f>IF($M2879="","",IF($K2879-$M2879&gt;7,"",IF($M2879&lt;=$A2879,"",IF(OR($B2879&lt;=0,$N2879&lt;=0),"",($N2879/$B2879)^(365/($M2879-$A2879))-1))))</f>
        <v/>
      </c>
      <c r="P2879" s="31" t="str">
        <f>IF($B2879="","",IF($P2878="",$B2879,MAX($P2878,$B2879)))</f>
        <v/>
      </c>
      <c r="Q2879" s="32" t="str">
        <f>IF($P2879="","",$B2879/$P2879-1)</f>
        <v/>
      </c>
    </row>
    <row r="2880">
      <c r="A2880" s="11" t="n"/>
      <c r="B2880" s="29" t="n"/>
      <c r="K2880" s="30" t="str">
        <f>IF($A2880="","",EDATE($A2880,12*$E$4))</f>
        <v/>
      </c>
      <c r="L2880" s="19" t="str">
        <f>IF($K2880="","",IF($K2880&gt;MAX($A$8:$A$5007),"",IFERROR(MATCH($K2880,$A$8:$A$5007,1),"")))</f>
        <v/>
      </c>
      <c r="M2880" s="30" t="str">
        <f>IF($L2880="","",INDEX($A$8:$A$5007,$L2880))</f>
        <v/>
      </c>
      <c r="N2880" s="31" t="str">
        <f>IF($L2880="","",INDEX($B$8:$B$5007,$L2880))</f>
        <v/>
      </c>
      <c r="O2880" s="32" t="str">
        <f>IF($M2880="","",IF($K2880-$M2880&gt;7,"",IF($M2880&lt;=$A2880,"",IF(OR($B2880&lt;=0,$N2880&lt;=0),"",($N2880/$B2880)^(365/($M2880-$A2880))-1))))</f>
        <v/>
      </c>
      <c r="P2880" s="31" t="str">
        <f>IF($B2880="","",IF($P2879="",$B2880,MAX($P2879,$B2880)))</f>
        <v/>
      </c>
      <c r="Q2880" s="32" t="str">
        <f>IF($P2880="","",$B2880/$P2880-1)</f>
        <v/>
      </c>
    </row>
    <row r="2881">
      <c r="A2881" s="11" t="n"/>
      <c r="B2881" s="29" t="n"/>
      <c r="K2881" s="30" t="str">
        <f>IF($A2881="","",EDATE($A2881,12*$E$4))</f>
        <v/>
      </c>
      <c r="L2881" s="19" t="str">
        <f>IF($K2881="","",IF($K2881&gt;MAX($A$8:$A$5007),"",IFERROR(MATCH($K2881,$A$8:$A$5007,1),"")))</f>
        <v/>
      </c>
      <c r="M2881" s="30" t="str">
        <f>IF($L2881="","",INDEX($A$8:$A$5007,$L2881))</f>
        <v/>
      </c>
      <c r="N2881" s="31" t="str">
        <f>IF($L2881="","",INDEX($B$8:$B$5007,$L2881))</f>
        <v/>
      </c>
      <c r="O2881" s="32" t="str">
        <f>IF($M2881="","",IF($K2881-$M2881&gt;7,"",IF($M2881&lt;=$A2881,"",IF(OR($B2881&lt;=0,$N2881&lt;=0),"",($N2881/$B2881)^(365/($M2881-$A2881))-1))))</f>
        <v/>
      </c>
      <c r="P2881" s="31" t="str">
        <f>IF($B2881="","",IF($P2880="",$B2881,MAX($P2880,$B2881)))</f>
        <v/>
      </c>
      <c r="Q2881" s="32" t="str">
        <f>IF($P2881="","",$B2881/$P2881-1)</f>
        <v/>
      </c>
    </row>
    <row r="2882">
      <c r="A2882" s="11" t="n"/>
      <c r="B2882" s="29" t="n"/>
      <c r="K2882" s="30" t="str">
        <f>IF($A2882="","",EDATE($A2882,12*$E$4))</f>
        <v/>
      </c>
      <c r="L2882" s="19" t="str">
        <f>IF($K2882="","",IF($K2882&gt;MAX($A$8:$A$5007),"",IFERROR(MATCH($K2882,$A$8:$A$5007,1),"")))</f>
        <v/>
      </c>
      <c r="M2882" s="30" t="str">
        <f>IF($L2882="","",INDEX($A$8:$A$5007,$L2882))</f>
        <v/>
      </c>
      <c r="N2882" s="31" t="str">
        <f>IF($L2882="","",INDEX($B$8:$B$5007,$L2882))</f>
        <v/>
      </c>
      <c r="O2882" s="32" t="str">
        <f>IF($M2882="","",IF($K2882-$M2882&gt;7,"",IF($M2882&lt;=$A2882,"",IF(OR($B2882&lt;=0,$N2882&lt;=0),"",($N2882/$B2882)^(365/($M2882-$A2882))-1))))</f>
        <v/>
      </c>
      <c r="P2882" s="31" t="str">
        <f>IF($B2882="","",IF($P2881="",$B2882,MAX($P2881,$B2882)))</f>
        <v/>
      </c>
      <c r="Q2882" s="32" t="str">
        <f>IF($P2882="","",$B2882/$P2882-1)</f>
        <v/>
      </c>
    </row>
    <row r="2883">
      <c r="A2883" s="11" t="n"/>
      <c r="B2883" s="29" t="n"/>
      <c r="K2883" s="30" t="str">
        <f>IF($A2883="","",EDATE($A2883,12*$E$4))</f>
        <v/>
      </c>
      <c r="L2883" s="19" t="str">
        <f>IF($K2883="","",IF($K2883&gt;MAX($A$8:$A$5007),"",IFERROR(MATCH($K2883,$A$8:$A$5007,1),"")))</f>
        <v/>
      </c>
      <c r="M2883" s="30" t="str">
        <f>IF($L2883="","",INDEX($A$8:$A$5007,$L2883))</f>
        <v/>
      </c>
      <c r="N2883" s="31" t="str">
        <f>IF($L2883="","",INDEX($B$8:$B$5007,$L2883))</f>
        <v/>
      </c>
      <c r="O2883" s="32" t="str">
        <f>IF($M2883="","",IF($K2883-$M2883&gt;7,"",IF($M2883&lt;=$A2883,"",IF(OR($B2883&lt;=0,$N2883&lt;=0),"",($N2883/$B2883)^(365/($M2883-$A2883))-1))))</f>
        <v/>
      </c>
      <c r="P2883" s="31" t="str">
        <f>IF($B2883="","",IF($P2882="",$B2883,MAX($P2882,$B2883)))</f>
        <v/>
      </c>
      <c r="Q2883" s="32" t="str">
        <f>IF($P2883="","",$B2883/$P2883-1)</f>
        <v/>
      </c>
    </row>
    <row r="2884">
      <c r="A2884" s="11" t="n"/>
      <c r="B2884" s="29" t="n"/>
      <c r="K2884" s="30" t="str">
        <f>IF($A2884="","",EDATE($A2884,12*$E$4))</f>
        <v/>
      </c>
      <c r="L2884" s="19" t="str">
        <f>IF($K2884="","",IF($K2884&gt;MAX($A$8:$A$5007),"",IFERROR(MATCH($K2884,$A$8:$A$5007,1),"")))</f>
        <v/>
      </c>
      <c r="M2884" s="30" t="str">
        <f>IF($L2884="","",INDEX($A$8:$A$5007,$L2884))</f>
        <v/>
      </c>
      <c r="N2884" s="31" t="str">
        <f>IF($L2884="","",INDEX($B$8:$B$5007,$L2884))</f>
        <v/>
      </c>
      <c r="O2884" s="32" t="str">
        <f>IF($M2884="","",IF($K2884-$M2884&gt;7,"",IF($M2884&lt;=$A2884,"",IF(OR($B2884&lt;=0,$N2884&lt;=0),"",($N2884/$B2884)^(365/($M2884-$A2884))-1))))</f>
        <v/>
      </c>
      <c r="P2884" s="31" t="str">
        <f>IF($B2884="","",IF($P2883="",$B2884,MAX($P2883,$B2884)))</f>
        <v/>
      </c>
      <c r="Q2884" s="32" t="str">
        <f>IF($P2884="","",$B2884/$P2884-1)</f>
        <v/>
      </c>
    </row>
    <row r="2885">
      <c r="A2885" s="11" t="n"/>
      <c r="B2885" s="29" t="n"/>
      <c r="K2885" s="30" t="str">
        <f>IF($A2885="","",EDATE($A2885,12*$E$4))</f>
        <v/>
      </c>
      <c r="L2885" s="19" t="str">
        <f>IF($K2885="","",IF($K2885&gt;MAX($A$8:$A$5007),"",IFERROR(MATCH($K2885,$A$8:$A$5007,1),"")))</f>
        <v/>
      </c>
      <c r="M2885" s="30" t="str">
        <f>IF($L2885="","",INDEX($A$8:$A$5007,$L2885))</f>
        <v/>
      </c>
      <c r="N2885" s="31" t="str">
        <f>IF($L2885="","",INDEX($B$8:$B$5007,$L2885))</f>
        <v/>
      </c>
      <c r="O2885" s="32" t="str">
        <f>IF($M2885="","",IF($K2885-$M2885&gt;7,"",IF($M2885&lt;=$A2885,"",IF(OR($B2885&lt;=0,$N2885&lt;=0),"",($N2885/$B2885)^(365/($M2885-$A2885))-1))))</f>
        <v/>
      </c>
      <c r="P2885" s="31" t="str">
        <f>IF($B2885="","",IF($P2884="",$B2885,MAX($P2884,$B2885)))</f>
        <v/>
      </c>
      <c r="Q2885" s="32" t="str">
        <f>IF($P2885="","",$B2885/$P2885-1)</f>
        <v/>
      </c>
    </row>
    <row r="2886">
      <c r="A2886" s="11" t="n"/>
      <c r="B2886" s="29" t="n"/>
      <c r="K2886" s="30" t="str">
        <f>IF($A2886="","",EDATE($A2886,12*$E$4))</f>
        <v/>
      </c>
      <c r="L2886" s="19" t="str">
        <f>IF($K2886="","",IF($K2886&gt;MAX($A$8:$A$5007),"",IFERROR(MATCH($K2886,$A$8:$A$5007,1),"")))</f>
        <v/>
      </c>
      <c r="M2886" s="30" t="str">
        <f>IF($L2886="","",INDEX($A$8:$A$5007,$L2886))</f>
        <v/>
      </c>
      <c r="N2886" s="31" t="str">
        <f>IF($L2886="","",INDEX($B$8:$B$5007,$L2886))</f>
        <v/>
      </c>
      <c r="O2886" s="32" t="str">
        <f>IF($M2886="","",IF($K2886-$M2886&gt;7,"",IF($M2886&lt;=$A2886,"",IF(OR($B2886&lt;=0,$N2886&lt;=0),"",($N2886/$B2886)^(365/($M2886-$A2886))-1))))</f>
        <v/>
      </c>
      <c r="P2886" s="31" t="str">
        <f>IF($B2886="","",IF($P2885="",$B2886,MAX($P2885,$B2886)))</f>
        <v/>
      </c>
      <c r="Q2886" s="32" t="str">
        <f>IF($P2886="","",$B2886/$P2886-1)</f>
        <v/>
      </c>
    </row>
    <row r="2887">
      <c r="A2887" s="11" t="n"/>
      <c r="B2887" s="29" t="n"/>
      <c r="K2887" s="30" t="str">
        <f>IF($A2887="","",EDATE($A2887,12*$E$4))</f>
        <v/>
      </c>
      <c r="L2887" s="19" t="str">
        <f>IF($K2887="","",IF($K2887&gt;MAX($A$8:$A$5007),"",IFERROR(MATCH($K2887,$A$8:$A$5007,1),"")))</f>
        <v/>
      </c>
      <c r="M2887" s="30" t="str">
        <f>IF($L2887="","",INDEX($A$8:$A$5007,$L2887))</f>
        <v/>
      </c>
      <c r="N2887" s="31" t="str">
        <f>IF($L2887="","",INDEX($B$8:$B$5007,$L2887))</f>
        <v/>
      </c>
      <c r="O2887" s="32" t="str">
        <f>IF($M2887="","",IF($K2887-$M2887&gt;7,"",IF($M2887&lt;=$A2887,"",IF(OR($B2887&lt;=0,$N2887&lt;=0),"",($N2887/$B2887)^(365/($M2887-$A2887))-1))))</f>
        <v/>
      </c>
      <c r="P2887" s="31" t="str">
        <f>IF($B2887="","",IF($P2886="",$B2887,MAX($P2886,$B2887)))</f>
        <v/>
      </c>
      <c r="Q2887" s="32" t="str">
        <f>IF($P2887="","",$B2887/$P2887-1)</f>
        <v/>
      </c>
    </row>
    <row r="2888">
      <c r="A2888" s="11" t="n"/>
      <c r="B2888" s="29" t="n"/>
      <c r="K2888" s="30" t="str">
        <f>IF($A2888="","",EDATE($A2888,12*$E$4))</f>
        <v/>
      </c>
      <c r="L2888" s="19" t="str">
        <f>IF($K2888="","",IF($K2888&gt;MAX($A$8:$A$5007),"",IFERROR(MATCH($K2888,$A$8:$A$5007,1),"")))</f>
        <v/>
      </c>
      <c r="M2888" s="30" t="str">
        <f>IF($L2888="","",INDEX($A$8:$A$5007,$L2888))</f>
        <v/>
      </c>
      <c r="N2888" s="31" t="str">
        <f>IF($L2888="","",INDEX($B$8:$B$5007,$L2888))</f>
        <v/>
      </c>
      <c r="O2888" s="32" t="str">
        <f>IF($M2888="","",IF($K2888-$M2888&gt;7,"",IF($M2888&lt;=$A2888,"",IF(OR($B2888&lt;=0,$N2888&lt;=0),"",($N2888/$B2888)^(365/($M2888-$A2888))-1))))</f>
        <v/>
      </c>
      <c r="P2888" s="31" t="str">
        <f>IF($B2888="","",IF($P2887="",$B2888,MAX($P2887,$B2888)))</f>
        <v/>
      </c>
      <c r="Q2888" s="32" t="str">
        <f>IF($P2888="","",$B2888/$P2888-1)</f>
        <v/>
      </c>
    </row>
    <row r="2889">
      <c r="A2889" s="11" t="n"/>
      <c r="B2889" s="29" t="n"/>
      <c r="K2889" s="30" t="str">
        <f>IF($A2889="","",EDATE($A2889,12*$E$4))</f>
        <v/>
      </c>
      <c r="L2889" s="19" t="str">
        <f>IF($K2889="","",IF($K2889&gt;MAX($A$8:$A$5007),"",IFERROR(MATCH($K2889,$A$8:$A$5007,1),"")))</f>
        <v/>
      </c>
      <c r="M2889" s="30" t="str">
        <f>IF($L2889="","",INDEX($A$8:$A$5007,$L2889))</f>
        <v/>
      </c>
      <c r="N2889" s="31" t="str">
        <f>IF($L2889="","",INDEX($B$8:$B$5007,$L2889))</f>
        <v/>
      </c>
      <c r="O2889" s="32" t="str">
        <f>IF($M2889="","",IF($K2889-$M2889&gt;7,"",IF($M2889&lt;=$A2889,"",IF(OR($B2889&lt;=0,$N2889&lt;=0),"",($N2889/$B2889)^(365/($M2889-$A2889))-1))))</f>
        <v/>
      </c>
      <c r="P2889" s="31" t="str">
        <f>IF($B2889="","",IF($P2888="",$B2889,MAX($P2888,$B2889)))</f>
        <v/>
      </c>
      <c r="Q2889" s="32" t="str">
        <f>IF($P2889="","",$B2889/$P2889-1)</f>
        <v/>
      </c>
    </row>
    <row r="2890">
      <c r="A2890" s="11" t="n"/>
      <c r="B2890" s="29" t="n"/>
      <c r="K2890" s="30" t="str">
        <f>IF($A2890="","",EDATE($A2890,12*$E$4))</f>
        <v/>
      </c>
      <c r="L2890" s="19" t="str">
        <f>IF($K2890="","",IF($K2890&gt;MAX($A$8:$A$5007),"",IFERROR(MATCH($K2890,$A$8:$A$5007,1),"")))</f>
        <v/>
      </c>
      <c r="M2890" s="30" t="str">
        <f>IF($L2890="","",INDEX($A$8:$A$5007,$L2890))</f>
        <v/>
      </c>
      <c r="N2890" s="31" t="str">
        <f>IF($L2890="","",INDEX($B$8:$B$5007,$L2890))</f>
        <v/>
      </c>
      <c r="O2890" s="32" t="str">
        <f>IF($M2890="","",IF($K2890-$M2890&gt;7,"",IF($M2890&lt;=$A2890,"",IF(OR($B2890&lt;=0,$N2890&lt;=0),"",($N2890/$B2890)^(365/($M2890-$A2890))-1))))</f>
        <v/>
      </c>
      <c r="P2890" s="31" t="str">
        <f>IF($B2890="","",IF($P2889="",$B2890,MAX($P2889,$B2890)))</f>
        <v/>
      </c>
      <c r="Q2890" s="32" t="str">
        <f>IF($P2890="","",$B2890/$P2890-1)</f>
        <v/>
      </c>
    </row>
    <row r="2891">
      <c r="A2891" s="11" t="n"/>
      <c r="B2891" s="29" t="n"/>
      <c r="K2891" s="30" t="str">
        <f>IF($A2891="","",EDATE($A2891,12*$E$4))</f>
        <v/>
      </c>
      <c r="L2891" s="19" t="str">
        <f>IF($K2891="","",IF($K2891&gt;MAX($A$8:$A$5007),"",IFERROR(MATCH($K2891,$A$8:$A$5007,1),"")))</f>
        <v/>
      </c>
      <c r="M2891" s="30" t="str">
        <f>IF($L2891="","",INDEX($A$8:$A$5007,$L2891))</f>
        <v/>
      </c>
      <c r="N2891" s="31" t="str">
        <f>IF($L2891="","",INDEX($B$8:$B$5007,$L2891))</f>
        <v/>
      </c>
      <c r="O2891" s="32" t="str">
        <f>IF($M2891="","",IF($K2891-$M2891&gt;7,"",IF($M2891&lt;=$A2891,"",IF(OR($B2891&lt;=0,$N2891&lt;=0),"",($N2891/$B2891)^(365/($M2891-$A2891))-1))))</f>
        <v/>
      </c>
      <c r="P2891" s="31" t="str">
        <f>IF($B2891="","",IF($P2890="",$B2891,MAX($P2890,$B2891)))</f>
        <v/>
      </c>
      <c r="Q2891" s="32" t="str">
        <f>IF($P2891="","",$B2891/$P2891-1)</f>
        <v/>
      </c>
    </row>
    <row r="2892">
      <c r="A2892" s="11" t="n"/>
      <c r="B2892" s="29" t="n"/>
      <c r="K2892" s="30" t="str">
        <f>IF($A2892="","",EDATE($A2892,12*$E$4))</f>
        <v/>
      </c>
      <c r="L2892" s="19" t="str">
        <f>IF($K2892="","",IF($K2892&gt;MAX($A$8:$A$5007),"",IFERROR(MATCH($K2892,$A$8:$A$5007,1),"")))</f>
        <v/>
      </c>
      <c r="M2892" s="30" t="str">
        <f>IF($L2892="","",INDEX($A$8:$A$5007,$L2892))</f>
        <v/>
      </c>
      <c r="N2892" s="31" t="str">
        <f>IF($L2892="","",INDEX($B$8:$B$5007,$L2892))</f>
        <v/>
      </c>
      <c r="O2892" s="32" t="str">
        <f>IF($M2892="","",IF($K2892-$M2892&gt;7,"",IF($M2892&lt;=$A2892,"",IF(OR($B2892&lt;=0,$N2892&lt;=0),"",($N2892/$B2892)^(365/($M2892-$A2892))-1))))</f>
        <v/>
      </c>
      <c r="P2892" s="31" t="str">
        <f>IF($B2892="","",IF($P2891="",$B2892,MAX($P2891,$B2892)))</f>
        <v/>
      </c>
      <c r="Q2892" s="32" t="str">
        <f>IF($P2892="","",$B2892/$P2892-1)</f>
        <v/>
      </c>
    </row>
    <row r="2893">
      <c r="A2893" s="11" t="n"/>
      <c r="B2893" s="29" t="n"/>
      <c r="K2893" s="30" t="str">
        <f>IF($A2893="","",EDATE($A2893,12*$E$4))</f>
        <v/>
      </c>
      <c r="L2893" s="19" t="str">
        <f>IF($K2893="","",IF($K2893&gt;MAX($A$8:$A$5007),"",IFERROR(MATCH($K2893,$A$8:$A$5007,1),"")))</f>
        <v/>
      </c>
      <c r="M2893" s="30" t="str">
        <f>IF($L2893="","",INDEX($A$8:$A$5007,$L2893))</f>
        <v/>
      </c>
      <c r="N2893" s="31" t="str">
        <f>IF($L2893="","",INDEX($B$8:$B$5007,$L2893))</f>
        <v/>
      </c>
      <c r="O2893" s="32" t="str">
        <f>IF($M2893="","",IF($K2893-$M2893&gt;7,"",IF($M2893&lt;=$A2893,"",IF(OR($B2893&lt;=0,$N2893&lt;=0),"",($N2893/$B2893)^(365/($M2893-$A2893))-1))))</f>
        <v/>
      </c>
      <c r="P2893" s="31" t="str">
        <f>IF($B2893="","",IF($P2892="",$B2893,MAX($P2892,$B2893)))</f>
        <v/>
      </c>
      <c r="Q2893" s="32" t="str">
        <f>IF($P2893="","",$B2893/$P2893-1)</f>
        <v/>
      </c>
    </row>
    <row r="2894">
      <c r="A2894" s="11" t="n"/>
      <c r="B2894" s="29" t="n"/>
      <c r="K2894" s="30" t="str">
        <f>IF($A2894="","",EDATE($A2894,12*$E$4))</f>
        <v/>
      </c>
      <c r="L2894" s="19" t="str">
        <f>IF($K2894="","",IF($K2894&gt;MAX($A$8:$A$5007),"",IFERROR(MATCH($K2894,$A$8:$A$5007,1),"")))</f>
        <v/>
      </c>
      <c r="M2894" s="30" t="str">
        <f>IF($L2894="","",INDEX($A$8:$A$5007,$L2894))</f>
        <v/>
      </c>
      <c r="N2894" s="31" t="str">
        <f>IF($L2894="","",INDEX($B$8:$B$5007,$L2894))</f>
        <v/>
      </c>
      <c r="O2894" s="32" t="str">
        <f>IF($M2894="","",IF($K2894-$M2894&gt;7,"",IF($M2894&lt;=$A2894,"",IF(OR($B2894&lt;=0,$N2894&lt;=0),"",($N2894/$B2894)^(365/($M2894-$A2894))-1))))</f>
        <v/>
      </c>
      <c r="P2894" s="31" t="str">
        <f>IF($B2894="","",IF($P2893="",$B2894,MAX($P2893,$B2894)))</f>
        <v/>
      </c>
      <c r="Q2894" s="32" t="str">
        <f>IF($P2894="","",$B2894/$P2894-1)</f>
        <v/>
      </c>
    </row>
    <row r="2895">
      <c r="A2895" s="11" t="n"/>
      <c r="B2895" s="29" t="n"/>
      <c r="K2895" s="30" t="str">
        <f>IF($A2895="","",EDATE($A2895,12*$E$4))</f>
        <v/>
      </c>
      <c r="L2895" s="19" t="str">
        <f>IF($K2895="","",IF($K2895&gt;MAX($A$8:$A$5007),"",IFERROR(MATCH($K2895,$A$8:$A$5007,1),"")))</f>
        <v/>
      </c>
      <c r="M2895" s="30" t="str">
        <f>IF($L2895="","",INDEX($A$8:$A$5007,$L2895))</f>
        <v/>
      </c>
      <c r="N2895" s="31" t="str">
        <f>IF($L2895="","",INDEX($B$8:$B$5007,$L2895))</f>
        <v/>
      </c>
      <c r="O2895" s="32" t="str">
        <f>IF($M2895="","",IF($K2895-$M2895&gt;7,"",IF($M2895&lt;=$A2895,"",IF(OR($B2895&lt;=0,$N2895&lt;=0),"",($N2895/$B2895)^(365/($M2895-$A2895))-1))))</f>
        <v/>
      </c>
      <c r="P2895" s="31" t="str">
        <f>IF($B2895="","",IF($P2894="",$B2895,MAX($P2894,$B2895)))</f>
        <v/>
      </c>
      <c r="Q2895" s="32" t="str">
        <f>IF($P2895="","",$B2895/$P2895-1)</f>
        <v/>
      </c>
    </row>
    <row r="2896">
      <c r="A2896" s="11" t="n"/>
      <c r="B2896" s="29" t="n"/>
      <c r="K2896" s="30" t="str">
        <f>IF($A2896="","",EDATE($A2896,12*$E$4))</f>
        <v/>
      </c>
      <c r="L2896" s="19" t="str">
        <f>IF($K2896="","",IF($K2896&gt;MAX($A$8:$A$5007),"",IFERROR(MATCH($K2896,$A$8:$A$5007,1),"")))</f>
        <v/>
      </c>
      <c r="M2896" s="30" t="str">
        <f>IF($L2896="","",INDEX($A$8:$A$5007,$L2896))</f>
        <v/>
      </c>
      <c r="N2896" s="31" t="str">
        <f>IF($L2896="","",INDEX($B$8:$B$5007,$L2896))</f>
        <v/>
      </c>
      <c r="O2896" s="32" t="str">
        <f>IF($M2896="","",IF($K2896-$M2896&gt;7,"",IF($M2896&lt;=$A2896,"",IF(OR($B2896&lt;=0,$N2896&lt;=0),"",($N2896/$B2896)^(365/($M2896-$A2896))-1))))</f>
        <v/>
      </c>
      <c r="P2896" s="31" t="str">
        <f>IF($B2896="","",IF($P2895="",$B2896,MAX($P2895,$B2896)))</f>
        <v/>
      </c>
      <c r="Q2896" s="32" t="str">
        <f>IF($P2896="","",$B2896/$P2896-1)</f>
        <v/>
      </c>
    </row>
    <row r="2897">
      <c r="A2897" s="11" t="n"/>
      <c r="B2897" s="29" t="n"/>
      <c r="K2897" s="30" t="str">
        <f>IF($A2897="","",EDATE($A2897,12*$E$4))</f>
        <v/>
      </c>
      <c r="L2897" s="19" t="str">
        <f>IF($K2897="","",IF($K2897&gt;MAX($A$8:$A$5007),"",IFERROR(MATCH($K2897,$A$8:$A$5007,1),"")))</f>
        <v/>
      </c>
      <c r="M2897" s="30" t="str">
        <f>IF($L2897="","",INDEX($A$8:$A$5007,$L2897))</f>
        <v/>
      </c>
      <c r="N2897" s="31" t="str">
        <f>IF($L2897="","",INDEX($B$8:$B$5007,$L2897))</f>
        <v/>
      </c>
      <c r="O2897" s="32" t="str">
        <f>IF($M2897="","",IF($K2897-$M2897&gt;7,"",IF($M2897&lt;=$A2897,"",IF(OR($B2897&lt;=0,$N2897&lt;=0),"",($N2897/$B2897)^(365/($M2897-$A2897))-1))))</f>
        <v/>
      </c>
      <c r="P2897" s="31" t="str">
        <f>IF($B2897="","",IF($P2896="",$B2897,MAX($P2896,$B2897)))</f>
        <v/>
      </c>
      <c r="Q2897" s="32" t="str">
        <f>IF($P2897="","",$B2897/$P2897-1)</f>
        <v/>
      </c>
    </row>
    <row r="2898">
      <c r="A2898" s="11" t="n"/>
      <c r="B2898" s="29" t="n"/>
      <c r="K2898" s="30" t="str">
        <f>IF($A2898="","",EDATE($A2898,12*$E$4))</f>
        <v/>
      </c>
      <c r="L2898" s="19" t="str">
        <f>IF($K2898="","",IF($K2898&gt;MAX($A$8:$A$5007),"",IFERROR(MATCH($K2898,$A$8:$A$5007,1),"")))</f>
        <v/>
      </c>
      <c r="M2898" s="30" t="str">
        <f>IF($L2898="","",INDEX($A$8:$A$5007,$L2898))</f>
        <v/>
      </c>
      <c r="N2898" s="31" t="str">
        <f>IF($L2898="","",INDEX($B$8:$B$5007,$L2898))</f>
        <v/>
      </c>
      <c r="O2898" s="32" t="str">
        <f>IF($M2898="","",IF($K2898-$M2898&gt;7,"",IF($M2898&lt;=$A2898,"",IF(OR($B2898&lt;=0,$N2898&lt;=0),"",($N2898/$B2898)^(365/($M2898-$A2898))-1))))</f>
        <v/>
      </c>
      <c r="P2898" s="31" t="str">
        <f>IF($B2898="","",IF($P2897="",$B2898,MAX($P2897,$B2898)))</f>
        <v/>
      </c>
      <c r="Q2898" s="32" t="str">
        <f>IF($P2898="","",$B2898/$P2898-1)</f>
        <v/>
      </c>
    </row>
    <row r="2899">
      <c r="A2899" s="11" t="n"/>
      <c r="B2899" s="29" t="n"/>
      <c r="K2899" s="30" t="str">
        <f>IF($A2899="","",EDATE($A2899,12*$E$4))</f>
        <v/>
      </c>
      <c r="L2899" s="19" t="str">
        <f>IF($K2899="","",IF($K2899&gt;MAX($A$8:$A$5007),"",IFERROR(MATCH($K2899,$A$8:$A$5007,1),"")))</f>
        <v/>
      </c>
      <c r="M2899" s="30" t="str">
        <f>IF($L2899="","",INDEX($A$8:$A$5007,$L2899))</f>
        <v/>
      </c>
      <c r="N2899" s="31" t="str">
        <f>IF($L2899="","",INDEX($B$8:$B$5007,$L2899))</f>
        <v/>
      </c>
      <c r="O2899" s="32" t="str">
        <f>IF($M2899="","",IF($K2899-$M2899&gt;7,"",IF($M2899&lt;=$A2899,"",IF(OR($B2899&lt;=0,$N2899&lt;=0),"",($N2899/$B2899)^(365/($M2899-$A2899))-1))))</f>
        <v/>
      </c>
      <c r="P2899" s="31" t="str">
        <f>IF($B2899="","",IF($P2898="",$B2899,MAX($P2898,$B2899)))</f>
        <v/>
      </c>
      <c r="Q2899" s="32" t="str">
        <f>IF($P2899="","",$B2899/$P2899-1)</f>
        <v/>
      </c>
    </row>
    <row r="2900">
      <c r="A2900" s="11" t="n"/>
      <c r="B2900" s="29" t="n"/>
      <c r="K2900" s="30" t="str">
        <f>IF($A2900="","",EDATE($A2900,12*$E$4))</f>
        <v/>
      </c>
      <c r="L2900" s="19" t="str">
        <f>IF($K2900="","",IF($K2900&gt;MAX($A$8:$A$5007),"",IFERROR(MATCH($K2900,$A$8:$A$5007,1),"")))</f>
        <v/>
      </c>
      <c r="M2900" s="30" t="str">
        <f>IF($L2900="","",INDEX($A$8:$A$5007,$L2900))</f>
        <v/>
      </c>
      <c r="N2900" s="31" t="str">
        <f>IF($L2900="","",INDEX($B$8:$B$5007,$L2900))</f>
        <v/>
      </c>
      <c r="O2900" s="32" t="str">
        <f>IF($M2900="","",IF($K2900-$M2900&gt;7,"",IF($M2900&lt;=$A2900,"",IF(OR($B2900&lt;=0,$N2900&lt;=0),"",($N2900/$B2900)^(365/($M2900-$A2900))-1))))</f>
        <v/>
      </c>
      <c r="P2900" s="31" t="str">
        <f>IF($B2900="","",IF($P2899="",$B2900,MAX($P2899,$B2900)))</f>
        <v/>
      </c>
      <c r="Q2900" s="32" t="str">
        <f>IF($P2900="","",$B2900/$P2900-1)</f>
        <v/>
      </c>
    </row>
    <row r="2901">
      <c r="A2901" s="11" t="n"/>
      <c r="B2901" s="29" t="n"/>
      <c r="K2901" s="30" t="str">
        <f>IF($A2901="","",EDATE($A2901,12*$E$4))</f>
        <v/>
      </c>
      <c r="L2901" s="19" t="str">
        <f>IF($K2901="","",IF($K2901&gt;MAX($A$8:$A$5007),"",IFERROR(MATCH($K2901,$A$8:$A$5007,1),"")))</f>
        <v/>
      </c>
      <c r="M2901" s="30" t="str">
        <f>IF($L2901="","",INDEX($A$8:$A$5007,$L2901))</f>
        <v/>
      </c>
      <c r="N2901" s="31" t="str">
        <f>IF($L2901="","",INDEX($B$8:$B$5007,$L2901))</f>
        <v/>
      </c>
      <c r="O2901" s="32" t="str">
        <f>IF($M2901="","",IF($K2901-$M2901&gt;7,"",IF($M2901&lt;=$A2901,"",IF(OR($B2901&lt;=0,$N2901&lt;=0),"",($N2901/$B2901)^(365/($M2901-$A2901))-1))))</f>
        <v/>
      </c>
      <c r="P2901" s="31" t="str">
        <f>IF($B2901="","",IF($P2900="",$B2901,MAX($P2900,$B2901)))</f>
        <v/>
      </c>
      <c r="Q2901" s="32" t="str">
        <f>IF($P2901="","",$B2901/$P2901-1)</f>
        <v/>
      </c>
    </row>
    <row r="2902">
      <c r="A2902" s="11" t="n"/>
      <c r="B2902" s="29" t="n"/>
      <c r="K2902" s="30" t="str">
        <f>IF($A2902="","",EDATE($A2902,12*$E$4))</f>
        <v/>
      </c>
      <c r="L2902" s="19" t="str">
        <f>IF($K2902="","",IF($K2902&gt;MAX($A$8:$A$5007),"",IFERROR(MATCH($K2902,$A$8:$A$5007,1),"")))</f>
        <v/>
      </c>
      <c r="M2902" s="30" t="str">
        <f>IF($L2902="","",INDEX($A$8:$A$5007,$L2902))</f>
        <v/>
      </c>
      <c r="N2902" s="31" t="str">
        <f>IF($L2902="","",INDEX($B$8:$B$5007,$L2902))</f>
        <v/>
      </c>
      <c r="O2902" s="32" t="str">
        <f>IF($M2902="","",IF($K2902-$M2902&gt;7,"",IF($M2902&lt;=$A2902,"",IF(OR($B2902&lt;=0,$N2902&lt;=0),"",($N2902/$B2902)^(365/($M2902-$A2902))-1))))</f>
        <v/>
      </c>
      <c r="P2902" s="31" t="str">
        <f>IF($B2902="","",IF($P2901="",$B2902,MAX($P2901,$B2902)))</f>
        <v/>
      </c>
      <c r="Q2902" s="32" t="str">
        <f>IF($P2902="","",$B2902/$P2902-1)</f>
        <v/>
      </c>
    </row>
    <row r="2903">
      <c r="A2903" s="11" t="n"/>
      <c r="B2903" s="29" t="n"/>
      <c r="K2903" s="30" t="str">
        <f>IF($A2903="","",EDATE($A2903,12*$E$4))</f>
        <v/>
      </c>
      <c r="L2903" s="19" t="str">
        <f>IF($K2903="","",IF($K2903&gt;MAX($A$8:$A$5007),"",IFERROR(MATCH($K2903,$A$8:$A$5007,1),"")))</f>
        <v/>
      </c>
      <c r="M2903" s="30" t="str">
        <f>IF($L2903="","",INDEX($A$8:$A$5007,$L2903))</f>
        <v/>
      </c>
      <c r="N2903" s="31" t="str">
        <f>IF($L2903="","",INDEX($B$8:$B$5007,$L2903))</f>
        <v/>
      </c>
      <c r="O2903" s="32" t="str">
        <f>IF($M2903="","",IF($K2903-$M2903&gt;7,"",IF($M2903&lt;=$A2903,"",IF(OR($B2903&lt;=0,$N2903&lt;=0),"",($N2903/$B2903)^(365/($M2903-$A2903))-1))))</f>
        <v/>
      </c>
      <c r="P2903" s="31" t="str">
        <f>IF($B2903="","",IF($P2902="",$B2903,MAX($P2902,$B2903)))</f>
        <v/>
      </c>
      <c r="Q2903" s="32" t="str">
        <f>IF($P2903="","",$B2903/$P2903-1)</f>
        <v/>
      </c>
    </row>
    <row r="2904">
      <c r="A2904" s="11" t="n"/>
      <c r="B2904" s="29" t="n"/>
      <c r="K2904" s="30" t="str">
        <f>IF($A2904="","",EDATE($A2904,12*$E$4))</f>
        <v/>
      </c>
      <c r="L2904" s="19" t="str">
        <f>IF($K2904="","",IF($K2904&gt;MAX($A$8:$A$5007),"",IFERROR(MATCH($K2904,$A$8:$A$5007,1),"")))</f>
        <v/>
      </c>
      <c r="M2904" s="30" t="str">
        <f>IF($L2904="","",INDEX($A$8:$A$5007,$L2904))</f>
        <v/>
      </c>
      <c r="N2904" s="31" t="str">
        <f>IF($L2904="","",INDEX($B$8:$B$5007,$L2904))</f>
        <v/>
      </c>
      <c r="O2904" s="32" t="str">
        <f>IF($M2904="","",IF($K2904-$M2904&gt;7,"",IF($M2904&lt;=$A2904,"",IF(OR($B2904&lt;=0,$N2904&lt;=0),"",($N2904/$B2904)^(365/($M2904-$A2904))-1))))</f>
        <v/>
      </c>
      <c r="P2904" s="31" t="str">
        <f>IF($B2904="","",IF($P2903="",$B2904,MAX($P2903,$B2904)))</f>
        <v/>
      </c>
      <c r="Q2904" s="32" t="str">
        <f>IF($P2904="","",$B2904/$P2904-1)</f>
        <v/>
      </c>
    </row>
    <row r="2905">
      <c r="A2905" s="11" t="n"/>
      <c r="B2905" s="29" t="n"/>
      <c r="K2905" s="30" t="str">
        <f>IF($A2905="","",EDATE($A2905,12*$E$4))</f>
        <v/>
      </c>
      <c r="L2905" s="19" t="str">
        <f>IF($K2905="","",IF($K2905&gt;MAX($A$8:$A$5007),"",IFERROR(MATCH($K2905,$A$8:$A$5007,1),"")))</f>
        <v/>
      </c>
      <c r="M2905" s="30" t="str">
        <f>IF($L2905="","",INDEX($A$8:$A$5007,$L2905))</f>
        <v/>
      </c>
      <c r="N2905" s="31" t="str">
        <f>IF($L2905="","",INDEX($B$8:$B$5007,$L2905))</f>
        <v/>
      </c>
      <c r="O2905" s="32" t="str">
        <f>IF($M2905="","",IF($K2905-$M2905&gt;7,"",IF($M2905&lt;=$A2905,"",IF(OR($B2905&lt;=0,$N2905&lt;=0),"",($N2905/$B2905)^(365/($M2905-$A2905))-1))))</f>
        <v/>
      </c>
      <c r="P2905" s="31" t="str">
        <f>IF($B2905="","",IF($P2904="",$B2905,MAX($P2904,$B2905)))</f>
        <v/>
      </c>
      <c r="Q2905" s="32" t="str">
        <f>IF($P2905="","",$B2905/$P2905-1)</f>
        <v/>
      </c>
    </row>
    <row r="2906">
      <c r="A2906" s="11" t="n"/>
      <c r="B2906" s="29" t="n"/>
      <c r="K2906" s="30" t="str">
        <f>IF($A2906="","",EDATE($A2906,12*$E$4))</f>
        <v/>
      </c>
      <c r="L2906" s="19" t="str">
        <f>IF($K2906="","",IF($K2906&gt;MAX($A$8:$A$5007),"",IFERROR(MATCH($K2906,$A$8:$A$5007,1),"")))</f>
        <v/>
      </c>
      <c r="M2906" s="30" t="str">
        <f>IF($L2906="","",INDEX($A$8:$A$5007,$L2906))</f>
        <v/>
      </c>
      <c r="N2906" s="31" t="str">
        <f>IF($L2906="","",INDEX($B$8:$B$5007,$L2906))</f>
        <v/>
      </c>
      <c r="O2906" s="32" t="str">
        <f>IF($M2906="","",IF($K2906-$M2906&gt;7,"",IF($M2906&lt;=$A2906,"",IF(OR($B2906&lt;=0,$N2906&lt;=0),"",($N2906/$B2906)^(365/($M2906-$A2906))-1))))</f>
        <v/>
      </c>
      <c r="P2906" s="31" t="str">
        <f>IF($B2906="","",IF($P2905="",$B2906,MAX($P2905,$B2906)))</f>
        <v/>
      </c>
      <c r="Q2906" s="32" t="str">
        <f>IF($P2906="","",$B2906/$P2906-1)</f>
        <v/>
      </c>
    </row>
    <row r="2907">
      <c r="A2907" s="11" t="n"/>
      <c r="B2907" s="29" t="n"/>
      <c r="K2907" s="30" t="str">
        <f>IF($A2907="","",EDATE($A2907,12*$E$4))</f>
        <v/>
      </c>
      <c r="L2907" s="19" t="str">
        <f>IF($K2907="","",IF($K2907&gt;MAX($A$8:$A$5007),"",IFERROR(MATCH($K2907,$A$8:$A$5007,1),"")))</f>
        <v/>
      </c>
      <c r="M2907" s="30" t="str">
        <f>IF($L2907="","",INDEX($A$8:$A$5007,$L2907))</f>
        <v/>
      </c>
      <c r="N2907" s="31" t="str">
        <f>IF($L2907="","",INDEX($B$8:$B$5007,$L2907))</f>
        <v/>
      </c>
      <c r="O2907" s="32" t="str">
        <f>IF($M2907="","",IF($K2907-$M2907&gt;7,"",IF($M2907&lt;=$A2907,"",IF(OR($B2907&lt;=0,$N2907&lt;=0),"",($N2907/$B2907)^(365/($M2907-$A2907))-1))))</f>
        <v/>
      </c>
      <c r="P2907" s="31" t="str">
        <f>IF($B2907="","",IF($P2906="",$B2907,MAX($P2906,$B2907)))</f>
        <v/>
      </c>
      <c r="Q2907" s="32" t="str">
        <f>IF($P2907="","",$B2907/$P2907-1)</f>
        <v/>
      </c>
    </row>
    <row r="2908">
      <c r="A2908" s="11" t="n"/>
      <c r="B2908" s="29" t="n"/>
      <c r="K2908" s="30" t="str">
        <f>IF($A2908="","",EDATE($A2908,12*$E$4))</f>
        <v/>
      </c>
      <c r="L2908" s="19" t="str">
        <f>IF($K2908="","",IF($K2908&gt;MAX($A$8:$A$5007),"",IFERROR(MATCH($K2908,$A$8:$A$5007,1),"")))</f>
        <v/>
      </c>
      <c r="M2908" s="30" t="str">
        <f>IF($L2908="","",INDEX($A$8:$A$5007,$L2908))</f>
        <v/>
      </c>
      <c r="N2908" s="31" t="str">
        <f>IF($L2908="","",INDEX($B$8:$B$5007,$L2908))</f>
        <v/>
      </c>
      <c r="O2908" s="32" t="str">
        <f>IF($M2908="","",IF($K2908-$M2908&gt;7,"",IF($M2908&lt;=$A2908,"",IF(OR($B2908&lt;=0,$N2908&lt;=0),"",($N2908/$B2908)^(365/($M2908-$A2908))-1))))</f>
        <v/>
      </c>
      <c r="P2908" s="31" t="str">
        <f>IF($B2908="","",IF($P2907="",$B2908,MAX($P2907,$B2908)))</f>
        <v/>
      </c>
      <c r="Q2908" s="32" t="str">
        <f>IF($P2908="","",$B2908/$P2908-1)</f>
        <v/>
      </c>
    </row>
    <row r="2909">
      <c r="A2909" s="11" t="n"/>
      <c r="B2909" s="29" t="n"/>
      <c r="K2909" s="30" t="str">
        <f>IF($A2909="","",EDATE($A2909,12*$E$4))</f>
        <v/>
      </c>
      <c r="L2909" s="19" t="str">
        <f>IF($K2909="","",IF($K2909&gt;MAX($A$8:$A$5007),"",IFERROR(MATCH($K2909,$A$8:$A$5007,1),"")))</f>
        <v/>
      </c>
      <c r="M2909" s="30" t="str">
        <f>IF($L2909="","",INDEX($A$8:$A$5007,$L2909))</f>
        <v/>
      </c>
      <c r="N2909" s="31" t="str">
        <f>IF($L2909="","",INDEX($B$8:$B$5007,$L2909))</f>
        <v/>
      </c>
      <c r="O2909" s="32" t="str">
        <f>IF($M2909="","",IF($K2909-$M2909&gt;7,"",IF($M2909&lt;=$A2909,"",IF(OR($B2909&lt;=0,$N2909&lt;=0),"",($N2909/$B2909)^(365/($M2909-$A2909))-1))))</f>
        <v/>
      </c>
      <c r="P2909" s="31" t="str">
        <f>IF($B2909="","",IF($P2908="",$B2909,MAX($P2908,$B2909)))</f>
        <v/>
      </c>
      <c r="Q2909" s="32" t="str">
        <f>IF($P2909="","",$B2909/$P2909-1)</f>
        <v/>
      </c>
    </row>
    <row r="2910">
      <c r="A2910" s="11" t="n"/>
      <c r="B2910" s="29" t="n"/>
      <c r="K2910" s="30" t="str">
        <f>IF($A2910="","",EDATE($A2910,12*$E$4))</f>
        <v/>
      </c>
      <c r="L2910" s="19" t="str">
        <f>IF($K2910="","",IF($K2910&gt;MAX($A$8:$A$5007),"",IFERROR(MATCH($K2910,$A$8:$A$5007,1),"")))</f>
        <v/>
      </c>
      <c r="M2910" s="30" t="str">
        <f>IF($L2910="","",INDEX($A$8:$A$5007,$L2910))</f>
        <v/>
      </c>
      <c r="N2910" s="31" t="str">
        <f>IF($L2910="","",INDEX($B$8:$B$5007,$L2910))</f>
        <v/>
      </c>
      <c r="O2910" s="32" t="str">
        <f>IF($M2910="","",IF($K2910-$M2910&gt;7,"",IF($M2910&lt;=$A2910,"",IF(OR($B2910&lt;=0,$N2910&lt;=0),"",($N2910/$B2910)^(365/($M2910-$A2910))-1))))</f>
        <v/>
      </c>
      <c r="P2910" s="31" t="str">
        <f>IF($B2910="","",IF($P2909="",$B2910,MAX($P2909,$B2910)))</f>
        <v/>
      </c>
      <c r="Q2910" s="32" t="str">
        <f>IF($P2910="","",$B2910/$P2910-1)</f>
        <v/>
      </c>
    </row>
    <row r="2911">
      <c r="A2911" s="11" t="n"/>
      <c r="B2911" s="29" t="n"/>
      <c r="K2911" s="30" t="str">
        <f>IF($A2911="","",EDATE($A2911,12*$E$4))</f>
        <v/>
      </c>
      <c r="L2911" s="19" t="str">
        <f>IF($K2911="","",IF($K2911&gt;MAX($A$8:$A$5007),"",IFERROR(MATCH($K2911,$A$8:$A$5007,1),"")))</f>
        <v/>
      </c>
      <c r="M2911" s="30" t="str">
        <f>IF($L2911="","",INDEX($A$8:$A$5007,$L2911))</f>
        <v/>
      </c>
      <c r="N2911" s="31" t="str">
        <f>IF($L2911="","",INDEX($B$8:$B$5007,$L2911))</f>
        <v/>
      </c>
      <c r="O2911" s="32" t="str">
        <f>IF($M2911="","",IF($K2911-$M2911&gt;7,"",IF($M2911&lt;=$A2911,"",IF(OR($B2911&lt;=0,$N2911&lt;=0),"",($N2911/$B2911)^(365/($M2911-$A2911))-1))))</f>
        <v/>
      </c>
      <c r="P2911" s="31" t="str">
        <f>IF($B2911="","",IF($P2910="",$B2911,MAX($P2910,$B2911)))</f>
        <v/>
      </c>
      <c r="Q2911" s="32" t="str">
        <f>IF($P2911="","",$B2911/$P2911-1)</f>
        <v/>
      </c>
    </row>
    <row r="2912">
      <c r="A2912" s="11" t="n"/>
      <c r="B2912" s="29" t="n"/>
      <c r="K2912" s="30" t="str">
        <f>IF($A2912="","",EDATE($A2912,12*$E$4))</f>
        <v/>
      </c>
      <c r="L2912" s="19" t="str">
        <f>IF($K2912="","",IF($K2912&gt;MAX($A$8:$A$5007),"",IFERROR(MATCH($K2912,$A$8:$A$5007,1),"")))</f>
        <v/>
      </c>
      <c r="M2912" s="30" t="str">
        <f>IF($L2912="","",INDEX($A$8:$A$5007,$L2912))</f>
        <v/>
      </c>
      <c r="N2912" s="31" t="str">
        <f>IF($L2912="","",INDEX($B$8:$B$5007,$L2912))</f>
        <v/>
      </c>
      <c r="O2912" s="32" t="str">
        <f>IF($M2912="","",IF($K2912-$M2912&gt;7,"",IF($M2912&lt;=$A2912,"",IF(OR($B2912&lt;=0,$N2912&lt;=0),"",($N2912/$B2912)^(365/($M2912-$A2912))-1))))</f>
        <v/>
      </c>
      <c r="P2912" s="31" t="str">
        <f>IF($B2912="","",IF($P2911="",$B2912,MAX($P2911,$B2912)))</f>
        <v/>
      </c>
      <c r="Q2912" s="32" t="str">
        <f>IF($P2912="","",$B2912/$P2912-1)</f>
        <v/>
      </c>
    </row>
    <row r="2913">
      <c r="A2913" s="11" t="n"/>
      <c r="B2913" s="29" t="n"/>
      <c r="K2913" s="30" t="str">
        <f>IF($A2913="","",EDATE($A2913,12*$E$4))</f>
        <v/>
      </c>
      <c r="L2913" s="19" t="str">
        <f>IF($K2913="","",IF($K2913&gt;MAX($A$8:$A$5007),"",IFERROR(MATCH($K2913,$A$8:$A$5007,1),"")))</f>
        <v/>
      </c>
      <c r="M2913" s="30" t="str">
        <f>IF($L2913="","",INDEX($A$8:$A$5007,$L2913))</f>
        <v/>
      </c>
      <c r="N2913" s="31" t="str">
        <f>IF($L2913="","",INDEX($B$8:$B$5007,$L2913))</f>
        <v/>
      </c>
      <c r="O2913" s="32" t="str">
        <f>IF($M2913="","",IF($K2913-$M2913&gt;7,"",IF($M2913&lt;=$A2913,"",IF(OR($B2913&lt;=0,$N2913&lt;=0),"",($N2913/$B2913)^(365/($M2913-$A2913))-1))))</f>
        <v/>
      </c>
      <c r="P2913" s="31" t="str">
        <f>IF($B2913="","",IF($P2912="",$B2913,MAX($P2912,$B2913)))</f>
        <v/>
      </c>
      <c r="Q2913" s="32" t="str">
        <f>IF($P2913="","",$B2913/$P2913-1)</f>
        <v/>
      </c>
    </row>
    <row r="2914">
      <c r="A2914" s="11" t="n"/>
      <c r="B2914" s="29" t="n"/>
      <c r="K2914" s="30" t="str">
        <f>IF($A2914="","",EDATE($A2914,12*$E$4))</f>
        <v/>
      </c>
      <c r="L2914" s="19" t="str">
        <f>IF($K2914="","",IF($K2914&gt;MAX($A$8:$A$5007),"",IFERROR(MATCH($K2914,$A$8:$A$5007,1),"")))</f>
        <v/>
      </c>
      <c r="M2914" s="30" t="str">
        <f>IF($L2914="","",INDEX($A$8:$A$5007,$L2914))</f>
        <v/>
      </c>
      <c r="N2914" s="31" t="str">
        <f>IF($L2914="","",INDEX($B$8:$B$5007,$L2914))</f>
        <v/>
      </c>
      <c r="O2914" s="32" t="str">
        <f>IF($M2914="","",IF($K2914-$M2914&gt;7,"",IF($M2914&lt;=$A2914,"",IF(OR($B2914&lt;=0,$N2914&lt;=0),"",($N2914/$B2914)^(365/($M2914-$A2914))-1))))</f>
        <v/>
      </c>
      <c r="P2914" s="31" t="str">
        <f>IF($B2914="","",IF($P2913="",$B2914,MAX($P2913,$B2914)))</f>
        <v/>
      </c>
      <c r="Q2914" s="32" t="str">
        <f>IF($P2914="","",$B2914/$P2914-1)</f>
        <v/>
      </c>
    </row>
    <row r="2915">
      <c r="A2915" s="11" t="n"/>
      <c r="B2915" s="29" t="n"/>
      <c r="K2915" s="30" t="str">
        <f>IF($A2915="","",EDATE($A2915,12*$E$4))</f>
        <v/>
      </c>
      <c r="L2915" s="19" t="str">
        <f>IF($K2915="","",IF($K2915&gt;MAX($A$8:$A$5007),"",IFERROR(MATCH($K2915,$A$8:$A$5007,1),"")))</f>
        <v/>
      </c>
      <c r="M2915" s="30" t="str">
        <f>IF($L2915="","",INDEX($A$8:$A$5007,$L2915))</f>
        <v/>
      </c>
      <c r="N2915" s="31" t="str">
        <f>IF($L2915="","",INDEX($B$8:$B$5007,$L2915))</f>
        <v/>
      </c>
      <c r="O2915" s="32" t="str">
        <f>IF($M2915="","",IF($K2915-$M2915&gt;7,"",IF($M2915&lt;=$A2915,"",IF(OR($B2915&lt;=0,$N2915&lt;=0),"",($N2915/$B2915)^(365/($M2915-$A2915))-1))))</f>
        <v/>
      </c>
      <c r="P2915" s="31" t="str">
        <f>IF($B2915="","",IF($P2914="",$B2915,MAX($P2914,$B2915)))</f>
        <v/>
      </c>
      <c r="Q2915" s="32" t="str">
        <f>IF($P2915="","",$B2915/$P2915-1)</f>
        <v/>
      </c>
    </row>
    <row r="2916">
      <c r="A2916" s="11" t="n"/>
      <c r="B2916" s="29" t="n"/>
      <c r="K2916" s="30" t="str">
        <f>IF($A2916="","",EDATE($A2916,12*$E$4))</f>
        <v/>
      </c>
      <c r="L2916" s="19" t="str">
        <f>IF($K2916="","",IF($K2916&gt;MAX($A$8:$A$5007),"",IFERROR(MATCH($K2916,$A$8:$A$5007,1),"")))</f>
        <v/>
      </c>
      <c r="M2916" s="30" t="str">
        <f>IF($L2916="","",INDEX($A$8:$A$5007,$L2916))</f>
        <v/>
      </c>
      <c r="N2916" s="31" t="str">
        <f>IF($L2916="","",INDEX($B$8:$B$5007,$L2916))</f>
        <v/>
      </c>
      <c r="O2916" s="32" t="str">
        <f>IF($M2916="","",IF($K2916-$M2916&gt;7,"",IF($M2916&lt;=$A2916,"",IF(OR($B2916&lt;=0,$N2916&lt;=0),"",($N2916/$B2916)^(365/($M2916-$A2916))-1))))</f>
        <v/>
      </c>
      <c r="P2916" s="31" t="str">
        <f>IF($B2916="","",IF($P2915="",$B2916,MAX($P2915,$B2916)))</f>
        <v/>
      </c>
      <c r="Q2916" s="32" t="str">
        <f>IF($P2916="","",$B2916/$P2916-1)</f>
        <v/>
      </c>
    </row>
    <row r="2917">
      <c r="A2917" s="11" t="n"/>
      <c r="B2917" s="29" t="n"/>
      <c r="K2917" s="30" t="str">
        <f>IF($A2917="","",EDATE($A2917,12*$E$4))</f>
        <v/>
      </c>
      <c r="L2917" s="19" t="str">
        <f>IF($K2917="","",IF($K2917&gt;MAX($A$8:$A$5007),"",IFERROR(MATCH($K2917,$A$8:$A$5007,1),"")))</f>
        <v/>
      </c>
      <c r="M2917" s="30" t="str">
        <f>IF($L2917="","",INDEX($A$8:$A$5007,$L2917))</f>
        <v/>
      </c>
      <c r="N2917" s="31" t="str">
        <f>IF($L2917="","",INDEX($B$8:$B$5007,$L2917))</f>
        <v/>
      </c>
      <c r="O2917" s="32" t="str">
        <f>IF($M2917="","",IF($K2917-$M2917&gt;7,"",IF($M2917&lt;=$A2917,"",IF(OR($B2917&lt;=0,$N2917&lt;=0),"",($N2917/$B2917)^(365/($M2917-$A2917))-1))))</f>
        <v/>
      </c>
      <c r="P2917" s="31" t="str">
        <f>IF($B2917="","",IF($P2916="",$B2917,MAX($P2916,$B2917)))</f>
        <v/>
      </c>
      <c r="Q2917" s="32" t="str">
        <f>IF($P2917="","",$B2917/$P2917-1)</f>
        <v/>
      </c>
    </row>
    <row r="2918">
      <c r="A2918" s="11" t="n"/>
      <c r="B2918" s="29" t="n"/>
      <c r="K2918" s="30" t="str">
        <f>IF($A2918="","",EDATE($A2918,12*$E$4))</f>
        <v/>
      </c>
      <c r="L2918" s="19" t="str">
        <f>IF($K2918="","",IF($K2918&gt;MAX($A$8:$A$5007),"",IFERROR(MATCH($K2918,$A$8:$A$5007,1),"")))</f>
        <v/>
      </c>
      <c r="M2918" s="30" t="str">
        <f>IF($L2918="","",INDEX($A$8:$A$5007,$L2918))</f>
        <v/>
      </c>
      <c r="N2918" s="31" t="str">
        <f>IF($L2918="","",INDEX($B$8:$B$5007,$L2918))</f>
        <v/>
      </c>
      <c r="O2918" s="32" t="str">
        <f>IF($M2918="","",IF($K2918-$M2918&gt;7,"",IF($M2918&lt;=$A2918,"",IF(OR($B2918&lt;=0,$N2918&lt;=0),"",($N2918/$B2918)^(365/($M2918-$A2918))-1))))</f>
        <v/>
      </c>
      <c r="P2918" s="31" t="str">
        <f>IF($B2918="","",IF($P2917="",$B2918,MAX($P2917,$B2918)))</f>
        <v/>
      </c>
      <c r="Q2918" s="32" t="str">
        <f>IF($P2918="","",$B2918/$P2918-1)</f>
        <v/>
      </c>
    </row>
    <row r="2919">
      <c r="A2919" s="11" t="n"/>
      <c r="B2919" s="29" t="n"/>
      <c r="K2919" s="30" t="str">
        <f>IF($A2919="","",EDATE($A2919,12*$E$4))</f>
        <v/>
      </c>
      <c r="L2919" s="19" t="str">
        <f>IF($K2919="","",IF($K2919&gt;MAX($A$8:$A$5007),"",IFERROR(MATCH($K2919,$A$8:$A$5007,1),"")))</f>
        <v/>
      </c>
      <c r="M2919" s="30" t="str">
        <f>IF($L2919="","",INDEX($A$8:$A$5007,$L2919))</f>
        <v/>
      </c>
      <c r="N2919" s="31" t="str">
        <f>IF($L2919="","",INDEX($B$8:$B$5007,$L2919))</f>
        <v/>
      </c>
      <c r="O2919" s="32" t="str">
        <f>IF($M2919="","",IF($K2919-$M2919&gt;7,"",IF($M2919&lt;=$A2919,"",IF(OR($B2919&lt;=0,$N2919&lt;=0),"",($N2919/$B2919)^(365/($M2919-$A2919))-1))))</f>
        <v/>
      </c>
      <c r="P2919" s="31" t="str">
        <f>IF($B2919="","",IF($P2918="",$B2919,MAX($P2918,$B2919)))</f>
        <v/>
      </c>
      <c r="Q2919" s="32" t="str">
        <f>IF($P2919="","",$B2919/$P2919-1)</f>
        <v/>
      </c>
    </row>
    <row r="2920">
      <c r="A2920" s="11" t="n"/>
      <c r="B2920" s="29" t="n"/>
      <c r="K2920" s="30" t="str">
        <f>IF($A2920="","",EDATE($A2920,12*$E$4))</f>
        <v/>
      </c>
      <c r="L2920" s="19" t="str">
        <f>IF($K2920="","",IF($K2920&gt;MAX($A$8:$A$5007),"",IFERROR(MATCH($K2920,$A$8:$A$5007,1),"")))</f>
        <v/>
      </c>
      <c r="M2920" s="30" t="str">
        <f>IF($L2920="","",INDEX($A$8:$A$5007,$L2920))</f>
        <v/>
      </c>
      <c r="N2920" s="31" t="str">
        <f>IF($L2920="","",INDEX($B$8:$B$5007,$L2920))</f>
        <v/>
      </c>
      <c r="O2920" s="32" t="str">
        <f>IF($M2920="","",IF($K2920-$M2920&gt;7,"",IF($M2920&lt;=$A2920,"",IF(OR($B2920&lt;=0,$N2920&lt;=0),"",($N2920/$B2920)^(365/($M2920-$A2920))-1))))</f>
        <v/>
      </c>
      <c r="P2920" s="31" t="str">
        <f>IF($B2920="","",IF($P2919="",$B2920,MAX($P2919,$B2920)))</f>
        <v/>
      </c>
      <c r="Q2920" s="32" t="str">
        <f>IF($P2920="","",$B2920/$P2920-1)</f>
        <v/>
      </c>
    </row>
    <row r="2921">
      <c r="A2921" s="11" t="n"/>
      <c r="B2921" s="29" t="n"/>
      <c r="K2921" s="30" t="str">
        <f>IF($A2921="","",EDATE($A2921,12*$E$4))</f>
        <v/>
      </c>
      <c r="L2921" s="19" t="str">
        <f>IF($K2921="","",IF($K2921&gt;MAX($A$8:$A$5007),"",IFERROR(MATCH($K2921,$A$8:$A$5007,1),"")))</f>
        <v/>
      </c>
      <c r="M2921" s="30" t="str">
        <f>IF($L2921="","",INDEX($A$8:$A$5007,$L2921))</f>
        <v/>
      </c>
      <c r="N2921" s="31" t="str">
        <f>IF($L2921="","",INDEX($B$8:$B$5007,$L2921))</f>
        <v/>
      </c>
      <c r="O2921" s="32" t="str">
        <f>IF($M2921="","",IF($K2921-$M2921&gt;7,"",IF($M2921&lt;=$A2921,"",IF(OR($B2921&lt;=0,$N2921&lt;=0),"",($N2921/$B2921)^(365/($M2921-$A2921))-1))))</f>
        <v/>
      </c>
      <c r="P2921" s="31" t="str">
        <f>IF($B2921="","",IF($P2920="",$B2921,MAX($P2920,$B2921)))</f>
        <v/>
      </c>
      <c r="Q2921" s="32" t="str">
        <f>IF($P2921="","",$B2921/$P2921-1)</f>
        <v/>
      </c>
    </row>
    <row r="2922">
      <c r="A2922" s="11" t="n"/>
      <c r="B2922" s="29" t="n"/>
      <c r="K2922" s="30" t="str">
        <f>IF($A2922="","",EDATE($A2922,12*$E$4))</f>
        <v/>
      </c>
      <c r="L2922" s="19" t="str">
        <f>IF($K2922="","",IF($K2922&gt;MAX($A$8:$A$5007),"",IFERROR(MATCH($K2922,$A$8:$A$5007,1),"")))</f>
        <v/>
      </c>
      <c r="M2922" s="30" t="str">
        <f>IF($L2922="","",INDEX($A$8:$A$5007,$L2922))</f>
        <v/>
      </c>
      <c r="N2922" s="31" t="str">
        <f>IF($L2922="","",INDEX($B$8:$B$5007,$L2922))</f>
        <v/>
      </c>
      <c r="O2922" s="32" t="str">
        <f>IF($M2922="","",IF($K2922-$M2922&gt;7,"",IF($M2922&lt;=$A2922,"",IF(OR($B2922&lt;=0,$N2922&lt;=0),"",($N2922/$B2922)^(365/($M2922-$A2922))-1))))</f>
        <v/>
      </c>
      <c r="P2922" s="31" t="str">
        <f>IF($B2922="","",IF($P2921="",$B2922,MAX($P2921,$B2922)))</f>
        <v/>
      </c>
      <c r="Q2922" s="32" t="str">
        <f>IF($P2922="","",$B2922/$P2922-1)</f>
        <v/>
      </c>
    </row>
    <row r="2923">
      <c r="A2923" s="11" t="n"/>
      <c r="B2923" s="29" t="n"/>
      <c r="K2923" s="30" t="str">
        <f>IF($A2923="","",EDATE($A2923,12*$E$4))</f>
        <v/>
      </c>
      <c r="L2923" s="19" t="str">
        <f>IF($K2923="","",IF($K2923&gt;MAX($A$8:$A$5007),"",IFERROR(MATCH($K2923,$A$8:$A$5007,1),"")))</f>
        <v/>
      </c>
      <c r="M2923" s="30" t="str">
        <f>IF($L2923="","",INDEX($A$8:$A$5007,$L2923))</f>
        <v/>
      </c>
      <c r="N2923" s="31" t="str">
        <f>IF($L2923="","",INDEX($B$8:$B$5007,$L2923))</f>
        <v/>
      </c>
      <c r="O2923" s="32" t="str">
        <f>IF($M2923="","",IF($K2923-$M2923&gt;7,"",IF($M2923&lt;=$A2923,"",IF(OR($B2923&lt;=0,$N2923&lt;=0),"",($N2923/$B2923)^(365/($M2923-$A2923))-1))))</f>
        <v/>
      </c>
      <c r="P2923" s="31" t="str">
        <f>IF($B2923="","",IF($P2922="",$B2923,MAX($P2922,$B2923)))</f>
        <v/>
      </c>
      <c r="Q2923" s="32" t="str">
        <f>IF($P2923="","",$B2923/$P2923-1)</f>
        <v/>
      </c>
    </row>
    <row r="2924">
      <c r="A2924" s="11" t="n"/>
      <c r="B2924" s="29" t="n"/>
      <c r="K2924" s="30" t="str">
        <f>IF($A2924="","",EDATE($A2924,12*$E$4))</f>
        <v/>
      </c>
      <c r="L2924" s="19" t="str">
        <f>IF($K2924="","",IF($K2924&gt;MAX($A$8:$A$5007),"",IFERROR(MATCH($K2924,$A$8:$A$5007,1),"")))</f>
        <v/>
      </c>
      <c r="M2924" s="30" t="str">
        <f>IF($L2924="","",INDEX($A$8:$A$5007,$L2924))</f>
        <v/>
      </c>
      <c r="N2924" s="31" t="str">
        <f>IF($L2924="","",INDEX($B$8:$B$5007,$L2924))</f>
        <v/>
      </c>
      <c r="O2924" s="32" t="str">
        <f>IF($M2924="","",IF($K2924-$M2924&gt;7,"",IF($M2924&lt;=$A2924,"",IF(OR($B2924&lt;=0,$N2924&lt;=0),"",($N2924/$B2924)^(365/($M2924-$A2924))-1))))</f>
        <v/>
      </c>
      <c r="P2924" s="31" t="str">
        <f>IF($B2924="","",IF($P2923="",$B2924,MAX($P2923,$B2924)))</f>
        <v/>
      </c>
      <c r="Q2924" s="32" t="str">
        <f>IF($P2924="","",$B2924/$P2924-1)</f>
        <v/>
      </c>
    </row>
    <row r="2925">
      <c r="A2925" s="11" t="n"/>
      <c r="B2925" s="29" t="n"/>
      <c r="K2925" s="30" t="str">
        <f>IF($A2925="","",EDATE($A2925,12*$E$4))</f>
        <v/>
      </c>
      <c r="L2925" s="19" t="str">
        <f>IF($K2925="","",IF($K2925&gt;MAX($A$8:$A$5007),"",IFERROR(MATCH($K2925,$A$8:$A$5007,1),"")))</f>
        <v/>
      </c>
      <c r="M2925" s="30" t="str">
        <f>IF($L2925="","",INDEX($A$8:$A$5007,$L2925))</f>
        <v/>
      </c>
      <c r="N2925" s="31" t="str">
        <f>IF($L2925="","",INDEX($B$8:$B$5007,$L2925))</f>
        <v/>
      </c>
      <c r="O2925" s="32" t="str">
        <f>IF($M2925="","",IF($K2925-$M2925&gt;7,"",IF($M2925&lt;=$A2925,"",IF(OR($B2925&lt;=0,$N2925&lt;=0),"",($N2925/$B2925)^(365/($M2925-$A2925))-1))))</f>
        <v/>
      </c>
      <c r="P2925" s="31" t="str">
        <f>IF($B2925="","",IF($P2924="",$B2925,MAX($P2924,$B2925)))</f>
        <v/>
      </c>
      <c r="Q2925" s="32" t="str">
        <f>IF($P2925="","",$B2925/$P2925-1)</f>
        <v/>
      </c>
    </row>
    <row r="2926">
      <c r="A2926" s="11" t="n"/>
      <c r="B2926" s="29" t="n"/>
      <c r="K2926" s="30" t="str">
        <f>IF($A2926="","",EDATE($A2926,12*$E$4))</f>
        <v/>
      </c>
      <c r="L2926" s="19" t="str">
        <f>IF($K2926="","",IF($K2926&gt;MAX($A$8:$A$5007),"",IFERROR(MATCH($K2926,$A$8:$A$5007,1),"")))</f>
        <v/>
      </c>
      <c r="M2926" s="30" t="str">
        <f>IF($L2926="","",INDEX($A$8:$A$5007,$L2926))</f>
        <v/>
      </c>
      <c r="N2926" s="31" t="str">
        <f>IF($L2926="","",INDEX($B$8:$B$5007,$L2926))</f>
        <v/>
      </c>
      <c r="O2926" s="32" t="str">
        <f>IF($M2926="","",IF($K2926-$M2926&gt;7,"",IF($M2926&lt;=$A2926,"",IF(OR($B2926&lt;=0,$N2926&lt;=0),"",($N2926/$B2926)^(365/($M2926-$A2926))-1))))</f>
        <v/>
      </c>
      <c r="P2926" s="31" t="str">
        <f>IF($B2926="","",IF($P2925="",$B2926,MAX($P2925,$B2926)))</f>
        <v/>
      </c>
      <c r="Q2926" s="32" t="str">
        <f>IF($P2926="","",$B2926/$P2926-1)</f>
        <v/>
      </c>
    </row>
    <row r="2927">
      <c r="A2927" s="11" t="n"/>
      <c r="B2927" s="29" t="n"/>
      <c r="K2927" s="30" t="str">
        <f>IF($A2927="","",EDATE($A2927,12*$E$4))</f>
        <v/>
      </c>
      <c r="L2927" s="19" t="str">
        <f>IF($K2927="","",IF($K2927&gt;MAX($A$8:$A$5007),"",IFERROR(MATCH($K2927,$A$8:$A$5007,1),"")))</f>
        <v/>
      </c>
      <c r="M2927" s="30" t="str">
        <f>IF($L2927="","",INDEX($A$8:$A$5007,$L2927))</f>
        <v/>
      </c>
      <c r="N2927" s="31" t="str">
        <f>IF($L2927="","",INDEX($B$8:$B$5007,$L2927))</f>
        <v/>
      </c>
      <c r="O2927" s="32" t="str">
        <f>IF($M2927="","",IF($K2927-$M2927&gt;7,"",IF($M2927&lt;=$A2927,"",IF(OR($B2927&lt;=0,$N2927&lt;=0),"",($N2927/$B2927)^(365/($M2927-$A2927))-1))))</f>
        <v/>
      </c>
      <c r="P2927" s="31" t="str">
        <f>IF($B2927="","",IF($P2926="",$B2927,MAX($P2926,$B2927)))</f>
        <v/>
      </c>
      <c r="Q2927" s="32" t="str">
        <f>IF($P2927="","",$B2927/$P2927-1)</f>
        <v/>
      </c>
    </row>
    <row r="2928">
      <c r="A2928" s="11" t="n"/>
      <c r="B2928" s="29" t="n"/>
      <c r="K2928" s="30" t="str">
        <f>IF($A2928="","",EDATE($A2928,12*$E$4))</f>
        <v/>
      </c>
      <c r="L2928" s="19" t="str">
        <f>IF($K2928="","",IF($K2928&gt;MAX($A$8:$A$5007),"",IFERROR(MATCH($K2928,$A$8:$A$5007,1),"")))</f>
        <v/>
      </c>
      <c r="M2928" s="30" t="str">
        <f>IF($L2928="","",INDEX($A$8:$A$5007,$L2928))</f>
        <v/>
      </c>
      <c r="N2928" s="31" t="str">
        <f>IF($L2928="","",INDEX($B$8:$B$5007,$L2928))</f>
        <v/>
      </c>
      <c r="O2928" s="32" t="str">
        <f>IF($M2928="","",IF($K2928-$M2928&gt;7,"",IF($M2928&lt;=$A2928,"",IF(OR($B2928&lt;=0,$N2928&lt;=0),"",($N2928/$B2928)^(365/($M2928-$A2928))-1))))</f>
        <v/>
      </c>
      <c r="P2928" s="31" t="str">
        <f>IF($B2928="","",IF($P2927="",$B2928,MAX($P2927,$B2928)))</f>
        <v/>
      </c>
      <c r="Q2928" s="32" t="str">
        <f>IF($P2928="","",$B2928/$P2928-1)</f>
        <v/>
      </c>
    </row>
    <row r="2929">
      <c r="A2929" s="11" t="n"/>
      <c r="B2929" s="29" t="n"/>
      <c r="K2929" s="30" t="str">
        <f>IF($A2929="","",EDATE($A2929,12*$E$4))</f>
        <v/>
      </c>
      <c r="L2929" s="19" t="str">
        <f>IF($K2929="","",IF($K2929&gt;MAX($A$8:$A$5007),"",IFERROR(MATCH($K2929,$A$8:$A$5007,1),"")))</f>
        <v/>
      </c>
      <c r="M2929" s="30" t="str">
        <f>IF($L2929="","",INDEX($A$8:$A$5007,$L2929))</f>
        <v/>
      </c>
      <c r="N2929" s="31" t="str">
        <f>IF($L2929="","",INDEX($B$8:$B$5007,$L2929))</f>
        <v/>
      </c>
      <c r="O2929" s="32" t="str">
        <f>IF($M2929="","",IF($K2929-$M2929&gt;7,"",IF($M2929&lt;=$A2929,"",IF(OR($B2929&lt;=0,$N2929&lt;=0),"",($N2929/$B2929)^(365/($M2929-$A2929))-1))))</f>
        <v/>
      </c>
      <c r="P2929" s="31" t="str">
        <f>IF($B2929="","",IF($P2928="",$B2929,MAX($P2928,$B2929)))</f>
        <v/>
      </c>
      <c r="Q2929" s="32" t="str">
        <f>IF($P2929="","",$B2929/$P2929-1)</f>
        <v/>
      </c>
    </row>
    <row r="2930">
      <c r="A2930" s="11" t="n"/>
      <c r="B2930" s="29" t="n"/>
      <c r="K2930" s="30" t="str">
        <f>IF($A2930="","",EDATE($A2930,12*$E$4))</f>
        <v/>
      </c>
      <c r="L2930" s="19" t="str">
        <f>IF($K2930="","",IF($K2930&gt;MAX($A$8:$A$5007),"",IFERROR(MATCH($K2930,$A$8:$A$5007,1),"")))</f>
        <v/>
      </c>
      <c r="M2930" s="30" t="str">
        <f>IF($L2930="","",INDEX($A$8:$A$5007,$L2930))</f>
        <v/>
      </c>
      <c r="N2930" s="31" t="str">
        <f>IF($L2930="","",INDEX($B$8:$B$5007,$L2930))</f>
        <v/>
      </c>
      <c r="O2930" s="32" t="str">
        <f>IF($M2930="","",IF($K2930-$M2930&gt;7,"",IF($M2930&lt;=$A2930,"",IF(OR($B2930&lt;=0,$N2930&lt;=0),"",($N2930/$B2930)^(365/($M2930-$A2930))-1))))</f>
        <v/>
      </c>
      <c r="P2930" s="31" t="str">
        <f>IF($B2930="","",IF($P2929="",$B2930,MAX($P2929,$B2930)))</f>
        <v/>
      </c>
      <c r="Q2930" s="32" t="str">
        <f>IF($P2930="","",$B2930/$P2930-1)</f>
        <v/>
      </c>
    </row>
    <row r="2931">
      <c r="A2931" s="11" t="n"/>
      <c r="B2931" s="29" t="n"/>
      <c r="K2931" s="30" t="str">
        <f>IF($A2931="","",EDATE($A2931,12*$E$4))</f>
        <v/>
      </c>
      <c r="L2931" s="19" t="str">
        <f>IF($K2931="","",IF($K2931&gt;MAX($A$8:$A$5007),"",IFERROR(MATCH($K2931,$A$8:$A$5007,1),"")))</f>
        <v/>
      </c>
      <c r="M2931" s="30" t="str">
        <f>IF($L2931="","",INDEX($A$8:$A$5007,$L2931))</f>
        <v/>
      </c>
      <c r="N2931" s="31" t="str">
        <f>IF($L2931="","",INDEX($B$8:$B$5007,$L2931))</f>
        <v/>
      </c>
      <c r="O2931" s="32" t="str">
        <f>IF($M2931="","",IF($K2931-$M2931&gt;7,"",IF($M2931&lt;=$A2931,"",IF(OR($B2931&lt;=0,$N2931&lt;=0),"",($N2931/$B2931)^(365/($M2931-$A2931))-1))))</f>
        <v/>
      </c>
      <c r="P2931" s="31" t="str">
        <f>IF($B2931="","",IF($P2930="",$B2931,MAX($P2930,$B2931)))</f>
        <v/>
      </c>
      <c r="Q2931" s="32" t="str">
        <f>IF($P2931="","",$B2931/$P2931-1)</f>
        <v/>
      </c>
    </row>
    <row r="2932">
      <c r="A2932" s="11" t="n"/>
      <c r="B2932" s="29" t="n"/>
      <c r="K2932" s="30" t="str">
        <f>IF($A2932="","",EDATE($A2932,12*$E$4))</f>
        <v/>
      </c>
      <c r="L2932" s="19" t="str">
        <f>IF($K2932="","",IF($K2932&gt;MAX($A$8:$A$5007),"",IFERROR(MATCH($K2932,$A$8:$A$5007,1),"")))</f>
        <v/>
      </c>
      <c r="M2932" s="30" t="str">
        <f>IF($L2932="","",INDEX($A$8:$A$5007,$L2932))</f>
        <v/>
      </c>
      <c r="N2932" s="31" t="str">
        <f>IF($L2932="","",INDEX($B$8:$B$5007,$L2932))</f>
        <v/>
      </c>
      <c r="O2932" s="32" t="str">
        <f>IF($M2932="","",IF($K2932-$M2932&gt;7,"",IF($M2932&lt;=$A2932,"",IF(OR($B2932&lt;=0,$N2932&lt;=0),"",($N2932/$B2932)^(365/($M2932-$A2932))-1))))</f>
        <v/>
      </c>
      <c r="P2932" s="31" t="str">
        <f>IF($B2932="","",IF($P2931="",$B2932,MAX($P2931,$B2932)))</f>
        <v/>
      </c>
      <c r="Q2932" s="32" t="str">
        <f>IF($P2932="","",$B2932/$P2932-1)</f>
        <v/>
      </c>
    </row>
    <row r="2933">
      <c r="A2933" s="11" t="n"/>
      <c r="B2933" s="29" t="n"/>
      <c r="K2933" s="30" t="str">
        <f>IF($A2933="","",EDATE($A2933,12*$E$4))</f>
        <v/>
      </c>
      <c r="L2933" s="19" t="str">
        <f>IF($K2933="","",IF($K2933&gt;MAX($A$8:$A$5007),"",IFERROR(MATCH($K2933,$A$8:$A$5007,1),"")))</f>
        <v/>
      </c>
      <c r="M2933" s="30" t="str">
        <f>IF($L2933="","",INDEX($A$8:$A$5007,$L2933))</f>
        <v/>
      </c>
      <c r="N2933" s="31" t="str">
        <f>IF($L2933="","",INDEX($B$8:$B$5007,$L2933))</f>
        <v/>
      </c>
      <c r="O2933" s="32" t="str">
        <f>IF($M2933="","",IF($K2933-$M2933&gt;7,"",IF($M2933&lt;=$A2933,"",IF(OR($B2933&lt;=0,$N2933&lt;=0),"",($N2933/$B2933)^(365/($M2933-$A2933))-1))))</f>
        <v/>
      </c>
      <c r="P2933" s="31" t="str">
        <f>IF($B2933="","",IF($P2932="",$B2933,MAX($P2932,$B2933)))</f>
        <v/>
      </c>
      <c r="Q2933" s="32" t="str">
        <f>IF($P2933="","",$B2933/$P2933-1)</f>
        <v/>
      </c>
    </row>
    <row r="2934">
      <c r="A2934" s="11" t="n"/>
      <c r="B2934" s="29" t="n"/>
      <c r="K2934" s="30" t="str">
        <f>IF($A2934="","",EDATE($A2934,12*$E$4))</f>
        <v/>
      </c>
      <c r="L2934" s="19" t="str">
        <f>IF($K2934="","",IF($K2934&gt;MAX($A$8:$A$5007),"",IFERROR(MATCH($K2934,$A$8:$A$5007,1),"")))</f>
        <v/>
      </c>
      <c r="M2934" s="30" t="str">
        <f>IF($L2934="","",INDEX($A$8:$A$5007,$L2934))</f>
        <v/>
      </c>
      <c r="N2934" s="31" t="str">
        <f>IF($L2934="","",INDEX($B$8:$B$5007,$L2934))</f>
        <v/>
      </c>
      <c r="O2934" s="32" t="str">
        <f>IF($M2934="","",IF($K2934-$M2934&gt;7,"",IF($M2934&lt;=$A2934,"",IF(OR($B2934&lt;=0,$N2934&lt;=0),"",($N2934/$B2934)^(365/($M2934-$A2934))-1))))</f>
        <v/>
      </c>
      <c r="P2934" s="31" t="str">
        <f>IF($B2934="","",IF($P2933="",$B2934,MAX($P2933,$B2934)))</f>
        <v/>
      </c>
      <c r="Q2934" s="32" t="str">
        <f>IF($P2934="","",$B2934/$P2934-1)</f>
        <v/>
      </c>
    </row>
    <row r="2935">
      <c r="A2935" s="11" t="n"/>
      <c r="B2935" s="29" t="n"/>
      <c r="K2935" s="30" t="str">
        <f>IF($A2935="","",EDATE($A2935,12*$E$4))</f>
        <v/>
      </c>
      <c r="L2935" s="19" t="str">
        <f>IF($K2935="","",IF($K2935&gt;MAX($A$8:$A$5007),"",IFERROR(MATCH($K2935,$A$8:$A$5007,1),"")))</f>
        <v/>
      </c>
      <c r="M2935" s="30" t="str">
        <f>IF($L2935="","",INDEX($A$8:$A$5007,$L2935))</f>
        <v/>
      </c>
      <c r="N2935" s="31" t="str">
        <f>IF($L2935="","",INDEX($B$8:$B$5007,$L2935))</f>
        <v/>
      </c>
      <c r="O2935" s="32" t="str">
        <f>IF($M2935="","",IF($K2935-$M2935&gt;7,"",IF($M2935&lt;=$A2935,"",IF(OR($B2935&lt;=0,$N2935&lt;=0),"",($N2935/$B2935)^(365/($M2935-$A2935))-1))))</f>
        <v/>
      </c>
      <c r="P2935" s="31" t="str">
        <f>IF($B2935="","",IF($P2934="",$B2935,MAX($P2934,$B2935)))</f>
        <v/>
      </c>
      <c r="Q2935" s="32" t="str">
        <f>IF($P2935="","",$B2935/$P2935-1)</f>
        <v/>
      </c>
    </row>
    <row r="2936">
      <c r="A2936" s="11" t="n"/>
      <c r="B2936" s="29" t="n"/>
      <c r="K2936" s="30" t="str">
        <f>IF($A2936="","",EDATE($A2936,12*$E$4))</f>
        <v/>
      </c>
      <c r="L2936" s="19" t="str">
        <f>IF($K2936="","",IF($K2936&gt;MAX($A$8:$A$5007),"",IFERROR(MATCH($K2936,$A$8:$A$5007,1),"")))</f>
        <v/>
      </c>
      <c r="M2936" s="30" t="str">
        <f>IF($L2936="","",INDEX($A$8:$A$5007,$L2936))</f>
        <v/>
      </c>
      <c r="N2936" s="31" t="str">
        <f>IF($L2936="","",INDEX($B$8:$B$5007,$L2936))</f>
        <v/>
      </c>
      <c r="O2936" s="32" t="str">
        <f>IF($M2936="","",IF($K2936-$M2936&gt;7,"",IF($M2936&lt;=$A2936,"",IF(OR($B2936&lt;=0,$N2936&lt;=0),"",($N2936/$B2936)^(365/($M2936-$A2936))-1))))</f>
        <v/>
      </c>
      <c r="P2936" s="31" t="str">
        <f>IF($B2936="","",IF($P2935="",$B2936,MAX($P2935,$B2936)))</f>
        <v/>
      </c>
      <c r="Q2936" s="32" t="str">
        <f>IF($P2936="","",$B2936/$P2936-1)</f>
        <v/>
      </c>
    </row>
    <row r="2937">
      <c r="A2937" s="11" t="n"/>
      <c r="B2937" s="29" t="n"/>
      <c r="K2937" s="30" t="str">
        <f>IF($A2937="","",EDATE($A2937,12*$E$4))</f>
        <v/>
      </c>
      <c r="L2937" s="19" t="str">
        <f>IF($K2937="","",IF($K2937&gt;MAX($A$8:$A$5007),"",IFERROR(MATCH($K2937,$A$8:$A$5007,1),"")))</f>
        <v/>
      </c>
      <c r="M2937" s="30" t="str">
        <f>IF($L2937="","",INDEX($A$8:$A$5007,$L2937))</f>
        <v/>
      </c>
      <c r="N2937" s="31" t="str">
        <f>IF($L2937="","",INDEX($B$8:$B$5007,$L2937))</f>
        <v/>
      </c>
      <c r="O2937" s="32" t="str">
        <f>IF($M2937="","",IF($K2937-$M2937&gt;7,"",IF($M2937&lt;=$A2937,"",IF(OR($B2937&lt;=0,$N2937&lt;=0),"",($N2937/$B2937)^(365/($M2937-$A2937))-1))))</f>
        <v/>
      </c>
      <c r="P2937" s="31" t="str">
        <f>IF($B2937="","",IF($P2936="",$B2937,MAX($P2936,$B2937)))</f>
        <v/>
      </c>
      <c r="Q2937" s="32" t="str">
        <f>IF($P2937="","",$B2937/$P2937-1)</f>
        <v/>
      </c>
    </row>
    <row r="2938">
      <c r="A2938" s="11" t="n"/>
      <c r="B2938" s="29" t="n"/>
      <c r="K2938" s="30" t="str">
        <f>IF($A2938="","",EDATE($A2938,12*$E$4))</f>
        <v/>
      </c>
      <c r="L2938" s="19" t="str">
        <f>IF($K2938="","",IF($K2938&gt;MAX($A$8:$A$5007),"",IFERROR(MATCH($K2938,$A$8:$A$5007,1),"")))</f>
        <v/>
      </c>
      <c r="M2938" s="30" t="str">
        <f>IF($L2938="","",INDEX($A$8:$A$5007,$L2938))</f>
        <v/>
      </c>
      <c r="N2938" s="31" t="str">
        <f>IF($L2938="","",INDEX($B$8:$B$5007,$L2938))</f>
        <v/>
      </c>
      <c r="O2938" s="32" t="str">
        <f>IF($M2938="","",IF($K2938-$M2938&gt;7,"",IF($M2938&lt;=$A2938,"",IF(OR($B2938&lt;=0,$N2938&lt;=0),"",($N2938/$B2938)^(365/($M2938-$A2938))-1))))</f>
        <v/>
      </c>
      <c r="P2938" s="31" t="str">
        <f>IF($B2938="","",IF($P2937="",$B2938,MAX($P2937,$B2938)))</f>
        <v/>
      </c>
      <c r="Q2938" s="32" t="str">
        <f>IF($P2938="","",$B2938/$P2938-1)</f>
        <v/>
      </c>
    </row>
    <row r="2939">
      <c r="A2939" s="11" t="n"/>
      <c r="B2939" s="29" t="n"/>
      <c r="K2939" s="30" t="str">
        <f>IF($A2939="","",EDATE($A2939,12*$E$4))</f>
        <v/>
      </c>
      <c r="L2939" s="19" t="str">
        <f>IF($K2939="","",IF($K2939&gt;MAX($A$8:$A$5007),"",IFERROR(MATCH($K2939,$A$8:$A$5007,1),"")))</f>
        <v/>
      </c>
      <c r="M2939" s="30" t="str">
        <f>IF($L2939="","",INDEX($A$8:$A$5007,$L2939))</f>
        <v/>
      </c>
      <c r="N2939" s="31" t="str">
        <f>IF($L2939="","",INDEX($B$8:$B$5007,$L2939))</f>
        <v/>
      </c>
      <c r="O2939" s="32" t="str">
        <f>IF($M2939="","",IF($K2939-$M2939&gt;7,"",IF($M2939&lt;=$A2939,"",IF(OR($B2939&lt;=0,$N2939&lt;=0),"",($N2939/$B2939)^(365/($M2939-$A2939))-1))))</f>
        <v/>
      </c>
      <c r="P2939" s="31" t="str">
        <f>IF($B2939="","",IF($P2938="",$B2939,MAX($P2938,$B2939)))</f>
        <v/>
      </c>
      <c r="Q2939" s="32" t="str">
        <f>IF($P2939="","",$B2939/$P2939-1)</f>
        <v/>
      </c>
    </row>
    <row r="2940">
      <c r="A2940" s="11" t="n"/>
      <c r="B2940" s="29" t="n"/>
      <c r="K2940" s="30" t="str">
        <f>IF($A2940="","",EDATE($A2940,12*$E$4))</f>
        <v/>
      </c>
      <c r="L2940" s="19" t="str">
        <f>IF($K2940="","",IF($K2940&gt;MAX($A$8:$A$5007),"",IFERROR(MATCH($K2940,$A$8:$A$5007,1),"")))</f>
        <v/>
      </c>
      <c r="M2940" s="30" t="str">
        <f>IF($L2940="","",INDEX($A$8:$A$5007,$L2940))</f>
        <v/>
      </c>
      <c r="N2940" s="31" t="str">
        <f>IF($L2940="","",INDEX($B$8:$B$5007,$L2940))</f>
        <v/>
      </c>
      <c r="O2940" s="32" t="str">
        <f>IF($M2940="","",IF($K2940-$M2940&gt;7,"",IF($M2940&lt;=$A2940,"",IF(OR($B2940&lt;=0,$N2940&lt;=0),"",($N2940/$B2940)^(365/($M2940-$A2940))-1))))</f>
        <v/>
      </c>
      <c r="P2940" s="31" t="str">
        <f>IF($B2940="","",IF($P2939="",$B2940,MAX($P2939,$B2940)))</f>
        <v/>
      </c>
      <c r="Q2940" s="32" t="str">
        <f>IF($P2940="","",$B2940/$P2940-1)</f>
        <v/>
      </c>
    </row>
    <row r="2941">
      <c r="A2941" s="11" t="n"/>
      <c r="B2941" s="29" t="n"/>
      <c r="K2941" s="30" t="str">
        <f>IF($A2941="","",EDATE($A2941,12*$E$4))</f>
        <v/>
      </c>
      <c r="L2941" s="19" t="str">
        <f>IF($K2941="","",IF($K2941&gt;MAX($A$8:$A$5007),"",IFERROR(MATCH($K2941,$A$8:$A$5007,1),"")))</f>
        <v/>
      </c>
      <c r="M2941" s="30" t="str">
        <f>IF($L2941="","",INDEX($A$8:$A$5007,$L2941))</f>
        <v/>
      </c>
      <c r="N2941" s="31" t="str">
        <f>IF($L2941="","",INDEX($B$8:$B$5007,$L2941))</f>
        <v/>
      </c>
      <c r="O2941" s="32" t="str">
        <f>IF($M2941="","",IF($K2941-$M2941&gt;7,"",IF($M2941&lt;=$A2941,"",IF(OR($B2941&lt;=0,$N2941&lt;=0),"",($N2941/$B2941)^(365/($M2941-$A2941))-1))))</f>
        <v/>
      </c>
      <c r="P2941" s="31" t="str">
        <f>IF($B2941="","",IF($P2940="",$B2941,MAX($P2940,$B2941)))</f>
        <v/>
      </c>
      <c r="Q2941" s="32" t="str">
        <f>IF($P2941="","",$B2941/$P2941-1)</f>
        <v/>
      </c>
    </row>
    <row r="2942">
      <c r="A2942" s="11" t="n"/>
      <c r="B2942" s="29" t="n"/>
      <c r="K2942" s="30" t="str">
        <f>IF($A2942="","",EDATE($A2942,12*$E$4))</f>
        <v/>
      </c>
      <c r="L2942" s="19" t="str">
        <f>IF($K2942="","",IF($K2942&gt;MAX($A$8:$A$5007),"",IFERROR(MATCH($K2942,$A$8:$A$5007,1),"")))</f>
        <v/>
      </c>
      <c r="M2942" s="30" t="str">
        <f>IF($L2942="","",INDEX($A$8:$A$5007,$L2942))</f>
        <v/>
      </c>
      <c r="N2942" s="31" t="str">
        <f>IF($L2942="","",INDEX($B$8:$B$5007,$L2942))</f>
        <v/>
      </c>
      <c r="O2942" s="32" t="str">
        <f>IF($M2942="","",IF($K2942-$M2942&gt;7,"",IF($M2942&lt;=$A2942,"",IF(OR($B2942&lt;=0,$N2942&lt;=0),"",($N2942/$B2942)^(365/($M2942-$A2942))-1))))</f>
        <v/>
      </c>
      <c r="P2942" s="31" t="str">
        <f>IF($B2942="","",IF($P2941="",$B2942,MAX($P2941,$B2942)))</f>
        <v/>
      </c>
      <c r="Q2942" s="32" t="str">
        <f>IF($P2942="","",$B2942/$P2942-1)</f>
        <v/>
      </c>
    </row>
    <row r="2943">
      <c r="A2943" s="11" t="n"/>
      <c r="B2943" s="29" t="n"/>
      <c r="K2943" s="30" t="str">
        <f>IF($A2943="","",EDATE($A2943,12*$E$4))</f>
        <v/>
      </c>
      <c r="L2943" s="19" t="str">
        <f>IF($K2943="","",IF($K2943&gt;MAX($A$8:$A$5007),"",IFERROR(MATCH($K2943,$A$8:$A$5007,1),"")))</f>
        <v/>
      </c>
      <c r="M2943" s="30" t="str">
        <f>IF($L2943="","",INDEX($A$8:$A$5007,$L2943))</f>
        <v/>
      </c>
      <c r="N2943" s="31" t="str">
        <f>IF($L2943="","",INDEX($B$8:$B$5007,$L2943))</f>
        <v/>
      </c>
      <c r="O2943" s="32" t="str">
        <f>IF($M2943="","",IF($K2943-$M2943&gt;7,"",IF($M2943&lt;=$A2943,"",IF(OR($B2943&lt;=0,$N2943&lt;=0),"",($N2943/$B2943)^(365/($M2943-$A2943))-1))))</f>
        <v/>
      </c>
      <c r="P2943" s="31" t="str">
        <f>IF($B2943="","",IF($P2942="",$B2943,MAX($P2942,$B2943)))</f>
        <v/>
      </c>
      <c r="Q2943" s="32" t="str">
        <f>IF($P2943="","",$B2943/$P2943-1)</f>
        <v/>
      </c>
    </row>
    <row r="2944">
      <c r="A2944" s="11" t="n"/>
      <c r="B2944" s="29" t="n"/>
      <c r="K2944" s="30" t="str">
        <f>IF($A2944="","",EDATE($A2944,12*$E$4))</f>
        <v/>
      </c>
      <c r="L2944" s="19" t="str">
        <f>IF($K2944="","",IF($K2944&gt;MAX($A$8:$A$5007),"",IFERROR(MATCH($K2944,$A$8:$A$5007,1),"")))</f>
        <v/>
      </c>
      <c r="M2944" s="30" t="str">
        <f>IF($L2944="","",INDEX($A$8:$A$5007,$L2944))</f>
        <v/>
      </c>
      <c r="N2944" s="31" t="str">
        <f>IF($L2944="","",INDEX($B$8:$B$5007,$L2944))</f>
        <v/>
      </c>
      <c r="O2944" s="32" t="str">
        <f>IF($M2944="","",IF($K2944-$M2944&gt;7,"",IF($M2944&lt;=$A2944,"",IF(OR($B2944&lt;=0,$N2944&lt;=0),"",($N2944/$B2944)^(365/($M2944-$A2944))-1))))</f>
        <v/>
      </c>
      <c r="P2944" s="31" t="str">
        <f>IF($B2944="","",IF($P2943="",$B2944,MAX($P2943,$B2944)))</f>
        <v/>
      </c>
      <c r="Q2944" s="32" t="str">
        <f>IF($P2944="","",$B2944/$P2944-1)</f>
        <v/>
      </c>
    </row>
    <row r="2945">
      <c r="A2945" s="11" t="n"/>
      <c r="B2945" s="29" t="n"/>
      <c r="K2945" s="30" t="str">
        <f>IF($A2945="","",EDATE($A2945,12*$E$4))</f>
        <v/>
      </c>
      <c r="L2945" s="19" t="str">
        <f>IF($K2945="","",IF($K2945&gt;MAX($A$8:$A$5007),"",IFERROR(MATCH($K2945,$A$8:$A$5007,1),"")))</f>
        <v/>
      </c>
      <c r="M2945" s="30" t="str">
        <f>IF($L2945="","",INDEX($A$8:$A$5007,$L2945))</f>
        <v/>
      </c>
      <c r="N2945" s="31" t="str">
        <f>IF($L2945="","",INDEX($B$8:$B$5007,$L2945))</f>
        <v/>
      </c>
      <c r="O2945" s="32" t="str">
        <f>IF($M2945="","",IF($K2945-$M2945&gt;7,"",IF($M2945&lt;=$A2945,"",IF(OR($B2945&lt;=0,$N2945&lt;=0),"",($N2945/$B2945)^(365/($M2945-$A2945))-1))))</f>
        <v/>
      </c>
      <c r="P2945" s="31" t="str">
        <f>IF($B2945="","",IF($P2944="",$B2945,MAX($P2944,$B2945)))</f>
        <v/>
      </c>
      <c r="Q2945" s="32" t="str">
        <f>IF($P2945="","",$B2945/$P2945-1)</f>
        <v/>
      </c>
    </row>
    <row r="2946">
      <c r="A2946" s="11" t="n"/>
      <c r="B2946" s="29" t="n"/>
      <c r="K2946" s="30" t="str">
        <f>IF($A2946="","",EDATE($A2946,12*$E$4))</f>
        <v/>
      </c>
      <c r="L2946" s="19" t="str">
        <f>IF($K2946="","",IF($K2946&gt;MAX($A$8:$A$5007),"",IFERROR(MATCH($K2946,$A$8:$A$5007,1),"")))</f>
        <v/>
      </c>
      <c r="M2946" s="30" t="str">
        <f>IF($L2946="","",INDEX($A$8:$A$5007,$L2946))</f>
        <v/>
      </c>
      <c r="N2946" s="31" t="str">
        <f>IF($L2946="","",INDEX($B$8:$B$5007,$L2946))</f>
        <v/>
      </c>
      <c r="O2946" s="32" t="str">
        <f>IF($M2946="","",IF($K2946-$M2946&gt;7,"",IF($M2946&lt;=$A2946,"",IF(OR($B2946&lt;=0,$N2946&lt;=0),"",($N2946/$B2946)^(365/($M2946-$A2946))-1))))</f>
        <v/>
      </c>
      <c r="P2946" s="31" t="str">
        <f>IF($B2946="","",IF($P2945="",$B2946,MAX($P2945,$B2946)))</f>
        <v/>
      </c>
      <c r="Q2946" s="32" t="str">
        <f>IF($P2946="","",$B2946/$P2946-1)</f>
        <v/>
      </c>
    </row>
    <row r="2947">
      <c r="A2947" s="11" t="n"/>
      <c r="B2947" s="29" t="n"/>
      <c r="K2947" s="30" t="str">
        <f>IF($A2947="","",EDATE($A2947,12*$E$4))</f>
        <v/>
      </c>
      <c r="L2947" s="19" t="str">
        <f>IF($K2947="","",IF($K2947&gt;MAX($A$8:$A$5007),"",IFERROR(MATCH($K2947,$A$8:$A$5007,1),"")))</f>
        <v/>
      </c>
      <c r="M2947" s="30" t="str">
        <f>IF($L2947="","",INDEX($A$8:$A$5007,$L2947))</f>
        <v/>
      </c>
      <c r="N2947" s="31" t="str">
        <f>IF($L2947="","",INDEX($B$8:$B$5007,$L2947))</f>
        <v/>
      </c>
      <c r="O2947" s="32" t="str">
        <f>IF($M2947="","",IF($K2947-$M2947&gt;7,"",IF($M2947&lt;=$A2947,"",IF(OR($B2947&lt;=0,$N2947&lt;=0),"",($N2947/$B2947)^(365/($M2947-$A2947))-1))))</f>
        <v/>
      </c>
      <c r="P2947" s="31" t="str">
        <f>IF($B2947="","",IF($P2946="",$B2947,MAX($P2946,$B2947)))</f>
        <v/>
      </c>
      <c r="Q2947" s="32" t="str">
        <f>IF($P2947="","",$B2947/$P2947-1)</f>
        <v/>
      </c>
    </row>
    <row r="2948">
      <c r="A2948" s="11" t="n"/>
      <c r="B2948" s="29" t="n"/>
      <c r="K2948" s="30" t="str">
        <f>IF($A2948="","",EDATE($A2948,12*$E$4))</f>
        <v/>
      </c>
      <c r="L2948" s="19" t="str">
        <f>IF($K2948="","",IF($K2948&gt;MAX($A$8:$A$5007),"",IFERROR(MATCH($K2948,$A$8:$A$5007,1),"")))</f>
        <v/>
      </c>
      <c r="M2948" s="30" t="str">
        <f>IF($L2948="","",INDEX($A$8:$A$5007,$L2948))</f>
        <v/>
      </c>
      <c r="N2948" s="31" t="str">
        <f>IF($L2948="","",INDEX($B$8:$B$5007,$L2948))</f>
        <v/>
      </c>
      <c r="O2948" s="32" t="str">
        <f>IF($M2948="","",IF($K2948-$M2948&gt;7,"",IF($M2948&lt;=$A2948,"",IF(OR($B2948&lt;=0,$N2948&lt;=0),"",($N2948/$B2948)^(365/($M2948-$A2948))-1))))</f>
        <v/>
      </c>
      <c r="P2948" s="31" t="str">
        <f>IF($B2948="","",IF($P2947="",$B2948,MAX($P2947,$B2948)))</f>
        <v/>
      </c>
      <c r="Q2948" s="32" t="str">
        <f>IF($P2948="","",$B2948/$P2948-1)</f>
        <v/>
      </c>
    </row>
    <row r="2949">
      <c r="A2949" s="11" t="n"/>
      <c r="B2949" s="29" t="n"/>
      <c r="K2949" s="30" t="str">
        <f>IF($A2949="","",EDATE($A2949,12*$E$4))</f>
        <v/>
      </c>
      <c r="L2949" s="19" t="str">
        <f>IF($K2949="","",IF($K2949&gt;MAX($A$8:$A$5007),"",IFERROR(MATCH($K2949,$A$8:$A$5007,1),"")))</f>
        <v/>
      </c>
      <c r="M2949" s="30" t="str">
        <f>IF($L2949="","",INDEX($A$8:$A$5007,$L2949))</f>
        <v/>
      </c>
      <c r="N2949" s="31" t="str">
        <f>IF($L2949="","",INDEX($B$8:$B$5007,$L2949))</f>
        <v/>
      </c>
      <c r="O2949" s="32" t="str">
        <f>IF($M2949="","",IF($K2949-$M2949&gt;7,"",IF($M2949&lt;=$A2949,"",IF(OR($B2949&lt;=0,$N2949&lt;=0),"",($N2949/$B2949)^(365/($M2949-$A2949))-1))))</f>
        <v/>
      </c>
      <c r="P2949" s="31" t="str">
        <f>IF($B2949="","",IF($P2948="",$B2949,MAX($P2948,$B2949)))</f>
        <v/>
      </c>
      <c r="Q2949" s="32" t="str">
        <f>IF($P2949="","",$B2949/$P2949-1)</f>
        <v/>
      </c>
    </row>
    <row r="2950">
      <c r="A2950" s="11" t="n"/>
      <c r="B2950" s="29" t="n"/>
      <c r="K2950" s="30" t="str">
        <f>IF($A2950="","",EDATE($A2950,12*$E$4))</f>
        <v/>
      </c>
      <c r="L2950" s="19" t="str">
        <f>IF($K2950="","",IF($K2950&gt;MAX($A$8:$A$5007),"",IFERROR(MATCH($K2950,$A$8:$A$5007,1),"")))</f>
        <v/>
      </c>
      <c r="M2950" s="30" t="str">
        <f>IF($L2950="","",INDEX($A$8:$A$5007,$L2950))</f>
        <v/>
      </c>
      <c r="N2950" s="31" t="str">
        <f>IF($L2950="","",INDEX($B$8:$B$5007,$L2950))</f>
        <v/>
      </c>
      <c r="O2950" s="32" t="str">
        <f>IF($M2950="","",IF($K2950-$M2950&gt;7,"",IF($M2950&lt;=$A2950,"",IF(OR($B2950&lt;=0,$N2950&lt;=0),"",($N2950/$B2950)^(365/($M2950-$A2950))-1))))</f>
        <v/>
      </c>
      <c r="P2950" s="31" t="str">
        <f>IF($B2950="","",IF($P2949="",$B2950,MAX($P2949,$B2950)))</f>
        <v/>
      </c>
      <c r="Q2950" s="32" t="str">
        <f>IF($P2950="","",$B2950/$P2950-1)</f>
        <v/>
      </c>
    </row>
    <row r="2951">
      <c r="A2951" s="11" t="n"/>
      <c r="B2951" s="29" t="n"/>
      <c r="K2951" s="30" t="str">
        <f>IF($A2951="","",EDATE($A2951,12*$E$4))</f>
        <v/>
      </c>
      <c r="L2951" s="19" t="str">
        <f>IF($K2951="","",IF($K2951&gt;MAX($A$8:$A$5007),"",IFERROR(MATCH($K2951,$A$8:$A$5007,1),"")))</f>
        <v/>
      </c>
      <c r="M2951" s="30" t="str">
        <f>IF($L2951="","",INDEX($A$8:$A$5007,$L2951))</f>
        <v/>
      </c>
      <c r="N2951" s="31" t="str">
        <f>IF($L2951="","",INDEX($B$8:$B$5007,$L2951))</f>
        <v/>
      </c>
      <c r="O2951" s="32" t="str">
        <f>IF($M2951="","",IF($K2951-$M2951&gt;7,"",IF($M2951&lt;=$A2951,"",IF(OR($B2951&lt;=0,$N2951&lt;=0),"",($N2951/$B2951)^(365/($M2951-$A2951))-1))))</f>
        <v/>
      </c>
      <c r="P2951" s="31" t="str">
        <f>IF($B2951="","",IF($P2950="",$B2951,MAX($P2950,$B2951)))</f>
        <v/>
      </c>
      <c r="Q2951" s="32" t="str">
        <f>IF($P2951="","",$B2951/$P2951-1)</f>
        <v/>
      </c>
    </row>
    <row r="2952">
      <c r="A2952" s="11" t="n"/>
      <c r="B2952" s="29" t="n"/>
      <c r="K2952" s="30" t="str">
        <f>IF($A2952="","",EDATE($A2952,12*$E$4))</f>
        <v/>
      </c>
      <c r="L2952" s="19" t="str">
        <f>IF($K2952="","",IF($K2952&gt;MAX($A$8:$A$5007),"",IFERROR(MATCH($K2952,$A$8:$A$5007,1),"")))</f>
        <v/>
      </c>
      <c r="M2952" s="30" t="str">
        <f>IF($L2952="","",INDEX($A$8:$A$5007,$L2952))</f>
        <v/>
      </c>
      <c r="N2952" s="31" t="str">
        <f>IF($L2952="","",INDEX($B$8:$B$5007,$L2952))</f>
        <v/>
      </c>
      <c r="O2952" s="32" t="str">
        <f>IF($M2952="","",IF($K2952-$M2952&gt;7,"",IF($M2952&lt;=$A2952,"",IF(OR($B2952&lt;=0,$N2952&lt;=0),"",($N2952/$B2952)^(365/($M2952-$A2952))-1))))</f>
        <v/>
      </c>
      <c r="P2952" s="31" t="str">
        <f>IF($B2952="","",IF($P2951="",$B2952,MAX($P2951,$B2952)))</f>
        <v/>
      </c>
      <c r="Q2952" s="32" t="str">
        <f>IF($P2952="","",$B2952/$P2952-1)</f>
        <v/>
      </c>
    </row>
    <row r="2953">
      <c r="A2953" s="11" t="n"/>
      <c r="B2953" s="29" t="n"/>
      <c r="K2953" s="30" t="str">
        <f>IF($A2953="","",EDATE($A2953,12*$E$4))</f>
        <v/>
      </c>
      <c r="L2953" s="19" t="str">
        <f>IF($K2953="","",IF($K2953&gt;MAX($A$8:$A$5007),"",IFERROR(MATCH($K2953,$A$8:$A$5007,1),"")))</f>
        <v/>
      </c>
      <c r="M2953" s="30" t="str">
        <f>IF($L2953="","",INDEX($A$8:$A$5007,$L2953))</f>
        <v/>
      </c>
      <c r="N2953" s="31" t="str">
        <f>IF($L2953="","",INDEX($B$8:$B$5007,$L2953))</f>
        <v/>
      </c>
      <c r="O2953" s="32" t="str">
        <f>IF($M2953="","",IF($K2953-$M2953&gt;7,"",IF($M2953&lt;=$A2953,"",IF(OR($B2953&lt;=0,$N2953&lt;=0),"",($N2953/$B2953)^(365/($M2953-$A2953))-1))))</f>
        <v/>
      </c>
      <c r="P2953" s="31" t="str">
        <f>IF($B2953="","",IF($P2952="",$B2953,MAX($P2952,$B2953)))</f>
        <v/>
      </c>
      <c r="Q2953" s="32" t="str">
        <f>IF($P2953="","",$B2953/$P2953-1)</f>
        <v/>
      </c>
    </row>
    <row r="2954">
      <c r="A2954" s="11" t="n"/>
      <c r="B2954" s="29" t="n"/>
      <c r="K2954" s="30" t="str">
        <f>IF($A2954="","",EDATE($A2954,12*$E$4))</f>
        <v/>
      </c>
      <c r="L2954" s="19" t="str">
        <f>IF($K2954="","",IF($K2954&gt;MAX($A$8:$A$5007),"",IFERROR(MATCH($K2954,$A$8:$A$5007,1),"")))</f>
        <v/>
      </c>
      <c r="M2954" s="30" t="str">
        <f>IF($L2954="","",INDEX($A$8:$A$5007,$L2954))</f>
        <v/>
      </c>
      <c r="N2954" s="31" t="str">
        <f>IF($L2954="","",INDEX($B$8:$B$5007,$L2954))</f>
        <v/>
      </c>
      <c r="O2954" s="32" t="str">
        <f>IF($M2954="","",IF($K2954-$M2954&gt;7,"",IF($M2954&lt;=$A2954,"",IF(OR($B2954&lt;=0,$N2954&lt;=0),"",($N2954/$B2954)^(365/($M2954-$A2954))-1))))</f>
        <v/>
      </c>
      <c r="P2954" s="31" t="str">
        <f>IF($B2954="","",IF($P2953="",$B2954,MAX($P2953,$B2954)))</f>
        <v/>
      </c>
      <c r="Q2954" s="32" t="str">
        <f>IF($P2954="","",$B2954/$P2954-1)</f>
        <v/>
      </c>
    </row>
    <row r="2955">
      <c r="A2955" s="11" t="n"/>
      <c r="B2955" s="29" t="n"/>
      <c r="K2955" s="30" t="str">
        <f>IF($A2955="","",EDATE($A2955,12*$E$4))</f>
        <v/>
      </c>
      <c r="L2955" s="19" t="str">
        <f>IF($K2955="","",IF($K2955&gt;MAX($A$8:$A$5007),"",IFERROR(MATCH($K2955,$A$8:$A$5007,1),"")))</f>
        <v/>
      </c>
      <c r="M2955" s="30" t="str">
        <f>IF($L2955="","",INDEX($A$8:$A$5007,$L2955))</f>
        <v/>
      </c>
      <c r="N2955" s="31" t="str">
        <f>IF($L2955="","",INDEX($B$8:$B$5007,$L2955))</f>
        <v/>
      </c>
      <c r="O2955" s="32" t="str">
        <f>IF($M2955="","",IF($K2955-$M2955&gt;7,"",IF($M2955&lt;=$A2955,"",IF(OR($B2955&lt;=0,$N2955&lt;=0),"",($N2955/$B2955)^(365/($M2955-$A2955))-1))))</f>
        <v/>
      </c>
      <c r="P2955" s="31" t="str">
        <f>IF($B2955="","",IF($P2954="",$B2955,MAX($P2954,$B2955)))</f>
        <v/>
      </c>
      <c r="Q2955" s="32" t="str">
        <f>IF($P2955="","",$B2955/$P2955-1)</f>
        <v/>
      </c>
    </row>
    <row r="2956">
      <c r="A2956" s="11" t="n"/>
      <c r="B2956" s="29" t="n"/>
      <c r="K2956" s="30" t="str">
        <f>IF($A2956="","",EDATE($A2956,12*$E$4))</f>
        <v/>
      </c>
      <c r="L2956" s="19" t="str">
        <f>IF($K2956="","",IF($K2956&gt;MAX($A$8:$A$5007),"",IFERROR(MATCH($K2956,$A$8:$A$5007,1),"")))</f>
        <v/>
      </c>
      <c r="M2956" s="30" t="str">
        <f>IF($L2956="","",INDEX($A$8:$A$5007,$L2956))</f>
        <v/>
      </c>
      <c r="N2956" s="31" t="str">
        <f>IF($L2956="","",INDEX($B$8:$B$5007,$L2956))</f>
        <v/>
      </c>
      <c r="O2956" s="32" t="str">
        <f>IF($M2956="","",IF($K2956-$M2956&gt;7,"",IF($M2956&lt;=$A2956,"",IF(OR($B2956&lt;=0,$N2956&lt;=0),"",($N2956/$B2956)^(365/($M2956-$A2956))-1))))</f>
        <v/>
      </c>
      <c r="P2956" s="31" t="str">
        <f>IF($B2956="","",IF($P2955="",$B2956,MAX($P2955,$B2956)))</f>
        <v/>
      </c>
      <c r="Q2956" s="32" t="str">
        <f>IF($P2956="","",$B2956/$P2956-1)</f>
        <v/>
      </c>
    </row>
    <row r="2957">
      <c r="A2957" s="11" t="n"/>
      <c r="B2957" s="29" t="n"/>
      <c r="K2957" s="30" t="str">
        <f>IF($A2957="","",EDATE($A2957,12*$E$4))</f>
        <v/>
      </c>
      <c r="L2957" s="19" t="str">
        <f>IF($K2957="","",IF($K2957&gt;MAX($A$8:$A$5007),"",IFERROR(MATCH($K2957,$A$8:$A$5007,1),"")))</f>
        <v/>
      </c>
      <c r="M2957" s="30" t="str">
        <f>IF($L2957="","",INDEX($A$8:$A$5007,$L2957))</f>
        <v/>
      </c>
      <c r="N2957" s="31" t="str">
        <f>IF($L2957="","",INDEX($B$8:$B$5007,$L2957))</f>
        <v/>
      </c>
      <c r="O2957" s="32" t="str">
        <f>IF($M2957="","",IF($K2957-$M2957&gt;7,"",IF($M2957&lt;=$A2957,"",IF(OR($B2957&lt;=0,$N2957&lt;=0),"",($N2957/$B2957)^(365/($M2957-$A2957))-1))))</f>
        <v/>
      </c>
      <c r="P2957" s="31" t="str">
        <f>IF($B2957="","",IF($P2956="",$B2957,MAX($P2956,$B2957)))</f>
        <v/>
      </c>
      <c r="Q2957" s="32" t="str">
        <f>IF($P2957="","",$B2957/$P2957-1)</f>
        <v/>
      </c>
    </row>
    <row r="2958">
      <c r="A2958" s="11" t="n"/>
      <c r="B2958" s="29" t="n"/>
      <c r="K2958" s="30" t="str">
        <f>IF($A2958="","",EDATE($A2958,12*$E$4))</f>
        <v/>
      </c>
      <c r="L2958" s="19" t="str">
        <f>IF($K2958="","",IF($K2958&gt;MAX($A$8:$A$5007),"",IFERROR(MATCH($K2958,$A$8:$A$5007,1),"")))</f>
        <v/>
      </c>
      <c r="M2958" s="30" t="str">
        <f>IF($L2958="","",INDEX($A$8:$A$5007,$L2958))</f>
        <v/>
      </c>
      <c r="N2958" s="31" t="str">
        <f>IF($L2958="","",INDEX($B$8:$B$5007,$L2958))</f>
        <v/>
      </c>
      <c r="O2958" s="32" t="str">
        <f>IF($M2958="","",IF($K2958-$M2958&gt;7,"",IF($M2958&lt;=$A2958,"",IF(OR($B2958&lt;=0,$N2958&lt;=0),"",($N2958/$B2958)^(365/($M2958-$A2958))-1))))</f>
        <v/>
      </c>
      <c r="P2958" s="31" t="str">
        <f>IF($B2958="","",IF($P2957="",$B2958,MAX($P2957,$B2958)))</f>
        <v/>
      </c>
      <c r="Q2958" s="32" t="str">
        <f>IF($P2958="","",$B2958/$P2958-1)</f>
        <v/>
      </c>
    </row>
    <row r="2959">
      <c r="A2959" s="11" t="n"/>
      <c r="B2959" s="29" t="n"/>
      <c r="K2959" s="30" t="str">
        <f>IF($A2959="","",EDATE($A2959,12*$E$4))</f>
        <v/>
      </c>
      <c r="L2959" s="19" t="str">
        <f>IF($K2959="","",IF($K2959&gt;MAX($A$8:$A$5007),"",IFERROR(MATCH($K2959,$A$8:$A$5007,1),"")))</f>
        <v/>
      </c>
      <c r="M2959" s="30" t="str">
        <f>IF($L2959="","",INDEX($A$8:$A$5007,$L2959))</f>
        <v/>
      </c>
      <c r="N2959" s="31" t="str">
        <f>IF($L2959="","",INDEX($B$8:$B$5007,$L2959))</f>
        <v/>
      </c>
      <c r="O2959" s="32" t="str">
        <f>IF($M2959="","",IF($K2959-$M2959&gt;7,"",IF($M2959&lt;=$A2959,"",IF(OR($B2959&lt;=0,$N2959&lt;=0),"",($N2959/$B2959)^(365/($M2959-$A2959))-1))))</f>
        <v/>
      </c>
      <c r="P2959" s="31" t="str">
        <f>IF($B2959="","",IF($P2958="",$B2959,MAX($P2958,$B2959)))</f>
        <v/>
      </c>
      <c r="Q2959" s="32" t="str">
        <f>IF($P2959="","",$B2959/$P2959-1)</f>
        <v/>
      </c>
    </row>
    <row r="2960">
      <c r="A2960" s="11" t="n"/>
      <c r="B2960" s="29" t="n"/>
      <c r="K2960" s="30" t="str">
        <f>IF($A2960="","",EDATE($A2960,12*$E$4))</f>
        <v/>
      </c>
      <c r="L2960" s="19" t="str">
        <f>IF($K2960="","",IF($K2960&gt;MAX($A$8:$A$5007),"",IFERROR(MATCH($K2960,$A$8:$A$5007,1),"")))</f>
        <v/>
      </c>
      <c r="M2960" s="30" t="str">
        <f>IF($L2960="","",INDEX($A$8:$A$5007,$L2960))</f>
        <v/>
      </c>
      <c r="N2960" s="31" t="str">
        <f>IF($L2960="","",INDEX($B$8:$B$5007,$L2960))</f>
        <v/>
      </c>
      <c r="O2960" s="32" t="str">
        <f>IF($M2960="","",IF($K2960-$M2960&gt;7,"",IF($M2960&lt;=$A2960,"",IF(OR($B2960&lt;=0,$N2960&lt;=0),"",($N2960/$B2960)^(365/($M2960-$A2960))-1))))</f>
        <v/>
      </c>
      <c r="P2960" s="31" t="str">
        <f>IF($B2960="","",IF($P2959="",$B2960,MAX($P2959,$B2960)))</f>
        <v/>
      </c>
      <c r="Q2960" s="32" t="str">
        <f>IF($P2960="","",$B2960/$P2960-1)</f>
        <v/>
      </c>
    </row>
    <row r="2961">
      <c r="A2961" s="11" t="n"/>
      <c r="B2961" s="29" t="n"/>
      <c r="K2961" s="30" t="str">
        <f>IF($A2961="","",EDATE($A2961,12*$E$4))</f>
        <v/>
      </c>
      <c r="L2961" s="19" t="str">
        <f>IF($K2961="","",IF($K2961&gt;MAX($A$8:$A$5007),"",IFERROR(MATCH($K2961,$A$8:$A$5007,1),"")))</f>
        <v/>
      </c>
      <c r="M2961" s="30" t="str">
        <f>IF($L2961="","",INDEX($A$8:$A$5007,$L2961))</f>
        <v/>
      </c>
      <c r="N2961" s="31" t="str">
        <f>IF($L2961="","",INDEX($B$8:$B$5007,$L2961))</f>
        <v/>
      </c>
      <c r="O2961" s="32" t="str">
        <f>IF($M2961="","",IF($K2961-$M2961&gt;7,"",IF($M2961&lt;=$A2961,"",IF(OR($B2961&lt;=0,$N2961&lt;=0),"",($N2961/$B2961)^(365/($M2961-$A2961))-1))))</f>
        <v/>
      </c>
      <c r="P2961" s="31" t="str">
        <f>IF($B2961="","",IF($P2960="",$B2961,MAX($P2960,$B2961)))</f>
        <v/>
      </c>
      <c r="Q2961" s="32" t="str">
        <f>IF($P2961="","",$B2961/$P2961-1)</f>
        <v/>
      </c>
    </row>
    <row r="2962">
      <c r="A2962" s="11" t="n"/>
      <c r="B2962" s="29" t="n"/>
      <c r="K2962" s="30" t="str">
        <f>IF($A2962="","",EDATE($A2962,12*$E$4))</f>
        <v/>
      </c>
      <c r="L2962" s="19" t="str">
        <f>IF($K2962="","",IF($K2962&gt;MAX($A$8:$A$5007),"",IFERROR(MATCH($K2962,$A$8:$A$5007,1),"")))</f>
        <v/>
      </c>
      <c r="M2962" s="30" t="str">
        <f>IF($L2962="","",INDEX($A$8:$A$5007,$L2962))</f>
        <v/>
      </c>
      <c r="N2962" s="31" t="str">
        <f>IF($L2962="","",INDEX($B$8:$B$5007,$L2962))</f>
        <v/>
      </c>
      <c r="O2962" s="32" t="str">
        <f>IF($M2962="","",IF($K2962-$M2962&gt;7,"",IF($M2962&lt;=$A2962,"",IF(OR($B2962&lt;=0,$N2962&lt;=0),"",($N2962/$B2962)^(365/($M2962-$A2962))-1))))</f>
        <v/>
      </c>
      <c r="P2962" s="31" t="str">
        <f>IF($B2962="","",IF($P2961="",$B2962,MAX($P2961,$B2962)))</f>
        <v/>
      </c>
      <c r="Q2962" s="32" t="str">
        <f>IF($P2962="","",$B2962/$P2962-1)</f>
        <v/>
      </c>
    </row>
    <row r="2963">
      <c r="A2963" s="11" t="n"/>
      <c r="B2963" s="29" t="n"/>
      <c r="K2963" s="30" t="str">
        <f>IF($A2963="","",EDATE($A2963,12*$E$4))</f>
        <v/>
      </c>
      <c r="L2963" s="19" t="str">
        <f>IF($K2963="","",IF($K2963&gt;MAX($A$8:$A$5007),"",IFERROR(MATCH($K2963,$A$8:$A$5007,1),"")))</f>
        <v/>
      </c>
      <c r="M2963" s="30" t="str">
        <f>IF($L2963="","",INDEX($A$8:$A$5007,$L2963))</f>
        <v/>
      </c>
      <c r="N2963" s="31" t="str">
        <f>IF($L2963="","",INDEX($B$8:$B$5007,$L2963))</f>
        <v/>
      </c>
      <c r="O2963" s="32" t="str">
        <f>IF($M2963="","",IF($K2963-$M2963&gt;7,"",IF($M2963&lt;=$A2963,"",IF(OR($B2963&lt;=0,$N2963&lt;=0),"",($N2963/$B2963)^(365/($M2963-$A2963))-1))))</f>
        <v/>
      </c>
      <c r="P2963" s="31" t="str">
        <f>IF($B2963="","",IF($P2962="",$B2963,MAX($P2962,$B2963)))</f>
        <v/>
      </c>
      <c r="Q2963" s="32" t="str">
        <f>IF($P2963="","",$B2963/$P2963-1)</f>
        <v/>
      </c>
    </row>
    <row r="2964">
      <c r="A2964" s="11" t="n"/>
      <c r="B2964" s="29" t="n"/>
      <c r="K2964" s="30" t="str">
        <f>IF($A2964="","",EDATE($A2964,12*$E$4))</f>
        <v/>
      </c>
      <c r="L2964" s="19" t="str">
        <f>IF($K2964="","",IF($K2964&gt;MAX($A$8:$A$5007),"",IFERROR(MATCH($K2964,$A$8:$A$5007,1),"")))</f>
        <v/>
      </c>
      <c r="M2964" s="30" t="str">
        <f>IF($L2964="","",INDEX($A$8:$A$5007,$L2964))</f>
        <v/>
      </c>
      <c r="N2964" s="31" t="str">
        <f>IF($L2964="","",INDEX($B$8:$B$5007,$L2964))</f>
        <v/>
      </c>
      <c r="O2964" s="32" t="str">
        <f>IF($M2964="","",IF($K2964-$M2964&gt;7,"",IF($M2964&lt;=$A2964,"",IF(OR($B2964&lt;=0,$N2964&lt;=0),"",($N2964/$B2964)^(365/($M2964-$A2964))-1))))</f>
        <v/>
      </c>
      <c r="P2964" s="31" t="str">
        <f>IF($B2964="","",IF($P2963="",$B2964,MAX($P2963,$B2964)))</f>
        <v/>
      </c>
      <c r="Q2964" s="32" t="str">
        <f>IF($P2964="","",$B2964/$P2964-1)</f>
        <v/>
      </c>
    </row>
    <row r="2965">
      <c r="A2965" s="11" t="n"/>
      <c r="B2965" s="29" t="n"/>
      <c r="K2965" s="30" t="str">
        <f>IF($A2965="","",EDATE($A2965,12*$E$4))</f>
        <v/>
      </c>
      <c r="L2965" s="19" t="str">
        <f>IF($K2965="","",IF($K2965&gt;MAX($A$8:$A$5007),"",IFERROR(MATCH($K2965,$A$8:$A$5007,1),"")))</f>
        <v/>
      </c>
      <c r="M2965" s="30" t="str">
        <f>IF($L2965="","",INDEX($A$8:$A$5007,$L2965))</f>
        <v/>
      </c>
      <c r="N2965" s="31" t="str">
        <f>IF($L2965="","",INDEX($B$8:$B$5007,$L2965))</f>
        <v/>
      </c>
      <c r="O2965" s="32" t="str">
        <f>IF($M2965="","",IF($K2965-$M2965&gt;7,"",IF($M2965&lt;=$A2965,"",IF(OR($B2965&lt;=0,$N2965&lt;=0),"",($N2965/$B2965)^(365/($M2965-$A2965))-1))))</f>
        <v/>
      </c>
      <c r="P2965" s="31" t="str">
        <f>IF($B2965="","",IF($P2964="",$B2965,MAX($P2964,$B2965)))</f>
        <v/>
      </c>
      <c r="Q2965" s="32" t="str">
        <f>IF($P2965="","",$B2965/$P2965-1)</f>
        <v/>
      </c>
    </row>
    <row r="2966">
      <c r="A2966" s="11" t="n"/>
      <c r="B2966" s="29" t="n"/>
      <c r="K2966" s="30" t="str">
        <f>IF($A2966="","",EDATE($A2966,12*$E$4))</f>
        <v/>
      </c>
      <c r="L2966" s="19" t="str">
        <f>IF($K2966="","",IF($K2966&gt;MAX($A$8:$A$5007),"",IFERROR(MATCH($K2966,$A$8:$A$5007,1),"")))</f>
        <v/>
      </c>
      <c r="M2966" s="30" t="str">
        <f>IF($L2966="","",INDEX($A$8:$A$5007,$L2966))</f>
        <v/>
      </c>
      <c r="N2966" s="31" t="str">
        <f>IF($L2966="","",INDEX($B$8:$B$5007,$L2966))</f>
        <v/>
      </c>
      <c r="O2966" s="32" t="str">
        <f>IF($M2966="","",IF($K2966-$M2966&gt;7,"",IF($M2966&lt;=$A2966,"",IF(OR($B2966&lt;=0,$N2966&lt;=0),"",($N2966/$B2966)^(365/($M2966-$A2966))-1))))</f>
        <v/>
      </c>
      <c r="P2966" s="31" t="str">
        <f>IF($B2966="","",IF($P2965="",$B2966,MAX($P2965,$B2966)))</f>
        <v/>
      </c>
      <c r="Q2966" s="32" t="str">
        <f>IF($P2966="","",$B2966/$P2966-1)</f>
        <v/>
      </c>
    </row>
    <row r="2967">
      <c r="A2967" s="11" t="n"/>
      <c r="B2967" s="29" t="n"/>
      <c r="K2967" s="30" t="str">
        <f>IF($A2967="","",EDATE($A2967,12*$E$4))</f>
        <v/>
      </c>
      <c r="L2967" s="19" t="str">
        <f>IF($K2967="","",IF($K2967&gt;MAX($A$8:$A$5007),"",IFERROR(MATCH($K2967,$A$8:$A$5007,1),"")))</f>
        <v/>
      </c>
      <c r="M2967" s="30" t="str">
        <f>IF($L2967="","",INDEX($A$8:$A$5007,$L2967))</f>
        <v/>
      </c>
      <c r="N2967" s="31" t="str">
        <f>IF($L2967="","",INDEX($B$8:$B$5007,$L2967))</f>
        <v/>
      </c>
      <c r="O2967" s="32" t="str">
        <f>IF($M2967="","",IF($K2967-$M2967&gt;7,"",IF($M2967&lt;=$A2967,"",IF(OR($B2967&lt;=0,$N2967&lt;=0),"",($N2967/$B2967)^(365/($M2967-$A2967))-1))))</f>
        <v/>
      </c>
      <c r="P2967" s="31" t="str">
        <f>IF($B2967="","",IF($P2966="",$B2967,MAX($P2966,$B2967)))</f>
        <v/>
      </c>
      <c r="Q2967" s="32" t="str">
        <f>IF($P2967="","",$B2967/$P2967-1)</f>
        <v/>
      </c>
    </row>
    <row r="2968">
      <c r="A2968" s="11" t="n"/>
      <c r="B2968" s="29" t="n"/>
      <c r="K2968" s="30" t="str">
        <f>IF($A2968="","",EDATE($A2968,12*$E$4))</f>
        <v/>
      </c>
      <c r="L2968" s="19" t="str">
        <f>IF($K2968="","",IF($K2968&gt;MAX($A$8:$A$5007),"",IFERROR(MATCH($K2968,$A$8:$A$5007,1),"")))</f>
        <v/>
      </c>
      <c r="M2968" s="30" t="str">
        <f>IF($L2968="","",INDEX($A$8:$A$5007,$L2968))</f>
        <v/>
      </c>
      <c r="N2968" s="31" t="str">
        <f>IF($L2968="","",INDEX($B$8:$B$5007,$L2968))</f>
        <v/>
      </c>
      <c r="O2968" s="32" t="str">
        <f>IF($M2968="","",IF($K2968-$M2968&gt;7,"",IF($M2968&lt;=$A2968,"",IF(OR($B2968&lt;=0,$N2968&lt;=0),"",($N2968/$B2968)^(365/($M2968-$A2968))-1))))</f>
        <v/>
      </c>
      <c r="P2968" s="31" t="str">
        <f>IF($B2968="","",IF($P2967="",$B2968,MAX($P2967,$B2968)))</f>
        <v/>
      </c>
      <c r="Q2968" s="32" t="str">
        <f>IF($P2968="","",$B2968/$P2968-1)</f>
        <v/>
      </c>
    </row>
    <row r="2969">
      <c r="A2969" s="11" t="n"/>
      <c r="B2969" s="29" t="n"/>
      <c r="K2969" s="30" t="str">
        <f>IF($A2969="","",EDATE($A2969,12*$E$4))</f>
        <v/>
      </c>
      <c r="L2969" s="19" t="str">
        <f>IF($K2969="","",IF($K2969&gt;MAX($A$8:$A$5007),"",IFERROR(MATCH($K2969,$A$8:$A$5007,1),"")))</f>
        <v/>
      </c>
      <c r="M2969" s="30" t="str">
        <f>IF($L2969="","",INDEX($A$8:$A$5007,$L2969))</f>
        <v/>
      </c>
      <c r="N2969" s="31" t="str">
        <f>IF($L2969="","",INDEX($B$8:$B$5007,$L2969))</f>
        <v/>
      </c>
      <c r="O2969" s="32" t="str">
        <f>IF($M2969="","",IF($K2969-$M2969&gt;7,"",IF($M2969&lt;=$A2969,"",IF(OR($B2969&lt;=0,$N2969&lt;=0),"",($N2969/$B2969)^(365/($M2969-$A2969))-1))))</f>
        <v/>
      </c>
      <c r="P2969" s="31" t="str">
        <f>IF($B2969="","",IF($P2968="",$B2969,MAX($P2968,$B2969)))</f>
        <v/>
      </c>
      <c r="Q2969" s="32" t="str">
        <f>IF($P2969="","",$B2969/$P2969-1)</f>
        <v/>
      </c>
    </row>
    <row r="2970">
      <c r="A2970" s="11" t="n"/>
      <c r="B2970" s="29" t="n"/>
      <c r="K2970" s="30" t="str">
        <f>IF($A2970="","",EDATE($A2970,12*$E$4))</f>
        <v/>
      </c>
      <c r="L2970" s="19" t="str">
        <f>IF($K2970="","",IF($K2970&gt;MAX($A$8:$A$5007),"",IFERROR(MATCH($K2970,$A$8:$A$5007,1),"")))</f>
        <v/>
      </c>
      <c r="M2970" s="30" t="str">
        <f>IF($L2970="","",INDEX($A$8:$A$5007,$L2970))</f>
        <v/>
      </c>
      <c r="N2970" s="31" t="str">
        <f>IF($L2970="","",INDEX($B$8:$B$5007,$L2970))</f>
        <v/>
      </c>
      <c r="O2970" s="32" t="str">
        <f>IF($M2970="","",IF($K2970-$M2970&gt;7,"",IF($M2970&lt;=$A2970,"",IF(OR($B2970&lt;=0,$N2970&lt;=0),"",($N2970/$B2970)^(365/($M2970-$A2970))-1))))</f>
        <v/>
      </c>
      <c r="P2970" s="31" t="str">
        <f>IF($B2970="","",IF($P2969="",$B2970,MAX($P2969,$B2970)))</f>
        <v/>
      </c>
      <c r="Q2970" s="32" t="str">
        <f>IF($P2970="","",$B2970/$P2970-1)</f>
        <v/>
      </c>
    </row>
    <row r="2971">
      <c r="A2971" s="11" t="n"/>
      <c r="B2971" s="29" t="n"/>
      <c r="K2971" s="30" t="str">
        <f>IF($A2971="","",EDATE($A2971,12*$E$4))</f>
        <v/>
      </c>
      <c r="L2971" s="19" t="str">
        <f>IF($K2971="","",IF($K2971&gt;MAX($A$8:$A$5007),"",IFERROR(MATCH($K2971,$A$8:$A$5007,1),"")))</f>
        <v/>
      </c>
      <c r="M2971" s="30" t="str">
        <f>IF($L2971="","",INDEX($A$8:$A$5007,$L2971))</f>
        <v/>
      </c>
      <c r="N2971" s="31" t="str">
        <f>IF($L2971="","",INDEX($B$8:$B$5007,$L2971))</f>
        <v/>
      </c>
      <c r="O2971" s="32" t="str">
        <f>IF($M2971="","",IF($K2971-$M2971&gt;7,"",IF($M2971&lt;=$A2971,"",IF(OR($B2971&lt;=0,$N2971&lt;=0),"",($N2971/$B2971)^(365/($M2971-$A2971))-1))))</f>
        <v/>
      </c>
      <c r="P2971" s="31" t="str">
        <f>IF($B2971="","",IF($P2970="",$B2971,MAX($P2970,$B2971)))</f>
        <v/>
      </c>
      <c r="Q2971" s="32" t="str">
        <f>IF($P2971="","",$B2971/$P2971-1)</f>
        <v/>
      </c>
    </row>
    <row r="2972">
      <c r="A2972" s="11" t="n"/>
      <c r="B2972" s="29" t="n"/>
      <c r="K2972" s="30" t="str">
        <f>IF($A2972="","",EDATE($A2972,12*$E$4))</f>
        <v/>
      </c>
      <c r="L2972" s="19" t="str">
        <f>IF($K2972="","",IF($K2972&gt;MAX($A$8:$A$5007),"",IFERROR(MATCH($K2972,$A$8:$A$5007,1),"")))</f>
        <v/>
      </c>
      <c r="M2972" s="30" t="str">
        <f>IF($L2972="","",INDEX($A$8:$A$5007,$L2972))</f>
        <v/>
      </c>
      <c r="N2972" s="31" t="str">
        <f>IF($L2972="","",INDEX($B$8:$B$5007,$L2972))</f>
        <v/>
      </c>
      <c r="O2972" s="32" t="str">
        <f>IF($M2972="","",IF($K2972-$M2972&gt;7,"",IF($M2972&lt;=$A2972,"",IF(OR($B2972&lt;=0,$N2972&lt;=0),"",($N2972/$B2972)^(365/($M2972-$A2972))-1))))</f>
        <v/>
      </c>
      <c r="P2972" s="31" t="str">
        <f>IF($B2972="","",IF($P2971="",$B2972,MAX($P2971,$B2972)))</f>
        <v/>
      </c>
      <c r="Q2972" s="32" t="str">
        <f>IF($P2972="","",$B2972/$P2972-1)</f>
        <v/>
      </c>
    </row>
    <row r="2973">
      <c r="A2973" s="11" t="n"/>
      <c r="B2973" s="29" t="n"/>
      <c r="K2973" s="30" t="str">
        <f>IF($A2973="","",EDATE($A2973,12*$E$4))</f>
        <v/>
      </c>
      <c r="L2973" s="19" t="str">
        <f>IF($K2973="","",IF($K2973&gt;MAX($A$8:$A$5007),"",IFERROR(MATCH($K2973,$A$8:$A$5007,1),"")))</f>
        <v/>
      </c>
      <c r="M2973" s="30" t="str">
        <f>IF($L2973="","",INDEX($A$8:$A$5007,$L2973))</f>
        <v/>
      </c>
      <c r="N2973" s="31" t="str">
        <f>IF($L2973="","",INDEX($B$8:$B$5007,$L2973))</f>
        <v/>
      </c>
      <c r="O2973" s="32" t="str">
        <f>IF($M2973="","",IF($K2973-$M2973&gt;7,"",IF($M2973&lt;=$A2973,"",IF(OR($B2973&lt;=0,$N2973&lt;=0),"",($N2973/$B2973)^(365/($M2973-$A2973))-1))))</f>
        <v/>
      </c>
      <c r="P2973" s="31" t="str">
        <f>IF($B2973="","",IF($P2972="",$B2973,MAX($P2972,$B2973)))</f>
        <v/>
      </c>
      <c r="Q2973" s="32" t="str">
        <f>IF($P2973="","",$B2973/$P2973-1)</f>
        <v/>
      </c>
    </row>
    <row r="2974">
      <c r="A2974" s="11" t="n"/>
      <c r="B2974" s="29" t="n"/>
      <c r="K2974" s="30" t="str">
        <f>IF($A2974="","",EDATE($A2974,12*$E$4))</f>
        <v/>
      </c>
      <c r="L2974" s="19" t="str">
        <f>IF($K2974="","",IF($K2974&gt;MAX($A$8:$A$5007),"",IFERROR(MATCH($K2974,$A$8:$A$5007,1),"")))</f>
        <v/>
      </c>
      <c r="M2974" s="30" t="str">
        <f>IF($L2974="","",INDEX($A$8:$A$5007,$L2974))</f>
        <v/>
      </c>
      <c r="N2974" s="31" t="str">
        <f>IF($L2974="","",INDEX($B$8:$B$5007,$L2974))</f>
        <v/>
      </c>
      <c r="O2974" s="32" t="str">
        <f>IF($M2974="","",IF($K2974-$M2974&gt;7,"",IF($M2974&lt;=$A2974,"",IF(OR($B2974&lt;=0,$N2974&lt;=0),"",($N2974/$B2974)^(365/($M2974-$A2974))-1))))</f>
        <v/>
      </c>
      <c r="P2974" s="31" t="str">
        <f>IF($B2974="","",IF($P2973="",$B2974,MAX($P2973,$B2974)))</f>
        <v/>
      </c>
      <c r="Q2974" s="32" t="str">
        <f>IF($P2974="","",$B2974/$P2974-1)</f>
        <v/>
      </c>
    </row>
    <row r="2975">
      <c r="A2975" s="11" t="n"/>
      <c r="B2975" s="29" t="n"/>
      <c r="K2975" s="30" t="str">
        <f>IF($A2975="","",EDATE($A2975,12*$E$4))</f>
        <v/>
      </c>
      <c r="L2975" s="19" t="str">
        <f>IF($K2975="","",IF($K2975&gt;MAX($A$8:$A$5007),"",IFERROR(MATCH($K2975,$A$8:$A$5007,1),"")))</f>
        <v/>
      </c>
      <c r="M2975" s="30" t="str">
        <f>IF($L2975="","",INDEX($A$8:$A$5007,$L2975))</f>
        <v/>
      </c>
      <c r="N2975" s="31" t="str">
        <f>IF($L2975="","",INDEX($B$8:$B$5007,$L2975))</f>
        <v/>
      </c>
      <c r="O2975" s="32" t="str">
        <f>IF($M2975="","",IF($K2975-$M2975&gt;7,"",IF($M2975&lt;=$A2975,"",IF(OR($B2975&lt;=0,$N2975&lt;=0),"",($N2975/$B2975)^(365/($M2975-$A2975))-1))))</f>
        <v/>
      </c>
      <c r="P2975" s="31" t="str">
        <f>IF($B2975="","",IF($P2974="",$B2975,MAX($P2974,$B2975)))</f>
        <v/>
      </c>
      <c r="Q2975" s="32" t="str">
        <f>IF($P2975="","",$B2975/$P2975-1)</f>
        <v/>
      </c>
    </row>
    <row r="2976">
      <c r="A2976" s="11" t="n"/>
      <c r="B2976" s="29" t="n"/>
      <c r="K2976" s="30" t="str">
        <f>IF($A2976="","",EDATE($A2976,12*$E$4))</f>
        <v/>
      </c>
      <c r="L2976" s="19" t="str">
        <f>IF($K2976="","",IF($K2976&gt;MAX($A$8:$A$5007),"",IFERROR(MATCH($K2976,$A$8:$A$5007,1),"")))</f>
        <v/>
      </c>
      <c r="M2976" s="30" t="str">
        <f>IF($L2976="","",INDEX($A$8:$A$5007,$L2976))</f>
        <v/>
      </c>
      <c r="N2976" s="31" t="str">
        <f>IF($L2976="","",INDEX($B$8:$B$5007,$L2976))</f>
        <v/>
      </c>
      <c r="O2976" s="32" t="str">
        <f>IF($M2976="","",IF($K2976-$M2976&gt;7,"",IF($M2976&lt;=$A2976,"",IF(OR($B2976&lt;=0,$N2976&lt;=0),"",($N2976/$B2976)^(365/($M2976-$A2976))-1))))</f>
        <v/>
      </c>
      <c r="P2976" s="31" t="str">
        <f>IF($B2976="","",IF($P2975="",$B2976,MAX($P2975,$B2976)))</f>
        <v/>
      </c>
      <c r="Q2976" s="32" t="str">
        <f>IF($P2976="","",$B2976/$P2976-1)</f>
        <v/>
      </c>
    </row>
    <row r="2977">
      <c r="A2977" s="11" t="n"/>
      <c r="B2977" s="29" t="n"/>
      <c r="K2977" s="30" t="str">
        <f>IF($A2977="","",EDATE($A2977,12*$E$4))</f>
        <v/>
      </c>
      <c r="L2977" s="19" t="str">
        <f>IF($K2977="","",IF($K2977&gt;MAX($A$8:$A$5007),"",IFERROR(MATCH($K2977,$A$8:$A$5007,1),"")))</f>
        <v/>
      </c>
      <c r="M2977" s="30" t="str">
        <f>IF($L2977="","",INDEX($A$8:$A$5007,$L2977))</f>
        <v/>
      </c>
      <c r="N2977" s="31" t="str">
        <f>IF($L2977="","",INDEX($B$8:$B$5007,$L2977))</f>
        <v/>
      </c>
      <c r="O2977" s="32" t="str">
        <f>IF($M2977="","",IF($K2977-$M2977&gt;7,"",IF($M2977&lt;=$A2977,"",IF(OR($B2977&lt;=0,$N2977&lt;=0),"",($N2977/$B2977)^(365/($M2977-$A2977))-1))))</f>
        <v/>
      </c>
      <c r="P2977" s="31" t="str">
        <f>IF($B2977="","",IF($P2976="",$B2977,MAX($P2976,$B2977)))</f>
        <v/>
      </c>
      <c r="Q2977" s="32" t="str">
        <f>IF($P2977="","",$B2977/$P2977-1)</f>
        <v/>
      </c>
    </row>
    <row r="2978">
      <c r="A2978" s="11" t="n"/>
      <c r="B2978" s="29" t="n"/>
      <c r="K2978" s="30" t="str">
        <f>IF($A2978="","",EDATE($A2978,12*$E$4))</f>
        <v/>
      </c>
      <c r="L2978" s="19" t="str">
        <f>IF($K2978="","",IF($K2978&gt;MAX($A$8:$A$5007),"",IFERROR(MATCH($K2978,$A$8:$A$5007,1),"")))</f>
        <v/>
      </c>
      <c r="M2978" s="30" t="str">
        <f>IF($L2978="","",INDEX($A$8:$A$5007,$L2978))</f>
        <v/>
      </c>
      <c r="N2978" s="31" t="str">
        <f>IF($L2978="","",INDEX($B$8:$B$5007,$L2978))</f>
        <v/>
      </c>
      <c r="O2978" s="32" t="str">
        <f>IF($M2978="","",IF($K2978-$M2978&gt;7,"",IF($M2978&lt;=$A2978,"",IF(OR($B2978&lt;=0,$N2978&lt;=0),"",($N2978/$B2978)^(365/($M2978-$A2978))-1))))</f>
        <v/>
      </c>
      <c r="P2978" s="31" t="str">
        <f>IF($B2978="","",IF($P2977="",$B2978,MAX($P2977,$B2978)))</f>
        <v/>
      </c>
      <c r="Q2978" s="32" t="str">
        <f>IF($P2978="","",$B2978/$P2978-1)</f>
        <v/>
      </c>
    </row>
    <row r="2979">
      <c r="A2979" s="11" t="n"/>
      <c r="B2979" s="29" t="n"/>
      <c r="K2979" s="30" t="str">
        <f>IF($A2979="","",EDATE($A2979,12*$E$4))</f>
        <v/>
      </c>
      <c r="L2979" s="19" t="str">
        <f>IF($K2979="","",IF($K2979&gt;MAX($A$8:$A$5007),"",IFERROR(MATCH($K2979,$A$8:$A$5007,1),"")))</f>
        <v/>
      </c>
      <c r="M2979" s="30" t="str">
        <f>IF($L2979="","",INDEX($A$8:$A$5007,$L2979))</f>
        <v/>
      </c>
      <c r="N2979" s="31" t="str">
        <f>IF($L2979="","",INDEX($B$8:$B$5007,$L2979))</f>
        <v/>
      </c>
      <c r="O2979" s="32" t="str">
        <f>IF($M2979="","",IF($K2979-$M2979&gt;7,"",IF($M2979&lt;=$A2979,"",IF(OR($B2979&lt;=0,$N2979&lt;=0),"",($N2979/$B2979)^(365/($M2979-$A2979))-1))))</f>
        <v/>
      </c>
      <c r="P2979" s="31" t="str">
        <f>IF($B2979="","",IF($P2978="",$B2979,MAX($P2978,$B2979)))</f>
        <v/>
      </c>
      <c r="Q2979" s="32" t="str">
        <f>IF($P2979="","",$B2979/$P2979-1)</f>
        <v/>
      </c>
    </row>
    <row r="2980">
      <c r="A2980" s="11" t="n"/>
      <c r="B2980" s="29" t="n"/>
      <c r="K2980" s="30" t="str">
        <f>IF($A2980="","",EDATE($A2980,12*$E$4))</f>
        <v/>
      </c>
      <c r="L2980" s="19" t="str">
        <f>IF($K2980="","",IF($K2980&gt;MAX($A$8:$A$5007),"",IFERROR(MATCH($K2980,$A$8:$A$5007,1),"")))</f>
        <v/>
      </c>
      <c r="M2980" s="30" t="str">
        <f>IF($L2980="","",INDEX($A$8:$A$5007,$L2980))</f>
        <v/>
      </c>
      <c r="N2980" s="31" t="str">
        <f>IF($L2980="","",INDEX($B$8:$B$5007,$L2980))</f>
        <v/>
      </c>
      <c r="O2980" s="32" t="str">
        <f>IF($M2980="","",IF($K2980-$M2980&gt;7,"",IF($M2980&lt;=$A2980,"",IF(OR($B2980&lt;=0,$N2980&lt;=0),"",($N2980/$B2980)^(365/($M2980-$A2980))-1))))</f>
        <v/>
      </c>
      <c r="P2980" s="31" t="str">
        <f>IF($B2980="","",IF($P2979="",$B2980,MAX($P2979,$B2980)))</f>
        <v/>
      </c>
      <c r="Q2980" s="32" t="str">
        <f>IF($P2980="","",$B2980/$P2980-1)</f>
        <v/>
      </c>
    </row>
    <row r="2981">
      <c r="A2981" s="11" t="n"/>
      <c r="B2981" s="29" t="n"/>
      <c r="K2981" s="30" t="str">
        <f>IF($A2981="","",EDATE($A2981,12*$E$4))</f>
        <v/>
      </c>
      <c r="L2981" s="19" t="str">
        <f>IF($K2981="","",IF($K2981&gt;MAX($A$8:$A$5007),"",IFERROR(MATCH($K2981,$A$8:$A$5007,1),"")))</f>
        <v/>
      </c>
      <c r="M2981" s="30" t="str">
        <f>IF($L2981="","",INDEX($A$8:$A$5007,$L2981))</f>
        <v/>
      </c>
      <c r="N2981" s="31" t="str">
        <f>IF($L2981="","",INDEX($B$8:$B$5007,$L2981))</f>
        <v/>
      </c>
      <c r="O2981" s="32" t="str">
        <f>IF($M2981="","",IF($K2981-$M2981&gt;7,"",IF($M2981&lt;=$A2981,"",IF(OR($B2981&lt;=0,$N2981&lt;=0),"",($N2981/$B2981)^(365/($M2981-$A2981))-1))))</f>
        <v/>
      </c>
      <c r="P2981" s="31" t="str">
        <f>IF($B2981="","",IF($P2980="",$B2981,MAX($P2980,$B2981)))</f>
        <v/>
      </c>
      <c r="Q2981" s="32" t="str">
        <f>IF($P2981="","",$B2981/$P2981-1)</f>
        <v/>
      </c>
    </row>
    <row r="2982">
      <c r="A2982" s="11" t="n"/>
      <c r="B2982" s="29" t="n"/>
      <c r="K2982" s="30" t="str">
        <f>IF($A2982="","",EDATE($A2982,12*$E$4))</f>
        <v/>
      </c>
      <c r="L2982" s="19" t="str">
        <f>IF($K2982="","",IF($K2982&gt;MAX($A$8:$A$5007),"",IFERROR(MATCH($K2982,$A$8:$A$5007,1),"")))</f>
        <v/>
      </c>
      <c r="M2982" s="30" t="str">
        <f>IF($L2982="","",INDEX($A$8:$A$5007,$L2982))</f>
        <v/>
      </c>
      <c r="N2982" s="31" t="str">
        <f>IF($L2982="","",INDEX($B$8:$B$5007,$L2982))</f>
        <v/>
      </c>
      <c r="O2982" s="32" t="str">
        <f>IF($M2982="","",IF($K2982-$M2982&gt;7,"",IF($M2982&lt;=$A2982,"",IF(OR($B2982&lt;=0,$N2982&lt;=0),"",($N2982/$B2982)^(365/($M2982-$A2982))-1))))</f>
        <v/>
      </c>
      <c r="P2982" s="31" t="str">
        <f>IF($B2982="","",IF($P2981="",$B2982,MAX($P2981,$B2982)))</f>
        <v/>
      </c>
      <c r="Q2982" s="32" t="str">
        <f>IF($P2982="","",$B2982/$P2982-1)</f>
        <v/>
      </c>
    </row>
    <row r="2983">
      <c r="A2983" s="11" t="n"/>
      <c r="B2983" s="29" t="n"/>
      <c r="K2983" s="30" t="str">
        <f>IF($A2983="","",EDATE($A2983,12*$E$4))</f>
        <v/>
      </c>
      <c r="L2983" s="19" t="str">
        <f>IF($K2983="","",IF($K2983&gt;MAX($A$8:$A$5007),"",IFERROR(MATCH($K2983,$A$8:$A$5007,1),"")))</f>
        <v/>
      </c>
      <c r="M2983" s="30" t="str">
        <f>IF($L2983="","",INDEX($A$8:$A$5007,$L2983))</f>
        <v/>
      </c>
      <c r="N2983" s="31" t="str">
        <f>IF($L2983="","",INDEX($B$8:$B$5007,$L2983))</f>
        <v/>
      </c>
      <c r="O2983" s="32" t="str">
        <f>IF($M2983="","",IF($K2983-$M2983&gt;7,"",IF($M2983&lt;=$A2983,"",IF(OR($B2983&lt;=0,$N2983&lt;=0),"",($N2983/$B2983)^(365/($M2983-$A2983))-1))))</f>
        <v/>
      </c>
      <c r="P2983" s="31" t="str">
        <f>IF($B2983="","",IF($P2982="",$B2983,MAX($P2982,$B2983)))</f>
        <v/>
      </c>
      <c r="Q2983" s="32" t="str">
        <f>IF($P2983="","",$B2983/$P2983-1)</f>
        <v/>
      </c>
    </row>
    <row r="2984">
      <c r="A2984" s="11" t="n"/>
      <c r="B2984" s="29" t="n"/>
      <c r="K2984" s="30" t="str">
        <f>IF($A2984="","",EDATE($A2984,12*$E$4))</f>
        <v/>
      </c>
      <c r="L2984" s="19" t="str">
        <f>IF($K2984="","",IF($K2984&gt;MAX($A$8:$A$5007),"",IFERROR(MATCH($K2984,$A$8:$A$5007,1),"")))</f>
        <v/>
      </c>
      <c r="M2984" s="30" t="str">
        <f>IF($L2984="","",INDEX($A$8:$A$5007,$L2984))</f>
        <v/>
      </c>
      <c r="N2984" s="31" t="str">
        <f>IF($L2984="","",INDEX($B$8:$B$5007,$L2984))</f>
        <v/>
      </c>
      <c r="O2984" s="32" t="str">
        <f>IF($M2984="","",IF($K2984-$M2984&gt;7,"",IF($M2984&lt;=$A2984,"",IF(OR($B2984&lt;=0,$N2984&lt;=0),"",($N2984/$B2984)^(365/($M2984-$A2984))-1))))</f>
        <v/>
      </c>
      <c r="P2984" s="31" t="str">
        <f>IF($B2984="","",IF($P2983="",$B2984,MAX($P2983,$B2984)))</f>
        <v/>
      </c>
      <c r="Q2984" s="32" t="str">
        <f>IF($P2984="","",$B2984/$P2984-1)</f>
        <v/>
      </c>
    </row>
    <row r="2985">
      <c r="A2985" s="11" t="n"/>
      <c r="B2985" s="29" t="n"/>
      <c r="K2985" s="30" t="str">
        <f>IF($A2985="","",EDATE($A2985,12*$E$4))</f>
        <v/>
      </c>
      <c r="L2985" s="19" t="str">
        <f>IF($K2985="","",IF($K2985&gt;MAX($A$8:$A$5007),"",IFERROR(MATCH($K2985,$A$8:$A$5007,1),"")))</f>
        <v/>
      </c>
      <c r="M2985" s="30" t="str">
        <f>IF($L2985="","",INDEX($A$8:$A$5007,$L2985))</f>
        <v/>
      </c>
      <c r="N2985" s="31" t="str">
        <f>IF($L2985="","",INDEX($B$8:$B$5007,$L2985))</f>
        <v/>
      </c>
      <c r="O2985" s="32" t="str">
        <f>IF($M2985="","",IF($K2985-$M2985&gt;7,"",IF($M2985&lt;=$A2985,"",IF(OR($B2985&lt;=0,$N2985&lt;=0),"",($N2985/$B2985)^(365/($M2985-$A2985))-1))))</f>
        <v/>
      </c>
      <c r="P2985" s="31" t="str">
        <f>IF($B2985="","",IF($P2984="",$B2985,MAX($P2984,$B2985)))</f>
        <v/>
      </c>
      <c r="Q2985" s="32" t="str">
        <f>IF($P2985="","",$B2985/$P2985-1)</f>
        <v/>
      </c>
    </row>
    <row r="2986">
      <c r="A2986" s="11" t="n"/>
      <c r="B2986" s="29" t="n"/>
      <c r="K2986" s="30" t="str">
        <f>IF($A2986="","",EDATE($A2986,12*$E$4))</f>
        <v/>
      </c>
      <c r="L2986" s="19" t="str">
        <f>IF($K2986="","",IF($K2986&gt;MAX($A$8:$A$5007),"",IFERROR(MATCH($K2986,$A$8:$A$5007,1),"")))</f>
        <v/>
      </c>
      <c r="M2986" s="30" t="str">
        <f>IF($L2986="","",INDEX($A$8:$A$5007,$L2986))</f>
        <v/>
      </c>
      <c r="N2986" s="31" t="str">
        <f>IF($L2986="","",INDEX($B$8:$B$5007,$L2986))</f>
        <v/>
      </c>
      <c r="O2986" s="32" t="str">
        <f>IF($M2986="","",IF($K2986-$M2986&gt;7,"",IF($M2986&lt;=$A2986,"",IF(OR($B2986&lt;=0,$N2986&lt;=0),"",($N2986/$B2986)^(365/($M2986-$A2986))-1))))</f>
        <v/>
      </c>
      <c r="P2986" s="31" t="str">
        <f>IF($B2986="","",IF($P2985="",$B2986,MAX($P2985,$B2986)))</f>
        <v/>
      </c>
      <c r="Q2986" s="32" t="str">
        <f>IF($P2986="","",$B2986/$P2986-1)</f>
        <v/>
      </c>
    </row>
    <row r="2987">
      <c r="A2987" s="11" t="n"/>
      <c r="B2987" s="29" t="n"/>
      <c r="K2987" s="30" t="str">
        <f>IF($A2987="","",EDATE($A2987,12*$E$4))</f>
        <v/>
      </c>
      <c r="L2987" s="19" t="str">
        <f>IF($K2987="","",IF($K2987&gt;MAX($A$8:$A$5007),"",IFERROR(MATCH($K2987,$A$8:$A$5007,1),"")))</f>
        <v/>
      </c>
      <c r="M2987" s="30" t="str">
        <f>IF($L2987="","",INDEX($A$8:$A$5007,$L2987))</f>
        <v/>
      </c>
      <c r="N2987" s="31" t="str">
        <f>IF($L2987="","",INDEX($B$8:$B$5007,$L2987))</f>
        <v/>
      </c>
      <c r="O2987" s="32" t="str">
        <f>IF($M2987="","",IF($K2987-$M2987&gt;7,"",IF($M2987&lt;=$A2987,"",IF(OR($B2987&lt;=0,$N2987&lt;=0),"",($N2987/$B2987)^(365/($M2987-$A2987))-1))))</f>
        <v/>
      </c>
      <c r="P2987" s="31" t="str">
        <f>IF($B2987="","",IF($P2986="",$B2987,MAX($P2986,$B2987)))</f>
        <v/>
      </c>
      <c r="Q2987" s="32" t="str">
        <f>IF($P2987="","",$B2987/$P2987-1)</f>
        <v/>
      </c>
    </row>
    <row r="2988">
      <c r="A2988" s="11" t="n"/>
      <c r="B2988" s="29" t="n"/>
      <c r="K2988" s="30" t="str">
        <f>IF($A2988="","",EDATE($A2988,12*$E$4))</f>
        <v/>
      </c>
      <c r="L2988" s="19" t="str">
        <f>IF($K2988="","",IF($K2988&gt;MAX($A$8:$A$5007),"",IFERROR(MATCH($K2988,$A$8:$A$5007,1),"")))</f>
        <v/>
      </c>
      <c r="M2988" s="30" t="str">
        <f>IF($L2988="","",INDEX($A$8:$A$5007,$L2988))</f>
        <v/>
      </c>
      <c r="N2988" s="31" t="str">
        <f>IF($L2988="","",INDEX($B$8:$B$5007,$L2988))</f>
        <v/>
      </c>
      <c r="O2988" s="32" t="str">
        <f>IF($M2988="","",IF($K2988-$M2988&gt;7,"",IF($M2988&lt;=$A2988,"",IF(OR($B2988&lt;=0,$N2988&lt;=0),"",($N2988/$B2988)^(365/($M2988-$A2988))-1))))</f>
        <v/>
      </c>
      <c r="P2988" s="31" t="str">
        <f>IF($B2988="","",IF($P2987="",$B2988,MAX($P2987,$B2988)))</f>
        <v/>
      </c>
      <c r="Q2988" s="32" t="str">
        <f>IF($P2988="","",$B2988/$P2988-1)</f>
        <v/>
      </c>
    </row>
    <row r="2989">
      <c r="A2989" s="11" t="n"/>
      <c r="B2989" s="29" t="n"/>
      <c r="K2989" s="30" t="str">
        <f>IF($A2989="","",EDATE($A2989,12*$E$4))</f>
        <v/>
      </c>
      <c r="L2989" s="19" t="str">
        <f>IF($K2989="","",IF($K2989&gt;MAX($A$8:$A$5007),"",IFERROR(MATCH($K2989,$A$8:$A$5007,1),"")))</f>
        <v/>
      </c>
      <c r="M2989" s="30" t="str">
        <f>IF($L2989="","",INDEX($A$8:$A$5007,$L2989))</f>
        <v/>
      </c>
      <c r="N2989" s="31" t="str">
        <f>IF($L2989="","",INDEX($B$8:$B$5007,$L2989))</f>
        <v/>
      </c>
      <c r="O2989" s="32" t="str">
        <f>IF($M2989="","",IF($K2989-$M2989&gt;7,"",IF($M2989&lt;=$A2989,"",IF(OR($B2989&lt;=0,$N2989&lt;=0),"",($N2989/$B2989)^(365/($M2989-$A2989))-1))))</f>
        <v/>
      </c>
      <c r="P2989" s="31" t="str">
        <f>IF($B2989="","",IF($P2988="",$B2989,MAX($P2988,$B2989)))</f>
        <v/>
      </c>
      <c r="Q2989" s="32" t="str">
        <f>IF($P2989="","",$B2989/$P2989-1)</f>
        <v/>
      </c>
    </row>
    <row r="2990">
      <c r="A2990" s="11" t="n"/>
      <c r="B2990" s="29" t="n"/>
      <c r="K2990" s="30" t="str">
        <f>IF($A2990="","",EDATE($A2990,12*$E$4))</f>
        <v/>
      </c>
      <c r="L2990" s="19" t="str">
        <f>IF($K2990="","",IF($K2990&gt;MAX($A$8:$A$5007),"",IFERROR(MATCH($K2990,$A$8:$A$5007,1),"")))</f>
        <v/>
      </c>
      <c r="M2990" s="30" t="str">
        <f>IF($L2990="","",INDEX($A$8:$A$5007,$L2990))</f>
        <v/>
      </c>
      <c r="N2990" s="31" t="str">
        <f>IF($L2990="","",INDEX($B$8:$B$5007,$L2990))</f>
        <v/>
      </c>
      <c r="O2990" s="32" t="str">
        <f>IF($M2990="","",IF($K2990-$M2990&gt;7,"",IF($M2990&lt;=$A2990,"",IF(OR($B2990&lt;=0,$N2990&lt;=0),"",($N2990/$B2990)^(365/($M2990-$A2990))-1))))</f>
        <v/>
      </c>
      <c r="P2990" s="31" t="str">
        <f>IF($B2990="","",IF($P2989="",$B2990,MAX($P2989,$B2990)))</f>
        <v/>
      </c>
      <c r="Q2990" s="32" t="str">
        <f>IF($P2990="","",$B2990/$P2990-1)</f>
        <v/>
      </c>
    </row>
    <row r="2991">
      <c r="A2991" s="11" t="n"/>
      <c r="B2991" s="29" t="n"/>
      <c r="K2991" s="30" t="str">
        <f>IF($A2991="","",EDATE($A2991,12*$E$4))</f>
        <v/>
      </c>
      <c r="L2991" s="19" t="str">
        <f>IF($K2991="","",IF($K2991&gt;MAX($A$8:$A$5007),"",IFERROR(MATCH($K2991,$A$8:$A$5007,1),"")))</f>
        <v/>
      </c>
      <c r="M2991" s="30" t="str">
        <f>IF($L2991="","",INDEX($A$8:$A$5007,$L2991))</f>
        <v/>
      </c>
      <c r="N2991" s="31" t="str">
        <f>IF($L2991="","",INDEX($B$8:$B$5007,$L2991))</f>
        <v/>
      </c>
      <c r="O2991" s="32" t="str">
        <f>IF($M2991="","",IF($K2991-$M2991&gt;7,"",IF($M2991&lt;=$A2991,"",IF(OR($B2991&lt;=0,$N2991&lt;=0),"",($N2991/$B2991)^(365/($M2991-$A2991))-1))))</f>
        <v/>
      </c>
      <c r="P2991" s="31" t="str">
        <f>IF($B2991="","",IF($P2990="",$B2991,MAX($P2990,$B2991)))</f>
        <v/>
      </c>
      <c r="Q2991" s="32" t="str">
        <f>IF($P2991="","",$B2991/$P2991-1)</f>
        <v/>
      </c>
    </row>
    <row r="2992">
      <c r="A2992" s="11" t="n"/>
      <c r="B2992" s="29" t="n"/>
      <c r="K2992" s="30" t="str">
        <f>IF($A2992="","",EDATE($A2992,12*$E$4))</f>
        <v/>
      </c>
      <c r="L2992" s="19" t="str">
        <f>IF($K2992="","",IF($K2992&gt;MAX($A$8:$A$5007),"",IFERROR(MATCH($K2992,$A$8:$A$5007,1),"")))</f>
        <v/>
      </c>
      <c r="M2992" s="30" t="str">
        <f>IF($L2992="","",INDEX($A$8:$A$5007,$L2992))</f>
        <v/>
      </c>
      <c r="N2992" s="31" t="str">
        <f>IF($L2992="","",INDEX($B$8:$B$5007,$L2992))</f>
        <v/>
      </c>
      <c r="O2992" s="32" t="str">
        <f>IF($M2992="","",IF($K2992-$M2992&gt;7,"",IF($M2992&lt;=$A2992,"",IF(OR($B2992&lt;=0,$N2992&lt;=0),"",($N2992/$B2992)^(365/($M2992-$A2992))-1))))</f>
        <v/>
      </c>
      <c r="P2992" s="31" t="str">
        <f>IF($B2992="","",IF($P2991="",$B2992,MAX($P2991,$B2992)))</f>
        <v/>
      </c>
      <c r="Q2992" s="32" t="str">
        <f>IF($P2992="","",$B2992/$P2992-1)</f>
        <v/>
      </c>
    </row>
    <row r="2993">
      <c r="A2993" s="11" t="n"/>
      <c r="B2993" s="29" t="n"/>
      <c r="K2993" s="30" t="str">
        <f>IF($A2993="","",EDATE($A2993,12*$E$4))</f>
        <v/>
      </c>
      <c r="L2993" s="19" t="str">
        <f>IF($K2993="","",IF($K2993&gt;MAX($A$8:$A$5007),"",IFERROR(MATCH($K2993,$A$8:$A$5007,1),"")))</f>
        <v/>
      </c>
      <c r="M2993" s="30" t="str">
        <f>IF($L2993="","",INDEX($A$8:$A$5007,$L2993))</f>
        <v/>
      </c>
      <c r="N2993" s="31" t="str">
        <f>IF($L2993="","",INDEX($B$8:$B$5007,$L2993))</f>
        <v/>
      </c>
      <c r="O2993" s="32" t="str">
        <f>IF($M2993="","",IF($K2993-$M2993&gt;7,"",IF($M2993&lt;=$A2993,"",IF(OR($B2993&lt;=0,$N2993&lt;=0),"",($N2993/$B2993)^(365/($M2993-$A2993))-1))))</f>
        <v/>
      </c>
      <c r="P2993" s="31" t="str">
        <f>IF($B2993="","",IF($P2992="",$B2993,MAX($P2992,$B2993)))</f>
        <v/>
      </c>
      <c r="Q2993" s="32" t="str">
        <f>IF($P2993="","",$B2993/$P2993-1)</f>
        <v/>
      </c>
    </row>
    <row r="2994">
      <c r="A2994" s="11" t="n"/>
      <c r="B2994" s="29" t="n"/>
      <c r="K2994" s="30" t="str">
        <f>IF($A2994="","",EDATE($A2994,12*$E$4))</f>
        <v/>
      </c>
      <c r="L2994" s="19" t="str">
        <f>IF($K2994="","",IF($K2994&gt;MAX($A$8:$A$5007),"",IFERROR(MATCH($K2994,$A$8:$A$5007,1),"")))</f>
        <v/>
      </c>
      <c r="M2994" s="30" t="str">
        <f>IF($L2994="","",INDEX($A$8:$A$5007,$L2994))</f>
        <v/>
      </c>
      <c r="N2994" s="31" t="str">
        <f>IF($L2994="","",INDEX($B$8:$B$5007,$L2994))</f>
        <v/>
      </c>
      <c r="O2994" s="32" t="str">
        <f>IF($M2994="","",IF($K2994-$M2994&gt;7,"",IF($M2994&lt;=$A2994,"",IF(OR($B2994&lt;=0,$N2994&lt;=0),"",($N2994/$B2994)^(365/($M2994-$A2994))-1))))</f>
        <v/>
      </c>
      <c r="P2994" s="31" t="str">
        <f>IF($B2994="","",IF($P2993="",$B2994,MAX($P2993,$B2994)))</f>
        <v/>
      </c>
      <c r="Q2994" s="32" t="str">
        <f>IF($P2994="","",$B2994/$P2994-1)</f>
        <v/>
      </c>
    </row>
    <row r="2995">
      <c r="A2995" s="11" t="n"/>
      <c r="B2995" s="29" t="n"/>
      <c r="K2995" s="30" t="str">
        <f>IF($A2995="","",EDATE($A2995,12*$E$4))</f>
        <v/>
      </c>
      <c r="L2995" s="19" t="str">
        <f>IF($K2995="","",IF($K2995&gt;MAX($A$8:$A$5007),"",IFERROR(MATCH($K2995,$A$8:$A$5007,1),"")))</f>
        <v/>
      </c>
      <c r="M2995" s="30" t="str">
        <f>IF($L2995="","",INDEX($A$8:$A$5007,$L2995))</f>
        <v/>
      </c>
      <c r="N2995" s="31" t="str">
        <f>IF($L2995="","",INDEX($B$8:$B$5007,$L2995))</f>
        <v/>
      </c>
      <c r="O2995" s="32" t="str">
        <f>IF($M2995="","",IF($K2995-$M2995&gt;7,"",IF($M2995&lt;=$A2995,"",IF(OR($B2995&lt;=0,$N2995&lt;=0),"",($N2995/$B2995)^(365/($M2995-$A2995))-1))))</f>
        <v/>
      </c>
      <c r="P2995" s="31" t="str">
        <f>IF($B2995="","",IF($P2994="",$B2995,MAX($P2994,$B2995)))</f>
        <v/>
      </c>
      <c r="Q2995" s="32" t="str">
        <f>IF($P2995="","",$B2995/$P2995-1)</f>
        <v/>
      </c>
    </row>
    <row r="2996">
      <c r="A2996" s="11" t="n"/>
      <c r="B2996" s="29" t="n"/>
      <c r="K2996" s="30" t="str">
        <f>IF($A2996="","",EDATE($A2996,12*$E$4))</f>
        <v/>
      </c>
      <c r="L2996" s="19" t="str">
        <f>IF($K2996="","",IF($K2996&gt;MAX($A$8:$A$5007),"",IFERROR(MATCH($K2996,$A$8:$A$5007,1),"")))</f>
        <v/>
      </c>
      <c r="M2996" s="30" t="str">
        <f>IF($L2996="","",INDEX($A$8:$A$5007,$L2996))</f>
        <v/>
      </c>
      <c r="N2996" s="31" t="str">
        <f>IF($L2996="","",INDEX($B$8:$B$5007,$L2996))</f>
        <v/>
      </c>
      <c r="O2996" s="32" t="str">
        <f>IF($M2996="","",IF($K2996-$M2996&gt;7,"",IF($M2996&lt;=$A2996,"",IF(OR($B2996&lt;=0,$N2996&lt;=0),"",($N2996/$B2996)^(365/($M2996-$A2996))-1))))</f>
        <v/>
      </c>
      <c r="P2996" s="31" t="str">
        <f>IF($B2996="","",IF($P2995="",$B2996,MAX($P2995,$B2996)))</f>
        <v/>
      </c>
      <c r="Q2996" s="32" t="str">
        <f>IF($P2996="","",$B2996/$P2996-1)</f>
        <v/>
      </c>
    </row>
    <row r="2997">
      <c r="A2997" s="11" t="n"/>
      <c r="B2997" s="29" t="n"/>
      <c r="K2997" s="30" t="str">
        <f>IF($A2997="","",EDATE($A2997,12*$E$4))</f>
        <v/>
      </c>
      <c r="L2997" s="19" t="str">
        <f>IF($K2997="","",IF($K2997&gt;MAX($A$8:$A$5007),"",IFERROR(MATCH($K2997,$A$8:$A$5007,1),"")))</f>
        <v/>
      </c>
      <c r="M2997" s="30" t="str">
        <f>IF($L2997="","",INDEX($A$8:$A$5007,$L2997))</f>
        <v/>
      </c>
      <c r="N2997" s="31" t="str">
        <f>IF($L2997="","",INDEX($B$8:$B$5007,$L2997))</f>
        <v/>
      </c>
      <c r="O2997" s="32" t="str">
        <f>IF($M2997="","",IF($K2997-$M2997&gt;7,"",IF($M2997&lt;=$A2997,"",IF(OR($B2997&lt;=0,$N2997&lt;=0),"",($N2997/$B2997)^(365/($M2997-$A2997))-1))))</f>
        <v/>
      </c>
      <c r="P2997" s="31" t="str">
        <f>IF($B2997="","",IF($P2996="",$B2997,MAX($P2996,$B2997)))</f>
        <v/>
      </c>
      <c r="Q2997" s="32" t="str">
        <f>IF($P2997="","",$B2997/$P2997-1)</f>
        <v/>
      </c>
    </row>
    <row r="2998">
      <c r="A2998" s="11" t="n"/>
      <c r="B2998" s="29" t="n"/>
      <c r="K2998" s="30" t="str">
        <f>IF($A2998="","",EDATE($A2998,12*$E$4))</f>
        <v/>
      </c>
      <c r="L2998" s="19" t="str">
        <f>IF($K2998="","",IF($K2998&gt;MAX($A$8:$A$5007),"",IFERROR(MATCH($K2998,$A$8:$A$5007,1),"")))</f>
        <v/>
      </c>
      <c r="M2998" s="30" t="str">
        <f>IF($L2998="","",INDEX($A$8:$A$5007,$L2998))</f>
        <v/>
      </c>
      <c r="N2998" s="31" t="str">
        <f>IF($L2998="","",INDEX($B$8:$B$5007,$L2998))</f>
        <v/>
      </c>
      <c r="O2998" s="32" t="str">
        <f>IF($M2998="","",IF($K2998-$M2998&gt;7,"",IF($M2998&lt;=$A2998,"",IF(OR($B2998&lt;=0,$N2998&lt;=0),"",($N2998/$B2998)^(365/($M2998-$A2998))-1))))</f>
        <v/>
      </c>
      <c r="P2998" s="31" t="str">
        <f>IF($B2998="","",IF($P2997="",$B2998,MAX($P2997,$B2998)))</f>
        <v/>
      </c>
      <c r="Q2998" s="32" t="str">
        <f>IF($P2998="","",$B2998/$P2998-1)</f>
        <v/>
      </c>
    </row>
    <row r="2999">
      <c r="A2999" s="11" t="n"/>
      <c r="B2999" s="29" t="n"/>
      <c r="K2999" s="30" t="str">
        <f>IF($A2999="","",EDATE($A2999,12*$E$4))</f>
        <v/>
      </c>
      <c r="L2999" s="19" t="str">
        <f>IF($K2999="","",IF($K2999&gt;MAX($A$8:$A$5007),"",IFERROR(MATCH($K2999,$A$8:$A$5007,1),"")))</f>
        <v/>
      </c>
      <c r="M2999" s="30" t="str">
        <f>IF($L2999="","",INDEX($A$8:$A$5007,$L2999))</f>
        <v/>
      </c>
      <c r="N2999" s="31" t="str">
        <f>IF($L2999="","",INDEX($B$8:$B$5007,$L2999))</f>
        <v/>
      </c>
      <c r="O2999" s="32" t="str">
        <f>IF($M2999="","",IF($K2999-$M2999&gt;7,"",IF($M2999&lt;=$A2999,"",IF(OR($B2999&lt;=0,$N2999&lt;=0),"",($N2999/$B2999)^(365/($M2999-$A2999))-1))))</f>
        <v/>
      </c>
      <c r="P2999" s="31" t="str">
        <f>IF($B2999="","",IF($P2998="",$B2999,MAX($P2998,$B2999)))</f>
        <v/>
      </c>
      <c r="Q2999" s="32" t="str">
        <f>IF($P2999="","",$B2999/$P2999-1)</f>
        <v/>
      </c>
    </row>
    <row r="3000">
      <c r="A3000" s="11" t="n"/>
      <c r="B3000" s="29" t="n"/>
      <c r="K3000" s="30" t="str">
        <f>IF($A3000="","",EDATE($A3000,12*$E$4))</f>
        <v/>
      </c>
      <c r="L3000" s="19" t="str">
        <f>IF($K3000="","",IF($K3000&gt;MAX($A$8:$A$5007),"",IFERROR(MATCH($K3000,$A$8:$A$5007,1),"")))</f>
        <v/>
      </c>
      <c r="M3000" s="30" t="str">
        <f>IF($L3000="","",INDEX($A$8:$A$5007,$L3000))</f>
        <v/>
      </c>
      <c r="N3000" s="31" t="str">
        <f>IF($L3000="","",INDEX($B$8:$B$5007,$L3000))</f>
        <v/>
      </c>
      <c r="O3000" s="32" t="str">
        <f>IF($M3000="","",IF($K3000-$M3000&gt;7,"",IF($M3000&lt;=$A3000,"",IF(OR($B3000&lt;=0,$N3000&lt;=0),"",($N3000/$B3000)^(365/($M3000-$A3000))-1))))</f>
        <v/>
      </c>
      <c r="P3000" s="31" t="str">
        <f>IF($B3000="","",IF($P2999="",$B3000,MAX($P2999,$B3000)))</f>
        <v/>
      </c>
      <c r="Q3000" s="32" t="str">
        <f>IF($P3000="","",$B3000/$P3000-1)</f>
        <v/>
      </c>
    </row>
    <row r="3001">
      <c r="A3001" s="11" t="n"/>
      <c r="B3001" s="29" t="n"/>
      <c r="K3001" s="30" t="str">
        <f>IF($A3001="","",EDATE($A3001,12*$E$4))</f>
        <v/>
      </c>
      <c r="L3001" s="19" t="str">
        <f>IF($K3001="","",IF($K3001&gt;MAX($A$8:$A$5007),"",IFERROR(MATCH($K3001,$A$8:$A$5007,1),"")))</f>
        <v/>
      </c>
      <c r="M3001" s="30" t="str">
        <f>IF($L3001="","",INDEX($A$8:$A$5007,$L3001))</f>
        <v/>
      </c>
      <c r="N3001" s="31" t="str">
        <f>IF($L3001="","",INDEX($B$8:$B$5007,$L3001))</f>
        <v/>
      </c>
      <c r="O3001" s="32" t="str">
        <f>IF($M3001="","",IF($K3001-$M3001&gt;7,"",IF($M3001&lt;=$A3001,"",IF(OR($B3001&lt;=0,$N3001&lt;=0),"",($N3001/$B3001)^(365/($M3001-$A3001))-1))))</f>
        <v/>
      </c>
      <c r="P3001" s="31" t="str">
        <f>IF($B3001="","",IF($P3000="",$B3001,MAX($P3000,$B3001)))</f>
        <v/>
      </c>
      <c r="Q3001" s="32" t="str">
        <f>IF($P3001="","",$B3001/$P3001-1)</f>
        <v/>
      </c>
    </row>
    <row r="3002">
      <c r="A3002" s="11" t="n"/>
      <c r="B3002" s="29" t="n"/>
      <c r="K3002" s="30" t="str">
        <f>IF($A3002="","",EDATE($A3002,12*$E$4))</f>
        <v/>
      </c>
      <c r="L3002" s="19" t="str">
        <f>IF($K3002="","",IF($K3002&gt;MAX($A$8:$A$5007),"",IFERROR(MATCH($K3002,$A$8:$A$5007,1),"")))</f>
        <v/>
      </c>
      <c r="M3002" s="30" t="str">
        <f>IF($L3002="","",INDEX($A$8:$A$5007,$L3002))</f>
        <v/>
      </c>
      <c r="N3002" s="31" t="str">
        <f>IF($L3002="","",INDEX($B$8:$B$5007,$L3002))</f>
        <v/>
      </c>
      <c r="O3002" s="32" t="str">
        <f>IF($M3002="","",IF($K3002-$M3002&gt;7,"",IF($M3002&lt;=$A3002,"",IF(OR($B3002&lt;=0,$N3002&lt;=0),"",($N3002/$B3002)^(365/($M3002-$A3002))-1))))</f>
        <v/>
      </c>
      <c r="P3002" s="31" t="str">
        <f>IF($B3002="","",IF($P3001="",$B3002,MAX($P3001,$B3002)))</f>
        <v/>
      </c>
      <c r="Q3002" s="32" t="str">
        <f>IF($P3002="","",$B3002/$P3002-1)</f>
        <v/>
      </c>
    </row>
    <row r="3003">
      <c r="A3003" s="11" t="n"/>
      <c r="B3003" s="29" t="n"/>
      <c r="K3003" s="30" t="str">
        <f>IF($A3003="","",EDATE($A3003,12*$E$4))</f>
        <v/>
      </c>
      <c r="L3003" s="19" t="str">
        <f>IF($K3003="","",IF($K3003&gt;MAX($A$8:$A$5007),"",IFERROR(MATCH($K3003,$A$8:$A$5007,1),"")))</f>
        <v/>
      </c>
      <c r="M3003" s="30" t="str">
        <f>IF($L3003="","",INDEX($A$8:$A$5007,$L3003))</f>
        <v/>
      </c>
      <c r="N3003" s="31" t="str">
        <f>IF($L3003="","",INDEX($B$8:$B$5007,$L3003))</f>
        <v/>
      </c>
      <c r="O3003" s="32" t="str">
        <f>IF($M3003="","",IF($K3003-$M3003&gt;7,"",IF($M3003&lt;=$A3003,"",IF(OR($B3003&lt;=0,$N3003&lt;=0),"",($N3003/$B3003)^(365/($M3003-$A3003))-1))))</f>
        <v/>
      </c>
      <c r="P3003" s="31" t="str">
        <f>IF($B3003="","",IF($P3002="",$B3003,MAX($P3002,$B3003)))</f>
        <v/>
      </c>
      <c r="Q3003" s="32" t="str">
        <f>IF($P3003="","",$B3003/$P3003-1)</f>
        <v/>
      </c>
    </row>
    <row r="3004">
      <c r="A3004" s="11" t="n"/>
      <c r="B3004" s="29" t="n"/>
      <c r="K3004" s="30" t="str">
        <f>IF($A3004="","",EDATE($A3004,12*$E$4))</f>
        <v/>
      </c>
      <c r="L3004" s="19" t="str">
        <f>IF($K3004="","",IF($K3004&gt;MAX($A$8:$A$5007),"",IFERROR(MATCH($K3004,$A$8:$A$5007,1),"")))</f>
        <v/>
      </c>
      <c r="M3004" s="30" t="str">
        <f>IF($L3004="","",INDEX($A$8:$A$5007,$L3004))</f>
        <v/>
      </c>
      <c r="N3004" s="31" t="str">
        <f>IF($L3004="","",INDEX($B$8:$B$5007,$L3004))</f>
        <v/>
      </c>
      <c r="O3004" s="32" t="str">
        <f>IF($M3004="","",IF($K3004-$M3004&gt;7,"",IF($M3004&lt;=$A3004,"",IF(OR($B3004&lt;=0,$N3004&lt;=0),"",($N3004/$B3004)^(365/($M3004-$A3004))-1))))</f>
        <v/>
      </c>
      <c r="P3004" s="31" t="str">
        <f>IF($B3004="","",IF($P3003="",$B3004,MAX($P3003,$B3004)))</f>
        <v/>
      </c>
      <c r="Q3004" s="32" t="str">
        <f>IF($P3004="","",$B3004/$P3004-1)</f>
        <v/>
      </c>
    </row>
    <row r="3005">
      <c r="A3005" s="11" t="n"/>
      <c r="B3005" s="29" t="n"/>
      <c r="K3005" s="30" t="str">
        <f>IF($A3005="","",EDATE($A3005,12*$E$4))</f>
        <v/>
      </c>
      <c r="L3005" s="19" t="str">
        <f>IF($K3005="","",IF($K3005&gt;MAX($A$8:$A$5007),"",IFERROR(MATCH($K3005,$A$8:$A$5007,1),"")))</f>
        <v/>
      </c>
      <c r="M3005" s="30" t="str">
        <f>IF($L3005="","",INDEX($A$8:$A$5007,$L3005))</f>
        <v/>
      </c>
      <c r="N3005" s="31" t="str">
        <f>IF($L3005="","",INDEX($B$8:$B$5007,$L3005))</f>
        <v/>
      </c>
      <c r="O3005" s="32" t="str">
        <f>IF($M3005="","",IF($K3005-$M3005&gt;7,"",IF($M3005&lt;=$A3005,"",IF(OR($B3005&lt;=0,$N3005&lt;=0),"",($N3005/$B3005)^(365/($M3005-$A3005))-1))))</f>
        <v/>
      </c>
      <c r="P3005" s="31" t="str">
        <f>IF($B3005="","",IF($P3004="",$B3005,MAX($P3004,$B3005)))</f>
        <v/>
      </c>
      <c r="Q3005" s="32" t="str">
        <f>IF($P3005="","",$B3005/$P3005-1)</f>
        <v/>
      </c>
    </row>
    <row r="3006">
      <c r="A3006" s="11" t="n"/>
      <c r="B3006" s="29" t="n"/>
      <c r="K3006" s="30" t="str">
        <f>IF($A3006="","",EDATE($A3006,12*$E$4))</f>
        <v/>
      </c>
      <c r="L3006" s="19" t="str">
        <f>IF($K3006="","",IF($K3006&gt;MAX($A$8:$A$5007),"",IFERROR(MATCH($K3006,$A$8:$A$5007,1),"")))</f>
        <v/>
      </c>
      <c r="M3006" s="30" t="str">
        <f>IF($L3006="","",INDEX($A$8:$A$5007,$L3006))</f>
        <v/>
      </c>
      <c r="N3006" s="31" t="str">
        <f>IF($L3006="","",INDEX($B$8:$B$5007,$L3006))</f>
        <v/>
      </c>
      <c r="O3006" s="32" t="str">
        <f>IF($M3006="","",IF($K3006-$M3006&gt;7,"",IF($M3006&lt;=$A3006,"",IF(OR($B3006&lt;=0,$N3006&lt;=0),"",($N3006/$B3006)^(365/($M3006-$A3006))-1))))</f>
        <v/>
      </c>
      <c r="P3006" s="31" t="str">
        <f>IF($B3006="","",IF($P3005="",$B3006,MAX($P3005,$B3006)))</f>
        <v/>
      </c>
      <c r="Q3006" s="32" t="str">
        <f>IF($P3006="","",$B3006/$P3006-1)</f>
        <v/>
      </c>
    </row>
    <row r="3007">
      <c r="A3007" s="11" t="n"/>
      <c r="B3007" s="29" t="n"/>
      <c r="K3007" s="30" t="str">
        <f>IF($A3007="","",EDATE($A3007,12*$E$4))</f>
        <v/>
      </c>
      <c r="L3007" s="19" t="str">
        <f>IF($K3007="","",IF($K3007&gt;MAX($A$8:$A$5007),"",IFERROR(MATCH($K3007,$A$8:$A$5007,1),"")))</f>
        <v/>
      </c>
      <c r="M3007" s="30" t="str">
        <f>IF($L3007="","",INDEX($A$8:$A$5007,$L3007))</f>
        <v/>
      </c>
      <c r="N3007" s="31" t="str">
        <f>IF($L3007="","",INDEX($B$8:$B$5007,$L3007))</f>
        <v/>
      </c>
      <c r="O3007" s="32" t="str">
        <f>IF($M3007="","",IF($K3007-$M3007&gt;7,"",IF($M3007&lt;=$A3007,"",IF(OR($B3007&lt;=0,$N3007&lt;=0),"",($N3007/$B3007)^(365/($M3007-$A3007))-1))))</f>
        <v/>
      </c>
      <c r="P3007" s="31" t="str">
        <f>IF($B3007="","",IF($P3006="",$B3007,MAX($P3006,$B3007)))</f>
        <v/>
      </c>
      <c r="Q3007" s="32" t="str">
        <f>IF($P3007="","",$B3007/$P3007-1)</f>
        <v/>
      </c>
    </row>
    <row r="3008">
      <c r="A3008" s="11" t="n"/>
      <c r="B3008" s="29" t="n"/>
      <c r="K3008" s="30" t="str">
        <f>IF($A3008="","",EDATE($A3008,12*$E$4))</f>
        <v/>
      </c>
      <c r="L3008" s="19" t="str">
        <f>IF($K3008="","",IF($K3008&gt;MAX($A$8:$A$5007),"",IFERROR(MATCH($K3008,$A$8:$A$5007,1),"")))</f>
        <v/>
      </c>
      <c r="M3008" s="30" t="str">
        <f>IF($L3008="","",INDEX($A$8:$A$5007,$L3008))</f>
        <v/>
      </c>
      <c r="N3008" s="31" t="str">
        <f>IF($L3008="","",INDEX($B$8:$B$5007,$L3008))</f>
        <v/>
      </c>
      <c r="O3008" s="32" t="str">
        <f>IF($M3008="","",IF($K3008-$M3008&gt;7,"",IF($M3008&lt;=$A3008,"",IF(OR($B3008&lt;=0,$N3008&lt;=0),"",($N3008/$B3008)^(365/($M3008-$A3008))-1))))</f>
        <v/>
      </c>
      <c r="P3008" s="31" t="str">
        <f>IF($B3008="","",IF($P3007="",$B3008,MAX($P3007,$B3008)))</f>
        <v/>
      </c>
      <c r="Q3008" s="32" t="str">
        <f>IF($P3008="","",$B3008/$P3008-1)</f>
        <v/>
      </c>
    </row>
    <row r="3009">
      <c r="A3009" s="11" t="n"/>
      <c r="B3009" s="29" t="n"/>
      <c r="K3009" s="30" t="str">
        <f>IF($A3009="","",EDATE($A3009,12*$E$4))</f>
        <v/>
      </c>
      <c r="L3009" s="19" t="str">
        <f>IF($K3009="","",IF($K3009&gt;MAX($A$8:$A$5007),"",IFERROR(MATCH($K3009,$A$8:$A$5007,1),"")))</f>
        <v/>
      </c>
      <c r="M3009" s="30" t="str">
        <f>IF($L3009="","",INDEX($A$8:$A$5007,$L3009))</f>
        <v/>
      </c>
      <c r="N3009" s="31" t="str">
        <f>IF($L3009="","",INDEX($B$8:$B$5007,$L3009))</f>
        <v/>
      </c>
      <c r="O3009" s="32" t="str">
        <f>IF($M3009="","",IF($K3009-$M3009&gt;7,"",IF($M3009&lt;=$A3009,"",IF(OR($B3009&lt;=0,$N3009&lt;=0),"",($N3009/$B3009)^(365/($M3009-$A3009))-1))))</f>
        <v/>
      </c>
      <c r="P3009" s="31" t="str">
        <f>IF($B3009="","",IF($P3008="",$B3009,MAX($P3008,$B3009)))</f>
        <v/>
      </c>
      <c r="Q3009" s="32" t="str">
        <f>IF($P3009="","",$B3009/$P3009-1)</f>
        <v/>
      </c>
    </row>
    <row r="3010">
      <c r="A3010" s="11" t="n"/>
      <c r="B3010" s="29" t="n"/>
      <c r="K3010" s="30" t="str">
        <f>IF($A3010="","",EDATE($A3010,12*$E$4))</f>
        <v/>
      </c>
      <c r="L3010" s="19" t="str">
        <f>IF($K3010="","",IF($K3010&gt;MAX($A$8:$A$5007),"",IFERROR(MATCH($K3010,$A$8:$A$5007,1),"")))</f>
        <v/>
      </c>
      <c r="M3010" s="30" t="str">
        <f>IF($L3010="","",INDEX($A$8:$A$5007,$L3010))</f>
        <v/>
      </c>
      <c r="N3010" s="31" t="str">
        <f>IF($L3010="","",INDEX($B$8:$B$5007,$L3010))</f>
        <v/>
      </c>
      <c r="O3010" s="32" t="str">
        <f>IF($M3010="","",IF($K3010-$M3010&gt;7,"",IF($M3010&lt;=$A3010,"",IF(OR($B3010&lt;=0,$N3010&lt;=0),"",($N3010/$B3010)^(365/($M3010-$A3010))-1))))</f>
        <v/>
      </c>
      <c r="P3010" s="31" t="str">
        <f>IF($B3010="","",IF($P3009="",$B3010,MAX($P3009,$B3010)))</f>
        <v/>
      </c>
      <c r="Q3010" s="32" t="str">
        <f>IF($P3010="","",$B3010/$P3010-1)</f>
        <v/>
      </c>
    </row>
    <row r="3011">
      <c r="A3011" s="11" t="n"/>
      <c r="B3011" s="29" t="n"/>
      <c r="K3011" s="30" t="str">
        <f>IF($A3011="","",EDATE($A3011,12*$E$4))</f>
        <v/>
      </c>
      <c r="L3011" s="19" t="str">
        <f>IF($K3011="","",IF($K3011&gt;MAX($A$8:$A$5007),"",IFERROR(MATCH($K3011,$A$8:$A$5007,1),"")))</f>
        <v/>
      </c>
      <c r="M3011" s="30" t="str">
        <f>IF($L3011="","",INDEX($A$8:$A$5007,$L3011))</f>
        <v/>
      </c>
      <c r="N3011" s="31" t="str">
        <f>IF($L3011="","",INDEX($B$8:$B$5007,$L3011))</f>
        <v/>
      </c>
      <c r="O3011" s="32" t="str">
        <f>IF($M3011="","",IF($K3011-$M3011&gt;7,"",IF($M3011&lt;=$A3011,"",IF(OR($B3011&lt;=0,$N3011&lt;=0),"",($N3011/$B3011)^(365/($M3011-$A3011))-1))))</f>
        <v/>
      </c>
      <c r="P3011" s="31" t="str">
        <f>IF($B3011="","",IF($P3010="",$B3011,MAX($P3010,$B3011)))</f>
        <v/>
      </c>
      <c r="Q3011" s="32" t="str">
        <f>IF($P3011="","",$B3011/$P3011-1)</f>
        <v/>
      </c>
    </row>
    <row r="3012">
      <c r="A3012" s="11" t="n"/>
      <c r="B3012" s="29" t="n"/>
      <c r="K3012" s="30" t="str">
        <f>IF($A3012="","",EDATE($A3012,12*$E$4))</f>
        <v/>
      </c>
      <c r="L3012" s="19" t="str">
        <f>IF($K3012="","",IF($K3012&gt;MAX($A$8:$A$5007),"",IFERROR(MATCH($K3012,$A$8:$A$5007,1),"")))</f>
        <v/>
      </c>
      <c r="M3012" s="30" t="str">
        <f>IF($L3012="","",INDEX($A$8:$A$5007,$L3012))</f>
        <v/>
      </c>
      <c r="N3012" s="31" t="str">
        <f>IF($L3012="","",INDEX($B$8:$B$5007,$L3012))</f>
        <v/>
      </c>
      <c r="O3012" s="32" t="str">
        <f>IF($M3012="","",IF($K3012-$M3012&gt;7,"",IF($M3012&lt;=$A3012,"",IF(OR($B3012&lt;=0,$N3012&lt;=0),"",($N3012/$B3012)^(365/($M3012-$A3012))-1))))</f>
        <v/>
      </c>
      <c r="P3012" s="31" t="str">
        <f>IF($B3012="","",IF($P3011="",$B3012,MAX($P3011,$B3012)))</f>
        <v/>
      </c>
      <c r="Q3012" s="32" t="str">
        <f>IF($P3012="","",$B3012/$P3012-1)</f>
        <v/>
      </c>
    </row>
    <row r="3013">
      <c r="A3013" s="11" t="n"/>
      <c r="B3013" s="29" t="n"/>
      <c r="K3013" s="30" t="str">
        <f>IF($A3013="","",EDATE($A3013,12*$E$4))</f>
        <v/>
      </c>
      <c r="L3013" s="19" t="str">
        <f>IF($K3013="","",IF($K3013&gt;MAX($A$8:$A$5007),"",IFERROR(MATCH($K3013,$A$8:$A$5007,1),"")))</f>
        <v/>
      </c>
      <c r="M3013" s="30" t="str">
        <f>IF($L3013="","",INDEX($A$8:$A$5007,$L3013))</f>
        <v/>
      </c>
      <c r="N3013" s="31" t="str">
        <f>IF($L3013="","",INDEX($B$8:$B$5007,$L3013))</f>
        <v/>
      </c>
      <c r="O3013" s="32" t="str">
        <f>IF($M3013="","",IF($K3013-$M3013&gt;7,"",IF($M3013&lt;=$A3013,"",IF(OR($B3013&lt;=0,$N3013&lt;=0),"",($N3013/$B3013)^(365/($M3013-$A3013))-1))))</f>
        <v/>
      </c>
      <c r="P3013" s="31" t="str">
        <f>IF($B3013="","",IF($P3012="",$B3013,MAX($P3012,$B3013)))</f>
        <v/>
      </c>
      <c r="Q3013" s="32" t="str">
        <f>IF($P3013="","",$B3013/$P3013-1)</f>
        <v/>
      </c>
    </row>
    <row r="3014">
      <c r="A3014" s="11" t="n"/>
      <c r="B3014" s="29" t="n"/>
      <c r="K3014" s="30" t="str">
        <f>IF($A3014="","",EDATE($A3014,12*$E$4))</f>
        <v/>
      </c>
      <c r="L3014" s="19" t="str">
        <f>IF($K3014="","",IF($K3014&gt;MAX($A$8:$A$5007),"",IFERROR(MATCH($K3014,$A$8:$A$5007,1),"")))</f>
        <v/>
      </c>
      <c r="M3014" s="30" t="str">
        <f>IF($L3014="","",INDEX($A$8:$A$5007,$L3014))</f>
        <v/>
      </c>
      <c r="N3014" s="31" t="str">
        <f>IF($L3014="","",INDEX($B$8:$B$5007,$L3014))</f>
        <v/>
      </c>
      <c r="O3014" s="32" t="str">
        <f>IF($M3014="","",IF($K3014-$M3014&gt;7,"",IF($M3014&lt;=$A3014,"",IF(OR($B3014&lt;=0,$N3014&lt;=0),"",($N3014/$B3014)^(365/($M3014-$A3014))-1))))</f>
        <v/>
      </c>
      <c r="P3014" s="31" t="str">
        <f>IF($B3014="","",IF($P3013="",$B3014,MAX($P3013,$B3014)))</f>
        <v/>
      </c>
      <c r="Q3014" s="32" t="str">
        <f>IF($P3014="","",$B3014/$P3014-1)</f>
        <v/>
      </c>
    </row>
    <row r="3015">
      <c r="A3015" s="11" t="n"/>
      <c r="B3015" s="29" t="n"/>
      <c r="K3015" s="30" t="str">
        <f>IF($A3015="","",EDATE($A3015,12*$E$4))</f>
        <v/>
      </c>
      <c r="L3015" s="19" t="str">
        <f>IF($K3015="","",IF($K3015&gt;MAX($A$8:$A$5007),"",IFERROR(MATCH($K3015,$A$8:$A$5007,1),"")))</f>
        <v/>
      </c>
      <c r="M3015" s="30" t="str">
        <f>IF($L3015="","",INDEX($A$8:$A$5007,$L3015))</f>
        <v/>
      </c>
      <c r="N3015" s="31" t="str">
        <f>IF($L3015="","",INDEX($B$8:$B$5007,$L3015))</f>
        <v/>
      </c>
      <c r="O3015" s="32" t="str">
        <f>IF($M3015="","",IF($K3015-$M3015&gt;7,"",IF($M3015&lt;=$A3015,"",IF(OR($B3015&lt;=0,$N3015&lt;=0),"",($N3015/$B3015)^(365/($M3015-$A3015))-1))))</f>
        <v/>
      </c>
      <c r="P3015" s="31" t="str">
        <f>IF($B3015="","",IF($P3014="",$B3015,MAX($P3014,$B3015)))</f>
        <v/>
      </c>
      <c r="Q3015" s="32" t="str">
        <f>IF($P3015="","",$B3015/$P3015-1)</f>
        <v/>
      </c>
    </row>
    <row r="3016">
      <c r="A3016" s="11" t="n"/>
      <c r="B3016" s="29" t="n"/>
      <c r="K3016" s="30" t="str">
        <f>IF($A3016="","",EDATE($A3016,12*$E$4))</f>
        <v/>
      </c>
      <c r="L3016" s="19" t="str">
        <f>IF($K3016="","",IF($K3016&gt;MAX($A$8:$A$5007),"",IFERROR(MATCH($K3016,$A$8:$A$5007,1),"")))</f>
        <v/>
      </c>
      <c r="M3016" s="30" t="str">
        <f>IF($L3016="","",INDEX($A$8:$A$5007,$L3016))</f>
        <v/>
      </c>
      <c r="N3016" s="31" t="str">
        <f>IF($L3016="","",INDEX($B$8:$B$5007,$L3016))</f>
        <v/>
      </c>
      <c r="O3016" s="32" t="str">
        <f>IF($M3016="","",IF($K3016-$M3016&gt;7,"",IF($M3016&lt;=$A3016,"",IF(OR($B3016&lt;=0,$N3016&lt;=0),"",($N3016/$B3016)^(365/($M3016-$A3016))-1))))</f>
        <v/>
      </c>
      <c r="P3016" s="31" t="str">
        <f>IF($B3016="","",IF($P3015="",$B3016,MAX($P3015,$B3016)))</f>
        <v/>
      </c>
      <c r="Q3016" s="32" t="str">
        <f>IF($P3016="","",$B3016/$P3016-1)</f>
        <v/>
      </c>
    </row>
    <row r="3017">
      <c r="A3017" s="11" t="n"/>
      <c r="B3017" s="29" t="n"/>
      <c r="K3017" s="30" t="str">
        <f>IF($A3017="","",EDATE($A3017,12*$E$4))</f>
        <v/>
      </c>
      <c r="L3017" s="19" t="str">
        <f>IF($K3017="","",IF($K3017&gt;MAX($A$8:$A$5007),"",IFERROR(MATCH($K3017,$A$8:$A$5007,1),"")))</f>
        <v/>
      </c>
      <c r="M3017" s="30" t="str">
        <f>IF($L3017="","",INDEX($A$8:$A$5007,$L3017))</f>
        <v/>
      </c>
      <c r="N3017" s="31" t="str">
        <f>IF($L3017="","",INDEX($B$8:$B$5007,$L3017))</f>
        <v/>
      </c>
      <c r="O3017" s="32" t="str">
        <f>IF($M3017="","",IF($K3017-$M3017&gt;7,"",IF($M3017&lt;=$A3017,"",IF(OR($B3017&lt;=0,$N3017&lt;=0),"",($N3017/$B3017)^(365/($M3017-$A3017))-1))))</f>
        <v/>
      </c>
      <c r="P3017" s="31" t="str">
        <f>IF($B3017="","",IF($P3016="",$B3017,MAX($P3016,$B3017)))</f>
        <v/>
      </c>
      <c r="Q3017" s="32" t="str">
        <f>IF($P3017="","",$B3017/$P3017-1)</f>
        <v/>
      </c>
    </row>
    <row r="3018">
      <c r="A3018" s="11" t="n"/>
      <c r="B3018" s="29" t="n"/>
      <c r="K3018" s="30" t="str">
        <f>IF($A3018="","",EDATE($A3018,12*$E$4))</f>
        <v/>
      </c>
      <c r="L3018" s="19" t="str">
        <f>IF($K3018="","",IF($K3018&gt;MAX($A$8:$A$5007),"",IFERROR(MATCH($K3018,$A$8:$A$5007,1),"")))</f>
        <v/>
      </c>
      <c r="M3018" s="30" t="str">
        <f>IF($L3018="","",INDEX($A$8:$A$5007,$L3018))</f>
        <v/>
      </c>
      <c r="N3018" s="31" t="str">
        <f>IF($L3018="","",INDEX($B$8:$B$5007,$L3018))</f>
        <v/>
      </c>
      <c r="O3018" s="32" t="str">
        <f>IF($M3018="","",IF($K3018-$M3018&gt;7,"",IF($M3018&lt;=$A3018,"",IF(OR($B3018&lt;=0,$N3018&lt;=0),"",($N3018/$B3018)^(365/($M3018-$A3018))-1))))</f>
        <v/>
      </c>
      <c r="P3018" s="31" t="str">
        <f>IF($B3018="","",IF($P3017="",$B3018,MAX($P3017,$B3018)))</f>
        <v/>
      </c>
      <c r="Q3018" s="32" t="str">
        <f>IF($P3018="","",$B3018/$P3018-1)</f>
        <v/>
      </c>
    </row>
    <row r="3019">
      <c r="A3019" s="11" t="n"/>
      <c r="B3019" s="29" t="n"/>
      <c r="K3019" s="30" t="str">
        <f>IF($A3019="","",EDATE($A3019,12*$E$4))</f>
        <v/>
      </c>
      <c r="L3019" s="19" t="str">
        <f>IF($K3019="","",IF($K3019&gt;MAX($A$8:$A$5007),"",IFERROR(MATCH($K3019,$A$8:$A$5007,1),"")))</f>
        <v/>
      </c>
      <c r="M3019" s="30" t="str">
        <f>IF($L3019="","",INDEX($A$8:$A$5007,$L3019))</f>
        <v/>
      </c>
      <c r="N3019" s="31" t="str">
        <f>IF($L3019="","",INDEX($B$8:$B$5007,$L3019))</f>
        <v/>
      </c>
      <c r="O3019" s="32" t="str">
        <f>IF($M3019="","",IF($K3019-$M3019&gt;7,"",IF($M3019&lt;=$A3019,"",IF(OR($B3019&lt;=0,$N3019&lt;=0),"",($N3019/$B3019)^(365/($M3019-$A3019))-1))))</f>
        <v/>
      </c>
      <c r="P3019" s="31" t="str">
        <f>IF($B3019="","",IF($P3018="",$B3019,MAX($P3018,$B3019)))</f>
        <v/>
      </c>
      <c r="Q3019" s="32" t="str">
        <f>IF($P3019="","",$B3019/$P3019-1)</f>
        <v/>
      </c>
    </row>
    <row r="3020">
      <c r="A3020" s="11" t="n"/>
      <c r="B3020" s="29" t="n"/>
      <c r="K3020" s="30" t="str">
        <f>IF($A3020="","",EDATE($A3020,12*$E$4))</f>
        <v/>
      </c>
      <c r="L3020" s="19" t="str">
        <f>IF($K3020="","",IF($K3020&gt;MAX($A$8:$A$5007),"",IFERROR(MATCH($K3020,$A$8:$A$5007,1),"")))</f>
        <v/>
      </c>
      <c r="M3020" s="30" t="str">
        <f>IF($L3020="","",INDEX($A$8:$A$5007,$L3020))</f>
        <v/>
      </c>
      <c r="N3020" s="31" t="str">
        <f>IF($L3020="","",INDEX($B$8:$B$5007,$L3020))</f>
        <v/>
      </c>
      <c r="O3020" s="32" t="str">
        <f>IF($M3020="","",IF($K3020-$M3020&gt;7,"",IF($M3020&lt;=$A3020,"",IF(OR($B3020&lt;=0,$N3020&lt;=0),"",($N3020/$B3020)^(365/($M3020-$A3020))-1))))</f>
        <v/>
      </c>
      <c r="P3020" s="31" t="str">
        <f>IF($B3020="","",IF($P3019="",$B3020,MAX($P3019,$B3020)))</f>
        <v/>
      </c>
      <c r="Q3020" s="32" t="str">
        <f>IF($P3020="","",$B3020/$P3020-1)</f>
        <v/>
      </c>
    </row>
    <row r="3021">
      <c r="A3021" s="11" t="n"/>
      <c r="B3021" s="29" t="n"/>
      <c r="K3021" s="30" t="str">
        <f>IF($A3021="","",EDATE($A3021,12*$E$4))</f>
        <v/>
      </c>
      <c r="L3021" s="19" t="str">
        <f>IF($K3021="","",IF($K3021&gt;MAX($A$8:$A$5007),"",IFERROR(MATCH($K3021,$A$8:$A$5007,1),"")))</f>
        <v/>
      </c>
      <c r="M3021" s="30" t="str">
        <f>IF($L3021="","",INDEX($A$8:$A$5007,$L3021))</f>
        <v/>
      </c>
      <c r="N3021" s="31" t="str">
        <f>IF($L3021="","",INDEX($B$8:$B$5007,$L3021))</f>
        <v/>
      </c>
      <c r="O3021" s="32" t="str">
        <f>IF($M3021="","",IF($K3021-$M3021&gt;7,"",IF($M3021&lt;=$A3021,"",IF(OR($B3021&lt;=0,$N3021&lt;=0),"",($N3021/$B3021)^(365/($M3021-$A3021))-1))))</f>
        <v/>
      </c>
      <c r="P3021" s="31" t="str">
        <f>IF($B3021="","",IF($P3020="",$B3021,MAX($P3020,$B3021)))</f>
        <v/>
      </c>
      <c r="Q3021" s="32" t="str">
        <f>IF($P3021="","",$B3021/$P3021-1)</f>
        <v/>
      </c>
    </row>
    <row r="3022">
      <c r="A3022" s="11" t="n"/>
      <c r="B3022" s="29" t="n"/>
      <c r="K3022" s="30" t="str">
        <f>IF($A3022="","",EDATE($A3022,12*$E$4))</f>
        <v/>
      </c>
      <c r="L3022" s="19" t="str">
        <f>IF($K3022="","",IF($K3022&gt;MAX($A$8:$A$5007),"",IFERROR(MATCH($K3022,$A$8:$A$5007,1),"")))</f>
        <v/>
      </c>
      <c r="M3022" s="30" t="str">
        <f>IF($L3022="","",INDEX($A$8:$A$5007,$L3022))</f>
        <v/>
      </c>
      <c r="N3022" s="31" t="str">
        <f>IF($L3022="","",INDEX($B$8:$B$5007,$L3022))</f>
        <v/>
      </c>
      <c r="O3022" s="32" t="str">
        <f>IF($M3022="","",IF($K3022-$M3022&gt;7,"",IF($M3022&lt;=$A3022,"",IF(OR($B3022&lt;=0,$N3022&lt;=0),"",($N3022/$B3022)^(365/($M3022-$A3022))-1))))</f>
        <v/>
      </c>
      <c r="P3022" s="31" t="str">
        <f>IF($B3022="","",IF($P3021="",$B3022,MAX($P3021,$B3022)))</f>
        <v/>
      </c>
      <c r="Q3022" s="32" t="str">
        <f>IF($P3022="","",$B3022/$P3022-1)</f>
        <v/>
      </c>
    </row>
    <row r="3023">
      <c r="A3023" s="11" t="n"/>
      <c r="B3023" s="29" t="n"/>
      <c r="K3023" s="30" t="str">
        <f>IF($A3023="","",EDATE($A3023,12*$E$4))</f>
        <v/>
      </c>
      <c r="L3023" s="19" t="str">
        <f>IF($K3023="","",IF($K3023&gt;MAX($A$8:$A$5007),"",IFERROR(MATCH($K3023,$A$8:$A$5007,1),"")))</f>
        <v/>
      </c>
      <c r="M3023" s="30" t="str">
        <f>IF($L3023="","",INDEX($A$8:$A$5007,$L3023))</f>
        <v/>
      </c>
      <c r="N3023" s="31" t="str">
        <f>IF($L3023="","",INDEX($B$8:$B$5007,$L3023))</f>
        <v/>
      </c>
      <c r="O3023" s="32" t="str">
        <f>IF($M3023="","",IF($K3023-$M3023&gt;7,"",IF($M3023&lt;=$A3023,"",IF(OR($B3023&lt;=0,$N3023&lt;=0),"",($N3023/$B3023)^(365/($M3023-$A3023))-1))))</f>
        <v/>
      </c>
      <c r="P3023" s="31" t="str">
        <f>IF($B3023="","",IF($P3022="",$B3023,MAX($P3022,$B3023)))</f>
        <v/>
      </c>
      <c r="Q3023" s="32" t="str">
        <f>IF($P3023="","",$B3023/$P3023-1)</f>
        <v/>
      </c>
    </row>
    <row r="3024">
      <c r="A3024" s="11" t="n"/>
      <c r="B3024" s="29" t="n"/>
      <c r="K3024" s="30" t="str">
        <f>IF($A3024="","",EDATE($A3024,12*$E$4))</f>
        <v/>
      </c>
      <c r="L3024" s="19" t="str">
        <f>IF($K3024="","",IF($K3024&gt;MAX($A$8:$A$5007),"",IFERROR(MATCH($K3024,$A$8:$A$5007,1),"")))</f>
        <v/>
      </c>
      <c r="M3024" s="30" t="str">
        <f>IF($L3024="","",INDEX($A$8:$A$5007,$L3024))</f>
        <v/>
      </c>
      <c r="N3024" s="31" t="str">
        <f>IF($L3024="","",INDEX($B$8:$B$5007,$L3024))</f>
        <v/>
      </c>
      <c r="O3024" s="32" t="str">
        <f>IF($M3024="","",IF($K3024-$M3024&gt;7,"",IF($M3024&lt;=$A3024,"",IF(OR($B3024&lt;=0,$N3024&lt;=0),"",($N3024/$B3024)^(365/($M3024-$A3024))-1))))</f>
        <v/>
      </c>
      <c r="P3024" s="31" t="str">
        <f>IF($B3024="","",IF($P3023="",$B3024,MAX($P3023,$B3024)))</f>
        <v/>
      </c>
      <c r="Q3024" s="32" t="str">
        <f>IF($P3024="","",$B3024/$P3024-1)</f>
        <v/>
      </c>
    </row>
    <row r="3025">
      <c r="A3025" s="11" t="n"/>
      <c r="B3025" s="29" t="n"/>
      <c r="K3025" s="30" t="str">
        <f>IF($A3025="","",EDATE($A3025,12*$E$4))</f>
        <v/>
      </c>
      <c r="L3025" s="19" t="str">
        <f>IF($K3025="","",IF($K3025&gt;MAX($A$8:$A$5007),"",IFERROR(MATCH($K3025,$A$8:$A$5007,1),"")))</f>
        <v/>
      </c>
      <c r="M3025" s="30" t="str">
        <f>IF($L3025="","",INDEX($A$8:$A$5007,$L3025))</f>
        <v/>
      </c>
      <c r="N3025" s="31" t="str">
        <f>IF($L3025="","",INDEX($B$8:$B$5007,$L3025))</f>
        <v/>
      </c>
      <c r="O3025" s="32" t="str">
        <f>IF($M3025="","",IF($K3025-$M3025&gt;7,"",IF($M3025&lt;=$A3025,"",IF(OR($B3025&lt;=0,$N3025&lt;=0),"",($N3025/$B3025)^(365/($M3025-$A3025))-1))))</f>
        <v/>
      </c>
      <c r="P3025" s="31" t="str">
        <f>IF($B3025="","",IF($P3024="",$B3025,MAX($P3024,$B3025)))</f>
        <v/>
      </c>
      <c r="Q3025" s="32" t="str">
        <f>IF($P3025="","",$B3025/$P3025-1)</f>
        <v/>
      </c>
    </row>
    <row r="3026">
      <c r="A3026" s="11" t="n"/>
      <c r="B3026" s="29" t="n"/>
      <c r="K3026" s="30" t="str">
        <f>IF($A3026="","",EDATE($A3026,12*$E$4))</f>
        <v/>
      </c>
      <c r="L3026" s="19" t="str">
        <f>IF($K3026="","",IF($K3026&gt;MAX($A$8:$A$5007),"",IFERROR(MATCH($K3026,$A$8:$A$5007,1),"")))</f>
        <v/>
      </c>
      <c r="M3026" s="30" t="str">
        <f>IF($L3026="","",INDEX($A$8:$A$5007,$L3026))</f>
        <v/>
      </c>
      <c r="N3026" s="31" t="str">
        <f>IF($L3026="","",INDEX($B$8:$B$5007,$L3026))</f>
        <v/>
      </c>
      <c r="O3026" s="32" t="str">
        <f>IF($M3026="","",IF($K3026-$M3026&gt;7,"",IF($M3026&lt;=$A3026,"",IF(OR($B3026&lt;=0,$N3026&lt;=0),"",($N3026/$B3026)^(365/($M3026-$A3026))-1))))</f>
        <v/>
      </c>
      <c r="P3026" s="31" t="str">
        <f>IF($B3026="","",IF($P3025="",$B3026,MAX($P3025,$B3026)))</f>
        <v/>
      </c>
      <c r="Q3026" s="32" t="str">
        <f>IF($P3026="","",$B3026/$P3026-1)</f>
        <v/>
      </c>
    </row>
    <row r="3027">
      <c r="A3027" s="11" t="n"/>
      <c r="B3027" s="29" t="n"/>
      <c r="K3027" s="30" t="str">
        <f>IF($A3027="","",EDATE($A3027,12*$E$4))</f>
        <v/>
      </c>
      <c r="L3027" s="19" t="str">
        <f>IF($K3027="","",IF($K3027&gt;MAX($A$8:$A$5007),"",IFERROR(MATCH($K3027,$A$8:$A$5007,1),"")))</f>
        <v/>
      </c>
      <c r="M3027" s="30" t="str">
        <f>IF($L3027="","",INDEX($A$8:$A$5007,$L3027))</f>
        <v/>
      </c>
      <c r="N3027" s="31" t="str">
        <f>IF($L3027="","",INDEX($B$8:$B$5007,$L3027))</f>
        <v/>
      </c>
      <c r="O3027" s="32" t="str">
        <f>IF($M3027="","",IF($K3027-$M3027&gt;7,"",IF($M3027&lt;=$A3027,"",IF(OR($B3027&lt;=0,$N3027&lt;=0),"",($N3027/$B3027)^(365/($M3027-$A3027))-1))))</f>
        <v/>
      </c>
      <c r="P3027" s="31" t="str">
        <f>IF($B3027="","",IF($P3026="",$B3027,MAX($P3026,$B3027)))</f>
        <v/>
      </c>
      <c r="Q3027" s="32" t="str">
        <f>IF($P3027="","",$B3027/$P3027-1)</f>
        <v/>
      </c>
    </row>
    <row r="3028">
      <c r="A3028" s="11" t="n"/>
      <c r="B3028" s="29" t="n"/>
      <c r="K3028" s="30" t="str">
        <f>IF($A3028="","",EDATE($A3028,12*$E$4))</f>
        <v/>
      </c>
      <c r="L3028" s="19" t="str">
        <f>IF($K3028="","",IF($K3028&gt;MAX($A$8:$A$5007),"",IFERROR(MATCH($K3028,$A$8:$A$5007,1),"")))</f>
        <v/>
      </c>
      <c r="M3028" s="30" t="str">
        <f>IF($L3028="","",INDEX($A$8:$A$5007,$L3028))</f>
        <v/>
      </c>
      <c r="N3028" s="31" t="str">
        <f>IF($L3028="","",INDEX($B$8:$B$5007,$L3028))</f>
        <v/>
      </c>
      <c r="O3028" s="32" t="str">
        <f>IF($M3028="","",IF($K3028-$M3028&gt;7,"",IF($M3028&lt;=$A3028,"",IF(OR($B3028&lt;=0,$N3028&lt;=0),"",($N3028/$B3028)^(365/($M3028-$A3028))-1))))</f>
        <v/>
      </c>
      <c r="P3028" s="31" t="str">
        <f>IF($B3028="","",IF($P3027="",$B3028,MAX($P3027,$B3028)))</f>
        <v/>
      </c>
      <c r="Q3028" s="32" t="str">
        <f>IF($P3028="","",$B3028/$P3028-1)</f>
        <v/>
      </c>
    </row>
    <row r="3029">
      <c r="A3029" s="11" t="n"/>
      <c r="B3029" s="29" t="n"/>
      <c r="K3029" s="30" t="str">
        <f>IF($A3029="","",EDATE($A3029,12*$E$4))</f>
        <v/>
      </c>
      <c r="L3029" s="19" t="str">
        <f>IF($K3029="","",IF($K3029&gt;MAX($A$8:$A$5007),"",IFERROR(MATCH($K3029,$A$8:$A$5007,1),"")))</f>
        <v/>
      </c>
      <c r="M3029" s="30" t="str">
        <f>IF($L3029="","",INDEX($A$8:$A$5007,$L3029))</f>
        <v/>
      </c>
      <c r="N3029" s="31" t="str">
        <f>IF($L3029="","",INDEX($B$8:$B$5007,$L3029))</f>
        <v/>
      </c>
      <c r="O3029" s="32" t="str">
        <f>IF($M3029="","",IF($K3029-$M3029&gt;7,"",IF($M3029&lt;=$A3029,"",IF(OR($B3029&lt;=0,$N3029&lt;=0),"",($N3029/$B3029)^(365/($M3029-$A3029))-1))))</f>
        <v/>
      </c>
      <c r="P3029" s="31" t="str">
        <f>IF($B3029="","",IF($P3028="",$B3029,MAX($P3028,$B3029)))</f>
        <v/>
      </c>
      <c r="Q3029" s="32" t="str">
        <f>IF($P3029="","",$B3029/$P3029-1)</f>
        <v/>
      </c>
    </row>
    <row r="3030">
      <c r="A3030" s="11" t="n"/>
      <c r="B3030" s="29" t="n"/>
      <c r="K3030" s="30" t="str">
        <f>IF($A3030="","",EDATE($A3030,12*$E$4))</f>
        <v/>
      </c>
      <c r="L3030" s="19" t="str">
        <f>IF($K3030="","",IF($K3030&gt;MAX($A$8:$A$5007),"",IFERROR(MATCH($K3030,$A$8:$A$5007,1),"")))</f>
        <v/>
      </c>
      <c r="M3030" s="30" t="str">
        <f>IF($L3030="","",INDEX($A$8:$A$5007,$L3030))</f>
        <v/>
      </c>
      <c r="N3030" s="31" t="str">
        <f>IF($L3030="","",INDEX($B$8:$B$5007,$L3030))</f>
        <v/>
      </c>
      <c r="O3030" s="32" t="str">
        <f>IF($M3030="","",IF($K3030-$M3030&gt;7,"",IF($M3030&lt;=$A3030,"",IF(OR($B3030&lt;=0,$N3030&lt;=0),"",($N3030/$B3030)^(365/($M3030-$A3030))-1))))</f>
        <v/>
      </c>
      <c r="P3030" s="31" t="str">
        <f>IF($B3030="","",IF($P3029="",$B3030,MAX($P3029,$B3030)))</f>
        <v/>
      </c>
      <c r="Q3030" s="32" t="str">
        <f>IF($P3030="","",$B3030/$P3030-1)</f>
        <v/>
      </c>
    </row>
    <row r="3031">
      <c r="A3031" s="11" t="n"/>
      <c r="B3031" s="29" t="n"/>
      <c r="K3031" s="30" t="str">
        <f>IF($A3031="","",EDATE($A3031,12*$E$4))</f>
        <v/>
      </c>
      <c r="L3031" s="19" t="str">
        <f>IF($K3031="","",IF($K3031&gt;MAX($A$8:$A$5007),"",IFERROR(MATCH($K3031,$A$8:$A$5007,1),"")))</f>
        <v/>
      </c>
      <c r="M3031" s="30" t="str">
        <f>IF($L3031="","",INDEX($A$8:$A$5007,$L3031))</f>
        <v/>
      </c>
      <c r="N3031" s="31" t="str">
        <f>IF($L3031="","",INDEX($B$8:$B$5007,$L3031))</f>
        <v/>
      </c>
      <c r="O3031" s="32" t="str">
        <f>IF($M3031="","",IF($K3031-$M3031&gt;7,"",IF($M3031&lt;=$A3031,"",IF(OR($B3031&lt;=0,$N3031&lt;=0),"",($N3031/$B3031)^(365/($M3031-$A3031))-1))))</f>
        <v/>
      </c>
      <c r="P3031" s="31" t="str">
        <f>IF($B3031="","",IF($P3030="",$B3031,MAX($P3030,$B3031)))</f>
        <v/>
      </c>
      <c r="Q3031" s="32" t="str">
        <f>IF($P3031="","",$B3031/$P3031-1)</f>
        <v/>
      </c>
    </row>
    <row r="3032">
      <c r="A3032" s="11" t="n"/>
      <c r="B3032" s="29" t="n"/>
      <c r="K3032" s="30" t="str">
        <f>IF($A3032="","",EDATE($A3032,12*$E$4))</f>
        <v/>
      </c>
      <c r="L3032" s="19" t="str">
        <f>IF($K3032="","",IF($K3032&gt;MAX($A$8:$A$5007),"",IFERROR(MATCH($K3032,$A$8:$A$5007,1),"")))</f>
        <v/>
      </c>
      <c r="M3032" s="30" t="str">
        <f>IF($L3032="","",INDEX($A$8:$A$5007,$L3032))</f>
        <v/>
      </c>
      <c r="N3032" s="31" t="str">
        <f>IF($L3032="","",INDEX($B$8:$B$5007,$L3032))</f>
        <v/>
      </c>
      <c r="O3032" s="32" t="str">
        <f>IF($M3032="","",IF($K3032-$M3032&gt;7,"",IF($M3032&lt;=$A3032,"",IF(OR($B3032&lt;=0,$N3032&lt;=0),"",($N3032/$B3032)^(365/($M3032-$A3032))-1))))</f>
        <v/>
      </c>
      <c r="P3032" s="31" t="str">
        <f>IF($B3032="","",IF($P3031="",$B3032,MAX($P3031,$B3032)))</f>
        <v/>
      </c>
      <c r="Q3032" s="32" t="str">
        <f>IF($P3032="","",$B3032/$P3032-1)</f>
        <v/>
      </c>
    </row>
    <row r="3033">
      <c r="A3033" s="11" t="n"/>
      <c r="B3033" s="29" t="n"/>
      <c r="K3033" s="30" t="str">
        <f>IF($A3033="","",EDATE($A3033,12*$E$4))</f>
        <v/>
      </c>
      <c r="L3033" s="19" t="str">
        <f>IF($K3033="","",IF($K3033&gt;MAX($A$8:$A$5007),"",IFERROR(MATCH($K3033,$A$8:$A$5007,1),"")))</f>
        <v/>
      </c>
      <c r="M3033" s="30" t="str">
        <f>IF($L3033="","",INDEX($A$8:$A$5007,$L3033))</f>
        <v/>
      </c>
      <c r="N3033" s="31" t="str">
        <f>IF($L3033="","",INDEX($B$8:$B$5007,$L3033))</f>
        <v/>
      </c>
      <c r="O3033" s="32" t="str">
        <f>IF($M3033="","",IF($K3033-$M3033&gt;7,"",IF($M3033&lt;=$A3033,"",IF(OR($B3033&lt;=0,$N3033&lt;=0),"",($N3033/$B3033)^(365/($M3033-$A3033))-1))))</f>
        <v/>
      </c>
      <c r="P3033" s="31" t="str">
        <f>IF($B3033="","",IF($P3032="",$B3033,MAX($P3032,$B3033)))</f>
        <v/>
      </c>
      <c r="Q3033" s="32" t="str">
        <f>IF($P3033="","",$B3033/$P3033-1)</f>
        <v/>
      </c>
    </row>
    <row r="3034">
      <c r="A3034" s="11" t="n"/>
      <c r="B3034" s="29" t="n"/>
      <c r="K3034" s="30" t="str">
        <f>IF($A3034="","",EDATE($A3034,12*$E$4))</f>
        <v/>
      </c>
      <c r="L3034" s="19" t="str">
        <f>IF($K3034="","",IF($K3034&gt;MAX($A$8:$A$5007),"",IFERROR(MATCH($K3034,$A$8:$A$5007,1),"")))</f>
        <v/>
      </c>
      <c r="M3034" s="30" t="str">
        <f>IF($L3034="","",INDEX($A$8:$A$5007,$L3034))</f>
        <v/>
      </c>
      <c r="N3034" s="31" t="str">
        <f>IF($L3034="","",INDEX($B$8:$B$5007,$L3034))</f>
        <v/>
      </c>
      <c r="O3034" s="32" t="str">
        <f>IF($M3034="","",IF($K3034-$M3034&gt;7,"",IF($M3034&lt;=$A3034,"",IF(OR($B3034&lt;=0,$N3034&lt;=0),"",($N3034/$B3034)^(365/($M3034-$A3034))-1))))</f>
        <v/>
      </c>
      <c r="P3034" s="31" t="str">
        <f>IF($B3034="","",IF($P3033="",$B3034,MAX($P3033,$B3034)))</f>
        <v/>
      </c>
      <c r="Q3034" s="32" t="str">
        <f>IF($P3034="","",$B3034/$P3034-1)</f>
        <v/>
      </c>
    </row>
    <row r="3035">
      <c r="A3035" s="11" t="n"/>
      <c r="B3035" s="29" t="n"/>
      <c r="K3035" s="30" t="str">
        <f>IF($A3035="","",EDATE($A3035,12*$E$4))</f>
        <v/>
      </c>
      <c r="L3035" s="19" t="str">
        <f>IF($K3035="","",IF($K3035&gt;MAX($A$8:$A$5007),"",IFERROR(MATCH($K3035,$A$8:$A$5007,1),"")))</f>
        <v/>
      </c>
      <c r="M3035" s="30" t="str">
        <f>IF($L3035="","",INDEX($A$8:$A$5007,$L3035))</f>
        <v/>
      </c>
      <c r="N3035" s="31" t="str">
        <f>IF($L3035="","",INDEX($B$8:$B$5007,$L3035))</f>
        <v/>
      </c>
      <c r="O3035" s="32" t="str">
        <f>IF($M3035="","",IF($K3035-$M3035&gt;7,"",IF($M3035&lt;=$A3035,"",IF(OR($B3035&lt;=0,$N3035&lt;=0),"",($N3035/$B3035)^(365/($M3035-$A3035))-1))))</f>
        <v/>
      </c>
      <c r="P3035" s="31" t="str">
        <f>IF($B3035="","",IF($P3034="",$B3035,MAX($P3034,$B3035)))</f>
        <v/>
      </c>
      <c r="Q3035" s="32" t="str">
        <f>IF($P3035="","",$B3035/$P3035-1)</f>
        <v/>
      </c>
    </row>
    <row r="3036">
      <c r="A3036" s="11" t="n"/>
      <c r="B3036" s="29" t="n"/>
      <c r="K3036" s="30" t="str">
        <f>IF($A3036="","",EDATE($A3036,12*$E$4))</f>
        <v/>
      </c>
      <c r="L3036" s="19" t="str">
        <f>IF($K3036="","",IF($K3036&gt;MAX($A$8:$A$5007),"",IFERROR(MATCH($K3036,$A$8:$A$5007,1),"")))</f>
        <v/>
      </c>
      <c r="M3036" s="30" t="str">
        <f>IF($L3036="","",INDEX($A$8:$A$5007,$L3036))</f>
        <v/>
      </c>
      <c r="N3036" s="31" t="str">
        <f>IF($L3036="","",INDEX($B$8:$B$5007,$L3036))</f>
        <v/>
      </c>
      <c r="O3036" s="32" t="str">
        <f>IF($M3036="","",IF($K3036-$M3036&gt;7,"",IF($M3036&lt;=$A3036,"",IF(OR($B3036&lt;=0,$N3036&lt;=0),"",($N3036/$B3036)^(365/($M3036-$A3036))-1))))</f>
        <v/>
      </c>
      <c r="P3036" s="31" t="str">
        <f>IF($B3036="","",IF($P3035="",$B3036,MAX($P3035,$B3036)))</f>
        <v/>
      </c>
      <c r="Q3036" s="32" t="str">
        <f>IF($P3036="","",$B3036/$P3036-1)</f>
        <v/>
      </c>
    </row>
    <row r="3037">
      <c r="A3037" s="11" t="n"/>
      <c r="B3037" s="29" t="n"/>
      <c r="K3037" s="30" t="str">
        <f>IF($A3037="","",EDATE($A3037,12*$E$4))</f>
        <v/>
      </c>
      <c r="L3037" s="19" t="str">
        <f>IF($K3037="","",IF($K3037&gt;MAX($A$8:$A$5007),"",IFERROR(MATCH($K3037,$A$8:$A$5007,1),"")))</f>
        <v/>
      </c>
      <c r="M3037" s="30" t="str">
        <f>IF($L3037="","",INDEX($A$8:$A$5007,$L3037))</f>
        <v/>
      </c>
      <c r="N3037" s="31" t="str">
        <f>IF($L3037="","",INDEX($B$8:$B$5007,$L3037))</f>
        <v/>
      </c>
      <c r="O3037" s="32" t="str">
        <f>IF($M3037="","",IF($K3037-$M3037&gt;7,"",IF($M3037&lt;=$A3037,"",IF(OR($B3037&lt;=0,$N3037&lt;=0),"",($N3037/$B3037)^(365/($M3037-$A3037))-1))))</f>
        <v/>
      </c>
      <c r="P3037" s="31" t="str">
        <f>IF($B3037="","",IF($P3036="",$B3037,MAX($P3036,$B3037)))</f>
        <v/>
      </c>
      <c r="Q3037" s="32" t="str">
        <f>IF($P3037="","",$B3037/$P3037-1)</f>
        <v/>
      </c>
    </row>
    <row r="3038">
      <c r="A3038" s="11" t="n"/>
      <c r="B3038" s="29" t="n"/>
      <c r="K3038" s="30" t="str">
        <f>IF($A3038="","",EDATE($A3038,12*$E$4))</f>
        <v/>
      </c>
      <c r="L3038" s="19" t="str">
        <f>IF($K3038="","",IF($K3038&gt;MAX($A$8:$A$5007),"",IFERROR(MATCH($K3038,$A$8:$A$5007,1),"")))</f>
        <v/>
      </c>
      <c r="M3038" s="30" t="str">
        <f>IF($L3038="","",INDEX($A$8:$A$5007,$L3038))</f>
        <v/>
      </c>
      <c r="N3038" s="31" t="str">
        <f>IF($L3038="","",INDEX($B$8:$B$5007,$L3038))</f>
        <v/>
      </c>
      <c r="O3038" s="32" t="str">
        <f>IF($M3038="","",IF($K3038-$M3038&gt;7,"",IF($M3038&lt;=$A3038,"",IF(OR($B3038&lt;=0,$N3038&lt;=0),"",($N3038/$B3038)^(365/($M3038-$A3038))-1))))</f>
        <v/>
      </c>
      <c r="P3038" s="31" t="str">
        <f>IF($B3038="","",IF($P3037="",$B3038,MAX($P3037,$B3038)))</f>
        <v/>
      </c>
      <c r="Q3038" s="32" t="str">
        <f>IF($P3038="","",$B3038/$P3038-1)</f>
        <v/>
      </c>
    </row>
    <row r="3039">
      <c r="A3039" s="11" t="n"/>
      <c r="B3039" s="29" t="n"/>
      <c r="K3039" s="30" t="str">
        <f>IF($A3039="","",EDATE($A3039,12*$E$4))</f>
        <v/>
      </c>
      <c r="L3039" s="19" t="str">
        <f>IF($K3039="","",IF($K3039&gt;MAX($A$8:$A$5007),"",IFERROR(MATCH($K3039,$A$8:$A$5007,1),"")))</f>
        <v/>
      </c>
      <c r="M3039" s="30" t="str">
        <f>IF($L3039="","",INDEX($A$8:$A$5007,$L3039))</f>
        <v/>
      </c>
      <c r="N3039" s="31" t="str">
        <f>IF($L3039="","",INDEX($B$8:$B$5007,$L3039))</f>
        <v/>
      </c>
      <c r="O3039" s="32" t="str">
        <f>IF($M3039="","",IF($K3039-$M3039&gt;7,"",IF($M3039&lt;=$A3039,"",IF(OR($B3039&lt;=0,$N3039&lt;=0),"",($N3039/$B3039)^(365/($M3039-$A3039))-1))))</f>
        <v/>
      </c>
      <c r="P3039" s="31" t="str">
        <f>IF($B3039="","",IF($P3038="",$B3039,MAX($P3038,$B3039)))</f>
        <v/>
      </c>
      <c r="Q3039" s="32" t="str">
        <f>IF($P3039="","",$B3039/$P3039-1)</f>
        <v/>
      </c>
    </row>
    <row r="3040">
      <c r="A3040" s="11" t="n"/>
      <c r="B3040" s="29" t="n"/>
      <c r="K3040" s="30" t="str">
        <f>IF($A3040="","",EDATE($A3040,12*$E$4))</f>
        <v/>
      </c>
      <c r="L3040" s="19" t="str">
        <f>IF($K3040="","",IF($K3040&gt;MAX($A$8:$A$5007),"",IFERROR(MATCH($K3040,$A$8:$A$5007,1),"")))</f>
        <v/>
      </c>
      <c r="M3040" s="30" t="str">
        <f>IF($L3040="","",INDEX($A$8:$A$5007,$L3040))</f>
        <v/>
      </c>
      <c r="N3040" s="31" t="str">
        <f>IF($L3040="","",INDEX($B$8:$B$5007,$L3040))</f>
        <v/>
      </c>
      <c r="O3040" s="32" t="str">
        <f>IF($M3040="","",IF($K3040-$M3040&gt;7,"",IF($M3040&lt;=$A3040,"",IF(OR($B3040&lt;=0,$N3040&lt;=0),"",($N3040/$B3040)^(365/($M3040-$A3040))-1))))</f>
        <v/>
      </c>
      <c r="P3040" s="31" t="str">
        <f>IF($B3040="","",IF($P3039="",$B3040,MAX($P3039,$B3040)))</f>
        <v/>
      </c>
      <c r="Q3040" s="32" t="str">
        <f>IF($P3040="","",$B3040/$P3040-1)</f>
        <v/>
      </c>
    </row>
    <row r="3041">
      <c r="A3041" s="11" t="n"/>
      <c r="B3041" s="29" t="n"/>
      <c r="K3041" s="30" t="str">
        <f>IF($A3041="","",EDATE($A3041,12*$E$4))</f>
        <v/>
      </c>
      <c r="L3041" s="19" t="str">
        <f>IF($K3041="","",IF($K3041&gt;MAX($A$8:$A$5007),"",IFERROR(MATCH($K3041,$A$8:$A$5007,1),"")))</f>
        <v/>
      </c>
      <c r="M3041" s="30" t="str">
        <f>IF($L3041="","",INDEX($A$8:$A$5007,$L3041))</f>
        <v/>
      </c>
      <c r="N3041" s="31" t="str">
        <f>IF($L3041="","",INDEX($B$8:$B$5007,$L3041))</f>
        <v/>
      </c>
      <c r="O3041" s="32" t="str">
        <f>IF($M3041="","",IF($K3041-$M3041&gt;7,"",IF($M3041&lt;=$A3041,"",IF(OR($B3041&lt;=0,$N3041&lt;=0),"",($N3041/$B3041)^(365/($M3041-$A3041))-1))))</f>
        <v/>
      </c>
      <c r="P3041" s="31" t="str">
        <f>IF($B3041="","",IF($P3040="",$B3041,MAX($P3040,$B3041)))</f>
        <v/>
      </c>
      <c r="Q3041" s="32" t="str">
        <f>IF($P3041="","",$B3041/$P3041-1)</f>
        <v/>
      </c>
    </row>
    <row r="3042">
      <c r="A3042" s="11" t="n"/>
      <c r="B3042" s="29" t="n"/>
      <c r="K3042" s="30" t="str">
        <f>IF($A3042="","",EDATE($A3042,12*$E$4))</f>
        <v/>
      </c>
      <c r="L3042" s="19" t="str">
        <f>IF($K3042="","",IF($K3042&gt;MAX($A$8:$A$5007),"",IFERROR(MATCH($K3042,$A$8:$A$5007,1),"")))</f>
        <v/>
      </c>
      <c r="M3042" s="30" t="str">
        <f>IF($L3042="","",INDEX($A$8:$A$5007,$L3042))</f>
        <v/>
      </c>
      <c r="N3042" s="31" t="str">
        <f>IF($L3042="","",INDEX($B$8:$B$5007,$L3042))</f>
        <v/>
      </c>
      <c r="O3042" s="32" t="str">
        <f>IF($M3042="","",IF($K3042-$M3042&gt;7,"",IF($M3042&lt;=$A3042,"",IF(OR($B3042&lt;=0,$N3042&lt;=0),"",($N3042/$B3042)^(365/($M3042-$A3042))-1))))</f>
        <v/>
      </c>
      <c r="P3042" s="31" t="str">
        <f>IF($B3042="","",IF($P3041="",$B3042,MAX($P3041,$B3042)))</f>
        <v/>
      </c>
      <c r="Q3042" s="32" t="str">
        <f>IF($P3042="","",$B3042/$P3042-1)</f>
        <v/>
      </c>
    </row>
    <row r="3043">
      <c r="A3043" s="11" t="n"/>
      <c r="B3043" s="29" t="n"/>
      <c r="K3043" s="30" t="str">
        <f>IF($A3043="","",EDATE($A3043,12*$E$4))</f>
        <v/>
      </c>
      <c r="L3043" s="19" t="str">
        <f>IF($K3043="","",IF($K3043&gt;MAX($A$8:$A$5007),"",IFERROR(MATCH($K3043,$A$8:$A$5007,1),"")))</f>
        <v/>
      </c>
      <c r="M3043" s="30" t="str">
        <f>IF($L3043="","",INDEX($A$8:$A$5007,$L3043))</f>
        <v/>
      </c>
      <c r="N3043" s="31" t="str">
        <f>IF($L3043="","",INDEX($B$8:$B$5007,$L3043))</f>
        <v/>
      </c>
      <c r="O3043" s="32" t="str">
        <f>IF($M3043="","",IF($K3043-$M3043&gt;7,"",IF($M3043&lt;=$A3043,"",IF(OR($B3043&lt;=0,$N3043&lt;=0),"",($N3043/$B3043)^(365/($M3043-$A3043))-1))))</f>
        <v/>
      </c>
      <c r="P3043" s="31" t="str">
        <f>IF($B3043="","",IF($P3042="",$B3043,MAX($P3042,$B3043)))</f>
        <v/>
      </c>
      <c r="Q3043" s="32" t="str">
        <f>IF($P3043="","",$B3043/$P3043-1)</f>
        <v/>
      </c>
    </row>
    <row r="3044">
      <c r="A3044" s="11" t="n"/>
      <c r="B3044" s="29" t="n"/>
      <c r="K3044" s="30" t="str">
        <f>IF($A3044="","",EDATE($A3044,12*$E$4))</f>
        <v/>
      </c>
      <c r="L3044" s="19" t="str">
        <f>IF($K3044="","",IF($K3044&gt;MAX($A$8:$A$5007),"",IFERROR(MATCH($K3044,$A$8:$A$5007,1),"")))</f>
        <v/>
      </c>
      <c r="M3044" s="30" t="str">
        <f>IF($L3044="","",INDEX($A$8:$A$5007,$L3044))</f>
        <v/>
      </c>
      <c r="N3044" s="31" t="str">
        <f>IF($L3044="","",INDEX($B$8:$B$5007,$L3044))</f>
        <v/>
      </c>
      <c r="O3044" s="32" t="str">
        <f>IF($M3044="","",IF($K3044-$M3044&gt;7,"",IF($M3044&lt;=$A3044,"",IF(OR($B3044&lt;=0,$N3044&lt;=0),"",($N3044/$B3044)^(365/($M3044-$A3044))-1))))</f>
        <v/>
      </c>
      <c r="P3044" s="31" t="str">
        <f>IF($B3044="","",IF($P3043="",$B3044,MAX($P3043,$B3044)))</f>
        <v/>
      </c>
      <c r="Q3044" s="32" t="str">
        <f>IF($P3044="","",$B3044/$P3044-1)</f>
        <v/>
      </c>
    </row>
    <row r="3045">
      <c r="A3045" s="11" t="n"/>
      <c r="B3045" s="29" t="n"/>
      <c r="K3045" s="30" t="str">
        <f>IF($A3045="","",EDATE($A3045,12*$E$4))</f>
        <v/>
      </c>
      <c r="L3045" s="19" t="str">
        <f>IF($K3045="","",IF($K3045&gt;MAX($A$8:$A$5007),"",IFERROR(MATCH($K3045,$A$8:$A$5007,1),"")))</f>
        <v/>
      </c>
      <c r="M3045" s="30" t="str">
        <f>IF($L3045="","",INDEX($A$8:$A$5007,$L3045))</f>
        <v/>
      </c>
      <c r="N3045" s="31" t="str">
        <f>IF($L3045="","",INDEX($B$8:$B$5007,$L3045))</f>
        <v/>
      </c>
      <c r="O3045" s="32" t="str">
        <f>IF($M3045="","",IF($K3045-$M3045&gt;7,"",IF($M3045&lt;=$A3045,"",IF(OR($B3045&lt;=0,$N3045&lt;=0),"",($N3045/$B3045)^(365/($M3045-$A3045))-1))))</f>
        <v/>
      </c>
      <c r="P3045" s="31" t="str">
        <f>IF($B3045="","",IF($P3044="",$B3045,MAX($P3044,$B3045)))</f>
        <v/>
      </c>
      <c r="Q3045" s="32" t="str">
        <f>IF($P3045="","",$B3045/$P3045-1)</f>
        <v/>
      </c>
    </row>
    <row r="3046">
      <c r="A3046" s="11" t="n"/>
      <c r="B3046" s="29" t="n"/>
      <c r="K3046" s="30" t="str">
        <f>IF($A3046="","",EDATE($A3046,12*$E$4))</f>
        <v/>
      </c>
      <c r="L3046" s="19" t="str">
        <f>IF($K3046="","",IF($K3046&gt;MAX($A$8:$A$5007),"",IFERROR(MATCH($K3046,$A$8:$A$5007,1),"")))</f>
        <v/>
      </c>
      <c r="M3046" s="30" t="str">
        <f>IF($L3046="","",INDEX($A$8:$A$5007,$L3046))</f>
        <v/>
      </c>
      <c r="N3046" s="31" t="str">
        <f>IF($L3046="","",INDEX($B$8:$B$5007,$L3046))</f>
        <v/>
      </c>
      <c r="O3046" s="32" t="str">
        <f>IF($M3046="","",IF($K3046-$M3046&gt;7,"",IF($M3046&lt;=$A3046,"",IF(OR($B3046&lt;=0,$N3046&lt;=0),"",($N3046/$B3046)^(365/($M3046-$A3046))-1))))</f>
        <v/>
      </c>
      <c r="P3046" s="31" t="str">
        <f>IF($B3046="","",IF($P3045="",$B3046,MAX($P3045,$B3046)))</f>
        <v/>
      </c>
      <c r="Q3046" s="32" t="str">
        <f>IF($P3046="","",$B3046/$P3046-1)</f>
        <v/>
      </c>
    </row>
    <row r="3047">
      <c r="A3047" s="11" t="n"/>
      <c r="B3047" s="29" t="n"/>
      <c r="K3047" s="30" t="str">
        <f>IF($A3047="","",EDATE($A3047,12*$E$4))</f>
        <v/>
      </c>
      <c r="L3047" s="19" t="str">
        <f>IF($K3047="","",IF($K3047&gt;MAX($A$8:$A$5007),"",IFERROR(MATCH($K3047,$A$8:$A$5007,1),"")))</f>
        <v/>
      </c>
      <c r="M3047" s="30" t="str">
        <f>IF($L3047="","",INDEX($A$8:$A$5007,$L3047))</f>
        <v/>
      </c>
      <c r="N3047" s="31" t="str">
        <f>IF($L3047="","",INDEX($B$8:$B$5007,$L3047))</f>
        <v/>
      </c>
      <c r="O3047" s="32" t="str">
        <f>IF($M3047="","",IF($K3047-$M3047&gt;7,"",IF($M3047&lt;=$A3047,"",IF(OR($B3047&lt;=0,$N3047&lt;=0),"",($N3047/$B3047)^(365/($M3047-$A3047))-1))))</f>
        <v/>
      </c>
      <c r="P3047" s="31" t="str">
        <f>IF($B3047="","",IF($P3046="",$B3047,MAX($P3046,$B3047)))</f>
        <v/>
      </c>
      <c r="Q3047" s="32" t="str">
        <f>IF($P3047="","",$B3047/$P3047-1)</f>
        <v/>
      </c>
    </row>
    <row r="3048">
      <c r="A3048" s="11" t="n"/>
      <c r="B3048" s="29" t="n"/>
      <c r="K3048" s="30" t="str">
        <f>IF($A3048="","",EDATE($A3048,12*$E$4))</f>
        <v/>
      </c>
      <c r="L3048" s="19" t="str">
        <f>IF($K3048="","",IF($K3048&gt;MAX($A$8:$A$5007),"",IFERROR(MATCH($K3048,$A$8:$A$5007,1),"")))</f>
        <v/>
      </c>
      <c r="M3048" s="30" t="str">
        <f>IF($L3048="","",INDEX($A$8:$A$5007,$L3048))</f>
        <v/>
      </c>
      <c r="N3048" s="31" t="str">
        <f>IF($L3048="","",INDEX($B$8:$B$5007,$L3048))</f>
        <v/>
      </c>
      <c r="O3048" s="32" t="str">
        <f>IF($M3048="","",IF($K3048-$M3048&gt;7,"",IF($M3048&lt;=$A3048,"",IF(OR($B3048&lt;=0,$N3048&lt;=0),"",($N3048/$B3048)^(365/($M3048-$A3048))-1))))</f>
        <v/>
      </c>
      <c r="P3048" s="31" t="str">
        <f>IF($B3048="","",IF($P3047="",$B3048,MAX($P3047,$B3048)))</f>
        <v/>
      </c>
      <c r="Q3048" s="32" t="str">
        <f>IF($P3048="","",$B3048/$P3048-1)</f>
        <v/>
      </c>
    </row>
    <row r="3049">
      <c r="A3049" s="11" t="n"/>
      <c r="B3049" s="29" t="n"/>
      <c r="K3049" s="30" t="str">
        <f>IF($A3049="","",EDATE($A3049,12*$E$4))</f>
        <v/>
      </c>
      <c r="L3049" s="19" t="str">
        <f>IF($K3049="","",IF($K3049&gt;MAX($A$8:$A$5007),"",IFERROR(MATCH($K3049,$A$8:$A$5007,1),"")))</f>
        <v/>
      </c>
      <c r="M3049" s="30" t="str">
        <f>IF($L3049="","",INDEX($A$8:$A$5007,$L3049))</f>
        <v/>
      </c>
      <c r="N3049" s="31" t="str">
        <f>IF($L3049="","",INDEX($B$8:$B$5007,$L3049))</f>
        <v/>
      </c>
      <c r="O3049" s="32" t="str">
        <f>IF($M3049="","",IF($K3049-$M3049&gt;7,"",IF($M3049&lt;=$A3049,"",IF(OR($B3049&lt;=0,$N3049&lt;=0),"",($N3049/$B3049)^(365/($M3049-$A3049))-1))))</f>
        <v/>
      </c>
      <c r="P3049" s="31" t="str">
        <f>IF($B3049="","",IF($P3048="",$B3049,MAX($P3048,$B3049)))</f>
        <v/>
      </c>
      <c r="Q3049" s="32" t="str">
        <f>IF($P3049="","",$B3049/$P3049-1)</f>
        <v/>
      </c>
    </row>
    <row r="3050">
      <c r="A3050" s="11" t="n"/>
      <c r="B3050" s="29" t="n"/>
      <c r="K3050" s="30" t="str">
        <f>IF($A3050="","",EDATE($A3050,12*$E$4))</f>
        <v/>
      </c>
      <c r="L3050" s="19" t="str">
        <f>IF($K3050="","",IF($K3050&gt;MAX($A$8:$A$5007),"",IFERROR(MATCH($K3050,$A$8:$A$5007,1),"")))</f>
        <v/>
      </c>
      <c r="M3050" s="30" t="str">
        <f>IF($L3050="","",INDEX($A$8:$A$5007,$L3050))</f>
        <v/>
      </c>
      <c r="N3050" s="31" t="str">
        <f>IF($L3050="","",INDEX($B$8:$B$5007,$L3050))</f>
        <v/>
      </c>
      <c r="O3050" s="32" t="str">
        <f>IF($M3050="","",IF($K3050-$M3050&gt;7,"",IF($M3050&lt;=$A3050,"",IF(OR($B3050&lt;=0,$N3050&lt;=0),"",($N3050/$B3050)^(365/($M3050-$A3050))-1))))</f>
        <v/>
      </c>
      <c r="P3050" s="31" t="str">
        <f>IF($B3050="","",IF($P3049="",$B3050,MAX($P3049,$B3050)))</f>
        <v/>
      </c>
      <c r="Q3050" s="32" t="str">
        <f>IF($P3050="","",$B3050/$P3050-1)</f>
        <v/>
      </c>
    </row>
    <row r="3051">
      <c r="A3051" s="11" t="n"/>
      <c r="B3051" s="29" t="n"/>
      <c r="K3051" s="30" t="str">
        <f>IF($A3051="","",EDATE($A3051,12*$E$4))</f>
        <v/>
      </c>
      <c r="L3051" s="19" t="str">
        <f>IF($K3051="","",IF($K3051&gt;MAX($A$8:$A$5007),"",IFERROR(MATCH($K3051,$A$8:$A$5007,1),"")))</f>
        <v/>
      </c>
      <c r="M3051" s="30" t="str">
        <f>IF($L3051="","",INDEX($A$8:$A$5007,$L3051))</f>
        <v/>
      </c>
      <c r="N3051" s="31" t="str">
        <f>IF($L3051="","",INDEX($B$8:$B$5007,$L3051))</f>
        <v/>
      </c>
      <c r="O3051" s="32" t="str">
        <f>IF($M3051="","",IF($K3051-$M3051&gt;7,"",IF($M3051&lt;=$A3051,"",IF(OR($B3051&lt;=0,$N3051&lt;=0),"",($N3051/$B3051)^(365/($M3051-$A3051))-1))))</f>
        <v/>
      </c>
      <c r="P3051" s="31" t="str">
        <f>IF($B3051="","",IF($P3050="",$B3051,MAX($P3050,$B3051)))</f>
        <v/>
      </c>
      <c r="Q3051" s="32" t="str">
        <f>IF($P3051="","",$B3051/$P3051-1)</f>
        <v/>
      </c>
    </row>
    <row r="3052">
      <c r="A3052" s="11" t="n"/>
      <c r="B3052" s="29" t="n"/>
      <c r="K3052" s="30" t="str">
        <f>IF($A3052="","",EDATE($A3052,12*$E$4))</f>
        <v/>
      </c>
      <c r="L3052" s="19" t="str">
        <f>IF($K3052="","",IF($K3052&gt;MAX($A$8:$A$5007),"",IFERROR(MATCH($K3052,$A$8:$A$5007,1),"")))</f>
        <v/>
      </c>
      <c r="M3052" s="30" t="str">
        <f>IF($L3052="","",INDEX($A$8:$A$5007,$L3052))</f>
        <v/>
      </c>
      <c r="N3052" s="31" t="str">
        <f>IF($L3052="","",INDEX($B$8:$B$5007,$L3052))</f>
        <v/>
      </c>
      <c r="O3052" s="32" t="str">
        <f>IF($M3052="","",IF($K3052-$M3052&gt;7,"",IF($M3052&lt;=$A3052,"",IF(OR($B3052&lt;=0,$N3052&lt;=0),"",($N3052/$B3052)^(365/($M3052-$A3052))-1))))</f>
        <v/>
      </c>
      <c r="P3052" s="31" t="str">
        <f>IF($B3052="","",IF($P3051="",$B3052,MAX($P3051,$B3052)))</f>
        <v/>
      </c>
      <c r="Q3052" s="32" t="str">
        <f>IF($P3052="","",$B3052/$P3052-1)</f>
        <v/>
      </c>
    </row>
    <row r="3053">
      <c r="A3053" s="11" t="n"/>
      <c r="B3053" s="29" t="n"/>
      <c r="K3053" s="30" t="str">
        <f>IF($A3053="","",EDATE($A3053,12*$E$4))</f>
        <v/>
      </c>
      <c r="L3053" s="19" t="str">
        <f>IF($K3053="","",IF($K3053&gt;MAX($A$8:$A$5007),"",IFERROR(MATCH($K3053,$A$8:$A$5007,1),"")))</f>
        <v/>
      </c>
      <c r="M3053" s="30" t="str">
        <f>IF($L3053="","",INDEX($A$8:$A$5007,$L3053))</f>
        <v/>
      </c>
      <c r="N3053" s="31" t="str">
        <f>IF($L3053="","",INDEX($B$8:$B$5007,$L3053))</f>
        <v/>
      </c>
      <c r="O3053" s="32" t="str">
        <f>IF($M3053="","",IF($K3053-$M3053&gt;7,"",IF($M3053&lt;=$A3053,"",IF(OR($B3053&lt;=0,$N3053&lt;=0),"",($N3053/$B3053)^(365/($M3053-$A3053))-1))))</f>
        <v/>
      </c>
      <c r="P3053" s="31" t="str">
        <f>IF($B3053="","",IF($P3052="",$B3053,MAX($P3052,$B3053)))</f>
        <v/>
      </c>
      <c r="Q3053" s="32" t="str">
        <f>IF($P3053="","",$B3053/$P3053-1)</f>
        <v/>
      </c>
    </row>
    <row r="3054">
      <c r="A3054" s="11" t="n"/>
      <c r="B3054" s="29" t="n"/>
      <c r="K3054" s="30" t="str">
        <f>IF($A3054="","",EDATE($A3054,12*$E$4))</f>
        <v/>
      </c>
      <c r="L3054" s="19" t="str">
        <f>IF($K3054="","",IF($K3054&gt;MAX($A$8:$A$5007),"",IFERROR(MATCH($K3054,$A$8:$A$5007,1),"")))</f>
        <v/>
      </c>
      <c r="M3054" s="30" t="str">
        <f>IF($L3054="","",INDEX($A$8:$A$5007,$L3054))</f>
        <v/>
      </c>
      <c r="N3054" s="31" t="str">
        <f>IF($L3054="","",INDEX($B$8:$B$5007,$L3054))</f>
        <v/>
      </c>
      <c r="O3054" s="32" t="str">
        <f>IF($M3054="","",IF($K3054-$M3054&gt;7,"",IF($M3054&lt;=$A3054,"",IF(OR($B3054&lt;=0,$N3054&lt;=0),"",($N3054/$B3054)^(365/($M3054-$A3054))-1))))</f>
        <v/>
      </c>
      <c r="P3054" s="31" t="str">
        <f>IF($B3054="","",IF($P3053="",$B3054,MAX($P3053,$B3054)))</f>
        <v/>
      </c>
      <c r="Q3054" s="32" t="str">
        <f>IF($P3054="","",$B3054/$P3054-1)</f>
        <v/>
      </c>
    </row>
    <row r="3055">
      <c r="A3055" s="11" t="n"/>
      <c r="B3055" s="29" t="n"/>
      <c r="K3055" s="30" t="str">
        <f>IF($A3055="","",EDATE($A3055,12*$E$4))</f>
        <v/>
      </c>
      <c r="L3055" s="19" t="str">
        <f>IF($K3055="","",IF($K3055&gt;MAX($A$8:$A$5007),"",IFERROR(MATCH($K3055,$A$8:$A$5007,1),"")))</f>
        <v/>
      </c>
      <c r="M3055" s="30" t="str">
        <f>IF($L3055="","",INDEX($A$8:$A$5007,$L3055))</f>
        <v/>
      </c>
      <c r="N3055" s="31" t="str">
        <f>IF($L3055="","",INDEX($B$8:$B$5007,$L3055))</f>
        <v/>
      </c>
      <c r="O3055" s="32" t="str">
        <f>IF($M3055="","",IF($K3055-$M3055&gt;7,"",IF($M3055&lt;=$A3055,"",IF(OR($B3055&lt;=0,$N3055&lt;=0),"",($N3055/$B3055)^(365/($M3055-$A3055))-1))))</f>
        <v/>
      </c>
      <c r="P3055" s="31" t="str">
        <f>IF($B3055="","",IF($P3054="",$B3055,MAX($P3054,$B3055)))</f>
        <v/>
      </c>
      <c r="Q3055" s="32" t="str">
        <f>IF($P3055="","",$B3055/$P3055-1)</f>
        <v/>
      </c>
    </row>
    <row r="3056">
      <c r="A3056" s="11" t="n"/>
      <c r="B3056" s="29" t="n"/>
      <c r="K3056" s="30" t="str">
        <f>IF($A3056="","",EDATE($A3056,12*$E$4))</f>
        <v/>
      </c>
      <c r="L3056" s="19" t="str">
        <f>IF($K3056="","",IF($K3056&gt;MAX($A$8:$A$5007),"",IFERROR(MATCH($K3056,$A$8:$A$5007,1),"")))</f>
        <v/>
      </c>
      <c r="M3056" s="30" t="str">
        <f>IF($L3056="","",INDEX($A$8:$A$5007,$L3056))</f>
        <v/>
      </c>
      <c r="N3056" s="31" t="str">
        <f>IF($L3056="","",INDEX($B$8:$B$5007,$L3056))</f>
        <v/>
      </c>
      <c r="O3056" s="32" t="str">
        <f>IF($M3056="","",IF($K3056-$M3056&gt;7,"",IF($M3056&lt;=$A3056,"",IF(OR($B3056&lt;=0,$N3056&lt;=0),"",($N3056/$B3056)^(365/($M3056-$A3056))-1))))</f>
        <v/>
      </c>
      <c r="P3056" s="31" t="str">
        <f>IF($B3056="","",IF($P3055="",$B3056,MAX($P3055,$B3056)))</f>
        <v/>
      </c>
      <c r="Q3056" s="32" t="str">
        <f>IF($P3056="","",$B3056/$P3056-1)</f>
        <v/>
      </c>
    </row>
    <row r="3057">
      <c r="A3057" s="11" t="n"/>
      <c r="B3057" s="29" t="n"/>
      <c r="K3057" s="30" t="str">
        <f>IF($A3057="","",EDATE($A3057,12*$E$4))</f>
        <v/>
      </c>
      <c r="L3057" s="19" t="str">
        <f>IF($K3057="","",IF($K3057&gt;MAX($A$8:$A$5007),"",IFERROR(MATCH($K3057,$A$8:$A$5007,1),"")))</f>
        <v/>
      </c>
      <c r="M3057" s="30" t="str">
        <f>IF($L3057="","",INDEX($A$8:$A$5007,$L3057))</f>
        <v/>
      </c>
      <c r="N3057" s="31" t="str">
        <f>IF($L3057="","",INDEX($B$8:$B$5007,$L3057))</f>
        <v/>
      </c>
      <c r="O3057" s="32" t="str">
        <f>IF($M3057="","",IF($K3057-$M3057&gt;7,"",IF($M3057&lt;=$A3057,"",IF(OR($B3057&lt;=0,$N3057&lt;=0),"",($N3057/$B3057)^(365/($M3057-$A3057))-1))))</f>
        <v/>
      </c>
      <c r="P3057" s="31" t="str">
        <f>IF($B3057="","",IF($P3056="",$B3057,MAX($P3056,$B3057)))</f>
        <v/>
      </c>
      <c r="Q3057" s="32" t="str">
        <f>IF($P3057="","",$B3057/$P3057-1)</f>
        <v/>
      </c>
    </row>
    <row r="3058">
      <c r="A3058" s="11" t="n"/>
      <c r="B3058" s="29" t="n"/>
      <c r="K3058" s="30" t="str">
        <f>IF($A3058="","",EDATE($A3058,12*$E$4))</f>
        <v/>
      </c>
      <c r="L3058" s="19" t="str">
        <f>IF($K3058="","",IF($K3058&gt;MAX($A$8:$A$5007),"",IFERROR(MATCH($K3058,$A$8:$A$5007,1),"")))</f>
        <v/>
      </c>
      <c r="M3058" s="30" t="str">
        <f>IF($L3058="","",INDEX($A$8:$A$5007,$L3058))</f>
        <v/>
      </c>
      <c r="N3058" s="31" t="str">
        <f>IF($L3058="","",INDEX($B$8:$B$5007,$L3058))</f>
        <v/>
      </c>
      <c r="O3058" s="32" t="str">
        <f>IF($M3058="","",IF($K3058-$M3058&gt;7,"",IF($M3058&lt;=$A3058,"",IF(OR($B3058&lt;=0,$N3058&lt;=0),"",($N3058/$B3058)^(365/($M3058-$A3058))-1))))</f>
        <v/>
      </c>
      <c r="P3058" s="31" t="str">
        <f>IF($B3058="","",IF($P3057="",$B3058,MAX($P3057,$B3058)))</f>
        <v/>
      </c>
      <c r="Q3058" s="32" t="str">
        <f>IF($P3058="","",$B3058/$P3058-1)</f>
        <v/>
      </c>
    </row>
    <row r="3059">
      <c r="A3059" s="11" t="n"/>
      <c r="B3059" s="29" t="n"/>
      <c r="K3059" s="30" t="str">
        <f>IF($A3059="","",EDATE($A3059,12*$E$4))</f>
        <v/>
      </c>
      <c r="L3059" s="19" t="str">
        <f>IF($K3059="","",IF($K3059&gt;MAX($A$8:$A$5007),"",IFERROR(MATCH($K3059,$A$8:$A$5007,1),"")))</f>
        <v/>
      </c>
      <c r="M3059" s="30" t="str">
        <f>IF($L3059="","",INDEX($A$8:$A$5007,$L3059))</f>
        <v/>
      </c>
      <c r="N3059" s="31" t="str">
        <f>IF($L3059="","",INDEX($B$8:$B$5007,$L3059))</f>
        <v/>
      </c>
      <c r="O3059" s="32" t="str">
        <f>IF($M3059="","",IF($K3059-$M3059&gt;7,"",IF($M3059&lt;=$A3059,"",IF(OR($B3059&lt;=0,$N3059&lt;=0),"",($N3059/$B3059)^(365/($M3059-$A3059))-1))))</f>
        <v/>
      </c>
      <c r="P3059" s="31" t="str">
        <f>IF($B3059="","",IF($P3058="",$B3059,MAX($P3058,$B3059)))</f>
        <v/>
      </c>
      <c r="Q3059" s="32" t="str">
        <f>IF($P3059="","",$B3059/$P3059-1)</f>
        <v/>
      </c>
    </row>
    <row r="3060">
      <c r="A3060" s="11" t="n"/>
      <c r="B3060" s="29" t="n"/>
      <c r="K3060" s="30" t="str">
        <f>IF($A3060="","",EDATE($A3060,12*$E$4))</f>
        <v/>
      </c>
      <c r="L3060" s="19" t="str">
        <f>IF($K3060="","",IF($K3060&gt;MAX($A$8:$A$5007),"",IFERROR(MATCH($K3060,$A$8:$A$5007,1),"")))</f>
        <v/>
      </c>
      <c r="M3060" s="30" t="str">
        <f>IF($L3060="","",INDEX($A$8:$A$5007,$L3060))</f>
        <v/>
      </c>
      <c r="N3060" s="31" t="str">
        <f>IF($L3060="","",INDEX($B$8:$B$5007,$L3060))</f>
        <v/>
      </c>
      <c r="O3060" s="32" t="str">
        <f>IF($M3060="","",IF($K3060-$M3060&gt;7,"",IF($M3060&lt;=$A3060,"",IF(OR($B3060&lt;=0,$N3060&lt;=0),"",($N3060/$B3060)^(365/($M3060-$A3060))-1))))</f>
        <v/>
      </c>
      <c r="P3060" s="31" t="str">
        <f>IF($B3060="","",IF($P3059="",$B3060,MAX($P3059,$B3060)))</f>
        <v/>
      </c>
      <c r="Q3060" s="32" t="str">
        <f>IF($P3060="","",$B3060/$P3060-1)</f>
        <v/>
      </c>
    </row>
    <row r="3061">
      <c r="A3061" s="11" t="n"/>
      <c r="B3061" s="29" t="n"/>
      <c r="K3061" s="30" t="str">
        <f>IF($A3061="","",EDATE($A3061,12*$E$4))</f>
        <v/>
      </c>
      <c r="L3061" s="19" t="str">
        <f>IF($K3061="","",IF($K3061&gt;MAX($A$8:$A$5007),"",IFERROR(MATCH($K3061,$A$8:$A$5007,1),"")))</f>
        <v/>
      </c>
      <c r="M3061" s="30" t="str">
        <f>IF($L3061="","",INDEX($A$8:$A$5007,$L3061))</f>
        <v/>
      </c>
      <c r="N3061" s="31" t="str">
        <f>IF($L3061="","",INDEX($B$8:$B$5007,$L3061))</f>
        <v/>
      </c>
      <c r="O3061" s="32" t="str">
        <f>IF($M3061="","",IF($K3061-$M3061&gt;7,"",IF($M3061&lt;=$A3061,"",IF(OR($B3061&lt;=0,$N3061&lt;=0),"",($N3061/$B3061)^(365/($M3061-$A3061))-1))))</f>
        <v/>
      </c>
      <c r="P3061" s="31" t="str">
        <f>IF($B3061="","",IF($P3060="",$B3061,MAX($P3060,$B3061)))</f>
        <v/>
      </c>
      <c r="Q3061" s="32" t="str">
        <f>IF($P3061="","",$B3061/$P3061-1)</f>
        <v/>
      </c>
    </row>
    <row r="3062">
      <c r="A3062" s="11" t="n"/>
      <c r="B3062" s="29" t="n"/>
      <c r="K3062" s="30" t="str">
        <f>IF($A3062="","",EDATE($A3062,12*$E$4))</f>
        <v/>
      </c>
      <c r="L3062" s="19" t="str">
        <f>IF($K3062="","",IF($K3062&gt;MAX($A$8:$A$5007),"",IFERROR(MATCH($K3062,$A$8:$A$5007,1),"")))</f>
        <v/>
      </c>
      <c r="M3062" s="30" t="str">
        <f>IF($L3062="","",INDEX($A$8:$A$5007,$L3062))</f>
        <v/>
      </c>
      <c r="N3062" s="31" t="str">
        <f>IF($L3062="","",INDEX($B$8:$B$5007,$L3062))</f>
        <v/>
      </c>
      <c r="O3062" s="32" t="str">
        <f>IF($M3062="","",IF($K3062-$M3062&gt;7,"",IF($M3062&lt;=$A3062,"",IF(OR($B3062&lt;=0,$N3062&lt;=0),"",($N3062/$B3062)^(365/($M3062-$A3062))-1))))</f>
        <v/>
      </c>
      <c r="P3062" s="31" t="str">
        <f>IF($B3062="","",IF($P3061="",$B3062,MAX($P3061,$B3062)))</f>
        <v/>
      </c>
      <c r="Q3062" s="32" t="str">
        <f>IF($P3062="","",$B3062/$P3062-1)</f>
        <v/>
      </c>
    </row>
    <row r="3063">
      <c r="A3063" s="11" t="n"/>
      <c r="B3063" s="29" t="n"/>
      <c r="K3063" s="30" t="str">
        <f>IF($A3063="","",EDATE($A3063,12*$E$4))</f>
        <v/>
      </c>
      <c r="L3063" s="19" t="str">
        <f>IF($K3063="","",IF($K3063&gt;MAX($A$8:$A$5007),"",IFERROR(MATCH($K3063,$A$8:$A$5007,1),"")))</f>
        <v/>
      </c>
      <c r="M3063" s="30" t="str">
        <f>IF($L3063="","",INDEX($A$8:$A$5007,$L3063))</f>
        <v/>
      </c>
      <c r="N3063" s="31" t="str">
        <f>IF($L3063="","",INDEX($B$8:$B$5007,$L3063))</f>
        <v/>
      </c>
      <c r="O3063" s="32" t="str">
        <f>IF($M3063="","",IF($K3063-$M3063&gt;7,"",IF($M3063&lt;=$A3063,"",IF(OR($B3063&lt;=0,$N3063&lt;=0),"",($N3063/$B3063)^(365/($M3063-$A3063))-1))))</f>
        <v/>
      </c>
      <c r="P3063" s="31" t="str">
        <f>IF($B3063="","",IF($P3062="",$B3063,MAX($P3062,$B3063)))</f>
        <v/>
      </c>
      <c r="Q3063" s="32" t="str">
        <f>IF($P3063="","",$B3063/$P3063-1)</f>
        <v/>
      </c>
    </row>
    <row r="3064">
      <c r="A3064" s="11" t="n"/>
      <c r="B3064" s="29" t="n"/>
      <c r="K3064" s="30" t="str">
        <f>IF($A3064="","",EDATE($A3064,12*$E$4))</f>
        <v/>
      </c>
      <c r="L3064" s="19" t="str">
        <f>IF($K3064="","",IF($K3064&gt;MAX($A$8:$A$5007),"",IFERROR(MATCH($K3064,$A$8:$A$5007,1),"")))</f>
        <v/>
      </c>
      <c r="M3064" s="30" t="str">
        <f>IF($L3064="","",INDEX($A$8:$A$5007,$L3064))</f>
        <v/>
      </c>
      <c r="N3064" s="31" t="str">
        <f>IF($L3064="","",INDEX($B$8:$B$5007,$L3064))</f>
        <v/>
      </c>
      <c r="O3064" s="32" t="str">
        <f>IF($M3064="","",IF($K3064-$M3064&gt;7,"",IF($M3064&lt;=$A3064,"",IF(OR($B3064&lt;=0,$N3064&lt;=0),"",($N3064/$B3064)^(365/($M3064-$A3064))-1))))</f>
        <v/>
      </c>
      <c r="P3064" s="31" t="str">
        <f>IF($B3064="","",IF($P3063="",$B3064,MAX($P3063,$B3064)))</f>
        <v/>
      </c>
      <c r="Q3064" s="32" t="str">
        <f>IF($P3064="","",$B3064/$P3064-1)</f>
        <v/>
      </c>
    </row>
    <row r="3065">
      <c r="A3065" s="11" t="n"/>
      <c r="B3065" s="29" t="n"/>
      <c r="K3065" s="30" t="str">
        <f>IF($A3065="","",EDATE($A3065,12*$E$4))</f>
        <v/>
      </c>
      <c r="L3065" s="19" t="str">
        <f>IF($K3065="","",IF($K3065&gt;MAX($A$8:$A$5007),"",IFERROR(MATCH($K3065,$A$8:$A$5007,1),"")))</f>
        <v/>
      </c>
      <c r="M3065" s="30" t="str">
        <f>IF($L3065="","",INDEX($A$8:$A$5007,$L3065))</f>
        <v/>
      </c>
      <c r="N3065" s="31" t="str">
        <f>IF($L3065="","",INDEX($B$8:$B$5007,$L3065))</f>
        <v/>
      </c>
      <c r="O3065" s="32" t="str">
        <f>IF($M3065="","",IF($K3065-$M3065&gt;7,"",IF($M3065&lt;=$A3065,"",IF(OR($B3065&lt;=0,$N3065&lt;=0),"",($N3065/$B3065)^(365/($M3065-$A3065))-1))))</f>
        <v/>
      </c>
      <c r="P3065" s="31" t="str">
        <f>IF($B3065="","",IF($P3064="",$B3065,MAX($P3064,$B3065)))</f>
        <v/>
      </c>
      <c r="Q3065" s="32" t="str">
        <f>IF($P3065="","",$B3065/$P3065-1)</f>
        <v/>
      </c>
    </row>
    <row r="3066">
      <c r="A3066" s="11" t="n"/>
      <c r="B3066" s="29" t="n"/>
      <c r="K3066" s="30" t="str">
        <f>IF($A3066="","",EDATE($A3066,12*$E$4))</f>
        <v/>
      </c>
      <c r="L3066" s="19" t="str">
        <f>IF($K3066="","",IF($K3066&gt;MAX($A$8:$A$5007),"",IFERROR(MATCH($K3066,$A$8:$A$5007,1),"")))</f>
        <v/>
      </c>
      <c r="M3066" s="30" t="str">
        <f>IF($L3066="","",INDEX($A$8:$A$5007,$L3066))</f>
        <v/>
      </c>
      <c r="N3066" s="31" t="str">
        <f>IF($L3066="","",INDEX($B$8:$B$5007,$L3066))</f>
        <v/>
      </c>
      <c r="O3066" s="32" t="str">
        <f>IF($M3066="","",IF($K3066-$M3066&gt;7,"",IF($M3066&lt;=$A3066,"",IF(OR($B3066&lt;=0,$N3066&lt;=0),"",($N3066/$B3066)^(365/($M3066-$A3066))-1))))</f>
        <v/>
      </c>
      <c r="P3066" s="31" t="str">
        <f>IF($B3066="","",IF($P3065="",$B3066,MAX($P3065,$B3066)))</f>
        <v/>
      </c>
      <c r="Q3066" s="32" t="str">
        <f>IF($P3066="","",$B3066/$P3066-1)</f>
        <v/>
      </c>
    </row>
    <row r="3067">
      <c r="A3067" s="11" t="n"/>
      <c r="B3067" s="29" t="n"/>
      <c r="K3067" s="30" t="str">
        <f>IF($A3067="","",EDATE($A3067,12*$E$4))</f>
        <v/>
      </c>
      <c r="L3067" s="19" t="str">
        <f>IF($K3067="","",IF($K3067&gt;MAX($A$8:$A$5007),"",IFERROR(MATCH($K3067,$A$8:$A$5007,1),"")))</f>
        <v/>
      </c>
      <c r="M3067" s="30" t="str">
        <f>IF($L3067="","",INDEX($A$8:$A$5007,$L3067))</f>
        <v/>
      </c>
      <c r="N3067" s="31" t="str">
        <f>IF($L3067="","",INDEX($B$8:$B$5007,$L3067))</f>
        <v/>
      </c>
      <c r="O3067" s="32" t="str">
        <f>IF($M3067="","",IF($K3067-$M3067&gt;7,"",IF($M3067&lt;=$A3067,"",IF(OR($B3067&lt;=0,$N3067&lt;=0),"",($N3067/$B3067)^(365/($M3067-$A3067))-1))))</f>
        <v/>
      </c>
      <c r="P3067" s="31" t="str">
        <f>IF($B3067="","",IF($P3066="",$B3067,MAX($P3066,$B3067)))</f>
        <v/>
      </c>
      <c r="Q3067" s="32" t="str">
        <f>IF($P3067="","",$B3067/$P3067-1)</f>
        <v/>
      </c>
    </row>
    <row r="3068">
      <c r="A3068" s="11" t="n"/>
      <c r="B3068" s="29" t="n"/>
      <c r="K3068" s="30" t="str">
        <f>IF($A3068="","",EDATE($A3068,12*$E$4))</f>
        <v/>
      </c>
      <c r="L3068" s="19" t="str">
        <f>IF($K3068="","",IF($K3068&gt;MAX($A$8:$A$5007),"",IFERROR(MATCH($K3068,$A$8:$A$5007,1),"")))</f>
        <v/>
      </c>
      <c r="M3068" s="30" t="str">
        <f>IF($L3068="","",INDEX($A$8:$A$5007,$L3068))</f>
        <v/>
      </c>
      <c r="N3068" s="31" t="str">
        <f>IF($L3068="","",INDEX($B$8:$B$5007,$L3068))</f>
        <v/>
      </c>
      <c r="O3068" s="32" t="str">
        <f>IF($M3068="","",IF($K3068-$M3068&gt;7,"",IF($M3068&lt;=$A3068,"",IF(OR($B3068&lt;=0,$N3068&lt;=0),"",($N3068/$B3068)^(365/($M3068-$A3068))-1))))</f>
        <v/>
      </c>
      <c r="P3068" s="31" t="str">
        <f>IF($B3068="","",IF($P3067="",$B3068,MAX($P3067,$B3068)))</f>
        <v/>
      </c>
      <c r="Q3068" s="32" t="str">
        <f>IF($P3068="","",$B3068/$P3068-1)</f>
        <v/>
      </c>
    </row>
    <row r="3069">
      <c r="A3069" s="11" t="n"/>
      <c r="B3069" s="29" t="n"/>
      <c r="K3069" s="30" t="str">
        <f>IF($A3069="","",EDATE($A3069,12*$E$4))</f>
        <v/>
      </c>
      <c r="L3069" s="19" t="str">
        <f>IF($K3069="","",IF($K3069&gt;MAX($A$8:$A$5007),"",IFERROR(MATCH($K3069,$A$8:$A$5007,1),"")))</f>
        <v/>
      </c>
      <c r="M3069" s="30" t="str">
        <f>IF($L3069="","",INDEX($A$8:$A$5007,$L3069))</f>
        <v/>
      </c>
      <c r="N3069" s="31" t="str">
        <f>IF($L3069="","",INDEX($B$8:$B$5007,$L3069))</f>
        <v/>
      </c>
      <c r="O3069" s="32" t="str">
        <f>IF($M3069="","",IF($K3069-$M3069&gt;7,"",IF($M3069&lt;=$A3069,"",IF(OR($B3069&lt;=0,$N3069&lt;=0),"",($N3069/$B3069)^(365/($M3069-$A3069))-1))))</f>
        <v/>
      </c>
      <c r="P3069" s="31" t="str">
        <f>IF($B3069="","",IF($P3068="",$B3069,MAX($P3068,$B3069)))</f>
        <v/>
      </c>
      <c r="Q3069" s="32" t="str">
        <f>IF($P3069="","",$B3069/$P3069-1)</f>
        <v/>
      </c>
    </row>
    <row r="3070">
      <c r="A3070" s="11" t="n"/>
      <c r="B3070" s="29" t="n"/>
      <c r="K3070" s="30" t="str">
        <f>IF($A3070="","",EDATE($A3070,12*$E$4))</f>
        <v/>
      </c>
      <c r="L3070" s="19" t="str">
        <f>IF($K3070="","",IF($K3070&gt;MAX($A$8:$A$5007),"",IFERROR(MATCH($K3070,$A$8:$A$5007,1),"")))</f>
        <v/>
      </c>
      <c r="M3070" s="30" t="str">
        <f>IF($L3070="","",INDEX($A$8:$A$5007,$L3070))</f>
        <v/>
      </c>
      <c r="N3070" s="31" t="str">
        <f>IF($L3070="","",INDEX($B$8:$B$5007,$L3070))</f>
        <v/>
      </c>
      <c r="O3070" s="32" t="str">
        <f>IF($M3070="","",IF($K3070-$M3070&gt;7,"",IF($M3070&lt;=$A3070,"",IF(OR($B3070&lt;=0,$N3070&lt;=0),"",($N3070/$B3070)^(365/($M3070-$A3070))-1))))</f>
        <v/>
      </c>
      <c r="P3070" s="31" t="str">
        <f>IF($B3070="","",IF($P3069="",$B3070,MAX($P3069,$B3070)))</f>
        <v/>
      </c>
      <c r="Q3070" s="32" t="str">
        <f>IF($P3070="","",$B3070/$P3070-1)</f>
        <v/>
      </c>
    </row>
    <row r="3071">
      <c r="A3071" s="11" t="n"/>
      <c r="B3071" s="29" t="n"/>
      <c r="K3071" s="30" t="str">
        <f>IF($A3071="","",EDATE($A3071,12*$E$4))</f>
        <v/>
      </c>
      <c r="L3071" s="19" t="str">
        <f>IF($K3071="","",IF($K3071&gt;MAX($A$8:$A$5007),"",IFERROR(MATCH($K3071,$A$8:$A$5007,1),"")))</f>
        <v/>
      </c>
      <c r="M3071" s="30" t="str">
        <f>IF($L3071="","",INDEX($A$8:$A$5007,$L3071))</f>
        <v/>
      </c>
      <c r="N3071" s="31" t="str">
        <f>IF($L3071="","",INDEX($B$8:$B$5007,$L3071))</f>
        <v/>
      </c>
      <c r="O3071" s="32" t="str">
        <f>IF($M3071="","",IF($K3071-$M3071&gt;7,"",IF($M3071&lt;=$A3071,"",IF(OR($B3071&lt;=0,$N3071&lt;=0),"",($N3071/$B3071)^(365/($M3071-$A3071))-1))))</f>
        <v/>
      </c>
      <c r="P3071" s="31" t="str">
        <f>IF($B3071="","",IF($P3070="",$B3071,MAX($P3070,$B3071)))</f>
        <v/>
      </c>
      <c r="Q3071" s="32" t="str">
        <f>IF($P3071="","",$B3071/$P3071-1)</f>
        <v/>
      </c>
    </row>
    <row r="3072">
      <c r="A3072" s="11" t="n"/>
      <c r="B3072" s="29" t="n"/>
      <c r="K3072" s="30" t="str">
        <f>IF($A3072="","",EDATE($A3072,12*$E$4))</f>
        <v/>
      </c>
      <c r="L3072" s="19" t="str">
        <f>IF($K3072="","",IF($K3072&gt;MAX($A$8:$A$5007),"",IFERROR(MATCH($K3072,$A$8:$A$5007,1),"")))</f>
        <v/>
      </c>
      <c r="M3072" s="30" t="str">
        <f>IF($L3072="","",INDEX($A$8:$A$5007,$L3072))</f>
        <v/>
      </c>
      <c r="N3072" s="31" t="str">
        <f>IF($L3072="","",INDEX($B$8:$B$5007,$L3072))</f>
        <v/>
      </c>
      <c r="O3072" s="32" t="str">
        <f>IF($M3072="","",IF($K3072-$M3072&gt;7,"",IF($M3072&lt;=$A3072,"",IF(OR($B3072&lt;=0,$N3072&lt;=0),"",($N3072/$B3072)^(365/($M3072-$A3072))-1))))</f>
        <v/>
      </c>
      <c r="P3072" s="31" t="str">
        <f>IF($B3072="","",IF($P3071="",$B3072,MAX($P3071,$B3072)))</f>
        <v/>
      </c>
      <c r="Q3072" s="32" t="str">
        <f>IF($P3072="","",$B3072/$P3072-1)</f>
        <v/>
      </c>
    </row>
    <row r="3073">
      <c r="A3073" s="11" t="n"/>
      <c r="B3073" s="29" t="n"/>
      <c r="K3073" s="30" t="str">
        <f>IF($A3073="","",EDATE($A3073,12*$E$4))</f>
        <v/>
      </c>
      <c r="L3073" s="19" t="str">
        <f>IF($K3073="","",IF($K3073&gt;MAX($A$8:$A$5007),"",IFERROR(MATCH($K3073,$A$8:$A$5007,1),"")))</f>
        <v/>
      </c>
      <c r="M3073" s="30" t="str">
        <f>IF($L3073="","",INDEX($A$8:$A$5007,$L3073))</f>
        <v/>
      </c>
      <c r="N3073" s="31" t="str">
        <f>IF($L3073="","",INDEX($B$8:$B$5007,$L3073))</f>
        <v/>
      </c>
      <c r="O3073" s="32" t="str">
        <f>IF($M3073="","",IF($K3073-$M3073&gt;7,"",IF($M3073&lt;=$A3073,"",IF(OR($B3073&lt;=0,$N3073&lt;=0),"",($N3073/$B3073)^(365/($M3073-$A3073))-1))))</f>
        <v/>
      </c>
      <c r="P3073" s="31" t="str">
        <f>IF($B3073="","",IF($P3072="",$B3073,MAX($P3072,$B3073)))</f>
        <v/>
      </c>
      <c r="Q3073" s="32" t="str">
        <f>IF($P3073="","",$B3073/$P3073-1)</f>
        <v/>
      </c>
    </row>
    <row r="3074">
      <c r="A3074" s="11" t="n"/>
      <c r="B3074" s="29" t="n"/>
      <c r="K3074" s="30" t="str">
        <f>IF($A3074="","",EDATE($A3074,12*$E$4))</f>
        <v/>
      </c>
      <c r="L3074" s="19" t="str">
        <f>IF($K3074="","",IF($K3074&gt;MAX($A$8:$A$5007),"",IFERROR(MATCH($K3074,$A$8:$A$5007,1),"")))</f>
        <v/>
      </c>
      <c r="M3074" s="30" t="str">
        <f>IF($L3074="","",INDEX($A$8:$A$5007,$L3074))</f>
        <v/>
      </c>
      <c r="N3074" s="31" t="str">
        <f>IF($L3074="","",INDEX($B$8:$B$5007,$L3074))</f>
        <v/>
      </c>
      <c r="O3074" s="32" t="str">
        <f>IF($M3074="","",IF($K3074-$M3074&gt;7,"",IF($M3074&lt;=$A3074,"",IF(OR($B3074&lt;=0,$N3074&lt;=0),"",($N3074/$B3074)^(365/($M3074-$A3074))-1))))</f>
        <v/>
      </c>
      <c r="P3074" s="31" t="str">
        <f>IF($B3074="","",IF($P3073="",$B3074,MAX($P3073,$B3074)))</f>
        <v/>
      </c>
      <c r="Q3074" s="32" t="str">
        <f>IF($P3074="","",$B3074/$P3074-1)</f>
        <v/>
      </c>
    </row>
    <row r="3075">
      <c r="A3075" s="11" t="n"/>
      <c r="B3075" s="29" t="n"/>
      <c r="K3075" s="30" t="str">
        <f>IF($A3075="","",EDATE($A3075,12*$E$4))</f>
        <v/>
      </c>
      <c r="L3075" s="19" t="str">
        <f>IF($K3075="","",IF($K3075&gt;MAX($A$8:$A$5007),"",IFERROR(MATCH($K3075,$A$8:$A$5007,1),"")))</f>
        <v/>
      </c>
      <c r="M3075" s="30" t="str">
        <f>IF($L3075="","",INDEX($A$8:$A$5007,$L3075))</f>
        <v/>
      </c>
      <c r="N3075" s="31" t="str">
        <f>IF($L3075="","",INDEX($B$8:$B$5007,$L3075))</f>
        <v/>
      </c>
      <c r="O3075" s="32" t="str">
        <f>IF($M3075="","",IF($K3075-$M3075&gt;7,"",IF($M3075&lt;=$A3075,"",IF(OR($B3075&lt;=0,$N3075&lt;=0),"",($N3075/$B3075)^(365/($M3075-$A3075))-1))))</f>
        <v/>
      </c>
      <c r="P3075" s="31" t="str">
        <f>IF($B3075="","",IF($P3074="",$B3075,MAX($P3074,$B3075)))</f>
        <v/>
      </c>
      <c r="Q3075" s="32" t="str">
        <f>IF($P3075="","",$B3075/$P3075-1)</f>
        <v/>
      </c>
    </row>
    <row r="3076">
      <c r="A3076" s="11" t="n"/>
      <c r="B3076" s="29" t="n"/>
      <c r="K3076" s="30" t="str">
        <f>IF($A3076="","",EDATE($A3076,12*$E$4))</f>
        <v/>
      </c>
      <c r="L3076" s="19" t="str">
        <f>IF($K3076="","",IF($K3076&gt;MAX($A$8:$A$5007),"",IFERROR(MATCH($K3076,$A$8:$A$5007,1),"")))</f>
        <v/>
      </c>
      <c r="M3076" s="30" t="str">
        <f>IF($L3076="","",INDEX($A$8:$A$5007,$L3076))</f>
        <v/>
      </c>
      <c r="N3076" s="31" t="str">
        <f>IF($L3076="","",INDEX($B$8:$B$5007,$L3076))</f>
        <v/>
      </c>
      <c r="O3076" s="32" t="str">
        <f>IF($M3076="","",IF($K3076-$M3076&gt;7,"",IF($M3076&lt;=$A3076,"",IF(OR($B3076&lt;=0,$N3076&lt;=0),"",($N3076/$B3076)^(365/($M3076-$A3076))-1))))</f>
        <v/>
      </c>
      <c r="P3076" s="31" t="str">
        <f>IF($B3076="","",IF($P3075="",$B3076,MAX($P3075,$B3076)))</f>
        <v/>
      </c>
      <c r="Q3076" s="32" t="str">
        <f>IF($P3076="","",$B3076/$P3076-1)</f>
        <v/>
      </c>
    </row>
    <row r="3077">
      <c r="A3077" s="11" t="n"/>
      <c r="B3077" s="29" t="n"/>
      <c r="K3077" s="30" t="str">
        <f>IF($A3077="","",EDATE($A3077,12*$E$4))</f>
        <v/>
      </c>
      <c r="L3077" s="19" t="str">
        <f>IF($K3077="","",IF($K3077&gt;MAX($A$8:$A$5007),"",IFERROR(MATCH($K3077,$A$8:$A$5007,1),"")))</f>
        <v/>
      </c>
      <c r="M3077" s="30" t="str">
        <f>IF($L3077="","",INDEX($A$8:$A$5007,$L3077))</f>
        <v/>
      </c>
      <c r="N3077" s="31" t="str">
        <f>IF($L3077="","",INDEX($B$8:$B$5007,$L3077))</f>
        <v/>
      </c>
      <c r="O3077" s="32" t="str">
        <f>IF($M3077="","",IF($K3077-$M3077&gt;7,"",IF($M3077&lt;=$A3077,"",IF(OR($B3077&lt;=0,$N3077&lt;=0),"",($N3077/$B3077)^(365/($M3077-$A3077))-1))))</f>
        <v/>
      </c>
      <c r="P3077" s="31" t="str">
        <f>IF($B3077="","",IF($P3076="",$B3077,MAX($P3076,$B3077)))</f>
        <v/>
      </c>
      <c r="Q3077" s="32" t="str">
        <f>IF($P3077="","",$B3077/$P3077-1)</f>
        <v/>
      </c>
    </row>
    <row r="3078">
      <c r="A3078" s="11" t="n"/>
      <c r="B3078" s="29" t="n"/>
      <c r="K3078" s="30" t="str">
        <f>IF($A3078="","",EDATE($A3078,12*$E$4))</f>
        <v/>
      </c>
      <c r="L3078" s="19" t="str">
        <f>IF($K3078="","",IF($K3078&gt;MAX($A$8:$A$5007),"",IFERROR(MATCH($K3078,$A$8:$A$5007,1),"")))</f>
        <v/>
      </c>
      <c r="M3078" s="30" t="str">
        <f>IF($L3078="","",INDEX($A$8:$A$5007,$L3078))</f>
        <v/>
      </c>
      <c r="N3078" s="31" t="str">
        <f>IF($L3078="","",INDEX($B$8:$B$5007,$L3078))</f>
        <v/>
      </c>
      <c r="O3078" s="32" t="str">
        <f>IF($M3078="","",IF($K3078-$M3078&gt;7,"",IF($M3078&lt;=$A3078,"",IF(OR($B3078&lt;=0,$N3078&lt;=0),"",($N3078/$B3078)^(365/($M3078-$A3078))-1))))</f>
        <v/>
      </c>
      <c r="P3078" s="31" t="str">
        <f>IF($B3078="","",IF($P3077="",$B3078,MAX($P3077,$B3078)))</f>
        <v/>
      </c>
      <c r="Q3078" s="32" t="str">
        <f>IF($P3078="","",$B3078/$P3078-1)</f>
        <v/>
      </c>
    </row>
    <row r="3079">
      <c r="A3079" s="11" t="n"/>
      <c r="B3079" s="29" t="n"/>
      <c r="K3079" s="30" t="str">
        <f>IF($A3079="","",EDATE($A3079,12*$E$4))</f>
        <v/>
      </c>
      <c r="L3079" s="19" t="str">
        <f>IF($K3079="","",IF($K3079&gt;MAX($A$8:$A$5007),"",IFERROR(MATCH($K3079,$A$8:$A$5007,1),"")))</f>
        <v/>
      </c>
      <c r="M3079" s="30" t="str">
        <f>IF($L3079="","",INDEX($A$8:$A$5007,$L3079))</f>
        <v/>
      </c>
      <c r="N3079" s="31" t="str">
        <f>IF($L3079="","",INDEX($B$8:$B$5007,$L3079))</f>
        <v/>
      </c>
      <c r="O3079" s="32" t="str">
        <f>IF($M3079="","",IF($K3079-$M3079&gt;7,"",IF($M3079&lt;=$A3079,"",IF(OR($B3079&lt;=0,$N3079&lt;=0),"",($N3079/$B3079)^(365/($M3079-$A3079))-1))))</f>
        <v/>
      </c>
      <c r="P3079" s="31" t="str">
        <f>IF($B3079="","",IF($P3078="",$B3079,MAX($P3078,$B3079)))</f>
        <v/>
      </c>
      <c r="Q3079" s="32" t="str">
        <f>IF($P3079="","",$B3079/$P3079-1)</f>
        <v/>
      </c>
    </row>
    <row r="3080">
      <c r="A3080" s="11" t="n"/>
      <c r="B3080" s="29" t="n"/>
      <c r="K3080" s="30" t="str">
        <f>IF($A3080="","",EDATE($A3080,12*$E$4))</f>
        <v/>
      </c>
      <c r="L3080" s="19" t="str">
        <f>IF($K3080="","",IF($K3080&gt;MAX($A$8:$A$5007),"",IFERROR(MATCH($K3080,$A$8:$A$5007,1),"")))</f>
        <v/>
      </c>
      <c r="M3080" s="30" t="str">
        <f>IF($L3080="","",INDEX($A$8:$A$5007,$L3080))</f>
        <v/>
      </c>
      <c r="N3080" s="31" t="str">
        <f>IF($L3080="","",INDEX($B$8:$B$5007,$L3080))</f>
        <v/>
      </c>
      <c r="O3080" s="32" t="str">
        <f>IF($M3080="","",IF($K3080-$M3080&gt;7,"",IF($M3080&lt;=$A3080,"",IF(OR($B3080&lt;=0,$N3080&lt;=0),"",($N3080/$B3080)^(365/($M3080-$A3080))-1))))</f>
        <v/>
      </c>
      <c r="P3080" s="31" t="str">
        <f>IF($B3080="","",IF($P3079="",$B3080,MAX($P3079,$B3080)))</f>
        <v/>
      </c>
      <c r="Q3080" s="32" t="str">
        <f>IF($P3080="","",$B3080/$P3080-1)</f>
        <v/>
      </c>
    </row>
    <row r="3081">
      <c r="A3081" s="11" t="n"/>
      <c r="B3081" s="29" t="n"/>
      <c r="K3081" s="30" t="str">
        <f>IF($A3081="","",EDATE($A3081,12*$E$4))</f>
        <v/>
      </c>
      <c r="L3081" s="19" t="str">
        <f>IF($K3081="","",IF($K3081&gt;MAX($A$8:$A$5007),"",IFERROR(MATCH($K3081,$A$8:$A$5007,1),"")))</f>
        <v/>
      </c>
      <c r="M3081" s="30" t="str">
        <f>IF($L3081="","",INDEX($A$8:$A$5007,$L3081))</f>
        <v/>
      </c>
      <c r="N3081" s="31" t="str">
        <f>IF($L3081="","",INDEX($B$8:$B$5007,$L3081))</f>
        <v/>
      </c>
      <c r="O3081" s="32" t="str">
        <f>IF($M3081="","",IF($K3081-$M3081&gt;7,"",IF($M3081&lt;=$A3081,"",IF(OR($B3081&lt;=0,$N3081&lt;=0),"",($N3081/$B3081)^(365/($M3081-$A3081))-1))))</f>
        <v/>
      </c>
      <c r="P3081" s="31" t="str">
        <f>IF($B3081="","",IF($P3080="",$B3081,MAX($P3080,$B3081)))</f>
        <v/>
      </c>
      <c r="Q3081" s="32" t="str">
        <f>IF($P3081="","",$B3081/$P3081-1)</f>
        <v/>
      </c>
    </row>
    <row r="3082">
      <c r="A3082" s="11" t="n"/>
      <c r="B3082" s="29" t="n"/>
      <c r="K3082" s="30" t="str">
        <f>IF($A3082="","",EDATE($A3082,12*$E$4))</f>
        <v/>
      </c>
      <c r="L3082" s="19" t="str">
        <f>IF($K3082="","",IF($K3082&gt;MAX($A$8:$A$5007),"",IFERROR(MATCH($K3082,$A$8:$A$5007,1),"")))</f>
        <v/>
      </c>
      <c r="M3082" s="30" t="str">
        <f>IF($L3082="","",INDEX($A$8:$A$5007,$L3082))</f>
        <v/>
      </c>
      <c r="N3082" s="31" t="str">
        <f>IF($L3082="","",INDEX($B$8:$B$5007,$L3082))</f>
        <v/>
      </c>
      <c r="O3082" s="32" t="str">
        <f>IF($M3082="","",IF($K3082-$M3082&gt;7,"",IF($M3082&lt;=$A3082,"",IF(OR($B3082&lt;=0,$N3082&lt;=0),"",($N3082/$B3082)^(365/($M3082-$A3082))-1))))</f>
        <v/>
      </c>
      <c r="P3082" s="31" t="str">
        <f>IF($B3082="","",IF($P3081="",$B3082,MAX($P3081,$B3082)))</f>
        <v/>
      </c>
      <c r="Q3082" s="32" t="str">
        <f>IF($P3082="","",$B3082/$P3082-1)</f>
        <v/>
      </c>
    </row>
    <row r="3083">
      <c r="A3083" s="11" t="n"/>
      <c r="B3083" s="29" t="n"/>
      <c r="K3083" s="30" t="str">
        <f>IF($A3083="","",EDATE($A3083,12*$E$4))</f>
        <v/>
      </c>
      <c r="L3083" s="19" t="str">
        <f>IF($K3083="","",IF($K3083&gt;MAX($A$8:$A$5007),"",IFERROR(MATCH($K3083,$A$8:$A$5007,1),"")))</f>
        <v/>
      </c>
      <c r="M3083" s="30" t="str">
        <f>IF($L3083="","",INDEX($A$8:$A$5007,$L3083))</f>
        <v/>
      </c>
      <c r="N3083" s="31" t="str">
        <f>IF($L3083="","",INDEX($B$8:$B$5007,$L3083))</f>
        <v/>
      </c>
      <c r="O3083" s="32" t="str">
        <f>IF($M3083="","",IF($K3083-$M3083&gt;7,"",IF($M3083&lt;=$A3083,"",IF(OR($B3083&lt;=0,$N3083&lt;=0),"",($N3083/$B3083)^(365/($M3083-$A3083))-1))))</f>
        <v/>
      </c>
      <c r="P3083" s="31" t="str">
        <f>IF($B3083="","",IF($P3082="",$B3083,MAX($P3082,$B3083)))</f>
        <v/>
      </c>
      <c r="Q3083" s="32" t="str">
        <f>IF($P3083="","",$B3083/$P3083-1)</f>
        <v/>
      </c>
    </row>
    <row r="3084">
      <c r="A3084" s="11" t="n"/>
      <c r="B3084" s="29" t="n"/>
      <c r="K3084" s="30" t="str">
        <f>IF($A3084="","",EDATE($A3084,12*$E$4))</f>
        <v/>
      </c>
      <c r="L3084" s="19" t="str">
        <f>IF($K3084="","",IF($K3084&gt;MAX($A$8:$A$5007),"",IFERROR(MATCH($K3084,$A$8:$A$5007,1),"")))</f>
        <v/>
      </c>
      <c r="M3084" s="30" t="str">
        <f>IF($L3084="","",INDEX($A$8:$A$5007,$L3084))</f>
        <v/>
      </c>
      <c r="N3084" s="31" t="str">
        <f>IF($L3084="","",INDEX($B$8:$B$5007,$L3084))</f>
        <v/>
      </c>
      <c r="O3084" s="32" t="str">
        <f>IF($M3084="","",IF($K3084-$M3084&gt;7,"",IF($M3084&lt;=$A3084,"",IF(OR($B3084&lt;=0,$N3084&lt;=0),"",($N3084/$B3084)^(365/($M3084-$A3084))-1))))</f>
        <v/>
      </c>
      <c r="P3084" s="31" t="str">
        <f>IF($B3084="","",IF($P3083="",$B3084,MAX($P3083,$B3084)))</f>
        <v/>
      </c>
      <c r="Q3084" s="32" t="str">
        <f>IF($P3084="","",$B3084/$P3084-1)</f>
        <v/>
      </c>
    </row>
    <row r="3085">
      <c r="A3085" s="11" t="n"/>
      <c r="B3085" s="29" t="n"/>
      <c r="K3085" s="30" t="str">
        <f>IF($A3085="","",EDATE($A3085,12*$E$4))</f>
        <v/>
      </c>
      <c r="L3085" s="19" t="str">
        <f>IF($K3085="","",IF($K3085&gt;MAX($A$8:$A$5007),"",IFERROR(MATCH($K3085,$A$8:$A$5007,1),"")))</f>
        <v/>
      </c>
      <c r="M3085" s="30" t="str">
        <f>IF($L3085="","",INDEX($A$8:$A$5007,$L3085))</f>
        <v/>
      </c>
      <c r="N3085" s="31" t="str">
        <f>IF($L3085="","",INDEX($B$8:$B$5007,$L3085))</f>
        <v/>
      </c>
      <c r="O3085" s="32" t="str">
        <f>IF($M3085="","",IF($K3085-$M3085&gt;7,"",IF($M3085&lt;=$A3085,"",IF(OR($B3085&lt;=0,$N3085&lt;=0),"",($N3085/$B3085)^(365/($M3085-$A3085))-1))))</f>
        <v/>
      </c>
      <c r="P3085" s="31" t="str">
        <f>IF($B3085="","",IF($P3084="",$B3085,MAX($P3084,$B3085)))</f>
        <v/>
      </c>
      <c r="Q3085" s="32" t="str">
        <f>IF($P3085="","",$B3085/$P3085-1)</f>
        <v/>
      </c>
    </row>
    <row r="3086">
      <c r="A3086" s="11" t="n"/>
      <c r="B3086" s="29" t="n"/>
      <c r="K3086" s="30" t="str">
        <f>IF($A3086="","",EDATE($A3086,12*$E$4))</f>
        <v/>
      </c>
      <c r="L3086" s="19" t="str">
        <f>IF($K3086="","",IF($K3086&gt;MAX($A$8:$A$5007),"",IFERROR(MATCH($K3086,$A$8:$A$5007,1),"")))</f>
        <v/>
      </c>
      <c r="M3086" s="30" t="str">
        <f>IF($L3086="","",INDEX($A$8:$A$5007,$L3086))</f>
        <v/>
      </c>
      <c r="N3086" s="31" t="str">
        <f>IF($L3086="","",INDEX($B$8:$B$5007,$L3086))</f>
        <v/>
      </c>
      <c r="O3086" s="32" t="str">
        <f>IF($M3086="","",IF($K3086-$M3086&gt;7,"",IF($M3086&lt;=$A3086,"",IF(OR($B3086&lt;=0,$N3086&lt;=0),"",($N3086/$B3086)^(365/($M3086-$A3086))-1))))</f>
        <v/>
      </c>
      <c r="P3086" s="31" t="str">
        <f>IF($B3086="","",IF($P3085="",$B3086,MAX($P3085,$B3086)))</f>
        <v/>
      </c>
      <c r="Q3086" s="32" t="str">
        <f>IF($P3086="","",$B3086/$P3086-1)</f>
        <v/>
      </c>
    </row>
    <row r="3087">
      <c r="A3087" s="11" t="n"/>
      <c r="B3087" s="29" t="n"/>
      <c r="K3087" s="30" t="str">
        <f>IF($A3087="","",EDATE($A3087,12*$E$4))</f>
        <v/>
      </c>
      <c r="L3087" s="19" t="str">
        <f>IF($K3087="","",IF($K3087&gt;MAX($A$8:$A$5007),"",IFERROR(MATCH($K3087,$A$8:$A$5007,1),"")))</f>
        <v/>
      </c>
      <c r="M3087" s="30" t="str">
        <f>IF($L3087="","",INDEX($A$8:$A$5007,$L3087))</f>
        <v/>
      </c>
      <c r="N3087" s="31" t="str">
        <f>IF($L3087="","",INDEX($B$8:$B$5007,$L3087))</f>
        <v/>
      </c>
      <c r="O3087" s="32" t="str">
        <f>IF($M3087="","",IF($K3087-$M3087&gt;7,"",IF($M3087&lt;=$A3087,"",IF(OR($B3087&lt;=0,$N3087&lt;=0),"",($N3087/$B3087)^(365/($M3087-$A3087))-1))))</f>
        <v/>
      </c>
      <c r="P3087" s="31" t="str">
        <f>IF($B3087="","",IF($P3086="",$B3087,MAX($P3086,$B3087)))</f>
        <v/>
      </c>
      <c r="Q3087" s="32" t="str">
        <f>IF($P3087="","",$B3087/$P3087-1)</f>
        <v/>
      </c>
    </row>
    <row r="3088">
      <c r="A3088" s="11" t="n"/>
      <c r="B3088" s="29" t="n"/>
      <c r="K3088" s="30" t="str">
        <f>IF($A3088="","",EDATE($A3088,12*$E$4))</f>
        <v/>
      </c>
      <c r="L3088" s="19" t="str">
        <f>IF($K3088="","",IF($K3088&gt;MAX($A$8:$A$5007),"",IFERROR(MATCH($K3088,$A$8:$A$5007,1),"")))</f>
        <v/>
      </c>
      <c r="M3088" s="30" t="str">
        <f>IF($L3088="","",INDEX($A$8:$A$5007,$L3088))</f>
        <v/>
      </c>
      <c r="N3088" s="31" t="str">
        <f>IF($L3088="","",INDEX($B$8:$B$5007,$L3088))</f>
        <v/>
      </c>
      <c r="O3088" s="32" t="str">
        <f>IF($M3088="","",IF($K3088-$M3088&gt;7,"",IF($M3088&lt;=$A3088,"",IF(OR($B3088&lt;=0,$N3088&lt;=0),"",($N3088/$B3088)^(365/($M3088-$A3088))-1))))</f>
        <v/>
      </c>
      <c r="P3088" s="31" t="str">
        <f>IF($B3088="","",IF($P3087="",$B3088,MAX($P3087,$B3088)))</f>
        <v/>
      </c>
      <c r="Q3088" s="32" t="str">
        <f>IF($P3088="","",$B3088/$P3088-1)</f>
        <v/>
      </c>
    </row>
    <row r="3089">
      <c r="A3089" s="11" t="n"/>
      <c r="B3089" s="29" t="n"/>
      <c r="K3089" s="30" t="str">
        <f>IF($A3089="","",EDATE($A3089,12*$E$4))</f>
        <v/>
      </c>
      <c r="L3089" s="19" t="str">
        <f>IF($K3089="","",IF($K3089&gt;MAX($A$8:$A$5007),"",IFERROR(MATCH($K3089,$A$8:$A$5007,1),"")))</f>
        <v/>
      </c>
      <c r="M3089" s="30" t="str">
        <f>IF($L3089="","",INDEX($A$8:$A$5007,$L3089))</f>
        <v/>
      </c>
      <c r="N3089" s="31" t="str">
        <f>IF($L3089="","",INDEX($B$8:$B$5007,$L3089))</f>
        <v/>
      </c>
      <c r="O3089" s="32" t="str">
        <f>IF($M3089="","",IF($K3089-$M3089&gt;7,"",IF($M3089&lt;=$A3089,"",IF(OR($B3089&lt;=0,$N3089&lt;=0),"",($N3089/$B3089)^(365/($M3089-$A3089))-1))))</f>
        <v/>
      </c>
      <c r="P3089" s="31" t="str">
        <f>IF($B3089="","",IF($P3088="",$B3089,MAX($P3088,$B3089)))</f>
        <v/>
      </c>
      <c r="Q3089" s="32" t="str">
        <f>IF($P3089="","",$B3089/$P3089-1)</f>
        <v/>
      </c>
    </row>
    <row r="3090">
      <c r="A3090" s="11" t="n"/>
      <c r="B3090" s="29" t="n"/>
      <c r="K3090" s="30" t="str">
        <f>IF($A3090="","",EDATE($A3090,12*$E$4))</f>
        <v/>
      </c>
      <c r="L3090" s="19" t="str">
        <f>IF($K3090="","",IF($K3090&gt;MAX($A$8:$A$5007),"",IFERROR(MATCH($K3090,$A$8:$A$5007,1),"")))</f>
        <v/>
      </c>
      <c r="M3090" s="30" t="str">
        <f>IF($L3090="","",INDEX($A$8:$A$5007,$L3090))</f>
        <v/>
      </c>
      <c r="N3090" s="31" t="str">
        <f>IF($L3090="","",INDEX($B$8:$B$5007,$L3090))</f>
        <v/>
      </c>
      <c r="O3090" s="32" t="str">
        <f>IF($M3090="","",IF($K3090-$M3090&gt;7,"",IF($M3090&lt;=$A3090,"",IF(OR($B3090&lt;=0,$N3090&lt;=0),"",($N3090/$B3090)^(365/($M3090-$A3090))-1))))</f>
        <v/>
      </c>
      <c r="P3090" s="31" t="str">
        <f>IF($B3090="","",IF($P3089="",$B3090,MAX($P3089,$B3090)))</f>
        <v/>
      </c>
      <c r="Q3090" s="32" t="str">
        <f>IF($P3090="","",$B3090/$P3090-1)</f>
        <v/>
      </c>
    </row>
    <row r="3091">
      <c r="A3091" s="11" t="n"/>
      <c r="B3091" s="29" t="n"/>
      <c r="K3091" s="30" t="str">
        <f>IF($A3091="","",EDATE($A3091,12*$E$4))</f>
        <v/>
      </c>
      <c r="L3091" s="19" t="str">
        <f>IF($K3091="","",IF($K3091&gt;MAX($A$8:$A$5007),"",IFERROR(MATCH($K3091,$A$8:$A$5007,1),"")))</f>
        <v/>
      </c>
      <c r="M3091" s="30" t="str">
        <f>IF($L3091="","",INDEX($A$8:$A$5007,$L3091))</f>
        <v/>
      </c>
      <c r="N3091" s="31" t="str">
        <f>IF($L3091="","",INDEX($B$8:$B$5007,$L3091))</f>
        <v/>
      </c>
      <c r="O3091" s="32" t="str">
        <f>IF($M3091="","",IF($K3091-$M3091&gt;7,"",IF($M3091&lt;=$A3091,"",IF(OR($B3091&lt;=0,$N3091&lt;=0),"",($N3091/$B3091)^(365/($M3091-$A3091))-1))))</f>
        <v/>
      </c>
      <c r="P3091" s="31" t="str">
        <f>IF($B3091="","",IF($P3090="",$B3091,MAX($P3090,$B3091)))</f>
        <v/>
      </c>
      <c r="Q3091" s="32" t="str">
        <f>IF($P3091="","",$B3091/$P3091-1)</f>
        <v/>
      </c>
    </row>
    <row r="3092">
      <c r="A3092" s="11" t="n"/>
      <c r="B3092" s="29" t="n"/>
      <c r="K3092" s="30" t="str">
        <f>IF($A3092="","",EDATE($A3092,12*$E$4))</f>
        <v/>
      </c>
      <c r="L3092" s="19" t="str">
        <f>IF($K3092="","",IF($K3092&gt;MAX($A$8:$A$5007),"",IFERROR(MATCH($K3092,$A$8:$A$5007,1),"")))</f>
        <v/>
      </c>
      <c r="M3092" s="30" t="str">
        <f>IF($L3092="","",INDEX($A$8:$A$5007,$L3092))</f>
        <v/>
      </c>
      <c r="N3092" s="31" t="str">
        <f>IF($L3092="","",INDEX($B$8:$B$5007,$L3092))</f>
        <v/>
      </c>
      <c r="O3092" s="32" t="str">
        <f>IF($M3092="","",IF($K3092-$M3092&gt;7,"",IF($M3092&lt;=$A3092,"",IF(OR($B3092&lt;=0,$N3092&lt;=0),"",($N3092/$B3092)^(365/($M3092-$A3092))-1))))</f>
        <v/>
      </c>
      <c r="P3092" s="31" t="str">
        <f>IF($B3092="","",IF($P3091="",$B3092,MAX($P3091,$B3092)))</f>
        <v/>
      </c>
      <c r="Q3092" s="32" t="str">
        <f>IF($P3092="","",$B3092/$P3092-1)</f>
        <v/>
      </c>
    </row>
    <row r="3093">
      <c r="A3093" s="11" t="n"/>
      <c r="B3093" s="29" t="n"/>
      <c r="K3093" s="30" t="str">
        <f>IF($A3093="","",EDATE($A3093,12*$E$4))</f>
        <v/>
      </c>
      <c r="L3093" s="19" t="str">
        <f>IF($K3093="","",IF($K3093&gt;MAX($A$8:$A$5007),"",IFERROR(MATCH($K3093,$A$8:$A$5007,1),"")))</f>
        <v/>
      </c>
      <c r="M3093" s="30" t="str">
        <f>IF($L3093="","",INDEX($A$8:$A$5007,$L3093))</f>
        <v/>
      </c>
      <c r="N3093" s="31" t="str">
        <f>IF($L3093="","",INDEX($B$8:$B$5007,$L3093))</f>
        <v/>
      </c>
      <c r="O3093" s="32" t="str">
        <f>IF($M3093="","",IF($K3093-$M3093&gt;7,"",IF($M3093&lt;=$A3093,"",IF(OR($B3093&lt;=0,$N3093&lt;=0),"",($N3093/$B3093)^(365/($M3093-$A3093))-1))))</f>
        <v/>
      </c>
      <c r="P3093" s="31" t="str">
        <f>IF($B3093="","",IF($P3092="",$B3093,MAX($P3092,$B3093)))</f>
        <v/>
      </c>
      <c r="Q3093" s="32" t="str">
        <f>IF($P3093="","",$B3093/$P3093-1)</f>
        <v/>
      </c>
    </row>
    <row r="3094">
      <c r="A3094" s="11" t="n"/>
      <c r="B3094" s="29" t="n"/>
      <c r="K3094" s="30" t="str">
        <f>IF($A3094="","",EDATE($A3094,12*$E$4))</f>
        <v/>
      </c>
      <c r="L3094" s="19" t="str">
        <f>IF($K3094="","",IF($K3094&gt;MAX($A$8:$A$5007),"",IFERROR(MATCH($K3094,$A$8:$A$5007,1),"")))</f>
        <v/>
      </c>
      <c r="M3094" s="30" t="str">
        <f>IF($L3094="","",INDEX($A$8:$A$5007,$L3094))</f>
        <v/>
      </c>
      <c r="N3094" s="31" t="str">
        <f>IF($L3094="","",INDEX($B$8:$B$5007,$L3094))</f>
        <v/>
      </c>
      <c r="O3094" s="32" t="str">
        <f>IF($M3094="","",IF($K3094-$M3094&gt;7,"",IF($M3094&lt;=$A3094,"",IF(OR($B3094&lt;=0,$N3094&lt;=0),"",($N3094/$B3094)^(365/($M3094-$A3094))-1))))</f>
        <v/>
      </c>
      <c r="P3094" s="31" t="str">
        <f>IF($B3094="","",IF($P3093="",$B3094,MAX($P3093,$B3094)))</f>
        <v/>
      </c>
      <c r="Q3094" s="32" t="str">
        <f>IF($P3094="","",$B3094/$P3094-1)</f>
        <v/>
      </c>
    </row>
    <row r="3095">
      <c r="A3095" s="11" t="n"/>
      <c r="B3095" s="29" t="n"/>
      <c r="K3095" s="30" t="str">
        <f>IF($A3095="","",EDATE($A3095,12*$E$4))</f>
        <v/>
      </c>
      <c r="L3095" s="19" t="str">
        <f>IF($K3095="","",IF($K3095&gt;MAX($A$8:$A$5007),"",IFERROR(MATCH($K3095,$A$8:$A$5007,1),"")))</f>
        <v/>
      </c>
      <c r="M3095" s="30" t="str">
        <f>IF($L3095="","",INDEX($A$8:$A$5007,$L3095))</f>
        <v/>
      </c>
      <c r="N3095" s="31" t="str">
        <f>IF($L3095="","",INDEX($B$8:$B$5007,$L3095))</f>
        <v/>
      </c>
      <c r="O3095" s="32" t="str">
        <f>IF($M3095="","",IF($K3095-$M3095&gt;7,"",IF($M3095&lt;=$A3095,"",IF(OR($B3095&lt;=0,$N3095&lt;=0),"",($N3095/$B3095)^(365/($M3095-$A3095))-1))))</f>
        <v/>
      </c>
      <c r="P3095" s="31" t="str">
        <f>IF($B3095="","",IF($P3094="",$B3095,MAX($P3094,$B3095)))</f>
        <v/>
      </c>
      <c r="Q3095" s="32" t="str">
        <f>IF($P3095="","",$B3095/$P3095-1)</f>
        <v/>
      </c>
    </row>
    <row r="3096">
      <c r="A3096" s="11" t="n"/>
      <c r="B3096" s="29" t="n"/>
      <c r="K3096" s="30" t="str">
        <f>IF($A3096="","",EDATE($A3096,12*$E$4))</f>
        <v/>
      </c>
      <c r="L3096" s="19" t="str">
        <f>IF($K3096="","",IF($K3096&gt;MAX($A$8:$A$5007),"",IFERROR(MATCH($K3096,$A$8:$A$5007,1),"")))</f>
        <v/>
      </c>
      <c r="M3096" s="30" t="str">
        <f>IF($L3096="","",INDEX($A$8:$A$5007,$L3096))</f>
        <v/>
      </c>
      <c r="N3096" s="31" t="str">
        <f>IF($L3096="","",INDEX($B$8:$B$5007,$L3096))</f>
        <v/>
      </c>
      <c r="O3096" s="32" t="str">
        <f>IF($M3096="","",IF($K3096-$M3096&gt;7,"",IF($M3096&lt;=$A3096,"",IF(OR($B3096&lt;=0,$N3096&lt;=0),"",($N3096/$B3096)^(365/($M3096-$A3096))-1))))</f>
        <v/>
      </c>
      <c r="P3096" s="31" t="str">
        <f>IF($B3096="","",IF($P3095="",$B3096,MAX($P3095,$B3096)))</f>
        <v/>
      </c>
      <c r="Q3096" s="32" t="str">
        <f>IF($P3096="","",$B3096/$P3096-1)</f>
        <v/>
      </c>
    </row>
    <row r="3097">
      <c r="A3097" s="11" t="n"/>
      <c r="B3097" s="29" t="n"/>
      <c r="K3097" s="30" t="str">
        <f>IF($A3097="","",EDATE($A3097,12*$E$4))</f>
        <v/>
      </c>
      <c r="L3097" s="19" t="str">
        <f>IF($K3097="","",IF($K3097&gt;MAX($A$8:$A$5007),"",IFERROR(MATCH($K3097,$A$8:$A$5007,1),"")))</f>
        <v/>
      </c>
      <c r="M3097" s="30" t="str">
        <f>IF($L3097="","",INDEX($A$8:$A$5007,$L3097))</f>
        <v/>
      </c>
      <c r="N3097" s="31" t="str">
        <f>IF($L3097="","",INDEX($B$8:$B$5007,$L3097))</f>
        <v/>
      </c>
      <c r="O3097" s="32" t="str">
        <f>IF($M3097="","",IF($K3097-$M3097&gt;7,"",IF($M3097&lt;=$A3097,"",IF(OR($B3097&lt;=0,$N3097&lt;=0),"",($N3097/$B3097)^(365/($M3097-$A3097))-1))))</f>
        <v/>
      </c>
      <c r="P3097" s="31" t="str">
        <f>IF($B3097="","",IF($P3096="",$B3097,MAX($P3096,$B3097)))</f>
        <v/>
      </c>
      <c r="Q3097" s="32" t="str">
        <f>IF($P3097="","",$B3097/$P3097-1)</f>
        <v/>
      </c>
    </row>
    <row r="3098">
      <c r="A3098" s="11" t="n"/>
      <c r="B3098" s="29" t="n"/>
      <c r="K3098" s="30" t="str">
        <f>IF($A3098="","",EDATE($A3098,12*$E$4))</f>
        <v/>
      </c>
      <c r="L3098" s="19" t="str">
        <f>IF($K3098="","",IF($K3098&gt;MAX($A$8:$A$5007),"",IFERROR(MATCH($K3098,$A$8:$A$5007,1),"")))</f>
        <v/>
      </c>
      <c r="M3098" s="30" t="str">
        <f>IF($L3098="","",INDEX($A$8:$A$5007,$L3098))</f>
        <v/>
      </c>
      <c r="N3098" s="31" t="str">
        <f>IF($L3098="","",INDEX($B$8:$B$5007,$L3098))</f>
        <v/>
      </c>
      <c r="O3098" s="32" t="str">
        <f>IF($M3098="","",IF($K3098-$M3098&gt;7,"",IF($M3098&lt;=$A3098,"",IF(OR($B3098&lt;=0,$N3098&lt;=0),"",($N3098/$B3098)^(365/($M3098-$A3098))-1))))</f>
        <v/>
      </c>
      <c r="P3098" s="31" t="str">
        <f>IF($B3098="","",IF($P3097="",$B3098,MAX($P3097,$B3098)))</f>
        <v/>
      </c>
      <c r="Q3098" s="32" t="str">
        <f>IF($P3098="","",$B3098/$P3098-1)</f>
        <v/>
      </c>
    </row>
    <row r="3099">
      <c r="A3099" s="11" t="n"/>
      <c r="B3099" s="29" t="n"/>
      <c r="K3099" s="30" t="str">
        <f>IF($A3099="","",EDATE($A3099,12*$E$4))</f>
        <v/>
      </c>
      <c r="L3099" s="19" t="str">
        <f>IF($K3099="","",IF($K3099&gt;MAX($A$8:$A$5007),"",IFERROR(MATCH($K3099,$A$8:$A$5007,1),"")))</f>
        <v/>
      </c>
      <c r="M3099" s="30" t="str">
        <f>IF($L3099="","",INDEX($A$8:$A$5007,$L3099))</f>
        <v/>
      </c>
      <c r="N3099" s="31" t="str">
        <f>IF($L3099="","",INDEX($B$8:$B$5007,$L3099))</f>
        <v/>
      </c>
      <c r="O3099" s="32" t="str">
        <f>IF($M3099="","",IF($K3099-$M3099&gt;7,"",IF($M3099&lt;=$A3099,"",IF(OR($B3099&lt;=0,$N3099&lt;=0),"",($N3099/$B3099)^(365/($M3099-$A3099))-1))))</f>
        <v/>
      </c>
      <c r="P3099" s="31" t="str">
        <f>IF($B3099="","",IF($P3098="",$B3099,MAX($P3098,$B3099)))</f>
        <v/>
      </c>
      <c r="Q3099" s="32" t="str">
        <f>IF($P3099="","",$B3099/$P3099-1)</f>
        <v/>
      </c>
    </row>
    <row r="3100">
      <c r="A3100" s="11" t="n"/>
      <c r="B3100" s="29" t="n"/>
      <c r="K3100" s="30" t="str">
        <f>IF($A3100="","",EDATE($A3100,12*$E$4))</f>
        <v/>
      </c>
      <c r="L3100" s="19" t="str">
        <f>IF($K3100="","",IF($K3100&gt;MAX($A$8:$A$5007),"",IFERROR(MATCH($K3100,$A$8:$A$5007,1),"")))</f>
        <v/>
      </c>
      <c r="M3100" s="30" t="str">
        <f>IF($L3100="","",INDEX($A$8:$A$5007,$L3100))</f>
        <v/>
      </c>
      <c r="N3100" s="31" t="str">
        <f>IF($L3100="","",INDEX($B$8:$B$5007,$L3100))</f>
        <v/>
      </c>
      <c r="O3100" s="32" t="str">
        <f>IF($M3100="","",IF($K3100-$M3100&gt;7,"",IF($M3100&lt;=$A3100,"",IF(OR($B3100&lt;=0,$N3100&lt;=0),"",($N3100/$B3100)^(365/($M3100-$A3100))-1))))</f>
        <v/>
      </c>
      <c r="P3100" s="31" t="str">
        <f>IF($B3100="","",IF($P3099="",$B3100,MAX($P3099,$B3100)))</f>
        <v/>
      </c>
      <c r="Q3100" s="32" t="str">
        <f>IF($P3100="","",$B3100/$P3100-1)</f>
        <v/>
      </c>
    </row>
    <row r="3101">
      <c r="A3101" s="11" t="n"/>
      <c r="B3101" s="29" t="n"/>
      <c r="K3101" s="30" t="str">
        <f>IF($A3101="","",EDATE($A3101,12*$E$4))</f>
        <v/>
      </c>
      <c r="L3101" s="19" t="str">
        <f>IF($K3101="","",IF($K3101&gt;MAX($A$8:$A$5007),"",IFERROR(MATCH($K3101,$A$8:$A$5007,1),"")))</f>
        <v/>
      </c>
      <c r="M3101" s="30" t="str">
        <f>IF($L3101="","",INDEX($A$8:$A$5007,$L3101))</f>
        <v/>
      </c>
      <c r="N3101" s="31" t="str">
        <f>IF($L3101="","",INDEX($B$8:$B$5007,$L3101))</f>
        <v/>
      </c>
      <c r="O3101" s="32" t="str">
        <f>IF($M3101="","",IF($K3101-$M3101&gt;7,"",IF($M3101&lt;=$A3101,"",IF(OR($B3101&lt;=0,$N3101&lt;=0),"",($N3101/$B3101)^(365/($M3101-$A3101))-1))))</f>
        <v/>
      </c>
      <c r="P3101" s="31" t="str">
        <f>IF($B3101="","",IF($P3100="",$B3101,MAX($P3100,$B3101)))</f>
        <v/>
      </c>
      <c r="Q3101" s="32" t="str">
        <f>IF($P3101="","",$B3101/$P3101-1)</f>
        <v/>
      </c>
    </row>
    <row r="3102">
      <c r="A3102" s="11" t="n"/>
      <c r="B3102" s="29" t="n"/>
      <c r="K3102" s="30" t="str">
        <f>IF($A3102="","",EDATE($A3102,12*$E$4))</f>
        <v/>
      </c>
      <c r="L3102" s="19" t="str">
        <f>IF($K3102="","",IF($K3102&gt;MAX($A$8:$A$5007),"",IFERROR(MATCH($K3102,$A$8:$A$5007,1),"")))</f>
        <v/>
      </c>
      <c r="M3102" s="30" t="str">
        <f>IF($L3102="","",INDEX($A$8:$A$5007,$L3102))</f>
        <v/>
      </c>
      <c r="N3102" s="31" t="str">
        <f>IF($L3102="","",INDEX($B$8:$B$5007,$L3102))</f>
        <v/>
      </c>
      <c r="O3102" s="32" t="str">
        <f>IF($M3102="","",IF($K3102-$M3102&gt;7,"",IF($M3102&lt;=$A3102,"",IF(OR($B3102&lt;=0,$N3102&lt;=0),"",($N3102/$B3102)^(365/($M3102-$A3102))-1))))</f>
        <v/>
      </c>
      <c r="P3102" s="31" t="str">
        <f>IF($B3102="","",IF($P3101="",$B3102,MAX($P3101,$B3102)))</f>
        <v/>
      </c>
      <c r="Q3102" s="32" t="str">
        <f>IF($P3102="","",$B3102/$P3102-1)</f>
        <v/>
      </c>
    </row>
    <row r="3103">
      <c r="A3103" s="11" t="n"/>
      <c r="B3103" s="29" t="n"/>
      <c r="K3103" s="30" t="str">
        <f>IF($A3103="","",EDATE($A3103,12*$E$4))</f>
        <v/>
      </c>
      <c r="L3103" s="19" t="str">
        <f>IF($K3103="","",IF($K3103&gt;MAX($A$8:$A$5007),"",IFERROR(MATCH($K3103,$A$8:$A$5007,1),"")))</f>
        <v/>
      </c>
      <c r="M3103" s="30" t="str">
        <f>IF($L3103="","",INDEX($A$8:$A$5007,$L3103))</f>
        <v/>
      </c>
      <c r="N3103" s="31" t="str">
        <f>IF($L3103="","",INDEX($B$8:$B$5007,$L3103))</f>
        <v/>
      </c>
      <c r="O3103" s="32" t="str">
        <f>IF($M3103="","",IF($K3103-$M3103&gt;7,"",IF($M3103&lt;=$A3103,"",IF(OR($B3103&lt;=0,$N3103&lt;=0),"",($N3103/$B3103)^(365/($M3103-$A3103))-1))))</f>
        <v/>
      </c>
      <c r="P3103" s="31" t="str">
        <f>IF($B3103="","",IF($P3102="",$B3103,MAX($P3102,$B3103)))</f>
        <v/>
      </c>
      <c r="Q3103" s="32" t="str">
        <f>IF($P3103="","",$B3103/$P3103-1)</f>
        <v/>
      </c>
    </row>
    <row r="3104">
      <c r="A3104" s="11" t="n"/>
      <c r="B3104" s="29" t="n"/>
      <c r="K3104" s="30" t="str">
        <f>IF($A3104="","",EDATE($A3104,12*$E$4))</f>
        <v/>
      </c>
      <c r="L3104" s="19" t="str">
        <f>IF($K3104="","",IF($K3104&gt;MAX($A$8:$A$5007),"",IFERROR(MATCH($K3104,$A$8:$A$5007,1),"")))</f>
        <v/>
      </c>
      <c r="M3104" s="30" t="str">
        <f>IF($L3104="","",INDEX($A$8:$A$5007,$L3104))</f>
        <v/>
      </c>
      <c r="N3104" s="31" t="str">
        <f>IF($L3104="","",INDEX($B$8:$B$5007,$L3104))</f>
        <v/>
      </c>
      <c r="O3104" s="32" t="str">
        <f>IF($M3104="","",IF($K3104-$M3104&gt;7,"",IF($M3104&lt;=$A3104,"",IF(OR($B3104&lt;=0,$N3104&lt;=0),"",($N3104/$B3104)^(365/($M3104-$A3104))-1))))</f>
        <v/>
      </c>
      <c r="P3104" s="31" t="str">
        <f>IF($B3104="","",IF($P3103="",$B3104,MAX($P3103,$B3104)))</f>
        <v/>
      </c>
      <c r="Q3104" s="32" t="str">
        <f>IF($P3104="","",$B3104/$P3104-1)</f>
        <v/>
      </c>
    </row>
    <row r="3105">
      <c r="A3105" s="11" t="n"/>
      <c r="B3105" s="29" t="n"/>
      <c r="K3105" s="30" t="str">
        <f>IF($A3105="","",EDATE($A3105,12*$E$4))</f>
        <v/>
      </c>
      <c r="L3105" s="19" t="str">
        <f>IF($K3105="","",IF($K3105&gt;MAX($A$8:$A$5007),"",IFERROR(MATCH($K3105,$A$8:$A$5007,1),"")))</f>
        <v/>
      </c>
      <c r="M3105" s="30" t="str">
        <f>IF($L3105="","",INDEX($A$8:$A$5007,$L3105))</f>
        <v/>
      </c>
      <c r="N3105" s="31" t="str">
        <f>IF($L3105="","",INDEX($B$8:$B$5007,$L3105))</f>
        <v/>
      </c>
      <c r="O3105" s="32" t="str">
        <f>IF($M3105="","",IF($K3105-$M3105&gt;7,"",IF($M3105&lt;=$A3105,"",IF(OR($B3105&lt;=0,$N3105&lt;=0),"",($N3105/$B3105)^(365/($M3105-$A3105))-1))))</f>
        <v/>
      </c>
      <c r="P3105" s="31" t="str">
        <f>IF($B3105="","",IF($P3104="",$B3105,MAX($P3104,$B3105)))</f>
        <v/>
      </c>
      <c r="Q3105" s="32" t="str">
        <f>IF($P3105="","",$B3105/$P3105-1)</f>
        <v/>
      </c>
    </row>
    <row r="3106">
      <c r="A3106" s="11" t="n"/>
      <c r="B3106" s="29" t="n"/>
      <c r="K3106" s="30" t="str">
        <f>IF($A3106="","",EDATE($A3106,12*$E$4))</f>
        <v/>
      </c>
      <c r="L3106" s="19" t="str">
        <f>IF($K3106="","",IF($K3106&gt;MAX($A$8:$A$5007),"",IFERROR(MATCH($K3106,$A$8:$A$5007,1),"")))</f>
        <v/>
      </c>
      <c r="M3106" s="30" t="str">
        <f>IF($L3106="","",INDEX($A$8:$A$5007,$L3106))</f>
        <v/>
      </c>
      <c r="N3106" s="31" t="str">
        <f>IF($L3106="","",INDEX($B$8:$B$5007,$L3106))</f>
        <v/>
      </c>
      <c r="O3106" s="32" t="str">
        <f>IF($M3106="","",IF($K3106-$M3106&gt;7,"",IF($M3106&lt;=$A3106,"",IF(OR($B3106&lt;=0,$N3106&lt;=0),"",($N3106/$B3106)^(365/($M3106-$A3106))-1))))</f>
        <v/>
      </c>
      <c r="P3106" s="31" t="str">
        <f>IF($B3106="","",IF($P3105="",$B3106,MAX($P3105,$B3106)))</f>
        <v/>
      </c>
      <c r="Q3106" s="32" t="str">
        <f>IF($P3106="","",$B3106/$P3106-1)</f>
        <v/>
      </c>
    </row>
    <row r="3107">
      <c r="A3107" s="11" t="n"/>
      <c r="B3107" s="29" t="n"/>
      <c r="K3107" s="30" t="str">
        <f>IF($A3107="","",EDATE($A3107,12*$E$4))</f>
        <v/>
      </c>
      <c r="L3107" s="19" t="str">
        <f>IF($K3107="","",IF($K3107&gt;MAX($A$8:$A$5007),"",IFERROR(MATCH($K3107,$A$8:$A$5007,1),"")))</f>
        <v/>
      </c>
      <c r="M3107" s="30" t="str">
        <f>IF($L3107="","",INDEX($A$8:$A$5007,$L3107))</f>
        <v/>
      </c>
      <c r="N3107" s="31" t="str">
        <f>IF($L3107="","",INDEX($B$8:$B$5007,$L3107))</f>
        <v/>
      </c>
      <c r="O3107" s="32" t="str">
        <f>IF($M3107="","",IF($K3107-$M3107&gt;7,"",IF($M3107&lt;=$A3107,"",IF(OR($B3107&lt;=0,$N3107&lt;=0),"",($N3107/$B3107)^(365/($M3107-$A3107))-1))))</f>
        <v/>
      </c>
      <c r="P3107" s="31" t="str">
        <f>IF($B3107="","",IF($P3106="",$B3107,MAX($P3106,$B3107)))</f>
        <v/>
      </c>
      <c r="Q3107" s="32" t="str">
        <f>IF($P3107="","",$B3107/$P3107-1)</f>
        <v/>
      </c>
    </row>
    <row r="3108">
      <c r="A3108" s="11" t="n"/>
      <c r="B3108" s="29" t="n"/>
      <c r="K3108" s="30" t="str">
        <f>IF($A3108="","",EDATE($A3108,12*$E$4))</f>
        <v/>
      </c>
      <c r="L3108" s="19" t="str">
        <f>IF($K3108="","",IF($K3108&gt;MAX($A$8:$A$5007),"",IFERROR(MATCH($K3108,$A$8:$A$5007,1),"")))</f>
        <v/>
      </c>
      <c r="M3108" s="30" t="str">
        <f>IF($L3108="","",INDEX($A$8:$A$5007,$L3108))</f>
        <v/>
      </c>
      <c r="N3108" s="31" t="str">
        <f>IF($L3108="","",INDEX($B$8:$B$5007,$L3108))</f>
        <v/>
      </c>
      <c r="O3108" s="32" t="str">
        <f>IF($M3108="","",IF($K3108-$M3108&gt;7,"",IF($M3108&lt;=$A3108,"",IF(OR($B3108&lt;=0,$N3108&lt;=0),"",($N3108/$B3108)^(365/($M3108-$A3108))-1))))</f>
        <v/>
      </c>
      <c r="P3108" s="31" t="str">
        <f>IF($B3108="","",IF($P3107="",$B3108,MAX($P3107,$B3108)))</f>
        <v/>
      </c>
      <c r="Q3108" s="32" t="str">
        <f>IF($P3108="","",$B3108/$P3108-1)</f>
        <v/>
      </c>
    </row>
    <row r="3109">
      <c r="A3109" s="11" t="n"/>
      <c r="B3109" s="29" t="n"/>
      <c r="K3109" s="30" t="str">
        <f>IF($A3109="","",EDATE($A3109,12*$E$4))</f>
        <v/>
      </c>
      <c r="L3109" s="19" t="str">
        <f>IF($K3109="","",IF($K3109&gt;MAX($A$8:$A$5007),"",IFERROR(MATCH($K3109,$A$8:$A$5007,1),"")))</f>
        <v/>
      </c>
      <c r="M3109" s="30" t="str">
        <f>IF($L3109="","",INDEX($A$8:$A$5007,$L3109))</f>
        <v/>
      </c>
      <c r="N3109" s="31" t="str">
        <f>IF($L3109="","",INDEX($B$8:$B$5007,$L3109))</f>
        <v/>
      </c>
      <c r="O3109" s="32" t="str">
        <f>IF($M3109="","",IF($K3109-$M3109&gt;7,"",IF($M3109&lt;=$A3109,"",IF(OR($B3109&lt;=0,$N3109&lt;=0),"",($N3109/$B3109)^(365/($M3109-$A3109))-1))))</f>
        <v/>
      </c>
      <c r="P3109" s="31" t="str">
        <f>IF($B3109="","",IF($P3108="",$B3109,MAX($P3108,$B3109)))</f>
        <v/>
      </c>
      <c r="Q3109" s="32" t="str">
        <f>IF($P3109="","",$B3109/$P3109-1)</f>
        <v/>
      </c>
    </row>
    <row r="3110">
      <c r="A3110" s="11" t="n"/>
      <c r="B3110" s="29" t="n"/>
      <c r="K3110" s="30" t="str">
        <f>IF($A3110="","",EDATE($A3110,12*$E$4))</f>
        <v/>
      </c>
      <c r="L3110" s="19" t="str">
        <f>IF($K3110="","",IF($K3110&gt;MAX($A$8:$A$5007),"",IFERROR(MATCH($K3110,$A$8:$A$5007,1),"")))</f>
        <v/>
      </c>
      <c r="M3110" s="30" t="str">
        <f>IF($L3110="","",INDEX($A$8:$A$5007,$L3110))</f>
        <v/>
      </c>
      <c r="N3110" s="31" t="str">
        <f>IF($L3110="","",INDEX($B$8:$B$5007,$L3110))</f>
        <v/>
      </c>
      <c r="O3110" s="32" t="str">
        <f>IF($M3110="","",IF($K3110-$M3110&gt;7,"",IF($M3110&lt;=$A3110,"",IF(OR($B3110&lt;=0,$N3110&lt;=0),"",($N3110/$B3110)^(365/($M3110-$A3110))-1))))</f>
        <v/>
      </c>
      <c r="P3110" s="31" t="str">
        <f>IF($B3110="","",IF($P3109="",$B3110,MAX($P3109,$B3110)))</f>
        <v/>
      </c>
      <c r="Q3110" s="32" t="str">
        <f>IF($P3110="","",$B3110/$P3110-1)</f>
        <v/>
      </c>
    </row>
    <row r="3111">
      <c r="A3111" s="11" t="n"/>
      <c r="B3111" s="29" t="n"/>
      <c r="K3111" s="30" t="str">
        <f>IF($A3111="","",EDATE($A3111,12*$E$4))</f>
        <v/>
      </c>
      <c r="L3111" s="19" t="str">
        <f>IF($K3111="","",IF($K3111&gt;MAX($A$8:$A$5007),"",IFERROR(MATCH($K3111,$A$8:$A$5007,1),"")))</f>
        <v/>
      </c>
      <c r="M3111" s="30" t="str">
        <f>IF($L3111="","",INDEX($A$8:$A$5007,$L3111))</f>
        <v/>
      </c>
      <c r="N3111" s="31" t="str">
        <f>IF($L3111="","",INDEX($B$8:$B$5007,$L3111))</f>
        <v/>
      </c>
      <c r="O3111" s="32" t="str">
        <f>IF($M3111="","",IF($K3111-$M3111&gt;7,"",IF($M3111&lt;=$A3111,"",IF(OR($B3111&lt;=0,$N3111&lt;=0),"",($N3111/$B3111)^(365/($M3111-$A3111))-1))))</f>
        <v/>
      </c>
      <c r="P3111" s="31" t="str">
        <f>IF($B3111="","",IF($P3110="",$B3111,MAX($P3110,$B3111)))</f>
        <v/>
      </c>
      <c r="Q3111" s="32" t="str">
        <f>IF($P3111="","",$B3111/$P3111-1)</f>
        <v/>
      </c>
    </row>
    <row r="3112">
      <c r="A3112" s="11" t="n"/>
      <c r="B3112" s="29" t="n"/>
      <c r="K3112" s="30" t="str">
        <f>IF($A3112="","",EDATE($A3112,12*$E$4))</f>
        <v/>
      </c>
      <c r="L3112" s="19" t="str">
        <f>IF($K3112="","",IF($K3112&gt;MAX($A$8:$A$5007),"",IFERROR(MATCH($K3112,$A$8:$A$5007,1),"")))</f>
        <v/>
      </c>
      <c r="M3112" s="30" t="str">
        <f>IF($L3112="","",INDEX($A$8:$A$5007,$L3112))</f>
        <v/>
      </c>
      <c r="N3112" s="31" t="str">
        <f>IF($L3112="","",INDEX($B$8:$B$5007,$L3112))</f>
        <v/>
      </c>
      <c r="O3112" s="32" t="str">
        <f>IF($M3112="","",IF($K3112-$M3112&gt;7,"",IF($M3112&lt;=$A3112,"",IF(OR($B3112&lt;=0,$N3112&lt;=0),"",($N3112/$B3112)^(365/($M3112-$A3112))-1))))</f>
        <v/>
      </c>
      <c r="P3112" s="31" t="str">
        <f>IF($B3112="","",IF($P3111="",$B3112,MAX($P3111,$B3112)))</f>
        <v/>
      </c>
      <c r="Q3112" s="32" t="str">
        <f>IF($P3112="","",$B3112/$P3112-1)</f>
        <v/>
      </c>
    </row>
    <row r="3113">
      <c r="A3113" s="11" t="n"/>
      <c r="B3113" s="29" t="n"/>
      <c r="K3113" s="30" t="str">
        <f>IF($A3113="","",EDATE($A3113,12*$E$4))</f>
        <v/>
      </c>
      <c r="L3113" s="19" t="str">
        <f>IF($K3113="","",IF($K3113&gt;MAX($A$8:$A$5007),"",IFERROR(MATCH($K3113,$A$8:$A$5007,1),"")))</f>
        <v/>
      </c>
      <c r="M3113" s="30" t="str">
        <f>IF($L3113="","",INDEX($A$8:$A$5007,$L3113))</f>
        <v/>
      </c>
      <c r="N3113" s="31" t="str">
        <f>IF($L3113="","",INDEX($B$8:$B$5007,$L3113))</f>
        <v/>
      </c>
      <c r="O3113" s="32" t="str">
        <f>IF($M3113="","",IF($K3113-$M3113&gt;7,"",IF($M3113&lt;=$A3113,"",IF(OR($B3113&lt;=0,$N3113&lt;=0),"",($N3113/$B3113)^(365/($M3113-$A3113))-1))))</f>
        <v/>
      </c>
      <c r="P3113" s="31" t="str">
        <f>IF($B3113="","",IF($P3112="",$B3113,MAX($P3112,$B3113)))</f>
        <v/>
      </c>
      <c r="Q3113" s="32" t="str">
        <f>IF($P3113="","",$B3113/$P3113-1)</f>
        <v/>
      </c>
    </row>
    <row r="3114">
      <c r="A3114" s="11" t="n"/>
      <c r="B3114" s="29" t="n"/>
      <c r="K3114" s="30" t="str">
        <f>IF($A3114="","",EDATE($A3114,12*$E$4))</f>
        <v/>
      </c>
      <c r="L3114" s="19" t="str">
        <f>IF($K3114="","",IF($K3114&gt;MAX($A$8:$A$5007),"",IFERROR(MATCH($K3114,$A$8:$A$5007,1),"")))</f>
        <v/>
      </c>
      <c r="M3114" s="30" t="str">
        <f>IF($L3114="","",INDEX($A$8:$A$5007,$L3114))</f>
        <v/>
      </c>
      <c r="N3114" s="31" t="str">
        <f>IF($L3114="","",INDEX($B$8:$B$5007,$L3114))</f>
        <v/>
      </c>
      <c r="O3114" s="32" t="str">
        <f>IF($M3114="","",IF($K3114-$M3114&gt;7,"",IF($M3114&lt;=$A3114,"",IF(OR($B3114&lt;=0,$N3114&lt;=0),"",($N3114/$B3114)^(365/($M3114-$A3114))-1))))</f>
        <v/>
      </c>
      <c r="P3114" s="31" t="str">
        <f>IF($B3114="","",IF($P3113="",$B3114,MAX($P3113,$B3114)))</f>
        <v/>
      </c>
      <c r="Q3114" s="32" t="str">
        <f>IF($P3114="","",$B3114/$P3114-1)</f>
        <v/>
      </c>
    </row>
    <row r="3115">
      <c r="A3115" s="11" t="n"/>
      <c r="B3115" s="29" t="n"/>
      <c r="K3115" s="30" t="str">
        <f>IF($A3115="","",EDATE($A3115,12*$E$4))</f>
        <v/>
      </c>
      <c r="L3115" s="19" t="str">
        <f>IF($K3115="","",IF($K3115&gt;MAX($A$8:$A$5007),"",IFERROR(MATCH($K3115,$A$8:$A$5007,1),"")))</f>
        <v/>
      </c>
      <c r="M3115" s="30" t="str">
        <f>IF($L3115="","",INDEX($A$8:$A$5007,$L3115))</f>
        <v/>
      </c>
      <c r="N3115" s="31" t="str">
        <f>IF($L3115="","",INDEX($B$8:$B$5007,$L3115))</f>
        <v/>
      </c>
      <c r="O3115" s="32" t="str">
        <f>IF($M3115="","",IF($K3115-$M3115&gt;7,"",IF($M3115&lt;=$A3115,"",IF(OR($B3115&lt;=0,$N3115&lt;=0),"",($N3115/$B3115)^(365/($M3115-$A3115))-1))))</f>
        <v/>
      </c>
      <c r="P3115" s="31" t="str">
        <f>IF($B3115="","",IF($P3114="",$B3115,MAX($P3114,$B3115)))</f>
        <v/>
      </c>
      <c r="Q3115" s="32" t="str">
        <f>IF($P3115="","",$B3115/$P3115-1)</f>
        <v/>
      </c>
    </row>
    <row r="3116">
      <c r="A3116" s="11" t="n"/>
      <c r="B3116" s="29" t="n"/>
      <c r="K3116" s="30" t="str">
        <f>IF($A3116="","",EDATE($A3116,12*$E$4))</f>
        <v/>
      </c>
      <c r="L3116" s="19" t="str">
        <f>IF($K3116="","",IF($K3116&gt;MAX($A$8:$A$5007),"",IFERROR(MATCH($K3116,$A$8:$A$5007,1),"")))</f>
        <v/>
      </c>
      <c r="M3116" s="30" t="str">
        <f>IF($L3116="","",INDEX($A$8:$A$5007,$L3116))</f>
        <v/>
      </c>
      <c r="N3116" s="31" t="str">
        <f>IF($L3116="","",INDEX($B$8:$B$5007,$L3116))</f>
        <v/>
      </c>
      <c r="O3116" s="32" t="str">
        <f>IF($M3116="","",IF($K3116-$M3116&gt;7,"",IF($M3116&lt;=$A3116,"",IF(OR($B3116&lt;=0,$N3116&lt;=0),"",($N3116/$B3116)^(365/($M3116-$A3116))-1))))</f>
        <v/>
      </c>
      <c r="P3116" s="31" t="str">
        <f>IF($B3116="","",IF($P3115="",$B3116,MAX($P3115,$B3116)))</f>
        <v/>
      </c>
      <c r="Q3116" s="32" t="str">
        <f>IF($P3116="","",$B3116/$P3116-1)</f>
        <v/>
      </c>
    </row>
    <row r="3117">
      <c r="A3117" s="11" t="n"/>
      <c r="B3117" s="29" t="n"/>
      <c r="K3117" s="30" t="str">
        <f>IF($A3117="","",EDATE($A3117,12*$E$4))</f>
        <v/>
      </c>
      <c r="L3117" s="19" t="str">
        <f>IF($K3117="","",IF($K3117&gt;MAX($A$8:$A$5007),"",IFERROR(MATCH($K3117,$A$8:$A$5007,1),"")))</f>
        <v/>
      </c>
      <c r="M3117" s="30" t="str">
        <f>IF($L3117="","",INDEX($A$8:$A$5007,$L3117))</f>
        <v/>
      </c>
      <c r="N3117" s="31" t="str">
        <f>IF($L3117="","",INDEX($B$8:$B$5007,$L3117))</f>
        <v/>
      </c>
      <c r="O3117" s="32" t="str">
        <f>IF($M3117="","",IF($K3117-$M3117&gt;7,"",IF($M3117&lt;=$A3117,"",IF(OR($B3117&lt;=0,$N3117&lt;=0),"",($N3117/$B3117)^(365/($M3117-$A3117))-1))))</f>
        <v/>
      </c>
      <c r="P3117" s="31" t="str">
        <f>IF($B3117="","",IF($P3116="",$B3117,MAX($P3116,$B3117)))</f>
        <v/>
      </c>
      <c r="Q3117" s="32" t="str">
        <f>IF($P3117="","",$B3117/$P3117-1)</f>
        <v/>
      </c>
    </row>
    <row r="3118">
      <c r="A3118" s="11" t="n"/>
      <c r="B3118" s="29" t="n"/>
      <c r="K3118" s="30" t="str">
        <f>IF($A3118="","",EDATE($A3118,12*$E$4))</f>
        <v/>
      </c>
      <c r="L3118" s="19" t="str">
        <f>IF($K3118="","",IF($K3118&gt;MAX($A$8:$A$5007),"",IFERROR(MATCH($K3118,$A$8:$A$5007,1),"")))</f>
        <v/>
      </c>
      <c r="M3118" s="30" t="str">
        <f>IF($L3118="","",INDEX($A$8:$A$5007,$L3118))</f>
        <v/>
      </c>
      <c r="N3118" s="31" t="str">
        <f>IF($L3118="","",INDEX($B$8:$B$5007,$L3118))</f>
        <v/>
      </c>
      <c r="O3118" s="32" t="str">
        <f>IF($M3118="","",IF($K3118-$M3118&gt;7,"",IF($M3118&lt;=$A3118,"",IF(OR($B3118&lt;=0,$N3118&lt;=0),"",($N3118/$B3118)^(365/($M3118-$A3118))-1))))</f>
        <v/>
      </c>
      <c r="P3118" s="31" t="str">
        <f>IF($B3118="","",IF($P3117="",$B3118,MAX($P3117,$B3118)))</f>
        <v/>
      </c>
      <c r="Q3118" s="32" t="str">
        <f>IF($P3118="","",$B3118/$P3118-1)</f>
        <v/>
      </c>
    </row>
    <row r="3119">
      <c r="A3119" s="11" t="n"/>
      <c r="B3119" s="29" t="n"/>
      <c r="K3119" s="30" t="str">
        <f>IF($A3119="","",EDATE($A3119,12*$E$4))</f>
        <v/>
      </c>
      <c r="L3119" s="19" t="str">
        <f>IF($K3119="","",IF($K3119&gt;MAX($A$8:$A$5007),"",IFERROR(MATCH($K3119,$A$8:$A$5007,1),"")))</f>
        <v/>
      </c>
      <c r="M3119" s="30" t="str">
        <f>IF($L3119="","",INDEX($A$8:$A$5007,$L3119))</f>
        <v/>
      </c>
      <c r="N3119" s="31" t="str">
        <f>IF($L3119="","",INDEX($B$8:$B$5007,$L3119))</f>
        <v/>
      </c>
      <c r="O3119" s="32" t="str">
        <f>IF($M3119="","",IF($K3119-$M3119&gt;7,"",IF($M3119&lt;=$A3119,"",IF(OR($B3119&lt;=0,$N3119&lt;=0),"",($N3119/$B3119)^(365/($M3119-$A3119))-1))))</f>
        <v/>
      </c>
      <c r="P3119" s="31" t="str">
        <f>IF($B3119="","",IF($P3118="",$B3119,MAX($P3118,$B3119)))</f>
        <v/>
      </c>
      <c r="Q3119" s="32" t="str">
        <f>IF($P3119="","",$B3119/$P3119-1)</f>
        <v/>
      </c>
    </row>
    <row r="3120">
      <c r="A3120" s="11" t="n"/>
      <c r="B3120" s="29" t="n"/>
      <c r="K3120" s="30" t="str">
        <f>IF($A3120="","",EDATE($A3120,12*$E$4))</f>
        <v/>
      </c>
      <c r="L3120" s="19" t="str">
        <f>IF($K3120="","",IF($K3120&gt;MAX($A$8:$A$5007),"",IFERROR(MATCH($K3120,$A$8:$A$5007,1),"")))</f>
        <v/>
      </c>
      <c r="M3120" s="30" t="str">
        <f>IF($L3120="","",INDEX($A$8:$A$5007,$L3120))</f>
        <v/>
      </c>
      <c r="N3120" s="31" t="str">
        <f>IF($L3120="","",INDEX($B$8:$B$5007,$L3120))</f>
        <v/>
      </c>
      <c r="O3120" s="32" t="str">
        <f>IF($M3120="","",IF($K3120-$M3120&gt;7,"",IF($M3120&lt;=$A3120,"",IF(OR($B3120&lt;=0,$N3120&lt;=0),"",($N3120/$B3120)^(365/($M3120-$A3120))-1))))</f>
        <v/>
      </c>
      <c r="P3120" s="31" t="str">
        <f>IF($B3120="","",IF($P3119="",$B3120,MAX($P3119,$B3120)))</f>
        <v/>
      </c>
      <c r="Q3120" s="32" t="str">
        <f>IF($P3120="","",$B3120/$P3120-1)</f>
        <v/>
      </c>
    </row>
    <row r="3121">
      <c r="A3121" s="11" t="n"/>
      <c r="B3121" s="29" t="n"/>
      <c r="K3121" s="30" t="str">
        <f>IF($A3121="","",EDATE($A3121,12*$E$4))</f>
        <v/>
      </c>
      <c r="L3121" s="19" t="str">
        <f>IF($K3121="","",IF($K3121&gt;MAX($A$8:$A$5007),"",IFERROR(MATCH($K3121,$A$8:$A$5007,1),"")))</f>
        <v/>
      </c>
      <c r="M3121" s="30" t="str">
        <f>IF($L3121="","",INDEX($A$8:$A$5007,$L3121))</f>
        <v/>
      </c>
      <c r="N3121" s="31" t="str">
        <f>IF($L3121="","",INDEX($B$8:$B$5007,$L3121))</f>
        <v/>
      </c>
      <c r="O3121" s="32" t="str">
        <f>IF($M3121="","",IF($K3121-$M3121&gt;7,"",IF($M3121&lt;=$A3121,"",IF(OR($B3121&lt;=0,$N3121&lt;=0),"",($N3121/$B3121)^(365/($M3121-$A3121))-1))))</f>
        <v/>
      </c>
      <c r="P3121" s="31" t="str">
        <f>IF($B3121="","",IF($P3120="",$B3121,MAX($P3120,$B3121)))</f>
        <v/>
      </c>
      <c r="Q3121" s="32" t="str">
        <f>IF($P3121="","",$B3121/$P3121-1)</f>
        <v/>
      </c>
    </row>
    <row r="3122">
      <c r="A3122" s="11" t="n"/>
      <c r="B3122" s="29" t="n"/>
      <c r="K3122" s="30" t="str">
        <f>IF($A3122="","",EDATE($A3122,12*$E$4))</f>
        <v/>
      </c>
      <c r="L3122" s="19" t="str">
        <f>IF($K3122="","",IF($K3122&gt;MAX($A$8:$A$5007),"",IFERROR(MATCH($K3122,$A$8:$A$5007,1),"")))</f>
        <v/>
      </c>
      <c r="M3122" s="30" t="str">
        <f>IF($L3122="","",INDEX($A$8:$A$5007,$L3122))</f>
        <v/>
      </c>
      <c r="N3122" s="31" t="str">
        <f>IF($L3122="","",INDEX($B$8:$B$5007,$L3122))</f>
        <v/>
      </c>
      <c r="O3122" s="32" t="str">
        <f>IF($M3122="","",IF($K3122-$M3122&gt;7,"",IF($M3122&lt;=$A3122,"",IF(OR($B3122&lt;=0,$N3122&lt;=0),"",($N3122/$B3122)^(365/($M3122-$A3122))-1))))</f>
        <v/>
      </c>
      <c r="P3122" s="31" t="str">
        <f>IF($B3122="","",IF($P3121="",$B3122,MAX($P3121,$B3122)))</f>
        <v/>
      </c>
      <c r="Q3122" s="32" t="str">
        <f>IF($P3122="","",$B3122/$P3122-1)</f>
        <v/>
      </c>
    </row>
    <row r="3123">
      <c r="A3123" s="11" t="n"/>
      <c r="B3123" s="29" t="n"/>
      <c r="K3123" s="30" t="str">
        <f>IF($A3123="","",EDATE($A3123,12*$E$4))</f>
        <v/>
      </c>
      <c r="L3123" s="19" t="str">
        <f>IF($K3123="","",IF($K3123&gt;MAX($A$8:$A$5007),"",IFERROR(MATCH($K3123,$A$8:$A$5007,1),"")))</f>
        <v/>
      </c>
      <c r="M3123" s="30" t="str">
        <f>IF($L3123="","",INDEX($A$8:$A$5007,$L3123))</f>
        <v/>
      </c>
      <c r="N3123" s="31" t="str">
        <f>IF($L3123="","",INDEX($B$8:$B$5007,$L3123))</f>
        <v/>
      </c>
      <c r="O3123" s="32" t="str">
        <f>IF($M3123="","",IF($K3123-$M3123&gt;7,"",IF($M3123&lt;=$A3123,"",IF(OR($B3123&lt;=0,$N3123&lt;=0),"",($N3123/$B3123)^(365/($M3123-$A3123))-1))))</f>
        <v/>
      </c>
      <c r="P3123" s="31" t="str">
        <f>IF($B3123="","",IF($P3122="",$B3123,MAX($P3122,$B3123)))</f>
        <v/>
      </c>
      <c r="Q3123" s="32" t="str">
        <f>IF($P3123="","",$B3123/$P3123-1)</f>
        <v/>
      </c>
    </row>
    <row r="3124">
      <c r="A3124" s="11" t="n"/>
      <c r="B3124" s="29" t="n"/>
      <c r="K3124" s="30" t="str">
        <f>IF($A3124="","",EDATE($A3124,12*$E$4))</f>
        <v/>
      </c>
      <c r="L3124" s="19" t="str">
        <f>IF($K3124="","",IF($K3124&gt;MAX($A$8:$A$5007),"",IFERROR(MATCH($K3124,$A$8:$A$5007,1),"")))</f>
        <v/>
      </c>
      <c r="M3124" s="30" t="str">
        <f>IF($L3124="","",INDEX($A$8:$A$5007,$L3124))</f>
        <v/>
      </c>
      <c r="N3124" s="31" t="str">
        <f>IF($L3124="","",INDEX($B$8:$B$5007,$L3124))</f>
        <v/>
      </c>
      <c r="O3124" s="32" t="str">
        <f>IF($M3124="","",IF($K3124-$M3124&gt;7,"",IF($M3124&lt;=$A3124,"",IF(OR($B3124&lt;=0,$N3124&lt;=0),"",($N3124/$B3124)^(365/($M3124-$A3124))-1))))</f>
        <v/>
      </c>
      <c r="P3124" s="31" t="str">
        <f>IF($B3124="","",IF($P3123="",$B3124,MAX($P3123,$B3124)))</f>
        <v/>
      </c>
      <c r="Q3124" s="32" t="str">
        <f>IF($P3124="","",$B3124/$P3124-1)</f>
        <v/>
      </c>
    </row>
    <row r="3125">
      <c r="A3125" s="11" t="n"/>
      <c r="B3125" s="29" t="n"/>
      <c r="K3125" s="30" t="str">
        <f>IF($A3125="","",EDATE($A3125,12*$E$4))</f>
        <v/>
      </c>
      <c r="L3125" s="19" t="str">
        <f>IF($K3125="","",IF($K3125&gt;MAX($A$8:$A$5007),"",IFERROR(MATCH($K3125,$A$8:$A$5007,1),"")))</f>
        <v/>
      </c>
      <c r="M3125" s="30" t="str">
        <f>IF($L3125="","",INDEX($A$8:$A$5007,$L3125))</f>
        <v/>
      </c>
      <c r="N3125" s="31" t="str">
        <f>IF($L3125="","",INDEX($B$8:$B$5007,$L3125))</f>
        <v/>
      </c>
      <c r="O3125" s="32" t="str">
        <f>IF($M3125="","",IF($K3125-$M3125&gt;7,"",IF($M3125&lt;=$A3125,"",IF(OR($B3125&lt;=0,$N3125&lt;=0),"",($N3125/$B3125)^(365/($M3125-$A3125))-1))))</f>
        <v/>
      </c>
      <c r="P3125" s="31" t="str">
        <f>IF($B3125="","",IF($P3124="",$B3125,MAX($P3124,$B3125)))</f>
        <v/>
      </c>
      <c r="Q3125" s="32" t="str">
        <f>IF($P3125="","",$B3125/$P3125-1)</f>
        <v/>
      </c>
    </row>
    <row r="3126">
      <c r="A3126" s="11" t="n"/>
      <c r="B3126" s="29" t="n"/>
      <c r="K3126" s="30" t="str">
        <f>IF($A3126="","",EDATE($A3126,12*$E$4))</f>
        <v/>
      </c>
      <c r="L3126" s="19" t="str">
        <f>IF($K3126="","",IF($K3126&gt;MAX($A$8:$A$5007),"",IFERROR(MATCH($K3126,$A$8:$A$5007,1),"")))</f>
        <v/>
      </c>
      <c r="M3126" s="30" t="str">
        <f>IF($L3126="","",INDEX($A$8:$A$5007,$L3126))</f>
        <v/>
      </c>
      <c r="N3126" s="31" t="str">
        <f>IF($L3126="","",INDEX($B$8:$B$5007,$L3126))</f>
        <v/>
      </c>
      <c r="O3126" s="32" t="str">
        <f>IF($M3126="","",IF($K3126-$M3126&gt;7,"",IF($M3126&lt;=$A3126,"",IF(OR($B3126&lt;=0,$N3126&lt;=0),"",($N3126/$B3126)^(365/($M3126-$A3126))-1))))</f>
        <v/>
      </c>
      <c r="P3126" s="31" t="str">
        <f>IF($B3126="","",IF($P3125="",$B3126,MAX($P3125,$B3126)))</f>
        <v/>
      </c>
      <c r="Q3126" s="32" t="str">
        <f>IF($P3126="","",$B3126/$P3126-1)</f>
        <v/>
      </c>
    </row>
    <row r="3127">
      <c r="A3127" s="11" t="n"/>
      <c r="B3127" s="29" t="n"/>
      <c r="K3127" s="30" t="str">
        <f>IF($A3127="","",EDATE($A3127,12*$E$4))</f>
        <v/>
      </c>
      <c r="L3127" s="19" t="str">
        <f>IF($K3127="","",IF($K3127&gt;MAX($A$8:$A$5007),"",IFERROR(MATCH($K3127,$A$8:$A$5007,1),"")))</f>
        <v/>
      </c>
      <c r="M3127" s="30" t="str">
        <f>IF($L3127="","",INDEX($A$8:$A$5007,$L3127))</f>
        <v/>
      </c>
      <c r="N3127" s="31" t="str">
        <f>IF($L3127="","",INDEX($B$8:$B$5007,$L3127))</f>
        <v/>
      </c>
      <c r="O3127" s="32" t="str">
        <f>IF($M3127="","",IF($K3127-$M3127&gt;7,"",IF($M3127&lt;=$A3127,"",IF(OR($B3127&lt;=0,$N3127&lt;=0),"",($N3127/$B3127)^(365/($M3127-$A3127))-1))))</f>
        <v/>
      </c>
      <c r="P3127" s="31" t="str">
        <f>IF($B3127="","",IF($P3126="",$B3127,MAX($P3126,$B3127)))</f>
        <v/>
      </c>
      <c r="Q3127" s="32" t="str">
        <f>IF($P3127="","",$B3127/$P3127-1)</f>
        <v/>
      </c>
    </row>
    <row r="3128">
      <c r="A3128" s="11" t="n"/>
      <c r="B3128" s="29" t="n"/>
      <c r="K3128" s="30" t="str">
        <f>IF($A3128="","",EDATE($A3128,12*$E$4))</f>
        <v/>
      </c>
      <c r="L3128" s="19" t="str">
        <f>IF($K3128="","",IF($K3128&gt;MAX($A$8:$A$5007),"",IFERROR(MATCH($K3128,$A$8:$A$5007,1),"")))</f>
        <v/>
      </c>
      <c r="M3128" s="30" t="str">
        <f>IF($L3128="","",INDEX($A$8:$A$5007,$L3128))</f>
        <v/>
      </c>
      <c r="N3128" s="31" t="str">
        <f>IF($L3128="","",INDEX($B$8:$B$5007,$L3128))</f>
        <v/>
      </c>
      <c r="O3128" s="32" t="str">
        <f>IF($M3128="","",IF($K3128-$M3128&gt;7,"",IF($M3128&lt;=$A3128,"",IF(OR($B3128&lt;=0,$N3128&lt;=0),"",($N3128/$B3128)^(365/($M3128-$A3128))-1))))</f>
        <v/>
      </c>
      <c r="P3128" s="31" t="str">
        <f>IF($B3128="","",IF($P3127="",$B3128,MAX($P3127,$B3128)))</f>
        <v/>
      </c>
      <c r="Q3128" s="32" t="str">
        <f>IF($P3128="","",$B3128/$P3128-1)</f>
        <v/>
      </c>
    </row>
    <row r="3129">
      <c r="A3129" s="11" t="n"/>
      <c r="B3129" s="29" t="n"/>
      <c r="K3129" s="30" t="str">
        <f>IF($A3129="","",EDATE($A3129,12*$E$4))</f>
        <v/>
      </c>
      <c r="L3129" s="19" t="str">
        <f>IF($K3129="","",IF($K3129&gt;MAX($A$8:$A$5007),"",IFERROR(MATCH($K3129,$A$8:$A$5007,1),"")))</f>
        <v/>
      </c>
      <c r="M3129" s="30" t="str">
        <f>IF($L3129="","",INDEX($A$8:$A$5007,$L3129))</f>
        <v/>
      </c>
      <c r="N3129" s="31" t="str">
        <f>IF($L3129="","",INDEX($B$8:$B$5007,$L3129))</f>
        <v/>
      </c>
      <c r="O3129" s="32" t="str">
        <f>IF($M3129="","",IF($K3129-$M3129&gt;7,"",IF($M3129&lt;=$A3129,"",IF(OR($B3129&lt;=0,$N3129&lt;=0),"",($N3129/$B3129)^(365/($M3129-$A3129))-1))))</f>
        <v/>
      </c>
      <c r="P3129" s="31" t="str">
        <f>IF($B3129="","",IF($P3128="",$B3129,MAX($P3128,$B3129)))</f>
        <v/>
      </c>
      <c r="Q3129" s="32" t="str">
        <f>IF($P3129="","",$B3129/$P3129-1)</f>
        <v/>
      </c>
    </row>
    <row r="3130">
      <c r="A3130" s="11" t="n"/>
      <c r="B3130" s="29" t="n"/>
      <c r="K3130" s="30" t="str">
        <f>IF($A3130="","",EDATE($A3130,12*$E$4))</f>
        <v/>
      </c>
      <c r="L3130" s="19" t="str">
        <f>IF($K3130="","",IF($K3130&gt;MAX($A$8:$A$5007),"",IFERROR(MATCH($K3130,$A$8:$A$5007,1),"")))</f>
        <v/>
      </c>
      <c r="M3130" s="30" t="str">
        <f>IF($L3130="","",INDEX($A$8:$A$5007,$L3130))</f>
        <v/>
      </c>
      <c r="N3130" s="31" t="str">
        <f>IF($L3130="","",INDEX($B$8:$B$5007,$L3130))</f>
        <v/>
      </c>
      <c r="O3130" s="32" t="str">
        <f>IF($M3130="","",IF($K3130-$M3130&gt;7,"",IF($M3130&lt;=$A3130,"",IF(OR($B3130&lt;=0,$N3130&lt;=0),"",($N3130/$B3130)^(365/($M3130-$A3130))-1))))</f>
        <v/>
      </c>
      <c r="P3130" s="31" t="str">
        <f>IF($B3130="","",IF($P3129="",$B3130,MAX($P3129,$B3130)))</f>
        <v/>
      </c>
      <c r="Q3130" s="32" t="str">
        <f>IF($P3130="","",$B3130/$P3130-1)</f>
        <v/>
      </c>
    </row>
    <row r="3131">
      <c r="A3131" s="11" t="n"/>
      <c r="B3131" s="29" t="n"/>
      <c r="K3131" s="30" t="str">
        <f>IF($A3131="","",EDATE($A3131,12*$E$4))</f>
        <v/>
      </c>
      <c r="L3131" s="19" t="str">
        <f>IF($K3131="","",IF($K3131&gt;MAX($A$8:$A$5007),"",IFERROR(MATCH($K3131,$A$8:$A$5007,1),"")))</f>
        <v/>
      </c>
      <c r="M3131" s="30" t="str">
        <f>IF($L3131="","",INDEX($A$8:$A$5007,$L3131))</f>
        <v/>
      </c>
      <c r="N3131" s="31" t="str">
        <f>IF($L3131="","",INDEX($B$8:$B$5007,$L3131))</f>
        <v/>
      </c>
      <c r="O3131" s="32" t="str">
        <f>IF($M3131="","",IF($K3131-$M3131&gt;7,"",IF($M3131&lt;=$A3131,"",IF(OR($B3131&lt;=0,$N3131&lt;=0),"",($N3131/$B3131)^(365/($M3131-$A3131))-1))))</f>
        <v/>
      </c>
      <c r="P3131" s="31" t="str">
        <f>IF($B3131="","",IF($P3130="",$B3131,MAX($P3130,$B3131)))</f>
        <v/>
      </c>
      <c r="Q3131" s="32" t="str">
        <f>IF($P3131="","",$B3131/$P3131-1)</f>
        <v/>
      </c>
    </row>
    <row r="3132">
      <c r="A3132" s="11" t="n"/>
      <c r="B3132" s="29" t="n"/>
      <c r="K3132" s="30" t="str">
        <f>IF($A3132="","",EDATE($A3132,12*$E$4))</f>
        <v/>
      </c>
      <c r="L3132" s="19" t="str">
        <f>IF($K3132="","",IF($K3132&gt;MAX($A$8:$A$5007),"",IFERROR(MATCH($K3132,$A$8:$A$5007,1),"")))</f>
        <v/>
      </c>
      <c r="M3132" s="30" t="str">
        <f>IF($L3132="","",INDEX($A$8:$A$5007,$L3132))</f>
        <v/>
      </c>
      <c r="N3132" s="31" t="str">
        <f>IF($L3132="","",INDEX($B$8:$B$5007,$L3132))</f>
        <v/>
      </c>
      <c r="O3132" s="32" t="str">
        <f>IF($M3132="","",IF($K3132-$M3132&gt;7,"",IF($M3132&lt;=$A3132,"",IF(OR($B3132&lt;=0,$N3132&lt;=0),"",($N3132/$B3132)^(365/($M3132-$A3132))-1))))</f>
        <v/>
      </c>
      <c r="P3132" s="31" t="str">
        <f>IF($B3132="","",IF($P3131="",$B3132,MAX($P3131,$B3132)))</f>
        <v/>
      </c>
      <c r="Q3132" s="32" t="str">
        <f>IF($P3132="","",$B3132/$P3132-1)</f>
        <v/>
      </c>
    </row>
    <row r="3133">
      <c r="A3133" s="11" t="n"/>
      <c r="B3133" s="29" t="n"/>
      <c r="K3133" s="30" t="str">
        <f>IF($A3133="","",EDATE($A3133,12*$E$4))</f>
        <v/>
      </c>
      <c r="L3133" s="19" t="str">
        <f>IF($K3133="","",IF($K3133&gt;MAX($A$8:$A$5007),"",IFERROR(MATCH($K3133,$A$8:$A$5007,1),"")))</f>
        <v/>
      </c>
      <c r="M3133" s="30" t="str">
        <f>IF($L3133="","",INDEX($A$8:$A$5007,$L3133))</f>
        <v/>
      </c>
      <c r="N3133" s="31" t="str">
        <f>IF($L3133="","",INDEX($B$8:$B$5007,$L3133))</f>
        <v/>
      </c>
      <c r="O3133" s="32" t="str">
        <f>IF($M3133="","",IF($K3133-$M3133&gt;7,"",IF($M3133&lt;=$A3133,"",IF(OR($B3133&lt;=0,$N3133&lt;=0),"",($N3133/$B3133)^(365/($M3133-$A3133))-1))))</f>
        <v/>
      </c>
      <c r="P3133" s="31" t="str">
        <f>IF($B3133="","",IF($P3132="",$B3133,MAX($P3132,$B3133)))</f>
        <v/>
      </c>
      <c r="Q3133" s="32" t="str">
        <f>IF($P3133="","",$B3133/$P3133-1)</f>
        <v/>
      </c>
    </row>
    <row r="3134">
      <c r="A3134" s="11" t="n"/>
      <c r="B3134" s="29" t="n"/>
      <c r="K3134" s="30" t="str">
        <f>IF($A3134="","",EDATE($A3134,12*$E$4))</f>
        <v/>
      </c>
      <c r="L3134" s="19" t="str">
        <f>IF($K3134="","",IF($K3134&gt;MAX($A$8:$A$5007),"",IFERROR(MATCH($K3134,$A$8:$A$5007,1),"")))</f>
        <v/>
      </c>
      <c r="M3134" s="30" t="str">
        <f>IF($L3134="","",INDEX($A$8:$A$5007,$L3134))</f>
        <v/>
      </c>
      <c r="N3134" s="31" t="str">
        <f>IF($L3134="","",INDEX($B$8:$B$5007,$L3134))</f>
        <v/>
      </c>
      <c r="O3134" s="32" t="str">
        <f>IF($M3134="","",IF($K3134-$M3134&gt;7,"",IF($M3134&lt;=$A3134,"",IF(OR($B3134&lt;=0,$N3134&lt;=0),"",($N3134/$B3134)^(365/($M3134-$A3134))-1))))</f>
        <v/>
      </c>
      <c r="P3134" s="31" t="str">
        <f>IF($B3134="","",IF($P3133="",$B3134,MAX($P3133,$B3134)))</f>
        <v/>
      </c>
      <c r="Q3134" s="32" t="str">
        <f>IF($P3134="","",$B3134/$P3134-1)</f>
        <v/>
      </c>
    </row>
    <row r="3135">
      <c r="A3135" s="11" t="n"/>
      <c r="B3135" s="29" t="n"/>
      <c r="K3135" s="30" t="str">
        <f>IF($A3135="","",EDATE($A3135,12*$E$4))</f>
        <v/>
      </c>
      <c r="L3135" s="19" t="str">
        <f>IF($K3135="","",IF($K3135&gt;MAX($A$8:$A$5007),"",IFERROR(MATCH($K3135,$A$8:$A$5007,1),"")))</f>
        <v/>
      </c>
      <c r="M3135" s="30" t="str">
        <f>IF($L3135="","",INDEX($A$8:$A$5007,$L3135))</f>
        <v/>
      </c>
      <c r="N3135" s="31" t="str">
        <f>IF($L3135="","",INDEX($B$8:$B$5007,$L3135))</f>
        <v/>
      </c>
      <c r="O3135" s="32" t="str">
        <f>IF($M3135="","",IF($K3135-$M3135&gt;7,"",IF($M3135&lt;=$A3135,"",IF(OR($B3135&lt;=0,$N3135&lt;=0),"",($N3135/$B3135)^(365/($M3135-$A3135))-1))))</f>
        <v/>
      </c>
      <c r="P3135" s="31" t="str">
        <f>IF($B3135="","",IF($P3134="",$B3135,MAX($P3134,$B3135)))</f>
        <v/>
      </c>
      <c r="Q3135" s="32" t="str">
        <f>IF($P3135="","",$B3135/$P3135-1)</f>
        <v/>
      </c>
    </row>
    <row r="3136">
      <c r="A3136" s="11" t="n"/>
      <c r="B3136" s="29" t="n"/>
      <c r="K3136" s="30" t="str">
        <f>IF($A3136="","",EDATE($A3136,12*$E$4))</f>
        <v/>
      </c>
      <c r="L3136" s="19" t="str">
        <f>IF($K3136="","",IF($K3136&gt;MAX($A$8:$A$5007),"",IFERROR(MATCH($K3136,$A$8:$A$5007,1),"")))</f>
        <v/>
      </c>
      <c r="M3136" s="30" t="str">
        <f>IF($L3136="","",INDEX($A$8:$A$5007,$L3136))</f>
        <v/>
      </c>
      <c r="N3136" s="31" t="str">
        <f>IF($L3136="","",INDEX($B$8:$B$5007,$L3136))</f>
        <v/>
      </c>
      <c r="O3136" s="32" t="str">
        <f>IF($M3136="","",IF($K3136-$M3136&gt;7,"",IF($M3136&lt;=$A3136,"",IF(OR($B3136&lt;=0,$N3136&lt;=0),"",($N3136/$B3136)^(365/($M3136-$A3136))-1))))</f>
        <v/>
      </c>
      <c r="P3136" s="31" t="str">
        <f>IF($B3136="","",IF($P3135="",$B3136,MAX($P3135,$B3136)))</f>
        <v/>
      </c>
      <c r="Q3136" s="32" t="str">
        <f>IF($P3136="","",$B3136/$P3136-1)</f>
        <v/>
      </c>
    </row>
    <row r="3137">
      <c r="A3137" s="11" t="n"/>
      <c r="B3137" s="29" t="n"/>
      <c r="K3137" s="30" t="str">
        <f>IF($A3137="","",EDATE($A3137,12*$E$4))</f>
        <v/>
      </c>
      <c r="L3137" s="19" t="str">
        <f>IF($K3137="","",IF($K3137&gt;MAX($A$8:$A$5007),"",IFERROR(MATCH($K3137,$A$8:$A$5007,1),"")))</f>
        <v/>
      </c>
      <c r="M3137" s="30" t="str">
        <f>IF($L3137="","",INDEX($A$8:$A$5007,$L3137))</f>
        <v/>
      </c>
      <c r="N3137" s="31" t="str">
        <f>IF($L3137="","",INDEX($B$8:$B$5007,$L3137))</f>
        <v/>
      </c>
      <c r="O3137" s="32" t="str">
        <f>IF($M3137="","",IF($K3137-$M3137&gt;7,"",IF($M3137&lt;=$A3137,"",IF(OR($B3137&lt;=0,$N3137&lt;=0),"",($N3137/$B3137)^(365/($M3137-$A3137))-1))))</f>
        <v/>
      </c>
      <c r="P3137" s="31" t="str">
        <f>IF($B3137="","",IF($P3136="",$B3137,MAX($P3136,$B3137)))</f>
        <v/>
      </c>
      <c r="Q3137" s="32" t="str">
        <f>IF($P3137="","",$B3137/$P3137-1)</f>
        <v/>
      </c>
    </row>
    <row r="3138">
      <c r="A3138" s="11" t="n"/>
      <c r="B3138" s="29" t="n"/>
      <c r="K3138" s="30" t="str">
        <f>IF($A3138="","",EDATE($A3138,12*$E$4))</f>
        <v/>
      </c>
      <c r="L3138" s="19" t="str">
        <f>IF($K3138="","",IF($K3138&gt;MAX($A$8:$A$5007),"",IFERROR(MATCH($K3138,$A$8:$A$5007,1),"")))</f>
        <v/>
      </c>
      <c r="M3138" s="30" t="str">
        <f>IF($L3138="","",INDEX($A$8:$A$5007,$L3138))</f>
        <v/>
      </c>
      <c r="N3138" s="31" t="str">
        <f>IF($L3138="","",INDEX($B$8:$B$5007,$L3138))</f>
        <v/>
      </c>
      <c r="O3138" s="32" t="str">
        <f>IF($M3138="","",IF($K3138-$M3138&gt;7,"",IF($M3138&lt;=$A3138,"",IF(OR($B3138&lt;=0,$N3138&lt;=0),"",($N3138/$B3138)^(365/($M3138-$A3138))-1))))</f>
        <v/>
      </c>
      <c r="P3138" s="31" t="str">
        <f>IF($B3138="","",IF($P3137="",$B3138,MAX($P3137,$B3138)))</f>
        <v/>
      </c>
      <c r="Q3138" s="32" t="str">
        <f>IF($P3138="","",$B3138/$P3138-1)</f>
        <v/>
      </c>
    </row>
    <row r="3139">
      <c r="A3139" s="11" t="n"/>
      <c r="B3139" s="29" t="n"/>
      <c r="K3139" s="30" t="str">
        <f>IF($A3139="","",EDATE($A3139,12*$E$4))</f>
        <v/>
      </c>
      <c r="L3139" s="19" t="str">
        <f>IF($K3139="","",IF($K3139&gt;MAX($A$8:$A$5007),"",IFERROR(MATCH($K3139,$A$8:$A$5007,1),"")))</f>
        <v/>
      </c>
      <c r="M3139" s="30" t="str">
        <f>IF($L3139="","",INDEX($A$8:$A$5007,$L3139))</f>
        <v/>
      </c>
      <c r="N3139" s="31" t="str">
        <f>IF($L3139="","",INDEX($B$8:$B$5007,$L3139))</f>
        <v/>
      </c>
      <c r="O3139" s="32" t="str">
        <f>IF($M3139="","",IF($K3139-$M3139&gt;7,"",IF($M3139&lt;=$A3139,"",IF(OR($B3139&lt;=0,$N3139&lt;=0),"",($N3139/$B3139)^(365/($M3139-$A3139))-1))))</f>
        <v/>
      </c>
      <c r="P3139" s="31" t="str">
        <f>IF($B3139="","",IF($P3138="",$B3139,MAX($P3138,$B3139)))</f>
        <v/>
      </c>
      <c r="Q3139" s="32" t="str">
        <f>IF($P3139="","",$B3139/$P3139-1)</f>
        <v/>
      </c>
    </row>
    <row r="3140">
      <c r="A3140" s="11" t="n"/>
      <c r="B3140" s="29" t="n"/>
      <c r="K3140" s="30" t="str">
        <f>IF($A3140="","",EDATE($A3140,12*$E$4))</f>
        <v/>
      </c>
      <c r="L3140" s="19" t="str">
        <f>IF($K3140="","",IF($K3140&gt;MAX($A$8:$A$5007),"",IFERROR(MATCH($K3140,$A$8:$A$5007,1),"")))</f>
        <v/>
      </c>
      <c r="M3140" s="30" t="str">
        <f>IF($L3140="","",INDEX($A$8:$A$5007,$L3140))</f>
        <v/>
      </c>
      <c r="N3140" s="31" t="str">
        <f>IF($L3140="","",INDEX($B$8:$B$5007,$L3140))</f>
        <v/>
      </c>
      <c r="O3140" s="32" t="str">
        <f>IF($M3140="","",IF($K3140-$M3140&gt;7,"",IF($M3140&lt;=$A3140,"",IF(OR($B3140&lt;=0,$N3140&lt;=0),"",($N3140/$B3140)^(365/($M3140-$A3140))-1))))</f>
        <v/>
      </c>
      <c r="P3140" s="31" t="str">
        <f>IF($B3140="","",IF($P3139="",$B3140,MAX($P3139,$B3140)))</f>
        <v/>
      </c>
      <c r="Q3140" s="32" t="str">
        <f>IF($P3140="","",$B3140/$P3140-1)</f>
        <v/>
      </c>
    </row>
    <row r="3141">
      <c r="A3141" s="11" t="n"/>
      <c r="B3141" s="29" t="n"/>
      <c r="K3141" s="30" t="str">
        <f>IF($A3141="","",EDATE($A3141,12*$E$4))</f>
        <v/>
      </c>
      <c r="L3141" s="19" t="str">
        <f>IF($K3141="","",IF($K3141&gt;MAX($A$8:$A$5007),"",IFERROR(MATCH($K3141,$A$8:$A$5007,1),"")))</f>
        <v/>
      </c>
      <c r="M3141" s="30" t="str">
        <f>IF($L3141="","",INDEX($A$8:$A$5007,$L3141))</f>
        <v/>
      </c>
      <c r="N3141" s="31" t="str">
        <f>IF($L3141="","",INDEX($B$8:$B$5007,$L3141))</f>
        <v/>
      </c>
      <c r="O3141" s="32" t="str">
        <f>IF($M3141="","",IF($K3141-$M3141&gt;7,"",IF($M3141&lt;=$A3141,"",IF(OR($B3141&lt;=0,$N3141&lt;=0),"",($N3141/$B3141)^(365/($M3141-$A3141))-1))))</f>
        <v/>
      </c>
      <c r="P3141" s="31" t="str">
        <f>IF($B3141="","",IF($P3140="",$B3141,MAX($P3140,$B3141)))</f>
        <v/>
      </c>
      <c r="Q3141" s="32" t="str">
        <f>IF($P3141="","",$B3141/$P3141-1)</f>
        <v/>
      </c>
    </row>
    <row r="3142">
      <c r="A3142" s="11" t="n"/>
      <c r="B3142" s="29" t="n"/>
      <c r="K3142" s="30" t="str">
        <f>IF($A3142="","",EDATE($A3142,12*$E$4))</f>
        <v/>
      </c>
      <c r="L3142" s="19" t="str">
        <f>IF($K3142="","",IF($K3142&gt;MAX($A$8:$A$5007),"",IFERROR(MATCH($K3142,$A$8:$A$5007,1),"")))</f>
        <v/>
      </c>
      <c r="M3142" s="30" t="str">
        <f>IF($L3142="","",INDEX($A$8:$A$5007,$L3142))</f>
        <v/>
      </c>
      <c r="N3142" s="31" t="str">
        <f>IF($L3142="","",INDEX($B$8:$B$5007,$L3142))</f>
        <v/>
      </c>
      <c r="O3142" s="32" t="str">
        <f>IF($M3142="","",IF($K3142-$M3142&gt;7,"",IF($M3142&lt;=$A3142,"",IF(OR($B3142&lt;=0,$N3142&lt;=0),"",($N3142/$B3142)^(365/($M3142-$A3142))-1))))</f>
        <v/>
      </c>
      <c r="P3142" s="31" t="str">
        <f>IF($B3142="","",IF($P3141="",$B3142,MAX($P3141,$B3142)))</f>
        <v/>
      </c>
      <c r="Q3142" s="32" t="str">
        <f>IF($P3142="","",$B3142/$P3142-1)</f>
        <v/>
      </c>
    </row>
    <row r="3143">
      <c r="A3143" s="11" t="n"/>
      <c r="B3143" s="29" t="n"/>
      <c r="K3143" s="30" t="str">
        <f>IF($A3143="","",EDATE($A3143,12*$E$4))</f>
        <v/>
      </c>
      <c r="L3143" s="19" t="str">
        <f>IF($K3143="","",IF($K3143&gt;MAX($A$8:$A$5007),"",IFERROR(MATCH($K3143,$A$8:$A$5007,1),"")))</f>
        <v/>
      </c>
      <c r="M3143" s="30" t="str">
        <f>IF($L3143="","",INDEX($A$8:$A$5007,$L3143))</f>
        <v/>
      </c>
      <c r="N3143" s="31" t="str">
        <f>IF($L3143="","",INDEX($B$8:$B$5007,$L3143))</f>
        <v/>
      </c>
      <c r="O3143" s="32" t="str">
        <f>IF($M3143="","",IF($K3143-$M3143&gt;7,"",IF($M3143&lt;=$A3143,"",IF(OR($B3143&lt;=0,$N3143&lt;=0),"",($N3143/$B3143)^(365/($M3143-$A3143))-1))))</f>
        <v/>
      </c>
      <c r="P3143" s="31" t="str">
        <f>IF($B3143="","",IF($P3142="",$B3143,MAX($P3142,$B3143)))</f>
        <v/>
      </c>
      <c r="Q3143" s="32" t="str">
        <f>IF($P3143="","",$B3143/$P3143-1)</f>
        <v/>
      </c>
    </row>
    <row r="3144">
      <c r="A3144" s="11" t="n"/>
      <c r="B3144" s="29" t="n"/>
      <c r="K3144" s="30" t="str">
        <f>IF($A3144="","",EDATE($A3144,12*$E$4))</f>
        <v/>
      </c>
      <c r="L3144" s="19" t="str">
        <f>IF($K3144="","",IF($K3144&gt;MAX($A$8:$A$5007),"",IFERROR(MATCH($K3144,$A$8:$A$5007,1),"")))</f>
        <v/>
      </c>
      <c r="M3144" s="30" t="str">
        <f>IF($L3144="","",INDEX($A$8:$A$5007,$L3144))</f>
        <v/>
      </c>
      <c r="N3144" s="31" t="str">
        <f>IF($L3144="","",INDEX($B$8:$B$5007,$L3144))</f>
        <v/>
      </c>
      <c r="O3144" s="32" t="str">
        <f>IF($M3144="","",IF($K3144-$M3144&gt;7,"",IF($M3144&lt;=$A3144,"",IF(OR($B3144&lt;=0,$N3144&lt;=0),"",($N3144/$B3144)^(365/($M3144-$A3144))-1))))</f>
        <v/>
      </c>
      <c r="P3144" s="31" t="str">
        <f>IF($B3144="","",IF($P3143="",$B3144,MAX($P3143,$B3144)))</f>
        <v/>
      </c>
      <c r="Q3144" s="32" t="str">
        <f>IF($P3144="","",$B3144/$P3144-1)</f>
        <v/>
      </c>
    </row>
    <row r="3145">
      <c r="A3145" s="11" t="n"/>
      <c r="B3145" s="29" t="n"/>
      <c r="K3145" s="30" t="str">
        <f>IF($A3145="","",EDATE($A3145,12*$E$4))</f>
        <v/>
      </c>
      <c r="L3145" s="19" t="str">
        <f>IF($K3145="","",IF($K3145&gt;MAX($A$8:$A$5007),"",IFERROR(MATCH($K3145,$A$8:$A$5007,1),"")))</f>
        <v/>
      </c>
      <c r="M3145" s="30" t="str">
        <f>IF($L3145="","",INDEX($A$8:$A$5007,$L3145))</f>
        <v/>
      </c>
      <c r="N3145" s="31" t="str">
        <f>IF($L3145="","",INDEX($B$8:$B$5007,$L3145))</f>
        <v/>
      </c>
      <c r="O3145" s="32" t="str">
        <f>IF($M3145="","",IF($K3145-$M3145&gt;7,"",IF($M3145&lt;=$A3145,"",IF(OR($B3145&lt;=0,$N3145&lt;=0),"",($N3145/$B3145)^(365/($M3145-$A3145))-1))))</f>
        <v/>
      </c>
      <c r="P3145" s="31" t="str">
        <f>IF($B3145="","",IF($P3144="",$B3145,MAX($P3144,$B3145)))</f>
        <v/>
      </c>
      <c r="Q3145" s="32" t="str">
        <f>IF($P3145="","",$B3145/$P3145-1)</f>
        <v/>
      </c>
    </row>
    <row r="3146">
      <c r="A3146" s="11" t="n"/>
      <c r="B3146" s="29" t="n"/>
      <c r="K3146" s="30" t="str">
        <f>IF($A3146="","",EDATE($A3146,12*$E$4))</f>
        <v/>
      </c>
      <c r="L3146" s="19" t="str">
        <f>IF($K3146="","",IF($K3146&gt;MAX($A$8:$A$5007),"",IFERROR(MATCH($K3146,$A$8:$A$5007,1),"")))</f>
        <v/>
      </c>
      <c r="M3146" s="30" t="str">
        <f>IF($L3146="","",INDEX($A$8:$A$5007,$L3146))</f>
        <v/>
      </c>
      <c r="N3146" s="31" t="str">
        <f>IF($L3146="","",INDEX($B$8:$B$5007,$L3146))</f>
        <v/>
      </c>
      <c r="O3146" s="32" t="str">
        <f>IF($M3146="","",IF($K3146-$M3146&gt;7,"",IF($M3146&lt;=$A3146,"",IF(OR($B3146&lt;=0,$N3146&lt;=0),"",($N3146/$B3146)^(365/($M3146-$A3146))-1))))</f>
        <v/>
      </c>
      <c r="P3146" s="31" t="str">
        <f>IF($B3146="","",IF($P3145="",$B3146,MAX($P3145,$B3146)))</f>
        <v/>
      </c>
      <c r="Q3146" s="32" t="str">
        <f>IF($P3146="","",$B3146/$P3146-1)</f>
        <v/>
      </c>
    </row>
    <row r="3147">
      <c r="A3147" s="11" t="n"/>
      <c r="B3147" s="29" t="n"/>
      <c r="K3147" s="30" t="str">
        <f>IF($A3147="","",EDATE($A3147,12*$E$4))</f>
        <v/>
      </c>
      <c r="L3147" s="19" t="str">
        <f>IF($K3147="","",IF($K3147&gt;MAX($A$8:$A$5007),"",IFERROR(MATCH($K3147,$A$8:$A$5007,1),"")))</f>
        <v/>
      </c>
      <c r="M3147" s="30" t="str">
        <f>IF($L3147="","",INDEX($A$8:$A$5007,$L3147))</f>
        <v/>
      </c>
      <c r="N3147" s="31" t="str">
        <f>IF($L3147="","",INDEX($B$8:$B$5007,$L3147))</f>
        <v/>
      </c>
      <c r="O3147" s="32" t="str">
        <f>IF($M3147="","",IF($K3147-$M3147&gt;7,"",IF($M3147&lt;=$A3147,"",IF(OR($B3147&lt;=0,$N3147&lt;=0),"",($N3147/$B3147)^(365/($M3147-$A3147))-1))))</f>
        <v/>
      </c>
      <c r="P3147" s="31" t="str">
        <f>IF($B3147="","",IF($P3146="",$B3147,MAX($P3146,$B3147)))</f>
        <v/>
      </c>
      <c r="Q3147" s="32" t="str">
        <f>IF($P3147="","",$B3147/$P3147-1)</f>
        <v/>
      </c>
    </row>
    <row r="3148">
      <c r="A3148" s="11" t="n"/>
      <c r="B3148" s="29" t="n"/>
      <c r="K3148" s="30" t="str">
        <f>IF($A3148="","",EDATE($A3148,12*$E$4))</f>
        <v/>
      </c>
      <c r="L3148" s="19" t="str">
        <f>IF($K3148="","",IF($K3148&gt;MAX($A$8:$A$5007),"",IFERROR(MATCH($K3148,$A$8:$A$5007,1),"")))</f>
        <v/>
      </c>
      <c r="M3148" s="30" t="str">
        <f>IF($L3148="","",INDEX($A$8:$A$5007,$L3148))</f>
        <v/>
      </c>
      <c r="N3148" s="31" t="str">
        <f>IF($L3148="","",INDEX($B$8:$B$5007,$L3148))</f>
        <v/>
      </c>
      <c r="O3148" s="32" t="str">
        <f>IF($M3148="","",IF($K3148-$M3148&gt;7,"",IF($M3148&lt;=$A3148,"",IF(OR($B3148&lt;=0,$N3148&lt;=0),"",($N3148/$B3148)^(365/($M3148-$A3148))-1))))</f>
        <v/>
      </c>
      <c r="P3148" s="31" t="str">
        <f>IF($B3148="","",IF($P3147="",$B3148,MAX($P3147,$B3148)))</f>
        <v/>
      </c>
      <c r="Q3148" s="32" t="str">
        <f>IF($P3148="","",$B3148/$P3148-1)</f>
        <v/>
      </c>
    </row>
    <row r="3149">
      <c r="A3149" s="11" t="n"/>
      <c r="B3149" s="29" t="n"/>
      <c r="K3149" s="30" t="str">
        <f>IF($A3149="","",EDATE($A3149,12*$E$4))</f>
        <v/>
      </c>
      <c r="L3149" s="19" t="str">
        <f>IF($K3149="","",IF($K3149&gt;MAX($A$8:$A$5007),"",IFERROR(MATCH($K3149,$A$8:$A$5007,1),"")))</f>
        <v/>
      </c>
      <c r="M3149" s="30" t="str">
        <f>IF($L3149="","",INDEX($A$8:$A$5007,$L3149))</f>
        <v/>
      </c>
      <c r="N3149" s="31" t="str">
        <f>IF($L3149="","",INDEX($B$8:$B$5007,$L3149))</f>
        <v/>
      </c>
      <c r="O3149" s="32" t="str">
        <f>IF($M3149="","",IF($K3149-$M3149&gt;7,"",IF($M3149&lt;=$A3149,"",IF(OR($B3149&lt;=0,$N3149&lt;=0),"",($N3149/$B3149)^(365/($M3149-$A3149))-1))))</f>
        <v/>
      </c>
      <c r="P3149" s="31" t="str">
        <f>IF($B3149="","",IF($P3148="",$B3149,MAX($P3148,$B3149)))</f>
        <v/>
      </c>
      <c r="Q3149" s="32" t="str">
        <f>IF($P3149="","",$B3149/$P3149-1)</f>
        <v/>
      </c>
    </row>
    <row r="3150">
      <c r="A3150" s="11" t="n"/>
      <c r="B3150" s="29" t="n"/>
      <c r="K3150" s="30" t="str">
        <f>IF($A3150="","",EDATE($A3150,12*$E$4))</f>
        <v/>
      </c>
      <c r="L3150" s="19" t="str">
        <f>IF($K3150="","",IF($K3150&gt;MAX($A$8:$A$5007),"",IFERROR(MATCH($K3150,$A$8:$A$5007,1),"")))</f>
        <v/>
      </c>
      <c r="M3150" s="30" t="str">
        <f>IF($L3150="","",INDEX($A$8:$A$5007,$L3150))</f>
        <v/>
      </c>
      <c r="N3150" s="31" t="str">
        <f>IF($L3150="","",INDEX($B$8:$B$5007,$L3150))</f>
        <v/>
      </c>
      <c r="O3150" s="32" t="str">
        <f>IF($M3150="","",IF($K3150-$M3150&gt;7,"",IF($M3150&lt;=$A3150,"",IF(OR($B3150&lt;=0,$N3150&lt;=0),"",($N3150/$B3150)^(365/($M3150-$A3150))-1))))</f>
        <v/>
      </c>
      <c r="P3150" s="31" t="str">
        <f>IF($B3150="","",IF($P3149="",$B3150,MAX($P3149,$B3150)))</f>
        <v/>
      </c>
      <c r="Q3150" s="32" t="str">
        <f>IF($P3150="","",$B3150/$P3150-1)</f>
        <v/>
      </c>
    </row>
    <row r="3151">
      <c r="A3151" s="11" t="n"/>
      <c r="B3151" s="29" t="n"/>
      <c r="K3151" s="30" t="str">
        <f>IF($A3151="","",EDATE($A3151,12*$E$4))</f>
        <v/>
      </c>
      <c r="L3151" s="19" t="str">
        <f>IF($K3151="","",IF($K3151&gt;MAX($A$8:$A$5007),"",IFERROR(MATCH($K3151,$A$8:$A$5007,1),"")))</f>
        <v/>
      </c>
      <c r="M3151" s="30" t="str">
        <f>IF($L3151="","",INDEX($A$8:$A$5007,$L3151))</f>
        <v/>
      </c>
      <c r="N3151" s="31" t="str">
        <f>IF($L3151="","",INDEX($B$8:$B$5007,$L3151))</f>
        <v/>
      </c>
      <c r="O3151" s="32" t="str">
        <f>IF($M3151="","",IF($K3151-$M3151&gt;7,"",IF($M3151&lt;=$A3151,"",IF(OR($B3151&lt;=0,$N3151&lt;=0),"",($N3151/$B3151)^(365/($M3151-$A3151))-1))))</f>
        <v/>
      </c>
      <c r="P3151" s="31" t="str">
        <f>IF($B3151="","",IF($P3150="",$B3151,MAX($P3150,$B3151)))</f>
        <v/>
      </c>
      <c r="Q3151" s="32" t="str">
        <f>IF($P3151="","",$B3151/$P3151-1)</f>
        <v/>
      </c>
    </row>
    <row r="3152">
      <c r="A3152" s="11" t="n"/>
      <c r="B3152" s="29" t="n"/>
      <c r="K3152" s="30" t="str">
        <f>IF($A3152="","",EDATE($A3152,12*$E$4))</f>
        <v/>
      </c>
      <c r="L3152" s="19" t="str">
        <f>IF($K3152="","",IF($K3152&gt;MAX($A$8:$A$5007),"",IFERROR(MATCH($K3152,$A$8:$A$5007,1),"")))</f>
        <v/>
      </c>
      <c r="M3152" s="30" t="str">
        <f>IF($L3152="","",INDEX($A$8:$A$5007,$L3152))</f>
        <v/>
      </c>
      <c r="N3152" s="31" t="str">
        <f>IF($L3152="","",INDEX($B$8:$B$5007,$L3152))</f>
        <v/>
      </c>
      <c r="O3152" s="32" t="str">
        <f>IF($M3152="","",IF($K3152-$M3152&gt;7,"",IF($M3152&lt;=$A3152,"",IF(OR($B3152&lt;=0,$N3152&lt;=0),"",($N3152/$B3152)^(365/($M3152-$A3152))-1))))</f>
        <v/>
      </c>
      <c r="P3152" s="31" t="str">
        <f>IF($B3152="","",IF($P3151="",$B3152,MAX($P3151,$B3152)))</f>
        <v/>
      </c>
      <c r="Q3152" s="32" t="str">
        <f>IF($P3152="","",$B3152/$P3152-1)</f>
        <v/>
      </c>
    </row>
    <row r="3153">
      <c r="A3153" s="11" t="n"/>
      <c r="B3153" s="29" t="n"/>
      <c r="K3153" s="30" t="str">
        <f>IF($A3153="","",EDATE($A3153,12*$E$4))</f>
        <v/>
      </c>
      <c r="L3153" s="19" t="str">
        <f>IF($K3153="","",IF($K3153&gt;MAX($A$8:$A$5007),"",IFERROR(MATCH($K3153,$A$8:$A$5007,1),"")))</f>
        <v/>
      </c>
      <c r="M3153" s="30" t="str">
        <f>IF($L3153="","",INDEX($A$8:$A$5007,$L3153))</f>
        <v/>
      </c>
      <c r="N3153" s="31" t="str">
        <f>IF($L3153="","",INDEX($B$8:$B$5007,$L3153))</f>
        <v/>
      </c>
      <c r="O3153" s="32" t="str">
        <f>IF($M3153="","",IF($K3153-$M3153&gt;7,"",IF($M3153&lt;=$A3153,"",IF(OR($B3153&lt;=0,$N3153&lt;=0),"",($N3153/$B3153)^(365/($M3153-$A3153))-1))))</f>
        <v/>
      </c>
      <c r="P3153" s="31" t="str">
        <f>IF($B3153="","",IF($P3152="",$B3153,MAX($P3152,$B3153)))</f>
        <v/>
      </c>
      <c r="Q3153" s="32" t="str">
        <f>IF($P3153="","",$B3153/$P3153-1)</f>
        <v/>
      </c>
    </row>
    <row r="3154">
      <c r="A3154" s="11" t="n"/>
      <c r="B3154" s="29" t="n"/>
      <c r="K3154" s="30" t="str">
        <f>IF($A3154="","",EDATE($A3154,12*$E$4))</f>
        <v/>
      </c>
      <c r="L3154" s="19" t="str">
        <f>IF($K3154="","",IF($K3154&gt;MAX($A$8:$A$5007),"",IFERROR(MATCH($K3154,$A$8:$A$5007,1),"")))</f>
        <v/>
      </c>
      <c r="M3154" s="30" t="str">
        <f>IF($L3154="","",INDEX($A$8:$A$5007,$L3154))</f>
        <v/>
      </c>
      <c r="N3154" s="31" t="str">
        <f>IF($L3154="","",INDEX($B$8:$B$5007,$L3154))</f>
        <v/>
      </c>
      <c r="O3154" s="32" t="str">
        <f>IF($M3154="","",IF($K3154-$M3154&gt;7,"",IF($M3154&lt;=$A3154,"",IF(OR($B3154&lt;=0,$N3154&lt;=0),"",($N3154/$B3154)^(365/($M3154-$A3154))-1))))</f>
        <v/>
      </c>
      <c r="P3154" s="31" t="str">
        <f>IF($B3154="","",IF($P3153="",$B3154,MAX($P3153,$B3154)))</f>
        <v/>
      </c>
      <c r="Q3154" s="32" t="str">
        <f>IF($P3154="","",$B3154/$P3154-1)</f>
        <v/>
      </c>
    </row>
    <row r="3155">
      <c r="A3155" s="11" t="n"/>
      <c r="B3155" s="29" t="n"/>
      <c r="K3155" s="30" t="str">
        <f>IF($A3155="","",EDATE($A3155,12*$E$4))</f>
        <v/>
      </c>
      <c r="L3155" s="19" t="str">
        <f>IF($K3155="","",IF($K3155&gt;MAX($A$8:$A$5007),"",IFERROR(MATCH($K3155,$A$8:$A$5007,1),"")))</f>
        <v/>
      </c>
      <c r="M3155" s="30" t="str">
        <f>IF($L3155="","",INDEX($A$8:$A$5007,$L3155))</f>
        <v/>
      </c>
      <c r="N3155" s="31" t="str">
        <f>IF($L3155="","",INDEX($B$8:$B$5007,$L3155))</f>
        <v/>
      </c>
      <c r="O3155" s="32" t="str">
        <f>IF($M3155="","",IF($K3155-$M3155&gt;7,"",IF($M3155&lt;=$A3155,"",IF(OR($B3155&lt;=0,$N3155&lt;=0),"",($N3155/$B3155)^(365/($M3155-$A3155))-1))))</f>
        <v/>
      </c>
      <c r="P3155" s="31" t="str">
        <f>IF($B3155="","",IF($P3154="",$B3155,MAX($P3154,$B3155)))</f>
        <v/>
      </c>
      <c r="Q3155" s="32" t="str">
        <f>IF($P3155="","",$B3155/$P3155-1)</f>
        <v/>
      </c>
    </row>
    <row r="3156">
      <c r="A3156" s="11" t="n"/>
      <c r="B3156" s="29" t="n"/>
      <c r="K3156" s="30" t="str">
        <f>IF($A3156="","",EDATE($A3156,12*$E$4))</f>
        <v/>
      </c>
      <c r="L3156" s="19" t="str">
        <f>IF($K3156="","",IF($K3156&gt;MAX($A$8:$A$5007),"",IFERROR(MATCH($K3156,$A$8:$A$5007,1),"")))</f>
        <v/>
      </c>
      <c r="M3156" s="30" t="str">
        <f>IF($L3156="","",INDEX($A$8:$A$5007,$L3156))</f>
        <v/>
      </c>
      <c r="N3156" s="31" t="str">
        <f>IF($L3156="","",INDEX($B$8:$B$5007,$L3156))</f>
        <v/>
      </c>
      <c r="O3156" s="32" t="str">
        <f>IF($M3156="","",IF($K3156-$M3156&gt;7,"",IF($M3156&lt;=$A3156,"",IF(OR($B3156&lt;=0,$N3156&lt;=0),"",($N3156/$B3156)^(365/($M3156-$A3156))-1))))</f>
        <v/>
      </c>
      <c r="P3156" s="31" t="str">
        <f>IF($B3156="","",IF($P3155="",$B3156,MAX($P3155,$B3156)))</f>
        <v/>
      </c>
      <c r="Q3156" s="32" t="str">
        <f>IF($P3156="","",$B3156/$P3156-1)</f>
        <v/>
      </c>
    </row>
    <row r="3157">
      <c r="A3157" s="11" t="n"/>
      <c r="B3157" s="29" t="n"/>
      <c r="K3157" s="30" t="str">
        <f>IF($A3157="","",EDATE($A3157,12*$E$4))</f>
        <v/>
      </c>
      <c r="L3157" s="19" t="str">
        <f>IF($K3157="","",IF($K3157&gt;MAX($A$8:$A$5007),"",IFERROR(MATCH($K3157,$A$8:$A$5007,1),"")))</f>
        <v/>
      </c>
      <c r="M3157" s="30" t="str">
        <f>IF($L3157="","",INDEX($A$8:$A$5007,$L3157))</f>
        <v/>
      </c>
      <c r="N3157" s="31" t="str">
        <f>IF($L3157="","",INDEX($B$8:$B$5007,$L3157))</f>
        <v/>
      </c>
      <c r="O3157" s="32" t="str">
        <f>IF($M3157="","",IF($K3157-$M3157&gt;7,"",IF($M3157&lt;=$A3157,"",IF(OR($B3157&lt;=0,$N3157&lt;=0),"",($N3157/$B3157)^(365/($M3157-$A3157))-1))))</f>
        <v/>
      </c>
      <c r="P3157" s="31" t="str">
        <f>IF($B3157="","",IF($P3156="",$B3157,MAX($P3156,$B3157)))</f>
        <v/>
      </c>
      <c r="Q3157" s="32" t="str">
        <f>IF($P3157="","",$B3157/$P3157-1)</f>
        <v/>
      </c>
    </row>
    <row r="3158">
      <c r="A3158" s="11" t="n"/>
      <c r="B3158" s="29" t="n"/>
      <c r="K3158" s="30" t="str">
        <f>IF($A3158="","",EDATE($A3158,12*$E$4))</f>
        <v/>
      </c>
      <c r="L3158" s="19" t="str">
        <f>IF($K3158="","",IF($K3158&gt;MAX($A$8:$A$5007),"",IFERROR(MATCH($K3158,$A$8:$A$5007,1),"")))</f>
        <v/>
      </c>
      <c r="M3158" s="30" t="str">
        <f>IF($L3158="","",INDEX($A$8:$A$5007,$L3158))</f>
        <v/>
      </c>
      <c r="N3158" s="31" t="str">
        <f>IF($L3158="","",INDEX($B$8:$B$5007,$L3158))</f>
        <v/>
      </c>
      <c r="O3158" s="32" t="str">
        <f>IF($M3158="","",IF($K3158-$M3158&gt;7,"",IF($M3158&lt;=$A3158,"",IF(OR($B3158&lt;=0,$N3158&lt;=0),"",($N3158/$B3158)^(365/($M3158-$A3158))-1))))</f>
        <v/>
      </c>
      <c r="P3158" s="31" t="str">
        <f>IF($B3158="","",IF($P3157="",$B3158,MAX($P3157,$B3158)))</f>
        <v/>
      </c>
      <c r="Q3158" s="32" t="str">
        <f>IF($P3158="","",$B3158/$P3158-1)</f>
        <v/>
      </c>
    </row>
    <row r="3159">
      <c r="A3159" s="11" t="n"/>
      <c r="B3159" s="29" t="n"/>
      <c r="K3159" s="30" t="str">
        <f>IF($A3159="","",EDATE($A3159,12*$E$4))</f>
        <v/>
      </c>
      <c r="L3159" s="19" t="str">
        <f>IF($K3159="","",IF($K3159&gt;MAX($A$8:$A$5007),"",IFERROR(MATCH($K3159,$A$8:$A$5007,1),"")))</f>
        <v/>
      </c>
      <c r="M3159" s="30" t="str">
        <f>IF($L3159="","",INDEX($A$8:$A$5007,$L3159))</f>
        <v/>
      </c>
      <c r="N3159" s="31" t="str">
        <f>IF($L3159="","",INDEX($B$8:$B$5007,$L3159))</f>
        <v/>
      </c>
      <c r="O3159" s="32" t="str">
        <f>IF($M3159="","",IF($K3159-$M3159&gt;7,"",IF($M3159&lt;=$A3159,"",IF(OR($B3159&lt;=0,$N3159&lt;=0),"",($N3159/$B3159)^(365/($M3159-$A3159))-1))))</f>
        <v/>
      </c>
      <c r="P3159" s="31" t="str">
        <f>IF($B3159="","",IF($P3158="",$B3159,MAX($P3158,$B3159)))</f>
        <v/>
      </c>
      <c r="Q3159" s="32" t="str">
        <f>IF($P3159="","",$B3159/$P3159-1)</f>
        <v/>
      </c>
    </row>
    <row r="3160">
      <c r="A3160" s="11" t="n"/>
      <c r="B3160" s="29" t="n"/>
      <c r="K3160" s="30" t="str">
        <f>IF($A3160="","",EDATE($A3160,12*$E$4))</f>
        <v/>
      </c>
      <c r="L3160" s="19" t="str">
        <f>IF($K3160="","",IF($K3160&gt;MAX($A$8:$A$5007),"",IFERROR(MATCH($K3160,$A$8:$A$5007,1),"")))</f>
        <v/>
      </c>
      <c r="M3160" s="30" t="str">
        <f>IF($L3160="","",INDEX($A$8:$A$5007,$L3160))</f>
        <v/>
      </c>
      <c r="N3160" s="31" t="str">
        <f>IF($L3160="","",INDEX($B$8:$B$5007,$L3160))</f>
        <v/>
      </c>
      <c r="O3160" s="32" t="str">
        <f>IF($M3160="","",IF($K3160-$M3160&gt;7,"",IF($M3160&lt;=$A3160,"",IF(OR($B3160&lt;=0,$N3160&lt;=0),"",($N3160/$B3160)^(365/($M3160-$A3160))-1))))</f>
        <v/>
      </c>
      <c r="P3160" s="31" t="str">
        <f>IF($B3160="","",IF($P3159="",$B3160,MAX($P3159,$B3160)))</f>
        <v/>
      </c>
      <c r="Q3160" s="32" t="str">
        <f>IF($P3160="","",$B3160/$P3160-1)</f>
        <v/>
      </c>
    </row>
    <row r="3161">
      <c r="A3161" s="11" t="n"/>
      <c r="B3161" s="29" t="n"/>
      <c r="K3161" s="30" t="str">
        <f>IF($A3161="","",EDATE($A3161,12*$E$4))</f>
        <v/>
      </c>
      <c r="L3161" s="19" t="str">
        <f>IF($K3161="","",IF($K3161&gt;MAX($A$8:$A$5007),"",IFERROR(MATCH($K3161,$A$8:$A$5007,1),"")))</f>
        <v/>
      </c>
      <c r="M3161" s="30" t="str">
        <f>IF($L3161="","",INDEX($A$8:$A$5007,$L3161))</f>
        <v/>
      </c>
      <c r="N3161" s="31" t="str">
        <f>IF($L3161="","",INDEX($B$8:$B$5007,$L3161))</f>
        <v/>
      </c>
      <c r="O3161" s="32" t="str">
        <f>IF($M3161="","",IF($K3161-$M3161&gt;7,"",IF($M3161&lt;=$A3161,"",IF(OR($B3161&lt;=0,$N3161&lt;=0),"",($N3161/$B3161)^(365/($M3161-$A3161))-1))))</f>
        <v/>
      </c>
      <c r="P3161" s="31" t="str">
        <f>IF($B3161="","",IF($P3160="",$B3161,MAX($P3160,$B3161)))</f>
        <v/>
      </c>
      <c r="Q3161" s="32" t="str">
        <f>IF($P3161="","",$B3161/$P3161-1)</f>
        <v/>
      </c>
    </row>
    <row r="3162">
      <c r="A3162" s="11" t="n"/>
      <c r="B3162" s="29" t="n"/>
      <c r="K3162" s="30" t="str">
        <f>IF($A3162="","",EDATE($A3162,12*$E$4))</f>
        <v/>
      </c>
      <c r="L3162" s="19" t="str">
        <f>IF($K3162="","",IF($K3162&gt;MAX($A$8:$A$5007),"",IFERROR(MATCH($K3162,$A$8:$A$5007,1),"")))</f>
        <v/>
      </c>
      <c r="M3162" s="30" t="str">
        <f>IF($L3162="","",INDEX($A$8:$A$5007,$L3162))</f>
        <v/>
      </c>
      <c r="N3162" s="31" t="str">
        <f>IF($L3162="","",INDEX($B$8:$B$5007,$L3162))</f>
        <v/>
      </c>
      <c r="O3162" s="32" t="str">
        <f>IF($M3162="","",IF($K3162-$M3162&gt;7,"",IF($M3162&lt;=$A3162,"",IF(OR($B3162&lt;=0,$N3162&lt;=0),"",($N3162/$B3162)^(365/($M3162-$A3162))-1))))</f>
        <v/>
      </c>
      <c r="P3162" s="31" t="str">
        <f>IF($B3162="","",IF($P3161="",$B3162,MAX($P3161,$B3162)))</f>
        <v/>
      </c>
      <c r="Q3162" s="32" t="str">
        <f>IF($P3162="","",$B3162/$P3162-1)</f>
        <v/>
      </c>
    </row>
    <row r="3163">
      <c r="A3163" s="11" t="n"/>
      <c r="B3163" s="29" t="n"/>
      <c r="K3163" s="30" t="str">
        <f>IF($A3163="","",EDATE($A3163,12*$E$4))</f>
        <v/>
      </c>
      <c r="L3163" s="19" t="str">
        <f>IF($K3163="","",IF($K3163&gt;MAX($A$8:$A$5007),"",IFERROR(MATCH($K3163,$A$8:$A$5007,1),"")))</f>
        <v/>
      </c>
      <c r="M3163" s="30" t="str">
        <f>IF($L3163="","",INDEX($A$8:$A$5007,$L3163))</f>
        <v/>
      </c>
      <c r="N3163" s="31" t="str">
        <f>IF($L3163="","",INDEX($B$8:$B$5007,$L3163))</f>
        <v/>
      </c>
      <c r="O3163" s="32" t="str">
        <f>IF($M3163="","",IF($K3163-$M3163&gt;7,"",IF($M3163&lt;=$A3163,"",IF(OR($B3163&lt;=0,$N3163&lt;=0),"",($N3163/$B3163)^(365/($M3163-$A3163))-1))))</f>
        <v/>
      </c>
      <c r="P3163" s="31" t="str">
        <f>IF($B3163="","",IF($P3162="",$B3163,MAX($P3162,$B3163)))</f>
        <v/>
      </c>
      <c r="Q3163" s="32" t="str">
        <f>IF($P3163="","",$B3163/$P3163-1)</f>
        <v/>
      </c>
    </row>
    <row r="3164">
      <c r="A3164" s="11" t="n"/>
      <c r="B3164" s="29" t="n"/>
      <c r="K3164" s="30" t="str">
        <f>IF($A3164="","",EDATE($A3164,12*$E$4))</f>
        <v/>
      </c>
      <c r="L3164" s="19" t="str">
        <f>IF($K3164="","",IF($K3164&gt;MAX($A$8:$A$5007),"",IFERROR(MATCH($K3164,$A$8:$A$5007,1),"")))</f>
        <v/>
      </c>
      <c r="M3164" s="30" t="str">
        <f>IF($L3164="","",INDEX($A$8:$A$5007,$L3164))</f>
        <v/>
      </c>
      <c r="N3164" s="31" t="str">
        <f>IF($L3164="","",INDEX($B$8:$B$5007,$L3164))</f>
        <v/>
      </c>
      <c r="O3164" s="32" t="str">
        <f>IF($M3164="","",IF($K3164-$M3164&gt;7,"",IF($M3164&lt;=$A3164,"",IF(OR($B3164&lt;=0,$N3164&lt;=0),"",($N3164/$B3164)^(365/($M3164-$A3164))-1))))</f>
        <v/>
      </c>
      <c r="P3164" s="31" t="str">
        <f>IF($B3164="","",IF($P3163="",$B3164,MAX($P3163,$B3164)))</f>
        <v/>
      </c>
      <c r="Q3164" s="32" t="str">
        <f>IF($P3164="","",$B3164/$P3164-1)</f>
        <v/>
      </c>
    </row>
    <row r="3165">
      <c r="A3165" s="11" t="n"/>
      <c r="B3165" s="29" t="n"/>
      <c r="K3165" s="30" t="str">
        <f>IF($A3165="","",EDATE($A3165,12*$E$4))</f>
        <v/>
      </c>
      <c r="L3165" s="19" t="str">
        <f>IF($K3165="","",IF($K3165&gt;MAX($A$8:$A$5007),"",IFERROR(MATCH($K3165,$A$8:$A$5007,1),"")))</f>
        <v/>
      </c>
      <c r="M3165" s="30" t="str">
        <f>IF($L3165="","",INDEX($A$8:$A$5007,$L3165))</f>
        <v/>
      </c>
      <c r="N3165" s="31" t="str">
        <f>IF($L3165="","",INDEX($B$8:$B$5007,$L3165))</f>
        <v/>
      </c>
      <c r="O3165" s="32" t="str">
        <f>IF($M3165="","",IF($K3165-$M3165&gt;7,"",IF($M3165&lt;=$A3165,"",IF(OR($B3165&lt;=0,$N3165&lt;=0),"",($N3165/$B3165)^(365/($M3165-$A3165))-1))))</f>
        <v/>
      </c>
      <c r="P3165" s="31" t="str">
        <f>IF($B3165="","",IF($P3164="",$B3165,MAX($P3164,$B3165)))</f>
        <v/>
      </c>
      <c r="Q3165" s="32" t="str">
        <f>IF($P3165="","",$B3165/$P3165-1)</f>
        <v/>
      </c>
    </row>
    <row r="3166">
      <c r="A3166" s="11" t="n"/>
      <c r="B3166" s="29" t="n"/>
      <c r="K3166" s="30" t="str">
        <f>IF($A3166="","",EDATE($A3166,12*$E$4))</f>
        <v/>
      </c>
      <c r="L3166" s="19" t="str">
        <f>IF($K3166="","",IF($K3166&gt;MAX($A$8:$A$5007),"",IFERROR(MATCH($K3166,$A$8:$A$5007,1),"")))</f>
        <v/>
      </c>
      <c r="M3166" s="30" t="str">
        <f>IF($L3166="","",INDEX($A$8:$A$5007,$L3166))</f>
        <v/>
      </c>
      <c r="N3166" s="31" t="str">
        <f>IF($L3166="","",INDEX($B$8:$B$5007,$L3166))</f>
        <v/>
      </c>
      <c r="O3166" s="32" t="str">
        <f>IF($M3166="","",IF($K3166-$M3166&gt;7,"",IF($M3166&lt;=$A3166,"",IF(OR($B3166&lt;=0,$N3166&lt;=0),"",($N3166/$B3166)^(365/($M3166-$A3166))-1))))</f>
        <v/>
      </c>
      <c r="P3166" s="31" t="str">
        <f>IF($B3166="","",IF($P3165="",$B3166,MAX($P3165,$B3166)))</f>
        <v/>
      </c>
      <c r="Q3166" s="32" t="str">
        <f>IF($P3166="","",$B3166/$P3166-1)</f>
        <v/>
      </c>
    </row>
    <row r="3167">
      <c r="A3167" s="11" t="n"/>
      <c r="B3167" s="29" t="n"/>
      <c r="K3167" s="30" t="str">
        <f>IF($A3167="","",EDATE($A3167,12*$E$4))</f>
        <v/>
      </c>
      <c r="L3167" s="19" t="str">
        <f>IF($K3167="","",IF($K3167&gt;MAX($A$8:$A$5007),"",IFERROR(MATCH($K3167,$A$8:$A$5007,1),"")))</f>
        <v/>
      </c>
      <c r="M3167" s="30" t="str">
        <f>IF($L3167="","",INDEX($A$8:$A$5007,$L3167))</f>
        <v/>
      </c>
      <c r="N3167" s="31" t="str">
        <f>IF($L3167="","",INDEX($B$8:$B$5007,$L3167))</f>
        <v/>
      </c>
      <c r="O3167" s="32" t="str">
        <f>IF($M3167="","",IF($K3167-$M3167&gt;7,"",IF($M3167&lt;=$A3167,"",IF(OR($B3167&lt;=0,$N3167&lt;=0),"",($N3167/$B3167)^(365/($M3167-$A3167))-1))))</f>
        <v/>
      </c>
      <c r="P3167" s="31" t="str">
        <f>IF($B3167="","",IF($P3166="",$B3167,MAX($P3166,$B3167)))</f>
        <v/>
      </c>
      <c r="Q3167" s="32" t="str">
        <f>IF($P3167="","",$B3167/$P3167-1)</f>
        <v/>
      </c>
    </row>
    <row r="3168">
      <c r="A3168" s="11" t="n"/>
      <c r="B3168" s="29" t="n"/>
      <c r="K3168" s="30" t="str">
        <f>IF($A3168="","",EDATE($A3168,12*$E$4))</f>
        <v/>
      </c>
      <c r="L3168" s="19" t="str">
        <f>IF($K3168="","",IF($K3168&gt;MAX($A$8:$A$5007),"",IFERROR(MATCH($K3168,$A$8:$A$5007,1),"")))</f>
        <v/>
      </c>
      <c r="M3168" s="30" t="str">
        <f>IF($L3168="","",INDEX($A$8:$A$5007,$L3168))</f>
        <v/>
      </c>
      <c r="N3168" s="31" t="str">
        <f>IF($L3168="","",INDEX($B$8:$B$5007,$L3168))</f>
        <v/>
      </c>
      <c r="O3168" s="32" t="str">
        <f>IF($M3168="","",IF($K3168-$M3168&gt;7,"",IF($M3168&lt;=$A3168,"",IF(OR($B3168&lt;=0,$N3168&lt;=0),"",($N3168/$B3168)^(365/($M3168-$A3168))-1))))</f>
        <v/>
      </c>
      <c r="P3168" s="31" t="str">
        <f>IF($B3168="","",IF($P3167="",$B3168,MAX($P3167,$B3168)))</f>
        <v/>
      </c>
      <c r="Q3168" s="32" t="str">
        <f>IF($P3168="","",$B3168/$P3168-1)</f>
        <v/>
      </c>
    </row>
    <row r="3169">
      <c r="A3169" s="11" t="n"/>
      <c r="B3169" s="29" t="n"/>
      <c r="K3169" s="30" t="str">
        <f>IF($A3169="","",EDATE($A3169,12*$E$4))</f>
        <v/>
      </c>
      <c r="L3169" s="19" t="str">
        <f>IF($K3169="","",IF($K3169&gt;MAX($A$8:$A$5007),"",IFERROR(MATCH($K3169,$A$8:$A$5007,1),"")))</f>
        <v/>
      </c>
      <c r="M3169" s="30" t="str">
        <f>IF($L3169="","",INDEX($A$8:$A$5007,$L3169))</f>
        <v/>
      </c>
      <c r="N3169" s="31" t="str">
        <f>IF($L3169="","",INDEX($B$8:$B$5007,$L3169))</f>
        <v/>
      </c>
      <c r="O3169" s="32" t="str">
        <f>IF($M3169="","",IF($K3169-$M3169&gt;7,"",IF($M3169&lt;=$A3169,"",IF(OR($B3169&lt;=0,$N3169&lt;=0),"",($N3169/$B3169)^(365/($M3169-$A3169))-1))))</f>
        <v/>
      </c>
      <c r="P3169" s="31" t="str">
        <f>IF($B3169="","",IF($P3168="",$B3169,MAX($P3168,$B3169)))</f>
        <v/>
      </c>
      <c r="Q3169" s="32" t="str">
        <f>IF($P3169="","",$B3169/$P3169-1)</f>
        <v/>
      </c>
    </row>
    <row r="3170">
      <c r="A3170" s="11" t="n"/>
      <c r="B3170" s="29" t="n"/>
      <c r="K3170" s="30" t="str">
        <f>IF($A3170="","",EDATE($A3170,12*$E$4))</f>
        <v/>
      </c>
      <c r="L3170" s="19" t="str">
        <f>IF($K3170="","",IF($K3170&gt;MAX($A$8:$A$5007),"",IFERROR(MATCH($K3170,$A$8:$A$5007,1),"")))</f>
        <v/>
      </c>
      <c r="M3170" s="30" t="str">
        <f>IF($L3170="","",INDEX($A$8:$A$5007,$L3170))</f>
        <v/>
      </c>
      <c r="N3170" s="31" t="str">
        <f>IF($L3170="","",INDEX($B$8:$B$5007,$L3170))</f>
        <v/>
      </c>
      <c r="O3170" s="32" t="str">
        <f>IF($M3170="","",IF($K3170-$M3170&gt;7,"",IF($M3170&lt;=$A3170,"",IF(OR($B3170&lt;=0,$N3170&lt;=0),"",($N3170/$B3170)^(365/($M3170-$A3170))-1))))</f>
        <v/>
      </c>
      <c r="P3170" s="31" t="str">
        <f>IF($B3170="","",IF($P3169="",$B3170,MAX($P3169,$B3170)))</f>
        <v/>
      </c>
      <c r="Q3170" s="32" t="str">
        <f>IF($P3170="","",$B3170/$P3170-1)</f>
        <v/>
      </c>
    </row>
    <row r="3171">
      <c r="A3171" s="11" t="n"/>
      <c r="B3171" s="29" t="n"/>
      <c r="K3171" s="30" t="str">
        <f>IF($A3171="","",EDATE($A3171,12*$E$4))</f>
        <v/>
      </c>
      <c r="L3171" s="19" t="str">
        <f>IF($K3171="","",IF($K3171&gt;MAX($A$8:$A$5007),"",IFERROR(MATCH($K3171,$A$8:$A$5007,1),"")))</f>
        <v/>
      </c>
      <c r="M3171" s="30" t="str">
        <f>IF($L3171="","",INDEX($A$8:$A$5007,$L3171))</f>
        <v/>
      </c>
      <c r="N3171" s="31" t="str">
        <f>IF($L3171="","",INDEX($B$8:$B$5007,$L3171))</f>
        <v/>
      </c>
      <c r="O3171" s="32" t="str">
        <f>IF($M3171="","",IF($K3171-$M3171&gt;7,"",IF($M3171&lt;=$A3171,"",IF(OR($B3171&lt;=0,$N3171&lt;=0),"",($N3171/$B3171)^(365/($M3171-$A3171))-1))))</f>
        <v/>
      </c>
      <c r="P3171" s="31" t="str">
        <f>IF($B3171="","",IF($P3170="",$B3171,MAX($P3170,$B3171)))</f>
        <v/>
      </c>
      <c r="Q3171" s="32" t="str">
        <f>IF($P3171="","",$B3171/$P3171-1)</f>
        <v/>
      </c>
    </row>
    <row r="3172">
      <c r="A3172" s="11" t="n"/>
      <c r="B3172" s="29" t="n"/>
      <c r="K3172" s="30" t="str">
        <f>IF($A3172="","",EDATE($A3172,12*$E$4))</f>
        <v/>
      </c>
      <c r="L3172" s="19" t="str">
        <f>IF($K3172="","",IF($K3172&gt;MAX($A$8:$A$5007),"",IFERROR(MATCH($K3172,$A$8:$A$5007,1),"")))</f>
        <v/>
      </c>
      <c r="M3172" s="30" t="str">
        <f>IF($L3172="","",INDEX($A$8:$A$5007,$L3172))</f>
        <v/>
      </c>
      <c r="N3172" s="31" t="str">
        <f>IF($L3172="","",INDEX($B$8:$B$5007,$L3172))</f>
        <v/>
      </c>
      <c r="O3172" s="32" t="str">
        <f>IF($M3172="","",IF($K3172-$M3172&gt;7,"",IF($M3172&lt;=$A3172,"",IF(OR($B3172&lt;=0,$N3172&lt;=0),"",($N3172/$B3172)^(365/($M3172-$A3172))-1))))</f>
        <v/>
      </c>
      <c r="P3172" s="31" t="str">
        <f>IF($B3172="","",IF($P3171="",$B3172,MAX($P3171,$B3172)))</f>
        <v/>
      </c>
      <c r="Q3172" s="32" t="str">
        <f>IF($P3172="","",$B3172/$P3172-1)</f>
        <v/>
      </c>
    </row>
    <row r="3173">
      <c r="A3173" s="11" t="n"/>
      <c r="B3173" s="29" t="n"/>
      <c r="K3173" s="30" t="str">
        <f>IF($A3173="","",EDATE($A3173,12*$E$4))</f>
        <v/>
      </c>
      <c r="L3173" s="19" t="str">
        <f>IF($K3173="","",IF($K3173&gt;MAX($A$8:$A$5007),"",IFERROR(MATCH($K3173,$A$8:$A$5007,1),"")))</f>
        <v/>
      </c>
      <c r="M3173" s="30" t="str">
        <f>IF($L3173="","",INDEX($A$8:$A$5007,$L3173))</f>
        <v/>
      </c>
      <c r="N3173" s="31" t="str">
        <f>IF($L3173="","",INDEX($B$8:$B$5007,$L3173))</f>
        <v/>
      </c>
      <c r="O3173" s="32" t="str">
        <f>IF($M3173="","",IF($K3173-$M3173&gt;7,"",IF($M3173&lt;=$A3173,"",IF(OR($B3173&lt;=0,$N3173&lt;=0),"",($N3173/$B3173)^(365/($M3173-$A3173))-1))))</f>
        <v/>
      </c>
      <c r="P3173" s="31" t="str">
        <f>IF($B3173="","",IF($P3172="",$B3173,MAX($P3172,$B3173)))</f>
        <v/>
      </c>
      <c r="Q3173" s="32" t="str">
        <f>IF($P3173="","",$B3173/$P3173-1)</f>
        <v/>
      </c>
    </row>
    <row r="3174">
      <c r="A3174" s="11" t="n"/>
      <c r="B3174" s="29" t="n"/>
      <c r="K3174" s="30" t="str">
        <f>IF($A3174="","",EDATE($A3174,12*$E$4))</f>
        <v/>
      </c>
      <c r="L3174" s="19" t="str">
        <f>IF($K3174="","",IF($K3174&gt;MAX($A$8:$A$5007),"",IFERROR(MATCH($K3174,$A$8:$A$5007,1),"")))</f>
        <v/>
      </c>
      <c r="M3174" s="30" t="str">
        <f>IF($L3174="","",INDEX($A$8:$A$5007,$L3174))</f>
        <v/>
      </c>
      <c r="N3174" s="31" t="str">
        <f>IF($L3174="","",INDEX($B$8:$B$5007,$L3174))</f>
        <v/>
      </c>
      <c r="O3174" s="32" t="str">
        <f>IF($M3174="","",IF($K3174-$M3174&gt;7,"",IF($M3174&lt;=$A3174,"",IF(OR($B3174&lt;=0,$N3174&lt;=0),"",($N3174/$B3174)^(365/($M3174-$A3174))-1))))</f>
        <v/>
      </c>
      <c r="P3174" s="31" t="str">
        <f>IF($B3174="","",IF($P3173="",$B3174,MAX($P3173,$B3174)))</f>
        <v/>
      </c>
      <c r="Q3174" s="32" t="str">
        <f>IF($P3174="","",$B3174/$P3174-1)</f>
        <v/>
      </c>
    </row>
    <row r="3175">
      <c r="A3175" s="11" t="n"/>
      <c r="B3175" s="29" t="n"/>
      <c r="K3175" s="30" t="str">
        <f>IF($A3175="","",EDATE($A3175,12*$E$4))</f>
        <v/>
      </c>
      <c r="L3175" s="19" t="str">
        <f>IF($K3175="","",IF($K3175&gt;MAX($A$8:$A$5007),"",IFERROR(MATCH($K3175,$A$8:$A$5007,1),"")))</f>
        <v/>
      </c>
      <c r="M3175" s="30" t="str">
        <f>IF($L3175="","",INDEX($A$8:$A$5007,$L3175))</f>
        <v/>
      </c>
      <c r="N3175" s="31" t="str">
        <f>IF($L3175="","",INDEX($B$8:$B$5007,$L3175))</f>
        <v/>
      </c>
      <c r="O3175" s="32" t="str">
        <f>IF($M3175="","",IF($K3175-$M3175&gt;7,"",IF($M3175&lt;=$A3175,"",IF(OR($B3175&lt;=0,$N3175&lt;=0),"",($N3175/$B3175)^(365/($M3175-$A3175))-1))))</f>
        <v/>
      </c>
      <c r="P3175" s="31" t="str">
        <f>IF($B3175="","",IF($P3174="",$B3175,MAX($P3174,$B3175)))</f>
        <v/>
      </c>
      <c r="Q3175" s="32" t="str">
        <f>IF($P3175="","",$B3175/$P3175-1)</f>
        <v/>
      </c>
    </row>
    <row r="3176">
      <c r="A3176" s="11" t="n"/>
      <c r="B3176" s="29" t="n"/>
      <c r="K3176" s="30" t="str">
        <f>IF($A3176="","",EDATE($A3176,12*$E$4))</f>
        <v/>
      </c>
      <c r="L3176" s="19" t="str">
        <f>IF($K3176="","",IF($K3176&gt;MAX($A$8:$A$5007),"",IFERROR(MATCH($K3176,$A$8:$A$5007,1),"")))</f>
        <v/>
      </c>
      <c r="M3176" s="30" t="str">
        <f>IF($L3176="","",INDEX($A$8:$A$5007,$L3176))</f>
        <v/>
      </c>
      <c r="N3176" s="31" t="str">
        <f>IF($L3176="","",INDEX($B$8:$B$5007,$L3176))</f>
        <v/>
      </c>
      <c r="O3176" s="32" t="str">
        <f>IF($M3176="","",IF($K3176-$M3176&gt;7,"",IF($M3176&lt;=$A3176,"",IF(OR($B3176&lt;=0,$N3176&lt;=0),"",($N3176/$B3176)^(365/($M3176-$A3176))-1))))</f>
        <v/>
      </c>
      <c r="P3176" s="31" t="str">
        <f>IF($B3176="","",IF($P3175="",$B3176,MAX($P3175,$B3176)))</f>
        <v/>
      </c>
      <c r="Q3176" s="32" t="str">
        <f>IF($P3176="","",$B3176/$P3176-1)</f>
        <v/>
      </c>
    </row>
    <row r="3177">
      <c r="A3177" s="11" t="n"/>
      <c r="B3177" s="29" t="n"/>
      <c r="K3177" s="30" t="str">
        <f>IF($A3177="","",EDATE($A3177,12*$E$4))</f>
        <v/>
      </c>
      <c r="L3177" s="19" t="str">
        <f>IF($K3177="","",IF($K3177&gt;MAX($A$8:$A$5007),"",IFERROR(MATCH($K3177,$A$8:$A$5007,1),"")))</f>
        <v/>
      </c>
      <c r="M3177" s="30" t="str">
        <f>IF($L3177="","",INDEX($A$8:$A$5007,$L3177))</f>
        <v/>
      </c>
      <c r="N3177" s="31" t="str">
        <f>IF($L3177="","",INDEX($B$8:$B$5007,$L3177))</f>
        <v/>
      </c>
      <c r="O3177" s="32" t="str">
        <f>IF($M3177="","",IF($K3177-$M3177&gt;7,"",IF($M3177&lt;=$A3177,"",IF(OR($B3177&lt;=0,$N3177&lt;=0),"",($N3177/$B3177)^(365/($M3177-$A3177))-1))))</f>
        <v/>
      </c>
      <c r="P3177" s="31" t="str">
        <f>IF($B3177="","",IF($P3176="",$B3177,MAX($P3176,$B3177)))</f>
        <v/>
      </c>
      <c r="Q3177" s="32" t="str">
        <f>IF($P3177="","",$B3177/$P3177-1)</f>
        <v/>
      </c>
    </row>
    <row r="3178">
      <c r="A3178" s="11" t="n"/>
      <c r="B3178" s="29" t="n"/>
      <c r="K3178" s="30" t="str">
        <f>IF($A3178="","",EDATE($A3178,12*$E$4))</f>
        <v/>
      </c>
      <c r="L3178" s="19" t="str">
        <f>IF($K3178="","",IF($K3178&gt;MAX($A$8:$A$5007),"",IFERROR(MATCH($K3178,$A$8:$A$5007,1),"")))</f>
        <v/>
      </c>
      <c r="M3178" s="30" t="str">
        <f>IF($L3178="","",INDEX($A$8:$A$5007,$L3178))</f>
        <v/>
      </c>
      <c r="N3178" s="31" t="str">
        <f>IF($L3178="","",INDEX($B$8:$B$5007,$L3178))</f>
        <v/>
      </c>
      <c r="O3178" s="32" t="str">
        <f>IF($M3178="","",IF($K3178-$M3178&gt;7,"",IF($M3178&lt;=$A3178,"",IF(OR($B3178&lt;=0,$N3178&lt;=0),"",($N3178/$B3178)^(365/($M3178-$A3178))-1))))</f>
        <v/>
      </c>
      <c r="P3178" s="31" t="str">
        <f>IF($B3178="","",IF($P3177="",$B3178,MAX($P3177,$B3178)))</f>
        <v/>
      </c>
      <c r="Q3178" s="32" t="str">
        <f>IF($P3178="","",$B3178/$P3178-1)</f>
        <v/>
      </c>
    </row>
    <row r="3179">
      <c r="A3179" s="11" t="n"/>
      <c r="B3179" s="29" t="n"/>
      <c r="K3179" s="30" t="str">
        <f>IF($A3179="","",EDATE($A3179,12*$E$4))</f>
        <v/>
      </c>
      <c r="L3179" s="19" t="str">
        <f>IF($K3179="","",IF($K3179&gt;MAX($A$8:$A$5007),"",IFERROR(MATCH($K3179,$A$8:$A$5007,1),"")))</f>
        <v/>
      </c>
      <c r="M3179" s="30" t="str">
        <f>IF($L3179="","",INDEX($A$8:$A$5007,$L3179))</f>
        <v/>
      </c>
      <c r="N3179" s="31" t="str">
        <f>IF($L3179="","",INDEX($B$8:$B$5007,$L3179))</f>
        <v/>
      </c>
      <c r="O3179" s="32" t="str">
        <f>IF($M3179="","",IF($K3179-$M3179&gt;7,"",IF($M3179&lt;=$A3179,"",IF(OR($B3179&lt;=0,$N3179&lt;=0),"",($N3179/$B3179)^(365/($M3179-$A3179))-1))))</f>
        <v/>
      </c>
      <c r="P3179" s="31" t="str">
        <f>IF($B3179="","",IF($P3178="",$B3179,MAX($P3178,$B3179)))</f>
        <v/>
      </c>
      <c r="Q3179" s="32" t="str">
        <f>IF($P3179="","",$B3179/$P3179-1)</f>
        <v/>
      </c>
    </row>
    <row r="3180">
      <c r="A3180" s="11" t="n"/>
      <c r="B3180" s="29" t="n"/>
      <c r="K3180" s="30" t="str">
        <f>IF($A3180="","",EDATE($A3180,12*$E$4))</f>
        <v/>
      </c>
      <c r="L3180" s="19" t="str">
        <f>IF($K3180="","",IF($K3180&gt;MAX($A$8:$A$5007),"",IFERROR(MATCH($K3180,$A$8:$A$5007,1),"")))</f>
        <v/>
      </c>
      <c r="M3180" s="30" t="str">
        <f>IF($L3180="","",INDEX($A$8:$A$5007,$L3180))</f>
        <v/>
      </c>
      <c r="N3180" s="31" t="str">
        <f>IF($L3180="","",INDEX($B$8:$B$5007,$L3180))</f>
        <v/>
      </c>
      <c r="O3180" s="32" t="str">
        <f>IF($M3180="","",IF($K3180-$M3180&gt;7,"",IF($M3180&lt;=$A3180,"",IF(OR($B3180&lt;=0,$N3180&lt;=0),"",($N3180/$B3180)^(365/($M3180-$A3180))-1))))</f>
        <v/>
      </c>
      <c r="P3180" s="31" t="str">
        <f>IF($B3180="","",IF($P3179="",$B3180,MAX($P3179,$B3180)))</f>
        <v/>
      </c>
      <c r="Q3180" s="32" t="str">
        <f>IF($P3180="","",$B3180/$P3180-1)</f>
        <v/>
      </c>
    </row>
    <row r="3181">
      <c r="A3181" s="11" t="n"/>
      <c r="B3181" s="29" t="n"/>
      <c r="K3181" s="30" t="str">
        <f>IF($A3181="","",EDATE($A3181,12*$E$4))</f>
        <v/>
      </c>
      <c r="L3181" s="19" t="str">
        <f>IF($K3181="","",IF($K3181&gt;MAX($A$8:$A$5007),"",IFERROR(MATCH($K3181,$A$8:$A$5007,1),"")))</f>
        <v/>
      </c>
      <c r="M3181" s="30" t="str">
        <f>IF($L3181="","",INDEX($A$8:$A$5007,$L3181))</f>
        <v/>
      </c>
      <c r="N3181" s="31" t="str">
        <f>IF($L3181="","",INDEX($B$8:$B$5007,$L3181))</f>
        <v/>
      </c>
      <c r="O3181" s="32" t="str">
        <f>IF($M3181="","",IF($K3181-$M3181&gt;7,"",IF($M3181&lt;=$A3181,"",IF(OR($B3181&lt;=0,$N3181&lt;=0),"",($N3181/$B3181)^(365/($M3181-$A3181))-1))))</f>
        <v/>
      </c>
      <c r="P3181" s="31" t="str">
        <f>IF($B3181="","",IF($P3180="",$B3181,MAX($P3180,$B3181)))</f>
        <v/>
      </c>
      <c r="Q3181" s="32" t="str">
        <f>IF($P3181="","",$B3181/$P3181-1)</f>
        <v/>
      </c>
    </row>
    <row r="3182">
      <c r="A3182" s="11" t="n"/>
      <c r="B3182" s="29" t="n"/>
      <c r="K3182" s="30" t="str">
        <f>IF($A3182="","",EDATE($A3182,12*$E$4))</f>
        <v/>
      </c>
      <c r="L3182" s="19" t="str">
        <f>IF($K3182="","",IF($K3182&gt;MAX($A$8:$A$5007),"",IFERROR(MATCH($K3182,$A$8:$A$5007,1),"")))</f>
        <v/>
      </c>
      <c r="M3182" s="30" t="str">
        <f>IF($L3182="","",INDEX($A$8:$A$5007,$L3182))</f>
        <v/>
      </c>
      <c r="N3182" s="31" t="str">
        <f>IF($L3182="","",INDEX($B$8:$B$5007,$L3182))</f>
        <v/>
      </c>
      <c r="O3182" s="32" t="str">
        <f>IF($M3182="","",IF($K3182-$M3182&gt;7,"",IF($M3182&lt;=$A3182,"",IF(OR($B3182&lt;=0,$N3182&lt;=0),"",($N3182/$B3182)^(365/($M3182-$A3182))-1))))</f>
        <v/>
      </c>
      <c r="P3182" s="31" t="str">
        <f>IF($B3182="","",IF($P3181="",$B3182,MAX($P3181,$B3182)))</f>
        <v/>
      </c>
      <c r="Q3182" s="32" t="str">
        <f>IF($P3182="","",$B3182/$P3182-1)</f>
        <v/>
      </c>
    </row>
    <row r="3183">
      <c r="A3183" s="11" t="n"/>
      <c r="B3183" s="29" t="n"/>
      <c r="K3183" s="30" t="str">
        <f>IF($A3183="","",EDATE($A3183,12*$E$4))</f>
        <v/>
      </c>
      <c r="L3183" s="19" t="str">
        <f>IF($K3183="","",IF($K3183&gt;MAX($A$8:$A$5007),"",IFERROR(MATCH($K3183,$A$8:$A$5007,1),"")))</f>
        <v/>
      </c>
      <c r="M3183" s="30" t="str">
        <f>IF($L3183="","",INDEX($A$8:$A$5007,$L3183))</f>
        <v/>
      </c>
      <c r="N3183" s="31" t="str">
        <f>IF($L3183="","",INDEX($B$8:$B$5007,$L3183))</f>
        <v/>
      </c>
      <c r="O3183" s="32" t="str">
        <f>IF($M3183="","",IF($K3183-$M3183&gt;7,"",IF($M3183&lt;=$A3183,"",IF(OR($B3183&lt;=0,$N3183&lt;=0),"",($N3183/$B3183)^(365/($M3183-$A3183))-1))))</f>
        <v/>
      </c>
      <c r="P3183" s="31" t="str">
        <f>IF($B3183="","",IF($P3182="",$B3183,MAX($P3182,$B3183)))</f>
        <v/>
      </c>
      <c r="Q3183" s="32" t="str">
        <f>IF($P3183="","",$B3183/$P3183-1)</f>
        <v/>
      </c>
    </row>
    <row r="3184">
      <c r="A3184" s="11" t="n"/>
      <c r="B3184" s="29" t="n"/>
      <c r="K3184" s="30" t="str">
        <f>IF($A3184="","",EDATE($A3184,12*$E$4))</f>
        <v/>
      </c>
      <c r="L3184" s="19" t="str">
        <f>IF($K3184="","",IF($K3184&gt;MAX($A$8:$A$5007),"",IFERROR(MATCH($K3184,$A$8:$A$5007,1),"")))</f>
        <v/>
      </c>
      <c r="M3184" s="30" t="str">
        <f>IF($L3184="","",INDEX($A$8:$A$5007,$L3184))</f>
        <v/>
      </c>
      <c r="N3184" s="31" t="str">
        <f>IF($L3184="","",INDEX($B$8:$B$5007,$L3184))</f>
        <v/>
      </c>
      <c r="O3184" s="32" t="str">
        <f>IF($M3184="","",IF($K3184-$M3184&gt;7,"",IF($M3184&lt;=$A3184,"",IF(OR($B3184&lt;=0,$N3184&lt;=0),"",($N3184/$B3184)^(365/($M3184-$A3184))-1))))</f>
        <v/>
      </c>
      <c r="P3184" s="31" t="str">
        <f>IF($B3184="","",IF($P3183="",$B3184,MAX($P3183,$B3184)))</f>
        <v/>
      </c>
      <c r="Q3184" s="32" t="str">
        <f>IF($P3184="","",$B3184/$P3184-1)</f>
        <v/>
      </c>
    </row>
    <row r="3185">
      <c r="A3185" s="11" t="n"/>
      <c r="B3185" s="29" t="n"/>
      <c r="K3185" s="30" t="str">
        <f>IF($A3185="","",EDATE($A3185,12*$E$4))</f>
        <v/>
      </c>
      <c r="L3185" s="19" t="str">
        <f>IF($K3185="","",IF($K3185&gt;MAX($A$8:$A$5007),"",IFERROR(MATCH($K3185,$A$8:$A$5007,1),"")))</f>
        <v/>
      </c>
      <c r="M3185" s="30" t="str">
        <f>IF($L3185="","",INDEX($A$8:$A$5007,$L3185))</f>
        <v/>
      </c>
      <c r="N3185" s="31" t="str">
        <f>IF($L3185="","",INDEX($B$8:$B$5007,$L3185))</f>
        <v/>
      </c>
      <c r="O3185" s="32" t="str">
        <f>IF($M3185="","",IF($K3185-$M3185&gt;7,"",IF($M3185&lt;=$A3185,"",IF(OR($B3185&lt;=0,$N3185&lt;=0),"",($N3185/$B3185)^(365/($M3185-$A3185))-1))))</f>
        <v/>
      </c>
      <c r="P3185" s="31" t="str">
        <f>IF($B3185="","",IF($P3184="",$B3185,MAX($P3184,$B3185)))</f>
        <v/>
      </c>
      <c r="Q3185" s="32" t="str">
        <f>IF($P3185="","",$B3185/$P3185-1)</f>
        <v/>
      </c>
    </row>
    <row r="3186">
      <c r="A3186" s="11" t="n"/>
      <c r="B3186" s="29" t="n"/>
      <c r="K3186" s="30" t="str">
        <f>IF($A3186="","",EDATE($A3186,12*$E$4))</f>
        <v/>
      </c>
      <c r="L3186" s="19" t="str">
        <f>IF($K3186="","",IF($K3186&gt;MAX($A$8:$A$5007),"",IFERROR(MATCH($K3186,$A$8:$A$5007,1),"")))</f>
        <v/>
      </c>
      <c r="M3186" s="30" t="str">
        <f>IF($L3186="","",INDEX($A$8:$A$5007,$L3186))</f>
        <v/>
      </c>
      <c r="N3186" s="31" t="str">
        <f>IF($L3186="","",INDEX($B$8:$B$5007,$L3186))</f>
        <v/>
      </c>
      <c r="O3186" s="32" t="str">
        <f>IF($M3186="","",IF($K3186-$M3186&gt;7,"",IF($M3186&lt;=$A3186,"",IF(OR($B3186&lt;=0,$N3186&lt;=0),"",($N3186/$B3186)^(365/($M3186-$A3186))-1))))</f>
        <v/>
      </c>
      <c r="P3186" s="31" t="str">
        <f>IF($B3186="","",IF($P3185="",$B3186,MAX($P3185,$B3186)))</f>
        <v/>
      </c>
      <c r="Q3186" s="32" t="str">
        <f>IF($P3186="","",$B3186/$P3186-1)</f>
        <v/>
      </c>
    </row>
    <row r="3187">
      <c r="A3187" s="11" t="n"/>
      <c r="B3187" s="29" t="n"/>
      <c r="K3187" s="30" t="str">
        <f>IF($A3187="","",EDATE($A3187,12*$E$4))</f>
        <v/>
      </c>
      <c r="L3187" s="19" t="str">
        <f>IF($K3187="","",IF($K3187&gt;MAX($A$8:$A$5007),"",IFERROR(MATCH($K3187,$A$8:$A$5007,1),"")))</f>
        <v/>
      </c>
      <c r="M3187" s="30" t="str">
        <f>IF($L3187="","",INDEX($A$8:$A$5007,$L3187))</f>
        <v/>
      </c>
      <c r="N3187" s="31" t="str">
        <f>IF($L3187="","",INDEX($B$8:$B$5007,$L3187))</f>
        <v/>
      </c>
      <c r="O3187" s="32" t="str">
        <f>IF($M3187="","",IF($K3187-$M3187&gt;7,"",IF($M3187&lt;=$A3187,"",IF(OR($B3187&lt;=0,$N3187&lt;=0),"",($N3187/$B3187)^(365/($M3187-$A3187))-1))))</f>
        <v/>
      </c>
      <c r="P3187" s="31" t="str">
        <f>IF($B3187="","",IF($P3186="",$B3187,MAX($P3186,$B3187)))</f>
        <v/>
      </c>
      <c r="Q3187" s="32" t="str">
        <f>IF($P3187="","",$B3187/$P3187-1)</f>
        <v/>
      </c>
    </row>
    <row r="3188">
      <c r="A3188" s="11" t="n"/>
      <c r="B3188" s="29" t="n"/>
      <c r="K3188" s="30" t="str">
        <f>IF($A3188="","",EDATE($A3188,12*$E$4))</f>
        <v/>
      </c>
      <c r="L3188" s="19" t="str">
        <f>IF($K3188="","",IF($K3188&gt;MAX($A$8:$A$5007),"",IFERROR(MATCH($K3188,$A$8:$A$5007,1),"")))</f>
        <v/>
      </c>
      <c r="M3188" s="30" t="str">
        <f>IF($L3188="","",INDEX($A$8:$A$5007,$L3188))</f>
        <v/>
      </c>
      <c r="N3188" s="31" t="str">
        <f>IF($L3188="","",INDEX($B$8:$B$5007,$L3188))</f>
        <v/>
      </c>
      <c r="O3188" s="32" t="str">
        <f>IF($M3188="","",IF($K3188-$M3188&gt;7,"",IF($M3188&lt;=$A3188,"",IF(OR($B3188&lt;=0,$N3188&lt;=0),"",($N3188/$B3188)^(365/($M3188-$A3188))-1))))</f>
        <v/>
      </c>
      <c r="P3188" s="31" t="str">
        <f>IF($B3188="","",IF($P3187="",$B3188,MAX($P3187,$B3188)))</f>
        <v/>
      </c>
      <c r="Q3188" s="32" t="str">
        <f>IF($P3188="","",$B3188/$P3188-1)</f>
        <v/>
      </c>
    </row>
    <row r="3189">
      <c r="A3189" s="11" t="n"/>
      <c r="B3189" s="29" t="n"/>
      <c r="K3189" s="30" t="str">
        <f>IF($A3189="","",EDATE($A3189,12*$E$4))</f>
        <v/>
      </c>
      <c r="L3189" s="19" t="str">
        <f>IF($K3189="","",IF($K3189&gt;MAX($A$8:$A$5007),"",IFERROR(MATCH($K3189,$A$8:$A$5007,1),"")))</f>
        <v/>
      </c>
      <c r="M3189" s="30" t="str">
        <f>IF($L3189="","",INDEX($A$8:$A$5007,$L3189))</f>
        <v/>
      </c>
      <c r="N3189" s="31" t="str">
        <f>IF($L3189="","",INDEX($B$8:$B$5007,$L3189))</f>
        <v/>
      </c>
      <c r="O3189" s="32" t="str">
        <f>IF($M3189="","",IF($K3189-$M3189&gt;7,"",IF($M3189&lt;=$A3189,"",IF(OR($B3189&lt;=0,$N3189&lt;=0),"",($N3189/$B3189)^(365/($M3189-$A3189))-1))))</f>
        <v/>
      </c>
      <c r="P3189" s="31" t="str">
        <f>IF($B3189="","",IF($P3188="",$B3189,MAX($P3188,$B3189)))</f>
        <v/>
      </c>
      <c r="Q3189" s="32" t="str">
        <f>IF($P3189="","",$B3189/$P3189-1)</f>
        <v/>
      </c>
    </row>
    <row r="3190">
      <c r="A3190" s="11" t="n"/>
      <c r="B3190" s="29" t="n"/>
      <c r="K3190" s="30" t="str">
        <f>IF($A3190="","",EDATE($A3190,12*$E$4))</f>
        <v/>
      </c>
      <c r="L3190" s="19" t="str">
        <f>IF($K3190="","",IF($K3190&gt;MAX($A$8:$A$5007),"",IFERROR(MATCH($K3190,$A$8:$A$5007,1),"")))</f>
        <v/>
      </c>
      <c r="M3190" s="30" t="str">
        <f>IF($L3190="","",INDEX($A$8:$A$5007,$L3190))</f>
        <v/>
      </c>
      <c r="N3190" s="31" t="str">
        <f>IF($L3190="","",INDEX($B$8:$B$5007,$L3190))</f>
        <v/>
      </c>
      <c r="O3190" s="32" t="str">
        <f>IF($M3190="","",IF($K3190-$M3190&gt;7,"",IF($M3190&lt;=$A3190,"",IF(OR($B3190&lt;=0,$N3190&lt;=0),"",($N3190/$B3190)^(365/($M3190-$A3190))-1))))</f>
        <v/>
      </c>
      <c r="P3190" s="31" t="str">
        <f>IF($B3190="","",IF($P3189="",$B3190,MAX($P3189,$B3190)))</f>
        <v/>
      </c>
      <c r="Q3190" s="32" t="str">
        <f>IF($P3190="","",$B3190/$P3190-1)</f>
        <v/>
      </c>
    </row>
    <row r="3191">
      <c r="A3191" s="11" t="n"/>
      <c r="B3191" s="29" t="n"/>
      <c r="K3191" s="30" t="str">
        <f>IF($A3191="","",EDATE($A3191,12*$E$4))</f>
        <v/>
      </c>
      <c r="L3191" s="19" t="str">
        <f>IF($K3191="","",IF($K3191&gt;MAX($A$8:$A$5007),"",IFERROR(MATCH($K3191,$A$8:$A$5007,1),"")))</f>
        <v/>
      </c>
      <c r="M3191" s="30" t="str">
        <f>IF($L3191="","",INDEX($A$8:$A$5007,$L3191))</f>
        <v/>
      </c>
      <c r="N3191" s="31" t="str">
        <f>IF($L3191="","",INDEX($B$8:$B$5007,$L3191))</f>
        <v/>
      </c>
      <c r="O3191" s="32" t="str">
        <f>IF($M3191="","",IF($K3191-$M3191&gt;7,"",IF($M3191&lt;=$A3191,"",IF(OR($B3191&lt;=0,$N3191&lt;=0),"",($N3191/$B3191)^(365/($M3191-$A3191))-1))))</f>
        <v/>
      </c>
      <c r="P3191" s="31" t="str">
        <f>IF($B3191="","",IF($P3190="",$B3191,MAX($P3190,$B3191)))</f>
        <v/>
      </c>
      <c r="Q3191" s="32" t="str">
        <f>IF($P3191="","",$B3191/$P3191-1)</f>
        <v/>
      </c>
    </row>
    <row r="3192">
      <c r="A3192" s="11" t="n"/>
      <c r="B3192" s="29" t="n"/>
      <c r="K3192" s="30" t="str">
        <f>IF($A3192="","",EDATE($A3192,12*$E$4))</f>
        <v/>
      </c>
      <c r="L3192" s="19" t="str">
        <f>IF($K3192="","",IF($K3192&gt;MAX($A$8:$A$5007),"",IFERROR(MATCH($K3192,$A$8:$A$5007,1),"")))</f>
        <v/>
      </c>
      <c r="M3192" s="30" t="str">
        <f>IF($L3192="","",INDEX($A$8:$A$5007,$L3192))</f>
        <v/>
      </c>
      <c r="N3192" s="31" t="str">
        <f>IF($L3192="","",INDEX($B$8:$B$5007,$L3192))</f>
        <v/>
      </c>
      <c r="O3192" s="32" t="str">
        <f>IF($M3192="","",IF($K3192-$M3192&gt;7,"",IF($M3192&lt;=$A3192,"",IF(OR($B3192&lt;=0,$N3192&lt;=0),"",($N3192/$B3192)^(365/($M3192-$A3192))-1))))</f>
        <v/>
      </c>
      <c r="P3192" s="31" t="str">
        <f>IF($B3192="","",IF($P3191="",$B3192,MAX($P3191,$B3192)))</f>
        <v/>
      </c>
      <c r="Q3192" s="32" t="str">
        <f>IF($P3192="","",$B3192/$P3192-1)</f>
        <v/>
      </c>
    </row>
    <row r="3193">
      <c r="A3193" s="11" t="n"/>
      <c r="B3193" s="29" t="n"/>
      <c r="K3193" s="30" t="str">
        <f>IF($A3193="","",EDATE($A3193,12*$E$4))</f>
        <v/>
      </c>
      <c r="L3193" s="19" t="str">
        <f>IF($K3193="","",IF($K3193&gt;MAX($A$8:$A$5007),"",IFERROR(MATCH($K3193,$A$8:$A$5007,1),"")))</f>
        <v/>
      </c>
      <c r="M3193" s="30" t="str">
        <f>IF($L3193="","",INDEX($A$8:$A$5007,$L3193))</f>
        <v/>
      </c>
      <c r="N3193" s="31" t="str">
        <f>IF($L3193="","",INDEX($B$8:$B$5007,$L3193))</f>
        <v/>
      </c>
      <c r="O3193" s="32" t="str">
        <f>IF($M3193="","",IF($K3193-$M3193&gt;7,"",IF($M3193&lt;=$A3193,"",IF(OR($B3193&lt;=0,$N3193&lt;=0),"",($N3193/$B3193)^(365/($M3193-$A3193))-1))))</f>
        <v/>
      </c>
      <c r="P3193" s="31" t="str">
        <f>IF($B3193="","",IF($P3192="",$B3193,MAX($P3192,$B3193)))</f>
        <v/>
      </c>
      <c r="Q3193" s="32" t="str">
        <f>IF($P3193="","",$B3193/$P3193-1)</f>
        <v/>
      </c>
    </row>
    <row r="3194">
      <c r="A3194" s="11" t="n"/>
      <c r="B3194" s="29" t="n"/>
      <c r="K3194" s="30" t="str">
        <f>IF($A3194="","",EDATE($A3194,12*$E$4))</f>
        <v/>
      </c>
      <c r="L3194" s="19" t="str">
        <f>IF($K3194="","",IF($K3194&gt;MAX($A$8:$A$5007),"",IFERROR(MATCH($K3194,$A$8:$A$5007,1),"")))</f>
        <v/>
      </c>
      <c r="M3194" s="30" t="str">
        <f>IF($L3194="","",INDEX($A$8:$A$5007,$L3194))</f>
        <v/>
      </c>
      <c r="N3194" s="31" t="str">
        <f>IF($L3194="","",INDEX($B$8:$B$5007,$L3194))</f>
        <v/>
      </c>
      <c r="O3194" s="32" t="str">
        <f>IF($M3194="","",IF($K3194-$M3194&gt;7,"",IF($M3194&lt;=$A3194,"",IF(OR($B3194&lt;=0,$N3194&lt;=0),"",($N3194/$B3194)^(365/($M3194-$A3194))-1))))</f>
        <v/>
      </c>
      <c r="P3194" s="31" t="str">
        <f>IF($B3194="","",IF($P3193="",$B3194,MAX($P3193,$B3194)))</f>
        <v/>
      </c>
      <c r="Q3194" s="32" t="str">
        <f>IF($P3194="","",$B3194/$P3194-1)</f>
        <v/>
      </c>
    </row>
    <row r="3195">
      <c r="A3195" s="11" t="n"/>
      <c r="B3195" s="29" t="n"/>
      <c r="K3195" s="30" t="str">
        <f>IF($A3195="","",EDATE($A3195,12*$E$4))</f>
        <v/>
      </c>
      <c r="L3195" s="19" t="str">
        <f>IF($K3195="","",IF($K3195&gt;MAX($A$8:$A$5007),"",IFERROR(MATCH($K3195,$A$8:$A$5007,1),"")))</f>
        <v/>
      </c>
      <c r="M3195" s="30" t="str">
        <f>IF($L3195="","",INDEX($A$8:$A$5007,$L3195))</f>
        <v/>
      </c>
      <c r="N3195" s="31" t="str">
        <f>IF($L3195="","",INDEX($B$8:$B$5007,$L3195))</f>
        <v/>
      </c>
      <c r="O3195" s="32" t="str">
        <f>IF($M3195="","",IF($K3195-$M3195&gt;7,"",IF($M3195&lt;=$A3195,"",IF(OR($B3195&lt;=0,$N3195&lt;=0),"",($N3195/$B3195)^(365/($M3195-$A3195))-1))))</f>
        <v/>
      </c>
      <c r="P3195" s="31" t="str">
        <f>IF($B3195="","",IF($P3194="",$B3195,MAX($P3194,$B3195)))</f>
        <v/>
      </c>
      <c r="Q3195" s="32" t="str">
        <f>IF($P3195="","",$B3195/$P3195-1)</f>
        <v/>
      </c>
    </row>
    <row r="3196">
      <c r="A3196" s="11" t="n"/>
      <c r="B3196" s="29" t="n"/>
      <c r="K3196" s="30" t="str">
        <f>IF($A3196="","",EDATE($A3196,12*$E$4))</f>
        <v/>
      </c>
      <c r="L3196" s="19" t="str">
        <f>IF($K3196="","",IF($K3196&gt;MAX($A$8:$A$5007),"",IFERROR(MATCH($K3196,$A$8:$A$5007,1),"")))</f>
        <v/>
      </c>
      <c r="M3196" s="30" t="str">
        <f>IF($L3196="","",INDEX($A$8:$A$5007,$L3196))</f>
        <v/>
      </c>
      <c r="N3196" s="31" t="str">
        <f>IF($L3196="","",INDEX($B$8:$B$5007,$L3196))</f>
        <v/>
      </c>
      <c r="O3196" s="32" t="str">
        <f>IF($M3196="","",IF($K3196-$M3196&gt;7,"",IF($M3196&lt;=$A3196,"",IF(OR($B3196&lt;=0,$N3196&lt;=0),"",($N3196/$B3196)^(365/($M3196-$A3196))-1))))</f>
        <v/>
      </c>
      <c r="P3196" s="31" t="str">
        <f>IF($B3196="","",IF($P3195="",$B3196,MAX($P3195,$B3196)))</f>
        <v/>
      </c>
      <c r="Q3196" s="32" t="str">
        <f>IF($P3196="","",$B3196/$P3196-1)</f>
        <v/>
      </c>
    </row>
    <row r="3197">
      <c r="A3197" s="11" t="n"/>
      <c r="B3197" s="29" t="n"/>
      <c r="K3197" s="30" t="str">
        <f>IF($A3197="","",EDATE($A3197,12*$E$4))</f>
        <v/>
      </c>
      <c r="L3197" s="19" t="str">
        <f>IF($K3197="","",IF($K3197&gt;MAX($A$8:$A$5007),"",IFERROR(MATCH($K3197,$A$8:$A$5007,1),"")))</f>
        <v/>
      </c>
      <c r="M3197" s="30" t="str">
        <f>IF($L3197="","",INDEX($A$8:$A$5007,$L3197))</f>
        <v/>
      </c>
      <c r="N3197" s="31" t="str">
        <f>IF($L3197="","",INDEX($B$8:$B$5007,$L3197))</f>
        <v/>
      </c>
      <c r="O3197" s="32" t="str">
        <f>IF($M3197="","",IF($K3197-$M3197&gt;7,"",IF($M3197&lt;=$A3197,"",IF(OR($B3197&lt;=0,$N3197&lt;=0),"",($N3197/$B3197)^(365/($M3197-$A3197))-1))))</f>
        <v/>
      </c>
      <c r="P3197" s="31" t="str">
        <f>IF($B3197="","",IF($P3196="",$B3197,MAX($P3196,$B3197)))</f>
        <v/>
      </c>
      <c r="Q3197" s="32" t="str">
        <f>IF($P3197="","",$B3197/$P3197-1)</f>
        <v/>
      </c>
    </row>
    <row r="3198">
      <c r="A3198" s="11" t="n"/>
      <c r="B3198" s="29" t="n"/>
      <c r="K3198" s="30" t="str">
        <f>IF($A3198="","",EDATE($A3198,12*$E$4))</f>
        <v/>
      </c>
      <c r="L3198" s="19" t="str">
        <f>IF($K3198="","",IF($K3198&gt;MAX($A$8:$A$5007),"",IFERROR(MATCH($K3198,$A$8:$A$5007,1),"")))</f>
        <v/>
      </c>
      <c r="M3198" s="30" t="str">
        <f>IF($L3198="","",INDEX($A$8:$A$5007,$L3198))</f>
        <v/>
      </c>
      <c r="N3198" s="31" t="str">
        <f>IF($L3198="","",INDEX($B$8:$B$5007,$L3198))</f>
        <v/>
      </c>
      <c r="O3198" s="32" t="str">
        <f>IF($M3198="","",IF($K3198-$M3198&gt;7,"",IF($M3198&lt;=$A3198,"",IF(OR($B3198&lt;=0,$N3198&lt;=0),"",($N3198/$B3198)^(365/($M3198-$A3198))-1))))</f>
        <v/>
      </c>
      <c r="P3198" s="31" t="str">
        <f>IF($B3198="","",IF($P3197="",$B3198,MAX($P3197,$B3198)))</f>
        <v/>
      </c>
      <c r="Q3198" s="32" t="str">
        <f>IF($P3198="","",$B3198/$P3198-1)</f>
        <v/>
      </c>
    </row>
    <row r="3199">
      <c r="A3199" s="11" t="n"/>
      <c r="B3199" s="29" t="n"/>
      <c r="K3199" s="30" t="str">
        <f>IF($A3199="","",EDATE($A3199,12*$E$4))</f>
        <v/>
      </c>
      <c r="L3199" s="19" t="str">
        <f>IF($K3199="","",IF($K3199&gt;MAX($A$8:$A$5007),"",IFERROR(MATCH($K3199,$A$8:$A$5007,1),"")))</f>
        <v/>
      </c>
      <c r="M3199" s="30" t="str">
        <f>IF($L3199="","",INDEX($A$8:$A$5007,$L3199))</f>
        <v/>
      </c>
      <c r="N3199" s="31" t="str">
        <f>IF($L3199="","",INDEX($B$8:$B$5007,$L3199))</f>
        <v/>
      </c>
      <c r="O3199" s="32" t="str">
        <f>IF($M3199="","",IF($K3199-$M3199&gt;7,"",IF($M3199&lt;=$A3199,"",IF(OR($B3199&lt;=0,$N3199&lt;=0),"",($N3199/$B3199)^(365/($M3199-$A3199))-1))))</f>
        <v/>
      </c>
      <c r="P3199" s="31" t="str">
        <f>IF($B3199="","",IF($P3198="",$B3199,MAX($P3198,$B3199)))</f>
        <v/>
      </c>
      <c r="Q3199" s="32" t="str">
        <f>IF($P3199="","",$B3199/$P3199-1)</f>
        <v/>
      </c>
    </row>
    <row r="3200">
      <c r="A3200" s="11" t="n"/>
      <c r="B3200" s="29" t="n"/>
      <c r="K3200" s="30" t="str">
        <f>IF($A3200="","",EDATE($A3200,12*$E$4))</f>
        <v/>
      </c>
      <c r="L3200" s="19" t="str">
        <f>IF($K3200="","",IF($K3200&gt;MAX($A$8:$A$5007),"",IFERROR(MATCH($K3200,$A$8:$A$5007,1),"")))</f>
        <v/>
      </c>
      <c r="M3200" s="30" t="str">
        <f>IF($L3200="","",INDEX($A$8:$A$5007,$L3200))</f>
        <v/>
      </c>
      <c r="N3200" s="31" t="str">
        <f>IF($L3200="","",INDEX($B$8:$B$5007,$L3200))</f>
        <v/>
      </c>
      <c r="O3200" s="32" t="str">
        <f>IF($M3200="","",IF($K3200-$M3200&gt;7,"",IF($M3200&lt;=$A3200,"",IF(OR($B3200&lt;=0,$N3200&lt;=0),"",($N3200/$B3200)^(365/($M3200-$A3200))-1))))</f>
        <v/>
      </c>
      <c r="P3200" s="31" t="str">
        <f>IF($B3200="","",IF($P3199="",$B3200,MAX($P3199,$B3200)))</f>
        <v/>
      </c>
      <c r="Q3200" s="32" t="str">
        <f>IF($P3200="","",$B3200/$P3200-1)</f>
        <v/>
      </c>
    </row>
    <row r="3201">
      <c r="A3201" s="11" t="n"/>
      <c r="B3201" s="29" t="n"/>
      <c r="K3201" s="30" t="str">
        <f>IF($A3201="","",EDATE($A3201,12*$E$4))</f>
        <v/>
      </c>
      <c r="L3201" s="19" t="str">
        <f>IF($K3201="","",IF($K3201&gt;MAX($A$8:$A$5007),"",IFERROR(MATCH($K3201,$A$8:$A$5007,1),"")))</f>
        <v/>
      </c>
      <c r="M3201" s="30" t="str">
        <f>IF($L3201="","",INDEX($A$8:$A$5007,$L3201))</f>
        <v/>
      </c>
      <c r="N3201" s="31" t="str">
        <f>IF($L3201="","",INDEX($B$8:$B$5007,$L3201))</f>
        <v/>
      </c>
      <c r="O3201" s="32" t="str">
        <f>IF($M3201="","",IF($K3201-$M3201&gt;7,"",IF($M3201&lt;=$A3201,"",IF(OR($B3201&lt;=0,$N3201&lt;=0),"",($N3201/$B3201)^(365/($M3201-$A3201))-1))))</f>
        <v/>
      </c>
      <c r="P3201" s="31" t="str">
        <f>IF($B3201="","",IF($P3200="",$B3201,MAX($P3200,$B3201)))</f>
        <v/>
      </c>
      <c r="Q3201" s="32" t="str">
        <f>IF($P3201="","",$B3201/$P3201-1)</f>
        <v/>
      </c>
    </row>
    <row r="3202">
      <c r="A3202" s="11" t="n"/>
      <c r="B3202" s="29" t="n"/>
      <c r="K3202" s="30" t="str">
        <f>IF($A3202="","",EDATE($A3202,12*$E$4))</f>
        <v/>
      </c>
      <c r="L3202" s="19" t="str">
        <f>IF($K3202="","",IF($K3202&gt;MAX($A$8:$A$5007),"",IFERROR(MATCH($K3202,$A$8:$A$5007,1),"")))</f>
        <v/>
      </c>
      <c r="M3202" s="30" t="str">
        <f>IF($L3202="","",INDEX($A$8:$A$5007,$L3202))</f>
        <v/>
      </c>
      <c r="N3202" s="31" t="str">
        <f>IF($L3202="","",INDEX($B$8:$B$5007,$L3202))</f>
        <v/>
      </c>
      <c r="O3202" s="32" t="str">
        <f>IF($M3202="","",IF($K3202-$M3202&gt;7,"",IF($M3202&lt;=$A3202,"",IF(OR($B3202&lt;=0,$N3202&lt;=0),"",($N3202/$B3202)^(365/($M3202-$A3202))-1))))</f>
        <v/>
      </c>
      <c r="P3202" s="31" t="str">
        <f>IF($B3202="","",IF($P3201="",$B3202,MAX($P3201,$B3202)))</f>
        <v/>
      </c>
      <c r="Q3202" s="32" t="str">
        <f>IF($P3202="","",$B3202/$P3202-1)</f>
        <v/>
      </c>
    </row>
    <row r="3203">
      <c r="A3203" s="11" t="n"/>
      <c r="B3203" s="29" t="n"/>
      <c r="K3203" s="30" t="str">
        <f>IF($A3203="","",EDATE($A3203,12*$E$4))</f>
        <v/>
      </c>
      <c r="L3203" s="19" t="str">
        <f>IF($K3203="","",IF($K3203&gt;MAX($A$8:$A$5007),"",IFERROR(MATCH($K3203,$A$8:$A$5007,1),"")))</f>
        <v/>
      </c>
      <c r="M3203" s="30" t="str">
        <f>IF($L3203="","",INDEX($A$8:$A$5007,$L3203))</f>
        <v/>
      </c>
      <c r="N3203" s="31" t="str">
        <f>IF($L3203="","",INDEX($B$8:$B$5007,$L3203))</f>
        <v/>
      </c>
      <c r="O3203" s="32" t="str">
        <f>IF($M3203="","",IF($K3203-$M3203&gt;7,"",IF($M3203&lt;=$A3203,"",IF(OR($B3203&lt;=0,$N3203&lt;=0),"",($N3203/$B3203)^(365/($M3203-$A3203))-1))))</f>
        <v/>
      </c>
      <c r="P3203" s="31" t="str">
        <f>IF($B3203="","",IF($P3202="",$B3203,MAX($P3202,$B3203)))</f>
        <v/>
      </c>
      <c r="Q3203" s="32" t="str">
        <f>IF($P3203="","",$B3203/$P3203-1)</f>
        <v/>
      </c>
    </row>
    <row r="3204">
      <c r="A3204" s="11" t="n"/>
      <c r="B3204" s="29" t="n"/>
      <c r="K3204" s="30" t="str">
        <f>IF($A3204="","",EDATE($A3204,12*$E$4))</f>
        <v/>
      </c>
      <c r="L3204" s="19" t="str">
        <f>IF($K3204="","",IF($K3204&gt;MAX($A$8:$A$5007),"",IFERROR(MATCH($K3204,$A$8:$A$5007,1),"")))</f>
        <v/>
      </c>
      <c r="M3204" s="30" t="str">
        <f>IF($L3204="","",INDEX($A$8:$A$5007,$L3204))</f>
        <v/>
      </c>
      <c r="N3204" s="31" t="str">
        <f>IF($L3204="","",INDEX($B$8:$B$5007,$L3204))</f>
        <v/>
      </c>
      <c r="O3204" s="32" t="str">
        <f>IF($M3204="","",IF($K3204-$M3204&gt;7,"",IF($M3204&lt;=$A3204,"",IF(OR($B3204&lt;=0,$N3204&lt;=0),"",($N3204/$B3204)^(365/($M3204-$A3204))-1))))</f>
        <v/>
      </c>
      <c r="P3204" s="31" t="str">
        <f>IF($B3204="","",IF($P3203="",$B3204,MAX($P3203,$B3204)))</f>
        <v/>
      </c>
      <c r="Q3204" s="32" t="str">
        <f>IF($P3204="","",$B3204/$P3204-1)</f>
        <v/>
      </c>
    </row>
    <row r="3205">
      <c r="A3205" s="11" t="n"/>
      <c r="B3205" s="29" t="n"/>
      <c r="K3205" s="30" t="str">
        <f>IF($A3205="","",EDATE($A3205,12*$E$4))</f>
        <v/>
      </c>
      <c r="L3205" s="19" t="str">
        <f>IF($K3205="","",IF($K3205&gt;MAX($A$8:$A$5007),"",IFERROR(MATCH($K3205,$A$8:$A$5007,1),"")))</f>
        <v/>
      </c>
      <c r="M3205" s="30" t="str">
        <f>IF($L3205="","",INDEX($A$8:$A$5007,$L3205))</f>
        <v/>
      </c>
      <c r="N3205" s="31" t="str">
        <f>IF($L3205="","",INDEX($B$8:$B$5007,$L3205))</f>
        <v/>
      </c>
      <c r="O3205" s="32" t="str">
        <f>IF($M3205="","",IF($K3205-$M3205&gt;7,"",IF($M3205&lt;=$A3205,"",IF(OR($B3205&lt;=0,$N3205&lt;=0),"",($N3205/$B3205)^(365/($M3205-$A3205))-1))))</f>
        <v/>
      </c>
      <c r="P3205" s="31" t="str">
        <f>IF($B3205="","",IF($P3204="",$B3205,MAX($P3204,$B3205)))</f>
        <v/>
      </c>
      <c r="Q3205" s="32" t="str">
        <f>IF($P3205="","",$B3205/$P3205-1)</f>
        <v/>
      </c>
    </row>
    <row r="3206">
      <c r="A3206" s="11" t="n"/>
      <c r="B3206" s="29" t="n"/>
      <c r="K3206" s="30" t="str">
        <f>IF($A3206="","",EDATE($A3206,12*$E$4))</f>
        <v/>
      </c>
      <c r="L3206" s="19" t="str">
        <f>IF($K3206="","",IF($K3206&gt;MAX($A$8:$A$5007),"",IFERROR(MATCH($K3206,$A$8:$A$5007,1),"")))</f>
        <v/>
      </c>
      <c r="M3206" s="30" t="str">
        <f>IF($L3206="","",INDEX($A$8:$A$5007,$L3206))</f>
        <v/>
      </c>
      <c r="N3206" s="31" t="str">
        <f>IF($L3206="","",INDEX($B$8:$B$5007,$L3206))</f>
        <v/>
      </c>
      <c r="O3206" s="32" t="str">
        <f>IF($M3206="","",IF($K3206-$M3206&gt;7,"",IF($M3206&lt;=$A3206,"",IF(OR($B3206&lt;=0,$N3206&lt;=0),"",($N3206/$B3206)^(365/($M3206-$A3206))-1))))</f>
        <v/>
      </c>
      <c r="P3206" s="31" t="str">
        <f>IF($B3206="","",IF($P3205="",$B3206,MAX($P3205,$B3206)))</f>
        <v/>
      </c>
      <c r="Q3206" s="32" t="str">
        <f>IF($P3206="","",$B3206/$P3206-1)</f>
        <v/>
      </c>
    </row>
    <row r="3207">
      <c r="A3207" s="11" t="n"/>
      <c r="B3207" s="29" t="n"/>
      <c r="K3207" s="30" t="str">
        <f>IF($A3207="","",EDATE($A3207,12*$E$4))</f>
        <v/>
      </c>
      <c r="L3207" s="19" t="str">
        <f>IF($K3207="","",IF($K3207&gt;MAX($A$8:$A$5007),"",IFERROR(MATCH($K3207,$A$8:$A$5007,1),"")))</f>
        <v/>
      </c>
      <c r="M3207" s="30" t="str">
        <f>IF($L3207="","",INDEX($A$8:$A$5007,$L3207))</f>
        <v/>
      </c>
      <c r="N3207" s="31" t="str">
        <f>IF($L3207="","",INDEX($B$8:$B$5007,$L3207))</f>
        <v/>
      </c>
      <c r="O3207" s="32" t="str">
        <f>IF($M3207="","",IF($K3207-$M3207&gt;7,"",IF($M3207&lt;=$A3207,"",IF(OR($B3207&lt;=0,$N3207&lt;=0),"",($N3207/$B3207)^(365/($M3207-$A3207))-1))))</f>
        <v/>
      </c>
      <c r="P3207" s="31" t="str">
        <f>IF($B3207="","",IF($P3206="",$B3207,MAX($P3206,$B3207)))</f>
        <v/>
      </c>
      <c r="Q3207" s="32" t="str">
        <f>IF($P3207="","",$B3207/$P3207-1)</f>
        <v/>
      </c>
    </row>
    <row r="3208">
      <c r="A3208" s="11" t="n"/>
      <c r="B3208" s="29" t="n"/>
      <c r="K3208" s="30" t="str">
        <f>IF($A3208="","",EDATE($A3208,12*$E$4))</f>
        <v/>
      </c>
      <c r="L3208" s="19" t="str">
        <f>IF($K3208="","",IF($K3208&gt;MAX($A$8:$A$5007),"",IFERROR(MATCH($K3208,$A$8:$A$5007,1),"")))</f>
        <v/>
      </c>
      <c r="M3208" s="30" t="str">
        <f>IF($L3208="","",INDEX($A$8:$A$5007,$L3208))</f>
        <v/>
      </c>
      <c r="N3208" s="31" t="str">
        <f>IF($L3208="","",INDEX($B$8:$B$5007,$L3208))</f>
        <v/>
      </c>
      <c r="O3208" s="32" t="str">
        <f>IF($M3208="","",IF($K3208-$M3208&gt;7,"",IF($M3208&lt;=$A3208,"",IF(OR($B3208&lt;=0,$N3208&lt;=0),"",($N3208/$B3208)^(365/($M3208-$A3208))-1))))</f>
        <v/>
      </c>
      <c r="P3208" s="31" t="str">
        <f>IF($B3208="","",IF($P3207="",$B3208,MAX($P3207,$B3208)))</f>
        <v/>
      </c>
      <c r="Q3208" s="32" t="str">
        <f>IF($P3208="","",$B3208/$P3208-1)</f>
        <v/>
      </c>
    </row>
    <row r="3209">
      <c r="A3209" s="11" t="n"/>
      <c r="B3209" s="29" t="n"/>
      <c r="K3209" s="30" t="str">
        <f>IF($A3209="","",EDATE($A3209,12*$E$4))</f>
        <v/>
      </c>
      <c r="L3209" s="19" t="str">
        <f>IF($K3209="","",IF($K3209&gt;MAX($A$8:$A$5007),"",IFERROR(MATCH($K3209,$A$8:$A$5007,1),"")))</f>
        <v/>
      </c>
      <c r="M3209" s="30" t="str">
        <f>IF($L3209="","",INDEX($A$8:$A$5007,$L3209))</f>
        <v/>
      </c>
      <c r="N3209" s="31" t="str">
        <f>IF($L3209="","",INDEX($B$8:$B$5007,$L3209))</f>
        <v/>
      </c>
      <c r="O3209" s="32" t="str">
        <f>IF($M3209="","",IF($K3209-$M3209&gt;7,"",IF($M3209&lt;=$A3209,"",IF(OR($B3209&lt;=0,$N3209&lt;=0),"",($N3209/$B3209)^(365/($M3209-$A3209))-1))))</f>
        <v/>
      </c>
      <c r="P3209" s="31" t="str">
        <f>IF($B3209="","",IF($P3208="",$B3209,MAX($P3208,$B3209)))</f>
        <v/>
      </c>
      <c r="Q3209" s="32" t="str">
        <f>IF($P3209="","",$B3209/$P3209-1)</f>
        <v/>
      </c>
    </row>
    <row r="3210">
      <c r="A3210" s="11" t="n"/>
      <c r="B3210" s="29" t="n"/>
      <c r="K3210" s="30" t="str">
        <f>IF($A3210="","",EDATE($A3210,12*$E$4))</f>
        <v/>
      </c>
      <c r="L3210" s="19" t="str">
        <f>IF($K3210="","",IF($K3210&gt;MAX($A$8:$A$5007),"",IFERROR(MATCH($K3210,$A$8:$A$5007,1),"")))</f>
        <v/>
      </c>
      <c r="M3210" s="30" t="str">
        <f>IF($L3210="","",INDEX($A$8:$A$5007,$L3210))</f>
        <v/>
      </c>
      <c r="N3210" s="31" t="str">
        <f>IF($L3210="","",INDEX($B$8:$B$5007,$L3210))</f>
        <v/>
      </c>
      <c r="O3210" s="32" t="str">
        <f>IF($M3210="","",IF($K3210-$M3210&gt;7,"",IF($M3210&lt;=$A3210,"",IF(OR($B3210&lt;=0,$N3210&lt;=0),"",($N3210/$B3210)^(365/($M3210-$A3210))-1))))</f>
        <v/>
      </c>
      <c r="P3210" s="31" t="str">
        <f>IF($B3210="","",IF($P3209="",$B3210,MAX($P3209,$B3210)))</f>
        <v/>
      </c>
      <c r="Q3210" s="32" t="str">
        <f>IF($P3210="","",$B3210/$P3210-1)</f>
        <v/>
      </c>
    </row>
    <row r="3211">
      <c r="A3211" s="11" t="n"/>
      <c r="B3211" s="29" t="n"/>
      <c r="K3211" s="30" t="str">
        <f>IF($A3211="","",EDATE($A3211,12*$E$4))</f>
        <v/>
      </c>
      <c r="L3211" s="19" t="str">
        <f>IF($K3211="","",IF($K3211&gt;MAX($A$8:$A$5007),"",IFERROR(MATCH($K3211,$A$8:$A$5007,1),"")))</f>
        <v/>
      </c>
      <c r="M3211" s="30" t="str">
        <f>IF($L3211="","",INDEX($A$8:$A$5007,$L3211))</f>
        <v/>
      </c>
      <c r="N3211" s="31" t="str">
        <f>IF($L3211="","",INDEX($B$8:$B$5007,$L3211))</f>
        <v/>
      </c>
      <c r="O3211" s="32" t="str">
        <f>IF($M3211="","",IF($K3211-$M3211&gt;7,"",IF($M3211&lt;=$A3211,"",IF(OR($B3211&lt;=0,$N3211&lt;=0),"",($N3211/$B3211)^(365/($M3211-$A3211))-1))))</f>
        <v/>
      </c>
      <c r="P3211" s="31" t="str">
        <f>IF($B3211="","",IF($P3210="",$B3211,MAX($P3210,$B3211)))</f>
        <v/>
      </c>
      <c r="Q3211" s="32" t="str">
        <f>IF($P3211="","",$B3211/$P3211-1)</f>
        <v/>
      </c>
    </row>
    <row r="3212">
      <c r="A3212" s="11" t="n"/>
      <c r="B3212" s="29" t="n"/>
      <c r="K3212" s="30" t="str">
        <f>IF($A3212="","",EDATE($A3212,12*$E$4))</f>
        <v/>
      </c>
      <c r="L3212" s="19" t="str">
        <f>IF($K3212="","",IF($K3212&gt;MAX($A$8:$A$5007),"",IFERROR(MATCH($K3212,$A$8:$A$5007,1),"")))</f>
        <v/>
      </c>
      <c r="M3212" s="30" t="str">
        <f>IF($L3212="","",INDEX($A$8:$A$5007,$L3212))</f>
        <v/>
      </c>
      <c r="N3212" s="31" t="str">
        <f>IF($L3212="","",INDEX($B$8:$B$5007,$L3212))</f>
        <v/>
      </c>
      <c r="O3212" s="32" t="str">
        <f>IF($M3212="","",IF($K3212-$M3212&gt;7,"",IF($M3212&lt;=$A3212,"",IF(OR($B3212&lt;=0,$N3212&lt;=0),"",($N3212/$B3212)^(365/($M3212-$A3212))-1))))</f>
        <v/>
      </c>
      <c r="P3212" s="31" t="str">
        <f>IF($B3212="","",IF($P3211="",$B3212,MAX($P3211,$B3212)))</f>
        <v/>
      </c>
      <c r="Q3212" s="32" t="str">
        <f>IF($P3212="","",$B3212/$P3212-1)</f>
        <v/>
      </c>
    </row>
    <row r="3213">
      <c r="A3213" s="11" t="n"/>
      <c r="B3213" s="29" t="n"/>
      <c r="K3213" s="30" t="str">
        <f>IF($A3213="","",EDATE($A3213,12*$E$4))</f>
        <v/>
      </c>
      <c r="L3213" s="19" t="str">
        <f>IF($K3213="","",IF($K3213&gt;MAX($A$8:$A$5007),"",IFERROR(MATCH($K3213,$A$8:$A$5007,1),"")))</f>
        <v/>
      </c>
      <c r="M3213" s="30" t="str">
        <f>IF($L3213="","",INDEX($A$8:$A$5007,$L3213))</f>
        <v/>
      </c>
      <c r="N3213" s="31" t="str">
        <f>IF($L3213="","",INDEX($B$8:$B$5007,$L3213))</f>
        <v/>
      </c>
      <c r="O3213" s="32" t="str">
        <f>IF($M3213="","",IF($K3213-$M3213&gt;7,"",IF($M3213&lt;=$A3213,"",IF(OR($B3213&lt;=0,$N3213&lt;=0),"",($N3213/$B3213)^(365/($M3213-$A3213))-1))))</f>
        <v/>
      </c>
      <c r="P3213" s="31" t="str">
        <f>IF($B3213="","",IF($P3212="",$B3213,MAX($P3212,$B3213)))</f>
        <v/>
      </c>
      <c r="Q3213" s="32" t="str">
        <f>IF($P3213="","",$B3213/$P3213-1)</f>
        <v/>
      </c>
    </row>
    <row r="3214">
      <c r="A3214" s="11" t="n"/>
      <c r="B3214" s="29" t="n"/>
      <c r="K3214" s="30" t="str">
        <f>IF($A3214="","",EDATE($A3214,12*$E$4))</f>
        <v/>
      </c>
      <c r="L3214" s="19" t="str">
        <f>IF($K3214="","",IF($K3214&gt;MAX($A$8:$A$5007),"",IFERROR(MATCH($K3214,$A$8:$A$5007,1),"")))</f>
        <v/>
      </c>
      <c r="M3214" s="30" t="str">
        <f>IF($L3214="","",INDEX($A$8:$A$5007,$L3214))</f>
        <v/>
      </c>
      <c r="N3214" s="31" t="str">
        <f>IF($L3214="","",INDEX($B$8:$B$5007,$L3214))</f>
        <v/>
      </c>
      <c r="O3214" s="32" t="str">
        <f>IF($M3214="","",IF($K3214-$M3214&gt;7,"",IF($M3214&lt;=$A3214,"",IF(OR($B3214&lt;=0,$N3214&lt;=0),"",($N3214/$B3214)^(365/($M3214-$A3214))-1))))</f>
        <v/>
      </c>
      <c r="P3214" s="31" t="str">
        <f>IF($B3214="","",IF($P3213="",$B3214,MAX($P3213,$B3214)))</f>
        <v/>
      </c>
      <c r="Q3214" s="32" t="str">
        <f>IF($P3214="","",$B3214/$P3214-1)</f>
        <v/>
      </c>
    </row>
    <row r="3215">
      <c r="A3215" s="11" t="n"/>
      <c r="B3215" s="29" t="n"/>
      <c r="K3215" s="30" t="str">
        <f>IF($A3215="","",EDATE($A3215,12*$E$4))</f>
        <v/>
      </c>
      <c r="L3215" s="19" t="str">
        <f>IF($K3215="","",IF($K3215&gt;MAX($A$8:$A$5007),"",IFERROR(MATCH($K3215,$A$8:$A$5007,1),"")))</f>
        <v/>
      </c>
      <c r="M3215" s="30" t="str">
        <f>IF($L3215="","",INDEX($A$8:$A$5007,$L3215))</f>
        <v/>
      </c>
      <c r="N3215" s="31" t="str">
        <f>IF($L3215="","",INDEX($B$8:$B$5007,$L3215))</f>
        <v/>
      </c>
      <c r="O3215" s="32" t="str">
        <f>IF($M3215="","",IF($K3215-$M3215&gt;7,"",IF($M3215&lt;=$A3215,"",IF(OR($B3215&lt;=0,$N3215&lt;=0),"",($N3215/$B3215)^(365/($M3215-$A3215))-1))))</f>
        <v/>
      </c>
      <c r="P3215" s="31" t="str">
        <f>IF($B3215="","",IF($P3214="",$B3215,MAX($P3214,$B3215)))</f>
        <v/>
      </c>
      <c r="Q3215" s="32" t="str">
        <f>IF($P3215="","",$B3215/$P3215-1)</f>
        <v/>
      </c>
    </row>
    <row r="3216">
      <c r="A3216" s="11" t="n"/>
      <c r="B3216" s="29" t="n"/>
      <c r="K3216" s="30" t="str">
        <f>IF($A3216="","",EDATE($A3216,12*$E$4))</f>
        <v/>
      </c>
      <c r="L3216" s="19" t="str">
        <f>IF($K3216="","",IF($K3216&gt;MAX($A$8:$A$5007),"",IFERROR(MATCH($K3216,$A$8:$A$5007,1),"")))</f>
        <v/>
      </c>
      <c r="M3216" s="30" t="str">
        <f>IF($L3216="","",INDEX($A$8:$A$5007,$L3216))</f>
        <v/>
      </c>
      <c r="N3216" s="31" t="str">
        <f>IF($L3216="","",INDEX($B$8:$B$5007,$L3216))</f>
        <v/>
      </c>
      <c r="O3216" s="32" t="str">
        <f>IF($M3216="","",IF($K3216-$M3216&gt;7,"",IF($M3216&lt;=$A3216,"",IF(OR($B3216&lt;=0,$N3216&lt;=0),"",($N3216/$B3216)^(365/($M3216-$A3216))-1))))</f>
        <v/>
      </c>
      <c r="P3216" s="31" t="str">
        <f>IF($B3216="","",IF($P3215="",$B3216,MAX($P3215,$B3216)))</f>
        <v/>
      </c>
      <c r="Q3216" s="32" t="str">
        <f>IF($P3216="","",$B3216/$P3216-1)</f>
        <v/>
      </c>
    </row>
    <row r="3217">
      <c r="A3217" s="11" t="n"/>
      <c r="B3217" s="29" t="n"/>
      <c r="K3217" s="30" t="str">
        <f>IF($A3217="","",EDATE($A3217,12*$E$4))</f>
        <v/>
      </c>
      <c r="L3217" s="19" t="str">
        <f>IF($K3217="","",IF($K3217&gt;MAX($A$8:$A$5007),"",IFERROR(MATCH($K3217,$A$8:$A$5007,1),"")))</f>
        <v/>
      </c>
      <c r="M3217" s="30" t="str">
        <f>IF($L3217="","",INDEX($A$8:$A$5007,$L3217))</f>
        <v/>
      </c>
      <c r="N3217" s="31" t="str">
        <f>IF($L3217="","",INDEX($B$8:$B$5007,$L3217))</f>
        <v/>
      </c>
      <c r="O3217" s="32" t="str">
        <f>IF($M3217="","",IF($K3217-$M3217&gt;7,"",IF($M3217&lt;=$A3217,"",IF(OR($B3217&lt;=0,$N3217&lt;=0),"",($N3217/$B3217)^(365/($M3217-$A3217))-1))))</f>
        <v/>
      </c>
      <c r="P3217" s="31" t="str">
        <f>IF($B3217="","",IF($P3216="",$B3217,MAX($P3216,$B3217)))</f>
        <v/>
      </c>
      <c r="Q3217" s="32" t="str">
        <f>IF($P3217="","",$B3217/$P3217-1)</f>
        <v/>
      </c>
    </row>
    <row r="3218">
      <c r="A3218" s="11" t="n"/>
      <c r="B3218" s="29" t="n"/>
      <c r="K3218" s="30" t="str">
        <f>IF($A3218="","",EDATE($A3218,12*$E$4))</f>
        <v/>
      </c>
      <c r="L3218" s="19" t="str">
        <f>IF($K3218="","",IF($K3218&gt;MAX($A$8:$A$5007),"",IFERROR(MATCH($K3218,$A$8:$A$5007,1),"")))</f>
        <v/>
      </c>
      <c r="M3218" s="30" t="str">
        <f>IF($L3218="","",INDEX($A$8:$A$5007,$L3218))</f>
        <v/>
      </c>
      <c r="N3218" s="31" t="str">
        <f>IF($L3218="","",INDEX($B$8:$B$5007,$L3218))</f>
        <v/>
      </c>
      <c r="O3218" s="32" t="str">
        <f>IF($M3218="","",IF($K3218-$M3218&gt;7,"",IF($M3218&lt;=$A3218,"",IF(OR($B3218&lt;=0,$N3218&lt;=0),"",($N3218/$B3218)^(365/($M3218-$A3218))-1))))</f>
        <v/>
      </c>
      <c r="P3218" s="31" t="str">
        <f>IF($B3218="","",IF($P3217="",$B3218,MAX($P3217,$B3218)))</f>
        <v/>
      </c>
      <c r="Q3218" s="32" t="str">
        <f>IF($P3218="","",$B3218/$P3218-1)</f>
        <v/>
      </c>
    </row>
    <row r="3219">
      <c r="A3219" s="11" t="n"/>
      <c r="B3219" s="29" t="n"/>
      <c r="K3219" s="30" t="str">
        <f>IF($A3219="","",EDATE($A3219,12*$E$4))</f>
        <v/>
      </c>
      <c r="L3219" s="19" t="str">
        <f>IF($K3219="","",IF($K3219&gt;MAX($A$8:$A$5007),"",IFERROR(MATCH($K3219,$A$8:$A$5007,1),"")))</f>
        <v/>
      </c>
      <c r="M3219" s="30" t="str">
        <f>IF($L3219="","",INDEX($A$8:$A$5007,$L3219))</f>
        <v/>
      </c>
      <c r="N3219" s="31" t="str">
        <f>IF($L3219="","",INDEX($B$8:$B$5007,$L3219))</f>
        <v/>
      </c>
      <c r="O3219" s="32" t="str">
        <f>IF($M3219="","",IF($K3219-$M3219&gt;7,"",IF($M3219&lt;=$A3219,"",IF(OR($B3219&lt;=0,$N3219&lt;=0),"",($N3219/$B3219)^(365/($M3219-$A3219))-1))))</f>
        <v/>
      </c>
      <c r="P3219" s="31" t="str">
        <f>IF($B3219="","",IF($P3218="",$B3219,MAX($P3218,$B3219)))</f>
        <v/>
      </c>
      <c r="Q3219" s="32" t="str">
        <f>IF($P3219="","",$B3219/$P3219-1)</f>
        <v/>
      </c>
    </row>
    <row r="3220">
      <c r="A3220" s="11" t="n"/>
      <c r="B3220" s="29" t="n"/>
      <c r="K3220" s="30" t="str">
        <f>IF($A3220="","",EDATE($A3220,12*$E$4))</f>
        <v/>
      </c>
      <c r="L3220" s="19" t="str">
        <f>IF($K3220="","",IF($K3220&gt;MAX($A$8:$A$5007),"",IFERROR(MATCH($K3220,$A$8:$A$5007,1),"")))</f>
        <v/>
      </c>
      <c r="M3220" s="30" t="str">
        <f>IF($L3220="","",INDEX($A$8:$A$5007,$L3220))</f>
        <v/>
      </c>
      <c r="N3220" s="31" t="str">
        <f>IF($L3220="","",INDEX($B$8:$B$5007,$L3220))</f>
        <v/>
      </c>
      <c r="O3220" s="32" t="str">
        <f>IF($M3220="","",IF($K3220-$M3220&gt;7,"",IF($M3220&lt;=$A3220,"",IF(OR($B3220&lt;=0,$N3220&lt;=0),"",($N3220/$B3220)^(365/($M3220-$A3220))-1))))</f>
        <v/>
      </c>
      <c r="P3220" s="31" t="str">
        <f>IF($B3220="","",IF($P3219="",$B3220,MAX($P3219,$B3220)))</f>
        <v/>
      </c>
      <c r="Q3220" s="32" t="str">
        <f>IF($P3220="","",$B3220/$P3220-1)</f>
        <v/>
      </c>
    </row>
    <row r="3221">
      <c r="A3221" s="11" t="n"/>
      <c r="B3221" s="29" t="n"/>
      <c r="K3221" s="30" t="str">
        <f>IF($A3221="","",EDATE($A3221,12*$E$4))</f>
        <v/>
      </c>
      <c r="L3221" s="19" t="str">
        <f>IF($K3221="","",IF($K3221&gt;MAX($A$8:$A$5007),"",IFERROR(MATCH($K3221,$A$8:$A$5007,1),"")))</f>
        <v/>
      </c>
      <c r="M3221" s="30" t="str">
        <f>IF($L3221="","",INDEX($A$8:$A$5007,$L3221))</f>
        <v/>
      </c>
      <c r="N3221" s="31" t="str">
        <f>IF($L3221="","",INDEX($B$8:$B$5007,$L3221))</f>
        <v/>
      </c>
      <c r="O3221" s="32" t="str">
        <f>IF($M3221="","",IF($K3221-$M3221&gt;7,"",IF($M3221&lt;=$A3221,"",IF(OR($B3221&lt;=0,$N3221&lt;=0),"",($N3221/$B3221)^(365/($M3221-$A3221))-1))))</f>
        <v/>
      </c>
      <c r="P3221" s="31" t="str">
        <f>IF($B3221="","",IF($P3220="",$B3221,MAX($P3220,$B3221)))</f>
        <v/>
      </c>
      <c r="Q3221" s="32" t="str">
        <f>IF($P3221="","",$B3221/$P3221-1)</f>
        <v/>
      </c>
    </row>
    <row r="3222">
      <c r="A3222" s="11" t="n"/>
      <c r="B3222" s="29" t="n"/>
      <c r="K3222" s="30" t="str">
        <f>IF($A3222="","",EDATE($A3222,12*$E$4))</f>
        <v/>
      </c>
      <c r="L3222" s="19" t="str">
        <f>IF($K3222="","",IF($K3222&gt;MAX($A$8:$A$5007),"",IFERROR(MATCH($K3222,$A$8:$A$5007,1),"")))</f>
        <v/>
      </c>
      <c r="M3222" s="30" t="str">
        <f>IF($L3222="","",INDEX($A$8:$A$5007,$L3222))</f>
        <v/>
      </c>
      <c r="N3222" s="31" t="str">
        <f>IF($L3222="","",INDEX($B$8:$B$5007,$L3222))</f>
        <v/>
      </c>
      <c r="O3222" s="32" t="str">
        <f>IF($M3222="","",IF($K3222-$M3222&gt;7,"",IF($M3222&lt;=$A3222,"",IF(OR($B3222&lt;=0,$N3222&lt;=0),"",($N3222/$B3222)^(365/($M3222-$A3222))-1))))</f>
        <v/>
      </c>
      <c r="P3222" s="31" t="str">
        <f>IF($B3222="","",IF($P3221="",$B3222,MAX($P3221,$B3222)))</f>
        <v/>
      </c>
      <c r="Q3222" s="32" t="str">
        <f>IF($P3222="","",$B3222/$P3222-1)</f>
        <v/>
      </c>
    </row>
    <row r="3223">
      <c r="A3223" s="11" t="n"/>
      <c r="B3223" s="29" t="n"/>
      <c r="K3223" s="30" t="str">
        <f>IF($A3223="","",EDATE($A3223,12*$E$4))</f>
        <v/>
      </c>
      <c r="L3223" s="19" t="str">
        <f>IF($K3223="","",IF($K3223&gt;MAX($A$8:$A$5007),"",IFERROR(MATCH($K3223,$A$8:$A$5007,1),"")))</f>
        <v/>
      </c>
      <c r="M3223" s="30" t="str">
        <f>IF($L3223="","",INDEX($A$8:$A$5007,$L3223))</f>
        <v/>
      </c>
      <c r="N3223" s="31" t="str">
        <f>IF($L3223="","",INDEX($B$8:$B$5007,$L3223))</f>
        <v/>
      </c>
      <c r="O3223" s="32" t="str">
        <f>IF($M3223="","",IF($K3223-$M3223&gt;7,"",IF($M3223&lt;=$A3223,"",IF(OR($B3223&lt;=0,$N3223&lt;=0),"",($N3223/$B3223)^(365/($M3223-$A3223))-1))))</f>
        <v/>
      </c>
      <c r="P3223" s="31" t="str">
        <f>IF($B3223="","",IF($P3222="",$B3223,MAX($P3222,$B3223)))</f>
        <v/>
      </c>
      <c r="Q3223" s="32" t="str">
        <f>IF($P3223="","",$B3223/$P3223-1)</f>
        <v/>
      </c>
    </row>
    <row r="3224">
      <c r="A3224" s="11" t="n"/>
      <c r="B3224" s="29" t="n"/>
      <c r="K3224" s="30" t="str">
        <f>IF($A3224="","",EDATE($A3224,12*$E$4))</f>
        <v/>
      </c>
      <c r="L3224" s="19" t="str">
        <f>IF($K3224="","",IF($K3224&gt;MAX($A$8:$A$5007),"",IFERROR(MATCH($K3224,$A$8:$A$5007,1),"")))</f>
        <v/>
      </c>
      <c r="M3224" s="30" t="str">
        <f>IF($L3224="","",INDEX($A$8:$A$5007,$L3224))</f>
        <v/>
      </c>
      <c r="N3224" s="31" t="str">
        <f>IF($L3224="","",INDEX($B$8:$B$5007,$L3224))</f>
        <v/>
      </c>
      <c r="O3224" s="32" t="str">
        <f>IF($M3224="","",IF($K3224-$M3224&gt;7,"",IF($M3224&lt;=$A3224,"",IF(OR($B3224&lt;=0,$N3224&lt;=0),"",($N3224/$B3224)^(365/($M3224-$A3224))-1))))</f>
        <v/>
      </c>
      <c r="P3224" s="31" t="str">
        <f>IF($B3224="","",IF($P3223="",$B3224,MAX($P3223,$B3224)))</f>
        <v/>
      </c>
      <c r="Q3224" s="32" t="str">
        <f>IF($P3224="","",$B3224/$P3224-1)</f>
        <v/>
      </c>
    </row>
    <row r="3225">
      <c r="A3225" s="11" t="n"/>
      <c r="B3225" s="29" t="n"/>
      <c r="K3225" s="30" t="str">
        <f>IF($A3225="","",EDATE($A3225,12*$E$4))</f>
        <v/>
      </c>
      <c r="L3225" s="19" t="str">
        <f>IF($K3225="","",IF($K3225&gt;MAX($A$8:$A$5007),"",IFERROR(MATCH($K3225,$A$8:$A$5007,1),"")))</f>
        <v/>
      </c>
      <c r="M3225" s="30" t="str">
        <f>IF($L3225="","",INDEX($A$8:$A$5007,$L3225))</f>
        <v/>
      </c>
      <c r="N3225" s="31" t="str">
        <f>IF($L3225="","",INDEX($B$8:$B$5007,$L3225))</f>
        <v/>
      </c>
      <c r="O3225" s="32" t="str">
        <f>IF($M3225="","",IF($K3225-$M3225&gt;7,"",IF($M3225&lt;=$A3225,"",IF(OR($B3225&lt;=0,$N3225&lt;=0),"",($N3225/$B3225)^(365/($M3225-$A3225))-1))))</f>
        <v/>
      </c>
      <c r="P3225" s="31" t="str">
        <f>IF($B3225="","",IF($P3224="",$B3225,MAX($P3224,$B3225)))</f>
        <v/>
      </c>
      <c r="Q3225" s="32" t="str">
        <f>IF($P3225="","",$B3225/$P3225-1)</f>
        <v/>
      </c>
    </row>
    <row r="3226">
      <c r="A3226" s="11" t="n"/>
      <c r="B3226" s="29" t="n"/>
      <c r="K3226" s="30" t="str">
        <f>IF($A3226="","",EDATE($A3226,12*$E$4))</f>
        <v/>
      </c>
      <c r="L3226" s="19" t="str">
        <f>IF($K3226="","",IF($K3226&gt;MAX($A$8:$A$5007),"",IFERROR(MATCH($K3226,$A$8:$A$5007,1),"")))</f>
        <v/>
      </c>
      <c r="M3226" s="30" t="str">
        <f>IF($L3226="","",INDEX($A$8:$A$5007,$L3226))</f>
        <v/>
      </c>
      <c r="N3226" s="31" t="str">
        <f>IF($L3226="","",INDEX($B$8:$B$5007,$L3226))</f>
        <v/>
      </c>
      <c r="O3226" s="32" t="str">
        <f>IF($M3226="","",IF($K3226-$M3226&gt;7,"",IF($M3226&lt;=$A3226,"",IF(OR($B3226&lt;=0,$N3226&lt;=0),"",($N3226/$B3226)^(365/($M3226-$A3226))-1))))</f>
        <v/>
      </c>
      <c r="P3226" s="31" t="str">
        <f>IF($B3226="","",IF($P3225="",$B3226,MAX($P3225,$B3226)))</f>
        <v/>
      </c>
      <c r="Q3226" s="32" t="str">
        <f>IF($P3226="","",$B3226/$P3226-1)</f>
        <v/>
      </c>
    </row>
    <row r="3227">
      <c r="A3227" s="11" t="n"/>
      <c r="B3227" s="29" t="n"/>
      <c r="K3227" s="30" t="str">
        <f>IF($A3227="","",EDATE($A3227,12*$E$4))</f>
        <v/>
      </c>
      <c r="L3227" s="19" t="str">
        <f>IF($K3227="","",IF($K3227&gt;MAX($A$8:$A$5007),"",IFERROR(MATCH($K3227,$A$8:$A$5007,1),"")))</f>
        <v/>
      </c>
      <c r="M3227" s="30" t="str">
        <f>IF($L3227="","",INDEX($A$8:$A$5007,$L3227))</f>
        <v/>
      </c>
      <c r="N3227" s="31" t="str">
        <f>IF($L3227="","",INDEX($B$8:$B$5007,$L3227))</f>
        <v/>
      </c>
      <c r="O3227" s="32" t="str">
        <f>IF($M3227="","",IF($K3227-$M3227&gt;7,"",IF($M3227&lt;=$A3227,"",IF(OR($B3227&lt;=0,$N3227&lt;=0),"",($N3227/$B3227)^(365/($M3227-$A3227))-1))))</f>
        <v/>
      </c>
      <c r="P3227" s="31" t="str">
        <f>IF($B3227="","",IF($P3226="",$B3227,MAX($P3226,$B3227)))</f>
        <v/>
      </c>
      <c r="Q3227" s="32" t="str">
        <f>IF($P3227="","",$B3227/$P3227-1)</f>
        <v/>
      </c>
    </row>
    <row r="3228">
      <c r="A3228" s="11" t="n"/>
      <c r="B3228" s="29" t="n"/>
      <c r="K3228" s="30" t="str">
        <f>IF($A3228="","",EDATE($A3228,12*$E$4))</f>
        <v/>
      </c>
      <c r="L3228" s="19" t="str">
        <f>IF($K3228="","",IF($K3228&gt;MAX($A$8:$A$5007),"",IFERROR(MATCH($K3228,$A$8:$A$5007,1),"")))</f>
        <v/>
      </c>
      <c r="M3228" s="30" t="str">
        <f>IF($L3228="","",INDEX($A$8:$A$5007,$L3228))</f>
        <v/>
      </c>
      <c r="N3228" s="31" t="str">
        <f>IF($L3228="","",INDEX($B$8:$B$5007,$L3228))</f>
        <v/>
      </c>
      <c r="O3228" s="32" t="str">
        <f>IF($M3228="","",IF($K3228-$M3228&gt;7,"",IF($M3228&lt;=$A3228,"",IF(OR($B3228&lt;=0,$N3228&lt;=0),"",($N3228/$B3228)^(365/($M3228-$A3228))-1))))</f>
        <v/>
      </c>
      <c r="P3228" s="31" t="str">
        <f>IF($B3228="","",IF($P3227="",$B3228,MAX($P3227,$B3228)))</f>
        <v/>
      </c>
      <c r="Q3228" s="32" t="str">
        <f>IF($P3228="","",$B3228/$P3228-1)</f>
        <v/>
      </c>
    </row>
    <row r="3229">
      <c r="A3229" s="11" t="n"/>
      <c r="B3229" s="29" t="n"/>
      <c r="K3229" s="30" t="str">
        <f>IF($A3229="","",EDATE($A3229,12*$E$4))</f>
        <v/>
      </c>
      <c r="L3229" s="19" t="str">
        <f>IF($K3229="","",IF($K3229&gt;MAX($A$8:$A$5007),"",IFERROR(MATCH($K3229,$A$8:$A$5007,1),"")))</f>
        <v/>
      </c>
      <c r="M3229" s="30" t="str">
        <f>IF($L3229="","",INDEX($A$8:$A$5007,$L3229))</f>
        <v/>
      </c>
      <c r="N3229" s="31" t="str">
        <f>IF($L3229="","",INDEX($B$8:$B$5007,$L3229))</f>
        <v/>
      </c>
      <c r="O3229" s="32" t="str">
        <f>IF($M3229="","",IF($K3229-$M3229&gt;7,"",IF($M3229&lt;=$A3229,"",IF(OR($B3229&lt;=0,$N3229&lt;=0),"",($N3229/$B3229)^(365/($M3229-$A3229))-1))))</f>
        <v/>
      </c>
      <c r="P3229" s="31" t="str">
        <f>IF($B3229="","",IF($P3228="",$B3229,MAX($P3228,$B3229)))</f>
        <v/>
      </c>
      <c r="Q3229" s="32" t="str">
        <f>IF($P3229="","",$B3229/$P3229-1)</f>
        <v/>
      </c>
    </row>
    <row r="3230">
      <c r="A3230" s="11" t="n"/>
      <c r="B3230" s="29" t="n"/>
      <c r="K3230" s="30" t="str">
        <f>IF($A3230="","",EDATE($A3230,12*$E$4))</f>
        <v/>
      </c>
      <c r="L3230" s="19" t="str">
        <f>IF($K3230="","",IF($K3230&gt;MAX($A$8:$A$5007),"",IFERROR(MATCH($K3230,$A$8:$A$5007,1),"")))</f>
        <v/>
      </c>
      <c r="M3230" s="30" t="str">
        <f>IF($L3230="","",INDEX($A$8:$A$5007,$L3230))</f>
        <v/>
      </c>
      <c r="N3230" s="31" t="str">
        <f>IF($L3230="","",INDEX($B$8:$B$5007,$L3230))</f>
        <v/>
      </c>
      <c r="O3230" s="32" t="str">
        <f>IF($M3230="","",IF($K3230-$M3230&gt;7,"",IF($M3230&lt;=$A3230,"",IF(OR($B3230&lt;=0,$N3230&lt;=0),"",($N3230/$B3230)^(365/($M3230-$A3230))-1))))</f>
        <v/>
      </c>
      <c r="P3230" s="31" t="str">
        <f>IF($B3230="","",IF($P3229="",$B3230,MAX($P3229,$B3230)))</f>
        <v/>
      </c>
      <c r="Q3230" s="32" t="str">
        <f>IF($P3230="","",$B3230/$P3230-1)</f>
        <v/>
      </c>
    </row>
    <row r="3231">
      <c r="A3231" s="11" t="n"/>
      <c r="B3231" s="29" t="n"/>
      <c r="K3231" s="30" t="str">
        <f>IF($A3231="","",EDATE($A3231,12*$E$4))</f>
        <v/>
      </c>
      <c r="L3231" s="19" t="str">
        <f>IF($K3231="","",IF($K3231&gt;MAX($A$8:$A$5007),"",IFERROR(MATCH($K3231,$A$8:$A$5007,1),"")))</f>
        <v/>
      </c>
      <c r="M3231" s="30" t="str">
        <f>IF($L3231="","",INDEX($A$8:$A$5007,$L3231))</f>
        <v/>
      </c>
      <c r="N3231" s="31" t="str">
        <f>IF($L3231="","",INDEX($B$8:$B$5007,$L3231))</f>
        <v/>
      </c>
      <c r="O3231" s="32" t="str">
        <f>IF($M3231="","",IF($K3231-$M3231&gt;7,"",IF($M3231&lt;=$A3231,"",IF(OR($B3231&lt;=0,$N3231&lt;=0),"",($N3231/$B3231)^(365/($M3231-$A3231))-1))))</f>
        <v/>
      </c>
      <c r="P3231" s="31" t="str">
        <f>IF($B3231="","",IF($P3230="",$B3231,MAX($P3230,$B3231)))</f>
        <v/>
      </c>
      <c r="Q3231" s="32" t="str">
        <f>IF($P3231="","",$B3231/$P3231-1)</f>
        <v/>
      </c>
    </row>
    <row r="3232">
      <c r="A3232" s="11" t="n"/>
      <c r="B3232" s="29" t="n"/>
      <c r="K3232" s="30" t="str">
        <f>IF($A3232="","",EDATE($A3232,12*$E$4))</f>
        <v/>
      </c>
      <c r="L3232" s="19" t="str">
        <f>IF($K3232="","",IF($K3232&gt;MAX($A$8:$A$5007),"",IFERROR(MATCH($K3232,$A$8:$A$5007,1),"")))</f>
        <v/>
      </c>
      <c r="M3232" s="30" t="str">
        <f>IF($L3232="","",INDEX($A$8:$A$5007,$L3232))</f>
        <v/>
      </c>
      <c r="N3232" s="31" t="str">
        <f>IF($L3232="","",INDEX($B$8:$B$5007,$L3232))</f>
        <v/>
      </c>
      <c r="O3232" s="32" t="str">
        <f>IF($M3232="","",IF($K3232-$M3232&gt;7,"",IF($M3232&lt;=$A3232,"",IF(OR($B3232&lt;=0,$N3232&lt;=0),"",($N3232/$B3232)^(365/($M3232-$A3232))-1))))</f>
        <v/>
      </c>
      <c r="P3232" s="31" t="str">
        <f>IF($B3232="","",IF($P3231="",$B3232,MAX($P3231,$B3232)))</f>
        <v/>
      </c>
      <c r="Q3232" s="32" t="str">
        <f>IF($P3232="","",$B3232/$P3232-1)</f>
        <v/>
      </c>
    </row>
    <row r="3233">
      <c r="A3233" s="11" t="n"/>
      <c r="B3233" s="29" t="n"/>
      <c r="K3233" s="30" t="str">
        <f>IF($A3233="","",EDATE($A3233,12*$E$4))</f>
        <v/>
      </c>
      <c r="L3233" s="19" t="str">
        <f>IF($K3233="","",IF($K3233&gt;MAX($A$8:$A$5007),"",IFERROR(MATCH($K3233,$A$8:$A$5007,1),"")))</f>
        <v/>
      </c>
      <c r="M3233" s="30" t="str">
        <f>IF($L3233="","",INDEX($A$8:$A$5007,$L3233))</f>
        <v/>
      </c>
      <c r="N3233" s="31" t="str">
        <f>IF($L3233="","",INDEX($B$8:$B$5007,$L3233))</f>
        <v/>
      </c>
      <c r="O3233" s="32" t="str">
        <f>IF($M3233="","",IF($K3233-$M3233&gt;7,"",IF($M3233&lt;=$A3233,"",IF(OR($B3233&lt;=0,$N3233&lt;=0),"",($N3233/$B3233)^(365/($M3233-$A3233))-1))))</f>
        <v/>
      </c>
      <c r="P3233" s="31" t="str">
        <f>IF($B3233="","",IF($P3232="",$B3233,MAX($P3232,$B3233)))</f>
        <v/>
      </c>
      <c r="Q3233" s="32" t="str">
        <f>IF($P3233="","",$B3233/$P3233-1)</f>
        <v/>
      </c>
    </row>
    <row r="3234">
      <c r="A3234" s="11" t="n"/>
      <c r="B3234" s="29" t="n"/>
      <c r="K3234" s="30" t="str">
        <f>IF($A3234="","",EDATE($A3234,12*$E$4))</f>
        <v/>
      </c>
      <c r="L3234" s="19" t="str">
        <f>IF($K3234="","",IF($K3234&gt;MAX($A$8:$A$5007),"",IFERROR(MATCH($K3234,$A$8:$A$5007,1),"")))</f>
        <v/>
      </c>
      <c r="M3234" s="30" t="str">
        <f>IF($L3234="","",INDEX($A$8:$A$5007,$L3234))</f>
        <v/>
      </c>
      <c r="N3234" s="31" t="str">
        <f>IF($L3234="","",INDEX($B$8:$B$5007,$L3234))</f>
        <v/>
      </c>
      <c r="O3234" s="32" t="str">
        <f>IF($M3234="","",IF($K3234-$M3234&gt;7,"",IF($M3234&lt;=$A3234,"",IF(OR($B3234&lt;=0,$N3234&lt;=0),"",($N3234/$B3234)^(365/($M3234-$A3234))-1))))</f>
        <v/>
      </c>
      <c r="P3234" s="31" t="str">
        <f>IF($B3234="","",IF($P3233="",$B3234,MAX($P3233,$B3234)))</f>
        <v/>
      </c>
      <c r="Q3234" s="32" t="str">
        <f>IF($P3234="","",$B3234/$P3234-1)</f>
        <v/>
      </c>
    </row>
    <row r="3235">
      <c r="A3235" s="11" t="n"/>
      <c r="B3235" s="29" t="n"/>
      <c r="K3235" s="30" t="str">
        <f>IF($A3235="","",EDATE($A3235,12*$E$4))</f>
        <v/>
      </c>
      <c r="L3235" s="19" t="str">
        <f>IF($K3235="","",IF($K3235&gt;MAX($A$8:$A$5007),"",IFERROR(MATCH($K3235,$A$8:$A$5007,1),"")))</f>
        <v/>
      </c>
      <c r="M3235" s="30" t="str">
        <f>IF($L3235="","",INDEX($A$8:$A$5007,$L3235))</f>
        <v/>
      </c>
      <c r="N3235" s="31" t="str">
        <f>IF($L3235="","",INDEX($B$8:$B$5007,$L3235))</f>
        <v/>
      </c>
      <c r="O3235" s="32" t="str">
        <f>IF($M3235="","",IF($K3235-$M3235&gt;7,"",IF($M3235&lt;=$A3235,"",IF(OR($B3235&lt;=0,$N3235&lt;=0),"",($N3235/$B3235)^(365/($M3235-$A3235))-1))))</f>
        <v/>
      </c>
      <c r="P3235" s="31" t="str">
        <f>IF($B3235="","",IF($P3234="",$B3235,MAX($P3234,$B3235)))</f>
        <v/>
      </c>
      <c r="Q3235" s="32" t="str">
        <f>IF($P3235="","",$B3235/$P3235-1)</f>
        <v/>
      </c>
    </row>
    <row r="3236">
      <c r="A3236" s="11" t="n"/>
      <c r="B3236" s="29" t="n"/>
      <c r="K3236" s="30" t="str">
        <f>IF($A3236="","",EDATE($A3236,12*$E$4))</f>
        <v/>
      </c>
      <c r="L3236" s="19" t="str">
        <f>IF($K3236="","",IF($K3236&gt;MAX($A$8:$A$5007),"",IFERROR(MATCH($K3236,$A$8:$A$5007,1),"")))</f>
        <v/>
      </c>
      <c r="M3236" s="30" t="str">
        <f>IF($L3236="","",INDEX($A$8:$A$5007,$L3236))</f>
        <v/>
      </c>
      <c r="N3236" s="31" t="str">
        <f>IF($L3236="","",INDEX($B$8:$B$5007,$L3236))</f>
        <v/>
      </c>
      <c r="O3236" s="32" t="str">
        <f>IF($M3236="","",IF($K3236-$M3236&gt;7,"",IF($M3236&lt;=$A3236,"",IF(OR($B3236&lt;=0,$N3236&lt;=0),"",($N3236/$B3236)^(365/($M3236-$A3236))-1))))</f>
        <v/>
      </c>
      <c r="P3236" s="31" t="str">
        <f>IF($B3236="","",IF($P3235="",$B3236,MAX($P3235,$B3236)))</f>
        <v/>
      </c>
      <c r="Q3236" s="32" t="str">
        <f>IF($P3236="","",$B3236/$P3236-1)</f>
        <v/>
      </c>
    </row>
    <row r="3237">
      <c r="A3237" s="11" t="n"/>
      <c r="B3237" s="29" t="n"/>
      <c r="K3237" s="30" t="str">
        <f>IF($A3237="","",EDATE($A3237,12*$E$4))</f>
        <v/>
      </c>
      <c r="L3237" s="19" t="str">
        <f>IF($K3237="","",IF($K3237&gt;MAX($A$8:$A$5007),"",IFERROR(MATCH($K3237,$A$8:$A$5007,1),"")))</f>
        <v/>
      </c>
      <c r="M3237" s="30" t="str">
        <f>IF($L3237="","",INDEX($A$8:$A$5007,$L3237))</f>
        <v/>
      </c>
      <c r="N3237" s="31" t="str">
        <f>IF($L3237="","",INDEX($B$8:$B$5007,$L3237))</f>
        <v/>
      </c>
      <c r="O3237" s="32" t="str">
        <f>IF($M3237="","",IF($K3237-$M3237&gt;7,"",IF($M3237&lt;=$A3237,"",IF(OR($B3237&lt;=0,$N3237&lt;=0),"",($N3237/$B3237)^(365/($M3237-$A3237))-1))))</f>
        <v/>
      </c>
      <c r="P3237" s="31" t="str">
        <f>IF($B3237="","",IF($P3236="",$B3237,MAX($P3236,$B3237)))</f>
        <v/>
      </c>
      <c r="Q3237" s="32" t="str">
        <f>IF($P3237="","",$B3237/$P3237-1)</f>
        <v/>
      </c>
    </row>
    <row r="3238">
      <c r="A3238" s="11" t="n"/>
      <c r="B3238" s="29" t="n"/>
      <c r="K3238" s="30" t="str">
        <f>IF($A3238="","",EDATE($A3238,12*$E$4))</f>
        <v/>
      </c>
      <c r="L3238" s="19" t="str">
        <f>IF($K3238="","",IF($K3238&gt;MAX($A$8:$A$5007),"",IFERROR(MATCH($K3238,$A$8:$A$5007,1),"")))</f>
        <v/>
      </c>
      <c r="M3238" s="30" t="str">
        <f>IF($L3238="","",INDEX($A$8:$A$5007,$L3238))</f>
        <v/>
      </c>
      <c r="N3238" s="31" t="str">
        <f>IF($L3238="","",INDEX($B$8:$B$5007,$L3238))</f>
        <v/>
      </c>
      <c r="O3238" s="32" t="str">
        <f>IF($M3238="","",IF($K3238-$M3238&gt;7,"",IF($M3238&lt;=$A3238,"",IF(OR($B3238&lt;=0,$N3238&lt;=0),"",($N3238/$B3238)^(365/($M3238-$A3238))-1))))</f>
        <v/>
      </c>
      <c r="P3238" s="31" t="str">
        <f>IF($B3238="","",IF($P3237="",$B3238,MAX($P3237,$B3238)))</f>
        <v/>
      </c>
      <c r="Q3238" s="32" t="str">
        <f>IF($P3238="","",$B3238/$P3238-1)</f>
        <v/>
      </c>
    </row>
    <row r="3239">
      <c r="A3239" s="11" t="n"/>
      <c r="B3239" s="29" t="n"/>
      <c r="K3239" s="30" t="str">
        <f>IF($A3239="","",EDATE($A3239,12*$E$4))</f>
        <v/>
      </c>
      <c r="L3239" s="19" t="str">
        <f>IF($K3239="","",IF($K3239&gt;MAX($A$8:$A$5007),"",IFERROR(MATCH($K3239,$A$8:$A$5007,1),"")))</f>
        <v/>
      </c>
      <c r="M3239" s="30" t="str">
        <f>IF($L3239="","",INDEX($A$8:$A$5007,$L3239))</f>
        <v/>
      </c>
      <c r="N3239" s="31" t="str">
        <f>IF($L3239="","",INDEX($B$8:$B$5007,$L3239))</f>
        <v/>
      </c>
      <c r="O3239" s="32" t="str">
        <f>IF($M3239="","",IF($K3239-$M3239&gt;7,"",IF($M3239&lt;=$A3239,"",IF(OR($B3239&lt;=0,$N3239&lt;=0),"",($N3239/$B3239)^(365/($M3239-$A3239))-1))))</f>
        <v/>
      </c>
      <c r="P3239" s="31" t="str">
        <f>IF($B3239="","",IF($P3238="",$B3239,MAX($P3238,$B3239)))</f>
        <v/>
      </c>
      <c r="Q3239" s="32" t="str">
        <f>IF($P3239="","",$B3239/$P3239-1)</f>
        <v/>
      </c>
    </row>
    <row r="3240">
      <c r="A3240" s="11" t="n"/>
      <c r="B3240" s="29" t="n"/>
      <c r="K3240" s="30" t="str">
        <f>IF($A3240="","",EDATE($A3240,12*$E$4))</f>
        <v/>
      </c>
      <c r="L3240" s="19" t="str">
        <f>IF($K3240="","",IF($K3240&gt;MAX($A$8:$A$5007),"",IFERROR(MATCH($K3240,$A$8:$A$5007,1),"")))</f>
        <v/>
      </c>
      <c r="M3240" s="30" t="str">
        <f>IF($L3240="","",INDEX($A$8:$A$5007,$L3240))</f>
        <v/>
      </c>
      <c r="N3240" s="31" t="str">
        <f>IF($L3240="","",INDEX($B$8:$B$5007,$L3240))</f>
        <v/>
      </c>
      <c r="O3240" s="32" t="str">
        <f>IF($M3240="","",IF($K3240-$M3240&gt;7,"",IF($M3240&lt;=$A3240,"",IF(OR($B3240&lt;=0,$N3240&lt;=0),"",($N3240/$B3240)^(365/($M3240-$A3240))-1))))</f>
        <v/>
      </c>
      <c r="P3240" s="31" t="str">
        <f>IF($B3240="","",IF($P3239="",$B3240,MAX($P3239,$B3240)))</f>
        <v/>
      </c>
      <c r="Q3240" s="32" t="str">
        <f>IF($P3240="","",$B3240/$P3240-1)</f>
        <v/>
      </c>
    </row>
    <row r="3241">
      <c r="A3241" s="11" t="n"/>
      <c r="B3241" s="29" t="n"/>
      <c r="K3241" s="30" t="str">
        <f>IF($A3241="","",EDATE($A3241,12*$E$4))</f>
        <v/>
      </c>
      <c r="L3241" s="19" t="str">
        <f>IF($K3241="","",IF($K3241&gt;MAX($A$8:$A$5007),"",IFERROR(MATCH($K3241,$A$8:$A$5007,1),"")))</f>
        <v/>
      </c>
      <c r="M3241" s="30" t="str">
        <f>IF($L3241="","",INDEX($A$8:$A$5007,$L3241))</f>
        <v/>
      </c>
      <c r="N3241" s="31" t="str">
        <f>IF($L3241="","",INDEX($B$8:$B$5007,$L3241))</f>
        <v/>
      </c>
      <c r="O3241" s="32" t="str">
        <f>IF($M3241="","",IF($K3241-$M3241&gt;7,"",IF($M3241&lt;=$A3241,"",IF(OR($B3241&lt;=0,$N3241&lt;=0),"",($N3241/$B3241)^(365/($M3241-$A3241))-1))))</f>
        <v/>
      </c>
      <c r="P3241" s="31" t="str">
        <f>IF($B3241="","",IF($P3240="",$B3241,MAX($P3240,$B3241)))</f>
        <v/>
      </c>
      <c r="Q3241" s="32" t="str">
        <f>IF($P3241="","",$B3241/$P3241-1)</f>
        <v/>
      </c>
    </row>
    <row r="3242">
      <c r="A3242" s="11" t="n"/>
      <c r="B3242" s="29" t="n"/>
      <c r="K3242" s="30" t="str">
        <f>IF($A3242="","",EDATE($A3242,12*$E$4))</f>
        <v/>
      </c>
      <c r="L3242" s="19" t="str">
        <f>IF($K3242="","",IF($K3242&gt;MAX($A$8:$A$5007),"",IFERROR(MATCH($K3242,$A$8:$A$5007,1),"")))</f>
        <v/>
      </c>
      <c r="M3242" s="30" t="str">
        <f>IF($L3242="","",INDEX($A$8:$A$5007,$L3242))</f>
        <v/>
      </c>
      <c r="N3242" s="31" t="str">
        <f>IF($L3242="","",INDEX($B$8:$B$5007,$L3242))</f>
        <v/>
      </c>
      <c r="O3242" s="32" t="str">
        <f>IF($M3242="","",IF($K3242-$M3242&gt;7,"",IF($M3242&lt;=$A3242,"",IF(OR($B3242&lt;=0,$N3242&lt;=0),"",($N3242/$B3242)^(365/($M3242-$A3242))-1))))</f>
        <v/>
      </c>
      <c r="P3242" s="31" t="str">
        <f>IF($B3242="","",IF($P3241="",$B3242,MAX($P3241,$B3242)))</f>
        <v/>
      </c>
      <c r="Q3242" s="32" t="str">
        <f>IF($P3242="","",$B3242/$P3242-1)</f>
        <v/>
      </c>
    </row>
    <row r="3243">
      <c r="A3243" s="11" t="n"/>
      <c r="B3243" s="29" t="n"/>
      <c r="K3243" s="30" t="str">
        <f>IF($A3243="","",EDATE($A3243,12*$E$4))</f>
        <v/>
      </c>
      <c r="L3243" s="19" t="str">
        <f>IF($K3243="","",IF($K3243&gt;MAX($A$8:$A$5007),"",IFERROR(MATCH($K3243,$A$8:$A$5007,1),"")))</f>
        <v/>
      </c>
      <c r="M3243" s="30" t="str">
        <f>IF($L3243="","",INDEX($A$8:$A$5007,$L3243))</f>
        <v/>
      </c>
      <c r="N3243" s="31" t="str">
        <f>IF($L3243="","",INDEX($B$8:$B$5007,$L3243))</f>
        <v/>
      </c>
      <c r="O3243" s="32" t="str">
        <f>IF($M3243="","",IF($K3243-$M3243&gt;7,"",IF($M3243&lt;=$A3243,"",IF(OR($B3243&lt;=0,$N3243&lt;=0),"",($N3243/$B3243)^(365/($M3243-$A3243))-1))))</f>
        <v/>
      </c>
      <c r="P3243" s="31" t="str">
        <f>IF($B3243="","",IF($P3242="",$B3243,MAX($P3242,$B3243)))</f>
        <v/>
      </c>
      <c r="Q3243" s="32" t="str">
        <f>IF($P3243="","",$B3243/$P3243-1)</f>
        <v/>
      </c>
    </row>
    <row r="3244">
      <c r="A3244" s="11" t="n"/>
      <c r="B3244" s="29" t="n"/>
      <c r="K3244" s="30" t="str">
        <f>IF($A3244="","",EDATE($A3244,12*$E$4))</f>
        <v/>
      </c>
      <c r="L3244" s="19" t="str">
        <f>IF($K3244="","",IF($K3244&gt;MAX($A$8:$A$5007),"",IFERROR(MATCH($K3244,$A$8:$A$5007,1),"")))</f>
        <v/>
      </c>
      <c r="M3244" s="30" t="str">
        <f>IF($L3244="","",INDEX($A$8:$A$5007,$L3244))</f>
        <v/>
      </c>
      <c r="N3244" s="31" t="str">
        <f>IF($L3244="","",INDEX($B$8:$B$5007,$L3244))</f>
        <v/>
      </c>
      <c r="O3244" s="32" t="str">
        <f>IF($M3244="","",IF($K3244-$M3244&gt;7,"",IF($M3244&lt;=$A3244,"",IF(OR($B3244&lt;=0,$N3244&lt;=0),"",($N3244/$B3244)^(365/($M3244-$A3244))-1))))</f>
        <v/>
      </c>
      <c r="P3244" s="31" t="str">
        <f>IF($B3244="","",IF($P3243="",$B3244,MAX($P3243,$B3244)))</f>
        <v/>
      </c>
      <c r="Q3244" s="32" t="str">
        <f>IF($P3244="","",$B3244/$P3244-1)</f>
        <v/>
      </c>
    </row>
    <row r="3245">
      <c r="A3245" s="11" t="n"/>
      <c r="B3245" s="29" t="n"/>
      <c r="K3245" s="30" t="str">
        <f>IF($A3245="","",EDATE($A3245,12*$E$4))</f>
        <v/>
      </c>
      <c r="L3245" s="19" t="str">
        <f>IF($K3245="","",IF($K3245&gt;MAX($A$8:$A$5007),"",IFERROR(MATCH($K3245,$A$8:$A$5007,1),"")))</f>
        <v/>
      </c>
      <c r="M3245" s="30" t="str">
        <f>IF($L3245="","",INDEX($A$8:$A$5007,$L3245))</f>
        <v/>
      </c>
      <c r="N3245" s="31" t="str">
        <f>IF($L3245="","",INDEX($B$8:$B$5007,$L3245))</f>
        <v/>
      </c>
      <c r="O3245" s="32" t="str">
        <f>IF($M3245="","",IF($K3245-$M3245&gt;7,"",IF($M3245&lt;=$A3245,"",IF(OR($B3245&lt;=0,$N3245&lt;=0),"",($N3245/$B3245)^(365/($M3245-$A3245))-1))))</f>
        <v/>
      </c>
      <c r="P3245" s="31" t="str">
        <f>IF($B3245="","",IF($P3244="",$B3245,MAX($P3244,$B3245)))</f>
        <v/>
      </c>
      <c r="Q3245" s="32" t="str">
        <f>IF($P3245="","",$B3245/$P3245-1)</f>
        <v/>
      </c>
    </row>
    <row r="3246">
      <c r="A3246" s="11" t="n"/>
      <c r="B3246" s="29" t="n"/>
      <c r="K3246" s="30" t="str">
        <f>IF($A3246="","",EDATE($A3246,12*$E$4))</f>
        <v/>
      </c>
      <c r="L3246" s="19" t="str">
        <f>IF($K3246="","",IF($K3246&gt;MAX($A$8:$A$5007),"",IFERROR(MATCH($K3246,$A$8:$A$5007,1),"")))</f>
        <v/>
      </c>
      <c r="M3246" s="30" t="str">
        <f>IF($L3246="","",INDEX($A$8:$A$5007,$L3246))</f>
        <v/>
      </c>
      <c r="N3246" s="31" t="str">
        <f>IF($L3246="","",INDEX($B$8:$B$5007,$L3246))</f>
        <v/>
      </c>
      <c r="O3246" s="32" t="str">
        <f>IF($M3246="","",IF($K3246-$M3246&gt;7,"",IF($M3246&lt;=$A3246,"",IF(OR($B3246&lt;=0,$N3246&lt;=0),"",($N3246/$B3246)^(365/($M3246-$A3246))-1))))</f>
        <v/>
      </c>
      <c r="P3246" s="31" t="str">
        <f>IF($B3246="","",IF($P3245="",$B3246,MAX($P3245,$B3246)))</f>
        <v/>
      </c>
      <c r="Q3246" s="32" t="str">
        <f>IF($P3246="","",$B3246/$P3246-1)</f>
        <v/>
      </c>
    </row>
    <row r="3247">
      <c r="A3247" s="11" t="n"/>
      <c r="B3247" s="29" t="n"/>
      <c r="K3247" s="30" t="str">
        <f>IF($A3247="","",EDATE($A3247,12*$E$4))</f>
        <v/>
      </c>
      <c r="L3247" s="19" t="str">
        <f>IF($K3247="","",IF($K3247&gt;MAX($A$8:$A$5007),"",IFERROR(MATCH($K3247,$A$8:$A$5007,1),"")))</f>
        <v/>
      </c>
      <c r="M3247" s="30" t="str">
        <f>IF($L3247="","",INDEX($A$8:$A$5007,$L3247))</f>
        <v/>
      </c>
      <c r="N3247" s="31" t="str">
        <f>IF($L3247="","",INDEX($B$8:$B$5007,$L3247))</f>
        <v/>
      </c>
      <c r="O3247" s="32" t="str">
        <f>IF($M3247="","",IF($K3247-$M3247&gt;7,"",IF($M3247&lt;=$A3247,"",IF(OR($B3247&lt;=0,$N3247&lt;=0),"",($N3247/$B3247)^(365/($M3247-$A3247))-1))))</f>
        <v/>
      </c>
      <c r="P3247" s="31" t="str">
        <f>IF($B3247="","",IF($P3246="",$B3247,MAX($P3246,$B3247)))</f>
        <v/>
      </c>
      <c r="Q3247" s="32" t="str">
        <f>IF($P3247="","",$B3247/$P3247-1)</f>
        <v/>
      </c>
    </row>
    <row r="3248">
      <c r="A3248" s="11" t="n"/>
      <c r="B3248" s="29" t="n"/>
      <c r="K3248" s="30" t="str">
        <f>IF($A3248="","",EDATE($A3248,12*$E$4))</f>
        <v/>
      </c>
      <c r="L3248" s="19" t="str">
        <f>IF($K3248="","",IF($K3248&gt;MAX($A$8:$A$5007),"",IFERROR(MATCH($K3248,$A$8:$A$5007,1),"")))</f>
        <v/>
      </c>
      <c r="M3248" s="30" t="str">
        <f>IF($L3248="","",INDEX($A$8:$A$5007,$L3248))</f>
        <v/>
      </c>
      <c r="N3248" s="31" t="str">
        <f>IF($L3248="","",INDEX($B$8:$B$5007,$L3248))</f>
        <v/>
      </c>
      <c r="O3248" s="32" t="str">
        <f>IF($M3248="","",IF($K3248-$M3248&gt;7,"",IF($M3248&lt;=$A3248,"",IF(OR($B3248&lt;=0,$N3248&lt;=0),"",($N3248/$B3248)^(365/($M3248-$A3248))-1))))</f>
        <v/>
      </c>
      <c r="P3248" s="31" t="str">
        <f>IF($B3248="","",IF($P3247="",$B3248,MAX($P3247,$B3248)))</f>
        <v/>
      </c>
      <c r="Q3248" s="32" t="str">
        <f>IF($P3248="","",$B3248/$P3248-1)</f>
        <v/>
      </c>
    </row>
    <row r="3249">
      <c r="A3249" s="11" t="n"/>
      <c r="B3249" s="29" t="n"/>
      <c r="K3249" s="30" t="str">
        <f>IF($A3249="","",EDATE($A3249,12*$E$4))</f>
        <v/>
      </c>
      <c r="L3249" s="19" t="str">
        <f>IF($K3249="","",IF($K3249&gt;MAX($A$8:$A$5007),"",IFERROR(MATCH($K3249,$A$8:$A$5007,1),"")))</f>
        <v/>
      </c>
      <c r="M3249" s="30" t="str">
        <f>IF($L3249="","",INDEX($A$8:$A$5007,$L3249))</f>
        <v/>
      </c>
      <c r="N3249" s="31" t="str">
        <f>IF($L3249="","",INDEX($B$8:$B$5007,$L3249))</f>
        <v/>
      </c>
      <c r="O3249" s="32" t="str">
        <f>IF($M3249="","",IF($K3249-$M3249&gt;7,"",IF($M3249&lt;=$A3249,"",IF(OR($B3249&lt;=0,$N3249&lt;=0),"",($N3249/$B3249)^(365/($M3249-$A3249))-1))))</f>
        <v/>
      </c>
      <c r="P3249" s="31" t="str">
        <f>IF($B3249="","",IF($P3248="",$B3249,MAX($P3248,$B3249)))</f>
        <v/>
      </c>
      <c r="Q3249" s="32" t="str">
        <f>IF($P3249="","",$B3249/$P3249-1)</f>
        <v/>
      </c>
    </row>
    <row r="3250">
      <c r="A3250" s="11" t="n"/>
      <c r="B3250" s="29" t="n"/>
      <c r="K3250" s="30" t="str">
        <f>IF($A3250="","",EDATE($A3250,12*$E$4))</f>
        <v/>
      </c>
      <c r="L3250" s="19" t="str">
        <f>IF($K3250="","",IF($K3250&gt;MAX($A$8:$A$5007),"",IFERROR(MATCH($K3250,$A$8:$A$5007,1),"")))</f>
        <v/>
      </c>
      <c r="M3250" s="30" t="str">
        <f>IF($L3250="","",INDEX($A$8:$A$5007,$L3250))</f>
        <v/>
      </c>
      <c r="N3250" s="31" t="str">
        <f>IF($L3250="","",INDEX($B$8:$B$5007,$L3250))</f>
        <v/>
      </c>
      <c r="O3250" s="32" t="str">
        <f>IF($M3250="","",IF($K3250-$M3250&gt;7,"",IF($M3250&lt;=$A3250,"",IF(OR($B3250&lt;=0,$N3250&lt;=0),"",($N3250/$B3250)^(365/($M3250-$A3250))-1))))</f>
        <v/>
      </c>
      <c r="P3250" s="31" t="str">
        <f>IF($B3250="","",IF($P3249="",$B3250,MAX($P3249,$B3250)))</f>
        <v/>
      </c>
      <c r="Q3250" s="32" t="str">
        <f>IF($P3250="","",$B3250/$P3250-1)</f>
        <v/>
      </c>
    </row>
    <row r="3251">
      <c r="A3251" s="11" t="n"/>
      <c r="B3251" s="29" t="n"/>
      <c r="K3251" s="30" t="str">
        <f>IF($A3251="","",EDATE($A3251,12*$E$4))</f>
        <v/>
      </c>
      <c r="L3251" s="19" t="str">
        <f>IF($K3251="","",IF($K3251&gt;MAX($A$8:$A$5007),"",IFERROR(MATCH($K3251,$A$8:$A$5007,1),"")))</f>
        <v/>
      </c>
      <c r="M3251" s="30" t="str">
        <f>IF($L3251="","",INDEX($A$8:$A$5007,$L3251))</f>
        <v/>
      </c>
      <c r="N3251" s="31" t="str">
        <f>IF($L3251="","",INDEX($B$8:$B$5007,$L3251))</f>
        <v/>
      </c>
      <c r="O3251" s="32" t="str">
        <f>IF($M3251="","",IF($K3251-$M3251&gt;7,"",IF($M3251&lt;=$A3251,"",IF(OR($B3251&lt;=0,$N3251&lt;=0),"",($N3251/$B3251)^(365/($M3251-$A3251))-1))))</f>
        <v/>
      </c>
      <c r="P3251" s="31" t="str">
        <f>IF($B3251="","",IF($P3250="",$B3251,MAX($P3250,$B3251)))</f>
        <v/>
      </c>
      <c r="Q3251" s="32" t="str">
        <f>IF($P3251="","",$B3251/$P3251-1)</f>
        <v/>
      </c>
    </row>
    <row r="3252">
      <c r="A3252" s="11" t="n"/>
      <c r="B3252" s="29" t="n"/>
      <c r="K3252" s="30" t="str">
        <f>IF($A3252="","",EDATE($A3252,12*$E$4))</f>
        <v/>
      </c>
      <c r="L3252" s="19" t="str">
        <f>IF($K3252="","",IF($K3252&gt;MAX($A$8:$A$5007),"",IFERROR(MATCH($K3252,$A$8:$A$5007,1),"")))</f>
        <v/>
      </c>
      <c r="M3252" s="30" t="str">
        <f>IF($L3252="","",INDEX($A$8:$A$5007,$L3252))</f>
        <v/>
      </c>
      <c r="N3252" s="31" t="str">
        <f>IF($L3252="","",INDEX($B$8:$B$5007,$L3252))</f>
        <v/>
      </c>
      <c r="O3252" s="32" t="str">
        <f>IF($M3252="","",IF($K3252-$M3252&gt;7,"",IF($M3252&lt;=$A3252,"",IF(OR($B3252&lt;=0,$N3252&lt;=0),"",($N3252/$B3252)^(365/($M3252-$A3252))-1))))</f>
        <v/>
      </c>
      <c r="P3252" s="31" t="str">
        <f>IF($B3252="","",IF($P3251="",$B3252,MAX($P3251,$B3252)))</f>
        <v/>
      </c>
      <c r="Q3252" s="32" t="str">
        <f>IF($P3252="","",$B3252/$P3252-1)</f>
        <v/>
      </c>
    </row>
    <row r="3253">
      <c r="A3253" s="11" t="n"/>
      <c r="B3253" s="29" t="n"/>
      <c r="K3253" s="30" t="str">
        <f>IF($A3253="","",EDATE($A3253,12*$E$4))</f>
        <v/>
      </c>
      <c r="L3253" s="19" t="str">
        <f>IF($K3253="","",IF($K3253&gt;MAX($A$8:$A$5007),"",IFERROR(MATCH($K3253,$A$8:$A$5007,1),"")))</f>
        <v/>
      </c>
      <c r="M3253" s="30" t="str">
        <f>IF($L3253="","",INDEX($A$8:$A$5007,$L3253))</f>
        <v/>
      </c>
      <c r="N3253" s="31" t="str">
        <f>IF($L3253="","",INDEX($B$8:$B$5007,$L3253))</f>
        <v/>
      </c>
      <c r="O3253" s="32" t="str">
        <f>IF($M3253="","",IF($K3253-$M3253&gt;7,"",IF($M3253&lt;=$A3253,"",IF(OR($B3253&lt;=0,$N3253&lt;=0),"",($N3253/$B3253)^(365/($M3253-$A3253))-1))))</f>
        <v/>
      </c>
      <c r="P3253" s="31" t="str">
        <f>IF($B3253="","",IF($P3252="",$B3253,MAX($P3252,$B3253)))</f>
        <v/>
      </c>
      <c r="Q3253" s="32" t="str">
        <f>IF($P3253="","",$B3253/$P3253-1)</f>
        <v/>
      </c>
    </row>
    <row r="3254">
      <c r="A3254" s="11" t="n"/>
      <c r="B3254" s="29" t="n"/>
      <c r="K3254" s="30" t="str">
        <f>IF($A3254="","",EDATE($A3254,12*$E$4))</f>
        <v/>
      </c>
      <c r="L3254" s="19" t="str">
        <f>IF($K3254="","",IF($K3254&gt;MAX($A$8:$A$5007),"",IFERROR(MATCH($K3254,$A$8:$A$5007,1),"")))</f>
        <v/>
      </c>
      <c r="M3254" s="30" t="str">
        <f>IF($L3254="","",INDEX($A$8:$A$5007,$L3254))</f>
        <v/>
      </c>
      <c r="N3254" s="31" t="str">
        <f>IF($L3254="","",INDEX($B$8:$B$5007,$L3254))</f>
        <v/>
      </c>
      <c r="O3254" s="32" t="str">
        <f>IF($M3254="","",IF($K3254-$M3254&gt;7,"",IF($M3254&lt;=$A3254,"",IF(OR($B3254&lt;=0,$N3254&lt;=0),"",($N3254/$B3254)^(365/($M3254-$A3254))-1))))</f>
        <v/>
      </c>
      <c r="P3254" s="31" t="str">
        <f>IF($B3254="","",IF($P3253="",$B3254,MAX($P3253,$B3254)))</f>
        <v/>
      </c>
      <c r="Q3254" s="32" t="str">
        <f>IF($P3254="","",$B3254/$P3254-1)</f>
        <v/>
      </c>
    </row>
    <row r="3255">
      <c r="A3255" s="11" t="n"/>
      <c r="B3255" s="29" t="n"/>
      <c r="K3255" s="30" t="str">
        <f>IF($A3255="","",EDATE($A3255,12*$E$4))</f>
        <v/>
      </c>
      <c r="L3255" s="19" t="str">
        <f>IF($K3255="","",IF($K3255&gt;MAX($A$8:$A$5007),"",IFERROR(MATCH($K3255,$A$8:$A$5007,1),"")))</f>
        <v/>
      </c>
      <c r="M3255" s="30" t="str">
        <f>IF($L3255="","",INDEX($A$8:$A$5007,$L3255))</f>
        <v/>
      </c>
      <c r="N3255" s="31" t="str">
        <f>IF($L3255="","",INDEX($B$8:$B$5007,$L3255))</f>
        <v/>
      </c>
      <c r="O3255" s="32" t="str">
        <f>IF($M3255="","",IF($K3255-$M3255&gt;7,"",IF($M3255&lt;=$A3255,"",IF(OR($B3255&lt;=0,$N3255&lt;=0),"",($N3255/$B3255)^(365/($M3255-$A3255))-1))))</f>
        <v/>
      </c>
      <c r="P3255" s="31" t="str">
        <f>IF($B3255="","",IF($P3254="",$B3255,MAX($P3254,$B3255)))</f>
        <v/>
      </c>
      <c r="Q3255" s="32" t="str">
        <f>IF($P3255="","",$B3255/$P3255-1)</f>
        <v/>
      </c>
    </row>
    <row r="3256">
      <c r="A3256" s="11" t="n"/>
      <c r="B3256" s="29" t="n"/>
      <c r="K3256" s="30" t="str">
        <f>IF($A3256="","",EDATE($A3256,12*$E$4))</f>
        <v/>
      </c>
      <c r="L3256" s="19" t="str">
        <f>IF($K3256="","",IF($K3256&gt;MAX($A$8:$A$5007),"",IFERROR(MATCH($K3256,$A$8:$A$5007,1),"")))</f>
        <v/>
      </c>
      <c r="M3256" s="30" t="str">
        <f>IF($L3256="","",INDEX($A$8:$A$5007,$L3256))</f>
        <v/>
      </c>
      <c r="N3256" s="31" t="str">
        <f>IF($L3256="","",INDEX($B$8:$B$5007,$L3256))</f>
        <v/>
      </c>
      <c r="O3256" s="32" t="str">
        <f>IF($M3256="","",IF($K3256-$M3256&gt;7,"",IF($M3256&lt;=$A3256,"",IF(OR($B3256&lt;=0,$N3256&lt;=0),"",($N3256/$B3256)^(365/($M3256-$A3256))-1))))</f>
        <v/>
      </c>
      <c r="P3256" s="31" t="str">
        <f>IF($B3256="","",IF($P3255="",$B3256,MAX($P3255,$B3256)))</f>
        <v/>
      </c>
      <c r="Q3256" s="32" t="str">
        <f>IF($P3256="","",$B3256/$P3256-1)</f>
        <v/>
      </c>
    </row>
    <row r="3257">
      <c r="A3257" s="11" t="n"/>
      <c r="B3257" s="29" t="n"/>
      <c r="K3257" s="30" t="str">
        <f>IF($A3257="","",EDATE($A3257,12*$E$4))</f>
        <v/>
      </c>
      <c r="L3257" s="19" t="str">
        <f>IF($K3257="","",IF($K3257&gt;MAX($A$8:$A$5007),"",IFERROR(MATCH($K3257,$A$8:$A$5007,1),"")))</f>
        <v/>
      </c>
      <c r="M3257" s="30" t="str">
        <f>IF($L3257="","",INDEX($A$8:$A$5007,$L3257))</f>
        <v/>
      </c>
      <c r="N3257" s="31" t="str">
        <f>IF($L3257="","",INDEX($B$8:$B$5007,$L3257))</f>
        <v/>
      </c>
      <c r="O3257" s="32" t="str">
        <f>IF($M3257="","",IF($K3257-$M3257&gt;7,"",IF($M3257&lt;=$A3257,"",IF(OR($B3257&lt;=0,$N3257&lt;=0),"",($N3257/$B3257)^(365/($M3257-$A3257))-1))))</f>
        <v/>
      </c>
      <c r="P3257" s="31" t="str">
        <f>IF($B3257="","",IF($P3256="",$B3257,MAX($P3256,$B3257)))</f>
        <v/>
      </c>
      <c r="Q3257" s="32" t="str">
        <f>IF($P3257="","",$B3257/$P3257-1)</f>
        <v/>
      </c>
    </row>
    <row r="3258">
      <c r="A3258" s="11" t="n"/>
      <c r="B3258" s="29" t="n"/>
      <c r="K3258" s="30" t="str">
        <f>IF($A3258="","",EDATE($A3258,12*$E$4))</f>
        <v/>
      </c>
      <c r="L3258" s="19" t="str">
        <f>IF($K3258="","",IF($K3258&gt;MAX($A$8:$A$5007),"",IFERROR(MATCH($K3258,$A$8:$A$5007,1),"")))</f>
        <v/>
      </c>
      <c r="M3258" s="30" t="str">
        <f>IF($L3258="","",INDEX($A$8:$A$5007,$L3258))</f>
        <v/>
      </c>
      <c r="N3258" s="31" t="str">
        <f>IF($L3258="","",INDEX($B$8:$B$5007,$L3258))</f>
        <v/>
      </c>
      <c r="O3258" s="32" t="str">
        <f>IF($M3258="","",IF($K3258-$M3258&gt;7,"",IF($M3258&lt;=$A3258,"",IF(OR($B3258&lt;=0,$N3258&lt;=0),"",($N3258/$B3258)^(365/($M3258-$A3258))-1))))</f>
        <v/>
      </c>
      <c r="P3258" s="31" t="str">
        <f>IF($B3258="","",IF($P3257="",$B3258,MAX($P3257,$B3258)))</f>
        <v/>
      </c>
      <c r="Q3258" s="32" t="str">
        <f>IF($P3258="","",$B3258/$P3258-1)</f>
        <v/>
      </c>
    </row>
    <row r="3259">
      <c r="A3259" s="11" t="n"/>
      <c r="B3259" s="29" t="n"/>
      <c r="K3259" s="30" t="str">
        <f>IF($A3259="","",EDATE($A3259,12*$E$4))</f>
        <v/>
      </c>
      <c r="L3259" s="19" t="str">
        <f>IF($K3259="","",IF($K3259&gt;MAX($A$8:$A$5007),"",IFERROR(MATCH($K3259,$A$8:$A$5007,1),"")))</f>
        <v/>
      </c>
      <c r="M3259" s="30" t="str">
        <f>IF($L3259="","",INDEX($A$8:$A$5007,$L3259))</f>
        <v/>
      </c>
      <c r="N3259" s="31" t="str">
        <f>IF($L3259="","",INDEX($B$8:$B$5007,$L3259))</f>
        <v/>
      </c>
      <c r="O3259" s="32" t="str">
        <f>IF($M3259="","",IF($K3259-$M3259&gt;7,"",IF($M3259&lt;=$A3259,"",IF(OR($B3259&lt;=0,$N3259&lt;=0),"",($N3259/$B3259)^(365/($M3259-$A3259))-1))))</f>
        <v/>
      </c>
      <c r="P3259" s="31" t="str">
        <f>IF($B3259="","",IF($P3258="",$B3259,MAX($P3258,$B3259)))</f>
        <v/>
      </c>
      <c r="Q3259" s="32" t="str">
        <f>IF($P3259="","",$B3259/$P3259-1)</f>
        <v/>
      </c>
    </row>
    <row r="3260">
      <c r="A3260" s="11" t="n"/>
      <c r="B3260" s="29" t="n"/>
      <c r="K3260" s="30" t="str">
        <f>IF($A3260="","",EDATE($A3260,12*$E$4))</f>
        <v/>
      </c>
      <c r="L3260" s="19" t="str">
        <f>IF($K3260="","",IF($K3260&gt;MAX($A$8:$A$5007),"",IFERROR(MATCH($K3260,$A$8:$A$5007,1),"")))</f>
        <v/>
      </c>
      <c r="M3260" s="30" t="str">
        <f>IF($L3260="","",INDEX($A$8:$A$5007,$L3260))</f>
        <v/>
      </c>
      <c r="N3260" s="31" t="str">
        <f>IF($L3260="","",INDEX($B$8:$B$5007,$L3260))</f>
        <v/>
      </c>
      <c r="O3260" s="32" t="str">
        <f>IF($M3260="","",IF($K3260-$M3260&gt;7,"",IF($M3260&lt;=$A3260,"",IF(OR($B3260&lt;=0,$N3260&lt;=0),"",($N3260/$B3260)^(365/($M3260-$A3260))-1))))</f>
        <v/>
      </c>
      <c r="P3260" s="31" t="str">
        <f>IF($B3260="","",IF($P3259="",$B3260,MAX($P3259,$B3260)))</f>
        <v/>
      </c>
      <c r="Q3260" s="32" t="str">
        <f>IF($P3260="","",$B3260/$P3260-1)</f>
        <v/>
      </c>
    </row>
    <row r="3261">
      <c r="A3261" s="11" t="n"/>
      <c r="B3261" s="29" t="n"/>
      <c r="K3261" s="30" t="str">
        <f>IF($A3261="","",EDATE($A3261,12*$E$4))</f>
        <v/>
      </c>
      <c r="L3261" s="19" t="str">
        <f>IF($K3261="","",IF($K3261&gt;MAX($A$8:$A$5007),"",IFERROR(MATCH($K3261,$A$8:$A$5007,1),"")))</f>
        <v/>
      </c>
      <c r="M3261" s="30" t="str">
        <f>IF($L3261="","",INDEX($A$8:$A$5007,$L3261))</f>
        <v/>
      </c>
      <c r="N3261" s="31" t="str">
        <f>IF($L3261="","",INDEX($B$8:$B$5007,$L3261))</f>
        <v/>
      </c>
      <c r="O3261" s="32" t="str">
        <f>IF($M3261="","",IF($K3261-$M3261&gt;7,"",IF($M3261&lt;=$A3261,"",IF(OR($B3261&lt;=0,$N3261&lt;=0),"",($N3261/$B3261)^(365/($M3261-$A3261))-1))))</f>
        <v/>
      </c>
      <c r="P3261" s="31" t="str">
        <f>IF($B3261="","",IF($P3260="",$B3261,MAX($P3260,$B3261)))</f>
        <v/>
      </c>
      <c r="Q3261" s="32" t="str">
        <f>IF($P3261="","",$B3261/$P3261-1)</f>
        <v/>
      </c>
    </row>
    <row r="3262">
      <c r="A3262" s="11" t="n"/>
      <c r="B3262" s="29" t="n"/>
      <c r="K3262" s="30" t="str">
        <f>IF($A3262="","",EDATE($A3262,12*$E$4))</f>
        <v/>
      </c>
      <c r="L3262" s="19" t="str">
        <f>IF($K3262="","",IF($K3262&gt;MAX($A$8:$A$5007),"",IFERROR(MATCH($K3262,$A$8:$A$5007,1),"")))</f>
        <v/>
      </c>
      <c r="M3262" s="30" t="str">
        <f>IF($L3262="","",INDEX($A$8:$A$5007,$L3262))</f>
        <v/>
      </c>
      <c r="N3262" s="31" t="str">
        <f>IF($L3262="","",INDEX($B$8:$B$5007,$L3262))</f>
        <v/>
      </c>
      <c r="O3262" s="32" t="str">
        <f>IF($M3262="","",IF($K3262-$M3262&gt;7,"",IF($M3262&lt;=$A3262,"",IF(OR($B3262&lt;=0,$N3262&lt;=0),"",($N3262/$B3262)^(365/($M3262-$A3262))-1))))</f>
        <v/>
      </c>
      <c r="P3262" s="31" t="str">
        <f>IF($B3262="","",IF($P3261="",$B3262,MAX($P3261,$B3262)))</f>
        <v/>
      </c>
      <c r="Q3262" s="32" t="str">
        <f>IF($P3262="","",$B3262/$P3262-1)</f>
        <v/>
      </c>
    </row>
    <row r="3263">
      <c r="A3263" s="11" t="n"/>
      <c r="B3263" s="29" t="n"/>
      <c r="K3263" s="30" t="str">
        <f>IF($A3263="","",EDATE($A3263,12*$E$4))</f>
        <v/>
      </c>
      <c r="L3263" s="19" t="str">
        <f>IF($K3263="","",IF($K3263&gt;MAX($A$8:$A$5007),"",IFERROR(MATCH($K3263,$A$8:$A$5007,1),"")))</f>
        <v/>
      </c>
      <c r="M3263" s="30" t="str">
        <f>IF($L3263="","",INDEX($A$8:$A$5007,$L3263))</f>
        <v/>
      </c>
      <c r="N3263" s="31" t="str">
        <f>IF($L3263="","",INDEX($B$8:$B$5007,$L3263))</f>
        <v/>
      </c>
      <c r="O3263" s="32" t="str">
        <f>IF($M3263="","",IF($K3263-$M3263&gt;7,"",IF($M3263&lt;=$A3263,"",IF(OR($B3263&lt;=0,$N3263&lt;=0),"",($N3263/$B3263)^(365/($M3263-$A3263))-1))))</f>
        <v/>
      </c>
      <c r="P3263" s="31" t="str">
        <f>IF($B3263="","",IF($P3262="",$B3263,MAX($P3262,$B3263)))</f>
        <v/>
      </c>
      <c r="Q3263" s="32" t="str">
        <f>IF($P3263="","",$B3263/$P3263-1)</f>
        <v/>
      </c>
    </row>
    <row r="3264">
      <c r="A3264" s="11" t="n"/>
      <c r="B3264" s="29" t="n"/>
      <c r="K3264" s="30" t="str">
        <f>IF($A3264="","",EDATE($A3264,12*$E$4))</f>
        <v/>
      </c>
      <c r="L3264" s="19" t="str">
        <f>IF($K3264="","",IF($K3264&gt;MAX($A$8:$A$5007),"",IFERROR(MATCH($K3264,$A$8:$A$5007,1),"")))</f>
        <v/>
      </c>
      <c r="M3264" s="30" t="str">
        <f>IF($L3264="","",INDEX($A$8:$A$5007,$L3264))</f>
        <v/>
      </c>
      <c r="N3264" s="31" t="str">
        <f>IF($L3264="","",INDEX($B$8:$B$5007,$L3264))</f>
        <v/>
      </c>
      <c r="O3264" s="32" t="str">
        <f>IF($M3264="","",IF($K3264-$M3264&gt;7,"",IF($M3264&lt;=$A3264,"",IF(OR($B3264&lt;=0,$N3264&lt;=0),"",($N3264/$B3264)^(365/($M3264-$A3264))-1))))</f>
        <v/>
      </c>
      <c r="P3264" s="31" t="str">
        <f>IF($B3264="","",IF($P3263="",$B3264,MAX($P3263,$B3264)))</f>
        <v/>
      </c>
      <c r="Q3264" s="32" t="str">
        <f>IF($P3264="","",$B3264/$P3264-1)</f>
        <v/>
      </c>
    </row>
    <row r="3265">
      <c r="A3265" s="11" t="n"/>
      <c r="B3265" s="29" t="n"/>
      <c r="K3265" s="30" t="str">
        <f>IF($A3265="","",EDATE($A3265,12*$E$4))</f>
        <v/>
      </c>
      <c r="L3265" s="19" t="str">
        <f>IF($K3265="","",IF($K3265&gt;MAX($A$8:$A$5007),"",IFERROR(MATCH($K3265,$A$8:$A$5007,1),"")))</f>
        <v/>
      </c>
      <c r="M3265" s="30" t="str">
        <f>IF($L3265="","",INDEX($A$8:$A$5007,$L3265))</f>
        <v/>
      </c>
      <c r="N3265" s="31" t="str">
        <f>IF($L3265="","",INDEX($B$8:$B$5007,$L3265))</f>
        <v/>
      </c>
      <c r="O3265" s="32" t="str">
        <f>IF($M3265="","",IF($K3265-$M3265&gt;7,"",IF($M3265&lt;=$A3265,"",IF(OR($B3265&lt;=0,$N3265&lt;=0),"",($N3265/$B3265)^(365/($M3265-$A3265))-1))))</f>
        <v/>
      </c>
      <c r="P3265" s="31" t="str">
        <f>IF($B3265="","",IF($P3264="",$B3265,MAX($P3264,$B3265)))</f>
        <v/>
      </c>
      <c r="Q3265" s="32" t="str">
        <f>IF($P3265="","",$B3265/$P3265-1)</f>
        <v/>
      </c>
    </row>
    <row r="3266">
      <c r="A3266" s="11" t="n"/>
      <c r="B3266" s="29" t="n"/>
      <c r="K3266" s="30" t="str">
        <f>IF($A3266="","",EDATE($A3266,12*$E$4))</f>
        <v/>
      </c>
      <c r="L3266" s="19" t="str">
        <f>IF($K3266="","",IF($K3266&gt;MAX($A$8:$A$5007),"",IFERROR(MATCH($K3266,$A$8:$A$5007,1),"")))</f>
        <v/>
      </c>
      <c r="M3266" s="30" t="str">
        <f>IF($L3266="","",INDEX($A$8:$A$5007,$L3266))</f>
        <v/>
      </c>
      <c r="N3266" s="31" t="str">
        <f>IF($L3266="","",INDEX($B$8:$B$5007,$L3266))</f>
        <v/>
      </c>
      <c r="O3266" s="32" t="str">
        <f>IF($M3266="","",IF($K3266-$M3266&gt;7,"",IF($M3266&lt;=$A3266,"",IF(OR($B3266&lt;=0,$N3266&lt;=0),"",($N3266/$B3266)^(365/($M3266-$A3266))-1))))</f>
        <v/>
      </c>
      <c r="P3266" s="31" t="str">
        <f>IF($B3266="","",IF($P3265="",$B3266,MAX($P3265,$B3266)))</f>
        <v/>
      </c>
      <c r="Q3266" s="32" t="str">
        <f>IF($P3266="","",$B3266/$P3266-1)</f>
        <v/>
      </c>
    </row>
    <row r="3267">
      <c r="A3267" s="11" t="n"/>
      <c r="B3267" s="29" t="n"/>
      <c r="K3267" s="30" t="str">
        <f>IF($A3267="","",EDATE($A3267,12*$E$4))</f>
        <v/>
      </c>
      <c r="L3267" s="19" t="str">
        <f>IF($K3267="","",IF($K3267&gt;MAX($A$8:$A$5007),"",IFERROR(MATCH($K3267,$A$8:$A$5007,1),"")))</f>
        <v/>
      </c>
      <c r="M3267" s="30" t="str">
        <f>IF($L3267="","",INDEX($A$8:$A$5007,$L3267))</f>
        <v/>
      </c>
      <c r="N3267" s="31" t="str">
        <f>IF($L3267="","",INDEX($B$8:$B$5007,$L3267))</f>
        <v/>
      </c>
      <c r="O3267" s="32" t="str">
        <f>IF($M3267="","",IF($K3267-$M3267&gt;7,"",IF($M3267&lt;=$A3267,"",IF(OR($B3267&lt;=0,$N3267&lt;=0),"",($N3267/$B3267)^(365/($M3267-$A3267))-1))))</f>
        <v/>
      </c>
      <c r="P3267" s="31" t="str">
        <f>IF($B3267="","",IF($P3266="",$B3267,MAX($P3266,$B3267)))</f>
        <v/>
      </c>
      <c r="Q3267" s="32" t="str">
        <f>IF($P3267="","",$B3267/$P3267-1)</f>
        <v/>
      </c>
    </row>
    <row r="3268">
      <c r="A3268" s="11" t="n"/>
      <c r="B3268" s="29" t="n"/>
      <c r="K3268" s="30" t="str">
        <f>IF($A3268="","",EDATE($A3268,12*$E$4))</f>
        <v/>
      </c>
      <c r="L3268" s="19" t="str">
        <f>IF($K3268="","",IF($K3268&gt;MAX($A$8:$A$5007),"",IFERROR(MATCH($K3268,$A$8:$A$5007,1),"")))</f>
        <v/>
      </c>
      <c r="M3268" s="30" t="str">
        <f>IF($L3268="","",INDEX($A$8:$A$5007,$L3268))</f>
        <v/>
      </c>
      <c r="N3268" s="31" t="str">
        <f>IF($L3268="","",INDEX($B$8:$B$5007,$L3268))</f>
        <v/>
      </c>
      <c r="O3268" s="32" t="str">
        <f>IF($M3268="","",IF($K3268-$M3268&gt;7,"",IF($M3268&lt;=$A3268,"",IF(OR($B3268&lt;=0,$N3268&lt;=0),"",($N3268/$B3268)^(365/($M3268-$A3268))-1))))</f>
        <v/>
      </c>
      <c r="P3268" s="31" t="str">
        <f>IF($B3268="","",IF($P3267="",$B3268,MAX($P3267,$B3268)))</f>
        <v/>
      </c>
      <c r="Q3268" s="32" t="str">
        <f>IF($P3268="","",$B3268/$P3268-1)</f>
        <v/>
      </c>
    </row>
    <row r="3269">
      <c r="A3269" s="11" t="n"/>
      <c r="B3269" s="29" t="n"/>
      <c r="K3269" s="30" t="str">
        <f>IF($A3269="","",EDATE($A3269,12*$E$4))</f>
        <v/>
      </c>
      <c r="L3269" s="19" t="str">
        <f>IF($K3269="","",IF($K3269&gt;MAX($A$8:$A$5007),"",IFERROR(MATCH($K3269,$A$8:$A$5007,1),"")))</f>
        <v/>
      </c>
      <c r="M3269" s="30" t="str">
        <f>IF($L3269="","",INDEX($A$8:$A$5007,$L3269))</f>
        <v/>
      </c>
      <c r="N3269" s="31" t="str">
        <f>IF($L3269="","",INDEX($B$8:$B$5007,$L3269))</f>
        <v/>
      </c>
      <c r="O3269" s="32" t="str">
        <f>IF($M3269="","",IF($K3269-$M3269&gt;7,"",IF($M3269&lt;=$A3269,"",IF(OR($B3269&lt;=0,$N3269&lt;=0),"",($N3269/$B3269)^(365/($M3269-$A3269))-1))))</f>
        <v/>
      </c>
      <c r="P3269" s="31" t="str">
        <f>IF($B3269="","",IF($P3268="",$B3269,MAX($P3268,$B3269)))</f>
        <v/>
      </c>
      <c r="Q3269" s="32" t="str">
        <f>IF($P3269="","",$B3269/$P3269-1)</f>
        <v/>
      </c>
    </row>
    <row r="3270">
      <c r="A3270" s="11" t="n"/>
      <c r="B3270" s="29" t="n"/>
      <c r="K3270" s="30" t="str">
        <f>IF($A3270="","",EDATE($A3270,12*$E$4))</f>
        <v/>
      </c>
      <c r="L3270" s="19" t="str">
        <f>IF($K3270="","",IF($K3270&gt;MAX($A$8:$A$5007),"",IFERROR(MATCH($K3270,$A$8:$A$5007,1),"")))</f>
        <v/>
      </c>
      <c r="M3270" s="30" t="str">
        <f>IF($L3270="","",INDEX($A$8:$A$5007,$L3270))</f>
        <v/>
      </c>
      <c r="N3270" s="31" t="str">
        <f>IF($L3270="","",INDEX($B$8:$B$5007,$L3270))</f>
        <v/>
      </c>
      <c r="O3270" s="32" t="str">
        <f>IF($M3270="","",IF($K3270-$M3270&gt;7,"",IF($M3270&lt;=$A3270,"",IF(OR($B3270&lt;=0,$N3270&lt;=0),"",($N3270/$B3270)^(365/($M3270-$A3270))-1))))</f>
        <v/>
      </c>
      <c r="P3270" s="31" t="str">
        <f>IF($B3270="","",IF($P3269="",$B3270,MAX($P3269,$B3270)))</f>
        <v/>
      </c>
      <c r="Q3270" s="32" t="str">
        <f>IF($P3270="","",$B3270/$P3270-1)</f>
        <v/>
      </c>
    </row>
    <row r="3271">
      <c r="A3271" s="11" t="n"/>
      <c r="B3271" s="29" t="n"/>
      <c r="K3271" s="30" t="str">
        <f>IF($A3271="","",EDATE($A3271,12*$E$4))</f>
        <v/>
      </c>
      <c r="L3271" s="19" t="str">
        <f>IF($K3271="","",IF($K3271&gt;MAX($A$8:$A$5007),"",IFERROR(MATCH($K3271,$A$8:$A$5007,1),"")))</f>
        <v/>
      </c>
      <c r="M3271" s="30" t="str">
        <f>IF($L3271="","",INDEX($A$8:$A$5007,$L3271))</f>
        <v/>
      </c>
      <c r="N3271" s="31" t="str">
        <f>IF($L3271="","",INDEX($B$8:$B$5007,$L3271))</f>
        <v/>
      </c>
      <c r="O3271" s="32" t="str">
        <f>IF($M3271="","",IF($K3271-$M3271&gt;7,"",IF($M3271&lt;=$A3271,"",IF(OR($B3271&lt;=0,$N3271&lt;=0),"",($N3271/$B3271)^(365/($M3271-$A3271))-1))))</f>
        <v/>
      </c>
      <c r="P3271" s="31" t="str">
        <f>IF($B3271="","",IF($P3270="",$B3271,MAX($P3270,$B3271)))</f>
        <v/>
      </c>
      <c r="Q3271" s="32" t="str">
        <f>IF($P3271="","",$B3271/$P3271-1)</f>
        <v/>
      </c>
    </row>
    <row r="3272">
      <c r="A3272" s="11" t="n"/>
      <c r="B3272" s="29" t="n"/>
      <c r="K3272" s="30" t="str">
        <f>IF($A3272="","",EDATE($A3272,12*$E$4))</f>
        <v/>
      </c>
      <c r="L3272" s="19" t="str">
        <f>IF($K3272="","",IF($K3272&gt;MAX($A$8:$A$5007),"",IFERROR(MATCH($K3272,$A$8:$A$5007,1),"")))</f>
        <v/>
      </c>
      <c r="M3272" s="30" t="str">
        <f>IF($L3272="","",INDEX($A$8:$A$5007,$L3272))</f>
        <v/>
      </c>
      <c r="N3272" s="31" t="str">
        <f>IF($L3272="","",INDEX($B$8:$B$5007,$L3272))</f>
        <v/>
      </c>
      <c r="O3272" s="32" t="str">
        <f>IF($M3272="","",IF($K3272-$M3272&gt;7,"",IF($M3272&lt;=$A3272,"",IF(OR($B3272&lt;=0,$N3272&lt;=0),"",($N3272/$B3272)^(365/($M3272-$A3272))-1))))</f>
        <v/>
      </c>
      <c r="P3272" s="31" t="str">
        <f>IF($B3272="","",IF($P3271="",$B3272,MAX($P3271,$B3272)))</f>
        <v/>
      </c>
      <c r="Q3272" s="32" t="str">
        <f>IF($P3272="","",$B3272/$P3272-1)</f>
        <v/>
      </c>
    </row>
    <row r="3273">
      <c r="A3273" s="11" t="n"/>
      <c r="B3273" s="29" t="n"/>
      <c r="K3273" s="30" t="str">
        <f>IF($A3273="","",EDATE($A3273,12*$E$4))</f>
        <v/>
      </c>
      <c r="L3273" s="19" t="str">
        <f>IF($K3273="","",IF($K3273&gt;MAX($A$8:$A$5007),"",IFERROR(MATCH($K3273,$A$8:$A$5007,1),"")))</f>
        <v/>
      </c>
      <c r="M3273" s="30" t="str">
        <f>IF($L3273="","",INDEX($A$8:$A$5007,$L3273))</f>
        <v/>
      </c>
      <c r="N3273" s="31" t="str">
        <f>IF($L3273="","",INDEX($B$8:$B$5007,$L3273))</f>
        <v/>
      </c>
      <c r="O3273" s="32" t="str">
        <f>IF($M3273="","",IF($K3273-$M3273&gt;7,"",IF($M3273&lt;=$A3273,"",IF(OR($B3273&lt;=0,$N3273&lt;=0),"",($N3273/$B3273)^(365/($M3273-$A3273))-1))))</f>
        <v/>
      </c>
      <c r="P3273" s="31" t="str">
        <f>IF($B3273="","",IF($P3272="",$B3273,MAX($P3272,$B3273)))</f>
        <v/>
      </c>
      <c r="Q3273" s="32" t="str">
        <f>IF($P3273="","",$B3273/$P3273-1)</f>
        <v/>
      </c>
    </row>
    <row r="3274">
      <c r="A3274" s="11" t="n"/>
      <c r="B3274" s="29" t="n"/>
      <c r="K3274" s="30" t="str">
        <f>IF($A3274="","",EDATE($A3274,12*$E$4))</f>
        <v/>
      </c>
      <c r="L3274" s="19" t="str">
        <f>IF($K3274="","",IF($K3274&gt;MAX($A$8:$A$5007),"",IFERROR(MATCH($K3274,$A$8:$A$5007,1),"")))</f>
        <v/>
      </c>
      <c r="M3274" s="30" t="str">
        <f>IF($L3274="","",INDEX($A$8:$A$5007,$L3274))</f>
        <v/>
      </c>
      <c r="N3274" s="31" t="str">
        <f>IF($L3274="","",INDEX($B$8:$B$5007,$L3274))</f>
        <v/>
      </c>
      <c r="O3274" s="32" t="str">
        <f>IF($M3274="","",IF($K3274-$M3274&gt;7,"",IF($M3274&lt;=$A3274,"",IF(OR($B3274&lt;=0,$N3274&lt;=0),"",($N3274/$B3274)^(365/($M3274-$A3274))-1))))</f>
        <v/>
      </c>
      <c r="P3274" s="31" t="str">
        <f>IF($B3274="","",IF($P3273="",$B3274,MAX($P3273,$B3274)))</f>
        <v/>
      </c>
      <c r="Q3274" s="32" t="str">
        <f>IF($P3274="","",$B3274/$P3274-1)</f>
        <v/>
      </c>
    </row>
    <row r="3275">
      <c r="A3275" s="11" t="n"/>
      <c r="B3275" s="29" t="n"/>
      <c r="K3275" s="30" t="str">
        <f>IF($A3275="","",EDATE($A3275,12*$E$4))</f>
        <v/>
      </c>
      <c r="L3275" s="19" t="str">
        <f>IF($K3275="","",IF($K3275&gt;MAX($A$8:$A$5007),"",IFERROR(MATCH($K3275,$A$8:$A$5007,1),"")))</f>
        <v/>
      </c>
      <c r="M3275" s="30" t="str">
        <f>IF($L3275="","",INDEX($A$8:$A$5007,$L3275))</f>
        <v/>
      </c>
      <c r="N3275" s="31" t="str">
        <f>IF($L3275="","",INDEX($B$8:$B$5007,$L3275))</f>
        <v/>
      </c>
      <c r="O3275" s="32" t="str">
        <f>IF($M3275="","",IF($K3275-$M3275&gt;7,"",IF($M3275&lt;=$A3275,"",IF(OR($B3275&lt;=0,$N3275&lt;=0),"",($N3275/$B3275)^(365/($M3275-$A3275))-1))))</f>
        <v/>
      </c>
      <c r="P3275" s="31" t="str">
        <f>IF($B3275="","",IF($P3274="",$B3275,MAX($P3274,$B3275)))</f>
        <v/>
      </c>
      <c r="Q3275" s="32" t="str">
        <f>IF($P3275="","",$B3275/$P3275-1)</f>
        <v/>
      </c>
    </row>
    <row r="3276">
      <c r="A3276" s="11" t="n"/>
      <c r="B3276" s="29" t="n"/>
      <c r="K3276" s="30" t="str">
        <f>IF($A3276="","",EDATE($A3276,12*$E$4))</f>
        <v/>
      </c>
      <c r="L3276" s="19" t="str">
        <f>IF($K3276="","",IF($K3276&gt;MAX($A$8:$A$5007),"",IFERROR(MATCH($K3276,$A$8:$A$5007,1),"")))</f>
        <v/>
      </c>
      <c r="M3276" s="30" t="str">
        <f>IF($L3276="","",INDEX($A$8:$A$5007,$L3276))</f>
        <v/>
      </c>
      <c r="N3276" s="31" t="str">
        <f>IF($L3276="","",INDEX($B$8:$B$5007,$L3276))</f>
        <v/>
      </c>
      <c r="O3276" s="32" t="str">
        <f>IF($M3276="","",IF($K3276-$M3276&gt;7,"",IF($M3276&lt;=$A3276,"",IF(OR($B3276&lt;=0,$N3276&lt;=0),"",($N3276/$B3276)^(365/($M3276-$A3276))-1))))</f>
        <v/>
      </c>
      <c r="P3276" s="31" t="str">
        <f>IF($B3276="","",IF($P3275="",$B3276,MAX($P3275,$B3276)))</f>
        <v/>
      </c>
      <c r="Q3276" s="32" t="str">
        <f>IF($P3276="","",$B3276/$P3276-1)</f>
        <v/>
      </c>
    </row>
    <row r="3277">
      <c r="A3277" s="11" t="n"/>
      <c r="B3277" s="29" t="n"/>
      <c r="K3277" s="30" t="str">
        <f>IF($A3277="","",EDATE($A3277,12*$E$4))</f>
        <v/>
      </c>
      <c r="L3277" s="19" t="str">
        <f>IF($K3277="","",IF($K3277&gt;MAX($A$8:$A$5007),"",IFERROR(MATCH($K3277,$A$8:$A$5007,1),"")))</f>
        <v/>
      </c>
      <c r="M3277" s="30" t="str">
        <f>IF($L3277="","",INDEX($A$8:$A$5007,$L3277))</f>
        <v/>
      </c>
      <c r="N3277" s="31" t="str">
        <f>IF($L3277="","",INDEX($B$8:$B$5007,$L3277))</f>
        <v/>
      </c>
      <c r="O3277" s="32" t="str">
        <f>IF($M3277="","",IF($K3277-$M3277&gt;7,"",IF($M3277&lt;=$A3277,"",IF(OR($B3277&lt;=0,$N3277&lt;=0),"",($N3277/$B3277)^(365/($M3277-$A3277))-1))))</f>
        <v/>
      </c>
      <c r="P3277" s="31" t="str">
        <f>IF($B3277="","",IF($P3276="",$B3277,MAX($P3276,$B3277)))</f>
        <v/>
      </c>
      <c r="Q3277" s="32" t="str">
        <f>IF($P3277="","",$B3277/$P3277-1)</f>
        <v/>
      </c>
    </row>
    <row r="3278">
      <c r="A3278" s="11" t="n"/>
      <c r="B3278" s="29" t="n"/>
      <c r="K3278" s="30" t="str">
        <f>IF($A3278="","",EDATE($A3278,12*$E$4))</f>
        <v/>
      </c>
      <c r="L3278" s="19" t="str">
        <f>IF($K3278="","",IF($K3278&gt;MAX($A$8:$A$5007),"",IFERROR(MATCH($K3278,$A$8:$A$5007,1),"")))</f>
        <v/>
      </c>
      <c r="M3278" s="30" t="str">
        <f>IF($L3278="","",INDEX($A$8:$A$5007,$L3278))</f>
        <v/>
      </c>
      <c r="N3278" s="31" t="str">
        <f>IF($L3278="","",INDEX($B$8:$B$5007,$L3278))</f>
        <v/>
      </c>
      <c r="O3278" s="32" t="str">
        <f>IF($M3278="","",IF($K3278-$M3278&gt;7,"",IF($M3278&lt;=$A3278,"",IF(OR($B3278&lt;=0,$N3278&lt;=0),"",($N3278/$B3278)^(365/($M3278-$A3278))-1))))</f>
        <v/>
      </c>
      <c r="P3278" s="31" t="str">
        <f>IF($B3278="","",IF($P3277="",$B3278,MAX($P3277,$B3278)))</f>
        <v/>
      </c>
      <c r="Q3278" s="32" t="str">
        <f>IF($P3278="","",$B3278/$P3278-1)</f>
        <v/>
      </c>
    </row>
    <row r="3279">
      <c r="A3279" s="11" t="n"/>
      <c r="B3279" s="29" t="n"/>
      <c r="K3279" s="30" t="str">
        <f>IF($A3279="","",EDATE($A3279,12*$E$4))</f>
        <v/>
      </c>
      <c r="L3279" s="19" t="str">
        <f>IF($K3279="","",IF($K3279&gt;MAX($A$8:$A$5007),"",IFERROR(MATCH($K3279,$A$8:$A$5007,1),"")))</f>
        <v/>
      </c>
      <c r="M3279" s="30" t="str">
        <f>IF($L3279="","",INDEX($A$8:$A$5007,$L3279))</f>
        <v/>
      </c>
      <c r="N3279" s="31" t="str">
        <f>IF($L3279="","",INDEX($B$8:$B$5007,$L3279))</f>
        <v/>
      </c>
      <c r="O3279" s="32" t="str">
        <f>IF($M3279="","",IF($K3279-$M3279&gt;7,"",IF($M3279&lt;=$A3279,"",IF(OR($B3279&lt;=0,$N3279&lt;=0),"",($N3279/$B3279)^(365/($M3279-$A3279))-1))))</f>
        <v/>
      </c>
      <c r="P3279" s="31" t="str">
        <f>IF($B3279="","",IF($P3278="",$B3279,MAX($P3278,$B3279)))</f>
        <v/>
      </c>
      <c r="Q3279" s="32" t="str">
        <f>IF($P3279="","",$B3279/$P3279-1)</f>
        <v/>
      </c>
    </row>
    <row r="3280">
      <c r="A3280" s="11" t="n"/>
      <c r="B3280" s="29" t="n"/>
      <c r="K3280" s="30" t="str">
        <f>IF($A3280="","",EDATE($A3280,12*$E$4))</f>
        <v/>
      </c>
      <c r="L3280" s="19" t="str">
        <f>IF($K3280="","",IF($K3280&gt;MAX($A$8:$A$5007),"",IFERROR(MATCH($K3280,$A$8:$A$5007,1),"")))</f>
        <v/>
      </c>
      <c r="M3280" s="30" t="str">
        <f>IF($L3280="","",INDEX($A$8:$A$5007,$L3280))</f>
        <v/>
      </c>
      <c r="N3280" s="31" t="str">
        <f>IF($L3280="","",INDEX($B$8:$B$5007,$L3280))</f>
        <v/>
      </c>
      <c r="O3280" s="32" t="str">
        <f>IF($M3280="","",IF($K3280-$M3280&gt;7,"",IF($M3280&lt;=$A3280,"",IF(OR($B3280&lt;=0,$N3280&lt;=0),"",($N3280/$B3280)^(365/($M3280-$A3280))-1))))</f>
        <v/>
      </c>
      <c r="P3280" s="31" t="str">
        <f>IF($B3280="","",IF($P3279="",$B3280,MAX($P3279,$B3280)))</f>
        <v/>
      </c>
      <c r="Q3280" s="32" t="str">
        <f>IF($P3280="","",$B3280/$P3280-1)</f>
        <v/>
      </c>
    </row>
    <row r="3281">
      <c r="A3281" s="11" t="n"/>
      <c r="B3281" s="29" t="n"/>
      <c r="K3281" s="30" t="str">
        <f>IF($A3281="","",EDATE($A3281,12*$E$4))</f>
        <v/>
      </c>
      <c r="L3281" s="19" t="str">
        <f>IF($K3281="","",IF($K3281&gt;MAX($A$8:$A$5007),"",IFERROR(MATCH($K3281,$A$8:$A$5007,1),"")))</f>
        <v/>
      </c>
      <c r="M3281" s="30" t="str">
        <f>IF($L3281="","",INDEX($A$8:$A$5007,$L3281))</f>
        <v/>
      </c>
      <c r="N3281" s="31" t="str">
        <f>IF($L3281="","",INDEX($B$8:$B$5007,$L3281))</f>
        <v/>
      </c>
      <c r="O3281" s="32" t="str">
        <f>IF($M3281="","",IF($K3281-$M3281&gt;7,"",IF($M3281&lt;=$A3281,"",IF(OR($B3281&lt;=0,$N3281&lt;=0),"",($N3281/$B3281)^(365/($M3281-$A3281))-1))))</f>
        <v/>
      </c>
      <c r="P3281" s="31" t="str">
        <f>IF($B3281="","",IF($P3280="",$B3281,MAX($P3280,$B3281)))</f>
        <v/>
      </c>
      <c r="Q3281" s="32" t="str">
        <f>IF($P3281="","",$B3281/$P3281-1)</f>
        <v/>
      </c>
    </row>
    <row r="3282">
      <c r="A3282" s="11" t="n"/>
      <c r="B3282" s="29" t="n"/>
      <c r="K3282" s="30" t="str">
        <f>IF($A3282="","",EDATE($A3282,12*$E$4))</f>
        <v/>
      </c>
      <c r="L3282" s="19" t="str">
        <f>IF($K3282="","",IF($K3282&gt;MAX($A$8:$A$5007),"",IFERROR(MATCH($K3282,$A$8:$A$5007,1),"")))</f>
        <v/>
      </c>
      <c r="M3282" s="30" t="str">
        <f>IF($L3282="","",INDEX($A$8:$A$5007,$L3282))</f>
        <v/>
      </c>
      <c r="N3282" s="31" t="str">
        <f>IF($L3282="","",INDEX($B$8:$B$5007,$L3282))</f>
        <v/>
      </c>
      <c r="O3282" s="32" t="str">
        <f>IF($M3282="","",IF($K3282-$M3282&gt;7,"",IF($M3282&lt;=$A3282,"",IF(OR($B3282&lt;=0,$N3282&lt;=0),"",($N3282/$B3282)^(365/($M3282-$A3282))-1))))</f>
        <v/>
      </c>
      <c r="P3282" s="31" t="str">
        <f>IF($B3282="","",IF($P3281="",$B3282,MAX($P3281,$B3282)))</f>
        <v/>
      </c>
      <c r="Q3282" s="32" t="str">
        <f>IF($P3282="","",$B3282/$P3282-1)</f>
        <v/>
      </c>
    </row>
    <row r="3283">
      <c r="A3283" s="11" t="n"/>
      <c r="B3283" s="29" t="n"/>
      <c r="K3283" s="30" t="str">
        <f>IF($A3283="","",EDATE($A3283,12*$E$4))</f>
        <v/>
      </c>
      <c r="L3283" s="19" t="str">
        <f>IF($K3283="","",IF($K3283&gt;MAX($A$8:$A$5007),"",IFERROR(MATCH($K3283,$A$8:$A$5007,1),"")))</f>
        <v/>
      </c>
      <c r="M3283" s="30" t="str">
        <f>IF($L3283="","",INDEX($A$8:$A$5007,$L3283))</f>
        <v/>
      </c>
      <c r="N3283" s="31" t="str">
        <f>IF($L3283="","",INDEX($B$8:$B$5007,$L3283))</f>
        <v/>
      </c>
      <c r="O3283" s="32" t="str">
        <f>IF($M3283="","",IF($K3283-$M3283&gt;7,"",IF($M3283&lt;=$A3283,"",IF(OR($B3283&lt;=0,$N3283&lt;=0),"",($N3283/$B3283)^(365/($M3283-$A3283))-1))))</f>
        <v/>
      </c>
      <c r="P3283" s="31" t="str">
        <f>IF($B3283="","",IF($P3282="",$B3283,MAX($P3282,$B3283)))</f>
        <v/>
      </c>
      <c r="Q3283" s="32" t="str">
        <f>IF($P3283="","",$B3283/$P3283-1)</f>
        <v/>
      </c>
    </row>
    <row r="3284">
      <c r="A3284" s="11" t="n"/>
      <c r="B3284" s="29" t="n"/>
      <c r="K3284" s="30" t="str">
        <f>IF($A3284="","",EDATE($A3284,12*$E$4))</f>
        <v/>
      </c>
      <c r="L3284" s="19" t="str">
        <f>IF($K3284="","",IF($K3284&gt;MAX($A$8:$A$5007),"",IFERROR(MATCH($K3284,$A$8:$A$5007,1),"")))</f>
        <v/>
      </c>
      <c r="M3284" s="30" t="str">
        <f>IF($L3284="","",INDEX($A$8:$A$5007,$L3284))</f>
        <v/>
      </c>
      <c r="N3284" s="31" t="str">
        <f>IF($L3284="","",INDEX($B$8:$B$5007,$L3284))</f>
        <v/>
      </c>
      <c r="O3284" s="32" t="str">
        <f>IF($M3284="","",IF($K3284-$M3284&gt;7,"",IF($M3284&lt;=$A3284,"",IF(OR($B3284&lt;=0,$N3284&lt;=0),"",($N3284/$B3284)^(365/($M3284-$A3284))-1))))</f>
        <v/>
      </c>
      <c r="P3284" s="31" t="str">
        <f>IF($B3284="","",IF($P3283="",$B3284,MAX($P3283,$B3284)))</f>
        <v/>
      </c>
      <c r="Q3284" s="32" t="str">
        <f>IF($P3284="","",$B3284/$P3284-1)</f>
        <v/>
      </c>
    </row>
    <row r="3285">
      <c r="A3285" s="11" t="n"/>
      <c r="B3285" s="29" t="n"/>
      <c r="K3285" s="30" t="str">
        <f>IF($A3285="","",EDATE($A3285,12*$E$4))</f>
        <v/>
      </c>
      <c r="L3285" s="19" t="str">
        <f>IF($K3285="","",IF($K3285&gt;MAX($A$8:$A$5007),"",IFERROR(MATCH($K3285,$A$8:$A$5007,1),"")))</f>
        <v/>
      </c>
      <c r="M3285" s="30" t="str">
        <f>IF($L3285="","",INDEX($A$8:$A$5007,$L3285))</f>
        <v/>
      </c>
      <c r="N3285" s="31" t="str">
        <f>IF($L3285="","",INDEX($B$8:$B$5007,$L3285))</f>
        <v/>
      </c>
      <c r="O3285" s="32" t="str">
        <f>IF($M3285="","",IF($K3285-$M3285&gt;7,"",IF($M3285&lt;=$A3285,"",IF(OR($B3285&lt;=0,$N3285&lt;=0),"",($N3285/$B3285)^(365/($M3285-$A3285))-1))))</f>
        <v/>
      </c>
      <c r="P3285" s="31" t="str">
        <f>IF($B3285="","",IF($P3284="",$B3285,MAX($P3284,$B3285)))</f>
        <v/>
      </c>
      <c r="Q3285" s="32" t="str">
        <f>IF($P3285="","",$B3285/$P3285-1)</f>
        <v/>
      </c>
    </row>
    <row r="3286">
      <c r="A3286" s="11" t="n"/>
      <c r="B3286" s="29" t="n"/>
      <c r="K3286" s="30" t="str">
        <f>IF($A3286="","",EDATE($A3286,12*$E$4))</f>
        <v/>
      </c>
      <c r="L3286" s="19" t="str">
        <f>IF($K3286="","",IF($K3286&gt;MAX($A$8:$A$5007),"",IFERROR(MATCH($K3286,$A$8:$A$5007,1),"")))</f>
        <v/>
      </c>
      <c r="M3286" s="30" t="str">
        <f>IF($L3286="","",INDEX($A$8:$A$5007,$L3286))</f>
        <v/>
      </c>
      <c r="N3286" s="31" t="str">
        <f>IF($L3286="","",INDEX($B$8:$B$5007,$L3286))</f>
        <v/>
      </c>
      <c r="O3286" s="32" t="str">
        <f>IF($M3286="","",IF($K3286-$M3286&gt;7,"",IF($M3286&lt;=$A3286,"",IF(OR($B3286&lt;=0,$N3286&lt;=0),"",($N3286/$B3286)^(365/($M3286-$A3286))-1))))</f>
        <v/>
      </c>
      <c r="P3286" s="31" t="str">
        <f>IF($B3286="","",IF($P3285="",$B3286,MAX($P3285,$B3286)))</f>
        <v/>
      </c>
      <c r="Q3286" s="32" t="str">
        <f>IF($P3286="","",$B3286/$P3286-1)</f>
        <v/>
      </c>
    </row>
    <row r="3287">
      <c r="A3287" s="11" t="n"/>
      <c r="B3287" s="29" t="n"/>
      <c r="K3287" s="30" t="str">
        <f>IF($A3287="","",EDATE($A3287,12*$E$4))</f>
        <v/>
      </c>
      <c r="L3287" s="19" t="str">
        <f>IF($K3287="","",IF($K3287&gt;MAX($A$8:$A$5007),"",IFERROR(MATCH($K3287,$A$8:$A$5007,1),"")))</f>
        <v/>
      </c>
      <c r="M3287" s="30" t="str">
        <f>IF($L3287="","",INDEX($A$8:$A$5007,$L3287))</f>
        <v/>
      </c>
      <c r="N3287" s="31" t="str">
        <f>IF($L3287="","",INDEX($B$8:$B$5007,$L3287))</f>
        <v/>
      </c>
      <c r="O3287" s="32" t="str">
        <f>IF($M3287="","",IF($K3287-$M3287&gt;7,"",IF($M3287&lt;=$A3287,"",IF(OR($B3287&lt;=0,$N3287&lt;=0),"",($N3287/$B3287)^(365/($M3287-$A3287))-1))))</f>
        <v/>
      </c>
      <c r="P3287" s="31" t="str">
        <f>IF($B3287="","",IF($P3286="",$B3287,MAX($P3286,$B3287)))</f>
        <v/>
      </c>
      <c r="Q3287" s="32" t="str">
        <f>IF($P3287="","",$B3287/$P3287-1)</f>
        <v/>
      </c>
    </row>
    <row r="3288">
      <c r="A3288" s="11" t="n"/>
      <c r="B3288" s="29" t="n"/>
      <c r="K3288" s="30" t="str">
        <f>IF($A3288="","",EDATE($A3288,12*$E$4))</f>
        <v/>
      </c>
      <c r="L3288" s="19" t="str">
        <f>IF($K3288="","",IF($K3288&gt;MAX($A$8:$A$5007),"",IFERROR(MATCH($K3288,$A$8:$A$5007,1),"")))</f>
        <v/>
      </c>
      <c r="M3288" s="30" t="str">
        <f>IF($L3288="","",INDEX($A$8:$A$5007,$L3288))</f>
        <v/>
      </c>
      <c r="N3288" s="31" t="str">
        <f>IF($L3288="","",INDEX($B$8:$B$5007,$L3288))</f>
        <v/>
      </c>
      <c r="O3288" s="32" t="str">
        <f>IF($M3288="","",IF($K3288-$M3288&gt;7,"",IF($M3288&lt;=$A3288,"",IF(OR($B3288&lt;=0,$N3288&lt;=0),"",($N3288/$B3288)^(365/($M3288-$A3288))-1))))</f>
        <v/>
      </c>
      <c r="P3288" s="31" t="str">
        <f>IF($B3288="","",IF($P3287="",$B3288,MAX($P3287,$B3288)))</f>
        <v/>
      </c>
      <c r="Q3288" s="32" t="str">
        <f>IF($P3288="","",$B3288/$P3288-1)</f>
        <v/>
      </c>
    </row>
    <row r="3289">
      <c r="A3289" s="11" t="n"/>
      <c r="B3289" s="29" t="n"/>
      <c r="K3289" s="30" t="str">
        <f>IF($A3289="","",EDATE($A3289,12*$E$4))</f>
        <v/>
      </c>
      <c r="L3289" s="19" t="str">
        <f>IF($K3289="","",IF($K3289&gt;MAX($A$8:$A$5007),"",IFERROR(MATCH($K3289,$A$8:$A$5007,1),"")))</f>
        <v/>
      </c>
      <c r="M3289" s="30" t="str">
        <f>IF($L3289="","",INDEX($A$8:$A$5007,$L3289))</f>
        <v/>
      </c>
      <c r="N3289" s="31" t="str">
        <f>IF($L3289="","",INDEX($B$8:$B$5007,$L3289))</f>
        <v/>
      </c>
      <c r="O3289" s="32" t="str">
        <f>IF($M3289="","",IF($K3289-$M3289&gt;7,"",IF($M3289&lt;=$A3289,"",IF(OR($B3289&lt;=0,$N3289&lt;=0),"",($N3289/$B3289)^(365/($M3289-$A3289))-1))))</f>
        <v/>
      </c>
      <c r="P3289" s="31" t="str">
        <f>IF($B3289="","",IF($P3288="",$B3289,MAX($P3288,$B3289)))</f>
        <v/>
      </c>
      <c r="Q3289" s="32" t="str">
        <f>IF($P3289="","",$B3289/$P3289-1)</f>
        <v/>
      </c>
    </row>
    <row r="3290">
      <c r="A3290" s="11" t="n"/>
      <c r="B3290" s="29" t="n"/>
      <c r="K3290" s="30" t="str">
        <f>IF($A3290="","",EDATE($A3290,12*$E$4))</f>
        <v/>
      </c>
      <c r="L3290" s="19" t="str">
        <f>IF($K3290="","",IF($K3290&gt;MAX($A$8:$A$5007),"",IFERROR(MATCH($K3290,$A$8:$A$5007,1),"")))</f>
        <v/>
      </c>
      <c r="M3290" s="30" t="str">
        <f>IF($L3290="","",INDEX($A$8:$A$5007,$L3290))</f>
        <v/>
      </c>
      <c r="N3290" s="31" t="str">
        <f>IF($L3290="","",INDEX($B$8:$B$5007,$L3290))</f>
        <v/>
      </c>
      <c r="O3290" s="32" t="str">
        <f>IF($M3290="","",IF($K3290-$M3290&gt;7,"",IF($M3290&lt;=$A3290,"",IF(OR($B3290&lt;=0,$N3290&lt;=0),"",($N3290/$B3290)^(365/($M3290-$A3290))-1))))</f>
        <v/>
      </c>
      <c r="P3290" s="31" t="str">
        <f>IF($B3290="","",IF($P3289="",$B3290,MAX($P3289,$B3290)))</f>
        <v/>
      </c>
      <c r="Q3290" s="32" t="str">
        <f>IF($P3290="","",$B3290/$P3290-1)</f>
        <v/>
      </c>
    </row>
    <row r="3291">
      <c r="A3291" s="11" t="n"/>
      <c r="B3291" s="29" t="n"/>
      <c r="K3291" s="30" t="str">
        <f>IF($A3291="","",EDATE($A3291,12*$E$4))</f>
        <v/>
      </c>
      <c r="L3291" s="19" t="str">
        <f>IF($K3291="","",IF($K3291&gt;MAX($A$8:$A$5007),"",IFERROR(MATCH($K3291,$A$8:$A$5007,1),"")))</f>
        <v/>
      </c>
      <c r="M3291" s="30" t="str">
        <f>IF($L3291="","",INDEX($A$8:$A$5007,$L3291))</f>
        <v/>
      </c>
      <c r="N3291" s="31" t="str">
        <f>IF($L3291="","",INDEX($B$8:$B$5007,$L3291))</f>
        <v/>
      </c>
      <c r="O3291" s="32" t="str">
        <f>IF($M3291="","",IF($K3291-$M3291&gt;7,"",IF($M3291&lt;=$A3291,"",IF(OR($B3291&lt;=0,$N3291&lt;=0),"",($N3291/$B3291)^(365/($M3291-$A3291))-1))))</f>
        <v/>
      </c>
      <c r="P3291" s="31" t="str">
        <f>IF($B3291="","",IF($P3290="",$B3291,MAX($P3290,$B3291)))</f>
        <v/>
      </c>
      <c r="Q3291" s="32" t="str">
        <f>IF($P3291="","",$B3291/$P3291-1)</f>
        <v/>
      </c>
    </row>
    <row r="3292">
      <c r="A3292" s="11" t="n"/>
      <c r="B3292" s="29" t="n"/>
      <c r="K3292" s="30" t="str">
        <f>IF($A3292="","",EDATE($A3292,12*$E$4))</f>
        <v/>
      </c>
      <c r="L3292" s="19" t="str">
        <f>IF($K3292="","",IF($K3292&gt;MAX($A$8:$A$5007),"",IFERROR(MATCH($K3292,$A$8:$A$5007,1),"")))</f>
        <v/>
      </c>
      <c r="M3292" s="30" t="str">
        <f>IF($L3292="","",INDEX($A$8:$A$5007,$L3292))</f>
        <v/>
      </c>
      <c r="N3292" s="31" t="str">
        <f>IF($L3292="","",INDEX($B$8:$B$5007,$L3292))</f>
        <v/>
      </c>
      <c r="O3292" s="32" t="str">
        <f>IF($M3292="","",IF($K3292-$M3292&gt;7,"",IF($M3292&lt;=$A3292,"",IF(OR($B3292&lt;=0,$N3292&lt;=0),"",($N3292/$B3292)^(365/($M3292-$A3292))-1))))</f>
        <v/>
      </c>
      <c r="P3292" s="31" t="str">
        <f>IF($B3292="","",IF($P3291="",$B3292,MAX($P3291,$B3292)))</f>
        <v/>
      </c>
      <c r="Q3292" s="32" t="str">
        <f>IF($P3292="","",$B3292/$P3292-1)</f>
        <v/>
      </c>
    </row>
    <row r="3293">
      <c r="A3293" s="11" t="n"/>
      <c r="B3293" s="29" t="n"/>
      <c r="K3293" s="30" t="str">
        <f>IF($A3293="","",EDATE($A3293,12*$E$4))</f>
        <v/>
      </c>
      <c r="L3293" s="19" t="str">
        <f>IF($K3293="","",IF($K3293&gt;MAX($A$8:$A$5007),"",IFERROR(MATCH($K3293,$A$8:$A$5007,1),"")))</f>
        <v/>
      </c>
      <c r="M3293" s="30" t="str">
        <f>IF($L3293="","",INDEX($A$8:$A$5007,$L3293))</f>
        <v/>
      </c>
      <c r="N3293" s="31" t="str">
        <f>IF($L3293="","",INDEX($B$8:$B$5007,$L3293))</f>
        <v/>
      </c>
      <c r="O3293" s="32" t="str">
        <f>IF($M3293="","",IF($K3293-$M3293&gt;7,"",IF($M3293&lt;=$A3293,"",IF(OR($B3293&lt;=0,$N3293&lt;=0),"",($N3293/$B3293)^(365/($M3293-$A3293))-1))))</f>
        <v/>
      </c>
      <c r="P3293" s="31" t="str">
        <f>IF($B3293="","",IF($P3292="",$B3293,MAX($P3292,$B3293)))</f>
        <v/>
      </c>
      <c r="Q3293" s="32" t="str">
        <f>IF($P3293="","",$B3293/$P3293-1)</f>
        <v/>
      </c>
    </row>
    <row r="3294">
      <c r="A3294" s="11" t="n"/>
      <c r="B3294" s="29" t="n"/>
      <c r="K3294" s="30" t="str">
        <f>IF($A3294="","",EDATE($A3294,12*$E$4))</f>
        <v/>
      </c>
      <c r="L3294" s="19" t="str">
        <f>IF($K3294="","",IF($K3294&gt;MAX($A$8:$A$5007),"",IFERROR(MATCH($K3294,$A$8:$A$5007,1),"")))</f>
        <v/>
      </c>
      <c r="M3294" s="30" t="str">
        <f>IF($L3294="","",INDEX($A$8:$A$5007,$L3294))</f>
        <v/>
      </c>
      <c r="N3294" s="31" t="str">
        <f>IF($L3294="","",INDEX($B$8:$B$5007,$L3294))</f>
        <v/>
      </c>
      <c r="O3294" s="32" t="str">
        <f>IF($M3294="","",IF($K3294-$M3294&gt;7,"",IF($M3294&lt;=$A3294,"",IF(OR($B3294&lt;=0,$N3294&lt;=0),"",($N3294/$B3294)^(365/($M3294-$A3294))-1))))</f>
        <v/>
      </c>
      <c r="P3294" s="31" t="str">
        <f>IF($B3294="","",IF($P3293="",$B3294,MAX($P3293,$B3294)))</f>
        <v/>
      </c>
      <c r="Q3294" s="32" t="str">
        <f>IF($P3294="","",$B3294/$P3294-1)</f>
        <v/>
      </c>
    </row>
    <row r="3295">
      <c r="A3295" s="11" t="n"/>
      <c r="B3295" s="29" t="n"/>
      <c r="K3295" s="30" t="str">
        <f>IF($A3295="","",EDATE($A3295,12*$E$4))</f>
        <v/>
      </c>
      <c r="L3295" s="19" t="str">
        <f>IF($K3295="","",IF($K3295&gt;MAX($A$8:$A$5007),"",IFERROR(MATCH($K3295,$A$8:$A$5007,1),"")))</f>
        <v/>
      </c>
      <c r="M3295" s="30" t="str">
        <f>IF($L3295="","",INDEX($A$8:$A$5007,$L3295))</f>
        <v/>
      </c>
      <c r="N3295" s="31" t="str">
        <f>IF($L3295="","",INDEX($B$8:$B$5007,$L3295))</f>
        <v/>
      </c>
      <c r="O3295" s="32" t="str">
        <f>IF($M3295="","",IF($K3295-$M3295&gt;7,"",IF($M3295&lt;=$A3295,"",IF(OR($B3295&lt;=0,$N3295&lt;=0),"",($N3295/$B3295)^(365/($M3295-$A3295))-1))))</f>
        <v/>
      </c>
      <c r="P3295" s="31" t="str">
        <f>IF($B3295="","",IF($P3294="",$B3295,MAX($P3294,$B3295)))</f>
        <v/>
      </c>
      <c r="Q3295" s="32" t="str">
        <f>IF($P3295="","",$B3295/$P3295-1)</f>
        <v/>
      </c>
    </row>
    <row r="3296">
      <c r="A3296" s="11" t="n"/>
      <c r="B3296" s="29" t="n"/>
      <c r="K3296" s="30" t="str">
        <f>IF($A3296="","",EDATE($A3296,12*$E$4))</f>
        <v/>
      </c>
      <c r="L3296" s="19" t="str">
        <f>IF($K3296="","",IF($K3296&gt;MAX($A$8:$A$5007),"",IFERROR(MATCH($K3296,$A$8:$A$5007,1),"")))</f>
        <v/>
      </c>
      <c r="M3296" s="30" t="str">
        <f>IF($L3296="","",INDEX($A$8:$A$5007,$L3296))</f>
        <v/>
      </c>
      <c r="N3296" s="31" t="str">
        <f>IF($L3296="","",INDEX($B$8:$B$5007,$L3296))</f>
        <v/>
      </c>
      <c r="O3296" s="32" t="str">
        <f>IF($M3296="","",IF($K3296-$M3296&gt;7,"",IF($M3296&lt;=$A3296,"",IF(OR($B3296&lt;=0,$N3296&lt;=0),"",($N3296/$B3296)^(365/($M3296-$A3296))-1))))</f>
        <v/>
      </c>
      <c r="P3296" s="31" t="str">
        <f>IF($B3296="","",IF($P3295="",$B3296,MAX($P3295,$B3296)))</f>
        <v/>
      </c>
      <c r="Q3296" s="32" t="str">
        <f>IF($P3296="","",$B3296/$P3296-1)</f>
        <v/>
      </c>
    </row>
    <row r="3297">
      <c r="A3297" s="11" t="n"/>
      <c r="B3297" s="29" t="n"/>
      <c r="K3297" s="30" t="str">
        <f>IF($A3297="","",EDATE($A3297,12*$E$4))</f>
        <v/>
      </c>
      <c r="L3297" s="19" t="str">
        <f>IF($K3297="","",IF($K3297&gt;MAX($A$8:$A$5007),"",IFERROR(MATCH($K3297,$A$8:$A$5007,1),"")))</f>
        <v/>
      </c>
      <c r="M3297" s="30" t="str">
        <f>IF($L3297="","",INDEX($A$8:$A$5007,$L3297))</f>
        <v/>
      </c>
      <c r="N3297" s="31" t="str">
        <f>IF($L3297="","",INDEX($B$8:$B$5007,$L3297))</f>
        <v/>
      </c>
      <c r="O3297" s="32" t="str">
        <f>IF($M3297="","",IF($K3297-$M3297&gt;7,"",IF($M3297&lt;=$A3297,"",IF(OR($B3297&lt;=0,$N3297&lt;=0),"",($N3297/$B3297)^(365/($M3297-$A3297))-1))))</f>
        <v/>
      </c>
      <c r="P3297" s="31" t="str">
        <f>IF($B3297="","",IF($P3296="",$B3297,MAX($P3296,$B3297)))</f>
        <v/>
      </c>
      <c r="Q3297" s="32" t="str">
        <f>IF($P3297="","",$B3297/$P3297-1)</f>
        <v/>
      </c>
    </row>
    <row r="3298">
      <c r="A3298" s="11" t="n"/>
      <c r="B3298" s="29" t="n"/>
      <c r="K3298" s="30" t="str">
        <f>IF($A3298="","",EDATE($A3298,12*$E$4))</f>
        <v/>
      </c>
      <c r="L3298" s="19" t="str">
        <f>IF($K3298="","",IF($K3298&gt;MAX($A$8:$A$5007),"",IFERROR(MATCH($K3298,$A$8:$A$5007,1),"")))</f>
        <v/>
      </c>
      <c r="M3298" s="30" t="str">
        <f>IF($L3298="","",INDEX($A$8:$A$5007,$L3298))</f>
        <v/>
      </c>
      <c r="N3298" s="31" t="str">
        <f>IF($L3298="","",INDEX($B$8:$B$5007,$L3298))</f>
        <v/>
      </c>
      <c r="O3298" s="32" t="str">
        <f>IF($M3298="","",IF($K3298-$M3298&gt;7,"",IF($M3298&lt;=$A3298,"",IF(OR($B3298&lt;=0,$N3298&lt;=0),"",($N3298/$B3298)^(365/($M3298-$A3298))-1))))</f>
        <v/>
      </c>
      <c r="P3298" s="31" t="str">
        <f>IF($B3298="","",IF($P3297="",$B3298,MAX($P3297,$B3298)))</f>
        <v/>
      </c>
      <c r="Q3298" s="32" t="str">
        <f>IF($P3298="","",$B3298/$P3298-1)</f>
        <v/>
      </c>
    </row>
    <row r="3299">
      <c r="A3299" s="11" t="n"/>
      <c r="B3299" s="29" t="n"/>
      <c r="K3299" s="30" t="str">
        <f>IF($A3299="","",EDATE($A3299,12*$E$4))</f>
        <v/>
      </c>
      <c r="L3299" s="19" t="str">
        <f>IF($K3299="","",IF($K3299&gt;MAX($A$8:$A$5007),"",IFERROR(MATCH($K3299,$A$8:$A$5007,1),"")))</f>
        <v/>
      </c>
      <c r="M3299" s="30" t="str">
        <f>IF($L3299="","",INDEX($A$8:$A$5007,$L3299))</f>
        <v/>
      </c>
      <c r="N3299" s="31" t="str">
        <f>IF($L3299="","",INDEX($B$8:$B$5007,$L3299))</f>
        <v/>
      </c>
      <c r="O3299" s="32" t="str">
        <f>IF($M3299="","",IF($K3299-$M3299&gt;7,"",IF($M3299&lt;=$A3299,"",IF(OR($B3299&lt;=0,$N3299&lt;=0),"",($N3299/$B3299)^(365/($M3299-$A3299))-1))))</f>
        <v/>
      </c>
      <c r="P3299" s="31" t="str">
        <f>IF($B3299="","",IF($P3298="",$B3299,MAX($P3298,$B3299)))</f>
        <v/>
      </c>
      <c r="Q3299" s="32" t="str">
        <f>IF($P3299="","",$B3299/$P3299-1)</f>
        <v/>
      </c>
    </row>
    <row r="3300">
      <c r="A3300" s="11" t="n"/>
      <c r="B3300" s="29" t="n"/>
      <c r="K3300" s="30" t="str">
        <f>IF($A3300="","",EDATE($A3300,12*$E$4))</f>
        <v/>
      </c>
      <c r="L3300" s="19" t="str">
        <f>IF($K3300="","",IF($K3300&gt;MAX($A$8:$A$5007),"",IFERROR(MATCH($K3300,$A$8:$A$5007,1),"")))</f>
        <v/>
      </c>
      <c r="M3300" s="30" t="str">
        <f>IF($L3300="","",INDEX($A$8:$A$5007,$L3300))</f>
        <v/>
      </c>
      <c r="N3300" s="31" t="str">
        <f>IF($L3300="","",INDEX($B$8:$B$5007,$L3300))</f>
        <v/>
      </c>
      <c r="O3300" s="32" t="str">
        <f>IF($M3300="","",IF($K3300-$M3300&gt;7,"",IF($M3300&lt;=$A3300,"",IF(OR($B3300&lt;=0,$N3300&lt;=0),"",($N3300/$B3300)^(365/($M3300-$A3300))-1))))</f>
        <v/>
      </c>
      <c r="P3300" s="31" t="str">
        <f>IF($B3300="","",IF($P3299="",$B3300,MAX($P3299,$B3300)))</f>
        <v/>
      </c>
      <c r="Q3300" s="32" t="str">
        <f>IF($P3300="","",$B3300/$P3300-1)</f>
        <v/>
      </c>
    </row>
    <row r="3301">
      <c r="A3301" s="11" t="n"/>
      <c r="B3301" s="29" t="n"/>
      <c r="K3301" s="30" t="str">
        <f>IF($A3301="","",EDATE($A3301,12*$E$4))</f>
        <v/>
      </c>
      <c r="L3301" s="19" t="str">
        <f>IF($K3301="","",IF($K3301&gt;MAX($A$8:$A$5007),"",IFERROR(MATCH($K3301,$A$8:$A$5007,1),"")))</f>
        <v/>
      </c>
      <c r="M3301" s="30" t="str">
        <f>IF($L3301="","",INDEX($A$8:$A$5007,$L3301))</f>
        <v/>
      </c>
      <c r="N3301" s="31" t="str">
        <f>IF($L3301="","",INDEX($B$8:$B$5007,$L3301))</f>
        <v/>
      </c>
      <c r="O3301" s="32" t="str">
        <f>IF($M3301="","",IF($K3301-$M3301&gt;7,"",IF($M3301&lt;=$A3301,"",IF(OR($B3301&lt;=0,$N3301&lt;=0),"",($N3301/$B3301)^(365/($M3301-$A3301))-1))))</f>
        <v/>
      </c>
      <c r="P3301" s="31" t="str">
        <f>IF($B3301="","",IF($P3300="",$B3301,MAX($P3300,$B3301)))</f>
        <v/>
      </c>
      <c r="Q3301" s="32" t="str">
        <f>IF($P3301="","",$B3301/$P3301-1)</f>
        <v/>
      </c>
    </row>
    <row r="3302">
      <c r="A3302" s="11" t="n"/>
      <c r="B3302" s="29" t="n"/>
      <c r="K3302" s="30" t="str">
        <f>IF($A3302="","",EDATE($A3302,12*$E$4))</f>
        <v/>
      </c>
      <c r="L3302" s="19" t="str">
        <f>IF($K3302="","",IF($K3302&gt;MAX($A$8:$A$5007),"",IFERROR(MATCH($K3302,$A$8:$A$5007,1),"")))</f>
        <v/>
      </c>
      <c r="M3302" s="30" t="str">
        <f>IF($L3302="","",INDEX($A$8:$A$5007,$L3302))</f>
        <v/>
      </c>
      <c r="N3302" s="31" t="str">
        <f>IF($L3302="","",INDEX($B$8:$B$5007,$L3302))</f>
        <v/>
      </c>
      <c r="O3302" s="32" t="str">
        <f>IF($M3302="","",IF($K3302-$M3302&gt;7,"",IF($M3302&lt;=$A3302,"",IF(OR($B3302&lt;=0,$N3302&lt;=0),"",($N3302/$B3302)^(365/($M3302-$A3302))-1))))</f>
        <v/>
      </c>
      <c r="P3302" s="31" t="str">
        <f>IF($B3302="","",IF($P3301="",$B3302,MAX($P3301,$B3302)))</f>
        <v/>
      </c>
      <c r="Q3302" s="32" t="str">
        <f>IF($P3302="","",$B3302/$P3302-1)</f>
        <v/>
      </c>
    </row>
    <row r="3303">
      <c r="A3303" s="11" t="n"/>
      <c r="B3303" s="29" t="n"/>
      <c r="K3303" s="30" t="str">
        <f>IF($A3303="","",EDATE($A3303,12*$E$4))</f>
        <v/>
      </c>
      <c r="L3303" s="19" t="str">
        <f>IF($K3303="","",IF($K3303&gt;MAX($A$8:$A$5007),"",IFERROR(MATCH($K3303,$A$8:$A$5007,1),"")))</f>
        <v/>
      </c>
      <c r="M3303" s="30" t="str">
        <f>IF($L3303="","",INDEX($A$8:$A$5007,$L3303))</f>
        <v/>
      </c>
      <c r="N3303" s="31" t="str">
        <f>IF($L3303="","",INDEX($B$8:$B$5007,$L3303))</f>
        <v/>
      </c>
      <c r="O3303" s="32" t="str">
        <f>IF($M3303="","",IF($K3303-$M3303&gt;7,"",IF($M3303&lt;=$A3303,"",IF(OR($B3303&lt;=0,$N3303&lt;=0),"",($N3303/$B3303)^(365/($M3303-$A3303))-1))))</f>
        <v/>
      </c>
      <c r="P3303" s="31" t="str">
        <f>IF($B3303="","",IF($P3302="",$B3303,MAX($P3302,$B3303)))</f>
        <v/>
      </c>
      <c r="Q3303" s="32" t="str">
        <f>IF($P3303="","",$B3303/$P3303-1)</f>
        <v/>
      </c>
    </row>
    <row r="3304">
      <c r="A3304" s="11" t="n"/>
      <c r="B3304" s="29" t="n"/>
      <c r="K3304" s="30" t="str">
        <f>IF($A3304="","",EDATE($A3304,12*$E$4))</f>
        <v/>
      </c>
      <c r="L3304" s="19" t="str">
        <f>IF($K3304="","",IF($K3304&gt;MAX($A$8:$A$5007),"",IFERROR(MATCH($K3304,$A$8:$A$5007,1),"")))</f>
        <v/>
      </c>
      <c r="M3304" s="30" t="str">
        <f>IF($L3304="","",INDEX($A$8:$A$5007,$L3304))</f>
        <v/>
      </c>
      <c r="N3304" s="31" t="str">
        <f>IF($L3304="","",INDEX($B$8:$B$5007,$L3304))</f>
        <v/>
      </c>
      <c r="O3304" s="32" t="str">
        <f>IF($M3304="","",IF($K3304-$M3304&gt;7,"",IF($M3304&lt;=$A3304,"",IF(OR($B3304&lt;=0,$N3304&lt;=0),"",($N3304/$B3304)^(365/($M3304-$A3304))-1))))</f>
        <v/>
      </c>
      <c r="P3304" s="31" t="str">
        <f>IF($B3304="","",IF($P3303="",$B3304,MAX($P3303,$B3304)))</f>
        <v/>
      </c>
      <c r="Q3304" s="32" t="str">
        <f>IF($P3304="","",$B3304/$P3304-1)</f>
        <v/>
      </c>
    </row>
    <row r="3305">
      <c r="A3305" s="11" t="n"/>
      <c r="B3305" s="29" t="n"/>
      <c r="K3305" s="30" t="str">
        <f>IF($A3305="","",EDATE($A3305,12*$E$4))</f>
        <v/>
      </c>
      <c r="L3305" s="19" t="str">
        <f>IF($K3305="","",IF($K3305&gt;MAX($A$8:$A$5007),"",IFERROR(MATCH($K3305,$A$8:$A$5007,1),"")))</f>
        <v/>
      </c>
      <c r="M3305" s="30" t="str">
        <f>IF($L3305="","",INDEX($A$8:$A$5007,$L3305))</f>
        <v/>
      </c>
      <c r="N3305" s="31" t="str">
        <f>IF($L3305="","",INDEX($B$8:$B$5007,$L3305))</f>
        <v/>
      </c>
      <c r="O3305" s="32" t="str">
        <f>IF($M3305="","",IF($K3305-$M3305&gt;7,"",IF($M3305&lt;=$A3305,"",IF(OR($B3305&lt;=0,$N3305&lt;=0),"",($N3305/$B3305)^(365/($M3305-$A3305))-1))))</f>
        <v/>
      </c>
      <c r="P3305" s="31" t="str">
        <f>IF($B3305="","",IF($P3304="",$B3305,MAX($P3304,$B3305)))</f>
        <v/>
      </c>
      <c r="Q3305" s="32" t="str">
        <f>IF($P3305="","",$B3305/$P3305-1)</f>
        <v/>
      </c>
    </row>
    <row r="3306">
      <c r="A3306" s="11" t="n"/>
      <c r="B3306" s="29" t="n"/>
      <c r="K3306" s="30" t="str">
        <f>IF($A3306="","",EDATE($A3306,12*$E$4))</f>
        <v/>
      </c>
      <c r="L3306" s="19" t="str">
        <f>IF($K3306="","",IF($K3306&gt;MAX($A$8:$A$5007),"",IFERROR(MATCH($K3306,$A$8:$A$5007,1),"")))</f>
        <v/>
      </c>
      <c r="M3306" s="30" t="str">
        <f>IF($L3306="","",INDEX($A$8:$A$5007,$L3306))</f>
        <v/>
      </c>
      <c r="N3306" s="31" t="str">
        <f>IF($L3306="","",INDEX($B$8:$B$5007,$L3306))</f>
        <v/>
      </c>
      <c r="O3306" s="32" t="str">
        <f>IF($M3306="","",IF($K3306-$M3306&gt;7,"",IF($M3306&lt;=$A3306,"",IF(OR($B3306&lt;=0,$N3306&lt;=0),"",($N3306/$B3306)^(365/($M3306-$A3306))-1))))</f>
        <v/>
      </c>
      <c r="P3306" s="31" t="str">
        <f>IF($B3306="","",IF($P3305="",$B3306,MAX($P3305,$B3306)))</f>
        <v/>
      </c>
      <c r="Q3306" s="32" t="str">
        <f>IF($P3306="","",$B3306/$P3306-1)</f>
        <v/>
      </c>
    </row>
    <row r="3307">
      <c r="A3307" s="11" t="n"/>
      <c r="B3307" s="29" t="n"/>
      <c r="K3307" s="30" t="str">
        <f>IF($A3307="","",EDATE($A3307,12*$E$4))</f>
        <v/>
      </c>
      <c r="L3307" s="19" t="str">
        <f>IF($K3307="","",IF($K3307&gt;MAX($A$8:$A$5007),"",IFERROR(MATCH($K3307,$A$8:$A$5007,1),"")))</f>
        <v/>
      </c>
      <c r="M3307" s="30" t="str">
        <f>IF($L3307="","",INDEX($A$8:$A$5007,$L3307))</f>
        <v/>
      </c>
      <c r="N3307" s="31" t="str">
        <f>IF($L3307="","",INDEX($B$8:$B$5007,$L3307))</f>
        <v/>
      </c>
      <c r="O3307" s="32" t="str">
        <f>IF($M3307="","",IF($K3307-$M3307&gt;7,"",IF($M3307&lt;=$A3307,"",IF(OR($B3307&lt;=0,$N3307&lt;=0),"",($N3307/$B3307)^(365/($M3307-$A3307))-1))))</f>
        <v/>
      </c>
      <c r="P3307" s="31" t="str">
        <f>IF($B3307="","",IF($P3306="",$B3307,MAX($P3306,$B3307)))</f>
        <v/>
      </c>
      <c r="Q3307" s="32" t="str">
        <f>IF($P3307="","",$B3307/$P3307-1)</f>
        <v/>
      </c>
    </row>
    <row r="3308">
      <c r="A3308" s="11" t="n"/>
      <c r="B3308" s="29" t="n"/>
      <c r="K3308" s="30" t="str">
        <f>IF($A3308="","",EDATE($A3308,12*$E$4))</f>
        <v/>
      </c>
      <c r="L3308" s="19" t="str">
        <f>IF($K3308="","",IF($K3308&gt;MAX($A$8:$A$5007),"",IFERROR(MATCH($K3308,$A$8:$A$5007,1),"")))</f>
        <v/>
      </c>
      <c r="M3308" s="30" t="str">
        <f>IF($L3308="","",INDEX($A$8:$A$5007,$L3308))</f>
        <v/>
      </c>
      <c r="N3308" s="31" t="str">
        <f>IF($L3308="","",INDEX($B$8:$B$5007,$L3308))</f>
        <v/>
      </c>
      <c r="O3308" s="32" t="str">
        <f>IF($M3308="","",IF($K3308-$M3308&gt;7,"",IF($M3308&lt;=$A3308,"",IF(OR($B3308&lt;=0,$N3308&lt;=0),"",($N3308/$B3308)^(365/($M3308-$A3308))-1))))</f>
        <v/>
      </c>
      <c r="P3308" s="31" t="str">
        <f>IF($B3308="","",IF($P3307="",$B3308,MAX($P3307,$B3308)))</f>
        <v/>
      </c>
      <c r="Q3308" s="32" t="str">
        <f>IF($P3308="","",$B3308/$P3308-1)</f>
        <v/>
      </c>
    </row>
    <row r="3309">
      <c r="A3309" s="11" t="n"/>
      <c r="B3309" s="29" t="n"/>
      <c r="K3309" s="30" t="str">
        <f>IF($A3309="","",EDATE($A3309,12*$E$4))</f>
        <v/>
      </c>
      <c r="L3309" s="19" t="str">
        <f>IF($K3309="","",IF($K3309&gt;MAX($A$8:$A$5007),"",IFERROR(MATCH($K3309,$A$8:$A$5007,1),"")))</f>
        <v/>
      </c>
      <c r="M3309" s="30" t="str">
        <f>IF($L3309="","",INDEX($A$8:$A$5007,$L3309))</f>
        <v/>
      </c>
      <c r="N3309" s="31" t="str">
        <f>IF($L3309="","",INDEX($B$8:$B$5007,$L3309))</f>
        <v/>
      </c>
      <c r="O3309" s="32" t="str">
        <f>IF($M3309="","",IF($K3309-$M3309&gt;7,"",IF($M3309&lt;=$A3309,"",IF(OR($B3309&lt;=0,$N3309&lt;=0),"",($N3309/$B3309)^(365/($M3309-$A3309))-1))))</f>
        <v/>
      </c>
      <c r="P3309" s="31" t="str">
        <f>IF($B3309="","",IF($P3308="",$B3309,MAX($P3308,$B3309)))</f>
        <v/>
      </c>
      <c r="Q3309" s="32" t="str">
        <f>IF($P3309="","",$B3309/$P3309-1)</f>
        <v/>
      </c>
    </row>
    <row r="3310">
      <c r="A3310" s="11" t="n"/>
      <c r="B3310" s="29" t="n"/>
      <c r="K3310" s="30" t="str">
        <f>IF($A3310="","",EDATE($A3310,12*$E$4))</f>
        <v/>
      </c>
      <c r="L3310" s="19" t="str">
        <f>IF($K3310="","",IF($K3310&gt;MAX($A$8:$A$5007),"",IFERROR(MATCH($K3310,$A$8:$A$5007,1),"")))</f>
        <v/>
      </c>
      <c r="M3310" s="30" t="str">
        <f>IF($L3310="","",INDEX($A$8:$A$5007,$L3310))</f>
        <v/>
      </c>
      <c r="N3310" s="31" t="str">
        <f>IF($L3310="","",INDEX($B$8:$B$5007,$L3310))</f>
        <v/>
      </c>
      <c r="O3310" s="32" t="str">
        <f>IF($M3310="","",IF($K3310-$M3310&gt;7,"",IF($M3310&lt;=$A3310,"",IF(OR($B3310&lt;=0,$N3310&lt;=0),"",($N3310/$B3310)^(365/($M3310-$A3310))-1))))</f>
        <v/>
      </c>
      <c r="P3310" s="31" t="str">
        <f>IF($B3310="","",IF($P3309="",$B3310,MAX($P3309,$B3310)))</f>
        <v/>
      </c>
      <c r="Q3310" s="32" t="str">
        <f>IF($P3310="","",$B3310/$P3310-1)</f>
        <v/>
      </c>
    </row>
    <row r="3311">
      <c r="A3311" s="11" t="n"/>
      <c r="B3311" s="29" t="n"/>
      <c r="K3311" s="30" t="str">
        <f>IF($A3311="","",EDATE($A3311,12*$E$4))</f>
        <v/>
      </c>
      <c r="L3311" s="19" t="str">
        <f>IF($K3311="","",IF($K3311&gt;MAX($A$8:$A$5007),"",IFERROR(MATCH($K3311,$A$8:$A$5007,1),"")))</f>
        <v/>
      </c>
      <c r="M3311" s="30" t="str">
        <f>IF($L3311="","",INDEX($A$8:$A$5007,$L3311))</f>
        <v/>
      </c>
      <c r="N3311" s="31" t="str">
        <f>IF($L3311="","",INDEX($B$8:$B$5007,$L3311))</f>
        <v/>
      </c>
      <c r="O3311" s="32" t="str">
        <f>IF($M3311="","",IF($K3311-$M3311&gt;7,"",IF($M3311&lt;=$A3311,"",IF(OR($B3311&lt;=0,$N3311&lt;=0),"",($N3311/$B3311)^(365/($M3311-$A3311))-1))))</f>
        <v/>
      </c>
      <c r="P3311" s="31" t="str">
        <f>IF($B3311="","",IF($P3310="",$B3311,MAX($P3310,$B3311)))</f>
        <v/>
      </c>
      <c r="Q3311" s="32" t="str">
        <f>IF($P3311="","",$B3311/$P3311-1)</f>
        <v/>
      </c>
    </row>
    <row r="3312">
      <c r="A3312" s="11" t="n"/>
      <c r="B3312" s="29" t="n"/>
      <c r="K3312" s="30" t="str">
        <f>IF($A3312="","",EDATE($A3312,12*$E$4))</f>
        <v/>
      </c>
      <c r="L3312" s="19" t="str">
        <f>IF($K3312="","",IF($K3312&gt;MAX($A$8:$A$5007),"",IFERROR(MATCH($K3312,$A$8:$A$5007,1),"")))</f>
        <v/>
      </c>
      <c r="M3312" s="30" t="str">
        <f>IF($L3312="","",INDEX($A$8:$A$5007,$L3312))</f>
        <v/>
      </c>
      <c r="N3312" s="31" t="str">
        <f>IF($L3312="","",INDEX($B$8:$B$5007,$L3312))</f>
        <v/>
      </c>
      <c r="O3312" s="32" t="str">
        <f>IF($M3312="","",IF($K3312-$M3312&gt;7,"",IF($M3312&lt;=$A3312,"",IF(OR($B3312&lt;=0,$N3312&lt;=0),"",($N3312/$B3312)^(365/($M3312-$A3312))-1))))</f>
        <v/>
      </c>
      <c r="P3312" s="31" t="str">
        <f>IF($B3312="","",IF($P3311="",$B3312,MAX($P3311,$B3312)))</f>
        <v/>
      </c>
      <c r="Q3312" s="32" t="str">
        <f>IF($P3312="","",$B3312/$P3312-1)</f>
        <v/>
      </c>
    </row>
    <row r="3313">
      <c r="A3313" s="11" t="n"/>
      <c r="B3313" s="29" t="n"/>
      <c r="K3313" s="30" t="str">
        <f>IF($A3313="","",EDATE($A3313,12*$E$4))</f>
        <v/>
      </c>
      <c r="L3313" s="19" t="str">
        <f>IF($K3313="","",IF($K3313&gt;MAX($A$8:$A$5007),"",IFERROR(MATCH($K3313,$A$8:$A$5007,1),"")))</f>
        <v/>
      </c>
      <c r="M3313" s="30" t="str">
        <f>IF($L3313="","",INDEX($A$8:$A$5007,$L3313))</f>
        <v/>
      </c>
      <c r="N3313" s="31" t="str">
        <f>IF($L3313="","",INDEX($B$8:$B$5007,$L3313))</f>
        <v/>
      </c>
      <c r="O3313" s="32" t="str">
        <f>IF($M3313="","",IF($K3313-$M3313&gt;7,"",IF($M3313&lt;=$A3313,"",IF(OR($B3313&lt;=0,$N3313&lt;=0),"",($N3313/$B3313)^(365/($M3313-$A3313))-1))))</f>
        <v/>
      </c>
      <c r="P3313" s="31" t="str">
        <f>IF($B3313="","",IF($P3312="",$B3313,MAX($P3312,$B3313)))</f>
        <v/>
      </c>
      <c r="Q3313" s="32" t="str">
        <f>IF($P3313="","",$B3313/$P3313-1)</f>
        <v/>
      </c>
    </row>
    <row r="3314">
      <c r="A3314" s="11" t="n"/>
      <c r="B3314" s="29" t="n"/>
      <c r="K3314" s="30" t="str">
        <f>IF($A3314="","",EDATE($A3314,12*$E$4))</f>
        <v/>
      </c>
      <c r="L3314" s="19" t="str">
        <f>IF($K3314="","",IF($K3314&gt;MAX($A$8:$A$5007),"",IFERROR(MATCH($K3314,$A$8:$A$5007,1),"")))</f>
        <v/>
      </c>
      <c r="M3314" s="30" t="str">
        <f>IF($L3314="","",INDEX($A$8:$A$5007,$L3314))</f>
        <v/>
      </c>
      <c r="N3314" s="31" t="str">
        <f>IF($L3314="","",INDEX($B$8:$B$5007,$L3314))</f>
        <v/>
      </c>
      <c r="O3314" s="32" t="str">
        <f>IF($M3314="","",IF($K3314-$M3314&gt;7,"",IF($M3314&lt;=$A3314,"",IF(OR($B3314&lt;=0,$N3314&lt;=0),"",($N3314/$B3314)^(365/($M3314-$A3314))-1))))</f>
        <v/>
      </c>
      <c r="P3314" s="31" t="str">
        <f>IF($B3314="","",IF($P3313="",$B3314,MAX($P3313,$B3314)))</f>
        <v/>
      </c>
      <c r="Q3314" s="32" t="str">
        <f>IF($P3314="","",$B3314/$P3314-1)</f>
        <v/>
      </c>
    </row>
    <row r="3315">
      <c r="A3315" s="11" t="n"/>
      <c r="B3315" s="29" t="n"/>
      <c r="K3315" s="30" t="str">
        <f>IF($A3315="","",EDATE($A3315,12*$E$4))</f>
        <v/>
      </c>
      <c r="L3315" s="19" t="str">
        <f>IF($K3315="","",IF($K3315&gt;MAX($A$8:$A$5007),"",IFERROR(MATCH($K3315,$A$8:$A$5007,1),"")))</f>
        <v/>
      </c>
      <c r="M3315" s="30" t="str">
        <f>IF($L3315="","",INDEX($A$8:$A$5007,$L3315))</f>
        <v/>
      </c>
      <c r="N3315" s="31" t="str">
        <f>IF($L3315="","",INDEX($B$8:$B$5007,$L3315))</f>
        <v/>
      </c>
      <c r="O3315" s="32" t="str">
        <f>IF($M3315="","",IF($K3315-$M3315&gt;7,"",IF($M3315&lt;=$A3315,"",IF(OR($B3315&lt;=0,$N3315&lt;=0),"",($N3315/$B3315)^(365/($M3315-$A3315))-1))))</f>
        <v/>
      </c>
      <c r="P3315" s="31" t="str">
        <f>IF($B3315="","",IF($P3314="",$B3315,MAX($P3314,$B3315)))</f>
        <v/>
      </c>
      <c r="Q3315" s="32" t="str">
        <f>IF($P3315="","",$B3315/$P3315-1)</f>
        <v/>
      </c>
    </row>
    <row r="3316">
      <c r="A3316" s="11" t="n"/>
      <c r="B3316" s="29" t="n"/>
      <c r="K3316" s="30" t="str">
        <f>IF($A3316="","",EDATE($A3316,12*$E$4))</f>
        <v/>
      </c>
      <c r="L3316" s="19" t="str">
        <f>IF($K3316="","",IF($K3316&gt;MAX($A$8:$A$5007),"",IFERROR(MATCH($K3316,$A$8:$A$5007,1),"")))</f>
        <v/>
      </c>
      <c r="M3316" s="30" t="str">
        <f>IF($L3316="","",INDEX($A$8:$A$5007,$L3316))</f>
        <v/>
      </c>
      <c r="N3316" s="31" t="str">
        <f>IF($L3316="","",INDEX($B$8:$B$5007,$L3316))</f>
        <v/>
      </c>
      <c r="O3316" s="32" t="str">
        <f>IF($M3316="","",IF($K3316-$M3316&gt;7,"",IF($M3316&lt;=$A3316,"",IF(OR($B3316&lt;=0,$N3316&lt;=0),"",($N3316/$B3316)^(365/($M3316-$A3316))-1))))</f>
        <v/>
      </c>
      <c r="P3316" s="31" t="str">
        <f>IF($B3316="","",IF($P3315="",$B3316,MAX($P3315,$B3316)))</f>
        <v/>
      </c>
      <c r="Q3316" s="32" t="str">
        <f>IF($P3316="","",$B3316/$P3316-1)</f>
        <v/>
      </c>
    </row>
    <row r="3317">
      <c r="A3317" s="11" t="n"/>
      <c r="B3317" s="29" t="n"/>
      <c r="K3317" s="30" t="str">
        <f>IF($A3317="","",EDATE($A3317,12*$E$4))</f>
        <v/>
      </c>
      <c r="L3317" s="19" t="str">
        <f>IF($K3317="","",IF($K3317&gt;MAX($A$8:$A$5007),"",IFERROR(MATCH($K3317,$A$8:$A$5007,1),"")))</f>
        <v/>
      </c>
      <c r="M3317" s="30" t="str">
        <f>IF($L3317="","",INDEX($A$8:$A$5007,$L3317))</f>
        <v/>
      </c>
      <c r="N3317" s="31" t="str">
        <f>IF($L3317="","",INDEX($B$8:$B$5007,$L3317))</f>
        <v/>
      </c>
      <c r="O3317" s="32" t="str">
        <f>IF($M3317="","",IF($K3317-$M3317&gt;7,"",IF($M3317&lt;=$A3317,"",IF(OR($B3317&lt;=0,$N3317&lt;=0),"",($N3317/$B3317)^(365/($M3317-$A3317))-1))))</f>
        <v/>
      </c>
      <c r="P3317" s="31" t="str">
        <f>IF($B3317="","",IF($P3316="",$B3317,MAX($P3316,$B3317)))</f>
        <v/>
      </c>
      <c r="Q3317" s="32" t="str">
        <f>IF($P3317="","",$B3317/$P3317-1)</f>
        <v/>
      </c>
    </row>
    <row r="3318">
      <c r="A3318" s="11" t="n"/>
      <c r="B3318" s="29" t="n"/>
      <c r="K3318" s="30" t="str">
        <f>IF($A3318="","",EDATE($A3318,12*$E$4))</f>
        <v/>
      </c>
      <c r="L3318" s="19" t="str">
        <f>IF($K3318="","",IF($K3318&gt;MAX($A$8:$A$5007),"",IFERROR(MATCH($K3318,$A$8:$A$5007,1),"")))</f>
        <v/>
      </c>
      <c r="M3318" s="30" t="str">
        <f>IF($L3318="","",INDEX($A$8:$A$5007,$L3318))</f>
        <v/>
      </c>
      <c r="N3318" s="31" t="str">
        <f>IF($L3318="","",INDEX($B$8:$B$5007,$L3318))</f>
        <v/>
      </c>
      <c r="O3318" s="32" t="str">
        <f>IF($M3318="","",IF($K3318-$M3318&gt;7,"",IF($M3318&lt;=$A3318,"",IF(OR($B3318&lt;=0,$N3318&lt;=0),"",($N3318/$B3318)^(365/($M3318-$A3318))-1))))</f>
        <v/>
      </c>
      <c r="P3318" s="31" t="str">
        <f>IF($B3318="","",IF($P3317="",$B3318,MAX($P3317,$B3318)))</f>
        <v/>
      </c>
      <c r="Q3318" s="32" t="str">
        <f>IF($P3318="","",$B3318/$P3318-1)</f>
        <v/>
      </c>
    </row>
    <row r="3319">
      <c r="A3319" s="11" t="n"/>
      <c r="B3319" s="29" t="n"/>
      <c r="K3319" s="30" t="str">
        <f>IF($A3319="","",EDATE($A3319,12*$E$4))</f>
        <v/>
      </c>
      <c r="L3319" s="19" t="str">
        <f>IF($K3319="","",IF($K3319&gt;MAX($A$8:$A$5007),"",IFERROR(MATCH($K3319,$A$8:$A$5007,1),"")))</f>
        <v/>
      </c>
      <c r="M3319" s="30" t="str">
        <f>IF($L3319="","",INDEX($A$8:$A$5007,$L3319))</f>
        <v/>
      </c>
      <c r="N3319" s="31" t="str">
        <f>IF($L3319="","",INDEX($B$8:$B$5007,$L3319))</f>
        <v/>
      </c>
      <c r="O3319" s="32" t="str">
        <f>IF($M3319="","",IF($K3319-$M3319&gt;7,"",IF($M3319&lt;=$A3319,"",IF(OR($B3319&lt;=0,$N3319&lt;=0),"",($N3319/$B3319)^(365/($M3319-$A3319))-1))))</f>
        <v/>
      </c>
      <c r="P3319" s="31" t="str">
        <f>IF($B3319="","",IF($P3318="",$B3319,MAX($P3318,$B3319)))</f>
        <v/>
      </c>
      <c r="Q3319" s="32" t="str">
        <f>IF($P3319="","",$B3319/$P3319-1)</f>
        <v/>
      </c>
    </row>
    <row r="3320">
      <c r="A3320" s="11" t="n"/>
      <c r="B3320" s="29" t="n"/>
      <c r="K3320" s="30" t="str">
        <f>IF($A3320="","",EDATE($A3320,12*$E$4))</f>
        <v/>
      </c>
      <c r="L3320" s="19" t="str">
        <f>IF($K3320="","",IF($K3320&gt;MAX($A$8:$A$5007),"",IFERROR(MATCH($K3320,$A$8:$A$5007,1),"")))</f>
        <v/>
      </c>
      <c r="M3320" s="30" t="str">
        <f>IF($L3320="","",INDEX($A$8:$A$5007,$L3320))</f>
        <v/>
      </c>
      <c r="N3320" s="31" t="str">
        <f>IF($L3320="","",INDEX($B$8:$B$5007,$L3320))</f>
        <v/>
      </c>
      <c r="O3320" s="32" t="str">
        <f>IF($M3320="","",IF($K3320-$M3320&gt;7,"",IF($M3320&lt;=$A3320,"",IF(OR($B3320&lt;=0,$N3320&lt;=0),"",($N3320/$B3320)^(365/($M3320-$A3320))-1))))</f>
        <v/>
      </c>
      <c r="P3320" s="31" t="str">
        <f>IF($B3320="","",IF($P3319="",$B3320,MAX($P3319,$B3320)))</f>
        <v/>
      </c>
      <c r="Q3320" s="32" t="str">
        <f>IF($P3320="","",$B3320/$P3320-1)</f>
        <v/>
      </c>
    </row>
    <row r="3321">
      <c r="A3321" s="11" t="n"/>
      <c r="B3321" s="29" t="n"/>
      <c r="K3321" s="30" t="str">
        <f>IF($A3321="","",EDATE($A3321,12*$E$4))</f>
        <v/>
      </c>
      <c r="L3321" s="19" t="str">
        <f>IF($K3321="","",IF($K3321&gt;MAX($A$8:$A$5007),"",IFERROR(MATCH($K3321,$A$8:$A$5007,1),"")))</f>
        <v/>
      </c>
      <c r="M3321" s="30" t="str">
        <f>IF($L3321="","",INDEX($A$8:$A$5007,$L3321))</f>
        <v/>
      </c>
      <c r="N3321" s="31" t="str">
        <f>IF($L3321="","",INDEX($B$8:$B$5007,$L3321))</f>
        <v/>
      </c>
      <c r="O3321" s="32" t="str">
        <f>IF($M3321="","",IF($K3321-$M3321&gt;7,"",IF($M3321&lt;=$A3321,"",IF(OR($B3321&lt;=0,$N3321&lt;=0),"",($N3321/$B3321)^(365/($M3321-$A3321))-1))))</f>
        <v/>
      </c>
      <c r="P3321" s="31" t="str">
        <f>IF($B3321="","",IF($P3320="",$B3321,MAX($P3320,$B3321)))</f>
        <v/>
      </c>
      <c r="Q3321" s="32" t="str">
        <f>IF($P3321="","",$B3321/$P3321-1)</f>
        <v/>
      </c>
    </row>
    <row r="3322">
      <c r="A3322" s="11" t="n"/>
      <c r="B3322" s="29" t="n"/>
      <c r="K3322" s="30" t="str">
        <f>IF($A3322="","",EDATE($A3322,12*$E$4))</f>
        <v/>
      </c>
      <c r="L3322" s="19" t="str">
        <f>IF($K3322="","",IF($K3322&gt;MAX($A$8:$A$5007),"",IFERROR(MATCH($K3322,$A$8:$A$5007,1),"")))</f>
        <v/>
      </c>
      <c r="M3322" s="30" t="str">
        <f>IF($L3322="","",INDEX($A$8:$A$5007,$L3322))</f>
        <v/>
      </c>
      <c r="N3322" s="31" t="str">
        <f>IF($L3322="","",INDEX($B$8:$B$5007,$L3322))</f>
        <v/>
      </c>
      <c r="O3322" s="32" t="str">
        <f>IF($M3322="","",IF($K3322-$M3322&gt;7,"",IF($M3322&lt;=$A3322,"",IF(OR($B3322&lt;=0,$N3322&lt;=0),"",($N3322/$B3322)^(365/($M3322-$A3322))-1))))</f>
        <v/>
      </c>
      <c r="P3322" s="31" t="str">
        <f>IF($B3322="","",IF($P3321="",$B3322,MAX($P3321,$B3322)))</f>
        <v/>
      </c>
      <c r="Q3322" s="32" t="str">
        <f>IF($P3322="","",$B3322/$P3322-1)</f>
        <v/>
      </c>
    </row>
    <row r="3323">
      <c r="A3323" s="11" t="n"/>
      <c r="B3323" s="29" t="n"/>
      <c r="K3323" s="30" t="str">
        <f>IF($A3323="","",EDATE($A3323,12*$E$4))</f>
        <v/>
      </c>
      <c r="L3323" s="19" t="str">
        <f>IF($K3323="","",IF($K3323&gt;MAX($A$8:$A$5007),"",IFERROR(MATCH($K3323,$A$8:$A$5007,1),"")))</f>
        <v/>
      </c>
      <c r="M3323" s="30" t="str">
        <f>IF($L3323="","",INDEX($A$8:$A$5007,$L3323))</f>
        <v/>
      </c>
      <c r="N3323" s="31" t="str">
        <f>IF($L3323="","",INDEX($B$8:$B$5007,$L3323))</f>
        <v/>
      </c>
      <c r="O3323" s="32" t="str">
        <f>IF($M3323="","",IF($K3323-$M3323&gt;7,"",IF($M3323&lt;=$A3323,"",IF(OR($B3323&lt;=0,$N3323&lt;=0),"",($N3323/$B3323)^(365/($M3323-$A3323))-1))))</f>
        <v/>
      </c>
      <c r="P3323" s="31" t="str">
        <f>IF($B3323="","",IF($P3322="",$B3323,MAX($P3322,$B3323)))</f>
        <v/>
      </c>
      <c r="Q3323" s="32" t="str">
        <f>IF($P3323="","",$B3323/$P3323-1)</f>
        <v/>
      </c>
    </row>
    <row r="3324">
      <c r="A3324" s="11" t="n"/>
      <c r="B3324" s="29" t="n"/>
      <c r="K3324" s="30" t="str">
        <f>IF($A3324="","",EDATE($A3324,12*$E$4))</f>
        <v/>
      </c>
      <c r="L3324" s="19" t="str">
        <f>IF($K3324="","",IF($K3324&gt;MAX($A$8:$A$5007),"",IFERROR(MATCH($K3324,$A$8:$A$5007,1),"")))</f>
        <v/>
      </c>
      <c r="M3324" s="30" t="str">
        <f>IF($L3324="","",INDEX($A$8:$A$5007,$L3324))</f>
        <v/>
      </c>
      <c r="N3324" s="31" t="str">
        <f>IF($L3324="","",INDEX($B$8:$B$5007,$L3324))</f>
        <v/>
      </c>
      <c r="O3324" s="32" t="str">
        <f>IF($M3324="","",IF($K3324-$M3324&gt;7,"",IF($M3324&lt;=$A3324,"",IF(OR($B3324&lt;=0,$N3324&lt;=0),"",($N3324/$B3324)^(365/($M3324-$A3324))-1))))</f>
        <v/>
      </c>
      <c r="P3324" s="31" t="str">
        <f>IF($B3324="","",IF($P3323="",$B3324,MAX($P3323,$B3324)))</f>
        <v/>
      </c>
      <c r="Q3324" s="32" t="str">
        <f>IF($P3324="","",$B3324/$P3324-1)</f>
        <v/>
      </c>
    </row>
    <row r="3325">
      <c r="A3325" s="11" t="n"/>
      <c r="B3325" s="29" t="n"/>
      <c r="K3325" s="30" t="str">
        <f>IF($A3325="","",EDATE($A3325,12*$E$4))</f>
        <v/>
      </c>
      <c r="L3325" s="19" t="str">
        <f>IF($K3325="","",IF($K3325&gt;MAX($A$8:$A$5007),"",IFERROR(MATCH($K3325,$A$8:$A$5007,1),"")))</f>
        <v/>
      </c>
      <c r="M3325" s="30" t="str">
        <f>IF($L3325="","",INDEX($A$8:$A$5007,$L3325))</f>
        <v/>
      </c>
      <c r="N3325" s="31" t="str">
        <f>IF($L3325="","",INDEX($B$8:$B$5007,$L3325))</f>
        <v/>
      </c>
      <c r="O3325" s="32" t="str">
        <f>IF($M3325="","",IF($K3325-$M3325&gt;7,"",IF($M3325&lt;=$A3325,"",IF(OR($B3325&lt;=0,$N3325&lt;=0),"",($N3325/$B3325)^(365/($M3325-$A3325))-1))))</f>
        <v/>
      </c>
      <c r="P3325" s="31" t="str">
        <f>IF($B3325="","",IF($P3324="",$B3325,MAX($P3324,$B3325)))</f>
        <v/>
      </c>
      <c r="Q3325" s="32" t="str">
        <f>IF($P3325="","",$B3325/$P3325-1)</f>
        <v/>
      </c>
    </row>
    <row r="3326">
      <c r="A3326" s="11" t="n"/>
      <c r="B3326" s="29" t="n"/>
      <c r="K3326" s="30" t="str">
        <f>IF($A3326="","",EDATE($A3326,12*$E$4))</f>
        <v/>
      </c>
      <c r="L3326" s="19" t="str">
        <f>IF($K3326="","",IF($K3326&gt;MAX($A$8:$A$5007),"",IFERROR(MATCH($K3326,$A$8:$A$5007,1),"")))</f>
        <v/>
      </c>
      <c r="M3326" s="30" t="str">
        <f>IF($L3326="","",INDEX($A$8:$A$5007,$L3326))</f>
        <v/>
      </c>
      <c r="N3326" s="31" t="str">
        <f>IF($L3326="","",INDEX($B$8:$B$5007,$L3326))</f>
        <v/>
      </c>
      <c r="O3326" s="32" t="str">
        <f>IF($M3326="","",IF($K3326-$M3326&gt;7,"",IF($M3326&lt;=$A3326,"",IF(OR($B3326&lt;=0,$N3326&lt;=0),"",($N3326/$B3326)^(365/($M3326-$A3326))-1))))</f>
        <v/>
      </c>
      <c r="P3326" s="31" t="str">
        <f>IF($B3326="","",IF($P3325="",$B3326,MAX($P3325,$B3326)))</f>
        <v/>
      </c>
      <c r="Q3326" s="32" t="str">
        <f>IF($P3326="","",$B3326/$P3326-1)</f>
        <v/>
      </c>
    </row>
    <row r="3327">
      <c r="A3327" s="11" t="n"/>
      <c r="B3327" s="29" t="n"/>
      <c r="K3327" s="30" t="str">
        <f>IF($A3327="","",EDATE($A3327,12*$E$4))</f>
        <v/>
      </c>
      <c r="L3327" s="19" t="str">
        <f>IF($K3327="","",IF($K3327&gt;MAX($A$8:$A$5007),"",IFERROR(MATCH($K3327,$A$8:$A$5007,1),"")))</f>
        <v/>
      </c>
      <c r="M3327" s="30" t="str">
        <f>IF($L3327="","",INDEX($A$8:$A$5007,$L3327))</f>
        <v/>
      </c>
      <c r="N3327" s="31" t="str">
        <f>IF($L3327="","",INDEX($B$8:$B$5007,$L3327))</f>
        <v/>
      </c>
      <c r="O3327" s="32" t="str">
        <f>IF($M3327="","",IF($K3327-$M3327&gt;7,"",IF($M3327&lt;=$A3327,"",IF(OR($B3327&lt;=0,$N3327&lt;=0),"",($N3327/$B3327)^(365/($M3327-$A3327))-1))))</f>
        <v/>
      </c>
      <c r="P3327" s="31" t="str">
        <f>IF($B3327="","",IF($P3326="",$B3327,MAX($P3326,$B3327)))</f>
        <v/>
      </c>
      <c r="Q3327" s="32" t="str">
        <f>IF($P3327="","",$B3327/$P3327-1)</f>
        <v/>
      </c>
    </row>
    <row r="3328">
      <c r="A3328" s="11" t="n"/>
      <c r="B3328" s="29" t="n"/>
      <c r="K3328" s="30" t="str">
        <f>IF($A3328="","",EDATE($A3328,12*$E$4))</f>
        <v/>
      </c>
      <c r="L3328" s="19" t="str">
        <f>IF($K3328="","",IF($K3328&gt;MAX($A$8:$A$5007),"",IFERROR(MATCH($K3328,$A$8:$A$5007,1),"")))</f>
        <v/>
      </c>
      <c r="M3328" s="30" t="str">
        <f>IF($L3328="","",INDEX($A$8:$A$5007,$L3328))</f>
        <v/>
      </c>
      <c r="N3328" s="31" t="str">
        <f>IF($L3328="","",INDEX($B$8:$B$5007,$L3328))</f>
        <v/>
      </c>
      <c r="O3328" s="32" t="str">
        <f>IF($M3328="","",IF($K3328-$M3328&gt;7,"",IF($M3328&lt;=$A3328,"",IF(OR($B3328&lt;=0,$N3328&lt;=0),"",($N3328/$B3328)^(365/($M3328-$A3328))-1))))</f>
        <v/>
      </c>
      <c r="P3328" s="31" t="str">
        <f>IF($B3328="","",IF($P3327="",$B3328,MAX($P3327,$B3328)))</f>
        <v/>
      </c>
      <c r="Q3328" s="32" t="str">
        <f>IF($P3328="","",$B3328/$P3328-1)</f>
        <v/>
      </c>
    </row>
    <row r="3329">
      <c r="A3329" s="11" t="n"/>
      <c r="B3329" s="29" t="n"/>
      <c r="K3329" s="30" t="str">
        <f>IF($A3329="","",EDATE($A3329,12*$E$4))</f>
        <v/>
      </c>
      <c r="L3329" s="19" t="str">
        <f>IF($K3329="","",IF($K3329&gt;MAX($A$8:$A$5007),"",IFERROR(MATCH($K3329,$A$8:$A$5007,1),"")))</f>
        <v/>
      </c>
      <c r="M3329" s="30" t="str">
        <f>IF($L3329="","",INDEX($A$8:$A$5007,$L3329))</f>
        <v/>
      </c>
      <c r="N3329" s="31" t="str">
        <f>IF($L3329="","",INDEX($B$8:$B$5007,$L3329))</f>
        <v/>
      </c>
      <c r="O3329" s="32" t="str">
        <f>IF($M3329="","",IF($K3329-$M3329&gt;7,"",IF($M3329&lt;=$A3329,"",IF(OR($B3329&lt;=0,$N3329&lt;=0),"",($N3329/$B3329)^(365/($M3329-$A3329))-1))))</f>
        <v/>
      </c>
      <c r="P3329" s="31" t="str">
        <f>IF($B3329="","",IF($P3328="",$B3329,MAX($P3328,$B3329)))</f>
        <v/>
      </c>
      <c r="Q3329" s="32" t="str">
        <f>IF($P3329="","",$B3329/$P3329-1)</f>
        <v/>
      </c>
    </row>
    <row r="3330">
      <c r="A3330" s="11" t="n"/>
      <c r="B3330" s="29" t="n"/>
      <c r="K3330" s="30" t="str">
        <f>IF($A3330="","",EDATE($A3330,12*$E$4))</f>
        <v/>
      </c>
      <c r="L3330" s="19" t="str">
        <f>IF($K3330="","",IF($K3330&gt;MAX($A$8:$A$5007),"",IFERROR(MATCH($K3330,$A$8:$A$5007,1),"")))</f>
        <v/>
      </c>
      <c r="M3330" s="30" t="str">
        <f>IF($L3330="","",INDEX($A$8:$A$5007,$L3330))</f>
        <v/>
      </c>
      <c r="N3330" s="31" t="str">
        <f>IF($L3330="","",INDEX($B$8:$B$5007,$L3330))</f>
        <v/>
      </c>
      <c r="O3330" s="32" t="str">
        <f>IF($M3330="","",IF($K3330-$M3330&gt;7,"",IF($M3330&lt;=$A3330,"",IF(OR($B3330&lt;=0,$N3330&lt;=0),"",($N3330/$B3330)^(365/($M3330-$A3330))-1))))</f>
        <v/>
      </c>
      <c r="P3330" s="31" t="str">
        <f>IF($B3330="","",IF($P3329="",$B3330,MAX($P3329,$B3330)))</f>
        <v/>
      </c>
      <c r="Q3330" s="32" t="str">
        <f>IF($P3330="","",$B3330/$P3330-1)</f>
        <v/>
      </c>
    </row>
    <row r="3331">
      <c r="A3331" s="11" t="n"/>
      <c r="B3331" s="29" t="n"/>
      <c r="K3331" s="30" t="str">
        <f>IF($A3331="","",EDATE($A3331,12*$E$4))</f>
        <v/>
      </c>
      <c r="L3331" s="19" t="str">
        <f>IF($K3331="","",IF($K3331&gt;MAX($A$8:$A$5007),"",IFERROR(MATCH($K3331,$A$8:$A$5007,1),"")))</f>
        <v/>
      </c>
      <c r="M3331" s="30" t="str">
        <f>IF($L3331="","",INDEX($A$8:$A$5007,$L3331))</f>
        <v/>
      </c>
      <c r="N3331" s="31" t="str">
        <f>IF($L3331="","",INDEX($B$8:$B$5007,$L3331))</f>
        <v/>
      </c>
      <c r="O3331" s="32" t="str">
        <f>IF($M3331="","",IF($K3331-$M3331&gt;7,"",IF($M3331&lt;=$A3331,"",IF(OR($B3331&lt;=0,$N3331&lt;=0),"",($N3331/$B3331)^(365/($M3331-$A3331))-1))))</f>
        <v/>
      </c>
      <c r="P3331" s="31" t="str">
        <f>IF($B3331="","",IF($P3330="",$B3331,MAX($P3330,$B3331)))</f>
        <v/>
      </c>
      <c r="Q3331" s="32" t="str">
        <f>IF($P3331="","",$B3331/$P3331-1)</f>
        <v/>
      </c>
    </row>
    <row r="3332">
      <c r="A3332" s="11" t="n"/>
      <c r="B3332" s="29" t="n"/>
      <c r="K3332" s="30" t="str">
        <f>IF($A3332="","",EDATE($A3332,12*$E$4))</f>
        <v/>
      </c>
      <c r="L3332" s="19" t="str">
        <f>IF($K3332="","",IF($K3332&gt;MAX($A$8:$A$5007),"",IFERROR(MATCH($K3332,$A$8:$A$5007,1),"")))</f>
        <v/>
      </c>
      <c r="M3332" s="30" t="str">
        <f>IF($L3332="","",INDEX($A$8:$A$5007,$L3332))</f>
        <v/>
      </c>
      <c r="N3332" s="31" t="str">
        <f>IF($L3332="","",INDEX($B$8:$B$5007,$L3332))</f>
        <v/>
      </c>
      <c r="O3332" s="32" t="str">
        <f>IF($M3332="","",IF($K3332-$M3332&gt;7,"",IF($M3332&lt;=$A3332,"",IF(OR($B3332&lt;=0,$N3332&lt;=0),"",($N3332/$B3332)^(365/($M3332-$A3332))-1))))</f>
        <v/>
      </c>
      <c r="P3332" s="31" t="str">
        <f>IF($B3332="","",IF($P3331="",$B3332,MAX($P3331,$B3332)))</f>
        <v/>
      </c>
      <c r="Q3332" s="32" t="str">
        <f>IF($P3332="","",$B3332/$P3332-1)</f>
        <v/>
      </c>
    </row>
    <row r="3333">
      <c r="A3333" s="11" t="n"/>
      <c r="B3333" s="29" t="n"/>
      <c r="K3333" s="30" t="str">
        <f>IF($A3333="","",EDATE($A3333,12*$E$4))</f>
        <v/>
      </c>
      <c r="L3333" s="19" t="str">
        <f>IF($K3333="","",IF($K3333&gt;MAX($A$8:$A$5007),"",IFERROR(MATCH($K3333,$A$8:$A$5007,1),"")))</f>
        <v/>
      </c>
      <c r="M3333" s="30" t="str">
        <f>IF($L3333="","",INDEX($A$8:$A$5007,$L3333))</f>
        <v/>
      </c>
      <c r="N3333" s="31" t="str">
        <f>IF($L3333="","",INDEX($B$8:$B$5007,$L3333))</f>
        <v/>
      </c>
      <c r="O3333" s="32" t="str">
        <f>IF($M3333="","",IF($K3333-$M3333&gt;7,"",IF($M3333&lt;=$A3333,"",IF(OR($B3333&lt;=0,$N3333&lt;=0),"",($N3333/$B3333)^(365/($M3333-$A3333))-1))))</f>
        <v/>
      </c>
      <c r="P3333" s="31" t="str">
        <f>IF($B3333="","",IF($P3332="",$B3333,MAX($P3332,$B3333)))</f>
        <v/>
      </c>
      <c r="Q3333" s="32" t="str">
        <f>IF($P3333="","",$B3333/$P3333-1)</f>
        <v/>
      </c>
    </row>
    <row r="3334">
      <c r="A3334" s="11" t="n"/>
      <c r="B3334" s="29" t="n"/>
      <c r="K3334" s="30" t="str">
        <f>IF($A3334="","",EDATE($A3334,12*$E$4))</f>
        <v/>
      </c>
      <c r="L3334" s="19" t="str">
        <f>IF($K3334="","",IF($K3334&gt;MAX($A$8:$A$5007),"",IFERROR(MATCH($K3334,$A$8:$A$5007,1),"")))</f>
        <v/>
      </c>
      <c r="M3334" s="30" t="str">
        <f>IF($L3334="","",INDEX($A$8:$A$5007,$L3334))</f>
        <v/>
      </c>
      <c r="N3334" s="31" t="str">
        <f>IF($L3334="","",INDEX($B$8:$B$5007,$L3334))</f>
        <v/>
      </c>
      <c r="O3334" s="32" t="str">
        <f>IF($M3334="","",IF($K3334-$M3334&gt;7,"",IF($M3334&lt;=$A3334,"",IF(OR($B3334&lt;=0,$N3334&lt;=0),"",($N3334/$B3334)^(365/($M3334-$A3334))-1))))</f>
        <v/>
      </c>
      <c r="P3334" s="31" t="str">
        <f>IF($B3334="","",IF($P3333="",$B3334,MAX($P3333,$B3334)))</f>
        <v/>
      </c>
      <c r="Q3334" s="32" t="str">
        <f>IF($P3334="","",$B3334/$P3334-1)</f>
        <v/>
      </c>
    </row>
    <row r="3335">
      <c r="A3335" s="11" t="n"/>
      <c r="B3335" s="29" t="n"/>
      <c r="K3335" s="30" t="str">
        <f>IF($A3335="","",EDATE($A3335,12*$E$4))</f>
        <v/>
      </c>
      <c r="L3335" s="19" t="str">
        <f>IF($K3335="","",IF($K3335&gt;MAX($A$8:$A$5007),"",IFERROR(MATCH($K3335,$A$8:$A$5007,1),"")))</f>
        <v/>
      </c>
      <c r="M3335" s="30" t="str">
        <f>IF($L3335="","",INDEX($A$8:$A$5007,$L3335))</f>
        <v/>
      </c>
      <c r="N3335" s="31" t="str">
        <f>IF($L3335="","",INDEX($B$8:$B$5007,$L3335))</f>
        <v/>
      </c>
      <c r="O3335" s="32" t="str">
        <f>IF($M3335="","",IF($K3335-$M3335&gt;7,"",IF($M3335&lt;=$A3335,"",IF(OR($B3335&lt;=0,$N3335&lt;=0),"",($N3335/$B3335)^(365/($M3335-$A3335))-1))))</f>
        <v/>
      </c>
      <c r="P3335" s="31" t="str">
        <f>IF($B3335="","",IF($P3334="",$B3335,MAX($P3334,$B3335)))</f>
        <v/>
      </c>
      <c r="Q3335" s="32" t="str">
        <f>IF($P3335="","",$B3335/$P3335-1)</f>
        <v/>
      </c>
    </row>
    <row r="3336">
      <c r="A3336" s="11" t="n"/>
      <c r="B3336" s="29" t="n"/>
      <c r="K3336" s="30" t="str">
        <f>IF($A3336="","",EDATE($A3336,12*$E$4))</f>
        <v/>
      </c>
      <c r="L3336" s="19" t="str">
        <f>IF($K3336="","",IF($K3336&gt;MAX($A$8:$A$5007),"",IFERROR(MATCH($K3336,$A$8:$A$5007,1),"")))</f>
        <v/>
      </c>
      <c r="M3336" s="30" t="str">
        <f>IF($L3336="","",INDEX($A$8:$A$5007,$L3336))</f>
        <v/>
      </c>
      <c r="N3336" s="31" t="str">
        <f>IF($L3336="","",INDEX($B$8:$B$5007,$L3336))</f>
        <v/>
      </c>
      <c r="O3336" s="32" t="str">
        <f>IF($M3336="","",IF($K3336-$M3336&gt;7,"",IF($M3336&lt;=$A3336,"",IF(OR($B3336&lt;=0,$N3336&lt;=0),"",($N3336/$B3336)^(365/($M3336-$A3336))-1))))</f>
        <v/>
      </c>
      <c r="P3336" s="31" t="str">
        <f>IF($B3336="","",IF($P3335="",$B3336,MAX($P3335,$B3336)))</f>
        <v/>
      </c>
      <c r="Q3336" s="32" t="str">
        <f>IF($P3336="","",$B3336/$P3336-1)</f>
        <v/>
      </c>
    </row>
    <row r="3337">
      <c r="A3337" s="11" t="n"/>
      <c r="B3337" s="29" t="n"/>
      <c r="K3337" s="30" t="str">
        <f>IF($A3337="","",EDATE($A3337,12*$E$4))</f>
        <v/>
      </c>
      <c r="L3337" s="19" t="str">
        <f>IF($K3337="","",IF($K3337&gt;MAX($A$8:$A$5007),"",IFERROR(MATCH($K3337,$A$8:$A$5007,1),"")))</f>
        <v/>
      </c>
      <c r="M3337" s="30" t="str">
        <f>IF($L3337="","",INDEX($A$8:$A$5007,$L3337))</f>
        <v/>
      </c>
      <c r="N3337" s="31" t="str">
        <f>IF($L3337="","",INDEX($B$8:$B$5007,$L3337))</f>
        <v/>
      </c>
      <c r="O3337" s="32" t="str">
        <f>IF($M3337="","",IF($K3337-$M3337&gt;7,"",IF($M3337&lt;=$A3337,"",IF(OR($B3337&lt;=0,$N3337&lt;=0),"",($N3337/$B3337)^(365/($M3337-$A3337))-1))))</f>
        <v/>
      </c>
      <c r="P3337" s="31" t="str">
        <f>IF($B3337="","",IF($P3336="",$B3337,MAX($P3336,$B3337)))</f>
        <v/>
      </c>
      <c r="Q3337" s="32" t="str">
        <f>IF($P3337="","",$B3337/$P3337-1)</f>
        <v/>
      </c>
    </row>
    <row r="3338">
      <c r="A3338" s="11" t="n"/>
      <c r="B3338" s="29" t="n"/>
      <c r="K3338" s="30" t="str">
        <f>IF($A3338="","",EDATE($A3338,12*$E$4))</f>
        <v/>
      </c>
      <c r="L3338" s="19" t="str">
        <f>IF($K3338="","",IF($K3338&gt;MAX($A$8:$A$5007),"",IFERROR(MATCH($K3338,$A$8:$A$5007,1),"")))</f>
        <v/>
      </c>
      <c r="M3338" s="30" t="str">
        <f>IF($L3338="","",INDEX($A$8:$A$5007,$L3338))</f>
        <v/>
      </c>
      <c r="N3338" s="31" t="str">
        <f>IF($L3338="","",INDEX($B$8:$B$5007,$L3338))</f>
        <v/>
      </c>
      <c r="O3338" s="32" t="str">
        <f>IF($M3338="","",IF($K3338-$M3338&gt;7,"",IF($M3338&lt;=$A3338,"",IF(OR($B3338&lt;=0,$N3338&lt;=0),"",($N3338/$B3338)^(365/($M3338-$A3338))-1))))</f>
        <v/>
      </c>
      <c r="P3338" s="31" t="str">
        <f>IF($B3338="","",IF($P3337="",$B3338,MAX($P3337,$B3338)))</f>
        <v/>
      </c>
      <c r="Q3338" s="32" t="str">
        <f>IF($P3338="","",$B3338/$P3338-1)</f>
        <v/>
      </c>
    </row>
    <row r="3339">
      <c r="A3339" s="11" t="n"/>
      <c r="B3339" s="29" t="n"/>
      <c r="K3339" s="30" t="str">
        <f>IF($A3339="","",EDATE($A3339,12*$E$4))</f>
        <v/>
      </c>
      <c r="L3339" s="19" t="str">
        <f>IF($K3339="","",IF($K3339&gt;MAX($A$8:$A$5007),"",IFERROR(MATCH($K3339,$A$8:$A$5007,1),"")))</f>
        <v/>
      </c>
      <c r="M3339" s="30" t="str">
        <f>IF($L3339="","",INDEX($A$8:$A$5007,$L3339))</f>
        <v/>
      </c>
      <c r="N3339" s="31" t="str">
        <f>IF($L3339="","",INDEX($B$8:$B$5007,$L3339))</f>
        <v/>
      </c>
      <c r="O3339" s="32" t="str">
        <f>IF($M3339="","",IF($K3339-$M3339&gt;7,"",IF($M3339&lt;=$A3339,"",IF(OR($B3339&lt;=0,$N3339&lt;=0),"",($N3339/$B3339)^(365/($M3339-$A3339))-1))))</f>
        <v/>
      </c>
      <c r="P3339" s="31" t="str">
        <f>IF($B3339="","",IF($P3338="",$B3339,MAX($P3338,$B3339)))</f>
        <v/>
      </c>
      <c r="Q3339" s="32" t="str">
        <f>IF($P3339="","",$B3339/$P3339-1)</f>
        <v/>
      </c>
    </row>
    <row r="3340">
      <c r="A3340" s="11" t="n"/>
      <c r="B3340" s="29" t="n"/>
      <c r="K3340" s="30" t="str">
        <f>IF($A3340="","",EDATE($A3340,12*$E$4))</f>
        <v/>
      </c>
      <c r="L3340" s="19" t="str">
        <f>IF($K3340="","",IF($K3340&gt;MAX($A$8:$A$5007),"",IFERROR(MATCH($K3340,$A$8:$A$5007,1),"")))</f>
        <v/>
      </c>
      <c r="M3340" s="30" t="str">
        <f>IF($L3340="","",INDEX($A$8:$A$5007,$L3340))</f>
        <v/>
      </c>
      <c r="N3340" s="31" t="str">
        <f>IF($L3340="","",INDEX($B$8:$B$5007,$L3340))</f>
        <v/>
      </c>
      <c r="O3340" s="32" t="str">
        <f>IF($M3340="","",IF($K3340-$M3340&gt;7,"",IF($M3340&lt;=$A3340,"",IF(OR($B3340&lt;=0,$N3340&lt;=0),"",($N3340/$B3340)^(365/($M3340-$A3340))-1))))</f>
        <v/>
      </c>
      <c r="P3340" s="31" t="str">
        <f>IF($B3340="","",IF($P3339="",$B3340,MAX($P3339,$B3340)))</f>
        <v/>
      </c>
      <c r="Q3340" s="32" t="str">
        <f>IF($P3340="","",$B3340/$P3340-1)</f>
        <v/>
      </c>
    </row>
    <row r="3341">
      <c r="A3341" s="11" t="n"/>
      <c r="B3341" s="29" t="n"/>
      <c r="K3341" s="30" t="str">
        <f>IF($A3341="","",EDATE($A3341,12*$E$4))</f>
        <v/>
      </c>
      <c r="L3341" s="19" t="str">
        <f>IF($K3341="","",IF($K3341&gt;MAX($A$8:$A$5007),"",IFERROR(MATCH($K3341,$A$8:$A$5007,1),"")))</f>
        <v/>
      </c>
      <c r="M3341" s="30" t="str">
        <f>IF($L3341="","",INDEX($A$8:$A$5007,$L3341))</f>
        <v/>
      </c>
      <c r="N3341" s="31" t="str">
        <f>IF($L3341="","",INDEX($B$8:$B$5007,$L3341))</f>
        <v/>
      </c>
      <c r="O3341" s="32" t="str">
        <f>IF($M3341="","",IF($K3341-$M3341&gt;7,"",IF($M3341&lt;=$A3341,"",IF(OR($B3341&lt;=0,$N3341&lt;=0),"",($N3341/$B3341)^(365/($M3341-$A3341))-1))))</f>
        <v/>
      </c>
      <c r="P3341" s="31" t="str">
        <f>IF($B3341="","",IF($P3340="",$B3341,MAX($P3340,$B3341)))</f>
        <v/>
      </c>
      <c r="Q3341" s="32" t="str">
        <f>IF($P3341="","",$B3341/$P3341-1)</f>
        <v/>
      </c>
    </row>
    <row r="3342">
      <c r="A3342" s="11" t="n"/>
      <c r="B3342" s="29" t="n"/>
      <c r="K3342" s="30" t="str">
        <f>IF($A3342="","",EDATE($A3342,12*$E$4))</f>
        <v/>
      </c>
      <c r="L3342" s="19" t="str">
        <f>IF($K3342="","",IF($K3342&gt;MAX($A$8:$A$5007),"",IFERROR(MATCH($K3342,$A$8:$A$5007,1),"")))</f>
        <v/>
      </c>
      <c r="M3342" s="30" t="str">
        <f>IF($L3342="","",INDEX($A$8:$A$5007,$L3342))</f>
        <v/>
      </c>
      <c r="N3342" s="31" t="str">
        <f>IF($L3342="","",INDEX($B$8:$B$5007,$L3342))</f>
        <v/>
      </c>
      <c r="O3342" s="32" t="str">
        <f>IF($M3342="","",IF($K3342-$M3342&gt;7,"",IF($M3342&lt;=$A3342,"",IF(OR($B3342&lt;=0,$N3342&lt;=0),"",($N3342/$B3342)^(365/($M3342-$A3342))-1))))</f>
        <v/>
      </c>
      <c r="P3342" s="31" t="str">
        <f>IF($B3342="","",IF($P3341="",$B3342,MAX($P3341,$B3342)))</f>
        <v/>
      </c>
      <c r="Q3342" s="32" t="str">
        <f>IF($P3342="","",$B3342/$P3342-1)</f>
        <v/>
      </c>
    </row>
    <row r="3343">
      <c r="A3343" s="11" t="n"/>
      <c r="B3343" s="29" t="n"/>
      <c r="K3343" s="30" t="str">
        <f>IF($A3343="","",EDATE($A3343,12*$E$4))</f>
        <v/>
      </c>
      <c r="L3343" s="19" t="str">
        <f>IF($K3343="","",IF($K3343&gt;MAX($A$8:$A$5007),"",IFERROR(MATCH($K3343,$A$8:$A$5007,1),"")))</f>
        <v/>
      </c>
      <c r="M3343" s="30" t="str">
        <f>IF($L3343="","",INDEX($A$8:$A$5007,$L3343))</f>
        <v/>
      </c>
      <c r="N3343" s="31" t="str">
        <f>IF($L3343="","",INDEX($B$8:$B$5007,$L3343))</f>
        <v/>
      </c>
      <c r="O3343" s="32" t="str">
        <f>IF($M3343="","",IF($K3343-$M3343&gt;7,"",IF($M3343&lt;=$A3343,"",IF(OR($B3343&lt;=0,$N3343&lt;=0),"",($N3343/$B3343)^(365/($M3343-$A3343))-1))))</f>
        <v/>
      </c>
      <c r="P3343" s="31" t="str">
        <f>IF($B3343="","",IF($P3342="",$B3343,MAX($P3342,$B3343)))</f>
        <v/>
      </c>
      <c r="Q3343" s="32" t="str">
        <f>IF($P3343="","",$B3343/$P3343-1)</f>
        <v/>
      </c>
    </row>
    <row r="3344">
      <c r="A3344" s="11" t="n"/>
      <c r="B3344" s="29" t="n"/>
      <c r="K3344" s="30" t="str">
        <f>IF($A3344="","",EDATE($A3344,12*$E$4))</f>
        <v/>
      </c>
      <c r="L3344" s="19" t="str">
        <f>IF($K3344="","",IF($K3344&gt;MAX($A$8:$A$5007),"",IFERROR(MATCH($K3344,$A$8:$A$5007,1),"")))</f>
        <v/>
      </c>
      <c r="M3344" s="30" t="str">
        <f>IF($L3344="","",INDEX($A$8:$A$5007,$L3344))</f>
        <v/>
      </c>
      <c r="N3344" s="31" t="str">
        <f>IF($L3344="","",INDEX($B$8:$B$5007,$L3344))</f>
        <v/>
      </c>
      <c r="O3344" s="32" t="str">
        <f>IF($M3344="","",IF($K3344-$M3344&gt;7,"",IF($M3344&lt;=$A3344,"",IF(OR($B3344&lt;=0,$N3344&lt;=0),"",($N3344/$B3344)^(365/($M3344-$A3344))-1))))</f>
        <v/>
      </c>
      <c r="P3344" s="31" t="str">
        <f>IF($B3344="","",IF($P3343="",$B3344,MAX($P3343,$B3344)))</f>
        <v/>
      </c>
      <c r="Q3344" s="32" t="str">
        <f>IF($P3344="","",$B3344/$P3344-1)</f>
        <v/>
      </c>
    </row>
    <row r="3345">
      <c r="A3345" s="11" t="n"/>
      <c r="B3345" s="29" t="n"/>
      <c r="K3345" s="30" t="str">
        <f>IF($A3345="","",EDATE($A3345,12*$E$4))</f>
        <v/>
      </c>
      <c r="L3345" s="19" t="str">
        <f>IF($K3345="","",IF($K3345&gt;MAX($A$8:$A$5007),"",IFERROR(MATCH($K3345,$A$8:$A$5007,1),"")))</f>
        <v/>
      </c>
      <c r="M3345" s="30" t="str">
        <f>IF($L3345="","",INDEX($A$8:$A$5007,$L3345))</f>
        <v/>
      </c>
      <c r="N3345" s="31" t="str">
        <f>IF($L3345="","",INDEX($B$8:$B$5007,$L3345))</f>
        <v/>
      </c>
      <c r="O3345" s="32" t="str">
        <f>IF($M3345="","",IF($K3345-$M3345&gt;7,"",IF($M3345&lt;=$A3345,"",IF(OR($B3345&lt;=0,$N3345&lt;=0),"",($N3345/$B3345)^(365/($M3345-$A3345))-1))))</f>
        <v/>
      </c>
      <c r="P3345" s="31" t="str">
        <f>IF($B3345="","",IF($P3344="",$B3345,MAX($P3344,$B3345)))</f>
        <v/>
      </c>
      <c r="Q3345" s="32" t="str">
        <f>IF($P3345="","",$B3345/$P3345-1)</f>
        <v/>
      </c>
    </row>
    <row r="3346">
      <c r="A3346" s="11" t="n"/>
      <c r="B3346" s="29" t="n"/>
      <c r="K3346" s="30" t="str">
        <f>IF($A3346="","",EDATE($A3346,12*$E$4))</f>
        <v/>
      </c>
      <c r="L3346" s="19" t="str">
        <f>IF($K3346="","",IF($K3346&gt;MAX($A$8:$A$5007),"",IFERROR(MATCH($K3346,$A$8:$A$5007,1),"")))</f>
        <v/>
      </c>
      <c r="M3346" s="30" t="str">
        <f>IF($L3346="","",INDEX($A$8:$A$5007,$L3346))</f>
        <v/>
      </c>
      <c r="N3346" s="31" t="str">
        <f>IF($L3346="","",INDEX($B$8:$B$5007,$L3346))</f>
        <v/>
      </c>
      <c r="O3346" s="32" t="str">
        <f>IF($M3346="","",IF($K3346-$M3346&gt;7,"",IF($M3346&lt;=$A3346,"",IF(OR($B3346&lt;=0,$N3346&lt;=0),"",($N3346/$B3346)^(365/($M3346-$A3346))-1))))</f>
        <v/>
      </c>
      <c r="P3346" s="31" t="str">
        <f>IF($B3346="","",IF($P3345="",$B3346,MAX($P3345,$B3346)))</f>
        <v/>
      </c>
      <c r="Q3346" s="32" t="str">
        <f>IF($P3346="","",$B3346/$P3346-1)</f>
        <v/>
      </c>
    </row>
    <row r="3347">
      <c r="A3347" s="11" t="n"/>
      <c r="B3347" s="29" t="n"/>
      <c r="K3347" s="30" t="str">
        <f>IF($A3347="","",EDATE($A3347,12*$E$4))</f>
        <v/>
      </c>
      <c r="L3347" s="19" t="str">
        <f>IF($K3347="","",IF($K3347&gt;MAX($A$8:$A$5007),"",IFERROR(MATCH($K3347,$A$8:$A$5007,1),"")))</f>
        <v/>
      </c>
      <c r="M3347" s="30" t="str">
        <f>IF($L3347="","",INDEX($A$8:$A$5007,$L3347))</f>
        <v/>
      </c>
      <c r="N3347" s="31" t="str">
        <f>IF($L3347="","",INDEX($B$8:$B$5007,$L3347))</f>
        <v/>
      </c>
      <c r="O3347" s="32" t="str">
        <f>IF($M3347="","",IF($K3347-$M3347&gt;7,"",IF($M3347&lt;=$A3347,"",IF(OR($B3347&lt;=0,$N3347&lt;=0),"",($N3347/$B3347)^(365/($M3347-$A3347))-1))))</f>
        <v/>
      </c>
      <c r="P3347" s="31" t="str">
        <f>IF($B3347="","",IF($P3346="",$B3347,MAX($P3346,$B3347)))</f>
        <v/>
      </c>
      <c r="Q3347" s="32" t="str">
        <f>IF($P3347="","",$B3347/$P3347-1)</f>
        <v/>
      </c>
    </row>
    <row r="3348">
      <c r="A3348" s="11" t="n"/>
      <c r="B3348" s="29" t="n"/>
      <c r="K3348" s="30" t="str">
        <f>IF($A3348="","",EDATE($A3348,12*$E$4))</f>
        <v/>
      </c>
      <c r="L3348" s="19" t="str">
        <f>IF($K3348="","",IF($K3348&gt;MAX($A$8:$A$5007),"",IFERROR(MATCH($K3348,$A$8:$A$5007,1),"")))</f>
        <v/>
      </c>
      <c r="M3348" s="30" t="str">
        <f>IF($L3348="","",INDEX($A$8:$A$5007,$L3348))</f>
        <v/>
      </c>
      <c r="N3348" s="31" t="str">
        <f>IF($L3348="","",INDEX($B$8:$B$5007,$L3348))</f>
        <v/>
      </c>
      <c r="O3348" s="32" t="str">
        <f>IF($M3348="","",IF($K3348-$M3348&gt;7,"",IF($M3348&lt;=$A3348,"",IF(OR($B3348&lt;=0,$N3348&lt;=0),"",($N3348/$B3348)^(365/($M3348-$A3348))-1))))</f>
        <v/>
      </c>
      <c r="P3348" s="31" t="str">
        <f>IF($B3348="","",IF($P3347="",$B3348,MAX($P3347,$B3348)))</f>
        <v/>
      </c>
      <c r="Q3348" s="32" t="str">
        <f>IF($P3348="","",$B3348/$P3348-1)</f>
        <v/>
      </c>
    </row>
    <row r="3349">
      <c r="A3349" s="11" t="n"/>
      <c r="B3349" s="29" t="n"/>
      <c r="K3349" s="30" t="str">
        <f>IF($A3349="","",EDATE($A3349,12*$E$4))</f>
        <v/>
      </c>
      <c r="L3349" s="19" t="str">
        <f>IF($K3349="","",IF($K3349&gt;MAX($A$8:$A$5007),"",IFERROR(MATCH($K3349,$A$8:$A$5007,1),"")))</f>
        <v/>
      </c>
      <c r="M3349" s="30" t="str">
        <f>IF($L3349="","",INDEX($A$8:$A$5007,$L3349))</f>
        <v/>
      </c>
      <c r="N3349" s="31" t="str">
        <f>IF($L3349="","",INDEX($B$8:$B$5007,$L3349))</f>
        <v/>
      </c>
      <c r="O3349" s="32" t="str">
        <f>IF($M3349="","",IF($K3349-$M3349&gt;7,"",IF($M3349&lt;=$A3349,"",IF(OR($B3349&lt;=0,$N3349&lt;=0),"",($N3349/$B3349)^(365/($M3349-$A3349))-1))))</f>
        <v/>
      </c>
      <c r="P3349" s="31" t="str">
        <f>IF($B3349="","",IF($P3348="",$B3349,MAX($P3348,$B3349)))</f>
        <v/>
      </c>
      <c r="Q3349" s="32" t="str">
        <f>IF($P3349="","",$B3349/$P3349-1)</f>
        <v/>
      </c>
    </row>
    <row r="3350">
      <c r="A3350" s="11" t="n"/>
      <c r="B3350" s="29" t="n"/>
      <c r="K3350" s="30" t="str">
        <f>IF($A3350="","",EDATE($A3350,12*$E$4))</f>
        <v/>
      </c>
      <c r="L3350" s="19" t="str">
        <f>IF($K3350="","",IF($K3350&gt;MAX($A$8:$A$5007),"",IFERROR(MATCH($K3350,$A$8:$A$5007,1),"")))</f>
        <v/>
      </c>
      <c r="M3350" s="30" t="str">
        <f>IF($L3350="","",INDEX($A$8:$A$5007,$L3350))</f>
        <v/>
      </c>
      <c r="N3350" s="31" t="str">
        <f>IF($L3350="","",INDEX($B$8:$B$5007,$L3350))</f>
        <v/>
      </c>
      <c r="O3350" s="32" t="str">
        <f>IF($M3350="","",IF($K3350-$M3350&gt;7,"",IF($M3350&lt;=$A3350,"",IF(OR($B3350&lt;=0,$N3350&lt;=0),"",($N3350/$B3350)^(365/($M3350-$A3350))-1))))</f>
        <v/>
      </c>
      <c r="P3350" s="31" t="str">
        <f>IF($B3350="","",IF($P3349="",$B3350,MAX($P3349,$B3350)))</f>
        <v/>
      </c>
      <c r="Q3350" s="32" t="str">
        <f>IF($P3350="","",$B3350/$P3350-1)</f>
        <v/>
      </c>
    </row>
    <row r="3351">
      <c r="A3351" s="11" t="n"/>
      <c r="B3351" s="29" t="n"/>
      <c r="K3351" s="30" t="str">
        <f>IF($A3351="","",EDATE($A3351,12*$E$4))</f>
        <v/>
      </c>
      <c r="L3351" s="19" t="str">
        <f>IF($K3351="","",IF($K3351&gt;MAX($A$8:$A$5007),"",IFERROR(MATCH($K3351,$A$8:$A$5007,1),"")))</f>
        <v/>
      </c>
      <c r="M3351" s="30" t="str">
        <f>IF($L3351="","",INDEX($A$8:$A$5007,$L3351))</f>
        <v/>
      </c>
      <c r="N3351" s="31" t="str">
        <f>IF($L3351="","",INDEX($B$8:$B$5007,$L3351))</f>
        <v/>
      </c>
      <c r="O3351" s="32" t="str">
        <f>IF($M3351="","",IF($K3351-$M3351&gt;7,"",IF($M3351&lt;=$A3351,"",IF(OR($B3351&lt;=0,$N3351&lt;=0),"",($N3351/$B3351)^(365/($M3351-$A3351))-1))))</f>
        <v/>
      </c>
      <c r="P3351" s="31" t="str">
        <f>IF($B3351="","",IF($P3350="",$B3351,MAX($P3350,$B3351)))</f>
        <v/>
      </c>
      <c r="Q3351" s="32" t="str">
        <f>IF($P3351="","",$B3351/$P3351-1)</f>
        <v/>
      </c>
    </row>
    <row r="3352">
      <c r="A3352" s="11" t="n"/>
      <c r="B3352" s="29" t="n"/>
      <c r="K3352" s="30" t="str">
        <f>IF($A3352="","",EDATE($A3352,12*$E$4))</f>
        <v/>
      </c>
      <c r="L3352" s="19" t="str">
        <f>IF($K3352="","",IF($K3352&gt;MAX($A$8:$A$5007),"",IFERROR(MATCH($K3352,$A$8:$A$5007,1),"")))</f>
        <v/>
      </c>
      <c r="M3352" s="30" t="str">
        <f>IF($L3352="","",INDEX($A$8:$A$5007,$L3352))</f>
        <v/>
      </c>
      <c r="N3352" s="31" t="str">
        <f>IF($L3352="","",INDEX($B$8:$B$5007,$L3352))</f>
        <v/>
      </c>
      <c r="O3352" s="32" t="str">
        <f>IF($M3352="","",IF($K3352-$M3352&gt;7,"",IF($M3352&lt;=$A3352,"",IF(OR($B3352&lt;=0,$N3352&lt;=0),"",($N3352/$B3352)^(365/($M3352-$A3352))-1))))</f>
        <v/>
      </c>
      <c r="P3352" s="31" t="str">
        <f>IF($B3352="","",IF($P3351="",$B3352,MAX($P3351,$B3352)))</f>
        <v/>
      </c>
      <c r="Q3352" s="32" t="str">
        <f>IF($P3352="","",$B3352/$P3352-1)</f>
        <v/>
      </c>
    </row>
    <row r="3353">
      <c r="A3353" s="11" t="n"/>
      <c r="B3353" s="29" t="n"/>
      <c r="K3353" s="30" t="str">
        <f>IF($A3353="","",EDATE($A3353,12*$E$4))</f>
        <v/>
      </c>
      <c r="L3353" s="19" t="str">
        <f>IF($K3353="","",IF($K3353&gt;MAX($A$8:$A$5007),"",IFERROR(MATCH($K3353,$A$8:$A$5007,1),"")))</f>
        <v/>
      </c>
      <c r="M3353" s="30" t="str">
        <f>IF($L3353="","",INDEX($A$8:$A$5007,$L3353))</f>
        <v/>
      </c>
      <c r="N3353" s="31" t="str">
        <f>IF($L3353="","",INDEX($B$8:$B$5007,$L3353))</f>
        <v/>
      </c>
      <c r="O3353" s="32" t="str">
        <f>IF($M3353="","",IF($K3353-$M3353&gt;7,"",IF($M3353&lt;=$A3353,"",IF(OR($B3353&lt;=0,$N3353&lt;=0),"",($N3353/$B3353)^(365/($M3353-$A3353))-1))))</f>
        <v/>
      </c>
      <c r="P3353" s="31" t="str">
        <f>IF($B3353="","",IF($P3352="",$B3353,MAX($P3352,$B3353)))</f>
        <v/>
      </c>
      <c r="Q3353" s="32" t="str">
        <f>IF($P3353="","",$B3353/$P3353-1)</f>
        <v/>
      </c>
    </row>
    <row r="3354">
      <c r="A3354" s="11" t="n"/>
      <c r="B3354" s="29" t="n"/>
      <c r="K3354" s="30" t="str">
        <f>IF($A3354="","",EDATE($A3354,12*$E$4))</f>
        <v/>
      </c>
      <c r="L3354" s="19" t="str">
        <f>IF($K3354="","",IF($K3354&gt;MAX($A$8:$A$5007),"",IFERROR(MATCH($K3354,$A$8:$A$5007,1),"")))</f>
        <v/>
      </c>
      <c r="M3354" s="30" t="str">
        <f>IF($L3354="","",INDEX($A$8:$A$5007,$L3354))</f>
        <v/>
      </c>
      <c r="N3354" s="31" t="str">
        <f>IF($L3354="","",INDEX($B$8:$B$5007,$L3354))</f>
        <v/>
      </c>
      <c r="O3354" s="32" t="str">
        <f>IF($M3354="","",IF($K3354-$M3354&gt;7,"",IF($M3354&lt;=$A3354,"",IF(OR($B3354&lt;=0,$N3354&lt;=0),"",($N3354/$B3354)^(365/($M3354-$A3354))-1))))</f>
        <v/>
      </c>
      <c r="P3354" s="31" t="str">
        <f>IF($B3354="","",IF($P3353="",$B3354,MAX($P3353,$B3354)))</f>
        <v/>
      </c>
      <c r="Q3354" s="32" t="str">
        <f>IF($P3354="","",$B3354/$P3354-1)</f>
        <v/>
      </c>
    </row>
    <row r="3355">
      <c r="A3355" s="11" t="n"/>
      <c r="B3355" s="29" t="n"/>
      <c r="K3355" s="30" t="str">
        <f>IF($A3355="","",EDATE($A3355,12*$E$4))</f>
        <v/>
      </c>
      <c r="L3355" s="19" t="str">
        <f>IF($K3355="","",IF($K3355&gt;MAX($A$8:$A$5007),"",IFERROR(MATCH($K3355,$A$8:$A$5007,1),"")))</f>
        <v/>
      </c>
      <c r="M3355" s="30" t="str">
        <f>IF($L3355="","",INDEX($A$8:$A$5007,$L3355))</f>
        <v/>
      </c>
      <c r="N3355" s="31" t="str">
        <f>IF($L3355="","",INDEX($B$8:$B$5007,$L3355))</f>
        <v/>
      </c>
      <c r="O3355" s="32" t="str">
        <f>IF($M3355="","",IF($K3355-$M3355&gt;7,"",IF($M3355&lt;=$A3355,"",IF(OR($B3355&lt;=0,$N3355&lt;=0),"",($N3355/$B3355)^(365/($M3355-$A3355))-1))))</f>
        <v/>
      </c>
      <c r="P3355" s="31" t="str">
        <f>IF($B3355="","",IF($P3354="",$B3355,MAX($P3354,$B3355)))</f>
        <v/>
      </c>
      <c r="Q3355" s="32" t="str">
        <f>IF($P3355="","",$B3355/$P3355-1)</f>
        <v/>
      </c>
    </row>
    <row r="3356">
      <c r="A3356" s="11" t="n"/>
      <c r="B3356" s="29" t="n"/>
      <c r="K3356" s="30" t="str">
        <f>IF($A3356="","",EDATE($A3356,12*$E$4))</f>
        <v/>
      </c>
      <c r="L3356" s="19" t="str">
        <f>IF($K3356="","",IF($K3356&gt;MAX($A$8:$A$5007),"",IFERROR(MATCH($K3356,$A$8:$A$5007,1),"")))</f>
        <v/>
      </c>
      <c r="M3356" s="30" t="str">
        <f>IF($L3356="","",INDEX($A$8:$A$5007,$L3356))</f>
        <v/>
      </c>
      <c r="N3356" s="31" t="str">
        <f>IF($L3356="","",INDEX($B$8:$B$5007,$L3356))</f>
        <v/>
      </c>
      <c r="O3356" s="32" t="str">
        <f>IF($M3356="","",IF($K3356-$M3356&gt;7,"",IF($M3356&lt;=$A3356,"",IF(OR($B3356&lt;=0,$N3356&lt;=0),"",($N3356/$B3356)^(365/($M3356-$A3356))-1))))</f>
        <v/>
      </c>
      <c r="P3356" s="31" t="str">
        <f>IF($B3356="","",IF($P3355="",$B3356,MAX($P3355,$B3356)))</f>
        <v/>
      </c>
      <c r="Q3356" s="32" t="str">
        <f>IF($P3356="","",$B3356/$P3356-1)</f>
        <v/>
      </c>
    </row>
    <row r="3357">
      <c r="A3357" s="11" t="n"/>
      <c r="B3357" s="29" t="n"/>
      <c r="K3357" s="30" t="str">
        <f>IF($A3357="","",EDATE($A3357,12*$E$4))</f>
        <v/>
      </c>
      <c r="L3357" s="19" t="str">
        <f>IF($K3357="","",IF($K3357&gt;MAX($A$8:$A$5007),"",IFERROR(MATCH($K3357,$A$8:$A$5007,1),"")))</f>
        <v/>
      </c>
      <c r="M3357" s="30" t="str">
        <f>IF($L3357="","",INDEX($A$8:$A$5007,$L3357))</f>
        <v/>
      </c>
      <c r="N3357" s="31" t="str">
        <f>IF($L3357="","",INDEX($B$8:$B$5007,$L3357))</f>
        <v/>
      </c>
      <c r="O3357" s="32" t="str">
        <f>IF($M3357="","",IF($K3357-$M3357&gt;7,"",IF($M3357&lt;=$A3357,"",IF(OR($B3357&lt;=0,$N3357&lt;=0),"",($N3357/$B3357)^(365/($M3357-$A3357))-1))))</f>
        <v/>
      </c>
      <c r="P3357" s="31" t="str">
        <f>IF($B3357="","",IF($P3356="",$B3357,MAX($P3356,$B3357)))</f>
        <v/>
      </c>
      <c r="Q3357" s="32" t="str">
        <f>IF($P3357="","",$B3357/$P3357-1)</f>
        <v/>
      </c>
    </row>
    <row r="3358">
      <c r="A3358" s="11" t="n"/>
      <c r="B3358" s="29" t="n"/>
      <c r="K3358" s="30" t="str">
        <f>IF($A3358="","",EDATE($A3358,12*$E$4))</f>
        <v/>
      </c>
      <c r="L3358" s="19" t="str">
        <f>IF($K3358="","",IF($K3358&gt;MAX($A$8:$A$5007),"",IFERROR(MATCH($K3358,$A$8:$A$5007,1),"")))</f>
        <v/>
      </c>
      <c r="M3358" s="30" t="str">
        <f>IF($L3358="","",INDEX($A$8:$A$5007,$L3358))</f>
        <v/>
      </c>
      <c r="N3358" s="31" t="str">
        <f>IF($L3358="","",INDEX($B$8:$B$5007,$L3358))</f>
        <v/>
      </c>
      <c r="O3358" s="32" t="str">
        <f>IF($M3358="","",IF($K3358-$M3358&gt;7,"",IF($M3358&lt;=$A3358,"",IF(OR($B3358&lt;=0,$N3358&lt;=0),"",($N3358/$B3358)^(365/($M3358-$A3358))-1))))</f>
        <v/>
      </c>
      <c r="P3358" s="31" t="str">
        <f>IF($B3358="","",IF($P3357="",$B3358,MAX($P3357,$B3358)))</f>
        <v/>
      </c>
      <c r="Q3358" s="32" t="str">
        <f>IF($P3358="","",$B3358/$P3358-1)</f>
        <v/>
      </c>
    </row>
    <row r="3359">
      <c r="A3359" s="11" t="n"/>
      <c r="B3359" s="29" t="n"/>
      <c r="K3359" s="30" t="str">
        <f>IF($A3359="","",EDATE($A3359,12*$E$4))</f>
        <v/>
      </c>
      <c r="L3359" s="19" t="str">
        <f>IF($K3359="","",IF($K3359&gt;MAX($A$8:$A$5007),"",IFERROR(MATCH($K3359,$A$8:$A$5007,1),"")))</f>
        <v/>
      </c>
      <c r="M3359" s="30" t="str">
        <f>IF($L3359="","",INDEX($A$8:$A$5007,$L3359))</f>
        <v/>
      </c>
      <c r="N3359" s="31" t="str">
        <f>IF($L3359="","",INDEX($B$8:$B$5007,$L3359))</f>
        <v/>
      </c>
      <c r="O3359" s="32" t="str">
        <f>IF($M3359="","",IF($K3359-$M3359&gt;7,"",IF($M3359&lt;=$A3359,"",IF(OR($B3359&lt;=0,$N3359&lt;=0),"",($N3359/$B3359)^(365/($M3359-$A3359))-1))))</f>
        <v/>
      </c>
      <c r="P3359" s="31" t="str">
        <f>IF($B3359="","",IF($P3358="",$B3359,MAX($P3358,$B3359)))</f>
        <v/>
      </c>
      <c r="Q3359" s="32" t="str">
        <f>IF($P3359="","",$B3359/$P3359-1)</f>
        <v/>
      </c>
    </row>
    <row r="3360">
      <c r="A3360" s="11" t="n"/>
      <c r="B3360" s="29" t="n"/>
      <c r="K3360" s="30" t="str">
        <f>IF($A3360="","",EDATE($A3360,12*$E$4))</f>
        <v/>
      </c>
      <c r="L3360" s="19" t="str">
        <f>IF($K3360="","",IF($K3360&gt;MAX($A$8:$A$5007),"",IFERROR(MATCH($K3360,$A$8:$A$5007,1),"")))</f>
        <v/>
      </c>
      <c r="M3360" s="30" t="str">
        <f>IF($L3360="","",INDEX($A$8:$A$5007,$L3360))</f>
        <v/>
      </c>
      <c r="N3360" s="31" t="str">
        <f>IF($L3360="","",INDEX($B$8:$B$5007,$L3360))</f>
        <v/>
      </c>
      <c r="O3360" s="32" t="str">
        <f>IF($M3360="","",IF($K3360-$M3360&gt;7,"",IF($M3360&lt;=$A3360,"",IF(OR($B3360&lt;=0,$N3360&lt;=0),"",($N3360/$B3360)^(365/($M3360-$A3360))-1))))</f>
        <v/>
      </c>
      <c r="P3360" s="31" t="str">
        <f>IF($B3360="","",IF($P3359="",$B3360,MAX($P3359,$B3360)))</f>
        <v/>
      </c>
      <c r="Q3360" s="32" t="str">
        <f>IF($P3360="","",$B3360/$P3360-1)</f>
        <v/>
      </c>
    </row>
    <row r="3361">
      <c r="A3361" s="11" t="n"/>
      <c r="B3361" s="29" t="n"/>
      <c r="K3361" s="30" t="str">
        <f>IF($A3361="","",EDATE($A3361,12*$E$4))</f>
        <v/>
      </c>
      <c r="L3361" s="19" t="str">
        <f>IF($K3361="","",IF($K3361&gt;MAX($A$8:$A$5007),"",IFERROR(MATCH($K3361,$A$8:$A$5007,1),"")))</f>
        <v/>
      </c>
      <c r="M3361" s="30" t="str">
        <f>IF($L3361="","",INDEX($A$8:$A$5007,$L3361))</f>
        <v/>
      </c>
      <c r="N3361" s="31" t="str">
        <f>IF($L3361="","",INDEX($B$8:$B$5007,$L3361))</f>
        <v/>
      </c>
      <c r="O3361" s="32" t="str">
        <f>IF($M3361="","",IF($K3361-$M3361&gt;7,"",IF($M3361&lt;=$A3361,"",IF(OR($B3361&lt;=0,$N3361&lt;=0),"",($N3361/$B3361)^(365/($M3361-$A3361))-1))))</f>
        <v/>
      </c>
      <c r="P3361" s="31" t="str">
        <f>IF($B3361="","",IF($P3360="",$B3361,MAX($P3360,$B3361)))</f>
        <v/>
      </c>
      <c r="Q3361" s="32" t="str">
        <f>IF($P3361="","",$B3361/$P3361-1)</f>
        <v/>
      </c>
    </row>
    <row r="3362">
      <c r="A3362" s="11" t="n"/>
      <c r="B3362" s="29" t="n"/>
      <c r="K3362" s="30" t="str">
        <f>IF($A3362="","",EDATE($A3362,12*$E$4))</f>
        <v/>
      </c>
      <c r="L3362" s="19" t="str">
        <f>IF($K3362="","",IF($K3362&gt;MAX($A$8:$A$5007),"",IFERROR(MATCH($K3362,$A$8:$A$5007,1),"")))</f>
        <v/>
      </c>
      <c r="M3362" s="30" t="str">
        <f>IF($L3362="","",INDEX($A$8:$A$5007,$L3362))</f>
        <v/>
      </c>
      <c r="N3362" s="31" t="str">
        <f>IF($L3362="","",INDEX($B$8:$B$5007,$L3362))</f>
        <v/>
      </c>
      <c r="O3362" s="32" t="str">
        <f>IF($M3362="","",IF($K3362-$M3362&gt;7,"",IF($M3362&lt;=$A3362,"",IF(OR($B3362&lt;=0,$N3362&lt;=0),"",($N3362/$B3362)^(365/($M3362-$A3362))-1))))</f>
        <v/>
      </c>
      <c r="P3362" s="31" t="str">
        <f>IF($B3362="","",IF($P3361="",$B3362,MAX($P3361,$B3362)))</f>
        <v/>
      </c>
      <c r="Q3362" s="32" t="str">
        <f>IF($P3362="","",$B3362/$P3362-1)</f>
        <v/>
      </c>
    </row>
    <row r="3363">
      <c r="A3363" s="11" t="n"/>
      <c r="B3363" s="29" t="n"/>
      <c r="K3363" s="30" t="str">
        <f>IF($A3363="","",EDATE($A3363,12*$E$4))</f>
        <v/>
      </c>
      <c r="L3363" s="19" t="str">
        <f>IF($K3363="","",IF($K3363&gt;MAX($A$8:$A$5007),"",IFERROR(MATCH($K3363,$A$8:$A$5007,1),"")))</f>
        <v/>
      </c>
      <c r="M3363" s="30" t="str">
        <f>IF($L3363="","",INDEX($A$8:$A$5007,$L3363))</f>
        <v/>
      </c>
      <c r="N3363" s="31" t="str">
        <f>IF($L3363="","",INDEX($B$8:$B$5007,$L3363))</f>
        <v/>
      </c>
      <c r="O3363" s="32" t="str">
        <f>IF($M3363="","",IF($K3363-$M3363&gt;7,"",IF($M3363&lt;=$A3363,"",IF(OR($B3363&lt;=0,$N3363&lt;=0),"",($N3363/$B3363)^(365/($M3363-$A3363))-1))))</f>
        <v/>
      </c>
      <c r="P3363" s="31" t="str">
        <f>IF($B3363="","",IF($P3362="",$B3363,MAX($P3362,$B3363)))</f>
        <v/>
      </c>
      <c r="Q3363" s="32" t="str">
        <f>IF($P3363="","",$B3363/$P3363-1)</f>
        <v/>
      </c>
    </row>
    <row r="3364">
      <c r="A3364" s="11" t="n"/>
      <c r="B3364" s="29" t="n"/>
      <c r="K3364" s="30" t="str">
        <f>IF($A3364="","",EDATE($A3364,12*$E$4))</f>
        <v/>
      </c>
      <c r="L3364" s="19" t="str">
        <f>IF($K3364="","",IF($K3364&gt;MAX($A$8:$A$5007),"",IFERROR(MATCH($K3364,$A$8:$A$5007,1),"")))</f>
        <v/>
      </c>
      <c r="M3364" s="30" t="str">
        <f>IF($L3364="","",INDEX($A$8:$A$5007,$L3364))</f>
        <v/>
      </c>
      <c r="N3364" s="31" t="str">
        <f>IF($L3364="","",INDEX($B$8:$B$5007,$L3364))</f>
        <v/>
      </c>
      <c r="O3364" s="32" t="str">
        <f>IF($M3364="","",IF($K3364-$M3364&gt;7,"",IF($M3364&lt;=$A3364,"",IF(OR($B3364&lt;=0,$N3364&lt;=0),"",($N3364/$B3364)^(365/($M3364-$A3364))-1))))</f>
        <v/>
      </c>
      <c r="P3364" s="31" t="str">
        <f>IF($B3364="","",IF($P3363="",$B3364,MAX($P3363,$B3364)))</f>
        <v/>
      </c>
      <c r="Q3364" s="32" t="str">
        <f>IF($P3364="","",$B3364/$P3364-1)</f>
        <v/>
      </c>
    </row>
    <row r="3365">
      <c r="A3365" s="11" t="n"/>
      <c r="B3365" s="29" t="n"/>
      <c r="K3365" s="30" t="str">
        <f>IF($A3365="","",EDATE($A3365,12*$E$4))</f>
        <v/>
      </c>
      <c r="L3365" s="19" t="str">
        <f>IF($K3365="","",IF($K3365&gt;MAX($A$8:$A$5007),"",IFERROR(MATCH($K3365,$A$8:$A$5007,1),"")))</f>
        <v/>
      </c>
      <c r="M3365" s="30" t="str">
        <f>IF($L3365="","",INDEX($A$8:$A$5007,$L3365))</f>
        <v/>
      </c>
      <c r="N3365" s="31" t="str">
        <f>IF($L3365="","",INDEX($B$8:$B$5007,$L3365))</f>
        <v/>
      </c>
      <c r="O3365" s="32" t="str">
        <f>IF($M3365="","",IF($K3365-$M3365&gt;7,"",IF($M3365&lt;=$A3365,"",IF(OR($B3365&lt;=0,$N3365&lt;=0),"",($N3365/$B3365)^(365/($M3365-$A3365))-1))))</f>
        <v/>
      </c>
      <c r="P3365" s="31" t="str">
        <f>IF($B3365="","",IF($P3364="",$B3365,MAX($P3364,$B3365)))</f>
        <v/>
      </c>
      <c r="Q3365" s="32" t="str">
        <f>IF($P3365="","",$B3365/$P3365-1)</f>
        <v/>
      </c>
    </row>
    <row r="3366">
      <c r="A3366" s="11" t="n"/>
      <c r="B3366" s="29" t="n"/>
      <c r="K3366" s="30" t="str">
        <f>IF($A3366="","",EDATE($A3366,12*$E$4))</f>
        <v/>
      </c>
      <c r="L3366" s="19" t="str">
        <f>IF($K3366="","",IF($K3366&gt;MAX($A$8:$A$5007),"",IFERROR(MATCH($K3366,$A$8:$A$5007,1),"")))</f>
        <v/>
      </c>
      <c r="M3366" s="30" t="str">
        <f>IF($L3366="","",INDEX($A$8:$A$5007,$L3366))</f>
        <v/>
      </c>
      <c r="N3366" s="31" t="str">
        <f>IF($L3366="","",INDEX($B$8:$B$5007,$L3366))</f>
        <v/>
      </c>
      <c r="O3366" s="32" t="str">
        <f>IF($M3366="","",IF($K3366-$M3366&gt;7,"",IF($M3366&lt;=$A3366,"",IF(OR($B3366&lt;=0,$N3366&lt;=0),"",($N3366/$B3366)^(365/($M3366-$A3366))-1))))</f>
        <v/>
      </c>
      <c r="P3366" s="31" t="str">
        <f>IF($B3366="","",IF($P3365="",$B3366,MAX($P3365,$B3366)))</f>
        <v/>
      </c>
      <c r="Q3366" s="32" t="str">
        <f>IF($P3366="","",$B3366/$P3366-1)</f>
        <v/>
      </c>
    </row>
    <row r="3367">
      <c r="A3367" s="11" t="n"/>
      <c r="B3367" s="29" t="n"/>
      <c r="K3367" s="30" t="str">
        <f>IF($A3367="","",EDATE($A3367,12*$E$4))</f>
        <v/>
      </c>
      <c r="L3367" s="19" t="str">
        <f>IF($K3367="","",IF($K3367&gt;MAX($A$8:$A$5007),"",IFERROR(MATCH($K3367,$A$8:$A$5007,1),"")))</f>
        <v/>
      </c>
      <c r="M3367" s="30" t="str">
        <f>IF($L3367="","",INDEX($A$8:$A$5007,$L3367))</f>
        <v/>
      </c>
      <c r="N3367" s="31" t="str">
        <f>IF($L3367="","",INDEX($B$8:$B$5007,$L3367))</f>
        <v/>
      </c>
      <c r="O3367" s="32" t="str">
        <f>IF($M3367="","",IF($K3367-$M3367&gt;7,"",IF($M3367&lt;=$A3367,"",IF(OR($B3367&lt;=0,$N3367&lt;=0),"",($N3367/$B3367)^(365/($M3367-$A3367))-1))))</f>
        <v/>
      </c>
      <c r="P3367" s="31" t="str">
        <f>IF($B3367="","",IF($P3366="",$B3367,MAX($P3366,$B3367)))</f>
        <v/>
      </c>
      <c r="Q3367" s="32" t="str">
        <f>IF($P3367="","",$B3367/$P3367-1)</f>
        <v/>
      </c>
    </row>
    <row r="3368">
      <c r="A3368" s="11" t="n"/>
      <c r="B3368" s="29" t="n"/>
      <c r="K3368" s="30" t="str">
        <f>IF($A3368="","",EDATE($A3368,12*$E$4))</f>
        <v/>
      </c>
      <c r="L3368" s="19" t="str">
        <f>IF($K3368="","",IF($K3368&gt;MAX($A$8:$A$5007),"",IFERROR(MATCH($K3368,$A$8:$A$5007,1),"")))</f>
        <v/>
      </c>
      <c r="M3368" s="30" t="str">
        <f>IF($L3368="","",INDEX($A$8:$A$5007,$L3368))</f>
        <v/>
      </c>
      <c r="N3368" s="31" t="str">
        <f>IF($L3368="","",INDEX($B$8:$B$5007,$L3368))</f>
        <v/>
      </c>
      <c r="O3368" s="32" t="str">
        <f>IF($M3368="","",IF($K3368-$M3368&gt;7,"",IF($M3368&lt;=$A3368,"",IF(OR($B3368&lt;=0,$N3368&lt;=0),"",($N3368/$B3368)^(365/($M3368-$A3368))-1))))</f>
        <v/>
      </c>
      <c r="P3368" s="31" t="str">
        <f>IF($B3368="","",IF($P3367="",$B3368,MAX($P3367,$B3368)))</f>
        <v/>
      </c>
      <c r="Q3368" s="32" t="str">
        <f>IF($P3368="","",$B3368/$P3368-1)</f>
        <v/>
      </c>
    </row>
    <row r="3369">
      <c r="A3369" s="11" t="n"/>
      <c r="B3369" s="29" t="n"/>
      <c r="K3369" s="30" t="str">
        <f>IF($A3369="","",EDATE($A3369,12*$E$4))</f>
        <v/>
      </c>
      <c r="L3369" s="19" t="str">
        <f>IF($K3369="","",IF($K3369&gt;MAX($A$8:$A$5007),"",IFERROR(MATCH($K3369,$A$8:$A$5007,1),"")))</f>
        <v/>
      </c>
      <c r="M3369" s="30" t="str">
        <f>IF($L3369="","",INDEX($A$8:$A$5007,$L3369))</f>
        <v/>
      </c>
      <c r="N3369" s="31" t="str">
        <f>IF($L3369="","",INDEX($B$8:$B$5007,$L3369))</f>
        <v/>
      </c>
      <c r="O3369" s="32" t="str">
        <f>IF($M3369="","",IF($K3369-$M3369&gt;7,"",IF($M3369&lt;=$A3369,"",IF(OR($B3369&lt;=0,$N3369&lt;=0),"",($N3369/$B3369)^(365/($M3369-$A3369))-1))))</f>
        <v/>
      </c>
      <c r="P3369" s="31" t="str">
        <f>IF($B3369="","",IF($P3368="",$B3369,MAX($P3368,$B3369)))</f>
        <v/>
      </c>
      <c r="Q3369" s="32" t="str">
        <f>IF($P3369="","",$B3369/$P3369-1)</f>
        <v/>
      </c>
    </row>
    <row r="3370">
      <c r="A3370" s="11" t="n"/>
      <c r="B3370" s="29" t="n"/>
      <c r="K3370" s="30" t="str">
        <f>IF($A3370="","",EDATE($A3370,12*$E$4))</f>
        <v/>
      </c>
      <c r="L3370" s="19" t="str">
        <f>IF($K3370="","",IF($K3370&gt;MAX($A$8:$A$5007),"",IFERROR(MATCH($K3370,$A$8:$A$5007,1),"")))</f>
        <v/>
      </c>
      <c r="M3370" s="30" t="str">
        <f>IF($L3370="","",INDEX($A$8:$A$5007,$L3370))</f>
        <v/>
      </c>
      <c r="N3370" s="31" t="str">
        <f>IF($L3370="","",INDEX($B$8:$B$5007,$L3370))</f>
        <v/>
      </c>
      <c r="O3370" s="32" t="str">
        <f>IF($M3370="","",IF($K3370-$M3370&gt;7,"",IF($M3370&lt;=$A3370,"",IF(OR($B3370&lt;=0,$N3370&lt;=0),"",($N3370/$B3370)^(365/($M3370-$A3370))-1))))</f>
        <v/>
      </c>
      <c r="P3370" s="31" t="str">
        <f>IF($B3370="","",IF($P3369="",$B3370,MAX($P3369,$B3370)))</f>
        <v/>
      </c>
      <c r="Q3370" s="32" t="str">
        <f>IF($P3370="","",$B3370/$P3370-1)</f>
        <v/>
      </c>
    </row>
    <row r="3371">
      <c r="A3371" s="11" t="n"/>
      <c r="B3371" s="29" t="n"/>
      <c r="K3371" s="30" t="str">
        <f>IF($A3371="","",EDATE($A3371,12*$E$4))</f>
        <v/>
      </c>
      <c r="L3371" s="19" t="str">
        <f>IF($K3371="","",IF($K3371&gt;MAX($A$8:$A$5007),"",IFERROR(MATCH($K3371,$A$8:$A$5007,1),"")))</f>
        <v/>
      </c>
      <c r="M3371" s="30" t="str">
        <f>IF($L3371="","",INDEX($A$8:$A$5007,$L3371))</f>
        <v/>
      </c>
      <c r="N3371" s="31" t="str">
        <f>IF($L3371="","",INDEX($B$8:$B$5007,$L3371))</f>
        <v/>
      </c>
      <c r="O3371" s="32" t="str">
        <f>IF($M3371="","",IF($K3371-$M3371&gt;7,"",IF($M3371&lt;=$A3371,"",IF(OR($B3371&lt;=0,$N3371&lt;=0),"",($N3371/$B3371)^(365/($M3371-$A3371))-1))))</f>
        <v/>
      </c>
      <c r="P3371" s="31" t="str">
        <f>IF($B3371="","",IF($P3370="",$B3371,MAX($P3370,$B3371)))</f>
        <v/>
      </c>
      <c r="Q3371" s="32" t="str">
        <f>IF($P3371="","",$B3371/$P3371-1)</f>
        <v/>
      </c>
    </row>
    <row r="3372">
      <c r="A3372" s="11" t="n"/>
      <c r="B3372" s="29" t="n"/>
      <c r="K3372" s="30" t="str">
        <f>IF($A3372="","",EDATE($A3372,12*$E$4))</f>
        <v/>
      </c>
      <c r="L3372" s="19" t="str">
        <f>IF($K3372="","",IF($K3372&gt;MAX($A$8:$A$5007),"",IFERROR(MATCH($K3372,$A$8:$A$5007,1),"")))</f>
        <v/>
      </c>
      <c r="M3372" s="30" t="str">
        <f>IF($L3372="","",INDEX($A$8:$A$5007,$L3372))</f>
        <v/>
      </c>
      <c r="N3372" s="31" t="str">
        <f>IF($L3372="","",INDEX($B$8:$B$5007,$L3372))</f>
        <v/>
      </c>
      <c r="O3372" s="32" t="str">
        <f>IF($M3372="","",IF($K3372-$M3372&gt;7,"",IF($M3372&lt;=$A3372,"",IF(OR($B3372&lt;=0,$N3372&lt;=0),"",($N3372/$B3372)^(365/($M3372-$A3372))-1))))</f>
        <v/>
      </c>
      <c r="P3372" s="31" t="str">
        <f>IF($B3372="","",IF($P3371="",$B3372,MAX($P3371,$B3372)))</f>
        <v/>
      </c>
      <c r="Q3372" s="32" t="str">
        <f>IF($P3372="","",$B3372/$P3372-1)</f>
        <v/>
      </c>
    </row>
    <row r="3373">
      <c r="A3373" s="11" t="n"/>
      <c r="B3373" s="29" t="n"/>
      <c r="K3373" s="30" t="str">
        <f>IF($A3373="","",EDATE($A3373,12*$E$4))</f>
        <v/>
      </c>
      <c r="L3373" s="19" t="str">
        <f>IF($K3373="","",IF($K3373&gt;MAX($A$8:$A$5007),"",IFERROR(MATCH($K3373,$A$8:$A$5007,1),"")))</f>
        <v/>
      </c>
      <c r="M3373" s="30" t="str">
        <f>IF($L3373="","",INDEX($A$8:$A$5007,$L3373))</f>
        <v/>
      </c>
      <c r="N3373" s="31" t="str">
        <f>IF($L3373="","",INDEX($B$8:$B$5007,$L3373))</f>
        <v/>
      </c>
      <c r="O3373" s="32" t="str">
        <f>IF($M3373="","",IF($K3373-$M3373&gt;7,"",IF($M3373&lt;=$A3373,"",IF(OR($B3373&lt;=0,$N3373&lt;=0),"",($N3373/$B3373)^(365/($M3373-$A3373))-1))))</f>
        <v/>
      </c>
      <c r="P3373" s="31" t="str">
        <f>IF($B3373="","",IF($P3372="",$B3373,MAX($P3372,$B3373)))</f>
        <v/>
      </c>
      <c r="Q3373" s="32" t="str">
        <f>IF($P3373="","",$B3373/$P3373-1)</f>
        <v/>
      </c>
    </row>
    <row r="3374">
      <c r="A3374" s="11" t="n"/>
      <c r="B3374" s="29" t="n"/>
      <c r="K3374" s="30" t="str">
        <f>IF($A3374="","",EDATE($A3374,12*$E$4))</f>
        <v/>
      </c>
      <c r="L3374" s="19" t="str">
        <f>IF($K3374="","",IF($K3374&gt;MAX($A$8:$A$5007),"",IFERROR(MATCH($K3374,$A$8:$A$5007,1),"")))</f>
        <v/>
      </c>
      <c r="M3374" s="30" t="str">
        <f>IF($L3374="","",INDEX($A$8:$A$5007,$L3374))</f>
        <v/>
      </c>
      <c r="N3374" s="31" t="str">
        <f>IF($L3374="","",INDEX($B$8:$B$5007,$L3374))</f>
        <v/>
      </c>
      <c r="O3374" s="32" t="str">
        <f>IF($M3374="","",IF($K3374-$M3374&gt;7,"",IF($M3374&lt;=$A3374,"",IF(OR($B3374&lt;=0,$N3374&lt;=0),"",($N3374/$B3374)^(365/($M3374-$A3374))-1))))</f>
        <v/>
      </c>
      <c r="P3374" s="31" t="str">
        <f>IF($B3374="","",IF($P3373="",$B3374,MAX($P3373,$B3374)))</f>
        <v/>
      </c>
      <c r="Q3374" s="32" t="str">
        <f>IF($P3374="","",$B3374/$P3374-1)</f>
        <v/>
      </c>
    </row>
    <row r="3375">
      <c r="A3375" s="11" t="n"/>
      <c r="B3375" s="29" t="n"/>
      <c r="K3375" s="30" t="str">
        <f>IF($A3375="","",EDATE($A3375,12*$E$4))</f>
        <v/>
      </c>
      <c r="L3375" s="19" t="str">
        <f>IF($K3375="","",IF($K3375&gt;MAX($A$8:$A$5007),"",IFERROR(MATCH($K3375,$A$8:$A$5007,1),"")))</f>
        <v/>
      </c>
      <c r="M3375" s="30" t="str">
        <f>IF($L3375="","",INDEX($A$8:$A$5007,$L3375))</f>
        <v/>
      </c>
      <c r="N3375" s="31" t="str">
        <f>IF($L3375="","",INDEX($B$8:$B$5007,$L3375))</f>
        <v/>
      </c>
      <c r="O3375" s="32" t="str">
        <f>IF($M3375="","",IF($K3375-$M3375&gt;7,"",IF($M3375&lt;=$A3375,"",IF(OR($B3375&lt;=0,$N3375&lt;=0),"",($N3375/$B3375)^(365/($M3375-$A3375))-1))))</f>
        <v/>
      </c>
      <c r="P3375" s="31" t="str">
        <f>IF($B3375="","",IF($P3374="",$B3375,MAX($P3374,$B3375)))</f>
        <v/>
      </c>
      <c r="Q3375" s="32" t="str">
        <f>IF($P3375="","",$B3375/$P3375-1)</f>
        <v/>
      </c>
    </row>
    <row r="3376">
      <c r="A3376" s="11" t="n"/>
      <c r="B3376" s="29" t="n"/>
      <c r="K3376" s="30" t="str">
        <f>IF($A3376="","",EDATE($A3376,12*$E$4))</f>
        <v/>
      </c>
      <c r="L3376" s="19" t="str">
        <f>IF($K3376="","",IF($K3376&gt;MAX($A$8:$A$5007),"",IFERROR(MATCH($K3376,$A$8:$A$5007,1),"")))</f>
        <v/>
      </c>
      <c r="M3376" s="30" t="str">
        <f>IF($L3376="","",INDEX($A$8:$A$5007,$L3376))</f>
        <v/>
      </c>
      <c r="N3376" s="31" t="str">
        <f>IF($L3376="","",INDEX($B$8:$B$5007,$L3376))</f>
        <v/>
      </c>
      <c r="O3376" s="32" t="str">
        <f>IF($M3376="","",IF($K3376-$M3376&gt;7,"",IF($M3376&lt;=$A3376,"",IF(OR($B3376&lt;=0,$N3376&lt;=0),"",($N3376/$B3376)^(365/($M3376-$A3376))-1))))</f>
        <v/>
      </c>
      <c r="P3376" s="31" t="str">
        <f>IF($B3376="","",IF($P3375="",$B3376,MAX($P3375,$B3376)))</f>
        <v/>
      </c>
      <c r="Q3376" s="32" t="str">
        <f>IF($P3376="","",$B3376/$P3376-1)</f>
        <v/>
      </c>
    </row>
    <row r="3377">
      <c r="A3377" s="11" t="n"/>
      <c r="B3377" s="29" t="n"/>
      <c r="K3377" s="30" t="str">
        <f>IF($A3377="","",EDATE($A3377,12*$E$4))</f>
        <v/>
      </c>
      <c r="L3377" s="19" t="str">
        <f>IF($K3377="","",IF($K3377&gt;MAX($A$8:$A$5007),"",IFERROR(MATCH($K3377,$A$8:$A$5007,1),"")))</f>
        <v/>
      </c>
      <c r="M3377" s="30" t="str">
        <f>IF($L3377="","",INDEX($A$8:$A$5007,$L3377))</f>
        <v/>
      </c>
      <c r="N3377" s="31" t="str">
        <f>IF($L3377="","",INDEX($B$8:$B$5007,$L3377))</f>
        <v/>
      </c>
      <c r="O3377" s="32" t="str">
        <f>IF($M3377="","",IF($K3377-$M3377&gt;7,"",IF($M3377&lt;=$A3377,"",IF(OR($B3377&lt;=0,$N3377&lt;=0),"",($N3377/$B3377)^(365/($M3377-$A3377))-1))))</f>
        <v/>
      </c>
      <c r="P3377" s="31" t="str">
        <f>IF($B3377="","",IF($P3376="",$B3377,MAX($P3376,$B3377)))</f>
        <v/>
      </c>
      <c r="Q3377" s="32" t="str">
        <f>IF($P3377="","",$B3377/$P3377-1)</f>
        <v/>
      </c>
    </row>
    <row r="3378">
      <c r="A3378" s="11" t="n"/>
      <c r="B3378" s="29" t="n"/>
      <c r="K3378" s="30" t="str">
        <f>IF($A3378="","",EDATE($A3378,12*$E$4))</f>
        <v/>
      </c>
      <c r="L3378" s="19" t="str">
        <f>IF($K3378="","",IF($K3378&gt;MAX($A$8:$A$5007),"",IFERROR(MATCH($K3378,$A$8:$A$5007,1),"")))</f>
        <v/>
      </c>
      <c r="M3378" s="30" t="str">
        <f>IF($L3378="","",INDEX($A$8:$A$5007,$L3378))</f>
        <v/>
      </c>
      <c r="N3378" s="31" t="str">
        <f>IF($L3378="","",INDEX($B$8:$B$5007,$L3378))</f>
        <v/>
      </c>
      <c r="O3378" s="32" t="str">
        <f>IF($M3378="","",IF($K3378-$M3378&gt;7,"",IF($M3378&lt;=$A3378,"",IF(OR($B3378&lt;=0,$N3378&lt;=0),"",($N3378/$B3378)^(365/($M3378-$A3378))-1))))</f>
        <v/>
      </c>
      <c r="P3378" s="31" t="str">
        <f>IF($B3378="","",IF($P3377="",$B3378,MAX($P3377,$B3378)))</f>
        <v/>
      </c>
      <c r="Q3378" s="32" t="str">
        <f>IF($P3378="","",$B3378/$P3378-1)</f>
        <v/>
      </c>
    </row>
    <row r="3379">
      <c r="A3379" s="11" t="n"/>
      <c r="B3379" s="29" t="n"/>
      <c r="K3379" s="30" t="str">
        <f>IF($A3379="","",EDATE($A3379,12*$E$4))</f>
        <v/>
      </c>
      <c r="L3379" s="19" t="str">
        <f>IF($K3379="","",IF($K3379&gt;MAX($A$8:$A$5007),"",IFERROR(MATCH($K3379,$A$8:$A$5007,1),"")))</f>
        <v/>
      </c>
      <c r="M3379" s="30" t="str">
        <f>IF($L3379="","",INDEX($A$8:$A$5007,$L3379))</f>
        <v/>
      </c>
      <c r="N3379" s="31" t="str">
        <f>IF($L3379="","",INDEX($B$8:$B$5007,$L3379))</f>
        <v/>
      </c>
      <c r="O3379" s="32" t="str">
        <f>IF($M3379="","",IF($K3379-$M3379&gt;7,"",IF($M3379&lt;=$A3379,"",IF(OR($B3379&lt;=0,$N3379&lt;=0),"",($N3379/$B3379)^(365/($M3379-$A3379))-1))))</f>
        <v/>
      </c>
      <c r="P3379" s="31" t="str">
        <f>IF($B3379="","",IF($P3378="",$B3379,MAX($P3378,$B3379)))</f>
        <v/>
      </c>
      <c r="Q3379" s="32" t="str">
        <f>IF($P3379="","",$B3379/$P3379-1)</f>
        <v/>
      </c>
    </row>
    <row r="3380">
      <c r="A3380" s="11" t="n"/>
      <c r="B3380" s="29" t="n"/>
      <c r="K3380" s="30" t="str">
        <f>IF($A3380="","",EDATE($A3380,12*$E$4))</f>
        <v/>
      </c>
      <c r="L3380" s="19" t="str">
        <f>IF($K3380="","",IF($K3380&gt;MAX($A$8:$A$5007),"",IFERROR(MATCH($K3380,$A$8:$A$5007,1),"")))</f>
        <v/>
      </c>
      <c r="M3380" s="30" t="str">
        <f>IF($L3380="","",INDEX($A$8:$A$5007,$L3380))</f>
        <v/>
      </c>
      <c r="N3380" s="31" t="str">
        <f>IF($L3380="","",INDEX($B$8:$B$5007,$L3380))</f>
        <v/>
      </c>
      <c r="O3380" s="32" t="str">
        <f>IF($M3380="","",IF($K3380-$M3380&gt;7,"",IF($M3380&lt;=$A3380,"",IF(OR($B3380&lt;=0,$N3380&lt;=0),"",($N3380/$B3380)^(365/($M3380-$A3380))-1))))</f>
        <v/>
      </c>
      <c r="P3380" s="31" t="str">
        <f>IF($B3380="","",IF($P3379="",$B3380,MAX($P3379,$B3380)))</f>
        <v/>
      </c>
      <c r="Q3380" s="32" t="str">
        <f>IF($P3380="","",$B3380/$P3380-1)</f>
        <v/>
      </c>
    </row>
    <row r="3381">
      <c r="A3381" s="11" t="n"/>
      <c r="B3381" s="29" t="n"/>
      <c r="K3381" s="30" t="str">
        <f>IF($A3381="","",EDATE($A3381,12*$E$4))</f>
        <v/>
      </c>
      <c r="L3381" s="19" t="str">
        <f>IF($K3381="","",IF($K3381&gt;MAX($A$8:$A$5007),"",IFERROR(MATCH($K3381,$A$8:$A$5007,1),"")))</f>
        <v/>
      </c>
      <c r="M3381" s="30" t="str">
        <f>IF($L3381="","",INDEX($A$8:$A$5007,$L3381))</f>
        <v/>
      </c>
      <c r="N3381" s="31" t="str">
        <f>IF($L3381="","",INDEX($B$8:$B$5007,$L3381))</f>
        <v/>
      </c>
      <c r="O3381" s="32" t="str">
        <f>IF($M3381="","",IF($K3381-$M3381&gt;7,"",IF($M3381&lt;=$A3381,"",IF(OR($B3381&lt;=0,$N3381&lt;=0),"",($N3381/$B3381)^(365/($M3381-$A3381))-1))))</f>
        <v/>
      </c>
      <c r="P3381" s="31" t="str">
        <f>IF($B3381="","",IF($P3380="",$B3381,MAX($P3380,$B3381)))</f>
        <v/>
      </c>
      <c r="Q3381" s="32" t="str">
        <f>IF($P3381="","",$B3381/$P3381-1)</f>
        <v/>
      </c>
    </row>
    <row r="3382">
      <c r="A3382" s="11" t="n"/>
      <c r="B3382" s="29" t="n"/>
      <c r="K3382" s="30" t="str">
        <f>IF($A3382="","",EDATE($A3382,12*$E$4))</f>
        <v/>
      </c>
      <c r="L3382" s="19" t="str">
        <f>IF($K3382="","",IF($K3382&gt;MAX($A$8:$A$5007),"",IFERROR(MATCH($K3382,$A$8:$A$5007,1),"")))</f>
        <v/>
      </c>
      <c r="M3382" s="30" t="str">
        <f>IF($L3382="","",INDEX($A$8:$A$5007,$L3382))</f>
        <v/>
      </c>
      <c r="N3382" s="31" t="str">
        <f>IF($L3382="","",INDEX($B$8:$B$5007,$L3382))</f>
        <v/>
      </c>
      <c r="O3382" s="32" t="str">
        <f>IF($M3382="","",IF($K3382-$M3382&gt;7,"",IF($M3382&lt;=$A3382,"",IF(OR($B3382&lt;=0,$N3382&lt;=0),"",($N3382/$B3382)^(365/($M3382-$A3382))-1))))</f>
        <v/>
      </c>
      <c r="P3382" s="31" t="str">
        <f>IF($B3382="","",IF($P3381="",$B3382,MAX($P3381,$B3382)))</f>
        <v/>
      </c>
      <c r="Q3382" s="32" t="str">
        <f>IF($P3382="","",$B3382/$P3382-1)</f>
        <v/>
      </c>
    </row>
    <row r="3383">
      <c r="A3383" s="11" t="n"/>
      <c r="B3383" s="29" t="n"/>
      <c r="K3383" s="30" t="str">
        <f>IF($A3383="","",EDATE($A3383,12*$E$4))</f>
        <v/>
      </c>
      <c r="L3383" s="19" t="str">
        <f>IF($K3383="","",IF($K3383&gt;MAX($A$8:$A$5007),"",IFERROR(MATCH($K3383,$A$8:$A$5007,1),"")))</f>
        <v/>
      </c>
      <c r="M3383" s="30" t="str">
        <f>IF($L3383="","",INDEX($A$8:$A$5007,$L3383))</f>
        <v/>
      </c>
      <c r="N3383" s="31" t="str">
        <f>IF($L3383="","",INDEX($B$8:$B$5007,$L3383))</f>
        <v/>
      </c>
      <c r="O3383" s="32" t="str">
        <f>IF($M3383="","",IF($K3383-$M3383&gt;7,"",IF($M3383&lt;=$A3383,"",IF(OR($B3383&lt;=0,$N3383&lt;=0),"",($N3383/$B3383)^(365/($M3383-$A3383))-1))))</f>
        <v/>
      </c>
      <c r="P3383" s="31" t="str">
        <f>IF($B3383="","",IF($P3382="",$B3383,MAX($P3382,$B3383)))</f>
        <v/>
      </c>
      <c r="Q3383" s="32" t="str">
        <f>IF($P3383="","",$B3383/$P3383-1)</f>
        <v/>
      </c>
    </row>
    <row r="3384">
      <c r="A3384" s="11" t="n"/>
      <c r="B3384" s="29" t="n"/>
      <c r="K3384" s="30" t="str">
        <f>IF($A3384="","",EDATE($A3384,12*$E$4))</f>
        <v/>
      </c>
      <c r="L3384" s="19" t="str">
        <f>IF($K3384="","",IF($K3384&gt;MAX($A$8:$A$5007),"",IFERROR(MATCH($K3384,$A$8:$A$5007,1),"")))</f>
        <v/>
      </c>
      <c r="M3384" s="30" t="str">
        <f>IF($L3384="","",INDEX($A$8:$A$5007,$L3384))</f>
        <v/>
      </c>
      <c r="N3384" s="31" t="str">
        <f>IF($L3384="","",INDEX($B$8:$B$5007,$L3384))</f>
        <v/>
      </c>
      <c r="O3384" s="32" t="str">
        <f>IF($M3384="","",IF($K3384-$M3384&gt;7,"",IF($M3384&lt;=$A3384,"",IF(OR($B3384&lt;=0,$N3384&lt;=0),"",($N3384/$B3384)^(365/($M3384-$A3384))-1))))</f>
        <v/>
      </c>
      <c r="P3384" s="31" t="str">
        <f>IF($B3384="","",IF($P3383="",$B3384,MAX($P3383,$B3384)))</f>
        <v/>
      </c>
      <c r="Q3384" s="32" t="str">
        <f>IF($P3384="","",$B3384/$P3384-1)</f>
        <v/>
      </c>
    </row>
    <row r="3385">
      <c r="A3385" s="11" t="n"/>
      <c r="B3385" s="29" t="n"/>
      <c r="K3385" s="30" t="str">
        <f>IF($A3385="","",EDATE($A3385,12*$E$4))</f>
        <v/>
      </c>
      <c r="L3385" s="19" t="str">
        <f>IF($K3385="","",IF($K3385&gt;MAX($A$8:$A$5007),"",IFERROR(MATCH($K3385,$A$8:$A$5007,1),"")))</f>
        <v/>
      </c>
      <c r="M3385" s="30" t="str">
        <f>IF($L3385="","",INDEX($A$8:$A$5007,$L3385))</f>
        <v/>
      </c>
      <c r="N3385" s="31" t="str">
        <f>IF($L3385="","",INDEX($B$8:$B$5007,$L3385))</f>
        <v/>
      </c>
      <c r="O3385" s="32" t="str">
        <f>IF($M3385="","",IF($K3385-$M3385&gt;7,"",IF($M3385&lt;=$A3385,"",IF(OR($B3385&lt;=0,$N3385&lt;=0),"",($N3385/$B3385)^(365/($M3385-$A3385))-1))))</f>
        <v/>
      </c>
      <c r="P3385" s="31" t="str">
        <f>IF($B3385="","",IF($P3384="",$B3385,MAX($P3384,$B3385)))</f>
        <v/>
      </c>
      <c r="Q3385" s="32" t="str">
        <f>IF($P3385="","",$B3385/$P3385-1)</f>
        <v/>
      </c>
    </row>
    <row r="3386">
      <c r="A3386" s="11" t="n"/>
      <c r="B3386" s="29" t="n"/>
      <c r="K3386" s="30" t="str">
        <f>IF($A3386="","",EDATE($A3386,12*$E$4))</f>
        <v/>
      </c>
      <c r="L3386" s="19" t="str">
        <f>IF($K3386="","",IF($K3386&gt;MAX($A$8:$A$5007),"",IFERROR(MATCH($K3386,$A$8:$A$5007,1),"")))</f>
        <v/>
      </c>
      <c r="M3386" s="30" t="str">
        <f>IF($L3386="","",INDEX($A$8:$A$5007,$L3386))</f>
        <v/>
      </c>
      <c r="N3386" s="31" t="str">
        <f>IF($L3386="","",INDEX($B$8:$B$5007,$L3386))</f>
        <v/>
      </c>
      <c r="O3386" s="32" t="str">
        <f>IF($M3386="","",IF($K3386-$M3386&gt;7,"",IF($M3386&lt;=$A3386,"",IF(OR($B3386&lt;=0,$N3386&lt;=0),"",($N3386/$B3386)^(365/($M3386-$A3386))-1))))</f>
        <v/>
      </c>
      <c r="P3386" s="31" t="str">
        <f>IF($B3386="","",IF($P3385="",$B3386,MAX($P3385,$B3386)))</f>
        <v/>
      </c>
      <c r="Q3386" s="32" t="str">
        <f>IF($P3386="","",$B3386/$P3386-1)</f>
        <v/>
      </c>
    </row>
    <row r="3387">
      <c r="A3387" s="11" t="n"/>
      <c r="B3387" s="29" t="n"/>
      <c r="K3387" s="30" t="str">
        <f>IF($A3387="","",EDATE($A3387,12*$E$4))</f>
        <v/>
      </c>
      <c r="L3387" s="19" t="str">
        <f>IF($K3387="","",IF($K3387&gt;MAX($A$8:$A$5007),"",IFERROR(MATCH($K3387,$A$8:$A$5007,1),"")))</f>
        <v/>
      </c>
      <c r="M3387" s="30" t="str">
        <f>IF($L3387="","",INDEX($A$8:$A$5007,$L3387))</f>
        <v/>
      </c>
      <c r="N3387" s="31" t="str">
        <f>IF($L3387="","",INDEX($B$8:$B$5007,$L3387))</f>
        <v/>
      </c>
      <c r="O3387" s="32" t="str">
        <f>IF($M3387="","",IF($K3387-$M3387&gt;7,"",IF($M3387&lt;=$A3387,"",IF(OR($B3387&lt;=0,$N3387&lt;=0),"",($N3387/$B3387)^(365/($M3387-$A3387))-1))))</f>
        <v/>
      </c>
      <c r="P3387" s="31" t="str">
        <f>IF($B3387="","",IF($P3386="",$B3387,MAX($P3386,$B3387)))</f>
        <v/>
      </c>
      <c r="Q3387" s="32" t="str">
        <f>IF($P3387="","",$B3387/$P3387-1)</f>
        <v/>
      </c>
    </row>
    <row r="3388">
      <c r="A3388" s="11" t="n"/>
      <c r="B3388" s="29" t="n"/>
      <c r="K3388" s="30" t="str">
        <f>IF($A3388="","",EDATE($A3388,12*$E$4))</f>
        <v/>
      </c>
      <c r="L3388" s="19" t="str">
        <f>IF($K3388="","",IF($K3388&gt;MAX($A$8:$A$5007),"",IFERROR(MATCH($K3388,$A$8:$A$5007,1),"")))</f>
        <v/>
      </c>
      <c r="M3388" s="30" t="str">
        <f>IF($L3388="","",INDEX($A$8:$A$5007,$L3388))</f>
        <v/>
      </c>
      <c r="N3388" s="31" t="str">
        <f>IF($L3388="","",INDEX($B$8:$B$5007,$L3388))</f>
        <v/>
      </c>
      <c r="O3388" s="32" t="str">
        <f>IF($M3388="","",IF($K3388-$M3388&gt;7,"",IF($M3388&lt;=$A3388,"",IF(OR($B3388&lt;=0,$N3388&lt;=0),"",($N3388/$B3388)^(365/($M3388-$A3388))-1))))</f>
        <v/>
      </c>
      <c r="P3388" s="31" t="str">
        <f>IF($B3388="","",IF($P3387="",$B3388,MAX($P3387,$B3388)))</f>
        <v/>
      </c>
      <c r="Q3388" s="32" t="str">
        <f>IF($P3388="","",$B3388/$P3388-1)</f>
        <v/>
      </c>
    </row>
    <row r="3389">
      <c r="A3389" s="11" t="n"/>
      <c r="B3389" s="29" t="n"/>
      <c r="K3389" s="30" t="str">
        <f>IF($A3389="","",EDATE($A3389,12*$E$4))</f>
        <v/>
      </c>
      <c r="L3389" s="19" t="str">
        <f>IF($K3389="","",IF($K3389&gt;MAX($A$8:$A$5007),"",IFERROR(MATCH($K3389,$A$8:$A$5007,1),"")))</f>
        <v/>
      </c>
      <c r="M3389" s="30" t="str">
        <f>IF($L3389="","",INDEX($A$8:$A$5007,$L3389))</f>
        <v/>
      </c>
      <c r="N3389" s="31" t="str">
        <f>IF($L3389="","",INDEX($B$8:$B$5007,$L3389))</f>
        <v/>
      </c>
      <c r="O3389" s="32" t="str">
        <f>IF($M3389="","",IF($K3389-$M3389&gt;7,"",IF($M3389&lt;=$A3389,"",IF(OR($B3389&lt;=0,$N3389&lt;=0),"",($N3389/$B3389)^(365/($M3389-$A3389))-1))))</f>
        <v/>
      </c>
      <c r="P3389" s="31" t="str">
        <f>IF($B3389="","",IF($P3388="",$B3389,MAX($P3388,$B3389)))</f>
        <v/>
      </c>
      <c r="Q3389" s="32" t="str">
        <f>IF($P3389="","",$B3389/$P3389-1)</f>
        <v/>
      </c>
    </row>
    <row r="3390">
      <c r="A3390" s="11" t="n"/>
      <c r="B3390" s="29" t="n"/>
      <c r="K3390" s="30" t="str">
        <f>IF($A3390="","",EDATE($A3390,12*$E$4))</f>
        <v/>
      </c>
      <c r="L3390" s="19" t="str">
        <f>IF($K3390="","",IF($K3390&gt;MAX($A$8:$A$5007),"",IFERROR(MATCH($K3390,$A$8:$A$5007,1),"")))</f>
        <v/>
      </c>
      <c r="M3390" s="30" t="str">
        <f>IF($L3390="","",INDEX($A$8:$A$5007,$L3390))</f>
        <v/>
      </c>
      <c r="N3390" s="31" t="str">
        <f>IF($L3390="","",INDEX($B$8:$B$5007,$L3390))</f>
        <v/>
      </c>
      <c r="O3390" s="32" t="str">
        <f>IF($M3390="","",IF($K3390-$M3390&gt;7,"",IF($M3390&lt;=$A3390,"",IF(OR($B3390&lt;=0,$N3390&lt;=0),"",($N3390/$B3390)^(365/($M3390-$A3390))-1))))</f>
        <v/>
      </c>
      <c r="P3390" s="31" t="str">
        <f>IF($B3390="","",IF($P3389="",$B3390,MAX($P3389,$B3390)))</f>
        <v/>
      </c>
      <c r="Q3390" s="32" t="str">
        <f>IF($P3390="","",$B3390/$P3390-1)</f>
        <v/>
      </c>
    </row>
    <row r="3391">
      <c r="A3391" s="11" t="n"/>
      <c r="B3391" s="29" t="n"/>
      <c r="K3391" s="30" t="str">
        <f>IF($A3391="","",EDATE($A3391,12*$E$4))</f>
        <v/>
      </c>
      <c r="L3391" s="19" t="str">
        <f>IF($K3391="","",IF($K3391&gt;MAX($A$8:$A$5007),"",IFERROR(MATCH($K3391,$A$8:$A$5007,1),"")))</f>
        <v/>
      </c>
      <c r="M3391" s="30" t="str">
        <f>IF($L3391="","",INDEX($A$8:$A$5007,$L3391))</f>
        <v/>
      </c>
      <c r="N3391" s="31" t="str">
        <f>IF($L3391="","",INDEX($B$8:$B$5007,$L3391))</f>
        <v/>
      </c>
      <c r="O3391" s="32" t="str">
        <f>IF($M3391="","",IF($K3391-$M3391&gt;7,"",IF($M3391&lt;=$A3391,"",IF(OR($B3391&lt;=0,$N3391&lt;=0),"",($N3391/$B3391)^(365/($M3391-$A3391))-1))))</f>
        <v/>
      </c>
      <c r="P3391" s="31" t="str">
        <f>IF($B3391="","",IF($P3390="",$B3391,MAX($P3390,$B3391)))</f>
        <v/>
      </c>
      <c r="Q3391" s="32" t="str">
        <f>IF($P3391="","",$B3391/$P3391-1)</f>
        <v/>
      </c>
    </row>
    <row r="3392">
      <c r="A3392" s="11" t="n"/>
      <c r="B3392" s="29" t="n"/>
      <c r="K3392" s="30" t="str">
        <f>IF($A3392="","",EDATE($A3392,12*$E$4))</f>
        <v/>
      </c>
      <c r="L3392" s="19" t="str">
        <f>IF($K3392="","",IF($K3392&gt;MAX($A$8:$A$5007),"",IFERROR(MATCH($K3392,$A$8:$A$5007,1),"")))</f>
        <v/>
      </c>
      <c r="M3392" s="30" t="str">
        <f>IF($L3392="","",INDEX($A$8:$A$5007,$L3392))</f>
        <v/>
      </c>
      <c r="N3392" s="31" t="str">
        <f>IF($L3392="","",INDEX($B$8:$B$5007,$L3392))</f>
        <v/>
      </c>
      <c r="O3392" s="32" t="str">
        <f>IF($M3392="","",IF($K3392-$M3392&gt;7,"",IF($M3392&lt;=$A3392,"",IF(OR($B3392&lt;=0,$N3392&lt;=0),"",($N3392/$B3392)^(365/($M3392-$A3392))-1))))</f>
        <v/>
      </c>
      <c r="P3392" s="31" t="str">
        <f>IF($B3392="","",IF($P3391="",$B3392,MAX($P3391,$B3392)))</f>
        <v/>
      </c>
      <c r="Q3392" s="32" t="str">
        <f>IF($P3392="","",$B3392/$P3392-1)</f>
        <v/>
      </c>
    </row>
    <row r="3393">
      <c r="A3393" s="11" t="n"/>
      <c r="B3393" s="29" t="n"/>
      <c r="K3393" s="30" t="str">
        <f>IF($A3393="","",EDATE($A3393,12*$E$4))</f>
        <v/>
      </c>
      <c r="L3393" s="19" t="str">
        <f>IF($K3393="","",IF($K3393&gt;MAX($A$8:$A$5007),"",IFERROR(MATCH($K3393,$A$8:$A$5007,1),"")))</f>
        <v/>
      </c>
      <c r="M3393" s="30" t="str">
        <f>IF($L3393="","",INDEX($A$8:$A$5007,$L3393))</f>
        <v/>
      </c>
      <c r="N3393" s="31" t="str">
        <f>IF($L3393="","",INDEX($B$8:$B$5007,$L3393))</f>
        <v/>
      </c>
      <c r="O3393" s="32" t="str">
        <f>IF($M3393="","",IF($K3393-$M3393&gt;7,"",IF($M3393&lt;=$A3393,"",IF(OR($B3393&lt;=0,$N3393&lt;=0),"",($N3393/$B3393)^(365/($M3393-$A3393))-1))))</f>
        <v/>
      </c>
      <c r="P3393" s="31" t="str">
        <f>IF($B3393="","",IF($P3392="",$B3393,MAX($P3392,$B3393)))</f>
        <v/>
      </c>
      <c r="Q3393" s="32" t="str">
        <f>IF($P3393="","",$B3393/$P3393-1)</f>
        <v/>
      </c>
    </row>
    <row r="3394">
      <c r="A3394" s="11" t="n"/>
      <c r="B3394" s="29" t="n"/>
      <c r="K3394" s="30" t="str">
        <f>IF($A3394="","",EDATE($A3394,12*$E$4))</f>
        <v/>
      </c>
      <c r="L3394" s="19" t="str">
        <f>IF($K3394="","",IF($K3394&gt;MAX($A$8:$A$5007),"",IFERROR(MATCH($K3394,$A$8:$A$5007,1),"")))</f>
        <v/>
      </c>
      <c r="M3394" s="30" t="str">
        <f>IF($L3394="","",INDEX($A$8:$A$5007,$L3394))</f>
        <v/>
      </c>
      <c r="N3394" s="31" t="str">
        <f>IF($L3394="","",INDEX($B$8:$B$5007,$L3394))</f>
        <v/>
      </c>
      <c r="O3394" s="32" t="str">
        <f>IF($M3394="","",IF($K3394-$M3394&gt;7,"",IF($M3394&lt;=$A3394,"",IF(OR($B3394&lt;=0,$N3394&lt;=0),"",($N3394/$B3394)^(365/($M3394-$A3394))-1))))</f>
        <v/>
      </c>
      <c r="P3394" s="31" t="str">
        <f>IF($B3394="","",IF($P3393="",$B3394,MAX($P3393,$B3394)))</f>
        <v/>
      </c>
      <c r="Q3394" s="32" t="str">
        <f>IF($P3394="","",$B3394/$P3394-1)</f>
        <v/>
      </c>
    </row>
    <row r="3395">
      <c r="A3395" s="11" t="n"/>
      <c r="B3395" s="29" t="n"/>
      <c r="K3395" s="30" t="str">
        <f>IF($A3395="","",EDATE($A3395,12*$E$4))</f>
        <v/>
      </c>
      <c r="L3395" s="19" t="str">
        <f>IF($K3395="","",IF($K3395&gt;MAX($A$8:$A$5007),"",IFERROR(MATCH($K3395,$A$8:$A$5007,1),"")))</f>
        <v/>
      </c>
      <c r="M3395" s="30" t="str">
        <f>IF($L3395="","",INDEX($A$8:$A$5007,$L3395))</f>
        <v/>
      </c>
      <c r="N3395" s="31" t="str">
        <f>IF($L3395="","",INDEX($B$8:$B$5007,$L3395))</f>
        <v/>
      </c>
      <c r="O3395" s="32" t="str">
        <f>IF($M3395="","",IF($K3395-$M3395&gt;7,"",IF($M3395&lt;=$A3395,"",IF(OR($B3395&lt;=0,$N3395&lt;=0),"",($N3395/$B3395)^(365/($M3395-$A3395))-1))))</f>
        <v/>
      </c>
      <c r="P3395" s="31" t="str">
        <f>IF($B3395="","",IF($P3394="",$B3395,MAX($P3394,$B3395)))</f>
        <v/>
      </c>
      <c r="Q3395" s="32" t="str">
        <f>IF($P3395="","",$B3395/$P3395-1)</f>
        <v/>
      </c>
    </row>
    <row r="3396">
      <c r="A3396" s="11" t="n"/>
      <c r="B3396" s="29" t="n"/>
      <c r="K3396" s="30" t="str">
        <f>IF($A3396="","",EDATE($A3396,12*$E$4))</f>
        <v/>
      </c>
      <c r="L3396" s="19" t="str">
        <f>IF($K3396="","",IF($K3396&gt;MAX($A$8:$A$5007),"",IFERROR(MATCH($K3396,$A$8:$A$5007,1),"")))</f>
        <v/>
      </c>
      <c r="M3396" s="30" t="str">
        <f>IF($L3396="","",INDEX($A$8:$A$5007,$L3396))</f>
        <v/>
      </c>
      <c r="N3396" s="31" t="str">
        <f>IF($L3396="","",INDEX($B$8:$B$5007,$L3396))</f>
        <v/>
      </c>
      <c r="O3396" s="32" t="str">
        <f>IF($M3396="","",IF($K3396-$M3396&gt;7,"",IF($M3396&lt;=$A3396,"",IF(OR($B3396&lt;=0,$N3396&lt;=0),"",($N3396/$B3396)^(365/($M3396-$A3396))-1))))</f>
        <v/>
      </c>
      <c r="P3396" s="31" t="str">
        <f>IF($B3396="","",IF($P3395="",$B3396,MAX($P3395,$B3396)))</f>
        <v/>
      </c>
      <c r="Q3396" s="32" t="str">
        <f>IF($P3396="","",$B3396/$P3396-1)</f>
        <v/>
      </c>
    </row>
    <row r="3397">
      <c r="A3397" s="11" t="n"/>
      <c r="B3397" s="29" t="n"/>
      <c r="K3397" s="30" t="str">
        <f>IF($A3397="","",EDATE($A3397,12*$E$4))</f>
        <v/>
      </c>
      <c r="L3397" s="19" t="str">
        <f>IF($K3397="","",IF($K3397&gt;MAX($A$8:$A$5007),"",IFERROR(MATCH($K3397,$A$8:$A$5007,1),"")))</f>
        <v/>
      </c>
      <c r="M3397" s="30" t="str">
        <f>IF($L3397="","",INDEX($A$8:$A$5007,$L3397))</f>
        <v/>
      </c>
      <c r="N3397" s="31" t="str">
        <f>IF($L3397="","",INDEX($B$8:$B$5007,$L3397))</f>
        <v/>
      </c>
      <c r="O3397" s="32" t="str">
        <f>IF($M3397="","",IF($K3397-$M3397&gt;7,"",IF($M3397&lt;=$A3397,"",IF(OR($B3397&lt;=0,$N3397&lt;=0),"",($N3397/$B3397)^(365/($M3397-$A3397))-1))))</f>
        <v/>
      </c>
      <c r="P3397" s="31" t="str">
        <f>IF($B3397="","",IF($P3396="",$B3397,MAX($P3396,$B3397)))</f>
        <v/>
      </c>
      <c r="Q3397" s="32" t="str">
        <f>IF($P3397="","",$B3397/$P3397-1)</f>
        <v/>
      </c>
    </row>
    <row r="3398">
      <c r="A3398" s="11" t="n"/>
      <c r="B3398" s="29" t="n"/>
      <c r="K3398" s="30" t="str">
        <f>IF($A3398="","",EDATE($A3398,12*$E$4))</f>
        <v/>
      </c>
      <c r="L3398" s="19" t="str">
        <f>IF($K3398="","",IF($K3398&gt;MAX($A$8:$A$5007),"",IFERROR(MATCH($K3398,$A$8:$A$5007,1),"")))</f>
        <v/>
      </c>
      <c r="M3398" s="30" t="str">
        <f>IF($L3398="","",INDEX($A$8:$A$5007,$L3398))</f>
        <v/>
      </c>
      <c r="N3398" s="31" t="str">
        <f>IF($L3398="","",INDEX($B$8:$B$5007,$L3398))</f>
        <v/>
      </c>
      <c r="O3398" s="32" t="str">
        <f>IF($M3398="","",IF($K3398-$M3398&gt;7,"",IF($M3398&lt;=$A3398,"",IF(OR($B3398&lt;=0,$N3398&lt;=0),"",($N3398/$B3398)^(365/($M3398-$A3398))-1))))</f>
        <v/>
      </c>
      <c r="P3398" s="31" t="str">
        <f>IF($B3398="","",IF($P3397="",$B3398,MAX($P3397,$B3398)))</f>
        <v/>
      </c>
      <c r="Q3398" s="32" t="str">
        <f>IF($P3398="","",$B3398/$P3398-1)</f>
        <v/>
      </c>
    </row>
    <row r="3399">
      <c r="A3399" s="11" t="n"/>
      <c r="B3399" s="29" t="n"/>
      <c r="K3399" s="30" t="str">
        <f>IF($A3399="","",EDATE($A3399,12*$E$4))</f>
        <v/>
      </c>
      <c r="L3399" s="19" t="str">
        <f>IF($K3399="","",IF($K3399&gt;MAX($A$8:$A$5007),"",IFERROR(MATCH($K3399,$A$8:$A$5007,1),"")))</f>
        <v/>
      </c>
      <c r="M3399" s="30" t="str">
        <f>IF($L3399="","",INDEX($A$8:$A$5007,$L3399))</f>
        <v/>
      </c>
      <c r="N3399" s="31" t="str">
        <f>IF($L3399="","",INDEX($B$8:$B$5007,$L3399))</f>
        <v/>
      </c>
      <c r="O3399" s="32" t="str">
        <f>IF($M3399="","",IF($K3399-$M3399&gt;7,"",IF($M3399&lt;=$A3399,"",IF(OR($B3399&lt;=0,$N3399&lt;=0),"",($N3399/$B3399)^(365/($M3399-$A3399))-1))))</f>
        <v/>
      </c>
      <c r="P3399" s="31" t="str">
        <f>IF($B3399="","",IF($P3398="",$B3399,MAX($P3398,$B3399)))</f>
        <v/>
      </c>
      <c r="Q3399" s="32" t="str">
        <f>IF($P3399="","",$B3399/$P3399-1)</f>
        <v/>
      </c>
    </row>
    <row r="3400">
      <c r="A3400" s="11" t="n"/>
      <c r="B3400" s="29" t="n"/>
      <c r="K3400" s="30" t="str">
        <f>IF($A3400="","",EDATE($A3400,12*$E$4))</f>
        <v/>
      </c>
      <c r="L3400" s="19" t="str">
        <f>IF($K3400="","",IF($K3400&gt;MAX($A$8:$A$5007),"",IFERROR(MATCH($K3400,$A$8:$A$5007,1),"")))</f>
        <v/>
      </c>
      <c r="M3400" s="30" t="str">
        <f>IF($L3400="","",INDEX($A$8:$A$5007,$L3400))</f>
        <v/>
      </c>
      <c r="N3400" s="31" t="str">
        <f>IF($L3400="","",INDEX($B$8:$B$5007,$L3400))</f>
        <v/>
      </c>
      <c r="O3400" s="32" t="str">
        <f>IF($M3400="","",IF($K3400-$M3400&gt;7,"",IF($M3400&lt;=$A3400,"",IF(OR($B3400&lt;=0,$N3400&lt;=0),"",($N3400/$B3400)^(365/($M3400-$A3400))-1))))</f>
        <v/>
      </c>
      <c r="P3400" s="31" t="str">
        <f>IF($B3400="","",IF($P3399="",$B3400,MAX($P3399,$B3400)))</f>
        <v/>
      </c>
      <c r="Q3400" s="32" t="str">
        <f>IF($P3400="","",$B3400/$P3400-1)</f>
        <v/>
      </c>
    </row>
    <row r="3401">
      <c r="A3401" s="11" t="n"/>
      <c r="B3401" s="29" t="n"/>
      <c r="K3401" s="30" t="str">
        <f>IF($A3401="","",EDATE($A3401,12*$E$4))</f>
        <v/>
      </c>
      <c r="L3401" s="19" t="str">
        <f>IF($K3401="","",IF($K3401&gt;MAX($A$8:$A$5007),"",IFERROR(MATCH($K3401,$A$8:$A$5007,1),"")))</f>
        <v/>
      </c>
      <c r="M3401" s="30" t="str">
        <f>IF($L3401="","",INDEX($A$8:$A$5007,$L3401))</f>
        <v/>
      </c>
      <c r="N3401" s="31" t="str">
        <f>IF($L3401="","",INDEX($B$8:$B$5007,$L3401))</f>
        <v/>
      </c>
      <c r="O3401" s="32" t="str">
        <f>IF($M3401="","",IF($K3401-$M3401&gt;7,"",IF($M3401&lt;=$A3401,"",IF(OR($B3401&lt;=0,$N3401&lt;=0),"",($N3401/$B3401)^(365/($M3401-$A3401))-1))))</f>
        <v/>
      </c>
      <c r="P3401" s="31" t="str">
        <f>IF($B3401="","",IF($P3400="",$B3401,MAX($P3400,$B3401)))</f>
        <v/>
      </c>
      <c r="Q3401" s="32" t="str">
        <f>IF($P3401="","",$B3401/$P3401-1)</f>
        <v/>
      </c>
    </row>
    <row r="3402">
      <c r="A3402" s="11" t="n"/>
      <c r="B3402" s="29" t="n"/>
      <c r="K3402" s="30" t="str">
        <f>IF($A3402="","",EDATE($A3402,12*$E$4))</f>
        <v/>
      </c>
      <c r="L3402" s="19" t="str">
        <f>IF($K3402="","",IF($K3402&gt;MAX($A$8:$A$5007),"",IFERROR(MATCH($K3402,$A$8:$A$5007,1),"")))</f>
        <v/>
      </c>
      <c r="M3402" s="30" t="str">
        <f>IF($L3402="","",INDEX($A$8:$A$5007,$L3402))</f>
        <v/>
      </c>
      <c r="N3402" s="31" t="str">
        <f>IF($L3402="","",INDEX($B$8:$B$5007,$L3402))</f>
        <v/>
      </c>
      <c r="O3402" s="32" t="str">
        <f>IF($M3402="","",IF($K3402-$M3402&gt;7,"",IF($M3402&lt;=$A3402,"",IF(OR($B3402&lt;=0,$N3402&lt;=0),"",($N3402/$B3402)^(365/($M3402-$A3402))-1))))</f>
        <v/>
      </c>
      <c r="P3402" s="31" t="str">
        <f>IF($B3402="","",IF($P3401="",$B3402,MAX($P3401,$B3402)))</f>
        <v/>
      </c>
      <c r="Q3402" s="32" t="str">
        <f>IF($P3402="","",$B3402/$P3402-1)</f>
        <v/>
      </c>
    </row>
    <row r="3403">
      <c r="A3403" s="11" t="n"/>
      <c r="B3403" s="29" t="n"/>
      <c r="K3403" s="30" t="str">
        <f>IF($A3403="","",EDATE($A3403,12*$E$4))</f>
        <v/>
      </c>
      <c r="L3403" s="19" t="str">
        <f>IF($K3403="","",IF($K3403&gt;MAX($A$8:$A$5007),"",IFERROR(MATCH($K3403,$A$8:$A$5007,1),"")))</f>
        <v/>
      </c>
      <c r="M3403" s="30" t="str">
        <f>IF($L3403="","",INDEX($A$8:$A$5007,$L3403))</f>
        <v/>
      </c>
      <c r="N3403" s="31" t="str">
        <f>IF($L3403="","",INDEX($B$8:$B$5007,$L3403))</f>
        <v/>
      </c>
      <c r="O3403" s="32" t="str">
        <f>IF($M3403="","",IF($K3403-$M3403&gt;7,"",IF($M3403&lt;=$A3403,"",IF(OR($B3403&lt;=0,$N3403&lt;=0),"",($N3403/$B3403)^(365/($M3403-$A3403))-1))))</f>
        <v/>
      </c>
      <c r="P3403" s="31" t="str">
        <f>IF($B3403="","",IF($P3402="",$B3403,MAX($P3402,$B3403)))</f>
        <v/>
      </c>
      <c r="Q3403" s="32" t="str">
        <f>IF($P3403="","",$B3403/$P3403-1)</f>
        <v/>
      </c>
    </row>
    <row r="3404">
      <c r="A3404" s="11" t="n"/>
      <c r="B3404" s="29" t="n"/>
      <c r="K3404" s="30" t="str">
        <f>IF($A3404="","",EDATE($A3404,12*$E$4))</f>
        <v/>
      </c>
      <c r="L3404" s="19" t="str">
        <f>IF($K3404="","",IF($K3404&gt;MAX($A$8:$A$5007),"",IFERROR(MATCH($K3404,$A$8:$A$5007,1),"")))</f>
        <v/>
      </c>
      <c r="M3404" s="30" t="str">
        <f>IF($L3404="","",INDEX($A$8:$A$5007,$L3404))</f>
        <v/>
      </c>
      <c r="N3404" s="31" t="str">
        <f>IF($L3404="","",INDEX($B$8:$B$5007,$L3404))</f>
        <v/>
      </c>
      <c r="O3404" s="32" t="str">
        <f>IF($M3404="","",IF($K3404-$M3404&gt;7,"",IF($M3404&lt;=$A3404,"",IF(OR($B3404&lt;=0,$N3404&lt;=0),"",($N3404/$B3404)^(365/($M3404-$A3404))-1))))</f>
        <v/>
      </c>
      <c r="P3404" s="31" t="str">
        <f>IF($B3404="","",IF($P3403="",$B3404,MAX($P3403,$B3404)))</f>
        <v/>
      </c>
      <c r="Q3404" s="32" t="str">
        <f>IF($P3404="","",$B3404/$P3404-1)</f>
        <v/>
      </c>
    </row>
    <row r="3405">
      <c r="A3405" s="11" t="n"/>
      <c r="B3405" s="29" t="n"/>
      <c r="K3405" s="30" t="str">
        <f>IF($A3405="","",EDATE($A3405,12*$E$4))</f>
        <v/>
      </c>
      <c r="L3405" s="19" t="str">
        <f>IF($K3405="","",IF($K3405&gt;MAX($A$8:$A$5007),"",IFERROR(MATCH($K3405,$A$8:$A$5007,1),"")))</f>
        <v/>
      </c>
      <c r="M3405" s="30" t="str">
        <f>IF($L3405="","",INDEX($A$8:$A$5007,$L3405))</f>
        <v/>
      </c>
      <c r="N3405" s="31" t="str">
        <f>IF($L3405="","",INDEX($B$8:$B$5007,$L3405))</f>
        <v/>
      </c>
      <c r="O3405" s="32" t="str">
        <f>IF($M3405="","",IF($K3405-$M3405&gt;7,"",IF($M3405&lt;=$A3405,"",IF(OR($B3405&lt;=0,$N3405&lt;=0),"",($N3405/$B3405)^(365/($M3405-$A3405))-1))))</f>
        <v/>
      </c>
      <c r="P3405" s="31" t="str">
        <f>IF($B3405="","",IF($P3404="",$B3405,MAX($P3404,$B3405)))</f>
        <v/>
      </c>
      <c r="Q3405" s="32" t="str">
        <f>IF($P3405="","",$B3405/$P3405-1)</f>
        <v/>
      </c>
    </row>
    <row r="3406">
      <c r="A3406" s="11" t="n"/>
      <c r="B3406" s="29" t="n"/>
      <c r="K3406" s="30" t="str">
        <f>IF($A3406="","",EDATE($A3406,12*$E$4))</f>
        <v/>
      </c>
      <c r="L3406" s="19" t="str">
        <f>IF($K3406="","",IF($K3406&gt;MAX($A$8:$A$5007),"",IFERROR(MATCH($K3406,$A$8:$A$5007,1),"")))</f>
        <v/>
      </c>
      <c r="M3406" s="30" t="str">
        <f>IF($L3406="","",INDEX($A$8:$A$5007,$L3406))</f>
        <v/>
      </c>
      <c r="N3406" s="31" t="str">
        <f>IF($L3406="","",INDEX($B$8:$B$5007,$L3406))</f>
        <v/>
      </c>
      <c r="O3406" s="32" t="str">
        <f>IF($M3406="","",IF($K3406-$M3406&gt;7,"",IF($M3406&lt;=$A3406,"",IF(OR($B3406&lt;=0,$N3406&lt;=0),"",($N3406/$B3406)^(365/($M3406-$A3406))-1))))</f>
        <v/>
      </c>
      <c r="P3406" s="31" t="str">
        <f>IF($B3406="","",IF($P3405="",$B3406,MAX($P3405,$B3406)))</f>
        <v/>
      </c>
      <c r="Q3406" s="32" t="str">
        <f>IF($P3406="","",$B3406/$P3406-1)</f>
        <v/>
      </c>
    </row>
    <row r="3407">
      <c r="A3407" s="11" t="n"/>
      <c r="B3407" s="29" t="n"/>
      <c r="K3407" s="30" t="str">
        <f>IF($A3407="","",EDATE($A3407,12*$E$4))</f>
        <v/>
      </c>
      <c r="L3407" s="19" t="str">
        <f>IF($K3407="","",IF($K3407&gt;MAX($A$8:$A$5007),"",IFERROR(MATCH($K3407,$A$8:$A$5007,1),"")))</f>
        <v/>
      </c>
      <c r="M3407" s="30" t="str">
        <f>IF($L3407="","",INDEX($A$8:$A$5007,$L3407))</f>
        <v/>
      </c>
      <c r="N3407" s="31" t="str">
        <f>IF($L3407="","",INDEX($B$8:$B$5007,$L3407))</f>
        <v/>
      </c>
      <c r="O3407" s="32" t="str">
        <f>IF($M3407="","",IF($K3407-$M3407&gt;7,"",IF($M3407&lt;=$A3407,"",IF(OR($B3407&lt;=0,$N3407&lt;=0),"",($N3407/$B3407)^(365/($M3407-$A3407))-1))))</f>
        <v/>
      </c>
      <c r="P3407" s="31" t="str">
        <f>IF($B3407="","",IF($P3406="",$B3407,MAX($P3406,$B3407)))</f>
        <v/>
      </c>
      <c r="Q3407" s="32" t="str">
        <f>IF($P3407="","",$B3407/$P3407-1)</f>
        <v/>
      </c>
    </row>
    <row r="3408">
      <c r="A3408" s="11" t="n"/>
      <c r="B3408" s="29" t="n"/>
      <c r="K3408" s="30" t="str">
        <f>IF($A3408="","",EDATE($A3408,12*$E$4))</f>
        <v/>
      </c>
      <c r="L3408" s="19" t="str">
        <f>IF($K3408="","",IF($K3408&gt;MAX($A$8:$A$5007),"",IFERROR(MATCH($K3408,$A$8:$A$5007,1),"")))</f>
        <v/>
      </c>
      <c r="M3408" s="30" t="str">
        <f>IF($L3408="","",INDEX($A$8:$A$5007,$L3408))</f>
        <v/>
      </c>
      <c r="N3408" s="31" t="str">
        <f>IF($L3408="","",INDEX($B$8:$B$5007,$L3408))</f>
        <v/>
      </c>
      <c r="O3408" s="32" t="str">
        <f>IF($M3408="","",IF($K3408-$M3408&gt;7,"",IF($M3408&lt;=$A3408,"",IF(OR($B3408&lt;=0,$N3408&lt;=0),"",($N3408/$B3408)^(365/($M3408-$A3408))-1))))</f>
        <v/>
      </c>
      <c r="P3408" s="31" t="str">
        <f>IF($B3408="","",IF($P3407="",$B3408,MAX($P3407,$B3408)))</f>
        <v/>
      </c>
      <c r="Q3408" s="32" t="str">
        <f>IF($P3408="","",$B3408/$P3408-1)</f>
        <v/>
      </c>
    </row>
    <row r="3409">
      <c r="A3409" s="11" t="n"/>
      <c r="B3409" s="29" t="n"/>
      <c r="K3409" s="30" t="str">
        <f>IF($A3409="","",EDATE($A3409,12*$E$4))</f>
        <v/>
      </c>
      <c r="L3409" s="19" t="str">
        <f>IF($K3409="","",IF($K3409&gt;MAX($A$8:$A$5007),"",IFERROR(MATCH($K3409,$A$8:$A$5007,1),"")))</f>
        <v/>
      </c>
      <c r="M3409" s="30" t="str">
        <f>IF($L3409="","",INDEX($A$8:$A$5007,$L3409))</f>
        <v/>
      </c>
      <c r="N3409" s="31" t="str">
        <f>IF($L3409="","",INDEX($B$8:$B$5007,$L3409))</f>
        <v/>
      </c>
      <c r="O3409" s="32" t="str">
        <f>IF($M3409="","",IF($K3409-$M3409&gt;7,"",IF($M3409&lt;=$A3409,"",IF(OR($B3409&lt;=0,$N3409&lt;=0),"",($N3409/$B3409)^(365/($M3409-$A3409))-1))))</f>
        <v/>
      </c>
      <c r="P3409" s="31" t="str">
        <f>IF($B3409="","",IF($P3408="",$B3409,MAX($P3408,$B3409)))</f>
        <v/>
      </c>
      <c r="Q3409" s="32" t="str">
        <f>IF($P3409="","",$B3409/$P3409-1)</f>
        <v/>
      </c>
    </row>
    <row r="3410">
      <c r="A3410" s="11" t="n"/>
      <c r="B3410" s="29" t="n"/>
      <c r="K3410" s="30" t="str">
        <f>IF($A3410="","",EDATE($A3410,12*$E$4))</f>
        <v/>
      </c>
      <c r="L3410" s="19" t="str">
        <f>IF($K3410="","",IF($K3410&gt;MAX($A$8:$A$5007),"",IFERROR(MATCH($K3410,$A$8:$A$5007,1),"")))</f>
        <v/>
      </c>
      <c r="M3410" s="30" t="str">
        <f>IF($L3410="","",INDEX($A$8:$A$5007,$L3410))</f>
        <v/>
      </c>
      <c r="N3410" s="31" t="str">
        <f>IF($L3410="","",INDEX($B$8:$B$5007,$L3410))</f>
        <v/>
      </c>
      <c r="O3410" s="32" t="str">
        <f>IF($M3410="","",IF($K3410-$M3410&gt;7,"",IF($M3410&lt;=$A3410,"",IF(OR($B3410&lt;=0,$N3410&lt;=0),"",($N3410/$B3410)^(365/($M3410-$A3410))-1))))</f>
        <v/>
      </c>
      <c r="P3410" s="31" t="str">
        <f>IF($B3410="","",IF($P3409="",$B3410,MAX($P3409,$B3410)))</f>
        <v/>
      </c>
      <c r="Q3410" s="32" t="str">
        <f>IF($P3410="","",$B3410/$P3410-1)</f>
        <v/>
      </c>
    </row>
    <row r="3411">
      <c r="A3411" s="11" t="n"/>
      <c r="B3411" s="29" t="n"/>
      <c r="K3411" s="30" t="str">
        <f>IF($A3411="","",EDATE($A3411,12*$E$4))</f>
        <v/>
      </c>
      <c r="L3411" s="19" t="str">
        <f>IF($K3411="","",IF($K3411&gt;MAX($A$8:$A$5007),"",IFERROR(MATCH($K3411,$A$8:$A$5007,1),"")))</f>
        <v/>
      </c>
      <c r="M3411" s="30" t="str">
        <f>IF($L3411="","",INDEX($A$8:$A$5007,$L3411))</f>
        <v/>
      </c>
      <c r="N3411" s="31" t="str">
        <f>IF($L3411="","",INDEX($B$8:$B$5007,$L3411))</f>
        <v/>
      </c>
      <c r="O3411" s="32" t="str">
        <f>IF($M3411="","",IF($K3411-$M3411&gt;7,"",IF($M3411&lt;=$A3411,"",IF(OR($B3411&lt;=0,$N3411&lt;=0),"",($N3411/$B3411)^(365/($M3411-$A3411))-1))))</f>
        <v/>
      </c>
      <c r="P3411" s="31" t="str">
        <f>IF($B3411="","",IF($P3410="",$B3411,MAX($P3410,$B3411)))</f>
        <v/>
      </c>
      <c r="Q3411" s="32" t="str">
        <f>IF($P3411="","",$B3411/$P3411-1)</f>
        <v/>
      </c>
    </row>
    <row r="3412">
      <c r="A3412" s="11" t="n"/>
      <c r="B3412" s="29" t="n"/>
      <c r="K3412" s="30" t="str">
        <f>IF($A3412="","",EDATE($A3412,12*$E$4))</f>
        <v/>
      </c>
      <c r="L3412" s="19" t="str">
        <f>IF($K3412="","",IF($K3412&gt;MAX($A$8:$A$5007),"",IFERROR(MATCH($K3412,$A$8:$A$5007,1),"")))</f>
        <v/>
      </c>
      <c r="M3412" s="30" t="str">
        <f>IF($L3412="","",INDEX($A$8:$A$5007,$L3412))</f>
        <v/>
      </c>
      <c r="N3412" s="31" t="str">
        <f>IF($L3412="","",INDEX($B$8:$B$5007,$L3412))</f>
        <v/>
      </c>
      <c r="O3412" s="32" t="str">
        <f>IF($M3412="","",IF($K3412-$M3412&gt;7,"",IF($M3412&lt;=$A3412,"",IF(OR($B3412&lt;=0,$N3412&lt;=0),"",($N3412/$B3412)^(365/($M3412-$A3412))-1))))</f>
        <v/>
      </c>
      <c r="P3412" s="31" t="str">
        <f>IF($B3412="","",IF($P3411="",$B3412,MAX($P3411,$B3412)))</f>
        <v/>
      </c>
      <c r="Q3412" s="32" t="str">
        <f>IF($P3412="","",$B3412/$P3412-1)</f>
        <v/>
      </c>
    </row>
    <row r="3413">
      <c r="A3413" s="11" t="n"/>
      <c r="B3413" s="29" t="n"/>
      <c r="K3413" s="30" t="str">
        <f>IF($A3413="","",EDATE($A3413,12*$E$4))</f>
        <v/>
      </c>
      <c r="L3413" s="19" t="str">
        <f>IF($K3413="","",IF($K3413&gt;MAX($A$8:$A$5007),"",IFERROR(MATCH($K3413,$A$8:$A$5007,1),"")))</f>
        <v/>
      </c>
      <c r="M3413" s="30" t="str">
        <f>IF($L3413="","",INDEX($A$8:$A$5007,$L3413))</f>
        <v/>
      </c>
      <c r="N3413" s="31" t="str">
        <f>IF($L3413="","",INDEX($B$8:$B$5007,$L3413))</f>
        <v/>
      </c>
      <c r="O3413" s="32" t="str">
        <f>IF($M3413="","",IF($K3413-$M3413&gt;7,"",IF($M3413&lt;=$A3413,"",IF(OR($B3413&lt;=0,$N3413&lt;=0),"",($N3413/$B3413)^(365/($M3413-$A3413))-1))))</f>
        <v/>
      </c>
      <c r="P3413" s="31" t="str">
        <f>IF($B3413="","",IF($P3412="",$B3413,MAX($P3412,$B3413)))</f>
        <v/>
      </c>
      <c r="Q3413" s="32" t="str">
        <f>IF($P3413="","",$B3413/$P3413-1)</f>
        <v/>
      </c>
    </row>
    <row r="3414">
      <c r="A3414" s="11" t="n"/>
      <c r="B3414" s="29" t="n"/>
      <c r="K3414" s="30" t="str">
        <f>IF($A3414="","",EDATE($A3414,12*$E$4))</f>
        <v/>
      </c>
      <c r="L3414" s="19" t="str">
        <f>IF($K3414="","",IF($K3414&gt;MAX($A$8:$A$5007),"",IFERROR(MATCH($K3414,$A$8:$A$5007,1),"")))</f>
        <v/>
      </c>
      <c r="M3414" s="30" t="str">
        <f>IF($L3414="","",INDEX($A$8:$A$5007,$L3414))</f>
        <v/>
      </c>
      <c r="N3414" s="31" t="str">
        <f>IF($L3414="","",INDEX($B$8:$B$5007,$L3414))</f>
        <v/>
      </c>
      <c r="O3414" s="32" t="str">
        <f>IF($M3414="","",IF($K3414-$M3414&gt;7,"",IF($M3414&lt;=$A3414,"",IF(OR($B3414&lt;=0,$N3414&lt;=0),"",($N3414/$B3414)^(365/($M3414-$A3414))-1))))</f>
        <v/>
      </c>
      <c r="P3414" s="31" t="str">
        <f>IF($B3414="","",IF($P3413="",$B3414,MAX($P3413,$B3414)))</f>
        <v/>
      </c>
      <c r="Q3414" s="32" t="str">
        <f>IF($P3414="","",$B3414/$P3414-1)</f>
        <v/>
      </c>
    </row>
    <row r="3415">
      <c r="A3415" s="11" t="n"/>
      <c r="B3415" s="29" t="n"/>
      <c r="K3415" s="30" t="str">
        <f>IF($A3415="","",EDATE($A3415,12*$E$4))</f>
        <v/>
      </c>
      <c r="L3415" s="19" t="str">
        <f>IF($K3415="","",IF($K3415&gt;MAX($A$8:$A$5007),"",IFERROR(MATCH($K3415,$A$8:$A$5007,1),"")))</f>
        <v/>
      </c>
      <c r="M3415" s="30" t="str">
        <f>IF($L3415="","",INDEX($A$8:$A$5007,$L3415))</f>
        <v/>
      </c>
      <c r="N3415" s="31" t="str">
        <f>IF($L3415="","",INDEX($B$8:$B$5007,$L3415))</f>
        <v/>
      </c>
      <c r="O3415" s="32" t="str">
        <f>IF($M3415="","",IF($K3415-$M3415&gt;7,"",IF($M3415&lt;=$A3415,"",IF(OR($B3415&lt;=0,$N3415&lt;=0),"",($N3415/$B3415)^(365/($M3415-$A3415))-1))))</f>
        <v/>
      </c>
      <c r="P3415" s="31" t="str">
        <f>IF($B3415="","",IF($P3414="",$B3415,MAX($P3414,$B3415)))</f>
        <v/>
      </c>
      <c r="Q3415" s="32" t="str">
        <f>IF($P3415="","",$B3415/$P3415-1)</f>
        <v/>
      </c>
    </row>
    <row r="3416">
      <c r="A3416" s="11" t="n"/>
      <c r="B3416" s="29" t="n"/>
      <c r="K3416" s="30" t="str">
        <f>IF($A3416="","",EDATE($A3416,12*$E$4))</f>
        <v/>
      </c>
      <c r="L3416" s="19" t="str">
        <f>IF($K3416="","",IF($K3416&gt;MAX($A$8:$A$5007),"",IFERROR(MATCH($K3416,$A$8:$A$5007,1),"")))</f>
        <v/>
      </c>
      <c r="M3416" s="30" t="str">
        <f>IF($L3416="","",INDEX($A$8:$A$5007,$L3416))</f>
        <v/>
      </c>
      <c r="N3416" s="31" t="str">
        <f>IF($L3416="","",INDEX($B$8:$B$5007,$L3416))</f>
        <v/>
      </c>
      <c r="O3416" s="32" t="str">
        <f>IF($M3416="","",IF($K3416-$M3416&gt;7,"",IF($M3416&lt;=$A3416,"",IF(OR($B3416&lt;=0,$N3416&lt;=0),"",($N3416/$B3416)^(365/($M3416-$A3416))-1))))</f>
        <v/>
      </c>
      <c r="P3416" s="31" t="str">
        <f>IF($B3416="","",IF($P3415="",$B3416,MAX($P3415,$B3416)))</f>
        <v/>
      </c>
      <c r="Q3416" s="32" t="str">
        <f>IF($P3416="","",$B3416/$P3416-1)</f>
        <v/>
      </c>
    </row>
    <row r="3417">
      <c r="A3417" s="11" t="n"/>
      <c r="B3417" s="29" t="n"/>
      <c r="K3417" s="30" t="str">
        <f>IF($A3417="","",EDATE($A3417,12*$E$4))</f>
        <v/>
      </c>
      <c r="L3417" s="19" t="str">
        <f>IF($K3417="","",IF($K3417&gt;MAX($A$8:$A$5007),"",IFERROR(MATCH($K3417,$A$8:$A$5007,1),"")))</f>
        <v/>
      </c>
      <c r="M3417" s="30" t="str">
        <f>IF($L3417="","",INDEX($A$8:$A$5007,$L3417))</f>
        <v/>
      </c>
      <c r="N3417" s="31" t="str">
        <f>IF($L3417="","",INDEX($B$8:$B$5007,$L3417))</f>
        <v/>
      </c>
      <c r="O3417" s="32" t="str">
        <f>IF($M3417="","",IF($K3417-$M3417&gt;7,"",IF($M3417&lt;=$A3417,"",IF(OR($B3417&lt;=0,$N3417&lt;=0),"",($N3417/$B3417)^(365/($M3417-$A3417))-1))))</f>
        <v/>
      </c>
      <c r="P3417" s="31" t="str">
        <f>IF($B3417="","",IF($P3416="",$B3417,MAX($P3416,$B3417)))</f>
        <v/>
      </c>
      <c r="Q3417" s="32" t="str">
        <f>IF($P3417="","",$B3417/$P3417-1)</f>
        <v/>
      </c>
    </row>
    <row r="3418">
      <c r="A3418" s="11" t="n"/>
      <c r="B3418" s="29" t="n"/>
      <c r="K3418" s="30" t="str">
        <f>IF($A3418="","",EDATE($A3418,12*$E$4))</f>
        <v/>
      </c>
      <c r="L3418" s="19" t="str">
        <f>IF($K3418="","",IF($K3418&gt;MAX($A$8:$A$5007),"",IFERROR(MATCH($K3418,$A$8:$A$5007,1),"")))</f>
        <v/>
      </c>
      <c r="M3418" s="30" t="str">
        <f>IF($L3418="","",INDEX($A$8:$A$5007,$L3418))</f>
        <v/>
      </c>
      <c r="N3418" s="31" t="str">
        <f>IF($L3418="","",INDEX($B$8:$B$5007,$L3418))</f>
        <v/>
      </c>
      <c r="O3418" s="32" t="str">
        <f>IF($M3418="","",IF($K3418-$M3418&gt;7,"",IF($M3418&lt;=$A3418,"",IF(OR($B3418&lt;=0,$N3418&lt;=0),"",($N3418/$B3418)^(365/($M3418-$A3418))-1))))</f>
        <v/>
      </c>
      <c r="P3418" s="31" t="str">
        <f>IF($B3418="","",IF($P3417="",$B3418,MAX($P3417,$B3418)))</f>
        <v/>
      </c>
      <c r="Q3418" s="32" t="str">
        <f>IF($P3418="","",$B3418/$P3418-1)</f>
        <v/>
      </c>
    </row>
    <row r="3419">
      <c r="A3419" s="11" t="n"/>
      <c r="B3419" s="29" t="n"/>
      <c r="K3419" s="30" t="str">
        <f>IF($A3419="","",EDATE($A3419,12*$E$4))</f>
        <v/>
      </c>
      <c r="L3419" s="19" t="str">
        <f>IF($K3419="","",IF($K3419&gt;MAX($A$8:$A$5007),"",IFERROR(MATCH($K3419,$A$8:$A$5007,1),"")))</f>
        <v/>
      </c>
      <c r="M3419" s="30" t="str">
        <f>IF($L3419="","",INDEX($A$8:$A$5007,$L3419))</f>
        <v/>
      </c>
      <c r="N3419" s="31" t="str">
        <f>IF($L3419="","",INDEX($B$8:$B$5007,$L3419))</f>
        <v/>
      </c>
      <c r="O3419" s="32" t="str">
        <f>IF($M3419="","",IF($K3419-$M3419&gt;7,"",IF($M3419&lt;=$A3419,"",IF(OR($B3419&lt;=0,$N3419&lt;=0),"",($N3419/$B3419)^(365/($M3419-$A3419))-1))))</f>
        <v/>
      </c>
      <c r="P3419" s="31" t="str">
        <f>IF($B3419="","",IF($P3418="",$B3419,MAX($P3418,$B3419)))</f>
        <v/>
      </c>
      <c r="Q3419" s="32" t="str">
        <f>IF($P3419="","",$B3419/$P3419-1)</f>
        <v/>
      </c>
    </row>
    <row r="3420">
      <c r="A3420" s="11" t="n"/>
      <c r="B3420" s="29" t="n"/>
      <c r="K3420" s="30" t="str">
        <f>IF($A3420="","",EDATE($A3420,12*$E$4))</f>
        <v/>
      </c>
      <c r="L3420" s="19" t="str">
        <f>IF($K3420="","",IF($K3420&gt;MAX($A$8:$A$5007),"",IFERROR(MATCH($K3420,$A$8:$A$5007,1),"")))</f>
        <v/>
      </c>
      <c r="M3420" s="30" t="str">
        <f>IF($L3420="","",INDEX($A$8:$A$5007,$L3420))</f>
        <v/>
      </c>
      <c r="N3420" s="31" t="str">
        <f>IF($L3420="","",INDEX($B$8:$B$5007,$L3420))</f>
        <v/>
      </c>
      <c r="O3420" s="32" t="str">
        <f>IF($M3420="","",IF($K3420-$M3420&gt;7,"",IF($M3420&lt;=$A3420,"",IF(OR($B3420&lt;=0,$N3420&lt;=0),"",($N3420/$B3420)^(365/($M3420-$A3420))-1))))</f>
        <v/>
      </c>
      <c r="P3420" s="31" t="str">
        <f>IF($B3420="","",IF($P3419="",$B3420,MAX($P3419,$B3420)))</f>
        <v/>
      </c>
      <c r="Q3420" s="32" t="str">
        <f>IF($P3420="","",$B3420/$P3420-1)</f>
        <v/>
      </c>
    </row>
    <row r="3421">
      <c r="A3421" s="11" t="n"/>
      <c r="B3421" s="29" t="n"/>
      <c r="K3421" s="30" t="str">
        <f>IF($A3421="","",EDATE($A3421,12*$E$4))</f>
        <v/>
      </c>
      <c r="L3421" s="19" t="str">
        <f>IF($K3421="","",IF($K3421&gt;MAX($A$8:$A$5007),"",IFERROR(MATCH($K3421,$A$8:$A$5007,1),"")))</f>
        <v/>
      </c>
      <c r="M3421" s="30" t="str">
        <f>IF($L3421="","",INDEX($A$8:$A$5007,$L3421))</f>
        <v/>
      </c>
      <c r="N3421" s="31" t="str">
        <f>IF($L3421="","",INDEX($B$8:$B$5007,$L3421))</f>
        <v/>
      </c>
      <c r="O3421" s="32" t="str">
        <f>IF($M3421="","",IF($K3421-$M3421&gt;7,"",IF($M3421&lt;=$A3421,"",IF(OR($B3421&lt;=0,$N3421&lt;=0),"",($N3421/$B3421)^(365/($M3421-$A3421))-1))))</f>
        <v/>
      </c>
      <c r="P3421" s="31" t="str">
        <f>IF($B3421="","",IF($P3420="",$B3421,MAX($P3420,$B3421)))</f>
        <v/>
      </c>
      <c r="Q3421" s="32" t="str">
        <f>IF($P3421="","",$B3421/$P3421-1)</f>
        <v/>
      </c>
    </row>
    <row r="3422">
      <c r="A3422" s="11" t="n"/>
      <c r="B3422" s="29" t="n"/>
      <c r="K3422" s="30" t="str">
        <f>IF($A3422="","",EDATE($A3422,12*$E$4))</f>
        <v/>
      </c>
      <c r="L3422" s="19" t="str">
        <f>IF($K3422="","",IF($K3422&gt;MAX($A$8:$A$5007),"",IFERROR(MATCH($K3422,$A$8:$A$5007,1),"")))</f>
        <v/>
      </c>
      <c r="M3422" s="30" t="str">
        <f>IF($L3422="","",INDEX($A$8:$A$5007,$L3422))</f>
        <v/>
      </c>
      <c r="N3422" s="31" t="str">
        <f>IF($L3422="","",INDEX($B$8:$B$5007,$L3422))</f>
        <v/>
      </c>
      <c r="O3422" s="32" t="str">
        <f>IF($M3422="","",IF($K3422-$M3422&gt;7,"",IF($M3422&lt;=$A3422,"",IF(OR($B3422&lt;=0,$N3422&lt;=0),"",($N3422/$B3422)^(365/($M3422-$A3422))-1))))</f>
        <v/>
      </c>
      <c r="P3422" s="31" t="str">
        <f>IF($B3422="","",IF($P3421="",$B3422,MAX($P3421,$B3422)))</f>
        <v/>
      </c>
      <c r="Q3422" s="32" t="str">
        <f>IF($P3422="","",$B3422/$P3422-1)</f>
        <v/>
      </c>
    </row>
    <row r="3423">
      <c r="A3423" s="11" t="n"/>
      <c r="B3423" s="29" t="n"/>
      <c r="K3423" s="30" t="str">
        <f>IF($A3423="","",EDATE($A3423,12*$E$4))</f>
        <v/>
      </c>
      <c r="L3423" s="19" t="str">
        <f>IF($K3423="","",IF($K3423&gt;MAX($A$8:$A$5007),"",IFERROR(MATCH($K3423,$A$8:$A$5007,1),"")))</f>
        <v/>
      </c>
      <c r="M3423" s="30" t="str">
        <f>IF($L3423="","",INDEX($A$8:$A$5007,$L3423))</f>
        <v/>
      </c>
      <c r="N3423" s="31" t="str">
        <f>IF($L3423="","",INDEX($B$8:$B$5007,$L3423))</f>
        <v/>
      </c>
      <c r="O3423" s="32" t="str">
        <f>IF($M3423="","",IF($K3423-$M3423&gt;7,"",IF($M3423&lt;=$A3423,"",IF(OR($B3423&lt;=0,$N3423&lt;=0),"",($N3423/$B3423)^(365/($M3423-$A3423))-1))))</f>
        <v/>
      </c>
      <c r="P3423" s="31" t="str">
        <f>IF($B3423="","",IF($P3422="",$B3423,MAX($P3422,$B3423)))</f>
        <v/>
      </c>
      <c r="Q3423" s="32" t="str">
        <f>IF($P3423="","",$B3423/$P3423-1)</f>
        <v/>
      </c>
    </row>
    <row r="3424">
      <c r="A3424" s="11" t="n"/>
      <c r="B3424" s="29" t="n"/>
      <c r="K3424" s="30" t="str">
        <f>IF($A3424="","",EDATE($A3424,12*$E$4))</f>
        <v/>
      </c>
      <c r="L3424" s="19" t="str">
        <f>IF($K3424="","",IF($K3424&gt;MAX($A$8:$A$5007),"",IFERROR(MATCH($K3424,$A$8:$A$5007,1),"")))</f>
        <v/>
      </c>
      <c r="M3424" s="30" t="str">
        <f>IF($L3424="","",INDEX($A$8:$A$5007,$L3424))</f>
        <v/>
      </c>
      <c r="N3424" s="31" t="str">
        <f>IF($L3424="","",INDEX($B$8:$B$5007,$L3424))</f>
        <v/>
      </c>
      <c r="O3424" s="32" t="str">
        <f>IF($M3424="","",IF($K3424-$M3424&gt;7,"",IF($M3424&lt;=$A3424,"",IF(OR($B3424&lt;=0,$N3424&lt;=0),"",($N3424/$B3424)^(365/($M3424-$A3424))-1))))</f>
        <v/>
      </c>
      <c r="P3424" s="31" t="str">
        <f>IF($B3424="","",IF($P3423="",$B3424,MAX($P3423,$B3424)))</f>
        <v/>
      </c>
      <c r="Q3424" s="32" t="str">
        <f>IF($P3424="","",$B3424/$P3424-1)</f>
        <v/>
      </c>
    </row>
    <row r="3425">
      <c r="A3425" s="11" t="n"/>
      <c r="B3425" s="29" t="n"/>
      <c r="K3425" s="30" t="str">
        <f>IF($A3425="","",EDATE($A3425,12*$E$4))</f>
        <v/>
      </c>
      <c r="L3425" s="19" t="str">
        <f>IF($K3425="","",IF($K3425&gt;MAX($A$8:$A$5007),"",IFERROR(MATCH($K3425,$A$8:$A$5007,1),"")))</f>
        <v/>
      </c>
      <c r="M3425" s="30" t="str">
        <f>IF($L3425="","",INDEX($A$8:$A$5007,$L3425))</f>
        <v/>
      </c>
      <c r="N3425" s="31" t="str">
        <f>IF($L3425="","",INDEX($B$8:$B$5007,$L3425))</f>
        <v/>
      </c>
      <c r="O3425" s="32" t="str">
        <f>IF($M3425="","",IF($K3425-$M3425&gt;7,"",IF($M3425&lt;=$A3425,"",IF(OR($B3425&lt;=0,$N3425&lt;=0),"",($N3425/$B3425)^(365/($M3425-$A3425))-1))))</f>
        <v/>
      </c>
      <c r="P3425" s="31" t="str">
        <f>IF($B3425="","",IF($P3424="",$B3425,MAX($P3424,$B3425)))</f>
        <v/>
      </c>
      <c r="Q3425" s="32" t="str">
        <f>IF($P3425="","",$B3425/$P3425-1)</f>
        <v/>
      </c>
    </row>
    <row r="3426">
      <c r="A3426" s="11" t="n"/>
      <c r="B3426" s="29" t="n"/>
      <c r="K3426" s="30" t="str">
        <f>IF($A3426="","",EDATE($A3426,12*$E$4))</f>
        <v/>
      </c>
      <c r="L3426" s="19" t="str">
        <f>IF($K3426="","",IF($K3426&gt;MAX($A$8:$A$5007),"",IFERROR(MATCH($K3426,$A$8:$A$5007,1),"")))</f>
        <v/>
      </c>
      <c r="M3426" s="30" t="str">
        <f>IF($L3426="","",INDEX($A$8:$A$5007,$L3426))</f>
        <v/>
      </c>
      <c r="N3426" s="31" t="str">
        <f>IF($L3426="","",INDEX($B$8:$B$5007,$L3426))</f>
        <v/>
      </c>
      <c r="O3426" s="32" t="str">
        <f>IF($M3426="","",IF($K3426-$M3426&gt;7,"",IF($M3426&lt;=$A3426,"",IF(OR($B3426&lt;=0,$N3426&lt;=0),"",($N3426/$B3426)^(365/($M3426-$A3426))-1))))</f>
        <v/>
      </c>
      <c r="P3426" s="31" t="str">
        <f>IF($B3426="","",IF($P3425="",$B3426,MAX($P3425,$B3426)))</f>
        <v/>
      </c>
      <c r="Q3426" s="32" t="str">
        <f>IF($P3426="","",$B3426/$P3426-1)</f>
        <v/>
      </c>
    </row>
    <row r="3427">
      <c r="A3427" s="11" t="n"/>
      <c r="B3427" s="29" t="n"/>
      <c r="K3427" s="30" t="str">
        <f>IF($A3427="","",EDATE($A3427,12*$E$4))</f>
        <v/>
      </c>
      <c r="L3427" s="19" t="str">
        <f>IF($K3427="","",IF($K3427&gt;MAX($A$8:$A$5007),"",IFERROR(MATCH($K3427,$A$8:$A$5007,1),"")))</f>
        <v/>
      </c>
      <c r="M3427" s="30" t="str">
        <f>IF($L3427="","",INDEX($A$8:$A$5007,$L3427))</f>
        <v/>
      </c>
      <c r="N3427" s="31" t="str">
        <f>IF($L3427="","",INDEX($B$8:$B$5007,$L3427))</f>
        <v/>
      </c>
      <c r="O3427" s="32" t="str">
        <f>IF($M3427="","",IF($K3427-$M3427&gt;7,"",IF($M3427&lt;=$A3427,"",IF(OR($B3427&lt;=0,$N3427&lt;=0),"",($N3427/$B3427)^(365/($M3427-$A3427))-1))))</f>
        <v/>
      </c>
      <c r="P3427" s="31" t="str">
        <f>IF($B3427="","",IF($P3426="",$B3427,MAX($P3426,$B3427)))</f>
        <v/>
      </c>
      <c r="Q3427" s="32" t="str">
        <f>IF($P3427="","",$B3427/$P3427-1)</f>
        <v/>
      </c>
    </row>
    <row r="3428">
      <c r="A3428" s="11" t="n"/>
      <c r="B3428" s="29" t="n"/>
      <c r="K3428" s="30" t="str">
        <f>IF($A3428="","",EDATE($A3428,12*$E$4))</f>
        <v/>
      </c>
      <c r="L3428" s="19" t="str">
        <f>IF($K3428="","",IF($K3428&gt;MAX($A$8:$A$5007),"",IFERROR(MATCH($K3428,$A$8:$A$5007,1),"")))</f>
        <v/>
      </c>
      <c r="M3428" s="30" t="str">
        <f>IF($L3428="","",INDEX($A$8:$A$5007,$L3428))</f>
        <v/>
      </c>
      <c r="N3428" s="31" t="str">
        <f>IF($L3428="","",INDEX($B$8:$B$5007,$L3428))</f>
        <v/>
      </c>
      <c r="O3428" s="32" t="str">
        <f>IF($M3428="","",IF($K3428-$M3428&gt;7,"",IF($M3428&lt;=$A3428,"",IF(OR($B3428&lt;=0,$N3428&lt;=0),"",($N3428/$B3428)^(365/($M3428-$A3428))-1))))</f>
        <v/>
      </c>
      <c r="P3428" s="31" t="str">
        <f>IF($B3428="","",IF($P3427="",$B3428,MAX($P3427,$B3428)))</f>
        <v/>
      </c>
      <c r="Q3428" s="32" t="str">
        <f>IF($P3428="","",$B3428/$P3428-1)</f>
        <v/>
      </c>
    </row>
    <row r="3429">
      <c r="A3429" s="11" t="n"/>
      <c r="B3429" s="29" t="n"/>
      <c r="K3429" s="30" t="str">
        <f>IF($A3429="","",EDATE($A3429,12*$E$4))</f>
        <v/>
      </c>
      <c r="L3429" s="19" t="str">
        <f>IF($K3429="","",IF($K3429&gt;MAX($A$8:$A$5007),"",IFERROR(MATCH($K3429,$A$8:$A$5007,1),"")))</f>
        <v/>
      </c>
      <c r="M3429" s="30" t="str">
        <f>IF($L3429="","",INDEX($A$8:$A$5007,$L3429))</f>
        <v/>
      </c>
      <c r="N3429" s="31" t="str">
        <f>IF($L3429="","",INDEX($B$8:$B$5007,$L3429))</f>
        <v/>
      </c>
      <c r="O3429" s="32" t="str">
        <f>IF($M3429="","",IF($K3429-$M3429&gt;7,"",IF($M3429&lt;=$A3429,"",IF(OR($B3429&lt;=0,$N3429&lt;=0),"",($N3429/$B3429)^(365/($M3429-$A3429))-1))))</f>
        <v/>
      </c>
      <c r="P3429" s="31" t="str">
        <f>IF($B3429="","",IF($P3428="",$B3429,MAX($P3428,$B3429)))</f>
        <v/>
      </c>
      <c r="Q3429" s="32" t="str">
        <f>IF($P3429="","",$B3429/$P3429-1)</f>
        <v/>
      </c>
    </row>
    <row r="3430">
      <c r="A3430" s="11" t="n"/>
      <c r="B3430" s="29" t="n"/>
      <c r="K3430" s="30" t="str">
        <f>IF($A3430="","",EDATE($A3430,12*$E$4))</f>
        <v/>
      </c>
      <c r="L3430" s="19" t="str">
        <f>IF($K3430="","",IF($K3430&gt;MAX($A$8:$A$5007),"",IFERROR(MATCH($K3430,$A$8:$A$5007,1),"")))</f>
        <v/>
      </c>
      <c r="M3430" s="30" t="str">
        <f>IF($L3430="","",INDEX($A$8:$A$5007,$L3430))</f>
        <v/>
      </c>
      <c r="N3430" s="31" t="str">
        <f>IF($L3430="","",INDEX($B$8:$B$5007,$L3430))</f>
        <v/>
      </c>
      <c r="O3430" s="32" t="str">
        <f>IF($M3430="","",IF($K3430-$M3430&gt;7,"",IF($M3430&lt;=$A3430,"",IF(OR($B3430&lt;=0,$N3430&lt;=0),"",($N3430/$B3430)^(365/($M3430-$A3430))-1))))</f>
        <v/>
      </c>
      <c r="P3430" s="31" t="str">
        <f>IF($B3430="","",IF($P3429="",$B3430,MAX($P3429,$B3430)))</f>
        <v/>
      </c>
      <c r="Q3430" s="32" t="str">
        <f>IF($P3430="","",$B3430/$P3430-1)</f>
        <v/>
      </c>
    </row>
    <row r="3431">
      <c r="A3431" s="11" t="n"/>
      <c r="B3431" s="29" t="n"/>
      <c r="K3431" s="30" t="str">
        <f>IF($A3431="","",EDATE($A3431,12*$E$4))</f>
        <v/>
      </c>
      <c r="L3431" s="19" t="str">
        <f>IF($K3431="","",IF($K3431&gt;MAX($A$8:$A$5007),"",IFERROR(MATCH($K3431,$A$8:$A$5007,1),"")))</f>
        <v/>
      </c>
      <c r="M3431" s="30" t="str">
        <f>IF($L3431="","",INDEX($A$8:$A$5007,$L3431))</f>
        <v/>
      </c>
      <c r="N3431" s="31" t="str">
        <f>IF($L3431="","",INDEX($B$8:$B$5007,$L3431))</f>
        <v/>
      </c>
      <c r="O3431" s="32" t="str">
        <f>IF($M3431="","",IF($K3431-$M3431&gt;7,"",IF($M3431&lt;=$A3431,"",IF(OR($B3431&lt;=0,$N3431&lt;=0),"",($N3431/$B3431)^(365/($M3431-$A3431))-1))))</f>
        <v/>
      </c>
      <c r="P3431" s="31" t="str">
        <f>IF($B3431="","",IF($P3430="",$B3431,MAX($P3430,$B3431)))</f>
        <v/>
      </c>
      <c r="Q3431" s="32" t="str">
        <f>IF($P3431="","",$B3431/$P3431-1)</f>
        <v/>
      </c>
    </row>
    <row r="3432">
      <c r="A3432" s="11" t="n"/>
      <c r="B3432" s="29" t="n"/>
      <c r="K3432" s="30" t="str">
        <f>IF($A3432="","",EDATE($A3432,12*$E$4))</f>
        <v/>
      </c>
      <c r="L3432" s="19" t="str">
        <f>IF($K3432="","",IF($K3432&gt;MAX($A$8:$A$5007),"",IFERROR(MATCH($K3432,$A$8:$A$5007,1),"")))</f>
        <v/>
      </c>
      <c r="M3432" s="30" t="str">
        <f>IF($L3432="","",INDEX($A$8:$A$5007,$L3432))</f>
        <v/>
      </c>
      <c r="N3432" s="31" t="str">
        <f>IF($L3432="","",INDEX($B$8:$B$5007,$L3432))</f>
        <v/>
      </c>
      <c r="O3432" s="32" t="str">
        <f>IF($M3432="","",IF($K3432-$M3432&gt;7,"",IF($M3432&lt;=$A3432,"",IF(OR($B3432&lt;=0,$N3432&lt;=0),"",($N3432/$B3432)^(365/($M3432-$A3432))-1))))</f>
        <v/>
      </c>
      <c r="P3432" s="31" t="str">
        <f>IF($B3432="","",IF($P3431="",$B3432,MAX($P3431,$B3432)))</f>
        <v/>
      </c>
      <c r="Q3432" s="32" t="str">
        <f>IF($P3432="","",$B3432/$P3432-1)</f>
        <v/>
      </c>
    </row>
    <row r="3433">
      <c r="A3433" s="11" t="n"/>
      <c r="B3433" s="29" t="n"/>
      <c r="K3433" s="30" t="str">
        <f>IF($A3433="","",EDATE($A3433,12*$E$4))</f>
        <v/>
      </c>
      <c r="L3433" s="19" t="str">
        <f>IF($K3433="","",IF($K3433&gt;MAX($A$8:$A$5007),"",IFERROR(MATCH($K3433,$A$8:$A$5007,1),"")))</f>
        <v/>
      </c>
      <c r="M3433" s="30" t="str">
        <f>IF($L3433="","",INDEX($A$8:$A$5007,$L3433))</f>
        <v/>
      </c>
      <c r="N3433" s="31" t="str">
        <f>IF($L3433="","",INDEX($B$8:$B$5007,$L3433))</f>
        <v/>
      </c>
      <c r="O3433" s="32" t="str">
        <f>IF($M3433="","",IF($K3433-$M3433&gt;7,"",IF($M3433&lt;=$A3433,"",IF(OR($B3433&lt;=0,$N3433&lt;=0),"",($N3433/$B3433)^(365/($M3433-$A3433))-1))))</f>
        <v/>
      </c>
      <c r="P3433" s="31" t="str">
        <f>IF($B3433="","",IF($P3432="",$B3433,MAX($P3432,$B3433)))</f>
        <v/>
      </c>
      <c r="Q3433" s="32" t="str">
        <f>IF($P3433="","",$B3433/$P3433-1)</f>
        <v/>
      </c>
    </row>
    <row r="3434">
      <c r="A3434" s="11" t="n"/>
      <c r="B3434" s="29" t="n"/>
      <c r="K3434" s="30" t="str">
        <f>IF($A3434="","",EDATE($A3434,12*$E$4))</f>
        <v/>
      </c>
      <c r="L3434" s="19" t="str">
        <f>IF($K3434="","",IF($K3434&gt;MAX($A$8:$A$5007),"",IFERROR(MATCH($K3434,$A$8:$A$5007,1),"")))</f>
        <v/>
      </c>
      <c r="M3434" s="30" t="str">
        <f>IF($L3434="","",INDEX($A$8:$A$5007,$L3434))</f>
        <v/>
      </c>
      <c r="N3434" s="31" t="str">
        <f>IF($L3434="","",INDEX($B$8:$B$5007,$L3434))</f>
        <v/>
      </c>
      <c r="O3434" s="32" t="str">
        <f>IF($M3434="","",IF($K3434-$M3434&gt;7,"",IF($M3434&lt;=$A3434,"",IF(OR($B3434&lt;=0,$N3434&lt;=0),"",($N3434/$B3434)^(365/($M3434-$A3434))-1))))</f>
        <v/>
      </c>
      <c r="P3434" s="31" t="str">
        <f>IF($B3434="","",IF($P3433="",$B3434,MAX($P3433,$B3434)))</f>
        <v/>
      </c>
      <c r="Q3434" s="32" t="str">
        <f>IF($P3434="","",$B3434/$P3434-1)</f>
        <v/>
      </c>
    </row>
    <row r="3435">
      <c r="A3435" s="11" t="n"/>
      <c r="B3435" s="29" t="n"/>
      <c r="K3435" s="30" t="str">
        <f>IF($A3435="","",EDATE($A3435,12*$E$4))</f>
        <v/>
      </c>
      <c r="L3435" s="19" t="str">
        <f>IF($K3435="","",IF($K3435&gt;MAX($A$8:$A$5007),"",IFERROR(MATCH($K3435,$A$8:$A$5007,1),"")))</f>
        <v/>
      </c>
      <c r="M3435" s="30" t="str">
        <f>IF($L3435="","",INDEX($A$8:$A$5007,$L3435))</f>
        <v/>
      </c>
      <c r="N3435" s="31" t="str">
        <f>IF($L3435="","",INDEX($B$8:$B$5007,$L3435))</f>
        <v/>
      </c>
      <c r="O3435" s="32" t="str">
        <f>IF($M3435="","",IF($K3435-$M3435&gt;7,"",IF($M3435&lt;=$A3435,"",IF(OR($B3435&lt;=0,$N3435&lt;=0),"",($N3435/$B3435)^(365/($M3435-$A3435))-1))))</f>
        <v/>
      </c>
      <c r="P3435" s="31" t="str">
        <f>IF($B3435="","",IF($P3434="",$B3435,MAX($P3434,$B3435)))</f>
        <v/>
      </c>
      <c r="Q3435" s="32" t="str">
        <f>IF($P3435="","",$B3435/$P3435-1)</f>
        <v/>
      </c>
    </row>
    <row r="3436">
      <c r="A3436" s="11" t="n"/>
      <c r="B3436" s="29" t="n"/>
      <c r="K3436" s="30" t="str">
        <f>IF($A3436="","",EDATE($A3436,12*$E$4))</f>
        <v/>
      </c>
      <c r="L3436" s="19" t="str">
        <f>IF($K3436="","",IF($K3436&gt;MAX($A$8:$A$5007),"",IFERROR(MATCH($K3436,$A$8:$A$5007,1),"")))</f>
        <v/>
      </c>
      <c r="M3436" s="30" t="str">
        <f>IF($L3436="","",INDEX($A$8:$A$5007,$L3436))</f>
        <v/>
      </c>
      <c r="N3436" s="31" t="str">
        <f>IF($L3436="","",INDEX($B$8:$B$5007,$L3436))</f>
        <v/>
      </c>
      <c r="O3436" s="32" t="str">
        <f>IF($M3436="","",IF($K3436-$M3436&gt;7,"",IF($M3436&lt;=$A3436,"",IF(OR($B3436&lt;=0,$N3436&lt;=0),"",($N3436/$B3436)^(365/($M3436-$A3436))-1))))</f>
        <v/>
      </c>
      <c r="P3436" s="31" t="str">
        <f>IF($B3436="","",IF($P3435="",$B3436,MAX($P3435,$B3436)))</f>
        <v/>
      </c>
      <c r="Q3436" s="32" t="str">
        <f>IF($P3436="","",$B3436/$P3436-1)</f>
        <v/>
      </c>
    </row>
    <row r="3437">
      <c r="A3437" s="11" t="n"/>
      <c r="B3437" s="29" t="n"/>
      <c r="K3437" s="30" t="str">
        <f>IF($A3437="","",EDATE($A3437,12*$E$4))</f>
        <v/>
      </c>
      <c r="L3437" s="19" t="str">
        <f>IF($K3437="","",IF($K3437&gt;MAX($A$8:$A$5007),"",IFERROR(MATCH($K3437,$A$8:$A$5007,1),"")))</f>
        <v/>
      </c>
      <c r="M3437" s="30" t="str">
        <f>IF($L3437="","",INDEX($A$8:$A$5007,$L3437))</f>
        <v/>
      </c>
      <c r="N3437" s="31" t="str">
        <f>IF($L3437="","",INDEX($B$8:$B$5007,$L3437))</f>
        <v/>
      </c>
      <c r="O3437" s="32" t="str">
        <f>IF($M3437="","",IF($K3437-$M3437&gt;7,"",IF($M3437&lt;=$A3437,"",IF(OR($B3437&lt;=0,$N3437&lt;=0),"",($N3437/$B3437)^(365/($M3437-$A3437))-1))))</f>
        <v/>
      </c>
      <c r="P3437" s="31" t="str">
        <f>IF($B3437="","",IF($P3436="",$B3437,MAX($P3436,$B3437)))</f>
        <v/>
      </c>
      <c r="Q3437" s="32" t="str">
        <f>IF($P3437="","",$B3437/$P3437-1)</f>
        <v/>
      </c>
    </row>
    <row r="3438">
      <c r="A3438" s="11" t="n"/>
      <c r="B3438" s="29" t="n"/>
      <c r="K3438" s="30" t="str">
        <f>IF($A3438="","",EDATE($A3438,12*$E$4))</f>
        <v/>
      </c>
      <c r="L3438" s="19" t="str">
        <f>IF($K3438="","",IF($K3438&gt;MAX($A$8:$A$5007),"",IFERROR(MATCH($K3438,$A$8:$A$5007,1),"")))</f>
        <v/>
      </c>
      <c r="M3438" s="30" t="str">
        <f>IF($L3438="","",INDEX($A$8:$A$5007,$L3438))</f>
        <v/>
      </c>
      <c r="N3438" s="31" t="str">
        <f>IF($L3438="","",INDEX($B$8:$B$5007,$L3438))</f>
        <v/>
      </c>
      <c r="O3438" s="32" t="str">
        <f>IF($M3438="","",IF($K3438-$M3438&gt;7,"",IF($M3438&lt;=$A3438,"",IF(OR($B3438&lt;=0,$N3438&lt;=0),"",($N3438/$B3438)^(365/($M3438-$A3438))-1))))</f>
        <v/>
      </c>
      <c r="P3438" s="31" t="str">
        <f>IF($B3438="","",IF($P3437="",$B3438,MAX($P3437,$B3438)))</f>
        <v/>
      </c>
      <c r="Q3438" s="32" t="str">
        <f>IF($P3438="","",$B3438/$P3438-1)</f>
        <v/>
      </c>
    </row>
    <row r="3439">
      <c r="A3439" s="11" t="n"/>
      <c r="B3439" s="29" t="n"/>
      <c r="K3439" s="30" t="str">
        <f>IF($A3439="","",EDATE($A3439,12*$E$4))</f>
        <v/>
      </c>
      <c r="L3439" s="19" t="str">
        <f>IF($K3439="","",IF($K3439&gt;MAX($A$8:$A$5007),"",IFERROR(MATCH($K3439,$A$8:$A$5007,1),"")))</f>
        <v/>
      </c>
      <c r="M3439" s="30" t="str">
        <f>IF($L3439="","",INDEX($A$8:$A$5007,$L3439))</f>
        <v/>
      </c>
      <c r="N3439" s="31" t="str">
        <f>IF($L3439="","",INDEX($B$8:$B$5007,$L3439))</f>
        <v/>
      </c>
      <c r="O3439" s="32" t="str">
        <f>IF($M3439="","",IF($K3439-$M3439&gt;7,"",IF($M3439&lt;=$A3439,"",IF(OR($B3439&lt;=0,$N3439&lt;=0),"",($N3439/$B3439)^(365/($M3439-$A3439))-1))))</f>
        <v/>
      </c>
      <c r="P3439" s="31" t="str">
        <f>IF($B3439="","",IF($P3438="",$B3439,MAX($P3438,$B3439)))</f>
        <v/>
      </c>
      <c r="Q3439" s="32" t="str">
        <f>IF($P3439="","",$B3439/$P3439-1)</f>
        <v/>
      </c>
    </row>
    <row r="3440">
      <c r="A3440" s="11" t="n"/>
      <c r="B3440" s="29" t="n"/>
      <c r="K3440" s="30" t="str">
        <f>IF($A3440="","",EDATE($A3440,12*$E$4))</f>
        <v/>
      </c>
      <c r="L3440" s="19" t="str">
        <f>IF($K3440="","",IF($K3440&gt;MAX($A$8:$A$5007),"",IFERROR(MATCH($K3440,$A$8:$A$5007,1),"")))</f>
        <v/>
      </c>
      <c r="M3440" s="30" t="str">
        <f>IF($L3440="","",INDEX($A$8:$A$5007,$L3440))</f>
        <v/>
      </c>
      <c r="N3440" s="31" t="str">
        <f>IF($L3440="","",INDEX($B$8:$B$5007,$L3440))</f>
        <v/>
      </c>
      <c r="O3440" s="32" t="str">
        <f>IF($M3440="","",IF($K3440-$M3440&gt;7,"",IF($M3440&lt;=$A3440,"",IF(OR($B3440&lt;=0,$N3440&lt;=0),"",($N3440/$B3440)^(365/($M3440-$A3440))-1))))</f>
        <v/>
      </c>
      <c r="P3440" s="31" t="str">
        <f>IF($B3440="","",IF($P3439="",$B3440,MAX($P3439,$B3440)))</f>
        <v/>
      </c>
      <c r="Q3440" s="32" t="str">
        <f>IF($P3440="","",$B3440/$P3440-1)</f>
        <v/>
      </c>
    </row>
    <row r="3441">
      <c r="A3441" s="11" t="n"/>
      <c r="B3441" s="29" t="n"/>
      <c r="K3441" s="30" t="str">
        <f>IF($A3441="","",EDATE($A3441,12*$E$4))</f>
        <v/>
      </c>
      <c r="L3441" s="19" t="str">
        <f>IF($K3441="","",IF($K3441&gt;MAX($A$8:$A$5007),"",IFERROR(MATCH($K3441,$A$8:$A$5007,1),"")))</f>
        <v/>
      </c>
      <c r="M3441" s="30" t="str">
        <f>IF($L3441="","",INDEX($A$8:$A$5007,$L3441))</f>
        <v/>
      </c>
      <c r="N3441" s="31" t="str">
        <f>IF($L3441="","",INDEX($B$8:$B$5007,$L3441))</f>
        <v/>
      </c>
      <c r="O3441" s="32" t="str">
        <f>IF($M3441="","",IF($K3441-$M3441&gt;7,"",IF($M3441&lt;=$A3441,"",IF(OR($B3441&lt;=0,$N3441&lt;=0),"",($N3441/$B3441)^(365/($M3441-$A3441))-1))))</f>
        <v/>
      </c>
      <c r="P3441" s="31" t="str">
        <f>IF($B3441="","",IF($P3440="",$B3441,MAX($P3440,$B3441)))</f>
        <v/>
      </c>
      <c r="Q3441" s="32" t="str">
        <f>IF($P3441="","",$B3441/$P3441-1)</f>
        <v/>
      </c>
    </row>
    <row r="3442">
      <c r="A3442" s="11" t="n"/>
      <c r="B3442" s="29" t="n"/>
      <c r="K3442" s="30" t="str">
        <f>IF($A3442="","",EDATE($A3442,12*$E$4))</f>
        <v/>
      </c>
      <c r="L3442" s="19" t="str">
        <f>IF($K3442="","",IF($K3442&gt;MAX($A$8:$A$5007),"",IFERROR(MATCH($K3442,$A$8:$A$5007,1),"")))</f>
        <v/>
      </c>
      <c r="M3442" s="30" t="str">
        <f>IF($L3442="","",INDEX($A$8:$A$5007,$L3442))</f>
        <v/>
      </c>
      <c r="N3442" s="31" t="str">
        <f>IF($L3442="","",INDEX($B$8:$B$5007,$L3442))</f>
        <v/>
      </c>
      <c r="O3442" s="32" t="str">
        <f>IF($M3442="","",IF($K3442-$M3442&gt;7,"",IF($M3442&lt;=$A3442,"",IF(OR($B3442&lt;=0,$N3442&lt;=0),"",($N3442/$B3442)^(365/($M3442-$A3442))-1))))</f>
        <v/>
      </c>
      <c r="P3442" s="31" t="str">
        <f>IF($B3442="","",IF($P3441="",$B3442,MAX($P3441,$B3442)))</f>
        <v/>
      </c>
      <c r="Q3442" s="32" t="str">
        <f>IF($P3442="","",$B3442/$P3442-1)</f>
        <v/>
      </c>
    </row>
    <row r="3443">
      <c r="A3443" s="11" t="n"/>
      <c r="B3443" s="29" t="n"/>
      <c r="K3443" s="30" t="str">
        <f>IF($A3443="","",EDATE($A3443,12*$E$4))</f>
        <v/>
      </c>
      <c r="L3443" s="19" t="str">
        <f>IF($K3443="","",IF($K3443&gt;MAX($A$8:$A$5007),"",IFERROR(MATCH($K3443,$A$8:$A$5007,1),"")))</f>
        <v/>
      </c>
      <c r="M3443" s="30" t="str">
        <f>IF($L3443="","",INDEX($A$8:$A$5007,$L3443))</f>
        <v/>
      </c>
      <c r="N3443" s="31" t="str">
        <f>IF($L3443="","",INDEX($B$8:$B$5007,$L3443))</f>
        <v/>
      </c>
      <c r="O3443" s="32" t="str">
        <f>IF($M3443="","",IF($K3443-$M3443&gt;7,"",IF($M3443&lt;=$A3443,"",IF(OR($B3443&lt;=0,$N3443&lt;=0),"",($N3443/$B3443)^(365/($M3443-$A3443))-1))))</f>
        <v/>
      </c>
      <c r="P3443" s="31" t="str">
        <f>IF($B3443="","",IF($P3442="",$B3443,MAX($P3442,$B3443)))</f>
        <v/>
      </c>
      <c r="Q3443" s="32" t="str">
        <f>IF($P3443="","",$B3443/$P3443-1)</f>
        <v/>
      </c>
    </row>
    <row r="3444">
      <c r="A3444" s="11" t="n"/>
      <c r="B3444" s="29" t="n"/>
      <c r="K3444" s="30" t="str">
        <f>IF($A3444="","",EDATE($A3444,12*$E$4))</f>
        <v/>
      </c>
      <c r="L3444" s="19" t="str">
        <f>IF($K3444="","",IF($K3444&gt;MAX($A$8:$A$5007),"",IFERROR(MATCH($K3444,$A$8:$A$5007,1),"")))</f>
        <v/>
      </c>
      <c r="M3444" s="30" t="str">
        <f>IF($L3444="","",INDEX($A$8:$A$5007,$L3444))</f>
        <v/>
      </c>
      <c r="N3444" s="31" t="str">
        <f>IF($L3444="","",INDEX($B$8:$B$5007,$L3444))</f>
        <v/>
      </c>
      <c r="O3444" s="32" t="str">
        <f>IF($M3444="","",IF($K3444-$M3444&gt;7,"",IF($M3444&lt;=$A3444,"",IF(OR($B3444&lt;=0,$N3444&lt;=0),"",($N3444/$B3444)^(365/($M3444-$A3444))-1))))</f>
        <v/>
      </c>
      <c r="P3444" s="31" t="str">
        <f>IF($B3444="","",IF($P3443="",$B3444,MAX($P3443,$B3444)))</f>
        <v/>
      </c>
      <c r="Q3444" s="32" t="str">
        <f>IF($P3444="","",$B3444/$P3444-1)</f>
        <v/>
      </c>
    </row>
    <row r="3445">
      <c r="A3445" s="11" t="n"/>
      <c r="B3445" s="29" t="n"/>
      <c r="K3445" s="30" t="str">
        <f>IF($A3445="","",EDATE($A3445,12*$E$4))</f>
        <v/>
      </c>
      <c r="L3445" s="19" t="str">
        <f>IF($K3445="","",IF($K3445&gt;MAX($A$8:$A$5007),"",IFERROR(MATCH($K3445,$A$8:$A$5007,1),"")))</f>
        <v/>
      </c>
      <c r="M3445" s="30" t="str">
        <f>IF($L3445="","",INDEX($A$8:$A$5007,$L3445))</f>
        <v/>
      </c>
      <c r="N3445" s="31" t="str">
        <f>IF($L3445="","",INDEX($B$8:$B$5007,$L3445))</f>
        <v/>
      </c>
      <c r="O3445" s="32" t="str">
        <f>IF($M3445="","",IF($K3445-$M3445&gt;7,"",IF($M3445&lt;=$A3445,"",IF(OR($B3445&lt;=0,$N3445&lt;=0),"",($N3445/$B3445)^(365/($M3445-$A3445))-1))))</f>
        <v/>
      </c>
      <c r="P3445" s="31" t="str">
        <f>IF($B3445="","",IF($P3444="",$B3445,MAX($P3444,$B3445)))</f>
        <v/>
      </c>
      <c r="Q3445" s="32" t="str">
        <f>IF($P3445="","",$B3445/$P3445-1)</f>
        <v/>
      </c>
    </row>
    <row r="3446">
      <c r="A3446" s="11" t="n"/>
      <c r="B3446" s="29" t="n"/>
      <c r="K3446" s="30" t="str">
        <f>IF($A3446="","",EDATE($A3446,12*$E$4))</f>
        <v/>
      </c>
      <c r="L3446" s="19" t="str">
        <f>IF($K3446="","",IF($K3446&gt;MAX($A$8:$A$5007),"",IFERROR(MATCH($K3446,$A$8:$A$5007,1),"")))</f>
        <v/>
      </c>
      <c r="M3446" s="30" t="str">
        <f>IF($L3446="","",INDEX($A$8:$A$5007,$L3446))</f>
        <v/>
      </c>
      <c r="N3446" s="31" t="str">
        <f>IF($L3446="","",INDEX($B$8:$B$5007,$L3446))</f>
        <v/>
      </c>
      <c r="O3446" s="32" t="str">
        <f>IF($M3446="","",IF($K3446-$M3446&gt;7,"",IF($M3446&lt;=$A3446,"",IF(OR($B3446&lt;=0,$N3446&lt;=0),"",($N3446/$B3446)^(365/($M3446-$A3446))-1))))</f>
        <v/>
      </c>
      <c r="P3446" s="31" t="str">
        <f>IF($B3446="","",IF($P3445="",$B3446,MAX($P3445,$B3446)))</f>
        <v/>
      </c>
      <c r="Q3446" s="32" t="str">
        <f>IF($P3446="","",$B3446/$P3446-1)</f>
        <v/>
      </c>
    </row>
    <row r="3447">
      <c r="A3447" s="11" t="n"/>
      <c r="B3447" s="29" t="n"/>
      <c r="K3447" s="30" t="str">
        <f>IF($A3447="","",EDATE($A3447,12*$E$4))</f>
        <v/>
      </c>
      <c r="L3447" s="19" t="str">
        <f>IF($K3447="","",IF($K3447&gt;MAX($A$8:$A$5007),"",IFERROR(MATCH($K3447,$A$8:$A$5007,1),"")))</f>
        <v/>
      </c>
      <c r="M3447" s="30" t="str">
        <f>IF($L3447="","",INDEX($A$8:$A$5007,$L3447))</f>
        <v/>
      </c>
      <c r="N3447" s="31" t="str">
        <f>IF($L3447="","",INDEX($B$8:$B$5007,$L3447))</f>
        <v/>
      </c>
      <c r="O3447" s="32" t="str">
        <f>IF($M3447="","",IF($K3447-$M3447&gt;7,"",IF($M3447&lt;=$A3447,"",IF(OR($B3447&lt;=0,$N3447&lt;=0),"",($N3447/$B3447)^(365/($M3447-$A3447))-1))))</f>
        <v/>
      </c>
      <c r="P3447" s="31" t="str">
        <f>IF($B3447="","",IF($P3446="",$B3447,MAX($P3446,$B3447)))</f>
        <v/>
      </c>
      <c r="Q3447" s="32" t="str">
        <f>IF($P3447="","",$B3447/$P3447-1)</f>
        <v/>
      </c>
    </row>
    <row r="3448">
      <c r="A3448" s="11" t="n"/>
      <c r="B3448" s="29" t="n"/>
      <c r="K3448" s="30" t="str">
        <f>IF($A3448="","",EDATE($A3448,12*$E$4))</f>
        <v/>
      </c>
      <c r="L3448" s="19" t="str">
        <f>IF($K3448="","",IF($K3448&gt;MAX($A$8:$A$5007),"",IFERROR(MATCH($K3448,$A$8:$A$5007,1),"")))</f>
        <v/>
      </c>
      <c r="M3448" s="30" t="str">
        <f>IF($L3448="","",INDEX($A$8:$A$5007,$L3448))</f>
        <v/>
      </c>
      <c r="N3448" s="31" t="str">
        <f>IF($L3448="","",INDEX($B$8:$B$5007,$L3448))</f>
        <v/>
      </c>
      <c r="O3448" s="32" t="str">
        <f>IF($M3448="","",IF($K3448-$M3448&gt;7,"",IF($M3448&lt;=$A3448,"",IF(OR($B3448&lt;=0,$N3448&lt;=0),"",($N3448/$B3448)^(365/($M3448-$A3448))-1))))</f>
        <v/>
      </c>
      <c r="P3448" s="31" t="str">
        <f>IF($B3448="","",IF($P3447="",$B3448,MAX($P3447,$B3448)))</f>
        <v/>
      </c>
      <c r="Q3448" s="32" t="str">
        <f>IF($P3448="","",$B3448/$P3448-1)</f>
        <v/>
      </c>
    </row>
    <row r="3449">
      <c r="A3449" s="11" t="n"/>
      <c r="B3449" s="29" t="n"/>
      <c r="K3449" s="30" t="str">
        <f>IF($A3449="","",EDATE($A3449,12*$E$4))</f>
        <v/>
      </c>
      <c r="L3449" s="19" t="str">
        <f>IF($K3449="","",IF($K3449&gt;MAX($A$8:$A$5007),"",IFERROR(MATCH($K3449,$A$8:$A$5007,1),"")))</f>
        <v/>
      </c>
      <c r="M3449" s="30" t="str">
        <f>IF($L3449="","",INDEX($A$8:$A$5007,$L3449))</f>
        <v/>
      </c>
      <c r="N3449" s="31" t="str">
        <f>IF($L3449="","",INDEX($B$8:$B$5007,$L3449))</f>
        <v/>
      </c>
      <c r="O3449" s="32" t="str">
        <f>IF($M3449="","",IF($K3449-$M3449&gt;7,"",IF($M3449&lt;=$A3449,"",IF(OR($B3449&lt;=0,$N3449&lt;=0),"",($N3449/$B3449)^(365/($M3449-$A3449))-1))))</f>
        <v/>
      </c>
      <c r="P3449" s="31" t="str">
        <f>IF($B3449="","",IF($P3448="",$B3449,MAX($P3448,$B3449)))</f>
        <v/>
      </c>
      <c r="Q3449" s="32" t="str">
        <f>IF($P3449="","",$B3449/$P3449-1)</f>
        <v/>
      </c>
    </row>
    <row r="3450">
      <c r="A3450" s="11" t="n"/>
      <c r="B3450" s="29" t="n"/>
      <c r="K3450" s="30" t="str">
        <f>IF($A3450="","",EDATE($A3450,12*$E$4))</f>
        <v/>
      </c>
      <c r="L3450" s="19" t="str">
        <f>IF($K3450="","",IF($K3450&gt;MAX($A$8:$A$5007),"",IFERROR(MATCH($K3450,$A$8:$A$5007,1),"")))</f>
        <v/>
      </c>
      <c r="M3450" s="30" t="str">
        <f>IF($L3450="","",INDEX($A$8:$A$5007,$L3450))</f>
        <v/>
      </c>
      <c r="N3450" s="31" t="str">
        <f>IF($L3450="","",INDEX($B$8:$B$5007,$L3450))</f>
        <v/>
      </c>
      <c r="O3450" s="32" t="str">
        <f>IF($M3450="","",IF($K3450-$M3450&gt;7,"",IF($M3450&lt;=$A3450,"",IF(OR($B3450&lt;=0,$N3450&lt;=0),"",($N3450/$B3450)^(365/($M3450-$A3450))-1))))</f>
        <v/>
      </c>
      <c r="P3450" s="31" t="str">
        <f>IF($B3450="","",IF($P3449="",$B3450,MAX($P3449,$B3450)))</f>
        <v/>
      </c>
      <c r="Q3450" s="32" t="str">
        <f>IF($P3450="","",$B3450/$P3450-1)</f>
        <v/>
      </c>
    </row>
    <row r="3451">
      <c r="A3451" s="11" t="n"/>
      <c r="B3451" s="29" t="n"/>
      <c r="K3451" s="30" t="str">
        <f>IF($A3451="","",EDATE($A3451,12*$E$4))</f>
        <v/>
      </c>
      <c r="L3451" s="19" t="str">
        <f>IF($K3451="","",IF($K3451&gt;MAX($A$8:$A$5007),"",IFERROR(MATCH($K3451,$A$8:$A$5007,1),"")))</f>
        <v/>
      </c>
      <c r="M3451" s="30" t="str">
        <f>IF($L3451="","",INDEX($A$8:$A$5007,$L3451))</f>
        <v/>
      </c>
      <c r="N3451" s="31" t="str">
        <f>IF($L3451="","",INDEX($B$8:$B$5007,$L3451))</f>
        <v/>
      </c>
      <c r="O3451" s="32" t="str">
        <f>IF($M3451="","",IF($K3451-$M3451&gt;7,"",IF($M3451&lt;=$A3451,"",IF(OR($B3451&lt;=0,$N3451&lt;=0),"",($N3451/$B3451)^(365/($M3451-$A3451))-1))))</f>
        <v/>
      </c>
      <c r="P3451" s="31" t="str">
        <f>IF($B3451="","",IF($P3450="",$B3451,MAX($P3450,$B3451)))</f>
        <v/>
      </c>
      <c r="Q3451" s="32" t="str">
        <f>IF($P3451="","",$B3451/$P3451-1)</f>
        <v/>
      </c>
    </row>
    <row r="3452">
      <c r="A3452" s="11" t="n"/>
      <c r="B3452" s="29" t="n"/>
      <c r="K3452" s="30" t="str">
        <f>IF($A3452="","",EDATE($A3452,12*$E$4))</f>
        <v/>
      </c>
      <c r="L3452" s="19" t="str">
        <f>IF($K3452="","",IF($K3452&gt;MAX($A$8:$A$5007),"",IFERROR(MATCH($K3452,$A$8:$A$5007,1),"")))</f>
        <v/>
      </c>
      <c r="M3452" s="30" t="str">
        <f>IF($L3452="","",INDEX($A$8:$A$5007,$L3452))</f>
        <v/>
      </c>
      <c r="N3452" s="31" t="str">
        <f>IF($L3452="","",INDEX($B$8:$B$5007,$L3452))</f>
        <v/>
      </c>
      <c r="O3452" s="32" t="str">
        <f>IF($M3452="","",IF($K3452-$M3452&gt;7,"",IF($M3452&lt;=$A3452,"",IF(OR($B3452&lt;=0,$N3452&lt;=0),"",($N3452/$B3452)^(365/($M3452-$A3452))-1))))</f>
        <v/>
      </c>
      <c r="P3452" s="31" t="str">
        <f>IF($B3452="","",IF($P3451="",$B3452,MAX($P3451,$B3452)))</f>
        <v/>
      </c>
      <c r="Q3452" s="32" t="str">
        <f>IF($P3452="","",$B3452/$P3452-1)</f>
        <v/>
      </c>
    </row>
    <row r="3453">
      <c r="A3453" s="11" t="n"/>
      <c r="B3453" s="29" t="n"/>
      <c r="K3453" s="30" t="str">
        <f>IF($A3453="","",EDATE($A3453,12*$E$4))</f>
        <v/>
      </c>
      <c r="L3453" s="19" t="str">
        <f>IF($K3453="","",IF($K3453&gt;MAX($A$8:$A$5007),"",IFERROR(MATCH($K3453,$A$8:$A$5007,1),"")))</f>
        <v/>
      </c>
      <c r="M3453" s="30" t="str">
        <f>IF($L3453="","",INDEX($A$8:$A$5007,$L3453))</f>
        <v/>
      </c>
      <c r="N3453" s="31" t="str">
        <f>IF($L3453="","",INDEX($B$8:$B$5007,$L3453))</f>
        <v/>
      </c>
      <c r="O3453" s="32" t="str">
        <f>IF($M3453="","",IF($K3453-$M3453&gt;7,"",IF($M3453&lt;=$A3453,"",IF(OR($B3453&lt;=0,$N3453&lt;=0),"",($N3453/$B3453)^(365/($M3453-$A3453))-1))))</f>
        <v/>
      </c>
      <c r="P3453" s="31" t="str">
        <f>IF($B3453="","",IF($P3452="",$B3453,MAX($P3452,$B3453)))</f>
        <v/>
      </c>
      <c r="Q3453" s="32" t="str">
        <f>IF($P3453="","",$B3453/$P3453-1)</f>
        <v/>
      </c>
    </row>
    <row r="3454">
      <c r="A3454" s="11" t="n"/>
      <c r="B3454" s="29" t="n"/>
      <c r="K3454" s="30" t="str">
        <f>IF($A3454="","",EDATE($A3454,12*$E$4))</f>
        <v/>
      </c>
      <c r="L3454" s="19" t="str">
        <f>IF($K3454="","",IF($K3454&gt;MAX($A$8:$A$5007),"",IFERROR(MATCH($K3454,$A$8:$A$5007,1),"")))</f>
        <v/>
      </c>
      <c r="M3454" s="30" t="str">
        <f>IF($L3454="","",INDEX($A$8:$A$5007,$L3454))</f>
        <v/>
      </c>
      <c r="N3454" s="31" t="str">
        <f>IF($L3454="","",INDEX($B$8:$B$5007,$L3454))</f>
        <v/>
      </c>
      <c r="O3454" s="32" t="str">
        <f>IF($M3454="","",IF($K3454-$M3454&gt;7,"",IF($M3454&lt;=$A3454,"",IF(OR($B3454&lt;=0,$N3454&lt;=0),"",($N3454/$B3454)^(365/($M3454-$A3454))-1))))</f>
        <v/>
      </c>
      <c r="P3454" s="31" t="str">
        <f>IF($B3454="","",IF($P3453="",$B3454,MAX($P3453,$B3454)))</f>
        <v/>
      </c>
      <c r="Q3454" s="32" t="str">
        <f>IF($P3454="","",$B3454/$P3454-1)</f>
        <v/>
      </c>
    </row>
    <row r="3455">
      <c r="A3455" s="11" t="n"/>
      <c r="B3455" s="29" t="n"/>
      <c r="K3455" s="30" t="str">
        <f>IF($A3455="","",EDATE($A3455,12*$E$4))</f>
        <v/>
      </c>
      <c r="L3455" s="19" t="str">
        <f>IF($K3455="","",IF($K3455&gt;MAX($A$8:$A$5007),"",IFERROR(MATCH($K3455,$A$8:$A$5007,1),"")))</f>
        <v/>
      </c>
      <c r="M3455" s="30" t="str">
        <f>IF($L3455="","",INDEX($A$8:$A$5007,$L3455))</f>
        <v/>
      </c>
      <c r="N3455" s="31" t="str">
        <f>IF($L3455="","",INDEX($B$8:$B$5007,$L3455))</f>
        <v/>
      </c>
      <c r="O3455" s="32" t="str">
        <f>IF($M3455="","",IF($K3455-$M3455&gt;7,"",IF($M3455&lt;=$A3455,"",IF(OR($B3455&lt;=0,$N3455&lt;=0),"",($N3455/$B3455)^(365/($M3455-$A3455))-1))))</f>
        <v/>
      </c>
      <c r="P3455" s="31" t="str">
        <f>IF($B3455="","",IF($P3454="",$B3455,MAX($P3454,$B3455)))</f>
        <v/>
      </c>
      <c r="Q3455" s="32" t="str">
        <f>IF($P3455="","",$B3455/$P3455-1)</f>
        <v/>
      </c>
    </row>
    <row r="3456">
      <c r="A3456" s="11" t="n"/>
      <c r="B3456" s="29" t="n"/>
      <c r="K3456" s="30" t="str">
        <f>IF($A3456="","",EDATE($A3456,12*$E$4))</f>
        <v/>
      </c>
      <c r="L3456" s="19" t="str">
        <f>IF($K3456="","",IF($K3456&gt;MAX($A$8:$A$5007),"",IFERROR(MATCH($K3456,$A$8:$A$5007,1),"")))</f>
        <v/>
      </c>
      <c r="M3456" s="30" t="str">
        <f>IF($L3456="","",INDEX($A$8:$A$5007,$L3456))</f>
        <v/>
      </c>
      <c r="N3456" s="31" t="str">
        <f>IF($L3456="","",INDEX($B$8:$B$5007,$L3456))</f>
        <v/>
      </c>
      <c r="O3456" s="32" t="str">
        <f>IF($M3456="","",IF($K3456-$M3456&gt;7,"",IF($M3456&lt;=$A3456,"",IF(OR($B3456&lt;=0,$N3456&lt;=0),"",($N3456/$B3456)^(365/($M3456-$A3456))-1))))</f>
        <v/>
      </c>
      <c r="P3456" s="31" t="str">
        <f>IF($B3456="","",IF($P3455="",$B3456,MAX($P3455,$B3456)))</f>
        <v/>
      </c>
      <c r="Q3456" s="32" t="str">
        <f>IF($P3456="","",$B3456/$P3456-1)</f>
        <v/>
      </c>
    </row>
    <row r="3457">
      <c r="A3457" s="11" t="n"/>
      <c r="B3457" s="29" t="n"/>
      <c r="K3457" s="30" t="str">
        <f>IF($A3457="","",EDATE($A3457,12*$E$4))</f>
        <v/>
      </c>
      <c r="L3457" s="19" t="str">
        <f>IF($K3457="","",IF($K3457&gt;MAX($A$8:$A$5007),"",IFERROR(MATCH($K3457,$A$8:$A$5007,1),"")))</f>
        <v/>
      </c>
      <c r="M3457" s="30" t="str">
        <f>IF($L3457="","",INDEX($A$8:$A$5007,$L3457))</f>
        <v/>
      </c>
      <c r="N3457" s="31" t="str">
        <f>IF($L3457="","",INDEX($B$8:$B$5007,$L3457))</f>
        <v/>
      </c>
      <c r="O3457" s="32" t="str">
        <f>IF($M3457="","",IF($K3457-$M3457&gt;7,"",IF($M3457&lt;=$A3457,"",IF(OR($B3457&lt;=0,$N3457&lt;=0),"",($N3457/$B3457)^(365/($M3457-$A3457))-1))))</f>
        <v/>
      </c>
      <c r="P3457" s="31" t="str">
        <f>IF($B3457="","",IF($P3456="",$B3457,MAX($P3456,$B3457)))</f>
        <v/>
      </c>
      <c r="Q3457" s="32" t="str">
        <f>IF($P3457="","",$B3457/$P3457-1)</f>
        <v/>
      </c>
    </row>
    <row r="3458">
      <c r="A3458" s="11" t="n"/>
      <c r="B3458" s="29" t="n"/>
      <c r="K3458" s="30" t="str">
        <f>IF($A3458="","",EDATE($A3458,12*$E$4))</f>
        <v/>
      </c>
      <c r="L3458" s="19" t="str">
        <f>IF($K3458="","",IF($K3458&gt;MAX($A$8:$A$5007),"",IFERROR(MATCH($K3458,$A$8:$A$5007,1),"")))</f>
        <v/>
      </c>
      <c r="M3458" s="30" t="str">
        <f>IF($L3458="","",INDEX($A$8:$A$5007,$L3458))</f>
        <v/>
      </c>
      <c r="N3458" s="31" t="str">
        <f>IF($L3458="","",INDEX($B$8:$B$5007,$L3458))</f>
        <v/>
      </c>
      <c r="O3458" s="32" t="str">
        <f>IF($M3458="","",IF($K3458-$M3458&gt;7,"",IF($M3458&lt;=$A3458,"",IF(OR($B3458&lt;=0,$N3458&lt;=0),"",($N3458/$B3458)^(365/($M3458-$A3458))-1))))</f>
        <v/>
      </c>
      <c r="P3458" s="31" t="str">
        <f>IF($B3458="","",IF($P3457="",$B3458,MAX($P3457,$B3458)))</f>
        <v/>
      </c>
      <c r="Q3458" s="32" t="str">
        <f>IF($P3458="","",$B3458/$P3458-1)</f>
        <v/>
      </c>
    </row>
    <row r="3459">
      <c r="A3459" s="11" t="n"/>
      <c r="B3459" s="29" t="n"/>
      <c r="K3459" s="30" t="str">
        <f>IF($A3459="","",EDATE($A3459,12*$E$4))</f>
        <v/>
      </c>
      <c r="L3459" s="19" t="str">
        <f>IF($K3459="","",IF($K3459&gt;MAX($A$8:$A$5007),"",IFERROR(MATCH($K3459,$A$8:$A$5007,1),"")))</f>
        <v/>
      </c>
      <c r="M3459" s="30" t="str">
        <f>IF($L3459="","",INDEX($A$8:$A$5007,$L3459))</f>
        <v/>
      </c>
      <c r="N3459" s="31" t="str">
        <f>IF($L3459="","",INDEX($B$8:$B$5007,$L3459))</f>
        <v/>
      </c>
      <c r="O3459" s="32" t="str">
        <f>IF($M3459="","",IF($K3459-$M3459&gt;7,"",IF($M3459&lt;=$A3459,"",IF(OR($B3459&lt;=0,$N3459&lt;=0),"",($N3459/$B3459)^(365/($M3459-$A3459))-1))))</f>
        <v/>
      </c>
      <c r="P3459" s="31" t="str">
        <f>IF($B3459="","",IF($P3458="",$B3459,MAX($P3458,$B3459)))</f>
        <v/>
      </c>
      <c r="Q3459" s="32" t="str">
        <f>IF($P3459="","",$B3459/$P3459-1)</f>
        <v/>
      </c>
    </row>
    <row r="3460">
      <c r="A3460" s="11" t="n"/>
      <c r="B3460" s="29" t="n"/>
      <c r="K3460" s="30" t="str">
        <f>IF($A3460="","",EDATE($A3460,12*$E$4))</f>
        <v/>
      </c>
      <c r="L3460" s="19" t="str">
        <f>IF($K3460="","",IF($K3460&gt;MAX($A$8:$A$5007),"",IFERROR(MATCH($K3460,$A$8:$A$5007,1),"")))</f>
        <v/>
      </c>
      <c r="M3460" s="30" t="str">
        <f>IF($L3460="","",INDEX($A$8:$A$5007,$L3460))</f>
        <v/>
      </c>
      <c r="N3460" s="31" t="str">
        <f>IF($L3460="","",INDEX($B$8:$B$5007,$L3460))</f>
        <v/>
      </c>
      <c r="O3460" s="32" t="str">
        <f>IF($M3460="","",IF($K3460-$M3460&gt;7,"",IF($M3460&lt;=$A3460,"",IF(OR($B3460&lt;=0,$N3460&lt;=0),"",($N3460/$B3460)^(365/($M3460-$A3460))-1))))</f>
        <v/>
      </c>
      <c r="P3460" s="31" t="str">
        <f>IF($B3460="","",IF($P3459="",$B3460,MAX($P3459,$B3460)))</f>
        <v/>
      </c>
      <c r="Q3460" s="32" t="str">
        <f>IF($P3460="","",$B3460/$P3460-1)</f>
        <v/>
      </c>
    </row>
    <row r="3461">
      <c r="A3461" s="11" t="n"/>
      <c r="B3461" s="29" t="n"/>
      <c r="K3461" s="30" t="str">
        <f>IF($A3461="","",EDATE($A3461,12*$E$4))</f>
        <v/>
      </c>
      <c r="L3461" s="19" t="str">
        <f>IF($K3461="","",IF($K3461&gt;MAX($A$8:$A$5007),"",IFERROR(MATCH($K3461,$A$8:$A$5007,1),"")))</f>
        <v/>
      </c>
      <c r="M3461" s="30" t="str">
        <f>IF($L3461="","",INDEX($A$8:$A$5007,$L3461))</f>
        <v/>
      </c>
      <c r="N3461" s="31" t="str">
        <f>IF($L3461="","",INDEX($B$8:$B$5007,$L3461))</f>
        <v/>
      </c>
      <c r="O3461" s="32" t="str">
        <f>IF($M3461="","",IF($K3461-$M3461&gt;7,"",IF($M3461&lt;=$A3461,"",IF(OR($B3461&lt;=0,$N3461&lt;=0),"",($N3461/$B3461)^(365/($M3461-$A3461))-1))))</f>
        <v/>
      </c>
      <c r="P3461" s="31" t="str">
        <f>IF($B3461="","",IF($P3460="",$B3461,MAX($P3460,$B3461)))</f>
        <v/>
      </c>
      <c r="Q3461" s="32" t="str">
        <f>IF($P3461="","",$B3461/$P3461-1)</f>
        <v/>
      </c>
    </row>
    <row r="3462">
      <c r="A3462" s="11" t="n"/>
      <c r="B3462" s="29" t="n"/>
      <c r="K3462" s="30" t="str">
        <f>IF($A3462="","",EDATE($A3462,12*$E$4))</f>
        <v/>
      </c>
      <c r="L3462" s="19" t="str">
        <f>IF($K3462="","",IF($K3462&gt;MAX($A$8:$A$5007),"",IFERROR(MATCH($K3462,$A$8:$A$5007,1),"")))</f>
        <v/>
      </c>
      <c r="M3462" s="30" t="str">
        <f>IF($L3462="","",INDEX($A$8:$A$5007,$L3462))</f>
        <v/>
      </c>
      <c r="N3462" s="31" t="str">
        <f>IF($L3462="","",INDEX($B$8:$B$5007,$L3462))</f>
        <v/>
      </c>
      <c r="O3462" s="32" t="str">
        <f>IF($M3462="","",IF($K3462-$M3462&gt;7,"",IF($M3462&lt;=$A3462,"",IF(OR($B3462&lt;=0,$N3462&lt;=0),"",($N3462/$B3462)^(365/($M3462-$A3462))-1))))</f>
        <v/>
      </c>
      <c r="P3462" s="31" t="str">
        <f>IF($B3462="","",IF($P3461="",$B3462,MAX($P3461,$B3462)))</f>
        <v/>
      </c>
      <c r="Q3462" s="32" t="str">
        <f>IF($P3462="","",$B3462/$P3462-1)</f>
        <v/>
      </c>
    </row>
    <row r="3463">
      <c r="A3463" s="11" t="n"/>
      <c r="B3463" s="29" t="n"/>
      <c r="K3463" s="30" t="str">
        <f>IF($A3463="","",EDATE($A3463,12*$E$4))</f>
        <v/>
      </c>
      <c r="L3463" s="19" t="str">
        <f>IF($K3463="","",IF($K3463&gt;MAX($A$8:$A$5007),"",IFERROR(MATCH($K3463,$A$8:$A$5007,1),"")))</f>
        <v/>
      </c>
      <c r="M3463" s="30" t="str">
        <f>IF($L3463="","",INDEX($A$8:$A$5007,$L3463))</f>
        <v/>
      </c>
      <c r="N3463" s="31" t="str">
        <f>IF($L3463="","",INDEX($B$8:$B$5007,$L3463))</f>
        <v/>
      </c>
      <c r="O3463" s="32" t="str">
        <f>IF($M3463="","",IF($K3463-$M3463&gt;7,"",IF($M3463&lt;=$A3463,"",IF(OR($B3463&lt;=0,$N3463&lt;=0),"",($N3463/$B3463)^(365/($M3463-$A3463))-1))))</f>
        <v/>
      </c>
      <c r="P3463" s="31" t="str">
        <f>IF($B3463="","",IF($P3462="",$B3463,MAX($P3462,$B3463)))</f>
        <v/>
      </c>
      <c r="Q3463" s="32" t="str">
        <f>IF($P3463="","",$B3463/$P3463-1)</f>
        <v/>
      </c>
    </row>
    <row r="3464">
      <c r="A3464" s="11" t="n"/>
      <c r="B3464" s="29" t="n"/>
      <c r="K3464" s="30" t="str">
        <f>IF($A3464="","",EDATE($A3464,12*$E$4))</f>
        <v/>
      </c>
      <c r="L3464" s="19" t="str">
        <f>IF($K3464="","",IF($K3464&gt;MAX($A$8:$A$5007),"",IFERROR(MATCH($K3464,$A$8:$A$5007,1),"")))</f>
        <v/>
      </c>
      <c r="M3464" s="30" t="str">
        <f>IF($L3464="","",INDEX($A$8:$A$5007,$L3464))</f>
        <v/>
      </c>
      <c r="N3464" s="31" t="str">
        <f>IF($L3464="","",INDEX($B$8:$B$5007,$L3464))</f>
        <v/>
      </c>
      <c r="O3464" s="32" t="str">
        <f>IF($M3464="","",IF($K3464-$M3464&gt;7,"",IF($M3464&lt;=$A3464,"",IF(OR($B3464&lt;=0,$N3464&lt;=0),"",($N3464/$B3464)^(365/($M3464-$A3464))-1))))</f>
        <v/>
      </c>
      <c r="P3464" s="31" t="str">
        <f>IF($B3464="","",IF($P3463="",$B3464,MAX($P3463,$B3464)))</f>
        <v/>
      </c>
      <c r="Q3464" s="32" t="str">
        <f>IF($P3464="","",$B3464/$P3464-1)</f>
        <v/>
      </c>
    </row>
    <row r="3465">
      <c r="A3465" s="11" t="n"/>
      <c r="B3465" s="29" t="n"/>
      <c r="K3465" s="30" t="str">
        <f>IF($A3465="","",EDATE($A3465,12*$E$4))</f>
        <v/>
      </c>
      <c r="L3465" s="19" t="str">
        <f>IF($K3465="","",IF($K3465&gt;MAX($A$8:$A$5007),"",IFERROR(MATCH($K3465,$A$8:$A$5007,1),"")))</f>
        <v/>
      </c>
      <c r="M3465" s="30" t="str">
        <f>IF($L3465="","",INDEX($A$8:$A$5007,$L3465))</f>
        <v/>
      </c>
      <c r="N3465" s="31" t="str">
        <f>IF($L3465="","",INDEX($B$8:$B$5007,$L3465))</f>
        <v/>
      </c>
      <c r="O3465" s="32" t="str">
        <f>IF($M3465="","",IF($K3465-$M3465&gt;7,"",IF($M3465&lt;=$A3465,"",IF(OR($B3465&lt;=0,$N3465&lt;=0),"",($N3465/$B3465)^(365/($M3465-$A3465))-1))))</f>
        <v/>
      </c>
      <c r="P3465" s="31" t="str">
        <f>IF($B3465="","",IF($P3464="",$B3465,MAX($P3464,$B3465)))</f>
        <v/>
      </c>
      <c r="Q3465" s="32" t="str">
        <f>IF($P3465="","",$B3465/$P3465-1)</f>
        <v/>
      </c>
    </row>
    <row r="3466">
      <c r="A3466" s="11" t="n"/>
      <c r="B3466" s="29" t="n"/>
      <c r="K3466" s="30" t="str">
        <f>IF($A3466="","",EDATE($A3466,12*$E$4))</f>
        <v/>
      </c>
      <c r="L3466" s="19" t="str">
        <f>IF($K3466="","",IF($K3466&gt;MAX($A$8:$A$5007),"",IFERROR(MATCH($K3466,$A$8:$A$5007,1),"")))</f>
        <v/>
      </c>
      <c r="M3466" s="30" t="str">
        <f>IF($L3466="","",INDEX($A$8:$A$5007,$L3466))</f>
        <v/>
      </c>
      <c r="N3466" s="31" t="str">
        <f>IF($L3466="","",INDEX($B$8:$B$5007,$L3466))</f>
        <v/>
      </c>
      <c r="O3466" s="32" t="str">
        <f>IF($M3466="","",IF($K3466-$M3466&gt;7,"",IF($M3466&lt;=$A3466,"",IF(OR($B3466&lt;=0,$N3466&lt;=0),"",($N3466/$B3466)^(365/($M3466-$A3466))-1))))</f>
        <v/>
      </c>
      <c r="P3466" s="31" t="str">
        <f>IF($B3466="","",IF($P3465="",$B3466,MAX($P3465,$B3466)))</f>
        <v/>
      </c>
      <c r="Q3466" s="32" t="str">
        <f>IF($P3466="","",$B3466/$P3466-1)</f>
        <v/>
      </c>
    </row>
    <row r="3467">
      <c r="A3467" s="11" t="n"/>
      <c r="B3467" s="29" t="n"/>
      <c r="K3467" s="30" t="str">
        <f>IF($A3467="","",EDATE($A3467,12*$E$4))</f>
        <v/>
      </c>
      <c r="L3467" s="19" t="str">
        <f>IF($K3467="","",IF($K3467&gt;MAX($A$8:$A$5007),"",IFERROR(MATCH($K3467,$A$8:$A$5007,1),"")))</f>
        <v/>
      </c>
      <c r="M3467" s="30" t="str">
        <f>IF($L3467="","",INDEX($A$8:$A$5007,$L3467))</f>
        <v/>
      </c>
      <c r="N3467" s="31" t="str">
        <f>IF($L3467="","",INDEX($B$8:$B$5007,$L3467))</f>
        <v/>
      </c>
      <c r="O3467" s="32" t="str">
        <f>IF($M3467="","",IF($K3467-$M3467&gt;7,"",IF($M3467&lt;=$A3467,"",IF(OR($B3467&lt;=0,$N3467&lt;=0),"",($N3467/$B3467)^(365/($M3467-$A3467))-1))))</f>
        <v/>
      </c>
      <c r="P3467" s="31" t="str">
        <f>IF($B3467="","",IF($P3466="",$B3467,MAX($P3466,$B3467)))</f>
        <v/>
      </c>
      <c r="Q3467" s="32" t="str">
        <f>IF($P3467="","",$B3467/$P3467-1)</f>
        <v/>
      </c>
    </row>
    <row r="3468">
      <c r="A3468" s="11" t="n"/>
      <c r="B3468" s="29" t="n"/>
      <c r="K3468" s="30" t="str">
        <f>IF($A3468="","",EDATE($A3468,12*$E$4))</f>
        <v/>
      </c>
      <c r="L3468" s="19" t="str">
        <f>IF($K3468="","",IF($K3468&gt;MAX($A$8:$A$5007),"",IFERROR(MATCH($K3468,$A$8:$A$5007,1),"")))</f>
        <v/>
      </c>
      <c r="M3468" s="30" t="str">
        <f>IF($L3468="","",INDEX($A$8:$A$5007,$L3468))</f>
        <v/>
      </c>
      <c r="N3468" s="31" t="str">
        <f>IF($L3468="","",INDEX($B$8:$B$5007,$L3468))</f>
        <v/>
      </c>
      <c r="O3468" s="32" t="str">
        <f>IF($M3468="","",IF($K3468-$M3468&gt;7,"",IF($M3468&lt;=$A3468,"",IF(OR($B3468&lt;=0,$N3468&lt;=0),"",($N3468/$B3468)^(365/($M3468-$A3468))-1))))</f>
        <v/>
      </c>
      <c r="P3468" s="31" t="str">
        <f>IF($B3468="","",IF($P3467="",$B3468,MAX($P3467,$B3468)))</f>
        <v/>
      </c>
      <c r="Q3468" s="32" t="str">
        <f>IF($P3468="","",$B3468/$P3468-1)</f>
        <v/>
      </c>
    </row>
    <row r="3469">
      <c r="A3469" s="11" t="n"/>
      <c r="B3469" s="29" t="n"/>
      <c r="K3469" s="30" t="str">
        <f>IF($A3469="","",EDATE($A3469,12*$E$4))</f>
        <v/>
      </c>
      <c r="L3469" s="19" t="str">
        <f>IF($K3469="","",IF($K3469&gt;MAX($A$8:$A$5007),"",IFERROR(MATCH($K3469,$A$8:$A$5007,1),"")))</f>
        <v/>
      </c>
      <c r="M3469" s="30" t="str">
        <f>IF($L3469="","",INDEX($A$8:$A$5007,$L3469))</f>
        <v/>
      </c>
      <c r="N3469" s="31" t="str">
        <f>IF($L3469="","",INDEX($B$8:$B$5007,$L3469))</f>
        <v/>
      </c>
      <c r="O3469" s="32" t="str">
        <f>IF($M3469="","",IF($K3469-$M3469&gt;7,"",IF($M3469&lt;=$A3469,"",IF(OR($B3469&lt;=0,$N3469&lt;=0),"",($N3469/$B3469)^(365/($M3469-$A3469))-1))))</f>
        <v/>
      </c>
      <c r="P3469" s="31" t="str">
        <f>IF($B3469="","",IF($P3468="",$B3469,MAX($P3468,$B3469)))</f>
        <v/>
      </c>
      <c r="Q3469" s="32" t="str">
        <f>IF($P3469="","",$B3469/$P3469-1)</f>
        <v/>
      </c>
    </row>
    <row r="3470">
      <c r="A3470" s="11" t="n"/>
      <c r="B3470" s="29" t="n"/>
      <c r="K3470" s="30" t="str">
        <f>IF($A3470="","",EDATE($A3470,12*$E$4))</f>
        <v/>
      </c>
      <c r="L3470" s="19" t="str">
        <f>IF($K3470="","",IF($K3470&gt;MAX($A$8:$A$5007),"",IFERROR(MATCH($K3470,$A$8:$A$5007,1),"")))</f>
        <v/>
      </c>
      <c r="M3470" s="30" t="str">
        <f>IF($L3470="","",INDEX($A$8:$A$5007,$L3470))</f>
        <v/>
      </c>
      <c r="N3470" s="31" t="str">
        <f>IF($L3470="","",INDEX($B$8:$B$5007,$L3470))</f>
        <v/>
      </c>
      <c r="O3470" s="32" t="str">
        <f>IF($M3470="","",IF($K3470-$M3470&gt;7,"",IF($M3470&lt;=$A3470,"",IF(OR($B3470&lt;=0,$N3470&lt;=0),"",($N3470/$B3470)^(365/($M3470-$A3470))-1))))</f>
        <v/>
      </c>
      <c r="P3470" s="31" t="str">
        <f>IF($B3470="","",IF($P3469="",$B3470,MAX($P3469,$B3470)))</f>
        <v/>
      </c>
      <c r="Q3470" s="32" t="str">
        <f>IF($P3470="","",$B3470/$P3470-1)</f>
        <v/>
      </c>
    </row>
    <row r="3471">
      <c r="A3471" s="11" t="n"/>
      <c r="B3471" s="29" t="n"/>
      <c r="K3471" s="30" t="str">
        <f>IF($A3471="","",EDATE($A3471,12*$E$4))</f>
        <v/>
      </c>
      <c r="L3471" s="19" t="str">
        <f>IF($K3471="","",IF($K3471&gt;MAX($A$8:$A$5007),"",IFERROR(MATCH($K3471,$A$8:$A$5007,1),"")))</f>
        <v/>
      </c>
      <c r="M3471" s="30" t="str">
        <f>IF($L3471="","",INDEX($A$8:$A$5007,$L3471))</f>
        <v/>
      </c>
      <c r="N3471" s="31" t="str">
        <f>IF($L3471="","",INDEX($B$8:$B$5007,$L3471))</f>
        <v/>
      </c>
      <c r="O3471" s="32" t="str">
        <f>IF($M3471="","",IF($K3471-$M3471&gt;7,"",IF($M3471&lt;=$A3471,"",IF(OR($B3471&lt;=0,$N3471&lt;=0),"",($N3471/$B3471)^(365/($M3471-$A3471))-1))))</f>
        <v/>
      </c>
      <c r="P3471" s="31" t="str">
        <f>IF($B3471="","",IF($P3470="",$B3471,MAX($P3470,$B3471)))</f>
        <v/>
      </c>
      <c r="Q3471" s="32" t="str">
        <f>IF($P3471="","",$B3471/$P3471-1)</f>
        <v/>
      </c>
    </row>
    <row r="3472">
      <c r="A3472" s="11" t="n"/>
      <c r="B3472" s="29" t="n"/>
      <c r="K3472" s="30" t="str">
        <f>IF($A3472="","",EDATE($A3472,12*$E$4))</f>
        <v/>
      </c>
      <c r="L3472" s="19" t="str">
        <f>IF($K3472="","",IF($K3472&gt;MAX($A$8:$A$5007),"",IFERROR(MATCH($K3472,$A$8:$A$5007,1),"")))</f>
        <v/>
      </c>
      <c r="M3472" s="30" t="str">
        <f>IF($L3472="","",INDEX($A$8:$A$5007,$L3472))</f>
        <v/>
      </c>
      <c r="N3472" s="31" t="str">
        <f>IF($L3472="","",INDEX($B$8:$B$5007,$L3472))</f>
        <v/>
      </c>
      <c r="O3472" s="32" t="str">
        <f>IF($M3472="","",IF($K3472-$M3472&gt;7,"",IF($M3472&lt;=$A3472,"",IF(OR($B3472&lt;=0,$N3472&lt;=0),"",($N3472/$B3472)^(365/($M3472-$A3472))-1))))</f>
        <v/>
      </c>
      <c r="P3472" s="31" t="str">
        <f>IF($B3472="","",IF($P3471="",$B3472,MAX($P3471,$B3472)))</f>
        <v/>
      </c>
      <c r="Q3472" s="32" t="str">
        <f>IF($P3472="","",$B3472/$P3472-1)</f>
        <v/>
      </c>
    </row>
    <row r="3473">
      <c r="A3473" s="11" t="n"/>
      <c r="B3473" s="29" t="n"/>
      <c r="K3473" s="30" t="str">
        <f>IF($A3473="","",EDATE($A3473,12*$E$4))</f>
        <v/>
      </c>
      <c r="L3473" s="19" t="str">
        <f>IF($K3473="","",IF($K3473&gt;MAX($A$8:$A$5007),"",IFERROR(MATCH($K3473,$A$8:$A$5007,1),"")))</f>
        <v/>
      </c>
      <c r="M3473" s="30" t="str">
        <f>IF($L3473="","",INDEX($A$8:$A$5007,$L3473))</f>
        <v/>
      </c>
      <c r="N3473" s="31" t="str">
        <f>IF($L3473="","",INDEX($B$8:$B$5007,$L3473))</f>
        <v/>
      </c>
      <c r="O3473" s="32" t="str">
        <f>IF($M3473="","",IF($K3473-$M3473&gt;7,"",IF($M3473&lt;=$A3473,"",IF(OR($B3473&lt;=0,$N3473&lt;=0),"",($N3473/$B3473)^(365/($M3473-$A3473))-1))))</f>
        <v/>
      </c>
      <c r="P3473" s="31" t="str">
        <f>IF($B3473="","",IF($P3472="",$B3473,MAX($P3472,$B3473)))</f>
        <v/>
      </c>
      <c r="Q3473" s="32" t="str">
        <f>IF($P3473="","",$B3473/$P3473-1)</f>
        <v/>
      </c>
    </row>
    <row r="3474">
      <c r="A3474" s="11" t="n"/>
      <c r="B3474" s="29" t="n"/>
      <c r="K3474" s="30" t="str">
        <f>IF($A3474="","",EDATE($A3474,12*$E$4))</f>
        <v/>
      </c>
      <c r="L3474" s="19" t="str">
        <f>IF($K3474="","",IF($K3474&gt;MAX($A$8:$A$5007),"",IFERROR(MATCH($K3474,$A$8:$A$5007,1),"")))</f>
        <v/>
      </c>
      <c r="M3474" s="30" t="str">
        <f>IF($L3474="","",INDEX($A$8:$A$5007,$L3474))</f>
        <v/>
      </c>
      <c r="N3474" s="31" t="str">
        <f>IF($L3474="","",INDEX($B$8:$B$5007,$L3474))</f>
        <v/>
      </c>
      <c r="O3474" s="32" t="str">
        <f>IF($M3474="","",IF($K3474-$M3474&gt;7,"",IF($M3474&lt;=$A3474,"",IF(OR($B3474&lt;=0,$N3474&lt;=0),"",($N3474/$B3474)^(365/($M3474-$A3474))-1))))</f>
        <v/>
      </c>
      <c r="P3474" s="31" t="str">
        <f>IF($B3474="","",IF($P3473="",$B3474,MAX($P3473,$B3474)))</f>
        <v/>
      </c>
      <c r="Q3474" s="32" t="str">
        <f>IF($P3474="","",$B3474/$P3474-1)</f>
        <v/>
      </c>
    </row>
    <row r="3475">
      <c r="A3475" s="11" t="n"/>
      <c r="B3475" s="29" t="n"/>
      <c r="K3475" s="30" t="str">
        <f>IF($A3475="","",EDATE($A3475,12*$E$4))</f>
        <v/>
      </c>
      <c r="L3475" s="19" t="str">
        <f>IF($K3475="","",IF($K3475&gt;MAX($A$8:$A$5007),"",IFERROR(MATCH($K3475,$A$8:$A$5007,1),"")))</f>
        <v/>
      </c>
      <c r="M3475" s="30" t="str">
        <f>IF($L3475="","",INDEX($A$8:$A$5007,$L3475))</f>
        <v/>
      </c>
      <c r="N3475" s="31" t="str">
        <f>IF($L3475="","",INDEX($B$8:$B$5007,$L3475))</f>
        <v/>
      </c>
      <c r="O3475" s="32" t="str">
        <f>IF($M3475="","",IF($K3475-$M3475&gt;7,"",IF($M3475&lt;=$A3475,"",IF(OR($B3475&lt;=0,$N3475&lt;=0),"",($N3475/$B3475)^(365/($M3475-$A3475))-1))))</f>
        <v/>
      </c>
      <c r="P3475" s="31" t="str">
        <f>IF($B3475="","",IF($P3474="",$B3475,MAX($P3474,$B3475)))</f>
        <v/>
      </c>
      <c r="Q3475" s="32" t="str">
        <f>IF($P3475="","",$B3475/$P3475-1)</f>
        <v/>
      </c>
    </row>
    <row r="3476">
      <c r="A3476" s="11" t="n"/>
      <c r="B3476" s="29" t="n"/>
      <c r="K3476" s="30" t="str">
        <f>IF($A3476="","",EDATE($A3476,12*$E$4))</f>
        <v/>
      </c>
      <c r="L3476" s="19" t="str">
        <f>IF($K3476="","",IF($K3476&gt;MAX($A$8:$A$5007),"",IFERROR(MATCH($K3476,$A$8:$A$5007,1),"")))</f>
        <v/>
      </c>
      <c r="M3476" s="30" t="str">
        <f>IF($L3476="","",INDEX($A$8:$A$5007,$L3476))</f>
        <v/>
      </c>
      <c r="N3476" s="31" t="str">
        <f>IF($L3476="","",INDEX($B$8:$B$5007,$L3476))</f>
        <v/>
      </c>
      <c r="O3476" s="32" t="str">
        <f>IF($M3476="","",IF($K3476-$M3476&gt;7,"",IF($M3476&lt;=$A3476,"",IF(OR($B3476&lt;=0,$N3476&lt;=0),"",($N3476/$B3476)^(365/($M3476-$A3476))-1))))</f>
        <v/>
      </c>
      <c r="P3476" s="31" t="str">
        <f>IF($B3476="","",IF($P3475="",$B3476,MAX($P3475,$B3476)))</f>
        <v/>
      </c>
      <c r="Q3476" s="32" t="str">
        <f>IF($P3476="","",$B3476/$P3476-1)</f>
        <v/>
      </c>
    </row>
    <row r="3477">
      <c r="A3477" s="11" t="n"/>
      <c r="B3477" s="29" t="n"/>
      <c r="K3477" s="30" t="str">
        <f>IF($A3477="","",EDATE($A3477,12*$E$4))</f>
        <v/>
      </c>
      <c r="L3477" s="19" t="str">
        <f>IF($K3477="","",IF($K3477&gt;MAX($A$8:$A$5007),"",IFERROR(MATCH($K3477,$A$8:$A$5007,1),"")))</f>
        <v/>
      </c>
      <c r="M3477" s="30" t="str">
        <f>IF($L3477="","",INDEX($A$8:$A$5007,$L3477))</f>
        <v/>
      </c>
      <c r="N3477" s="31" t="str">
        <f>IF($L3477="","",INDEX($B$8:$B$5007,$L3477))</f>
        <v/>
      </c>
      <c r="O3477" s="32" t="str">
        <f>IF($M3477="","",IF($K3477-$M3477&gt;7,"",IF($M3477&lt;=$A3477,"",IF(OR($B3477&lt;=0,$N3477&lt;=0),"",($N3477/$B3477)^(365/($M3477-$A3477))-1))))</f>
        <v/>
      </c>
      <c r="P3477" s="31" t="str">
        <f>IF($B3477="","",IF($P3476="",$B3477,MAX($P3476,$B3477)))</f>
        <v/>
      </c>
      <c r="Q3477" s="32" t="str">
        <f>IF($P3477="","",$B3477/$P3477-1)</f>
        <v/>
      </c>
    </row>
    <row r="3478">
      <c r="A3478" s="11" t="n"/>
      <c r="B3478" s="29" t="n"/>
      <c r="K3478" s="30" t="str">
        <f>IF($A3478="","",EDATE($A3478,12*$E$4))</f>
        <v/>
      </c>
      <c r="L3478" s="19" t="str">
        <f>IF($K3478="","",IF($K3478&gt;MAX($A$8:$A$5007),"",IFERROR(MATCH($K3478,$A$8:$A$5007,1),"")))</f>
        <v/>
      </c>
      <c r="M3478" s="30" t="str">
        <f>IF($L3478="","",INDEX($A$8:$A$5007,$L3478))</f>
        <v/>
      </c>
      <c r="N3478" s="31" t="str">
        <f>IF($L3478="","",INDEX($B$8:$B$5007,$L3478))</f>
        <v/>
      </c>
      <c r="O3478" s="32" t="str">
        <f>IF($M3478="","",IF($K3478-$M3478&gt;7,"",IF($M3478&lt;=$A3478,"",IF(OR($B3478&lt;=0,$N3478&lt;=0),"",($N3478/$B3478)^(365/($M3478-$A3478))-1))))</f>
        <v/>
      </c>
      <c r="P3478" s="31" t="str">
        <f>IF($B3478="","",IF($P3477="",$B3478,MAX($P3477,$B3478)))</f>
        <v/>
      </c>
      <c r="Q3478" s="32" t="str">
        <f>IF($P3478="","",$B3478/$P3478-1)</f>
        <v/>
      </c>
    </row>
    <row r="3479">
      <c r="A3479" s="11" t="n"/>
      <c r="B3479" s="29" t="n"/>
      <c r="K3479" s="30" t="str">
        <f>IF($A3479="","",EDATE($A3479,12*$E$4))</f>
        <v/>
      </c>
      <c r="L3479" s="19" t="str">
        <f>IF($K3479="","",IF($K3479&gt;MAX($A$8:$A$5007),"",IFERROR(MATCH($K3479,$A$8:$A$5007,1),"")))</f>
        <v/>
      </c>
      <c r="M3479" s="30" t="str">
        <f>IF($L3479="","",INDEX($A$8:$A$5007,$L3479))</f>
        <v/>
      </c>
      <c r="N3479" s="31" t="str">
        <f>IF($L3479="","",INDEX($B$8:$B$5007,$L3479))</f>
        <v/>
      </c>
      <c r="O3479" s="32" t="str">
        <f>IF($M3479="","",IF($K3479-$M3479&gt;7,"",IF($M3479&lt;=$A3479,"",IF(OR($B3479&lt;=0,$N3479&lt;=0),"",($N3479/$B3479)^(365/($M3479-$A3479))-1))))</f>
        <v/>
      </c>
      <c r="P3479" s="31" t="str">
        <f>IF($B3479="","",IF($P3478="",$B3479,MAX($P3478,$B3479)))</f>
        <v/>
      </c>
      <c r="Q3479" s="32" t="str">
        <f>IF($P3479="","",$B3479/$P3479-1)</f>
        <v/>
      </c>
    </row>
    <row r="3480">
      <c r="A3480" s="11" t="n"/>
      <c r="B3480" s="29" t="n"/>
      <c r="K3480" s="30" t="str">
        <f>IF($A3480="","",EDATE($A3480,12*$E$4))</f>
        <v/>
      </c>
      <c r="L3480" s="19" t="str">
        <f>IF($K3480="","",IF($K3480&gt;MAX($A$8:$A$5007),"",IFERROR(MATCH($K3480,$A$8:$A$5007,1),"")))</f>
        <v/>
      </c>
      <c r="M3480" s="30" t="str">
        <f>IF($L3480="","",INDEX($A$8:$A$5007,$L3480))</f>
        <v/>
      </c>
      <c r="N3480" s="31" t="str">
        <f>IF($L3480="","",INDEX($B$8:$B$5007,$L3480))</f>
        <v/>
      </c>
      <c r="O3480" s="32" t="str">
        <f>IF($M3480="","",IF($K3480-$M3480&gt;7,"",IF($M3480&lt;=$A3480,"",IF(OR($B3480&lt;=0,$N3480&lt;=0),"",($N3480/$B3480)^(365/($M3480-$A3480))-1))))</f>
        <v/>
      </c>
      <c r="P3480" s="31" t="str">
        <f>IF($B3480="","",IF($P3479="",$B3480,MAX($P3479,$B3480)))</f>
        <v/>
      </c>
      <c r="Q3480" s="32" t="str">
        <f>IF($P3480="","",$B3480/$P3480-1)</f>
        <v/>
      </c>
    </row>
    <row r="3481">
      <c r="A3481" s="11" t="n"/>
      <c r="B3481" s="29" t="n"/>
      <c r="K3481" s="30" t="str">
        <f>IF($A3481="","",EDATE($A3481,12*$E$4))</f>
        <v/>
      </c>
      <c r="L3481" s="19" t="str">
        <f>IF($K3481="","",IF($K3481&gt;MAX($A$8:$A$5007),"",IFERROR(MATCH($K3481,$A$8:$A$5007,1),"")))</f>
        <v/>
      </c>
      <c r="M3481" s="30" t="str">
        <f>IF($L3481="","",INDEX($A$8:$A$5007,$L3481))</f>
        <v/>
      </c>
      <c r="N3481" s="31" t="str">
        <f>IF($L3481="","",INDEX($B$8:$B$5007,$L3481))</f>
        <v/>
      </c>
      <c r="O3481" s="32" t="str">
        <f>IF($M3481="","",IF($K3481-$M3481&gt;7,"",IF($M3481&lt;=$A3481,"",IF(OR($B3481&lt;=0,$N3481&lt;=0),"",($N3481/$B3481)^(365/($M3481-$A3481))-1))))</f>
        <v/>
      </c>
      <c r="P3481" s="31" t="str">
        <f>IF($B3481="","",IF($P3480="",$B3481,MAX($P3480,$B3481)))</f>
        <v/>
      </c>
      <c r="Q3481" s="32" t="str">
        <f>IF($P3481="","",$B3481/$P3481-1)</f>
        <v/>
      </c>
    </row>
    <row r="3482">
      <c r="A3482" s="11" t="n"/>
      <c r="B3482" s="29" t="n"/>
      <c r="K3482" s="30" t="str">
        <f>IF($A3482="","",EDATE($A3482,12*$E$4))</f>
        <v/>
      </c>
      <c r="L3482" s="19" t="str">
        <f>IF($K3482="","",IF($K3482&gt;MAX($A$8:$A$5007),"",IFERROR(MATCH($K3482,$A$8:$A$5007,1),"")))</f>
        <v/>
      </c>
      <c r="M3482" s="30" t="str">
        <f>IF($L3482="","",INDEX($A$8:$A$5007,$L3482))</f>
        <v/>
      </c>
      <c r="N3482" s="31" t="str">
        <f>IF($L3482="","",INDEX($B$8:$B$5007,$L3482))</f>
        <v/>
      </c>
      <c r="O3482" s="32" t="str">
        <f>IF($M3482="","",IF($K3482-$M3482&gt;7,"",IF($M3482&lt;=$A3482,"",IF(OR($B3482&lt;=0,$N3482&lt;=0),"",($N3482/$B3482)^(365/($M3482-$A3482))-1))))</f>
        <v/>
      </c>
      <c r="P3482" s="31" t="str">
        <f>IF($B3482="","",IF($P3481="",$B3482,MAX($P3481,$B3482)))</f>
        <v/>
      </c>
      <c r="Q3482" s="32" t="str">
        <f>IF($P3482="","",$B3482/$P3482-1)</f>
        <v/>
      </c>
    </row>
    <row r="3483">
      <c r="A3483" s="11" t="n"/>
      <c r="B3483" s="29" t="n"/>
      <c r="K3483" s="30" t="str">
        <f>IF($A3483="","",EDATE($A3483,12*$E$4))</f>
        <v/>
      </c>
      <c r="L3483" s="19" t="str">
        <f>IF($K3483="","",IF($K3483&gt;MAX($A$8:$A$5007),"",IFERROR(MATCH($K3483,$A$8:$A$5007,1),"")))</f>
        <v/>
      </c>
      <c r="M3483" s="30" t="str">
        <f>IF($L3483="","",INDEX($A$8:$A$5007,$L3483))</f>
        <v/>
      </c>
      <c r="N3483" s="31" t="str">
        <f>IF($L3483="","",INDEX($B$8:$B$5007,$L3483))</f>
        <v/>
      </c>
      <c r="O3483" s="32" t="str">
        <f>IF($M3483="","",IF($K3483-$M3483&gt;7,"",IF($M3483&lt;=$A3483,"",IF(OR($B3483&lt;=0,$N3483&lt;=0),"",($N3483/$B3483)^(365/($M3483-$A3483))-1))))</f>
        <v/>
      </c>
      <c r="P3483" s="31" t="str">
        <f>IF($B3483="","",IF($P3482="",$B3483,MAX($P3482,$B3483)))</f>
        <v/>
      </c>
      <c r="Q3483" s="32" t="str">
        <f>IF($P3483="","",$B3483/$P3483-1)</f>
        <v/>
      </c>
    </row>
    <row r="3484">
      <c r="A3484" s="11" t="n"/>
      <c r="B3484" s="29" t="n"/>
      <c r="K3484" s="30" t="str">
        <f>IF($A3484="","",EDATE($A3484,12*$E$4))</f>
        <v/>
      </c>
      <c r="L3484" s="19" t="str">
        <f>IF($K3484="","",IF($K3484&gt;MAX($A$8:$A$5007),"",IFERROR(MATCH($K3484,$A$8:$A$5007,1),"")))</f>
        <v/>
      </c>
      <c r="M3484" s="30" t="str">
        <f>IF($L3484="","",INDEX($A$8:$A$5007,$L3484))</f>
        <v/>
      </c>
      <c r="N3484" s="31" t="str">
        <f>IF($L3484="","",INDEX($B$8:$B$5007,$L3484))</f>
        <v/>
      </c>
      <c r="O3484" s="32" t="str">
        <f>IF($M3484="","",IF($K3484-$M3484&gt;7,"",IF($M3484&lt;=$A3484,"",IF(OR($B3484&lt;=0,$N3484&lt;=0),"",($N3484/$B3484)^(365/($M3484-$A3484))-1))))</f>
        <v/>
      </c>
      <c r="P3484" s="31" t="str">
        <f>IF($B3484="","",IF($P3483="",$B3484,MAX($P3483,$B3484)))</f>
        <v/>
      </c>
      <c r="Q3484" s="32" t="str">
        <f>IF($P3484="","",$B3484/$P3484-1)</f>
        <v/>
      </c>
    </row>
    <row r="3485">
      <c r="A3485" s="11" t="n"/>
      <c r="B3485" s="29" t="n"/>
      <c r="K3485" s="30" t="str">
        <f>IF($A3485="","",EDATE($A3485,12*$E$4))</f>
        <v/>
      </c>
      <c r="L3485" s="19" t="str">
        <f>IF($K3485="","",IF($K3485&gt;MAX($A$8:$A$5007),"",IFERROR(MATCH($K3485,$A$8:$A$5007,1),"")))</f>
        <v/>
      </c>
      <c r="M3485" s="30" t="str">
        <f>IF($L3485="","",INDEX($A$8:$A$5007,$L3485))</f>
        <v/>
      </c>
      <c r="N3485" s="31" t="str">
        <f>IF($L3485="","",INDEX($B$8:$B$5007,$L3485))</f>
        <v/>
      </c>
      <c r="O3485" s="32" t="str">
        <f>IF($M3485="","",IF($K3485-$M3485&gt;7,"",IF($M3485&lt;=$A3485,"",IF(OR($B3485&lt;=0,$N3485&lt;=0),"",($N3485/$B3485)^(365/($M3485-$A3485))-1))))</f>
        <v/>
      </c>
      <c r="P3485" s="31" t="str">
        <f>IF($B3485="","",IF($P3484="",$B3485,MAX($P3484,$B3485)))</f>
        <v/>
      </c>
      <c r="Q3485" s="32" t="str">
        <f>IF($P3485="","",$B3485/$P3485-1)</f>
        <v/>
      </c>
    </row>
    <row r="3486">
      <c r="A3486" s="11" t="n"/>
      <c r="B3486" s="29" t="n"/>
      <c r="K3486" s="30" t="str">
        <f>IF($A3486="","",EDATE($A3486,12*$E$4))</f>
        <v/>
      </c>
      <c r="L3486" s="19" t="str">
        <f>IF($K3486="","",IF($K3486&gt;MAX($A$8:$A$5007),"",IFERROR(MATCH($K3486,$A$8:$A$5007,1),"")))</f>
        <v/>
      </c>
      <c r="M3486" s="30" t="str">
        <f>IF($L3486="","",INDEX($A$8:$A$5007,$L3486))</f>
        <v/>
      </c>
      <c r="N3486" s="31" t="str">
        <f>IF($L3486="","",INDEX($B$8:$B$5007,$L3486))</f>
        <v/>
      </c>
      <c r="O3486" s="32" t="str">
        <f>IF($M3486="","",IF($K3486-$M3486&gt;7,"",IF($M3486&lt;=$A3486,"",IF(OR($B3486&lt;=0,$N3486&lt;=0),"",($N3486/$B3486)^(365/($M3486-$A3486))-1))))</f>
        <v/>
      </c>
      <c r="P3486" s="31" t="str">
        <f>IF($B3486="","",IF($P3485="",$B3486,MAX($P3485,$B3486)))</f>
        <v/>
      </c>
      <c r="Q3486" s="32" t="str">
        <f>IF($P3486="","",$B3486/$P3486-1)</f>
        <v/>
      </c>
    </row>
    <row r="3487">
      <c r="A3487" s="11" t="n"/>
      <c r="B3487" s="29" t="n"/>
      <c r="K3487" s="30" t="str">
        <f>IF($A3487="","",EDATE($A3487,12*$E$4))</f>
        <v/>
      </c>
      <c r="L3487" s="19" t="str">
        <f>IF($K3487="","",IF($K3487&gt;MAX($A$8:$A$5007),"",IFERROR(MATCH($K3487,$A$8:$A$5007,1),"")))</f>
        <v/>
      </c>
      <c r="M3487" s="30" t="str">
        <f>IF($L3487="","",INDEX($A$8:$A$5007,$L3487))</f>
        <v/>
      </c>
      <c r="N3487" s="31" t="str">
        <f>IF($L3487="","",INDEX($B$8:$B$5007,$L3487))</f>
        <v/>
      </c>
      <c r="O3487" s="32" t="str">
        <f>IF($M3487="","",IF($K3487-$M3487&gt;7,"",IF($M3487&lt;=$A3487,"",IF(OR($B3487&lt;=0,$N3487&lt;=0),"",($N3487/$B3487)^(365/($M3487-$A3487))-1))))</f>
        <v/>
      </c>
      <c r="P3487" s="31" t="str">
        <f>IF($B3487="","",IF($P3486="",$B3487,MAX($P3486,$B3487)))</f>
        <v/>
      </c>
      <c r="Q3487" s="32" t="str">
        <f>IF($P3487="","",$B3487/$P3487-1)</f>
        <v/>
      </c>
    </row>
    <row r="3488">
      <c r="A3488" s="11" t="n"/>
      <c r="B3488" s="29" t="n"/>
      <c r="K3488" s="30" t="str">
        <f>IF($A3488="","",EDATE($A3488,12*$E$4))</f>
        <v/>
      </c>
      <c r="L3488" s="19" t="str">
        <f>IF($K3488="","",IF($K3488&gt;MAX($A$8:$A$5007),"",IFERROR(MATCH($K3488,$A$8:$A$5007,1),"")))</f>
        <v/>
      </c>
      <c r="M3488" s="30" t="str">
        <f>IF($L3488="","",INDEX($A$8:$A$5007,$L3488))</f>
        <v/>
      </c>
      <c r="N3488" s="31" t="str">
        <f>IF($L3488="","",INDEX($B$8:$B$5007,$L3488))</f>
        <v/>
      </c>
      <c r="O3488" s="32" t="str">
        <f>IF($M3488="","",IF($K3488-$M3488&gt;7,"",IF($M3488&lt;=$A3488,"",IF(OR($B3488&lt;=0,$N3488&lt;=0),"",($N3488/$B3488)^(365/($M3488-$A3488))-1))))</f>
        <v/>
      </c>
      <c r="P3488" s="31" t="str">
        <f>IF($B3488="","",IF($P3487="",$B3488,MAX($P3487,$B3488)))</f>
        <v/>
      </c>
      <c r="Q3488" s="32" t="str">
        <f>IF($P3488="","",$B3488/$P3488-1)</f>
        <v/>
      </c>
    </row>
    <row r="3489">
      <c r="A3489" s="11" t="n"/>
      <c r="B3489" s="29" t="n"/>
      <c r="K3489" s="30" t="str">
        <f>IF($A3489="","",EDATE($A3489,12*$E$4))</f>
        <v/>
      </c>
      <c r="L3489" s="19" t="str">
        <f>IF($K3489="","",IF($K3489&gt;MAX($A$8:$A$5007),"",IFERROR(MATCH($K3489,$A$8:$A$5007,1),"")))</f>
        <v/>
      </c>
      <c r="M3489" s="30" t="str">
        <f>IF($L3489="","",INDEX($A$8:$A$5007,$L3489))</f>
        <v/>
      </c>
      <c r="N3489" s="31" t="str">
        <f>IF($L3489="","",INDEX($B$8:$B$5007,$L3489))</f>
        <v/>
      </c>
      <c r="O3489" s="32" t="str">
        <f>IF($M3489="","",IF($K3489-$M3489&gt;7,"",IF($M3489&lt;=$A3489,"",IF(OR($B3489&lt;=0,$N3489&lt;=0),"",($N3489/$B3489)^(365/($M3489-$A3489))-1))))</f>
        <v/>
      </c>
      <c r="P3489" s="31" t="str">
        <f>IF($B3489="","",IF($P3488="",$B3489,MAX($P3488,$B3489)))</f>
        <v/>
      </c>
      <c r="Q3489" s="32" t="str">
        <f>IF($P3489="","",$B3489/$P3489-1)</f>
        <v/>
      </c>
    </row>
    <row r="3490">
      <c r="A3490" s="11" t="n"/>
      <c r="B3490" s="29" t="n"/>
      <c r="K3490" s="30" t="str">
        <f>IF($A3490="","",EDATE($A3490,12*$E$4))</f>
        <v/>
      </c>
      <c r="L3490" s="19" t="str">
        <f>IF($K3490="","",IF($K3490&gt;MAX($A$8:$A$5007),"",IFERROR(MATCH($K3490,$A$8:$A$5007,1),"")))</f>
        <v/>
      </c>
      <c r="M3490" s="30" t="str">
        <f>IF($L3490="","",INDEX($A$8:$A$5007,$L3490))</f>
        <v/>
      </c>
      <c r="N3490" s="31" t="str">
        <f>IF($L3490="","",INDEX($B$8:$B$5007,$L3490))</f>
        <v/>
      </c>
      <c r="O3490" s="32" t="str">
        <f>IF($M3490="","",IF($K3490-$M3490&gt;7,"",IF($M3490&lt;=$A3490,"",IF(OR($B3490&lt;=0,$N3490&lt;=0),"",($N3490/$B3490)^(365/($M3490-$A3490))-1))))</f>
        <v/>
      </c>
      <c r="P3490" s="31" t="str">
        <f>IF($B3490="","",IF($P3489="",$B3490,MAX($P3489,$B3490)))</f>
        <v/>
      </c>
      <c r="Q3490" s="32" t="str">
        <f>IF($P3490="","",$B3490/$P3490-1)</f>
        <v/>
      </c>
    </row>
    <row r="3491">
      <c r="A3491" s="11" t="n"/>
      <c r="B3491" s="29" t="n"/>
      <c r="K3491" s="30" t="str">
        <f>IF($A3491="","",EDATE($A3491,12*$E$4))</f>
        <v/>
      </c>
      <c r="L3491" s="19" t="str">
        <f>IF($K3491="","",IF($K3491&gt;MAX($A$8:$A$5007),"",IFERROR(MATCH($K3491,$A$8:$A$5007,1),"")))</f>
        <v/>
      </c>
      <c r="M3491" s="30" t="str">
        <f>IF($L3491="","",INDEX($A$8:$A$5007,$L3491))</f>
        <v/>
      </c>
      <c r="N3491" s="31" t="str">
        <f>IF($L3491="","",INDEX($B$8:$B$5007,$L3491))</f>
        <v/>
      </c>
      <c r="O3491" s="32" t="str">
        <f>IF($M3491="","",IF($K3491-$M3491&gt;7,"",IF($M3491&lt;=$A3491,"",IF(OR($B3491&lt;=0,$N3491&lt;=0),"",($N3491/$B3491)^(365/($M3491-$A3491))-1))))</f>
        <v/>
      </c>
      <c r="P3491" s="31" t="str">
        <f>IF($B3491="","",IF($P3490="",$B3491,MAX($P3490,$B3491)))</f>
        <v/>
      </c>
      <c r="Q3491" s="32" t="str">
        <f>IF($P3491="","",$B3491/$P3491-1)</f>
        <v/>
      </c>
    </row>
    <row r="3492">
      <c r="A3492" s="11" t="n"/>
      <c r="B3492" s="29" t="n"/>
      <c r="K3492" s="30" t="str">
        <f>IF($A3492="","",EDATE($A3492,12*$E$4))</f>
        <v/>
      </c>
      <c r="L3492" s="19" t="str">
        <f>IF($K3492="","",IF($K3492&gt;MAX($A$8:$A$5007),"",IFERROR(MATCH($K3492,$A$8:$A$5007,1),"")))</f>
        <v/>
      </c>
      <c r="M3492" s="30" t="str">
        <f>IF($L3492="","",INDEX($A$8:$A$5007,$L3492))</f>
        <v/>
      </c>
      <c r="N3492" s="31" t="str">
        <f>IF($L3492="","",INDEX($B$8:$B$5007,$L3492))</f>
        <v/>
      </c>
      <c r="O3492" s="32" t="str">
        <f>IF($M3492="","",IF($K3492-$M3492&gt;7,"",IF($M3492&lt;=$A3492,"",IF(OR($B3492&lt;=0,$N3492&lt;=0),"",($N3492/$B3492)^(365/($M3492-$A3492))-1))))</f>
        <v/>
      </c>
      <c r="P3492" s="31" t="str">
        <f>IF($B3492="","",IF($P3491="",$B3492,MAX($P3491,$B3492)))</f>
        <v/>
      </c>
      <c r="Q3492" s="32" t="str">
        <f>IF($P3492="","",$B3492/$P3492-1)</f>
        <v/>
      </c>
    </row>
    <row r="3493">
      <c r="A3493" s="11" t="n"/>
      <c r="B3493" s="29" t="n"/>
      <c r="K3493" s="30" t="str">
        <f>IF($A3493="","",EDATE($A3493,12*$E$4))</f>
        <v/>
      </c>
      <c r="L3493" s="19" t="str">
        <f>IF($K3493="","",IF($K3493&gt;MAX($A$8:$A$5007),"",IFERROR(MATCH($K3493,$A$8:$A$5007,1),"")))</f>
        <v/>
      </c>
      <c r="M3493" s="30" t="str">
        <f>IF($L3493="","",INDEX($A$8:$A$5007,$L3493))</f>
        <v/>
      </c>
      <c r="N3493" s="31" t="str">
        <f>IF($L3493="","",INDEX($B$8:$B$5007,$L3493))</f>
        <v/>
      </c>
      <c r="O3493" s="32" t="str">
        <f>IF($M3493="","",IF($K3493-$M3493&gt;7,"",IF($M3493&lt;=$A3493,"",IF(OR($B3493&lt;=0,$N3493&lt;=0),"",($N3493/$B3493)^(365/($M3493-$A3493))-1))))</f>
        <v/>
      </c>
      <c r="P3493" s="31" t="str">
        <f>IF($B3493="","",IF($P3492="",$B3493,MAX($P3492,$B3493)))</f>
        <v/>
      </c>
      <c r="Q3493" s="32" t="str">
        <f>IF($P3493="","",$B3493/$P3493-1)</f>
        <v/>
      </c>
    </row>
    <row r="3494">
      <c r="A3494" s="11" t="n"/>
      <c r="B3494" s="29" t="n"/>
      <c r="K3494" s="30" t="str">
        <f>IF($A3494="","",EDATE($A3494,12*$E$4))</f>
        <v/>
      </c>
      <c r="L3494" s="19" t="str">
        <f>IF($K3494="","",IF($K3494&gt;MAX($A$8:$A$5007),"",IFERROR(MATCH($K3494,$A$8:$A$5007,1),"")))</f>
        <v/>
      </c>
      <c r="M3494" s="30" t="str">
        <f>IF($L3494="","",INDEX($A$8:$A$5007,$L3494))</f>
        <v/>
      </c>
      <c r="N3494" s="31" t="str">
        <f>IF($L3494="","",INDEX($B$8:$B$5007,$L3494))</f>
        <v/>
      </c>
      <c r="O3494" s="32" t="str">
        <f>IF($M3494="","",IF($K3494-$M3494&gt;7,"",IF($M3494&lt;=$A3494,"",IF(OR($B3494&lt;=0,$N3494&lt;=0),"",($N3494/$B3494)^(365/($M3494-$A3494))-1))))</f>
        <v/>
      </c>
      <c r="P3494" s="31" t="str">
        <f>IF($B3494="","",IF($P3493="",$B3494,MAX($P3493,$B3494)))</f>
        <v/>
      </c>
      <c r="Q3494" s="32" t="str">
        <f>IF($P3494="","",$B3494/$P3494-1)</f>
        <v/>
      </c>
    </row>
    <row r="3495">
      <c r="A3495" s="11" t="n"/>
      <c r="B3495" s="29" t="n"/>
      <c r="K3495" s="30" t="str">
        <f>IF($A3495="","",EDATE($A3495,12*$E$4))</f>
        <v/>
      </c>
      <c r="L3495" s="19" t="str">
        <f>IF($K3495="","",IF($K3495&gt;MAX($A$8:$A$5007),"",IFERROR(MATCH($K3495,$A$8:$A$5007,1),"")))</f>
        <v/>
      </c>
      <c r="M3495" s="30" t="str">
        <f>IF($L3495="","",INDEX($A$8:$A$5007,$L3495))</f>
        <v/>
      </c>
      <c r="N3495" s="31" t="str">
        <f>IF($L3495="","",INDEX($B$8:$B$5007,$L3495))</f>
        <v/>
      </c>
      <c r="O3495" s="32" t="str">
        <f>IF($M3495="","",IF($K3495-$M3495&gt;7,"",IF($M3495&lt;=$A3495,"",IF(OR($B3495&lt;=0,$N3495&lt;=0),"",($N3495/$B3495)^(365/($M3495-$A3495))-1))))</f>
        <v/>
      </c>
      <c r="P3495" s="31" t="str">
        <f>IF($B3495="","",IF($P3494="",$B3495,MAX($P3494,$B3495)))</f>
        <v/>
      </c>
      <c r="Q3495" s="32" t="str">
        <f>IF($P3495="","",$B3495/$P3495-1)</f>
        <v/>
      </c>
    </row>
    <row r="3496">
      <c r="A3496" s="11" t="n"/>
      <c r="B3496" s="29" t="n"/>
      <c r="K3496" s="30" t="str">
        <f>IF($A3496="","",EDATE($A3496,12*$E$4))</f>
        <v/>
      </c>
      <c r="L3496" s="19" t="str">
        <f>IF($K3496="","",IF($K3496&gt;MAX($A$8:$A$5007),"",IFERROR(MATCH($K3496,$A$8:$A$5007,1),"")))</f>
        <v/>
      </c>
      <c r="M3496" s="30" t="str">
        <f>IF($L3496="","",INDEX($A$8:$A$5007,$L3496))</f>
        <v/>
      </c>
      <c r="N3496" s="31" t="str">
        <f>IF($L3496="","",INDEX($B$8:$B$5007,$L3496))</f>
        <v/>
      </c>
      <c r="O3496" s="32" t="str">
        <f>IF($M3496="","",IF($K3496-$M3496&gt;7,"",IF($M3496&lt;=$A3496,"",IF(OR($B3496&lt;=0,$N3496&lt;=0),"",($N3496/$B3496)^(365/($M3496-$A3496))-1))))</f>
        <v/>
      </c>
      <c r="P3496" s="31" t="str">
        <f>IF($B3496="","",IF($P3495="",$B3496,MAX($P3495,$B3496)))</f>
        <v/>
      </c>
      <c r="Q3496" s="32" t="str">
        <f>IF($P3496="","",$B3496/$P3496-1)</f>
        <v/>
      </c>
    </row>
    <row r="3497">
      <c r="A3497" s="11" t="n"/>
      <c r="B3497" s="29" t="n"/>
      <c r="K3497" s="30" t="str">
        <f>IF($A3497="","",EDATE($A3497,12*$E$4))</f>
        <v/>
      </c>
      <c r="L3497" s="19" t="str">
        <f>IF($K3497="","",IF($K3497&gt;MAX($A$8:$A$5007),"",IFERROR(MATCH($K3497,$A$8:$A$5007,1),"")))</f>
        <v/>
      </c>
      <c r="M3497" s="30" t="str">
        <f>IF($L3497="","",INDEX($A$8:$A$5007,$L3497))</f>
        <v/>
      </c>
      <c r="N3497" s="31" t="str">
        <f>IF($L3497="","",INDEX($B$8:$B$5007,$L3497))</f>
        <v/>
      </c>
      <c r="O3497" s="32" t="str">
        <f>IF($M3497="","",IF($K3497-$M3497&gt;7,"",IF($M3497&lt;=$A3497,"",IF(OR($B3497&lt;=0,$N3497&lt;=0),"",($N3497/$B3497)^(365/($M3497-$A3497))-1))))</f>
        <v/>
      </c>
      <c r="P3497" s="31" t="str">
        <f>IF($B3497="","",IF($P3496="",$B3497,MAX($P3496,$B3497)))</f>
        <v/>
      </c>
      <c r="Q3497" s="32" t="str">
        <f>IF($P3497="","",$B3497/$P3497-1)</f>
        <v/>
      </c>
    </row>
    <row r="3498">
      <c r="A3498" s="11" t="n"/>
      <c r="B3498" s="29" t="n"/>
      <c r="K3498" s="30" t="str">
        <f>IF($A3498="","",EDATE($A3498,12*$E$4))</f>
        <v/>
      </c>
      <c r="L3498" s="19" t="str">
        <f>IF($K3498="","",IF($K3498&gt;MAX($A$8:$A$5007),"",IFERROR(MATCH($K3498,$A$8:$A$5007,1),"")))</f>
        <v/>
      </c>
      <c r="M3498" s="30" t="str">
        <f>IF($L3498="","",INDEX($A$8:$A$5007,$L3498))</f>
        <v/>
      </c>
      <c r="N3498" s="31" t="str">
        <f>IF($L3498="","",INDEX($B$8:$B$5007,$L3498))</f>
        <v/>
      </c>
      <c r="O3498" s="32" t="str">
        <f>IF($M3498="","",IF($K3498-$M3498&gt;7,"",IF($M3498&lt;=$A3498,"",IF(OR($B3498&lt;=0,$N3498&lt;=0),"",($N3498/$B3498)^(365/($M3498-$A3498))-1))))</f>
        <v/>
      </c>
      <c r="P3498" s="31" t="str">
        <f>IF($B3498="","",IF($P3497="",$B3498,MAX($P3497,$B3498)))</f>
        <v/>
      </c>
      <c r="Q3498" s="32" t="str">
        <f>IF($P3498="","",$B3498/$P3498-1)</f>
        <v/>
      </c>
    </row>
    <row r="3499">
      <c r="A3499" s="11" t="n"/>
      <c r="B3499" s="29" t="n"/>
      <c r="K3499" s="30" t="str">
        <f>IF($A3499="","",EDATE($A3499,12*$E$4))</f>
        <v/>
      </c>
      <c r="L3499" s="19" t="str">
        <f>IF($K3499="","",IF($K3499&gt;MAX($A$8:$A$5007),"",IFERROR(MATCH($K3499,$A$8:$A$5007,1),"")))</f>
        <v/>
      </c>
      <c r="M3499" s="30" t="str">
        <f>IF($L3499="","",INDEX($A$8:$A$5007,$L3499))</f>
        <v/>
      </c>
      <c r="N3499" s="31" t="str">
        <f>IF($L3499="","",INDEX($B$8:$B$5007,$L3499))</f>
        <v/>
      </c>
      <c r="O3499" s="32" t="str">
        <f>IF($M3499="","",IF($K3499-$M3499&gt;7,"",IF($M3499&lt;=$A3499,"",IF(OR($B3499&lt;=0,$N3499&lt;=0),"",($N3499/$B3499)^(365/($M3499-$A3499))-1))))</f>
        <v/>
      </c>
      <c r="P3499" s="31" t="str">
        <f>IF($B3499="","",IF($P3498="",$B3499,MAX($P3498,$B3499)))</f>
        <v/>
      </c>
      <c r="Q3499" s="32" t="str">
        <f>IF($P3499="","",$B3499/$P3499-1)</f>
        <v/>
      </c>
    </row>
    <row r="3500">
      <c r="A3500" s="11" t="n"/>
      <c r="B3500" s="29" t="n"/>
      <c r="K3500" s="30" t="str">
        <f>IF($A3500="","",EDATE($A3500,12*$E$4))</f>
        <v/>
      </c>
      <c r="L3500" s="19" t="str">
        <f>IF($K3500="","",IF($K3500&gt;MAX($A$8:$A$5007),"",IFERROR(MATCH($K3500,$A$8:$A$5007,1),"")))</f>
        <v/>
      </c>
      <c r="M3500" s="30" t="str">
        <f>IF($L3500="","",INDEX($A$8:$A$5007,$L3500))</f>
        <v/>
      </c>
      <c r="N3500" s="31" t="str">
        <f>IF($L3500="","",INDEX($B$8:$B$5007,$L3500))</f>
        <v/>
      </c>
      <c r="O3500" s="32" t="str">
        <f>IF($M3500="","",IF($K3500-$M3500&gt;7,"",IF($M3500&lt;=$A3500,"",IF(OR($B3500&lt;=0,$N3500&lt;=0),"",($N3500/$B3500)^(365/($M3500-$A3500))-1))))</f>
        <v/>
      </c>
      <c r="P3500" s="31" t="str">
        <f>IF($B3500="","",IF($P3499="",$B3500,MAX($P3499,$B3500)))</f>
        <v/>
      </c>
      <c r="Q3500" s="32" t="str">
        <f>IF($P3500="","",$B3500/$P3500-1)</f>
        <v/>
      </c>
    </row>
    <row r="3501">
      <c r="A3501" s="11" t="n"/>
      <c r="B3501" s="29" t="n"/>
      <c r="K3501" s="30" t="str">
        <f>IF($A3501="","",EDATE($A3501,12*$E$4))</f>
        <v/>
      </c>
      <c r="L3501" s="19" t="str">
        <f>IF($K3501="","",IF($K3501&gt;MAX($A$8:$A$5007),"",IFERROR(MATCH($K3501,$A$8:$A$5007,1),"")))</f>
        <v/>
      </c>
      <c r="M3501" s="30" t="str">
        <f>IF($L3501="","",INDEX($A$8:$A$5007,$L3501))</f>
        <v/>
      </c>
      <c r="N3501" s="31" t="str">
        <f>IF($L3501="","",INDEX($B$8:$B$5007,$L3501))</f>
        <v/>
      </c>
      <c r="O3501" s="32" t="str">
        <f>IF($M3501="","",IF($K3501-$M3501&gt;7,"",IF($M3501&lt;=$A3501,"",IF(OR($B3501&lt;=0,$N3501&lt;=0),"",($N3501/$B3501)^(365/($M3501-$A3501))-1))))</f>
        <v/>
      </c>
      <c r="P3501" s="31" t="str">
        <f>IF($B3501="","",IF($P3500="",$B3501,MAX($P3500,$B3501)))</f>
        <v/>
      </c>
      <c r="Q3501" s="32" t="str">
        <f>IF($P3501="","",$B3501/$P3501-1)</f>
        <v/>
      </c>
    </row>
    <row r="3502">
      <c r="A3502" s="11" t="n"/>
      <c r="B3502" s="29" t="n"/>
      <c r="K3502" s="30" t="str">
        <f>IF($A3502="","",EDATE($A3502,12*$E$4))</f>
        <v/>
      </c>
      <c r="L3502" s="19" t="str">
        <f>IF($K3502="","",IF($K3502&gt;MAX($A$8:$A$5007),"",IFERROR(MATCH($K3502,$A$8:$A$5007,1),"")))</f>
        <v/>
      </c>
      <c r="M3502" s="30" t="str">
        <f>IF($L3502="","",INDEX($A$8:$A$5007,$L3502))</f>
        <v/>
      </c>
      <c r="N3502" s="31" t="str">
        <f>IF($L3502="","",INDEX($B$8:$B$5007,$L3502))</f>
        <v/>
      </c>
      <c r="O3502" s="32" t="str">
        <f>IF($M3502="","",IF($K3502-$M3502&gt;7,"",IF($M3502&lt;=$A3502,"",IF(OR($B3502&lt;=0,$N3502&lt;=0),"",($N3502/$B3502)^(365/($M3502-$A3502))-1))))</f>
        <v/>
      </c>
      <c r="P3502" s="31" t="str">
        <f>IF($B3502="","",IF($P3501="",$B3502,MAX($P3501,$B3502)))</f>
        <v/>
      </c>
      <c r="Q3502" s="32" t="str">
        <f>IF($P3502="","",$B3502/$P3502-1)</f>
        <v/>
      </c>
    </row>
    <row r="3503">
      <c r="A3503" s="11" t="n"/>
      <c r="B3503" s="29" t="n"/>
      <c r="K3503" s="30" t="str">
        <f>IF($A3503="","",EDATE($A3503,12*$E$4))</f>
        <v/>
      </c>
      <c r="L3503" s="19" t="str">
        <f>IF($K3503="","",IF($K3503&gt;MAX($A$8:$A$5007),"",IFERROR(MATCH($K3503,$A$8:$A$5007,1),"")))</f>
        <v/>
      </c>
      <c r="M3503" s="30" t="str">
        <f>IF($L3503="","",INDEX($A$8:$A$5007,$L3503))</f>
        <v/>
      </c>
      <c r="N3503" s="31" t="str">
        <f>IF($L3503="","",INDEX($B$8:$B$5007,$L3503))</f>
        <v/>
      </c>
      <c r="O3503" s="32" t="str">
        <f>IF($M3503="","",IF($K3503-$M3503&gt;7,"",IF($M3503&lt;=$A3503,"",IF(OR($B3503&lt;=0,$N3503&lt;=0),"",($N3503/$B3503)^(365/($M3503-$A3503))-1))))</f>
        <v/>
      </c>
      <c r="P3503" s="31" t="str">
        <f>IF($B3503="","",IF($P3502="",$B3503,MAX($P3502,$B3503)))</f>
        <v/>
      </c>
      <c r="Q3503" s="32" t="str">
        <f>IF($P3503="","",$B3503/$P3503-1)</f>
        <v/>
      </c>
    </row>
    <row r="3504">
      <c r="A3504" s="11" t="n"/>
      <c r="B3504" s="29" t="n"/>
      <c r="K3504" s="30" t="str">
        <f>IF($A3504="","",EDATE($A3504,12*$E$4))</f>
        <v/>
      </c>
      <c r="L3504" s="19" t="str">
        <f>IF($K3504="","",IF($K3504&gt;MAX($A$8:$A$5007),"",IFERROR(MATCH($K3504,$A$8:$A$5007,1),"")))</f>
        <v/>
      </c>
      <c r="M3504" s="30" t="str">
        <f>IF($L3504="","",INDEX($A$8:$A$5007,$L3504))</f>
        <v/>
      </c>
      <c r="N3504" s="31" t="str">
        <f>IF($L3504="","",INDEX($B$8:$B$5007,$L3504))</f>
        <v/>
      </c>
      <c r="O3504" s="32" t="str">
        <f>IF($M3504="","",IF($K3504-$M3504&gt;7,"",IF($M3504&lt;=$A3504,"",IF(OR($B3504&lt;=0,$N3504&lt;=0),"",($N3504/$B3504)^(365/($M3504-$A3504))-1))))</f>
        <v/>
      </c>
      <c r="P3504" s="31" t="str">
        <f>IF($B3504="","",IF($P3503="",$B3504,MAX($P3503,$B3504)))</f>
        <v/>
      </c>
      <c r="Q3504" s="32" t="str">
        <f>IF($P3504="","",$B3504/$P3504-1)</f>
        <v/>
      </c>
    </row>
    <row r="3505">
      <c r="A3505" s="11" t="n"/>
      <c r="B3505" s="29" t="n"/>
      <c r="K3505" s="30" t="str">
        <f>IF($A3505="","",EDATE($A3505,12*$E$4))</f>
        <v/>
      </c>
      <c r="L3505" s="19" t="str">
        <f>IF($K3505="","",IF($K3505&gt;MAX($A$8:$A$5007),"",IFERROR(MATCH($K3505,$A$8:$A$5007,1),"")))</f>
        <v/>
      </c>
      <c r="M3505" s="30" t="str">
        <f>IF($L3505="","",INDEX($A$8:$A$5007,$L3505))</f>
        <v/>
      </c>
      <c r="N3505" s="31" t="str">
        <f>IF($L3505="","",INDEX($B$8:$B$5007,$L3505))</f>
        <v/>
      </c>
      <c r="O3505" s="32" t="str">
        <f>IF($M3505="","",IF($K3505-$M3505&gt;7,"",IF($M3505&lt;=$A3505,"",IF(OR($B3505&lt;=0,$N3505&lt;=0),"",($N3505/$B3505)^(365/($M3505-$A3505))-1))))</f>
        <v/>
      </c>
      <c r="P3505" s="31" t="str">
        <f>IF($B3505="","",IF($P3504="",$B3505,MAX($P3504,$B3505)))</f>
        <v/>
      </c>
      <c r="Q3505" s="32" t="str">
        <f>IF($P3505="","",$B3505/$P3505-1)</f>
        <v/>
      </c>
    </row>
    <row r="3506">
      <c r="A3506" s="11" t="n"/>
      <c r="B3506" s="29" t="n"/>
      <c r="K3506" s="30" t="str">
        <f>IF($A3506="","",EDATE($A3506,12*$E$4))</f>
        <v/>
      </c>
      <c r="L3506" s="19" t="str">
        <f>IF($K3506="","",IF($K3506&gt;MAX($A$8:$A$5007),"",IFERROR(MATCH($K3506,$A$8:$A$5007,1),"")))</f>
        <v/>
      </c>
      <c r="M3506" s="30" t="str">
        <f>IF($L3506="","",INDEX($A$8:$A$5007,$L3506))</f>
        <v/>
      </c>
      <c r="N3506" s="31" t="str">
        <f>IF($L3506="","",INDEX($B$8:$B$5007,$L3506))</f>
        <v/>
      </c>
      <c r="O3506" s="32" t="str">
        <f>IF($M3506="","",IF($K3506-$M3506&gt;7,"",IF($M3506&lt;=$A3506,"",IF(OR($B3506&lt;=0,$N3506&lt;=0),"",($N3506/$B3506)^(365/($M3506-$A3506))-1))))</f>
        <v/>
      </c>
      <c r="P3506" s="31" t="str">
        <f>IF($B3506="","",IF($P3505="",$B3506,MAX($P3505,$B3506)))</f>
        <v/>
      </c>
      <c r="Q3506" s="32" t="str">
        <f>IF($P3506="","",$B3506/$P3506-1)</f>
        <v/>
      </c>
    </row>
    <row r="3507">
      <c r="A3507" s="11" t="n"/>
      <c r="B3507" s="29" t="n"/>
      <c r="K3507" s="30" t="str">
        <f>IF($A3507="","",EDATE($A3507,12*$E$4))</f>
        <v/>
      </c>
      <c r="L3507" s="19" t="str">
        <f>IF($K3507="","",IF($K3507&gt;MAX($A$8:$A$5007),"",IFERROR(MATCH($K3507,$A$8:$A$5007,1),"")))</f>
        <v/>
      </c>
      <c r="M3507" s="30" t="str">
        <f>IF($L3507="","",INDEX($A$8:$A$5007,$L3507))</f>
        <v/>
      </c>
      <c r="N3507" s="31" t="str">
        <f>IF($L3507="","",INDEX($B$8:$B$5007,$L3507))</f>
        <v/>
      </c>
      <c r="O3507" s="32" t="str">
        <f>IF($M3507="","",IF($K3507-$M3507&gt;7,"",IF($M3507&lt;=$A3507,"",IF(OR($B3507&lt;=0,$N3507&lt;=0),"",($N3507/$B3507)^(365/($M3507-$A3507))-1))))</f>
        <v/>
      </c>
      <c r="P3507" s="31" t="str">
        <f>IF($B3507="","",IF($P3506="",$B3507,MAX($P3506,$B3507)))</f>
        <v/>
      </c>
      <c r="Q3507" s="32" t="str">
        <f>IF($P3507="","",$B3507/$P3507-1)</f>
        <v/>
      </c>
    </row>
    <row r="3508">
      <c r="A3508" s="11" t="n"/>
      <c r="B3508" s="29" t="n"/>
      <c r="K3508" s="30" t="str">
        <f>IF($A3508="","",EDATE($A3508,12*$E$4))</f>
        <v/>
      </c>
      <c r="L3508" s="19" t="str">
        <f>IF($K3508="","",IF($K3508&gt;MAX($A$8:$A$5007),"",IFERROR(MATCH($K3508,$A$8:$A$5007,1),"")))</f>
        <v/>
      </c>
      <c r="M3508" s="30" t="str">
        <f>IF($L3508="","",INDEX($A$8:$A$5007,$L3508))</f>
        <v/>
      </c>
      <c r="N3508" s="31" t="str">
        <f>IF($L3508="","",INDEX($B$8:$B$5007,$L3508))</f>
        <v/>
      </c>
      <c r="O3508" s="32" t="str">
        <f>IF($M3508="","",IF($K3508-$M3508&gt;7,"",IF($M3508&lt;=$A3508,"",IF(OR($B3508&lt;=0,$N3508&lt;=0),"",($N3508/$B3508)^(365/($M3508-$A3508))-1))))</f>
        <v/>
      </c>
      <c r="P3508" s="31" t="str">
        <f>IF($B3508="","",IF($P3507="",$B3508,MAX($P3507,$B3508)))</f>
        <v/>
      </c>
      <c r="Q3508" s="32" t="str">
        <f>IF($P3508="","",$B3508/$P3508-1)</f>
        <v/>
      </c>
    </row>
    <row r="3509">
      <c r="A3509" s="11" t="n"/>
      <c r="B3509" s="29" t="n"/>
      <c r="K3509" s="30" t="str">
        <f>IF($A3509="","",EDATE($A3509,12*$E$4))</f>
        <v/>
      </c>
      <c r="L3509" s="19" t="str">
        <f>IF($K3509="","",IF($K3509&gt;MAX($A$8:$A$5007),"",IFERROR(MATCH($K3509,$A$8:$A$5007,1),"")))</f>
        <v/>
      </c>
      <c r="M3509" s="30" t="str">
        <f>IF($L3509="","",INDEX($A$8:$A$5007,$L3509))</f>
        <v/>
      </c>
      <c r="N3509" s="31" t="str">
        <f>IF($L3509="","",INDEX($B$8:$B$5007,$L3509))</f>
        <v/>
      </c>
      <c r="O3509" s="32" t="str">
        <f>IF($M3509="","",IF($K3509-$M3509&gt;7,"",IF($M3509&lt;=$A3509,"",IF(OR($B3509&lt;=0,$N3509&lt;=0),"",($N3509/$B3509)^(365/($M3509-$A3509))-1))))</f>
        <v/>
      </c>
      <c r="P3509" s="31" t="str">
        <f>IF($B3509="","",IF($P3508="",$B3509,MAX($P3508,$B3509)))</f>
        <v/>
      </c>
      <c r="Q3509" s="32" t="str">
        <f>IF($P3509="","",$B3509/$P3509-1)</f>
        <v/>
      </c>
    </row>
    <row r="3510">
      <c r="A3510" s="11" t="n"/>
      <c r="B3510" s="29" t="n"/>
      <c r="K3510" s="30" t="str">
        <f>IF($A3510="","",EDATE($A3510,12*$E$4))</f>
        <v/>
      </c>
      <c r="L3510" s="19" t="str">
        <f>IF($K3510="","",IF($K3510&gt;MAX($A$8:$A$5007),"",IFERROR(MATCH($K3510,$A$8:$A$5007,1),"")))</f>
        <v/>
      </c>
      <c r="M3510" s="30" t="str">
        <f>IF($L3510="","",INDEX($A$8:$A$5007,$L3510))</f>
        <v/>
      </c>
      <c r="N3510" s="31" t="str">
        <f>IF($L3510="","",INDEX($B$8:$B$5007,$L3510))</f>
        <v/>
      </c>
      <c r="O3510" s="32" t="str">
        <f>IF($M3510="","",IF($K3510-$M3510&gt;7,"",IF($M3510&lt;=$A3510,"",IF(OR($B3510&lt;=0,$N3510&lt;=0),"",($N3510/$B3510)^(365/($M3510-$A3510))-1))))</f>
        <v/>
      </c>
      <c r="P3510" s="31" t="str">
        <f>IF($B3510="","",IF($P3509="",$B3510,MAX($P3509,$B3510)))</f>
        <v/>
      </c>
      <c r="Q3510" s="32" t="str">
        <f>IF($P3510="","",$B3510/$P3510-1)</f>
        <v/>
      </c>
    </row>
    <row r="3511">
      <c r="A3511" s="11" t="n"/>
      <c r="B3511" s="29" t="n"/>
      <c r="K3511" s="30" t="str">
        <f>IF($A3511="","",EDATE($A3511,12*$E$4))</f>
        <v/>
      </c>
      <c r="L3511" s="19" t="str">
        <f>IF($K3511="","",IF($K3511&gt;MAX($A$8:$A$5007),"",IFERROR(MATCH($K3511,$A$8:$A$5007,1),"")))</f>
        <v/>
      </c>
      <c r="M3511" s="30" t="str">
        <f>IF($L3511="","",INDEX($A$8:$A$5007,$L3511))</f>
        <v/>
      </c>
      <c r="N3511" s="31" t="str">
        <f>IF($L3511="","",INDEX($B$8:$B$5007,$L3511))</f>
        <v/>
      </c>
      <c r="O3511" s="32" t="str">
        <f>IF($M3511="","",IF($K3511-$M3511&gt;7,"",IF($M3511&lt;=$A3511,"",IF(OR($B3511&lt;=0,$N3511&lt;=0),"",($N3511/$B3511)^(365/($M3511-$A3511))-1))))</f>
        <v/>
      </c>
      <c r="P3511" s="31" t="str">
        <f>IF($B3511="","",IF($P3510="",$B3511,MAX($P3510,$B3511)))</f>
        <v/>
      </c>
      <c r="Q3511" s="32" t="str">
        <f>IF($P3511="","",$B3511/$P3511-1)</f>
        <v/>
      </c>
    </row>
    <row r="3512">
      <c r="A3512" s="11" t="n"/>
      <c r="B3512" s="29" t="n"/>
      <c r="K3512" s="30" t="str">
        <f>IF($A3512="","",EDATE($A3512,12*$E$4))</f>
        <v/>
      </c>
      <c r="L3512" s="19" t="str">
        <f>IF($K3512="","",IF($K3512&gt;MAX($A$8:$A$5007),"",IFERROR(MATCH($K3512,$A$8:$A$5007,1),"")))</f>
        <v/>
      </c>
      <c r="M3512" s="30" t="str">
        <f>IF($L3512="","",INDEX($A$8:$A$5007,$L3512))</f>
        <v/>
      </c>
      <c r="N3512" s="31" t="str">
        <f>IF($L3512="","",INDEX($B$8:$B$5007,$L3512))</f>
        <v/>
      </c>
      <c r="O3512" s="32" t="str">
        <f>IF($M3512="","",IF($K3512-$M3512&gt;7,"",IF($M3512&lt;=$A3512,"",IF(OR($B3512&lt;=0,$N3512&lt;=0),"",($N3512/$B3512)^(365/($M3512-$A3512))-1))))</f>
        <v/>
      </c>
      <c r="P3512" s="31" t="str">
        <f>IF($B3512="","",IF($P3511="",$B3512,MAX($P3511,$B3512)))</f>
        <v/>
      </c>
      <c r="Q3512" s="32" t="str">
        <f>IF($P3512="","",$B3512/$P3512-1)</f>
        <v/>
      </c>
    </row>
    <row r="3513">
      <c r="A3513" s="11" t="n"/>
      <c r="B3513" s="29" t="n"/>
      <c r="K3513" s="30" t="str">
        <f>IF($A3513="","",EDATE($A3513,12*$E$4))</f>
        <v/>
      </c>
      <c r="L3513" s="19" t="str">
        <f>IF($K3513="","",IF($K3513&gt;MAX($A$8:$A$5007),"",IFERROR(MATCH($K3513,$A$8:$A$5007,1),"")))</f>
        <v/>
      </c>
      <c r="M3513" s="30" t="str">
        <f>IF($L3513="","",INDEX($A$8:$A$5007,$L3513))</f>
        <v/>
      </c>
      <c r="N3513" s="31" t="str">
        <f>IF($L3513="","",INDEX($B$8:$B$5007,$L3513))</f>
        <v/>
      </c>
      <c r="O3513" s="32" t="str">
        <f>IF($M3513="","",IF($K3513-$M3513&gt;7,"",IF($M3513&lt;=$A3513,"",IF(OR($B3513&lt;=0,$N3513&lt;=0),"",($N3513/$B3513)^(365/($M3513-$A3513))-1))))</f>
        <v/>
      </c>
      <c r="P3513" s="31" t="str">
        <f>IF($B3513="","",IF($P3512="",$B3513,MAX($P3512,$B3513)))</f>
        <v/>
      </c>
      <c r="Q3513" s="32" t="str">
        <f>IF($P3513="","",$B3513/$P3513-1)</f>
        <v/>
      </c>
    </row>
    <row r="3514">
      <c r="A3514" s="11" t="n"/>
      <c r="B3514" s="29" t="n"/>
      <c r="K3514" s="30" t="str">
        <f>IF($A3514="","",EDATE($A3514,12*$E$4))</f>
        <v/>
      </c>
      <c r="L3514" s="19" t="str">
        <f>IF($K3514="","",IF($K3514&gt;MAX($A$8:$A$5007),"",IFERROR(MATCH($K3514,$A$8:$A$5007,1),"")))</f>
        <v/>
      </c>
      <c r="M3514" s="30" t="str">
        <f>IF($L3514="","",INDEX($A$8:$A$5007,$L3514))</f>
        <v/>
      </c>
      <c r="N3514" s="31" t="str">
        <f>IF($L3514="","",INDEX($B$8:$B$5007,$L3514))</f>
        <v/>
      </c>
      <c r="O3514" s="32" t="str">
        <f>IF($M3514="","",IF($K3514-$M3514&gt;7,"",IF($M3514&lt;=$A3514,"",IF(OR($B3514&lt;=0,$N3514&lt;=0),"",($N3514/$B3514)^(365/($M3514-$A3514))-1))))</f>
        <v/>
      </c>
      <c r="P3514" s="31" t="str">
        <f>IF($B3514="","",IF($P3513="",$B3514,MAX($P3513,$B3514)))</f>
        <v/>
      </c>
      <c r="Q3514" s="32" t="str">
        <f>IF($P3514="","",$B3514/$P3514-1)</f>
        <v/>
      </c>
    </row>
    <row r="3515">
      <c r="A3515" s="11" t="n"/>
      <c r="B3515" s="29" t="n"/>
      <c r="K3515" s="30" t="str">
        <f>IF($A3515="","",EDATE($A3515,12*$E$4))</f>
        <v/>
      </c>
      <c r="L3515" s="19" t="str">
        <f>IF($K3515="","",IF($K3515&gt;MAX($A$8:$A$5007),"",IFERROR(MATCH($K3515,$A$8:$A$5007,1),"")))</f>
        <v/>
      </c>
      <c r="M3515" s="30" t="str">
        <f>IF($L3515="","",INDEX($A$8:$A$5007,$L3515))</f>
        <v/>
      </c>
      <c r="N3515" s="31" t="str">
        <f>IF($L3515="","",INDEX($B$8:$B$5007,$L3515))</f>
        <v/>
      </c>
      <c r="O3515" s="32" t="str">
        <f>IF($M3515="","",IF($K3515-$M3515&gt;7,"",IF($M3515&lt;=$A3515,"",IF(OR($B3515&lt;=0,$N3515&lt;=0),"",($N3515/$B3515)^(365/($M3515-$A3515))-1))))</f>
        <v/>
      </c>
      <c r="P3515" s="31" t="str">
        <f>IF($B3515="","",IF($P3514="",$B3515,MAX($P3514,$B3515)))</f>
        <v/>
      </c>
      <c r="Q3515" s="32" t="str">
        <f>IF($P3515="","",$B3515/$P3515-1)</f>
        <v/>
      </c>
    </row>
    <row r="3516">
      <c r="A3516" s="11" t="n"/>
      <c r="B3516" s="29" t="n"/>
      <c r="K3516" s="30" t="str">
        <f>IF($A3516="","",EDATE($A3516,12*$E$4))</f>
        <v/>
      </c>
      <c r="L3516" s="19" t="str">
        <f>IF($K3516="","",IF($K3516&gt;MAX($A$8:$A$5007),"",IFERROR(MATCH($K3516,$A$8:$A$5007,1),"")))</f>
        <v/>
      </c>
      <c r="M3516" s="30" t="str">
        <f>IF($L3516="","",INDEX($A$8:$A$5007,$L3516))</f>
        <v/>
      </c>
      <c r="N3516" s="31" t="str">
        <f>IF($L3516="","",INDEX($B$8:$B$5007,$L3516))</f>
        <v/>
      </c>
      <c r="O3516" s="32" t="str">
        <f>IF($M3516="","",IF($K3516-$M3516&gt;7,"",IF($M3516&lt;=$A3516,"",IF(OR($B3516&lt;=0,$N3516&lt;=0),"",($N3516/$B3516)^(365/($M3516-$A3516))-1))))</f>
        <v/>
      </c>
      <c r="P3516" s="31" t="str">
        <f>IF($B3516="","",IF($P3515="",$B3516,MAX($P3515,$B3516)))</f>
        <v/>
      </c>
      <c r="Q3516" s="32" t="str">
        <f>IF($P3516="","",$B3516/$P3516-1)</f>
        <v/>
      </c>
    </row>
    <row r="3517">
      <c r="A3517" s="11" t="n"/>
      <c r="B3517" s="29" t="n"/>
      <c r="K3517" s="30" t="str">
        <f>IF($A3517="","",EDATE($A3517,12*$E$4))</f>
        <v/>
      </c>
      <c r="L3517" s="19" t="str">
        <f>IF($K3517="","",IF($K3517&gt;MAX($A$8:$A$5007),"",IFERROR(MATCH($K3517,$A$8:$A$5007,1),"")))</f>
        <v/>
      </c>
      <c r="M3517" s="30" t="str">
        <f>IF($L3517="","",INDEX($A$8:$A$5007,$L3517))</f>
        <v/>
      </c>
      <c r="N3517" s="31" t="str">
        <f>IF($L3517="","",INDEX($B$8:$B$5007,$L3517))</f>
        <v/>
      </c>
      <c r="O3517" s="32" t="str">
        <f>IF($M3517="","",IF($K3517-$M3517&gt;7,"",IF($M3517&lt;=$A3517,"",IF(OR($B3517&lt;=0,$N3517&lt;=0),"",($N3517/$B3517)^(365/($M3517-$A3517))-1))))</f>
        <v/>
      </c>
      <c r="P3517" s="31" t="str">
        <f>IF($B3517="","",IF($P3516="",$B3517,MAX($P3516,$B3517)))</f>
        <v/>
      </c>
      <c r="Q3517" s="32" t="str">
        <f>IF($P3517="","",$B3517/$P3517-1)</f>
        <v/>
      </c>
    </row>
    <row r="3518">
      <c r="A3518" s="11" t="n"/>
      <c r="B3518" s="29" t="n"/>
      <c r="K3518" s="30" t="str">
        <f>IF($A3518="","",EDATE($A3518,12*$E$4))</f>
        <v/>
      </c>
      <c r="L3518" s="19" t="str">
        <f>IF($K3518="","",IF($K3518&gt;MAX($A$8:$A$5007),"",IFERROR(MATCH($K3518,$A$8:$A$5007,1),"")))</f>
        <v/>
      </c>
      <c r="M3518" s="30" t="str">
        <f>IF($L3518="","",INDEX($A$8:$A$5007,$L3518))</f>
        <v/>
      </c>
      <c r="N3518" s="31" t="str">
        <f>IF($L3518="","",INDEX($B$8:$B$5007,$L3518))</f>
        <v/>
      </c>
      <c r="O3518" s="32" t="str">
        <f>IF($M3518="","",IF($K3518-$M3518&gt;7,"",IF($M3518&lt;=$A3518,"",IF(OR($B3518&lt;=0,$N3518&lt;=0),"",($N3518/$B3518)^(365/($M3518-$A3518))-1))))</f>
        <v/>
      </c>
      <c r="P3518" s="31" t="str">
        <f>IF($B3518="","",IF($P3517="",$B3518,MAX($P3517,$B3518)))</f>
        <v/>
      </c>
      <c r="Q3518" s="32" t="str">
        <f>IF($P3518="","",$B3518/$P3518-1)</f>
        <v/>
      </c>
    </row>
    <row r="3519">
      <c r="A3519" s="11" t="n"/>
      <c r="B3519" s="29" t="n"/>
      <c r="K3519" s="30" t="str">
        <f>IF($A3519="","",EDATE($A3519,12*$E$4))</f>
        <v/>
      </c>
      <c r="L3519" s="19" t="str">
        <f>IF($K3519="","",IF($K3519&gt;MAX($A$8:$A$5007),"",IFERROR(MATCH($K3519,$A$8:$A$5007,1),"")))</f>
        <v/>
      </c>
      <c r="M3519" s="30" t="str">
        <f>IF($L3519="","",INDEX($A$8:$A$5007,$L3519))</f>
        <v/>
      </c>
      <c r="N3519" s="31" t="str">
        <f>IF($L3519="","",INDEX($B$8:$B$5007,$L3519))</f>
        <v/>
      </c>
      <c r="O3519" s="32" t="str">
        <f>IF($M3519="","",IF($K3519-$M3519&gt;7,"",IF($M3519&lt;=$A3519,"",IF(OR($B3519&lt;=0,$N3519&lt;=0),"",($N3519/$B3519)^(365/($M3519-$A3519))-1))))</f>
        <v/>
      </c>
      <c r="P3519" s="31" t="str">
        <f>IF($B3519="","",IF($P3518="",$B3519,MAX($P3518,$B3519)))</f>
        <v/>
      </c>
      <c r="Q3519" s="32" t="str">
        <f>IF($P3519="","",$B3519/$P3519-1)</f>
        <v/>
      </c>
    </row>
    <row r="3520">
      <c r="A3520" s="11" t="n"/>
      <c r="B3520" s="29" t="n"/>
      <c r="K3520" s="30" t="str">
        <f>IF($A3520="","",EDATE($A3520,12*$E$4))</f>
        <v/>
      </c>
      <c r="L3520" s="19" t="str">
        <f>IF($K3520="","",IF($K3520&gt;MAX($A$8:$A$5007),"",IFERROR(MATCH($K3520,$A$8:$A$5007,1),"")))</f>
        <v/>
      </c>
      <c r="M3520" s="30" t="str">
        <f>IF($L3520="","",INDEX($A$8:$A$5007,$L3520))</f>
        <v/>
      </c>
      <c r="N3520" s="31" t="str">
        <f>IF($L3520="","",INDEX($B$8:$B$5007,$L3520))</f>
        <v/>
      </c>
      <c r="O3520" s="32" t="str">
        <f>IF($M3520="","",IF($K3520-$M3520&gt;7,"",IF($M3520&lt;=$A3520,"",IF(OR($B3520&lt;=0,$N3520&lt;=0),"",($N3520/$B3520)^(365/($M3520-$A3520))-1))))</f>
        <v/>
      </c>
      <c r="P3520" s="31" t="str">
        <f>IF($B3520="","",IF($P3519="",$B3520,MAX($P3519,$B3520)))</f>
        <v/>
      </c>
      <c r="Q3520" s="32" t="str">
        <f>IF($P3520="","",$B3520/$P3520-1)</f>
        <v/>
      </c>
    </row>
    <row r="3521">
      <c r="A3521" s="11" t="n"/>
      <c r="B3521" s="29" t="n"/>
      <c r="K3521" s="30" t="str">
        <f>IF($A3521="","",EDATE($A3521,12*$E$4))</f>
        <v/>
      </c>
      <c r="L3521" s="19" t="str">
        <f>IF($K3521="","",IF($K3521&gt;MAX($A$8:$A$5007),"",IFERROR(MATCH($K3521,$A$8:$A$5007,1),"")))</f>
        <v/>
      </c>
      <c r="M3521" s="30" t="str">
        <f>IF($L3521="","",INDEX($A$8:$A$5007,$L3521))</f>
        <v/>
      </c>
      <c r="N3521" s="31" t="str">
        <f>IF($L3521="","",INDEX($B$8:$B$5007,$L3521))</f>
        <v/>
      </c>
      <c r="O3521" s="32" t="str">
        <f>IF($M3521="","",IF($K3521-$M3521&gt;7,"",IF($M3521&lt;=$A3521,"",IF(OR($B3521&lt;=0,$N3521&lt;=0),"",($N3521/$B3521)^(365/($M3521-$A3521))-1))))</f>
        <v/>
      </c>
      <c r="P3521" s="31" t="str">
        <f>IF($B3521="","",IF($P3520="",$B3521,MAX($P3520,$B3521)))</f>
        <v/>
      </c>
      <c r="Q3521" s="32" t="str">
        <f>IF($P3521="","",$B3521/$P3521-1)</f>
        <v/>
      </c>
    </row>
    <row r="3522">
      <c r="A3522" s="11" t="n"/>
      <c r="B3522" s="29" t="n"/>
      <c r="K3522" s="30" t="str">
        <f>IF($A3522="","",EDATE($A3522,12*$E$4))</f>
        <v/>
      </c>
      <c r="L3522" s="19" t="str">
        <f>IF($K3522="","",IF($K3522&gt;MAX($A$8:$A$5007),"",IFERROR(MATCH($K3522,$A$8:$A$5007,1),"")))</f>
        <v/>
      </c>
      <c r="M3522" s="30" t="str">
        <f>IF($L3522="","",INDEX($A$8:$A$5007,$L3522))</f>
        <v/>
      </c>
      <c r="N3522" s="31" t="str">
        <f>IF($L3522="","",INDEX($B$8:$B$5007,$L3522))</f>
        <v/>
      </c>
      <c r="O3522" s="32" t="str">
        <f>IF($M3522="","",IF($K3522-$M3522&gt;7,"",IF($M3522&lt;=$A3522,"",IF(OR($B3522&lt;=0,$N3522&lt;=0),"",($N3522/$B3522)^(365/($M3522-$A3522))-1))))</f>
        <v/>
      </c>
      <c r="P3522" s="31" t="str">
        <f>IF($B3522="","",IF($P3521="",$B3522,MAX($P3521,$B3522)))</f>
        <v/>
      </c>
      <c r="Q3522" s="32" t="str">
        <f>IF($P3522="","",$B3522/$P3522-1)</f>
        <v/>
      </c>
    </row>
    <row r="3523">
      <c r="A3523" s="11" t="n"/>
      <c r="B3523" s="29" t="n"/>
      <c r="K3523" s="30" t="str">
        <f>IF($A3523="","",EDATE($A3523,12*$E$4))</f>
        <v/>
      </c>
      <c r="L3523" s="19" t="str">
        <f>IF($K3523="","",IF($K3523&gt;MAX($A$8:$A$5007),"",IFERROR(MATCH($K3523,$A$8:$A$5007,1),"")))</f>
        <v/>
      </c>
      <c r="M3523" s="30" t="str">
        <f>IF($L3523="","",INDEX($A$8:$A$5007,$L3523))</f>
        <v/>
      </c>
      <c r="N3523" s="31" t="str">
        <f>IF($L3523="","",INDEX($B$8:$B$5007,$L3523))</f>
        <v/>
      </c>
      <c r="O3523" s="32" t="str">
        <f>IF($M3523="","",IF($K3523-$M3523&gt;7,"",IF($M3523&lt;=$A3523,"",IF(OR($B3523&lt;=0,$N3523&lt;=0),"",($N3523/$B3523)^(365/($M3523-$A3523))-1))))</f>
        <v/>
      </c>
      <c r="P3523" s="31" t="str">
        <f>IF($B3523="","",IF($P3522="",$B3523,MAX($P3522,$B3523)))</f>
        <v/>
      </c>
      <c r="Q3523" s="32" t="str">
        <f>IF($P3523="","",$B3523/$P3523-1)</f>
        <v/>
      </c>
    </row>
    <row r="3524">
      <c r="A3524" s="11" t="n"/>
      <c r="B3524" s="29" t="n"/>
      <c r="K3524" s="30" t="str">
        <f>IF($A3524="","",EDATE($A3524,12*$E$4))</f>
        <v/>
      </c>
      <c r="L3524" s="19" t="str">
        <f>IF($K3524="","",IF($K3524&gt;MAX($A$8:$A$5007),"",IFERROR(MATCH($K3524,$A$8:$A$5007,1),"")))</f>
        <v/>
      </c>
      <c r="M3524" s="30" t="str">
        <f>IF($L3524="","",INDEX($A$8:$A$5007,$L3524))</f>
        <v/>
      </c>
      <c r="N3524" s="31" t="str">
        <f>IF($L3524="","",INDEX($B$8:$B$5007,$L3524))</f>
        <v/>
      </c>
      <c r="O3524" s="32" t="str">
        <f>IF($M3524="","",IF($K3524-$M3524&gt;7,"",IF($M3524&lt;=$A3524,"",IF(OR($B3524&lt;=0,$N3524&lt;=0),"",($N3524/$B3524)^(365/($M3524-$A3524))-1))))</f>
        <v/>
      </c>
      <c r="P3524" s="31" t="str">
        <f>IF($B3524="","",IF($P3523="",$B3524,MAX($P3523,$B3524)))</f>
        <v/>
      </c>
      <c r="Q3524" s="32" t="str">
        <f>IF($P3524="","",$B3524/$P3524-1)</f>
        <v/>
      </c>
    </row>
    <row r="3525">
      <c r="A3525" s="11" t="n"/>
      <c r="B3525" s="29" t="n"/>
      <c r="K3525" s="30" t="str">
        <f>IF($A3525="","",EDATE($A3525,12*$E$4))</f>
        <v/>
      </c>
      <c r="L3525" s="19" t="str">
        <f>IF($K3525="","",IF($K3525&gt;MAX($A$8:$A$5007),"",IFERROR(MATCH($K3525,$A$8:$A$5007,1),"")))</f>
        <v/>
      </c>
      <c r="M3525" s="30" t="str">
        <f>IF($L3525="","",INDEX($A$8:$A$5007,$L3525))</f>
        <v/>
      </c>
      <c r="N3525" s="31" t="str">
        <f>IF($L3525="","",INDEX($B$8:$B$5007,$L3525))</f>
        <v/>
      </c>
      <c r="O3525" s="32" t="str">
        <f>IF($M3525="","",IF($K3525-$M3525&gt;7,"",IF($M3525&lt;=$A3525,"",IF(OR($B3525&lt;=0,$N3525&lt;=0),"",($N3525/$B3525)^(365/($M3525-$A3525))-1))))</f>
        <v/>
      </c>
      <c r="P3525" s="31" t="str">
        <f>IF($B3525="","",IF($P3524="",$B3525,MAX($P3524,$B3525)))</f>
        <v/>
      </c>
      <c r="Q3525" s="32" t="str">
        <f>IF($P3525="","",$B3525/$P3525-1)</f>
        <v/>
      </c>
    </row>
    <row r="3526">
      <c r="A3526" s="11" t="n"/>
      <c r="B3526" s="29" t="n"/>
      <c r="K3526" s="30" t="str">
        <f>IF($A3526="","",EDATE($A3526,12*$E$4))</f>
        <v/>
      </c>
      <c r="L3526" s="19" t="str">
        <f>IF($K3526="","",IF($K3526&gt;MAX($A$8:$A$5007),"",IFERROR(MATCH($K3526,$A$8:$A$5007,1),"")))</f>
        <v/>
      </c>
      <c r="M3526" s="30" t="str">
        <f>IF($L3526="","",INDEX($A$8:$A$5007,$L3526))</f>
        <v/>
      </c>
      <c r="N3526" s="31" t="str">
        <f>IF($L3526="","",INDEX($B$8:$B$5007,$L3526))</f>
        <v/>
      </c>
      <c r="O3526" s="32" t="str">
        <f>IF($M3526="","",IF($K3526-$M3526&gt;7,"",IF($M3526&lt;=$A3526,"",IF(OR($B3526&lt;=0,$N3526&lt;=0),"",($N3526/$B3526)^(365/($M3526-$A3526))-1))))</f>
        <v/>
      </c>
      <c r="P3526" s="31" t="str">
        <f>IF($B3526="","",IF($P3525="",$B3526,MAX($P3525,$B3526)))</f>
        <v/>
      </c>
      <c r="Q3526" s="32" t="str">
        <f>IF($P3526="","",$B3526/$P3526-1)</f>
        <v/>
      </c>
    </row>
    <row r="3527">
      <c r="A3527" s="11" t="n"/>
      <c r="B3527" s="29" t="n"/>
      <c r="K3527" s="30" t="str">
        <f>IF($A3527="","",EDATE($A3527,12*$E$4))</f>
        <v/>
      </c>
      <c r="L3527" s="19" t="str">
        <f>IF($K3527="","",IF($K3527&gt;MAX($A$8:$A$5007),"",IFERROR(MATCH($K3527,$A$8:$A$5007,1),"")))</f>
        <v/>
      </c>
      <c r="M3527" s="30" t="str">
        <f>IF($L3527="","",INDEX($A$8:$A$5007,$L3527))</f>
        <v/>
      </c>
      <c r="N3527" s="31" t="str">
        <f>IF($L3527="","",INDEX($B$8:$B$5007,$L3527))</f>
        <v/>
      </c>
      <c r="O3527" s="32" t="str">
        <f>IF($M3527="","",IF($K3527-$M3527&gt;7,"",IF($M3527&lt;=$A3527,"",IF(OR($B3527&lt;=0,$N3527&lt;=0),"",($N3527/$B3527)^(365/($M3527-$A3527))-1))))</f>
        <v/>
      </c>
      <c r="P3527" s="31" t="str">
        <f>IF($B3527="","",IF($P3526="",$B3527,MAX($P3526,$B3527)))</f>
        <v/>
      </c>
      <c r="Q3527" s="32" t="str">
        <f>IF($P3527="","",$B3527/$P3527-1)</f>
        <v/>
      </c>
    </row>
    <row r="3528">
      <c r="A3528" s="11" t="n"/>
      <c r="B3528" s="29" t="n"/>
      <c r="K3528" s="30" t="str">
        <f>IF($A3528="","",EDATE($A3528,12*$E$4))</f>
        <v/>
      </c>
      <c r="L3528" s="19" t="str">
        <f>IF($K3528="","",IF($K3528&gt;MAX($A$8:$A$5007),"",IFERROR(MATCH($K3528,$A$8:$A$5007,1),"")))</f>
        <v/>
      </c>
      <c r="M3528" s="30" t="str">
        <f>IF($L3528="","",INDEX($A$8:$A$5007,$L3528))</f>
        <v/>
      </c>
      <c r="N3528" s="31" t="str">
        <f>IF($L3528="","",INDEX($B$8:$B$5007,$L3528))</f>
        <v/>
      </c>
      <c r="O3528" s="32" t="str">
        <f>IF($M3528="","",IF($K3528-$M3528&gt;7,"",IF($M3528&lt;=$A3528,"",IF(OR($B3528&lt;=0,$N3528&lt;=0),"",($N3528/$B3528)^(365/($M3528-$A3528))-1))))</f>
        <v/>
      </c>
      <c r="P3528" s="31" t="str">
        <f>IF($B3528="","",IF($P3527="",$B3528,MAX($P3527,$B3528)))</f>
        <v/>
      </c>
      <c r="Q3528" s="32" t="str">
        <f>IF($P3528="","",$B3528/$P3528-1)</f>
        <v/>
      </c>
    </row>
    <row r="3529">
      <c r="A3529" s="11" t="n"/>
      <c r="B3529" s="29" t="n"/>
      <c r="K3529" s="30" t="str">
        <f>IF($A3529="","",EDATE($A3529,12*$E$4))</f>
        <v/>
      </c>
      <c r="L3529" s="19" t="str">
        <f>IF($K3529="","",IF($K3529&gt;MAX($A$8:$A$5007),"",IFERROR(MATCH($K3529,$A$8:$A$5007,1),"")))</f>
        <v/>
      </c>
      <c r="M3529" s="30" t="str">
        <f>IF($L3529="","",INDEX($A$8:$A$5007,$L3529))</f>
        <v/>
      </c>
      <c r="N3529" s="31" t="str">
        <f>IF($L3529="","",INDEX($B$8:$B$5007,$L3529))</f>
        <v/>
      </c>
      <c r="O3529" s="32" t="str">
        <f>IF($M3529="","",IF($K3529-$M3529&gt;7,"",IF($M3529&lt;=$A3529,"",IF(OR($B3529&lt;=0,$N3529&lt;=0),"",($N3529/$B3529)^(365/($M3529-$A3529))-1))))</f>
        <v/>
      </c>
      <c r="P3529" s="31" t="str">
        <f>IF($B3529="","",IF($P3528="",$B3529,MAX($P3528,$B3529)))</f>
        <v/>
      </c>
      <c r="Q3529" s="32" t="str">
        <f>IF($P3529="","",$B3529/$P3529-1)</f>
        <v/>
      </c>
    </row>
    <row r="3530">
      <c r="A3530" s="11" t="n"/>
      <c r="B3530" s="29" t="n"/>
      <c r="K3530" s="30" t="str">
        <f>IF($A3530="","",EDATE($A3530,12*$E$4))</f>
        <v/>
      </c>
      <c r="L3530" s="19" t="str">
        <f>IF($K3530="","",IF($K3530&gt;MAX($A$8:$A$5007),"",IFERROR(MATCH($K3530,$A$8:$A$5007,1),"")))</f>
        <v/>
      </c>
      <c r="M3530" s="30" t="str">
        <f>IF($L3530="","",INDEX($A$8:$A$5007,$L3530))</f>
        <v/>
      </c>
      <c r="N3530" s="31" t="str">
        <f>IF($L3530="","",INDEX($B$8:$B$5007,$L3530))</f>
        <v/>
      </c>
      <c r="O3530" s="32" t="str">
        <f>IF($M3530="","",IF($K3530-$M3530&gt;7,"",IF($M3530&lt;=$A3530,"",IF(OR($B3530&lt;=0,$N3530&lt;=0),"",($N3530/$B3530)^(365/($M3530-$A3530))-1))))</f>
        <v/>
      </c>
      <c r="P3530" s="31" t="str">
        <f>IF($B3530="","",IF($P3529="",$B3530,MAX($P3529,$B3530)))</f>
        <v/>
      </c>
      <c r="Q3530" s="32" t="str">
        <f>IF($P3530="","",$B3530/$P3530-1)</f>
        <v/>
      </c>
    </row>
    <row r="3531">
      <c r="A3531" s="11" t="n"/>
      <c r="B3531" s="29" t="n"/>
      <c r="K3531" s="30" t="str">
        <f>IF($A3531="","",EDATE($A3531,12*$E$4))</f>
        <v/>
      </c>
      <c r="L3531" s="19" t="str">
        <f>IF($K3531="","",IF($K3531&gt;MAX($A$8:$A$5007),"",IFERROR(MATCH($K3531,$A$8:$A$5007,1),"")))</f>
        <v/>
      </c>
      <c r="M3531" s="30" t="str">
        <f>IF($L3531="","",INDEX($A$8:$A$5007,$L3531))</f>
        <v/>
      </c>
      <c r="N3531" s="31" t="str">
        <f>IF($L3531="","",INDEX($B$8:$B$5007,$L3531))</f>
        <v/>
      </c>
      <c r="O3531" s="32" t="str">
        <f>IF($M3531="","",IF($K3531-$M3531&gt;7,"",IF($M3531&lt;=$A3531,"",IF(OR($B3531&lt;=0,$N3531&lt;=0),"",($N3531/$B3531)^(365/($M3531-$A3531))-1))))</f>
        <v/>
      </c>
      <c r="P3531" s="31" t="str">
        <f>IF($B3531="","",IF($P3530="",$B3531,MAX($P3530,$B3531)))</f>
        <v/>
      </c>
      <c r="Q3531" s="32" t="str">
        <f>IF($P3531="","",$B3531/$P3531-1)</f>
        <v/>
      </c>
    </row>
    <row r="3532">
      <c r="A3532" s="11" t="n"/>
      <c r="B3532" s="29" t="n"/>
      <c r="K3532" s="30" t="str">
        <f>IF($A3532="","",EDATE($A3532,12*$E$4))</f>
        <v/>
      </c>
      <c r="L3532" s="19" t="str">
        <f>IF($K3532="","",IF($K3532&gt;MAX($A$8:$A$5007),"",IFERROR(MATCH($K3532,$A$8:$A$5007,1),"")))</f>
        <v/>
      </c>
      <c r="M3532" s="30" t="str">
        <f>IF($L3532="","",INDEX($A$8:$A$5007,$L3532))</f>
        <v/>
      </c>
      <c r="N3532" s="31" t="str">
        <f>IF($L3532="","",INDEX($B$8:$B$5007,$L3532))</f>
        <v/>
      </c>
      <c r="O3532" s="32" t="str">
        <f>IF($M3532="","",IF($K3532-$M3532&gt;7,"",IF($M3532&lt;=$A3532,"",IF(OR($B3532&lt;=0,$N3532&lt;=0),"",($N3532/$B3532)^(365/($M3532-$A3532))-1))))</f>
        <v/>
      </c>
      <c r="P3532" s="31" t="str">
        <f>IF($B3532="","",IF($P3531="",$B3532,MAX($P3531,$B3532)))</f>
        <v/>
      </c>
      <c r="Q3532" s="32" t="str">
        <f>IF($P3532="","",$B3532/$P3532-1)</f>
        <v/>
      </c>
    </row>
    <row r="3533">
      <c r="A3533" s="11" t="n"/>
      <c r="B3533" s="29" t="n"/>
      <c r="K3533" s="30" t="str">
        <f>IF($A3533="","",EDATE($A3533,12*$E$4))</f>
        <v/>
      </c>
      <c r="L3533" s="19" t="str">
        <f>IF($K3533="","",IF($K3533&gt;MAX($A$8:$A$5007),"",IFERROR(MATCH($K3533,$A$8:$A$5007,1),"")))</f>
        <v/>
      </c>
      <c r="M3533" s="30" t="str">
        <f>IF($L3533="","",INDEX($A$8:$A$5007,$L3533))</f>
        <v/>
      </c>
      <c r="N3533" s="31" t="str">
        <f>IF($L3533="","",INDEX($B$8:$B$5007,$L3533))</f>
        <v/>
      </c>
      <c r="O3533" s="32" t="str">
        <f>IF($M3533="","",IF($K3533-$M3533&gt;7,"",IF($M3533&lt;=$A3533,"",IF(OR($B3533&lt;=0,$N3533&lt;=0),"",($N3533/$B3533)^(365/($M3533-$A3533))-1))))</f>
        <v/>
      </c>
      <c r="P3533" s="31" t="str">
        <f>IF($B3533="","",IF($P3532="",$B3533,MAX($P3532,$B3533)))</f>
        <v/>
      </c>
      <c r="Q3533" s="32" t="str">
        <f>IF($P3533="","",$B3533/$P3533-1)</f>
        <v/>
      </c>
    </row>
    <row r="3534">
      <c r="A3534" s="11" t="n"/>
      <c r="B3534" s="29" t="n"/>
      <c r="K3534" s="30" t="str">
        <f>IF($A3534="","",EDATE($A3534,12*$E$4))</f>
        <v/>
      </c>
      <c r="L3534" s="19" t="str">
        <f>IF($K3534="","",IF($K3534&gt;MAX($A$8:$A$5007),"",IFERROR(MATCH($K3534,$A$8:$A$5007,1),"")))</f>
        <v/>
      </c>
      <c r="M3534" s="30" t="str">
        <f>IF($L3534="","",INDEX($A$8:$A$5007,$L3534))</f>
        <v/>
      </c>
      <c r="N3534" s="31" t="str">
        <f>IF($L3534="","",INDEX($B$8:$B$5007,$L3534))</f>
        <v/>
      </c>
      <c r="O3534" s="32" t="str">
        <f>IF($M3534="","",IF($K3534-$M3534&gt;7,"",IF($M3534&lt;=$A3534,"",IF(OR($B3534&lt;=0,$N3534&lt;=0),"",($N3534/$B3534)^(365/($M3534-$A3534))-1))))</f>
        <v/>
      </c>
      <c r="P3534" s="31" t="str">
        <f>IF($B3534="","",IF($P3533="",$B3534,MAX($P3533,$B3534)))</f>
        <v/>
      </c>
      <c r="Q3534" s="32" t="str">
        <f>IF($P3534="","",$B3534/$P3534-1)</f>
        <v/>
      </c>
    </row>
    <row r="3535">
      <c r="A3535" s="11" t="n"/>
      <c r="B3535" s="29" t="n"/>
      <c r="K3535" s="30" t="str">
        <f>IF($A3535="","",EDATE($A3535,12*$E$4))</f>
        <v/>
      </c>
      <c r="L3535" s="19" t="str">
        <f>IF($K3535="","",IF($K3535&gt;MAX($A$8:$A$5007),"",IFERROR(MATCH($K3535,$A$8:$A$5007,1),"")))</f>
        <v/>
      </c>
      <c r="M3535" s="30" t="str">
        <f>IF($L3535="","",INDEX($A$8:$A$5007,$L3535))</f>
        <v/>
      </c>
      <c r="N3535" s="31" t="str">
        <f>IF($L3535="","",INDEX($B$8:$B$5007,$L3535))</f>
        <v/>
      </c>
      <c r="O3535" s="32" t="str">
        <f>IF($M3535="","",IF($K3535-$M3535&gt;7,"",IF($M3535&lt;=$A3535,"",IF(OR($B3535&lt;=0,$N3535&lt;=0),"",($N3535/$B3535)^(365/($M3535-$A3535))-1))))</f>
        <v/>
      </c>
      <c r="P3535" s="31" t="str">
        <f>IF($B3535="","",IF($P3534="",$B3535,MAX($P3534,$B3535)))</f>
        <v/>
      </c>
      <c r="Q3535" s="32" t="str">
        <f>IF($P3535="","",$B3535/$P3535-1)</f>
        <v/>
      </c>
    </row>
    <row r="3536">
      <c r="A3536" s="11" t="n"/>
      <c r="B3536" s="29" t="n"/>
      <c r="K3536" s="30" t="str">
        <f>IF($A3536="","",EDATE($A3536,12*$E$4))</f>
        <v/>
      </c>
      <c r="L3536" s="19" t="str">
        <f>IF($K3536="","",IF($K3536&gt;MAX($A$8:$A$5007),"",IFERROR(MATCH($K3536,$A$8:$A$5007,1),"")))</f>
        <v/>
      </c>
      <c r="M3536" s="30" t="str">
        <f>IF($L3536="","",INDEX($A$8:$A$5007,$L3536))</f>
        <v/>
      </c>
      <c r="N3536" s="31" t="str">
        <f>IF($L3536="","",INDEX($B$8:$B$5007,$L3536))</f>
        <v/>
      </c>
      <c r="O3536" s="32" t="str">
        <f>IF($M3536="","",IF($K3536-$M3536&gt;7,"",IF($M3536&lt;=$A3536,"",IF(OR($B3536&lt;=0,$N3536&lt;=0),"",($N3536/$B3536)^(365/($M3536-$A3536))-1))))</f>
        <v/>
      </c>
      <c r="P3536" s="31" t="str">
        <f>IF($B3536="","",IF($P3535="",$B3536,MAX($P3535,$B3536)))</f>
        <v/>
      </c>
      <c r="Q3536" s="32" t="str">
        <f>IF($P3536="","",$B3536/$P3536-1)</f>
        <v/>
      </c>
    </row>
    <row r="3537">
      <c r="A3537" s="11" t="n"/>
      <c r="B3537" s="29" t="n"/>
      <c r="K3537" s="30" t="str">
        <f>IF($A3537="","",EDATE($A3537,12*$E$4))</f>
        <v/>
      </c>
      <c r="L3537" s="19" t="str">
        <f>IF($K3537="","",IF($K3537&gt;MAX($A$8:$A$5007),"",IFERROR(MATCH($K3537,$A$8:$A$5007,1),"")))</f>
        <v/>
      </c>
      <c r="M3537" s="30" t="str">
        <f>IF($L3537="","",INDEX($A$8:$A$5007,$L3537))</f>
        <v/>
      </c>
      <c r="N3537" s="31" t="str">
        <f>IF($L3537="","",INDEX($B$8:$B$5007,$L3537))</f>
        <v/>
      </c>
      <c r="O3537" s="32" t="str">
        <f>IF($M3537="","",IF($K3537-$M3537&gt;7,"",IF($M3537&lt;=$A3537,"",IF(OR($B3537&lt;=0,$N3537&lt;=0),"",($N3537/$B3537)^(365/($M3537-$A3537))-1))))</f>
        <v/>
      </c>
      <c r="P3537" s="31" t="str">
        <f>IF($B3537="","",IF($P3536="",$B3537,MAX($P3536,$B3537)))</f>
        <v/>
      </c>
      <c r="Q3537" s="32" t="str">
        <f>IF($P3537="","",$B3537/$P3537-1)</f>
        <v/>
      </c>
    </row>
    <row r="3538">
      <c r="A3538" s="11" t="n"/>
      <c r="B3538" s="29" t="n"/>
      <c r="K3538" s="30" t="str">
        <f>IF($A3538="","",EDATE($A3538,12*$E$4))</f>
        <v/>
      </c>
      <c r="L3538" s="19" t="str">
        <f>IF($K3538="","",IF($K3538&gt;MAX($A$8:$A$5007),"",IFERROR(MATCH($K3538,$A$8:$A$5007,1),"")))</f>
        <v/>
      </c>
      <c r="M3538" s="30" t="str">
        <f>IF($L3538="","",INDEX($A$8:$A$5007,$L3538))</f>
        <v/>
      </c>
      <c r="N3538" s="31" t="str">
        <f>IF($L3538="","",INDEX($B$8:$B$5007,$L3538))</f>
        <v/>
      </c>
      <c r="O3538" s="32" t="str">
        <f>IF($M3538="","",IF($K3538-$M3538&gt;7,"",IF($M3538&lt;=$A3538,"",IF(OR($B3538&lt;=0,$N3538&lt;=0),"",($N3538/$B3538)^(365/($M3538-$A3538))-1))))</f>
        <v/>
      </c>
      <c r="P3538" s="31" t="str">
        <f>IF($B3538="","",IF($P3537="",$B3538,MAX($P3537,$B3538)))</f>
        <v/>
      </c>
      <c r="Q3538" s="32" t="str">
        <f>IF($P3538="","",$B3538/$P3538-1)</f>
        <v/>
      </c>
    </row>
    <row r="3539">
      <c r="A3539" s="11" t="n"/>
      <c r="B3539" s="29" t="n"/>
      <c r="K3539" s="30" t="str">
        <f>IF($A3539="","",EDATE($A3539,12*$E$4))</f>
        <v/>
      </c>
      <c r="L3539" s="19" t="str">
        <f>IF($K3539="","",IF($K3539&gt;MAX($A$8:$A$5007),"",IFERROR(MATCH($K3539,$A$8:$A$5007,1),"")))</f>
        <v/>
      </c>
      <c r="M3539" s="30" t="str">
        <f>IF($L3539="","",INDEX($A$8:$A$5007,$L3539))</f>
        <v/>
      </c>
      <c r="N3539" s="31" t="str">
        <f>IF($L3539="","",INDEX($B$8:$B$5007,$L3539))</f>
        <v/>
      </c>
      <c r="O3539" s="32" t="str">
        <f>IF($M3539="","",IF($K3539-$M3539&gt;7,"",IF($M3539&lt;=$A3539,"",IF(OR($B3539&lt;=0,$N3539&lt;=0),"",($N3539/$B3539)^(365/($M3539-$A3539))-1))))</f>
        <v/>
      </c>
      <c r="P3539" s="31" t="str">
        <f>IF($B3539="","",IF($P3538="",$B3539,MAX($P3538,$B3539)))</f>
        <v/>
      </c>
      <c r="Q3539" s="32" t="str">
        <f>IF($P3539="","",$B3539/$P3539-1)</f>
        <v/>
      </c>
    </row>
    <row r="3540">
      <c r="A3540" s="11" t="n"/>
      <c r="B3540" s="29" t="n"/>
      <c r="K3540" s="30" t="str">
        <f>IF($A3540="","",EDATE($A3540,12*$E$4))</f>
        <v/>
      </c>
      <c r="L3540" s="19" t="str">
        <f>IF($K3540="","",IF($K3540&gt;MAX($A$8:$A$5007),"",IFERROR(MATCH($K3540,$A$8:$A$5007,1),"")))</f>
        <v/>
      </c>
      <c r="M3540" s="30" t="str">
        <f>IF($L3540="","",INDEX($A$8:$A$5007,$L3540))</f>
        <v/>
      </c>
      <c r="N3540" s="31" t="str">
        <f>IF($L3540="","",INDEX($B$8:$B$5007,$L3540))</f>
        <v/>
      </c>
      <c r="O3540" s="32" t="str">
        <f>IF($M3540="","",IF($K3540-$M3540&gt;7,"",IF($M3540&lt;=$A3540,"",IF(OR($B3540&lt;=0,$N3540&lt;=0),"",($N3540/$B3540)^(365/($M3540-$A3540))-1))))</f>
        <v/>
      </c>
      <c r="P3540" s="31" t="str">
        <f>IF($B3540="","",IF($P3539="",$B3540,MAX($P3539,$B3540)))</f>
        <v/>
      </c>
      <c r="Q3540" s="32" t="str">
        <f>IF($P3540="","",$B3540/$P3540-1)</f>
        <v/>
      </c>
    </row>
    <row r="3541">
      <c r="A3541" s="11" t="n"/>
      <c r="B3541" s="29" t="n"/>
      <c r="K3541" s="30" t="str">
        <f>IF($A3541="","",EDATE($A3541,12*$E$4))</f>
        <v/>
      </c>
      <c r="L3541" s="19" t="str">
        <f>IF($K3541="","",IF($K3541&gt;MAX($A$8:$A$5007),"",IFERROR(MATCH($K3541,$A$8:$A$5007,1),"")))</f>
        <v/>
      </c>
      <c r="M3541" s="30" t="str">
        <f>IF($L3541="","",INDEX($A$8:$A$5007,$L3541))</f>
        <v/>
      </c>
      <c r="N3541" s="31" t="str">
        <f>IF($L3541="","",INDEX($B$8:$B$5007,$L3541))</f>
        <v/>
      </c>
      <c r="O3541" s="32" t="str">
        <f>IF($M3541="","",IF($K3541-$M3541&gt;7,"",IF($M3541&lt;=$A3541,"",IF(OR($B3541&lt;=0,$N3541&lt;=0),"",($N3541/$B3541)^(365/($M3541-$A3541))-1))))</f>
        <v/>
      </c>
      <c r="P3541" s="31" t="str">
        <f>IF($B3541="","",IF($P3540="",$B3541,MAX($P3540,$B3541)))</f>
        <v/>
      </c>
      <c r="Q3541" s="32" t="str">
        <f>IF($P3541="","",$B3541/$P3541-1)</f>
        <v/>
      </c>
    </row>
    <row r="3542">
      <c r="A3542" s="11" t="n"/>
      <c r="B3542" s="29" t="n"/>
      <c r="K3542" s="30" t="str">
        <f>IF($A3542="","",EDATE($A3542,12*$E$4))</f>
        <v/>
      </c>
      <c r="L3542" s="19" t="str">
        <f>IF($K3542="","",IF($K3542&gt;MAX($A$8:$A$5007),"",IFERROR(MATCH($K3542,$A$8:$A$5007,1),"")))</f>
        <v/>
      </c>
      <c r="M3542" s="30" t="str">
        <f>IF($L3542="","",INDEX($A$8:$A$5007,$L3542))</f>
        <v/>
      </c>
      <c r="N3542" s="31" t="str">
        <f>IF($L3542="","",INDEX($B$8:$B$5007,$L3542))</f>
        <v/>
      </c>
      <c r="O3542" s="32" t="str">
        <f>IF($M3542="","",IF($K3542-$M3542&gt;7,"",IF($M3542&lt;=$A3542,"",IF(OR($B3542&lt;=0,$N3542&lt;=0),"",($N3542/$B3542)^(365/($M3542-$A3542))-1))))</f>
        <v/>
      </c>
      <c r="P3542" s="31" t="str">
        <f>IF($B3542="","",IF($P3541="",$B3542,MAX($P3541,$B3542)))</f>
        <v/>
      </c>
      <c r="Q3542" s="32" t="str">
        <f>IF($P3542="","",$B3542/$P3542-1)</f>
        <v/>
      </c>
    </row>
    <row r="3543">
      <c r="A3543" s="11" t="n"/>
      <c r="B3543" s="29" t="n"/>
      <c r="K3543" s="30" t="str">
        <f>IF($A3543="","",EDATE($A3543,12*$E$4))</f>
        <v/>
      </c>
      <c r="L3543" s="19" t="str">
        <f>IF($K3543="","",IF($K3543&gt;MAX($A$8:$A$5007),"",IFERROR(MATCH($K3543,$A$8:$A$5007,1),"")))</f>
        <v/>
      </c>
      <c r="M3543" s="30" t="str">
        <f>IF($L3543="","",INDEX($A$8:$A$5007,$L3543))</f>
        <v/>
      </c>
      <c r="N3543" s="31" t="str">
        <f>IF($L3543="","",INDEX($B$8:$B$5007,$L3543))</f>
        <v/>
      </c>
      <c r="O3543" s="32" t="str">
        <f>IF($M3543="","",IF($K3543-$M3543&gt;7,"",IF($M3543&lt;=$A3543,"",IF(OR($B3543&lt;=0,$N3543&lt;=0),"",($N3543/$B3543)^(365/($M3543-$A3543))-1))))</f>
        <v/>
      </c>
      <c r="P3543" s="31" t="str">
        <f>IF($B3543="","",IF($P3542="",$B3543,MAX($P3542,$B3543)))</f>
        <v/>
      </c>
      <c r="Q3543" s="32" t="str">
        <f>IF($P3543="","",$B3543/$P3543-1)</f>
        <v/>
      </c>
    </row>
    <row r="3544">
      <c r="A3544" s="11" t="n"/>
      <c r="B3544" s="29" t="n"/>
      <c r="K3544" s="30" t="str">
        <f>IF($A3544="","",EDATE($A3544,12*$E$4))</f>
        <v/>
      </c>
      <c r="L3544" s="19" t="str">
        <f>IF($K3544="","",IF($K3544&gt;MAX($A$8:$A$5007),"",IFERROR(MATCH($K3544,$A$8:$A$5007,1),"")))</f>
        <v/>
      </c>
      <c r="M3544" s="30" t="str">
        <f>IF($L3544="","",INDEX($A$8:$A$5007,$L3544))</f>
        <v/>
      </c>
      <c r="N3544" s="31" t="str">
        <f>IF($L3544="","",INDEX($B$8:$B$5007,$L3544))</f>
        <v/>
      </c>
      <c r="O3544" s="32" t="str">
        <f>IF($M3544="","",IF($K3544-$M3544&gt;7,"",IF($M3544&lt;=$A3544,"",IF(OR($B3544&lt;=0,$N3544&lt;=0),"",($N3544/$B3544)^(365/($M3544-$A3544))-1))))</f>
        <v/>
      </c>
      <c r="P3544" s="31" t="str">
        <f>IF($B3544="","",IF($P3543="",$B3544,MAX($P3543,$B3544)))</f>
        <v/>
      </c>
      <c r="Q3544" s="32" t="str">
        <f>IF($P3544="","",$B3544/$P3544-1)</f>
        <v/>
      </c>
    </row>
    <row r="3545">
      <c r="A3545" s="11" t="n"/>
      <c r="B3545" s="29" t="n"/>
      <c r="K3545" s="30" t="str">
        <f>IF($A3545="","",EDATE($A3545,12*$E$4))</f>
        <v/>
      </c>
      <c r="L3545" s="19" t="str">
        <f>IF($K3545="","",IF($K3545&gt;MAX($A$8:$A$5007),"",IFERROR(MATCH($K3545,$A$8:$A$5007,1),"")))</f>
        <v/>
      </c>
      <c r="M3545" s="30" t="str">
        <f>IF($L3545="","",INDEX($A$8:$A$5007,$L3545))</f>
        <v/>
      </c>
      <c r="N3545" s="31" t="str">
        <f>IF($L3545="","",INDEX($B$8:$B$5007,$L3545))</f>
        <v/>
      </c>
      <c r="O3545" s="32" t="str">
        <f>IF($M3545="","",IF($K3545-$M3545&gt;7,"",IF($M3545&lt;=$A3545,"",IF(OR($B3545&lt;=0,$N3545&lt;=0),"",($N3545/$B3545)^(365/($M3545-$A3545))-1))))</f>
        <v/>
      </c>
      <c r="P3545" s="31" t="str">
        <f>IF($B3545="","",IF($P3544="",$B3545,MAX($P3544,$B3545)))</f>
        <v/>
      </c>
      <c r="Q3545" s="32" t="str">
        <f>IF($P3545="","",$B3545/$P3545-1)</f>
        <v/>
      </c>
    </row>
    <row r="3546">
      <c r="A3546" s="11" t="n"/>
      <c r="B3546" s="29" t="n"/>
      <c r="K3546" s="30" t="str">
        <f>IF($A3546="","",EDATE($A3546,12*$E$4))</f>
        <v/>
      </c>
      <c r="L3546" s="19" t="str">
        <f>IF($K3546="","",IF($K3546&gt;MAX($A$8:$A$5007),"",IFERROR(MATCH($K3546,$A$8:$A$5007,1),"")))</f>
        <v/>
      </c>
      <c r="M3546" s="30" t="str">
        <f>IF($L3546="","",INDEX($A$8:$A$5007,$L3546))</f>
        <v/>
      </c>
      <c r="N3546" s="31" t="str">
        <f>IF($L3546="","",INDEX($B$8:$B$5007,$L3546))</f>
        <v/>
      </c>
      <c r="O3546" s="32" t="str">
        <f>IF($M3546="","",IF($K3546-$M3546&gt;7,"",IF($M3546&lt;=$A3546,"",IF(OR($B3546&lt;=0,$N3546&lt;=0),"",($N3546/$B3546)^(365/($M3546-$A3546))-1))))</f>
        <v/>
      </c>
      <c r="P3546" s="31" t="str">
        <f>IF($B3546="","",IF($P3545="",$B3546,MAX($P3545,$B3546)))</f>
        <v/>
      </c>
      <c r="Q3546" s="32" t="str">
        <f>IF($P3546="","",$B3546/$P3546-1)</f>
        <v/>
      </c>
    </row>
    <row r="3547">
      <c r="A3547" s="11" t="n"/>
      <c r="B3547" s="29" t="n"/>
      <c r="K3547" s="30" t="str">
        <f>IF($A3547="","",EDATE($A3547,12*$E$4))</f>
        <v/>
      </c>
      <c r="L3547" s="19" t="str">
        <f>IF($K3547="","",IF($K3547&gt;MAX($A$8:$A$5007),"",IFERROR(MATCH($K3547,$A$8:$A$5007,1),"")))</f>
        <v/>
      </c>
      <c r="M3547" s="30" t="str">
        <f>IF($L3547="","",INDEX($A$8:$A$5007,$L3547))</f>
        <v/>
      </c>
      <c r="N3547" s="31" t="str">
        <f>IF($L3547="","",INDEX($B$8:$B$5007,$L3547))</f>
        <v/>
      </c>
      <c r="O3547" s="32" t="str">
        <f>IF($M3547="","",IF($K3547-$M3547&gt;7,"",IF($M3547&lt;=$A3547,"",IF(OR($B3547&lt;=0,$N3547&lt;=0),"",($N3547/$B3547)^(365/($M3547-$A3547))-1))))</f>
        <v/>
      </c>
      <c r="P3547" s="31" t="str">
        <f>IF($B3547="","",IF($P3546="",$B3547,MAX($P3546,$B3547)))</f>
        <v/>
      </c>
      <c r="Q3547" s="32" t="str">
        <f>IF($P3547="","",$B3547/$P3547-1)</f>
        <v/>
      </c>
    </row>
    <row r="3548">
      <c r="A3548" s="11" t="n"/>
      <c r="B3548" s="29" t="n"/>
      <c r="K3548" s="30" t="str">
        <f>IF($A3548="","",EDATE($A3548,12*$E$4))</f>
        <v/>
      </c>
      <c r="L3548" s="19" t="str">
        <f>IF($K3548="","",IF($K3548&gt;MAX($A$8:$A$5007),"",IFERROR(MATCH($K3548,$A$8:$A$5007,1),"")))</f>
        <v/>
      </c>
      <c r="M3548" s="30" t="str">
        <f>IF($L3548="","",INDEX($A$8:$A$5007,$L3548))</f>
        <v/>
      </c>
      <c r="N3548" s="31" t="str">
        <f>IF($L3548="","",INDEX($B$8:$B$5007,$L3548))</f>
        <v/>
      </c>
      <c r="O3548" s="32" t="str">
        <f>IF($M3548="","",IF($K3548-$M3548&gt;7,"",IF($M3548&lt;=$A3548,"",IF(OR($B3548&lt;=0,$N3548&lt;=0),"",($N3548/$B3548)^(365/($M3548-$A3548))-1))))</f>
        <v/>
      </c>
      <c r="P3548" s="31" t="str">
        <f>IF($B3548="","",IF($P3547="",$B3548,MAX($P3547,$B3548)))</f>
        <v/>
      </c>
      <c r="Q3548" s="32" t="str">
        <f>IF($P3548="","",$B3548/$P3548-1)</f>
        <v/>
      </c>
    </row>
    <row r="3549">
      <c r="A3549" s="11" t="n"/>
      <c r="B3549" s="29" t="n"/>
      <c r="K3549" s="30" t="str">
        <f>IF($A3549="","",EDATE($A3549,12*$E$4))</f>
        <v/>
      </c>
      <c r="L3549" s="19" t="str">
        <f>IF($K3549="","",IF($K3549&gt;MAX($A$8:$A$5007),"",IFERROR(MATCH($K3549,$A$8:$A$5007,1),"")))</f>
        <v/>
      </c>
      <c r="M3549" s="30" t="str">
        <f>IF($L3549="","",INDEX($A$8:$A$5007,$L3549))</f>
        <v/>
      </c>
      <c r="N3549" s="31" t="str">
        <f>IF($L3549="","",INDEX($B$8:$B$5007,$L3549))</f>
        <v/>
      </c>
      <c r="O3549" s="32" t="str">
        <f>IF($M3549="","",IF($K3549-$M3549&gt;7,"",IF($M3549&lt;=$A3549,"",IF(OR($B3549&lt;=0,$N3549&lt;=0),"",($N3549/$B3549)^(365/($M3549-$A3549))-1))))</f>
        <v/>
      </c>
      <c r="P3549" s="31" t="str">
        <f>IF($B3549="","",IF($P3548="",$B3549,MAX($P3548,$B3549)))</f>
        <v/>
      </c>
      <c r="Q3549" s="32" t="str">
        <f>IF($P3549="","",$B3549/$P3549-1)</f>
        <v/>
      </c>
    </row>
    <row r="3550">
      <c r="A3550" s="11" t="n"/>
      <c r="B3550" s="29" t="n"/>
      <c r="K3550" s="30" t="str">
        <f>IF($A3550="","",EDATE($A3550,12*$E$4))</f>
        <v/>
      </c>
      <c r="L3550" s="19" t="str">
        <f>IF($K3550="","",IF($K3550&gt;MAX($A$8:$A$5007),"",IFERROR(MATCH($K3550,$A$8:$A$5007,1),"")))</f>
        <v/>
      </c>
      <c r="M3550" s="30" t="str">
        <f>IF($L3550="","",INDEX($A$8:$A$5007,$L3550))</f>
        <v/>
      </c>
      <c r="N3550" s="31" t="str">
        <f>IF($L3550="","",INDEX($B$8:$B$5007,$L3550))</f>
        <v/>
      </c>
      <c r="O3550" s="32" t="str">
        <f>IF($M3550="","",IF($K3550-$M3550&gt;7,"",IF($M3550&lt;=$A3550,"",IF(OR($B3550&lt;=0,$N3550&lt;=0),"",($N3550/$B3550)^(365/($M3550-$A3550))-1))))</f>
        <v/>
      </c>
      <c r="P3550" s="31" t="str">
        <f>IF($B3550="","",IF($P3549="",$B3550,MAX($P3549,$B3550)))</f>
        <v/>
      </c>
      <c r="Q3550" s="32" t="str">
        <f>IF($P3550="","",$B3550/$P3550-1)</f>
        <v/>
      </c>
    </row>
    <row r="3551">
      <c r="A3551" s="11" t="n"/>
      <c r="B3551" s="29" t="n"/>
      <c r="K3551" s="30" t="str">
        <f>IF($A3551="","",EDATE($A3551,12*$E$4))</f>
        <v/>
      </c>
      <c r="L3551" s="19" t="str">
        <f>IF($K3551="","",IF($K3551&gt;MAX($A$8:$A$5007),"",IFERROR(MATCH($K3551,$A$8:$A$5007,1),"")))</f>
        <v/>
      </c>
      <c r="M3551" s="30" t="str">
        <f>IF($L3551="","",INDEX($A$8:$A$5007,$L3551))</f>
        <v/>
      </c>
      <c r="N3551" s="31" t="str">
        <f>IF($L3551="","",INDEX($B$8:$B$5007,$L3551))</f>
        <v/>
      </c>
      <c r="O3551" s="32" t="str">
        <f>IF($M3551="","",IF($K3551-$M3551&gt;7,"",IF($M3551&lt;=$A3551,"",IF(OR($B3551&lt;=0,$N3551&lt;=0),"",($N3551/$B3551)^(365/($M3551-$A3551))-1))))</f>
        <v/>
      </c>
      <c r="P3551" s="31" t="str">
        <f>IF($B3551="","",IF($P3550="",$B3551,MAX($P3550,$B3551)))</f>
        <v/>
      </c>
      <c r="Q3551" s="32" t="str">
        <f>IF($P3551="","",$B3551/$P3551-1)</f>
        <v/>
      </c>
    </row>
    <row r="3552">
      <c r="A3552" s="11" t="n"/>
      <c r="B3552" s="29" t="n"/>
      <c r="K3552" s="30" t="str">
        <f>IF($A3552="","",EDATE($A3552,12*$E$4))</f>
        <v/>
      </c>
      <c r="L3552" s="19" t="str">
        <f>IF($K3552="","",IF($K3552&gt;MAX($A$8:$A$5007),"",IFERROR(MATCH($K3552,$A$8:$A$5007,1),"")))</f>
        <v/>
      </c>
      <c r="M3552" s="30" t="str">
        <f>IF($L3552="","",INDEX($A$8:$A$5007,$L3552))</f>
        <v/>
      </c>
      <c r="N3552" s="31" t="str">
        <f>IF($L3552="","",INDEX($B$8:$B$5007,$L3552))</f>
        <v/>
      </c>
      <c r="O3552" s="32" t="str">
        <f>IF($M3552="","",IF($K3552-$M3552&gt;7,"",IF($M3552&lt;=$A3552,"",IF(OR($B3552&lt;=0,$N3552&lt;=0),"",($N3552/$B3552)^(365/($M3552-$A3552))-1))))</f>
        <v/>
      </c>
      <c r="P3552" s="31" t="str">
        <f>IF($B3552="","",IF($P3551="",$B3552,MAX($P3551,$B3552)))</f>
        <v/>
      </c>
      <c r="Q3552" s="32" t="str">
        <f>IF($P3552="","",$B3552/$P3552-1)</f>
        <v/>
      </c>
    </row>
    <row r="3553">
      <c r="A3553" s="11" t="n"/>
      <c r="B3553" s="29" t="n"/>
      <c r="K3553" s="30" t="str">
        <f>IF($A3553="","",EDATE($A3553,12*$E$4))</f>
        <v/>
      </c>
      <c r="L3553" s="19" t="str">
        <f>IF($K3553="","",IF($K3553&gt;MAX($A$8:$A$5007),"",IFERROR(MATCH($K3553,$A$8:$A$5007,1),"")))</f>
        <v/>
      </c>
      <c r="M3553" s="30" t="str">
        <f>IF($L3553="","",INDEX($A$8:$A$5007,$L3553))</f>
        <v/>
      </c>
      <c r="N3553" s="31" t="str">
        <f>IF($L3553="","",INDEX($B$8:$B$5007,$L3553))</f>
        <v/>
      </c>
      <c r="O3553" s="32" t="str">
        <f>IF($M3553="","",IF($K3553-$M3553&gt;7,"",IF($M3553&lt;=$A3553,"",IF(OR($B3553&lt;=0,$N3553&lt;=0),"",($N3553/$B3553)^(365/($M3553-$A3553))-1))))</f>
        <v/>
      </c>
      <c r="P3553" s="31" t="str">
        <f>IF($B3553="","",IF($P3552="",$B3553,MAX($P3552,$B3553)))</f>
        <v/>
      </c>
      <c r="Q3553" s="32" t="str">
        <f>IF($P3553="","",$B3553/$P3553-1)</f>
        <v/>
      </c>
    </row>
    <row r="3554">
      <c r="A3554" s="11" t="n"/>
      <c r="B3554" s="29" t="n"/>
      <c r="K3554" s="30" t="str">
        <f>IF($A3554="","",EDATE($A3554,12*$E$4))</f>
        <v/>
      </c>
      <c r="L3554" s="19" t="str">
        <f>IF($K3554="","",IF($K3554&gt;MAX($A$8:$A$5007),"",IFERROR(MATCH($K3554,$A$8:$A$5007,1),"")))</f>
        <v/>
      </c>
      <c r="M3554" s="30" t="str">
        <f>IF($L3554="","",INDEX($A$8:$A$5007,$L3554))</f>
        <v/>
      </c>
      <c r="N3554" s="31" t="str">
        <f>IF($L3554="","",INDEX($B$8:$B$5007,$L3554))</f>
        <v/>
      </c>
      <c r="O3554" s="32" t="str">
        <f>IF($M3554="","",IF($K3554-$M3554&gt;7,"",IF($M3554&lt;=$A3554,"",IF(OR($B3554&lt;=0,$N3554&lt;=0),"",($N3554/$B3554)^(365/($M3554-$A3554))-1))))</f>
        <v/>
      </c>
      <c r="P3554" s="31" t="str">
        <f>IF($B3554="","",IF($P3553="",$B3554,MAX($P3553,$B3554)))</f>
        <v/>
      </c>
      <c r="Q3554" s="32" t="str">
        <f>IF($P3554="","",$B3554/$P3554-1)</f>
        <v/>
      </c>
    </row>
    <row r="3555">
      <c r="A3555" s="11" t="n"/>
      <c r="B3555" s="29" t="n"/>
      <c r="K3555" s="30" t="str">
        <f>IF($A3555="","",EDATE($A3555,12*$E$4))</f>
        <v/>
      </c>
      <c r="L3555" s="19" t="str">
        <f>IF($K3555="","",IF($K3555&gt;MAX($A$8:$A$5007),"",IFERROR(MATCH($K3555,$A$8:$A$5007,1),"")))</f>
        <v/>
      </c>
      <c r="M3555" s="30" t="str">
        <f>IF($L3555="","",INDEX($A$8:$A$5007,$L3555))</f>
        <v/>
      </c>
      <c r="N3555" s="31" t="str">
        <f>IF($L3555="","",INDEX($B$8:$B$5007,$L3555))</f>
        <v/>
      </c>
      <c r="O3555" s="32" t="str">
        <f>IF($M3555="","",IF($K3555-$M3555&gt;7,"",IF($M3555&lt;=$A3555,"",IF(OR($B3555&lt;=0,$N3555&lt;=0),"",($N3555/$B3555)^(365/($M3555-$A3555))-1))))</f>
        <v/>
      </c>
      <c r="P3555" s="31" t="str">
        <f>IF($B3555="","",IF($P3554="",$B3555,MAX($P3554,$B3555)))</f>
        <v/>
      </c>
      <c r="Q3555" s="32" t="str">
        <f>IF($P3555="","",$B3555/$P3555-1)</f>
        <v/>
      </c>
    </row>
    <row r="3556">
      <c r="A3556" s="11" t="n"/>
      <c r="B3556" s="29" t="n"/>
      <c r="K3556" s="30" t="str">
        <f>IF($A3556="","",EDATE($A3556,12*$E$4))</f>
        <v/>
      </c>
      <c r="L3556" s="19" t="str">
        <f>IF($K3556="","",IF($K3556&gt;MAX($A$8:$A$5007),"",IFERROR(MATCH($K3556,$A$8:$A$5007,1),"")))</f>
        <v/>
      </c>
      <c r="M3556" s="30" t="str">
        <f>IF($L3556="","",INDEX($A$8:$A$5007,$L3556))</f>
        <v/>
      </c>
      <c r="N3556" s="31" t="str">
        <f>IF($L3556="","",INDEX($B$8:$B$5007,$L3556))</f>
        <v/>
      </c>
      <c r="O3556" s="32" t="str">
        <f>IF($M3556="","",IF($K3556-$M3556&gt;7,"",IF($M3556&lt;=$A3556,"",IF(OR($B3556&lt;=0,$N3556&lt;=0),"",($N3556/$B3556)^(365/($M3556-$A3556))-1))))</f>
        <v/>
      </c>
      <c r="P3556" s="31" t="str">
        <f>IF($B3556="","",IF($P3555="",$B3556,MAX($P3555,$B3556)))</f>
        <v/>
      </c>
      <c r="Q3556" s="32" t="str">
        <f>IF($P3556="","",$B3556/$P3556-1)</f>
        <v/>
      </c>
    </row>
    <row r="3557">
      <c r="A3557" s="11" t="n"/>
      <c r="B3557" s="29" t="n"/>
      <c r="K3557" s="30" t="str">
        <f>IF($A3557="","",EDATE($A3557,12*$E$4))</f>
        <v/>
      </c>
      <c r="L3557" s="19" t="str">
        <f>IF($K3557="","",IF($K3557&gt;MAX($A$8:$A$5007),"",IFERROR(MATCH($K3557,$A$8:$A$5007,1),"")))</f>
        <v/>
      </c>
      <c r="M3557" s="30" t="str">
        <f>IF($L3557="","",INDEX($A$8:$A$5007,$L3557))</f>
        <v/>
      </c>
      <c r="N3557" s="31" t="str">
        <f>IF($L3557="","",INDEX($B$8:$B$5007,$L3557))</f>
        <v/>
      </c>
      <c r="O3557" s="32" t="str">
        <f>IF($M3557="","",IF($K3557-$M3557&gt;7,"",IF($M3557&lt;=$A3557,"",IF(OR($B3557&lt;=0,$N3557&lt;=0),"",($N3557/$B3557)^(365/($M3557-$A3557))-1))))</f>
        <v/>
      </c>
      <c r="P3557" s="31" t="str">
        <f>IF($B3557="","",IF($P3556="",$B3557,MAX($P3556,$B3557)))</f>
        <v/>
      </c>
      <c r="Q3557" s="32" t="str">
        <f>IF($P3557="","",$B3557/$P3557-1)</f>
        <v/>
      </c>
    </row>
    <row r="3558">
      <c r="A3558" s="11" t="n"/>
      <c r="B3558" s="29" t="n"/>
      <c r="K3558" s="30" t="str">
        <f>IF($A3558="","",EDATE($A3558,12*$E$4))</f>
        <v/>
      </c>
      <c r="L3558" s="19" t="str">
        <f>IF($K3558="","",IF($K3558&gt;MAX($A$8:$A$5007),"",IFERROR(MATCH($K3558,$A$8:$A$5007,1),"")))</f>
        <v/>
      </c>
      <c r="M3558" s="30" t="str">
        <f>IF($L3558="","",INDEX($A$8:$A$5007,$L3558))</f>
        <v/>
      </c>
      <c r="N3558" s="31" t="str">
        <f>IF($L3558="","",INDEX($B$8:$B$5007,$L3558))</f>
        <v/>
      </c>
      <c r="O3558" s="32" t="str">
        <f>IF($M3558="","",IF($K3558-$M3558&gt;7,"",IF($M3558&lt;=$A3558,"",IF(OR($B3558&lt;=0,$N3558&lt;=0),"",($N3558/$B3558)^(365/($M3558-$A3558))-1))))</f>
        <v/>
      </c>
      <c r="P3558" s="31" t="str">
        <f>IF($B3558="","",IF($P3557="",$B3558,MAX($P3557,$B3558)))</f>
        <v/>
      </c>
      <c r="Q3558" s="32" t="str">
        <f>IF($P3558="","",$B3558/$P3558-1)</f>
        <v/>
      </c>
    </row>
    <row r="3559">
      <c r="A3559" s="11" t="n"/>
      <c r="B3559" s="29" t="n"/>
      <c r="K3559" s="30" t="str">
        <f>IF($A3559="","",EDATE($A3559,12*$E$4))</f>
        <v/>
      </c>
      <c r="L3559" s="19" t="str">
        <f>IF($K3559="","",IF($K3559&gt;MAX($A$8:$A$5007),"",IFERROR(MATCH($K3559,$A$8:$A$5007,1),"")))</f>
        <v/>
      </c>
      <c r="M3559" s="30" t="str">
        <f>IF($L3559="","",INDEX($A$8:$A$5007,$L3559))</f>
        <v/>
      </c>
      <c r="N3559" s="31" t="str">
        <f>IF($L3559="","",INDEX($B$8:$B$5007,$L3559))</f>
        <v/>
      </c>
      <c r="O3559" s="32" t="str">
        <f>IF($M3559="","",IF($K3559-$M3559&gt;7,"",IF($M3559&lt;=$A3559,"",IF(OR($B3559&lt;=0,$N3559&lt;=0),"",($N3559/$B3559)^(365/($M3559-$A3559))-1))))</f>
        <v/>
      </c>
      <c r="P3559" s="31" t="str">
        <f>IF($B3559="","",IF($P3558="",$B3559,MAX($P3558,$B3559)))</f>
        <v/>
      </c>
      <c r="Q3559" s="32" t="str">
        <f>IF($P3559="","",$B3559/$P3559-1)</f>
        <v/>
      </c>
    </row>
    <row r="3560">
      <c r="A3560" s="11" t="n"/>
      <c r="B3560" s="29" t="n"/>
      <c r="K3560" s="30" t="str">
        <f>IF($A3560="","",EDATE($A3560,12*$E$4))</f>
        <v/>
      </c>
      <c r="L3560" s="19" t="str">
        <f>IF($K3560="","",IF($K3560&gt;MAX($A$8:$A$5007),"",IFERROR(MATCH($K3560,$A$8:$A$5007,1),"")))</f>
        <v/>
      </c>
      <c r="M3560" s="30" t="str">
        <f>IF($L3560="","",INDEX($A$8:$A$5007,$L3560))</f>
        <v/>
      </c>
      <c r="N3560" s="31" t="str">
        <f>IF($L3560="","",INDEX($B$8:$B$5007,$L3560))</f>
        <v/>
      </c>
      <c r="O3560" s="32" t="str">
        <f>IF($M3560="","",IF($K3560-$M3560&gt;7,"",IF($M3560&lt;=$A3560,"",IF(OR($B3560&lt;=0,$N3560&lt;=0),"",($N3560/$B3560)^(365/($M3560-$A3560))-1))))</f>
        <v/>
      </c>
      <c r="P3560" s="31" t="str">
        <f>IF($B3560="","",IF($P3559="",$B3560,MAX($P3559,$B3560)))</f>
        <v/>
      </c>
      <c r="Q3560" s="32" t="str">
        <f>IF($P3560="","",$B3560/$P3560-1)</f>
        <v/>
      </c>
    </row>
    <row r="3561">
      <c r="A3561" s="11" t="n"/>
      <c r="B3561" s="29" t="n"/>
      <c r="K3561" s="30" t="str">
        <f>IF($A3561="","",EDATE($A3561,12*$E$4))</f>
        <v/>
      </c>
      <c r="L3561" s="19" t="str">
        <f>IF($K3561="","",IF($K3561&gt;MAX($A$8:$A$5007),"",IFERROR(MATCH($K3561,$A$8:$A$5007,1),"")))</f>
        <v/>
      </c>
      <c r="M3561" s="30" t="str">
        <f>IF($L3561="","",INDEX($A$8:$A$5007,$L3561))</f>
        <v/>
      </c>
      <c r="N3561" s="31" t="str">
        <f>IF($L3561="","",INDEX($B$8:$B$5007,$L3561))</f>
        <v/>
      </c>
      <c r="O3561" s="32" t="str">
        <f>IF($M3561="","",IF($K3561-$M3561&gt;7,"",IF($M3561&lt;=$A3561,"",IF(OR($B3561&lt;=0,$N3561&lt;=0),"",($N3561/$B3561)^(365/($M3561-$A3561))-1))))</f>
        <v/>
      </c>
      <c r="P3561" s="31" t="str">
        <f>IF($B3561="","",IF($P3560="",$B3561,MAX($P3560,$B3561)))</f>
        <v/>
      </c>
      <c r="Q3561" s="32" t="str">
        <f>IF($P3561="","",$B3561/$P3561-1)</f>
        <v/>
      </c>
    </row>
    <row r="3562">
      <c r="A3562" s="11" t="n"/>
      <c r="B3562" s="29" t="n"/>
      <c r="K3562" s="30" t="str">
        <f>IF($A3562="","",EDATE($A3562,12*$E$4))</f>
        <v/>
      </c>
      <c r="L3562" s="19" t="str">
        <f>IF($K3562="","",IF($K3562&gt;MAX($A$8:$A$5007),"",IFERROR(MATCH($K3562,$A$8:$A$5007,1),"")))</f>
        <v/>
      </c>
      <c r="M3562" s="30" t="str">
        <f>IF($L3562="","",INDEX($A$8:$A$5007,$L3562))</f>
        <v/>
      </c>
      <c r="N3562" s="31" t="str">
        <f>IF($L3562="","",INDEX($B$8:$B$5007,$L3562))</f>
        <v/>
      </c>
      <c r="O3562" s="32" t="str">
        <f>IF($M3562="","",IF($K3562-$M3562&gt;7,"",IF($M3562&lt;=$A3562,"",IF(OR($B3562&lt;=0,$N3562&lt;=0),"",($N3562/$B3562)^(365/($M3562-$A3562))-1))))</f>
        <v/>
      </c>
      <c r="P3562" s="31" t="str">
        <f>IF($B3562="","",IF($P3561="",$B3562,MAX($P3561,$B3562)))</f>
        <v/>
      </c>
      <c r="Q3562" s="32" t="str">
        <f>IF($P3562="","",$B3562/$P3562-1)</f>
        <v/>
      </c>
    </row>
    <row r="3563">
      <c r="A3563" s="11" t="n"/>
      <c r="B3563" s="29" t="n"/>
      <c r="K3563" s="30" t="str">
        <f>IF($A3563="","",EDATE($A3563,12*$E$4))</f>
        <v/>
      </c>
      <c r="L3563" s="19" t="str">
        <f>IF($K3563="","",IF($K3563&gt;MAX($A$8:$A$5007),"",IFERROR(MATCH($K3563,$A$8:$A$5007,1),"")))</f>
        <v/>
      </c>
      <c r="M3563" s="30" t="str">
        <f>IF($L3563="","",INDEX($A$8:$A$5007,$L3563))</f>
        <v/>
      </c>
      <c r="N3563" s="31" t="str">
        <f>IF($L3563="","",INDEX($B$8:$B$5007,$L3563))</f>
        <v/>
      </c>
      <c r="O3563" s="32" t="str">
        <f>IF($M3563="","",IF($K3563-$M3563&gt;7,"",IF($M3563&lt;=$A3563,"",IF(OR($B3563&lt;=0,$N3563&lt;=0),"",($N3563/$B3563)^(365/($M3563-$A3563))-1))))</f>
        <v/>
      </c>
      <c r="P3563" s="31" t="str">
        <f>IF($B3563="","",IF($P3562="",$B3563,MAX($P3562,$B3563)))</f>
        <v/>
      </c>
      <c r="Q3563" s="32" t="str">
        <f>IF($P3563="","",$B3563/$P3563-1)</f>
        <v/>
      </c>
    </row>
    <row r="3564">
      <c r="A3564" s="11" t="n"/>
      <c r="B3564" s="29" t="n"/>
      <c r="K3564" s="30" t="str">
        <f>IF($A3564="","",EDATE($A3564,12*$E$4))</f>
        <v/>
      </c>
      <c r="L3564" s="19" t="str">
        <f>IF($K3564="","",IF($K3564&gt;MAX($A$8:$A$5007),"",IFERROR(MATCH($K3564,$A$8:$A$5007,1),"")))</f>
        <v/>
      </c>
      <c r="M3564" s="30" t="str">
        <f>IF($L3564="","",INDEX($A$8:$A$5007,$L3564))</f>
        <v/>
      </c>
      <c r="N3564" s="31" t="str">
        <f>IF($L3564="","",INDEX($B$8:$B$5007,$L3564))</f>
        <v/>
      </c>
      <c r="O3564" s="32" t="str">
        <f>IF($M3564="","",IF($K3564-$M3564&gt;7,"",IF($M3564&lt;=$A3564,"",IF(OR($B3564&lt;=0,$N3564&lt;=0),"",($N3564/$B3564)^(365/($M3564-$A3564))-1))))</f>
        <v/>
      </c>
      <c r="P3564" s="31" t="str">
        <f>IF($B3564="","",IF($P3563="",$B3564,MAX($P3563,$B3564)))</f>
        <v/>
      </c>
      <c r="Q3564" s="32" t="str">
        <f>IF($P3564="","",$B3564/$P3564-1)</f>
        <v/>
      </c>
    </row>
    <row r="3565">
      <c r="A3565" s="11" t="n"/>
      <c r="B3565" s="29" t="n"/>
      <c r="K3565" s="30" t="str">
        <f>IF($A3565="","",EDATE($A3565,12*$E$4))</f>
        <v/>
      </c>
      <c r="L3565" s="19" t="str">
        <f>IF($K3565="","",IF($K3565&gt;MAX($A$8:$A$5007),"",IFERROR(MATCH($K3565,$A$8:$A$5007,1),"")))</f>
        <v/>
      </c>
      <c r="M3565" s="30" t="str">
        <f>IF($L3565="","",INDEX($A$8:$A$5007,$L3565))</f>
        <v/>
      </c>
      <c r="N3565" s="31" t="str">
        <f>IF($L3565="","",INDEX($B$8:$B$5007,$L3565))</f>
        <v/>
      </c>
      <c r="O3565" s="32" t="str">
        <f>IF($M3565="","",IF($K3565-$M3565&gt;7,"",IF($M3565&lt;=$A3565,"",IF(OR($B3565&lt;=0,$N3565&lt;=0),"",($N3565/$B3565)^(365/($M3565-$A3565))-1))))</f>
        <v/>
      </c>
      <c r="P3565" s="31" t="str">
        <f>IF($B3565="","",IF($P3564="",$B3565,MAX($P3564,$B3565)))</f>
        <v/>
      </c>
      <c r="Q3565" s="32" t="str">
        <f>IF($P3565="","",$B3565/$P3565-1)</f>
        <v/>
      </c>
    </row>
    <row r="3566">
      <c r="A3566" s="11" t="n"/>
      <c r="B3566" s="29" t="n"/>
      <c r="K3566" s="30" t="str">
        <f>IF($A3566="","",EDATE($A3566,12*$E$4))</f>
        <v/>
      </c>
      <c r="L3566" s="19" t="str">
        <f>IF($K3566="","",IF($K3566&gt;MAX($A$8:$A$5007),"",IFERROR(MATCH($K3566,$A$8:$A$5007,1),"")))</f>
        <v/>
      </c>
      <c r="M3566" s="30" t="str">
        <f>IF($L3566="","",INDEX($A$8:$A$5007,$L3566))</f>
        <v/>
      </c>
      <c r="N3566" s="31" t="str">
        <f>IF($L3566="","",INDEX($B$8:$B$5007,$L3566))</f>
        <v/>
      </c>
      <c r="O3566" s="32" t="str">
        <f>IF($M3566="","",IF($K3566-$M3566&gt;7,"",IF($M3566&lt;=$A3566,"",IF(OR($B3566&lt;=0,$N3566&lt;=0),"",($N3566/$B3566)^(365/($M3566-$A3566))-1))))</f>
        <v/>
      </c>
      <c r="P3566" s="31" t="str">
        <f>IF($B3566="","",IF($P3565="",$B3566,MAX($P3565,$B3566)))</f>
        <v/>
      </c>
      <c r="Q3566" s="32" t="str">
        <f>IF($P3566="","",$B3566/$P3566-1)</f>
        <v/>
      </c>
    </row>
    <row r="3567">
      <c r="A3567" s="11" t="n"/>
      <c r="B3567" s="29" t="n"/>
      <c r="K3567" s="30" t="str">
        <f>IF($A3567="","",EDATE($A3567,12*$E$4))</f>
        <v/>
      </c>
      <c r="L3567" s="19" t="str">
        <f>IF($K3567="","",IF($K3567&gt;MAX($A$8:$A$5007),"",IFERROR(MATCH($K3567,$A$8:$A$5007,1),"")))</f>
        <v/>
      </c>
      <c r="M3567" s="30" t="str">
        <f>IF($L3567="","",INDEX($A$8:$A$5007,$L3567))</f>
        <v/>
      </c>
      <c r="N3567" s="31" t="str">
        <f>IF($L3567="","",INDEX($B$8:$B$5007,$L3567))</f>
        <v/>
      </c>
      <c r="O3567" s="32" t="str">
        <f>IF($M3567="","",IF($K3567-$M3567&gt;7,"",IF($M3567&lt;=$A3567,"",IF(OR($B3567&lt;=0,$N3567&lt;=0),"",($N3567/$B3567)^(365/($M3567-$A3567))-1))))</f>
        <v/>
      </c>
      <c r="P3567" s="31" t="str">
        <f>IF($B3567="","",IF($P3566="",$B3567,MAX($P3566,$B3567)))</f>
        <v/>
      </c>
      <c r="Q3567" s="32" t="str">
        <f>IF($P3567="","",$B3567/$P3567-1)</f>
        <v/>
      </c>
    </row>
    <row r="3568">
      <c r="A3568" s="11" t="n"/>
      <c r="B3568" s="29" t="n"/>
      <c r="K3568" s="30" t="str">
        <f>IF($A3568="","",EDATE($A3568,12*$E$4))</f>
        <v/>
      </c>
      <c r="L3568" s="19" t="str">
        <f>IF($K3568="","",IF($K3568&gt;MAX($A$8:$A$5007),"",IFERROR(MATCH($K3568,$A$8:$A$5007,1),"")))</f>
        <v/>
      </c>
      <c r="M3568" s="30" t="str">
        <f>IF($L3568="","",INDEX($A$8:$A$5007,$L3568))</f>
        <v/>
      </c>
      <c r="N3568" s="31" t="str">
        <f>IF($L3568="","",INDEX($B$8:$B$5007,$L3568))</f>
        <v/>
      </c>
      <c r="O3568" s="32" t="str">
        <f>IF($M3568="","",IF($K3568-$M3568&gt;7,"",IF($M3568&lt;=$A3568,"",IF(OR($B3568&lt;=0,$N3568&lt;=0),"",($N3568/$B3568)^(365/($M3568-$A3568))-1))))</f>
        <v/>
      </c>
      <c r="P3568" s="31" t="str">
        <f>IF($B3568="","",IF($P3567="",$B3568,MAX($P3567,$B3568)))</f>
        <v/>
      </c>
      <c r="Q3568" s="32" t="str">
        <f>IF($P3568="","",$B3568/$P3568-1)</f>
        <v/>
      </c>
    </row>
    <row r="3569">
      <c r="A3569" s="11" t="n"/>
      <c r="B3569" s="29" t="n"/>
      <c r="K3569" s="30" t="str">
        <f>IF($A3569="","",EDATE($A3569,12*$E$4))</f>
        <v/>
      </c>
      <c r="L3569" s="19" t="str">
        <f>IF($K3569="","",IF($K3569&gt;MAX($A$8:$A$5007),"",IFERROR(MATCH($K3569,$A$8:$A$5007,1),"")))</f>
        <v/>
      </c>
      <c r="M3569" s="30" t="str">
        <f>IF($L3569="","",INDEX($A$8:$A$5007,$L3569))</f>
        <v/>
      </c>
      <c r="N3569" s="31" t="str">
        <f>IF($L3569="","",INDEX($B$8:$B$5007,$L3569))</f>
        <v/>
      </c>
      <c r="O3569" s="32" t="str">
        <f>IF($M3569="","",IF($K3569-$M3569&gt;7,"",IF($M3569&lt;=$A3569,"",IF(OR($B3569&lt;=0,$N3569&lt;=0),"",($N3569/$B3569)^(365/($M3569-$A3569))-1))))</f>
        <v/>
      </c>
      <c r="P3569" s="31" t="str">
        <f>IF($B3569="","",IF($P3568="",$B3569,MAX($P3568,$B3569)))</f>
        <v/>
      </c>
      <c r="Q3569" s="32" t="str">
        <f>IF($P3569="","",$B3569/$P3569-1)</f>
        <v/>
      </c>
    </row>
    <row r="3570">
      <c r="A3570" s="11" t="n"/>
      <c r="B3570" s="29" t="n"/>
      <c r="K3570" s="30" t="str">
        <f>IF($A3570="","",EDATE($A3570,12*$E$4))</f>
        <v/>
      </c>
      <c r="L3570" s="19" t="str">
        <f>IF($K3570="","",IF($K3570&gt;MAX($A$8:$A$5007),"",IFERROR(MATCH($K3570,$A$8:$A$5007,1),"")))</f>
        <v/>
      </c>
      <c r="M3570" s="30" t="str">
        <f>IF($L3570="","",INDEX($A$8:$A$5007,$L3570))</f>
        <v/>
      </c>
      <c r="N3570" s="31" t="str">
        <f>IF($L3570="","",INDEX($B$8:$B$5007,$L3570))</f>
        <v/>
      </c>
      <c r="O3570" s="32" t="str">
        <f>IF($M3570="","",IF($K3570-$M3570&gt;7,"",IF($M3570&lt;=$A3570,"",IF(OR($B3570&lt;=0,$N3570&lt;=0),"",($N3570/$B3570)^(365/($M3570-$A3570))-1))))</f>
        <v/>
      </c>
      <c r="P3570" s="31" t="str">
        <f>IF($B3570="","",IF($P3569="",$B3570,MAX($P3569,$B3570)))</f>
        <v/>
      </c>
      <c r="Q3570" s="32" t="str">
        <f>IF($P3570="","",$B3570/$P3570-1)</f>
        <v/>
      </c>
    </row>
    <row r="3571">
      <c r="A3571" s="11" t="n"/>
      <c r="B3571" s="29" t="n"/>
      <c r="K3571" s="30" t="str">
        <f>IF($A3571="","",EDATE($A3571,12*$E$4))</f>
        <v/>
      </c>
      <c r="L3571" s="19" t="str">
        <f>IF($K3571="","",IF($K3571&gt;MAX($A$8:$A$5007),"",IFERROR(MATCH($K3571,$A$8:$A$5007,1),"")))</f>
        <v/>
      </c>
      <c r="M3571" s="30" t="str">
        <f>IF($L3571="","",INDEX($A$8:$A$5007,$L3571))</f>
        <v/>
      </c>
      <c r="N3571" s="31" t="str">
        <f>IF($L3571="","",INDEX($B$8:$B$5007,$L3571))</f>
        <v/>
      </c>
      <c r="O3571" s="32" t="str">
        <f>IF($M3571="","",IF($K3571-$M3571&gt;7,"",IF($M3571&lt;=$A3571,"",IF(OR($B3571&lt;=0,$N3571&lt;=0),"",($N3571/$B3571)^(365/($M3571-$A3571))-1))))</f>
        <v/>
      </c>
      <c r="P3571" s="31" t="str">
        <f>IF($B3571="","",IF($P3570="",$B3571,MAX($P3570,$B3571)))</f>
        <v/>
      </c>
      <c r="Q3571" s="32" t="str">
        <f>IF($P3571="","",$B3571/$P3571-1)</f>
        <v/>
      </c>
    </row>
    <row r="3572">
      <c r="A3572" s="11" t="n"/>
      <c r="B3572" s="29" t="n"/>
      <c r="K3572" s="30" t="str">
        <f>IF($A3572="","",EDATE($A3572,12*$E$4))</f>
        <v/>
      </c>
      <c r="L3572" s="19" t="str">
        <f>IF($K3572="","",IF($K3572&gt;MAX($A$8:$A$5007),"",IFERROR(MATCH($K3572,$A$8:$A$5007,1),"")))</f>
        <v/>
      </c>
      <c r="M3572" s="30" t="str">
        <f>IF($L3572="","",INDEX($A$8:$A$5007,$L3572))</f>
        <v/>
      </c>
      <c r="N3572" s="31" t="str">
        <f>IF($L3572="","",INDEX($B$8:$B$5007,$L3572))</f>
        <v/>
      </c>
      <c r="O3572" s="32" t="str">
        <f>IF($M3572="","",IF($K3572-$M3572&gt;7,"",IF($M3572&lt;=$A3572,"",IF(OR($B3572&lt;=0,$N3572&lt;=0),"",($N3572/$B3572)^(365/($M3572-$A3572))-1))))</f>
        <v/>
      </c>
      <c r="P3572" s="31" t="str">
        <f>IF($B3572="","",IF($P3571="",$B3572,MAX($P3571,$B3572)))</f>
        <v/>
      </c>
      <c r="Q3572" s="32" t="str">
        <f>IF($P3572="","",$B3572/$P3572-1)</f>
        <v/>
      </c>
    </row>
    <row r="3573">
      <c r="A3573" s="11" t="n"/>
      <c r="B3573" s="29" t="n"/>
      <c r="K3573" s="30" t="str">
        <f>IF($A3573="","",EDATE($A3573,12*$E$4))</f>
        <v/>
      </c>
      <c r="L3573" s="19" t="str">
        <f>IF($K3573="","",IF($K3573&gt;MAX($A$8:$A$5007),"",IFERROR(MATCH($K3573,$A$8:$A$5007,1),"")))</f>
        <v/>
      </c>
      <c r="M3573" s="30" t="str">
        <f>IF($L3573="","",INDEX($A$8:$A$5007,$L3573))</f>
        <v/>
      </c>
      <c r="N3573" s="31" t="str">
        <f>IF($L3573="","",INDEX($B$8:$B$5007,$L3573))</f>
        <v/>
      </c>
      <c r="O3573" s="32" t="str">
        <f>IF($M3573="","",IF($K3573-$M3573&gt;7,"",IF($M3573&lt;=$A3573,"",IF(OR($B3573&lt;=0,$N3573&lt;=0),"",($N3573/$B3573)^(365/($M3573-$A3573))-1))))</f>
        <v/>
      </c>
      <c r="P3573" s="31" t="str">
        <f>IF($B3573="","",IF($P3572="",$B3573,MAX($P3572,$B3573)))</f>
        <v/>
      </c>
      <c r="Q3573" s="32" t="str">
        <f>IF($P3573="","",$B3573/$P3573-1)</f>
        <v/>
      </c>
    </row>
    <row r="3574">
      <c r="A3574" s="11" t="n"/>
      <c r="B3574" s="29" t="n"/>
      <c r="K3574" s="30" t="str">
        <f>IF($A3574="","",EDATE($A3574,12*$E$4))</f>
        <v/>
      </c>
      <c r="L3574" s="19" t="str">
        <f>IF($K3574="","",IF($K3574&gt;MAX($A$8:$A$5007),"",IFERROR(MATCH($K3574,$A$8:$A$5007,1),"")))</f>
        <v/>
      </c>
      <c r="M3574" s="30" t="str">
        <f>IF($L3574="","",INDEX($A$8:$A$5007,$L3574))</f>
        <v/>
      </c>
      <c r="N3574" s="31" t="str">
        <f>IF($L3574="","",INDEX($B$8:$B$5007,$L3574))</f>
        <v/>
      </c>
      <c r="O3574" s="32" t="str">
        <f>IF($M3574="","",IF($K3574-$M3574&gt;7,"",IF($M3574&lt;=$A3574,"",IF(OR($B3574&lt;=0,$N3574&lt;=0),"",($N3574/$B3574)^(365/($M3574-$A3574))-1))))</f>
        <v/>
      </c>
      <c r="P3574" s="31" t="str">
        <f>IF($B3574="","",IF($P3573="",$B3574,MAX($P3573,$B3574)))</f>
        <v/>
      </c>
      <c r="Q3574" s="32" t="str">
        <f>IF($P3574="","",$B3574/$P3574-1)</f>
        <v/>
      </c>
    </row>
    <row r="3575">
      <c r="A3575" s="11" t="n"/>
      <c r="B3575" s="29" t="n"/>
      <c r="K3575" s="30" t="str">
        <f>IF($A3575="","",EDATE($A3575,12*$E$4))</f>
        <v/>
      </c>
      <c r="L3575" s="19" t="str">
        <f>IF($K3575="","",IF($K3575&gt;MAX($A$8:$A$5007),"",IFERROR(MATCH($K3575,$A$8:$A$5007,1),"")))</f>
        <v/>
      </c>
      <c r="M3575" s="30" t="str">
        <f>IF($L3575="","",INDEX($A$8:$A$5007,$L3575))</f>
        <v/>
      </c>
      <c r="N3575" s="31" t="str">
        <f>IF($L3575="","",INDEX($B$8:$B$5007,$L3575))</f>
        <v/>
      </c>
      <c r="O3575" s="32" t="str">
        <f>IF($M3575="","",IF($K3575-$M3575&gt;7,"",IF($M3575&lt;=$A3575,"",IF(OR($B3575&lt;=0,$N3575&lt;=0),"",($N3575/$B3575)^(365/($M3575-$A3575))-1))))</f>
        <v/>
      </c>
      <c r="P3575" s="31" t="str">
        <f>IF($B3575="","",IF($P3574="",$B3575,MAX($P3574,$B3575)))</f>
        <v/>
      </c>
      <c r="Q3575" s="32" t="str">
        <f>IF($P3575="","",$B3575/$P3575-1)</f>
        <v/>
      </c>
    </row>
    <row r="3576">
      <c r="A3576" s="11" t="n"/>
      <c r="B3576" s="29" t="n"/>
      <c r="K3576" s="30" t="str">
        <f>IF($A3576="","",EDATE($A3576,12*$E$4))</f>
        <v/>
      </c>
      <c r="L3576" s="19" t="str">
        <f>IF($K3576="","",IF($K3576&gt;MAX($A$8:$A$5007),"",IFERROR(MATCH($K3576,$A$8:$A$5007,1),"")))</f>
        <v/>
      </c>
      <c r="M3576" s="30" t="str">
        <f>IF($L3576="","",INDEX($A$8:$A$5007,$L3576))</f>
        <v/>
      </c>
      <c r="N3576" s="31" t="str">
        <f>IF($L3576="","",INDEX($B$8:$B$5007,$L3576))</f>
        <v/>
      </c>
      <c r="O3576" s="32" t="str">
        <f>IF($M3576="","",IF($K3576-$M3576&gt;7,"",IF($M3576&lt;=$A3576,"",IF(OR($B3576&lt;=0,$N3576&lt;=0),"",($N3576/$B3576)^(365/($M3576-$A3576))-1))))</f>
        <v/>
      </c>
      <c r="P3576" s="31" t="str">
        <f>IF($B3576="","",IF($P3575="",$B3576,MAX($P3575,$B3576)))</f>
        <v/>
      </c>
      <c r="Q3576" s="32" t="str">
        <f>IF($P3576="","",$B3576/$P3576-1)</f>
        <v/>
      </c>
    </row>
    <row r="3577">
      <c r="A3577" s="11" t="n"/>
      <c r="B3577" s="29" t="n"/>
      <c r="K3577" s="30" t="str">
        <f>IF($A3577="","",EDATE($A3577,12*$E$4))</f>
        <v/>
      </c>
      <c r="L3577" s="19" t="str">
        <f>IF($K3577="","",IF($K3577&gt;MAX($A$8:$A$5007),"",IFERROR(MATCH($K3577,$A$8:$A$5007,1),"")))</f>
        <v/>
      </c>
      <c r="M3577" s="30" t="str">
        <f>IF($L3577="","",INDEX($A$8:$A$5007,$L3577))</f>
        <v/>
      </c>
      <c r="N3577" s="31" t="str">
        <f>IF($L3577="","",INDEX($B$8:$B$5007,$L3577))</f>
        <v/>
      </c>
      <c r="O3577" s="32" t="str">
        <f>IF($M3577="","",IF($K3577-$M3577&gt;7,"",IF($M3577&lt;=$A3577,"",IF(OR($B3577&lt;=0,$N3577&lt;=0),"",($N3577/$B3577)^(365/($M3577-$A3577))-1))))</f>
        <v/>
      </c>
      <c r="P3577" s="31" t="str">
        <f>IF($B3577="","",IF($P3576="",$B3577,MAX($P3576,$B3577)))</f>
        <v/>
      </c>
      <c r="Q3577" s="32" t="str">
        <f>IF($P3577="","",$B3577/$P3577-1)</f>
        <v/>
      </c>
    </row>
    <row r="3578">
      <c r="A3578" s="11" t="n"/>
      <c r="B3578" s="29" t="n"/>
      <c r="K3578" s="30" t="str">
        <f>IF($A3578="","",EDATE($A3578,12*$E$4))</f>
        <v/>
      </c>
      <c r="L3578" s="19" t="str">
        <f>IF($K3578="","",IF($K3578&gt;MAX($A$8:$A$5007),"",IFERROR(MATCH($K3578,$A$8:$A$5007,1),"")))</f>
        <v/>
      </c>
      <c r="M3578" s="30" t="str">
        <f>IF($L3578="","",INDEX($A$8:$A$5007,$L3578))</f>
        <v/>
      </c>
      <c r="N3578" s="31" t="str">
        <f>IF($L3578="","",INDEX($B$8:$B$5007,$L3578))</f>
        <v/>
      </c>
      <c r="O3578" s="32" t="str">
        <f>IF($M3578="","",IF($K3578-$M3578&gt;7,"",IF($M3578&lt;=$A3578,"",IF(OR($B3578&lt;=0,$N3578&lt;=0),"",($N3578/$B3578)^(365/($M3578-$A3578))-1))))</f>
        <v/>
      </c>
      <c r="P3578" s="31" t="str">
        <f>IF($B3578="","",IF($P3577="",$B3578,MAX($P3577,$B3578)))</f>
        <v/>
      </c>
      <c r="Q3578" s="32" t="str">
        <f>IF($P3578="","",$B3578/$P3578-1)</f>
        <v/>
      </c>
    </row>
    <row r="3579">
      <c r="A3579" s="11" t="n"/>
      <c r="B3579" s="29" t="n"/>
      <c r="K3579" s="30" t="str">
        <f>IF($A3579="","",EDATE($A3579,12*$E$4))</f>
        <v/>
      </c>
      <c r="L3579" s="19" t="str">
        <f>IF($K3579="","",IF($K3579&gt;MAX($A$8:$A$5007),"",IFERROR(MATCH($K3579,$A$8:$A$5007,1),"")))</f>
        <v/>
      </c>
      <c r="M3579" s="30" t="str">
        <f>IF($L3579="","",INDEX($A$8:$A$5007,$L3579))</f>
        <v/>
      </c>
      <c r="N3579" s="31" t="str">
        <f>IF($L3579="","",INDEX($B$8:$B$5007,$L3579))</f>
        <v/>
      </c>
      <c r="O3579" s="32" t="str">
        <f>IF($M3579="","",IF($K3579-$M3579&gt;7,"",IF($M3579&lt;=$A3579,"",IF(OR($B3579&lt;=0,$N3579&lt;=0),"",($N3579/$B3579)^(365/($M3579-$A3579))-1))))</f>
        <v/>
      </c>
      <c r="P3579" s="31" t="str">
        <f>IF($B3579="","",IF($P3578="",$B3579,MAX($P3578,$B3579)))</f>
        <v/>
      </c>
      <c r="Q3579" s="32" t="str">
        <f>IF($P3579="","",$B3579/$P3579-1)</f>
        <v/>
      </c>
    </row>
    <row r="3580">
      <c r="A3580" s="11" t="n"/>
      <c r="B3580" s="29" t="n"/>
      <c r="K3580" s="30" t="str">
        <f>IF($A3580="","",EDATE($A3580,12*$E$4))</f>
        <v/>
      </c>
      <c r="L3580" s="19" t="str">
        <f>IF($K3580="","",IF($K3580&gt;MAX($A$8:$A$5007),"",IFERROR(MATCH($K3580,$A$8:$A$5007,1),"")))</f>
        <v/>
      </c>
      <c r="M3580" s="30" t="str">
        <f>IF($L3580="","",INDEX($A$8:$A$5007,$L3580))</f>
        <v/>
      </c>
      <c r="N3580" s="31" t="str">
        <f>IF($L3580="","",INDEX($B$8:$B$5007,$L3580))</f>
        <v/>
      </c>
      <c r="O3580" s="32" t="str">
        <f>IF($M3580="","",IF($K3580-$M3580&gt;7,"",IF($M3580&lt;=$A3580,"",IF(OR($B3580&lt;=0,$N3580&lt;=0),"",($N3580/$B3580)^(365/($M3580-$A3580))-1))))</f>
        <v/>
      </c>
      <c r="P3580" s="31" t="str">
        <f>IF($B3580="","",IF($P3579="",$B3580,MAX($P3579,$B3580)))</f>
        <v/>
      </c>
      <c r="Q3580" s="32" t="str">
        <f>IF($P3580="","",$B3580/$P3580-1)</f>
        <v/>
      </c>
    </row>
    <row r="3581">
      <c r="A3581" s="11" t="n"/>
      <c r="B3581" s="29" t="n"/>
      <c r="K3581" s="30" t="str">
        <f>IF($A3581="","",EDATE($A3581,12*$E$4))</f>
        <v/>
      </c>
      <c r="L3581" s="19" t="str">
        <f>IF($K3581="","",IF($K3581&gt;MAX($A$8:$A$5007),"",IFERROR(MATCH($K3581,$A$8:$A$5007,1),"")))</f>
        <v/>
      </c>
      <c r="M3581" s="30" t="str">
        <f>IF($L3581="","",INDEX($A$8:$A$5007,$L3581))</f>
        <v/>
      </c>
      <c r="N3581" s="31" t="str">
        <f>IF($L3581="","",INDEX($B$8:$B$5007,$L3581))</f>
        <v/>
      </c>
      <c r="O3581" s="32" t="str">
        <f>IF($M3581="","",IF($K3581-$M3581&gt;7,"",IF($M3581&lt;=$A3581,"",IF(OR($B3581&lt;=0,$N3581&lt;=0),"",($N3581/$B3581)^(365/($M3581-$A3581))-1))))</f>
        <v/>
      </c>
      <c r="P3581" s="31" t="str">
        <f>IF($B3581="","",IF($P3580="",$B3581,MAX($P3580,$B3581)))</f>
        <v/>
      </c>
      <c r="Q3581" s="32" t="str">
        <f>IF($P3581="","",$B3581/$P3581-1)</f>
        <v/>
      </c>
    </row>
    <row r="3582">
      <c r="A3582" s="11" t="n"/>
      <c r="B3582" s="29" t="n"/>
      <c r="K3582" s="30" t="str">
        <f>IF($A3582="","",EDATE($A3582,12*$E$4))</f>
        <v/>
      </c>
      <c r="L3582" s="19" t="str">
        <f>IF($K3582="","",IF($K3582&gt;MAX($A$8:$A$5007),"",IFERROR(MATCH($K3582,$A$8:$A$5007,1),"")))</f>
        <v/>
      </c>
      <c r="M3582" s="30" t="str">
        <f>IF($L3582="","",INDEX($A$8:$A$5007,$L3582))</f>
        <v/>
      </c>
      <c r="N3582" s="31" t="str">
        <f>IF($L3582="","",INDEX($B$8:$B$5007,$L3582))</f>
        <v/>
      </c>
      <c r="O3582" s="32" t="str">
        <f>IF($M3582="","",IF($K3582-$M3582&gt;7,"",IF($M3582&lt;=$A3582,"",IF(OR($B3582&lt;=0,$N3582&lt;=0),"",($N3582/$B3582)^(365/($M3582-$A3582))-1))))</f>
        <v/>
      </c>
      <c r="P3582" s="31" t="str">
        <f>IF($B3582="","",IF($P3581="",$B3582,MAX($P3581,$B3582)))</f>
        <v/>
      </c>
      <c r="Q3582" s="32" t="str">
        <f>IF($P3582="","",$B3582/$P3582-1)</f>
        <v/>
      </c>
    </row>
    <row r="3583">
      <c r="A3583" s="11" t="n"/>
      <c r="B3583" s="29" t="n"/>
      <c r="K3583" s="30" t="str">
        <f>IF($A3583="","",EDATE($A3583,12*$E$4))</f>
        <v/>
      </c>
      <c r="L3583" s="19" t="str">
        <f>IF($K3583="","",IF($K3583&gt;MAX($A$8:$A$5007),"",IFERROR(MATCH($K3583,$A$8:$A$5007,1),"")))</f>
        <v/>
      </c>
      <c r="M3583" s="30" t="str">
        <f>IF($L3583="","",INDEX($A$8:$A$5007,$L3583))</f>
        <v/>
      </c>
      <c r="N3583" s="31" t="str">
        <f>IF($L3583="","",INDEX($B$8:$B$5007,$L3583))</f>
        <v/>
      </c>
      <c r="O3583" s="32" t="str">
        <f>IF($M3583="","",IF($K3583-$M3583&gt;7,"",IF($M3583&lt;=$A3583,"",IF(OR($B3583&lt;=0,$N3583&lt;=0),"",($N3583/$B3583)^(365/($M3583-$A3583))-1))))</f>
        <v/>
      </c>
      <c r="P3583" s="31" t="str">
        <f>IF($B3583="","",IF($P3582="",$B3583,MAX($P3582,$B3583)))</f>
        <v/>
      </c>
      <c r="Q3583" s="32" t="str">
        <f>IF($P3583="","",$B3583/$P3583-1)</f>
        <v/>
      </c>
    </row>
    <row r="3584">
      <c r="A3584" s="11" t="n"/>
      <c r="B3584" s="29" t="n"/>
      <c r="K3584" s="30" t="str">
        <f>IF($A3584="","",EDATE($A3584,12*$E$4))</f>
        <v/>
      </c>
      <c r="L3584" s="19" t="str">
        <f>IF($K3584="","",IF($K3584&gt;MAX($A$8:$A$5007),"",IFERROR(MATCH($K3584,$A$8:$A$5007,1),"")))</f>
        <v/>
      </c>
      <c r="M3584" s="30" t="str">
        <f>IF($L3584="","",INDEX($A$8:$A$5007,$L3584))</f>
        <v/>
      </c>
      <c r="N3584" s="31" t="str">
        <f>IF($L3584="","",INDEX($B$8:$B$5007,$L3584))</f>
        <v/>
      </c>
      <c r="O3584" s="32" t="str">
        <f>IF($M3584="","",IF($K3584-$M3584&gt;7,"",IF($M3584&lt;=$A3584,"",IF(OR($B3584&lt;=0,$N3584&lt;=0),"",($N3584/$B3584)^(365/($M3584-$A3584))-1))))</f>
        <v/>
      </c>
      <c r="P3584" s="31" t="str">
        <f>IF($B3584="","",IF($P3583="",$B3584,MAX($P3583,$B3584)))</f>
        <v/>
      </c>
      <c r="Q3584" s="32" t="str">
        <f>IF($P3584="","",$B3584/$P3584-1)</f>
        <v/>
      </c>
    </row>
    <row r="3585">
      <c r="A3585" s="11" t="n"/>
      <c r="B3585" s="29" t="n"/>
      <c r="K3585" s="30" t="str">
        <f>IF($A3585="","",EDATE($A3585,12*$E$4))</f>
        <v/>
      </c>
      <c r="L3585" s="19" t="str">
        <f>IF($K3585="","",IF($K3585&gt;MAX($A$8:$A$5007),"",IFERROR(MATCH($K3585,$A$8:$A$5007,1),"")))</f>
        <v/>
      </c>
      <c r="M3585" s="30" t="str">
        <f>IF($L3585="","",INDEX($A$8:$A$5007,$L3585))</f>
        <v/>
      </c>
      <c r="N3585" s="31" t="str">
        <f>IF($L3585="","",INDEX($B$8:$B$5007,$L3585))</f>
        <v/>
      </c>
      <c r="O3585" s="32" t="str">
        <f>IF($M3585="","",IF($K3585-$M3585&gt;7,"",IF($M3585&lt;=$A3585,"",IF(OR($B3585&lt;=0,$N3585&lt;=0),"",($N3585/$B3585)^(365/($M3585-$A3585))-1))))</f>
        <v/>
      </c>
      <c r="P3585" s="31" t="str">
        <f>IF($B3585="","",IF($P3584="",$B3585,MAX($P3584,$B3585)))</f>
        <v/>
      </c>
      <c r="Q3585" s="32" t="str">
        <f>IF($P3585="","",$B3585/$P3585-1)</f>
        <v/>
      </c>
    </row>
    <row r="3586">
      <c r="A3586" s="11" t="n"/>
      <c r="B3586" s="29" t="n"/>
      <c r="K3586" s="30" t="str">
        <f>IF($A3586="","",EDATE($A3586,12*$E$4))</f>
        <v/>
      </c>
      <c r="L3586" s="19" t="str">
        <f>IF($K3586="","",IF($K3586&gt;MAX($A$8:$A$5007),"",IFERROR(MATCH($K3586,$A$8:$A$5007,1),"")))</f>
        <v/>
      </c>
      <c r="M3586" s="30" t="str">
        <f>IF($L3586="","",INDEX($A$8:$A$5007,$L3586))</f>
        <v/>
      </c>
      <c r="N3586" s="31" t="str">
        <f>IF($L3586="","",INDEX($B$8:$B$5007,$L3586))</f>
        <v/>
      </c>
      <c r="O3586" s="32" t="str">
        <f>IF($M3586="","",IF($K3586-$M3586&gt;7,"",IF($M3586&lt;=$A3586,"",IF(OR($B3586&lt;=0,$N3586&lt;=0),"",($N3586/$B3586)^(365/($M3586-$A3586))-1))))</f>
        <v/>
      </c>
      <c r="P3586" s="31" t="str">
        <f>IF($B3586="","",IF($P3585="",$B3586,MAX($P3585,$B3586)))</f>
        <v/>
      </c>
      <c r="Q3586" s="32" t="str">
        <f>IF($P3586="","",$B3586/$P3586-1)</f>
        <v/>
      </c>
    </row>
    <row r="3587">
      <c r="A3587" s="11" t="n"/>
      <c r="B3587" s="29" t="n"/>
      <c r="K3587" s="30" t="str">
        <f>IF($A3587="","",EDATE($A3587,12*$E$4))</f>
        <v/>
      </c>
      <c r="L3587" s="19" t="str">
        <f>IF($K3587="","",IF($K3587&gt;MAX($A$8:$A$5007),"",IFERROR(MATCH($K3587,$A$8:$A$5007,1),"")))</f>
        <v/>
      </c>
      <c r="M3587" s="30" t="str">
        <f>IF($L3587="","",INDEX($A$8:$A$5007,$L3587))</f>
        <v/>
      </c>
      <c r="N3587" s="31" t="str">
        <f>IF($L3587="","",INDEX($B$8:$B$5007,$L3587))</f>
        <v/>
      </c>
      <c r="O3587" s="32" t="str">
        <f>IF($M3587="","",IF($K3587-$M3587&gt;7,"",IF($M3587&lt;=$A3587,"",IF(OR($B3587&lt;=0,$N3587&lt;=0),"",($N3587/$B3587)^(365/($M3587-$A3587))-1))))</f>
        <v/>
      </c>
      <c r="P3587" s="31" t="str">
        <f>IF($B3587="","",IF($P3586="",$B3587,MAX($P3586,$B3587)))</f>
        <v/>
      </c>
      <c r="Q3587" s="32" t="str">
        <f>IF($P3587="","",$B3587/$P3587-1)</f>
        <v/>
      </c>
    </row>
    <row r="3588">
      <c r="A3588" s="11" t="n"/>
      <c r="B3588" s="29" t="n"/>
      <c r="K3588" s="30" t="str">
        <f>IF($A3588="","",EDATE($A3588,12*$E$4))</f>
        <v/>
      </c>
      <c r="L3588" s="19" t="str">
        <f>IF($K3588="","",IF($K3588&gt;MAX($A$8:$A$5007),"",IFERROR(MATCH($K3588,$A$8:$A$5007,1),"")))</f>
        <v/>
      </c>
      <c r="M3588" s="30" t="str">
        <f>IF($L3588="","",INDEX($A$8:$A$5007,$L3588))</f>
        <v/>
      </c>
      <c r="N3588" s="31" t="str">
        <f>IF($L3588="","",INDEX($B$8:$B$5007,$L3588))</f>
        <v/>
      </c>
      <c r="O3588" s="32" t="str">
        <f>IF($M3588="","",IF($K3588-$M3588&gt;7,"",IF($M3588&lt;=$A3588,"",IF(OR($B3588&lt;=0,$N3588&lt;=0),"",($N3588/$B3588)^(365/($M3588-$A3588))-1))))</f>
        <v/>
      </c>
      <c r="P3588" s="31" t="str">
        <f>IF($B3588="","",IF($P3587="",$B3588,MAX($P3587,$B3588)))</f>
        <v/>
      </c>
      <c r="Q3588" s="32" t="str">
        <f>IF($P3588="","",$B3588/$P3588-1)</f>
        <v/>
      </c>
    </row>
    <row r="3589">
      <c r="A3589" s="11" t="n"/>
      <c r="B3589" s="29" t="n"/>
      <c r="K3589" s="30" t="str">
        <f>IF($A3589="","",EDATE($A3589,12*$E$4))</f>
        <v/>
      </c>
      <c r="L3589" s="19" t="str">
        <f>IF($K3589="","",IF($K3589&gt;MAX($A$8:$A$5007),"",IFERROR(MATCH($K3589,$A$8:$A$5007,1),"")))</f>
        <v/>
      </c>
      <c r="M3589" s="30" t="str">
        <f>IF($L3589="","",INDEX($A$8:$A$5007,$L3589))</f>
        <v/>
      </c>
      <c r="N3589" s="31" t="str">
        <f>IF($L3589="","",INDEX($B$8:$B$5007,$L3589))</f>
        <v/>
      </c>
      <c r="O3589" s="32" t="str">
        <f>IF($M3589="","",IF($K3589-$M3589&gt;7,"",IF($M3589&lt;=$A3589,"",IF(OR($B3589&lt;=0,$N3589&lt;=0),"",($N3589/$B3589)^(365/($M3589-$A3589))-1))))</f>
        <v/>
      </c>
      <c r="P3589" s="31" t="str">
        <f>IF($B3589="","",IF($P3588="",$B3589,MAX($P3588,$B3589)))</f>
        <v/>
      </c>
      <c r="Q3589" s="32" t="str">
        <f>IF($P3589="","",$B3589/$P3589-1)</f>
        <v/>
      </c>
    </row>
    <row r="3590">
      <c r="A3590" s="11" t="n"/>
      <c r="B3590" s="29" t="n"/>
      <c r="K3590" s="30" t="str">
        <f>IF($A3590="","",EDATE($A3590,12*$E$4))</f>
        <v/>
      </c>
      <c r="L3590" s="19" t="str">
        <f>IF($K3590="","",IF($K3590&gt;MAX($A$8:$A$5007),"",IFERROR(MATCH($K3590,$A$8:$A$5007,1),"")))</f>
        <v/>
      </c>
      <c r="M3590" s="30" t="str">
        <f>IF($L3590="","",INDEX($A$8:$A$5007,$L3590))</f>
        <v/>
      </c>
      <c r="N3590" s="31" t="str">
        <f>IF($L3590="","",INDEX($B$8:$B$5007,$L3590))</f>
        <v/>
      </c>
      <c r="O3590" s="32" t="str">
        <f>IF($M3590="","",IF($K3590-$M3590&gt;7,"",IF($M3590&lt;=$A3590,"",IF(OR($B3590&lt;=0,$N3590&lt;=0),"",($N3590/$B3590)^(365/($M3590-$A3590))-1))))</f>
        <v/>
      </c>
      <c r="P3590" s="31" t="str">
        <f>IF($B3590="","",IF($P3589="",$B3590,MAX($P3589,$B3590)))</f>
        <v/>
      </c>
      <c r="Q3590" s="32" t="str">
        <f>IF($P3590="","",$B3590/$P3590-1)</f>
        <v/>
      </c>
    </row>
    <row r="3591">
      <c r="A3591" s="11" t="n"/>
      <c r="B3591" s="29" t="n"/>
      <c r="K3591" s="30" t="str">
        <f>IF($A3591="","",EDATE($A3591,12*$E$4))</f>
        <v/>
      </c>
      <c r="L3591" s="19" t="str">
        <f>IF($K3591="","",IF($K3591&gt;MAX($A$8:$A$5007),"",IFERROR(MATCH($K3591,$A$8:$A$5007,1),"")))</f>
        <v/>
      </c>
      <c r="M3591" s="30" t="str">
        <f>IF($L3591="","",INDEX($A$8:$A$5007,$L3591))</f>
        <v/>
      </c>
      <c r="N3591" s="31" t="str">
        <f>IF($L3591="","",INDEX($B$8:$B$5007,$L3591))</f>
        <v/>
      </c>
      <c r="O3591" s="32" t="str">
        <f>IF($M3591="","",IF($K3591-$M3591&gt;7,"",IF($M3591&lt;=$A3591,"",IF(OR($B3591&lt;=0,$N3591&lt;=0),"",($N3591/$B3591)^(365/($M3591-$A3591))-1))))</f>
        <v/>
      </c>
      <c r="P3591" s="31" t="str">
        <f>IF($B3591="","",IF($P3590="",$B3591,MAX($P3590,$B3591)))</f>
        <v/>
      </c>
      <c r="Q3591" s="32" t="str">
        <f>IF($P3591="","",$B3591/$P3591-1)</f>
        <v/>
      </c>
    </row>
    <row r="3592">
      <c r="A3592" s="11" t="n"/>
      <c r="B3592" s="29" t="n"/>
      <c r="K3592" s="30" t="str">
        <f>IF($A3592="","",EDATE($A3592,12*$E$4))</f>
        <v/>
      </c>
      <c r="L3592" s="19" t="str">
        <f>IF($K3592="","",IF($K3592&gt;MAX($A$8:$A$5007),"",IFERROR(MATCH($K3592,$A$8:$A$5007,1),"")))</f>
        <v/>
      </c>
      <c r="M3592" s="30" t="str">
        <f>IF($L3592="","",INDEX($A$8:$A$5007,$L3592))</f>
        <v/>
      </c>
      <c r="N3592" s="31" t="str">
        <f>IF($L3592="","",INDEX($B$8:$B$5007,$L3592))</f>
        <v/>
      </c>
      <c r="O3592" s="32" t="str">
        <f>IF($M3592="","",IF($K3592-$M3592&gt;7,"",IF($M3592&lt;=$A3592,"",IF(OR($B3592&lt;=0,$N3592&lt;=0),"",($N3592/$B3592)^(365/($M3592-$A3592))-1))))</f>
        <v/>
      </c>
      <c r="P3592" s="31" t="str">
        <f>IF($B3592="","",IF($P3591="",$B3592,MAX($P3591,$B3592)))</f>
        <v/>
      </c>
      <c r="Q3592" s="32" t="str">
        <f>IF($P3592="","",$B3592/$P3592-1)</f>
        <v/>
      </c>
    </row>
    <row r="3593">
      <c r="A3593" s="11" t="n"/>
      <c r="B3593" s="29" t="n"/>
      <c r="K3593" s="30" t="str">
        <f>IF($A3593="","",EDATE($A3593,12*$E$4))</f>
        <v/>
      </c>
      <c r="L3593" s="19" t="str">
        <f>IF($K3593="","",IF($K3593&gt;MAX($A$8:$A$5007),"",IFERROR(MATCH($K3593,$A$8:$A$5007,1),"")))</f>
        <v/>
      </c>
      <c r="M3593" s="30" t="str">
        <f>IF($L3593="","",INDEX($A$8:$A$5007,$L3593))</f>
        <v/>
      </c>
      <c r="N3593" s="31" t="str">
        <f>IF($L3593="","",INDEX($B$8:$B$5007,$L3593))</f>
        <v/>
      </c>
      <c r="O3593" s="32" t="str">
        <f>IF($M3593="","",IF($K3593-$M3593&gt;7,"",IF($M3593&lt;=$A3593,"",IF(OR($B3593&lt;=0,$N3593&lt;=0),"",($N3593/$B3593)^(365/($M3593-$A3593))-1))))</f>
        <v/>
      </c>
      <c r="P3593" s="31" t="str">
        <f>IF($B3593="","",IF($P3592="",$B3593,MAX($P3592,$B3593)))</f>
        <v/>
      </c>
      <c r="Q3593" s="32" t="str">
        <f>IF($P3593="","",$B3593/$P3593-1)</f>
        <v/>
      </c>
    </row>
    <row r="3594">
      <c r="A3594" s="11" t="n"/>
      <c r="B3594" s="29" t="n"/>
      <c r="K3594" s="30" t="str">
        <f>IF($A3594="","",EDATE($A3594,12*$E$4))</f>
        <v/>
      </c>
      <c r="L3594" s="19" t="str">
        <f>IF($K3594="","",IF($K3594&gt;MAX($A$8:$A$5007),"",IFERROR(MATCH($K3594,$A$8:$A$5007,1),"")))</f>
        <v/>
      </c>
      <c r="M3594" s="30" t="str">
        <f>IF($L3594="","",INDEX($A$8:$A$5007,$L3594))</f>
        <v/>
      </c>
      <c r="N3594" s="31" t="str">
        <f>IF($L3594="","",INDEX($B$8:$B$5007,$L3594))</f>
        <v/>
      </c>
      <c r="O3594" s="32" t="str">
        <f>IF($M3594="","",IF($K3594-$M3594&gt;7,"",IF($M3594&lt;=$A3594,"",IF(OR($B3594&lt;=0,$N3594&lt;=0),"",($N3594/$B3594)^(365/($M3594-$A3594))-1))))</f>
        <v/>
      </c>
      <c r="P3594" s="31" t="str">
        <f>IF($B3594="","",IF($P3593="",$B3594,MAX($P3593,$B3594)))</f>
        <v/>
      </c>
      <c r="Q3594" s="32" t="str">
        <f>IF($P3594="","",$B3594/$P3594-1)</f>
        <v/>
      </c>
    </row>
    <row r="3595">
      <c r="A3595" s="11" t="n"/>
      <c r="B3595" s="29" t="n"/>
      <c r="K3595" s="30" t="str">
        <f>IF($A3595="","",EDATE($A3595,12*$E$4))</f>
        <v/>
      </c>
      <c r="L3595" s="19" t="str">
        <f>IF($K3595="","",IF($K3595&gt;MAX($A$8:$A$5007),"",IFERROR(MATCH($K3595,$A$8:$A$5007,1),"")))</f>
        <v/>
      </c>
      <c r="M3595" s="30" t="str">
        <f>IF($L3595="","",INDEX($A$8:$A$5007,$L3595))</f>
        <v/>
      </c>
      <c r="N3595" s="31" t="str">
        <f>IF($L3595="","",INDEX($B$8:$B$5007,$L3595))</f>
        <v/>
      </c>
      <c r="O3595" s="32" t="str">
        <f>IF($M3595="","",IF($K3595-$M3595&gt;7,"",IF($M3595&lt;=$A3595,"",IF(OR($B3595&lt;=0,$N3595&lt;=0),"",($N3595/$B3595)^(365/($M3595-$A3595))-1))))</f>
        <v/>
      </c>
      <c r="P3595" s="31" t="str">
        <f>IF($B3595="","",IF($P3594="",$B3595,MAX($P3594,$B3595)))</f>
        <v/>
      </c>
      <c r="Q3595" s="32" t="str">
        <f>IF($P3595="","",$B3595/$P3595-1)</f>
        <v/>
      </c>
    </row>
    <row r="3596">
      <c r="A3596" s="11" t="n"/>
      <c r="B3596" s="29" t="n"/>
      <c r="K3596" s="30" t="str">
        <f>IF($A3596="","",EDATE($A3596,12*$E$4))</f>
        <v/>
      </c>
      <c r="L3596" s="19" t="str">
        <f>IF($K3596="","",IF($K3596&gt;MAX($A$8:$A$5007),"",IFERROR(MATCH($K3596,$A$8:$A$5007,1),"")))</f>
        <v/>
      </c>
      <c r="M3596" s="30" t="str">
        <f>IF($L3596="","",INDEX($A$8:$A$5007,$L3596))</f>
        <v/>
      </c>
      <c r="N3596" s="31" t="str">
        <f>IF($L3596="","",INDEX($B$8:$B$5007,$L3596))</f>
        <v/>
      </c>
      <c r="O3596" s="32" t="str">
        <f>IF($M3596="","",IF($K3596-$M3596&gt;7,"",IF($M3596&lt;=$A3596,"",IF(OR($B3596&lt;=0,$N3596&lt;=0),"",($N3596/$B3596)^(365/($M3596-$A3596))-1))))</f>
        <v/>
      </c>
      <c r="P3596" s="31" t="str">
        <f>IF($B3596="","",IF($P3595="",$B3596,MAX($P3595,$B3596)))</f>
        <v/>
      </c>
      <c r="Q3596" s="32" t="str">
        <f>IF($P3596="","",$B3596/$P3596-1)</f>
        <v/>
      </c>
    </row>
    <row r="3597">
      <c r="A3597" s="11" t="n"/>
      <c r="B3597" s="29" t="n"/>
      <c r="K3597" s="30" t="str">
        <f>IF($A3597="","",EDATE($A3597,12*$E$4))</f>
        <v/>
      </c>
      <c r="L3597" s="19" t="str">
        <f>IF($K3597="","",IF($K3597&gt;MAX($A$8:$A$5007),"",IFERROR(MATCH($K3597,$A$8:$A$5007,1),"")))</f>
        <v/>
      </c>
      <c r="M3597" s="30" t="str">
        <f>IF($L3597="","",INDEX($A$8:$A$5007,$L3597))</f>
        <v/>
      </c>
      <c r="N3597" s="31" t="str">
        <f>IF($L3597="","",INDEX($B$8:$B$5007,$L3597))</f>
        <v/>
      </c>
      <c r="O3597" s="32" t="str">
        <f>IF($M3597="","",IF($K3597-$M3597&gt;7,"",IF($M3597&lt;=$A3597,"",IF(OR($B3597&lt;=0,$N3597&lt;=0),"",($N3597/$B3597)^(365/($M3597-$A3597))-1))))</f>
        <v/>
      </c>
      <c r="P3597" s="31" t="str">
        <f>IF($B3597="","",IF($P3596="",$B3597,MAX($P3596,$B3597)))</f>
        <v/>
      </c>
      <c r="Q3597" s="32" t="str">
        <f>IF($P3597="","",$B3597/$P3597-1)</f>
        <v/>
      </c>
    </row>
    <row r="3598">
      <c r="A3598" s="11" t="n"/>
      <c r="B3598" s="29" t="n"/>
      <c r="K3598" s="30" t="str">
        <f>IF($A3598="","",EDATE($A3598,12*$E$4))</f>
        <v/>
      </c>
      <c r="L3598" s="19" t="str">
        <f>IF($K3598="","",IF($K3598&gt;MAX($A$8:$A$5007),"",IFERROR(MATCH($K3598,$A$8:$A$5007,1),"")))</f>
        <v/>
      </c>
      <c r="M3598" s="30" t="str">
        <f>IF($L3598="","",INDEX($A$8:$A$5007,$L3598))</f>
        <v/>
      </c>
      <c r="N3598" s="31" t="str">
        <f>IF($L3598="","",INDEX($B$8:$B$5007,$L3598))</f>
        <v/>
      </c>
      <c r="O3598" s="32" t="str">
        <f>IF($M3598="","",IF($K3598-$M3598&gt;7,"",IF($M3598&lt;=$A3598,"",IF(OR($B3598&lt;=0,$N3598&lt;=0),"",($N3598/$B3598)^(365/($M3598-$A3598))-1))))</f>
        <v/>
      </c>
      <c r="P3598" s="31" t="str">
        <f>IF($B3598="","",IF($P3597="",$B3598,MAX($P3597,$B3598)))</f>
        <v/>
      </c>
      <c r="Q3598" s="32" t="str">
        <f>IF($P3598="","",$B3598/$P3598-1)</f>
        <v/>
      </c>
    </row>
    <row r="3599">
      <c r="A3599" s="11" t="n"/>
      <c r="B3599" s="29" t="n"/>
      <c r="K3599" s="30" t="str">
        <f>IF($A3599="","",EDATE($A3599,12*$E$4))</f>
        <v/>
      </c>
      <c r="L3599" s="19" t="str">
        <f>IF($K3599="","",IF($K3599&gt;MAX($A$8:$A$5007),"",IFERROR(MATCH($K3599,$A$8:$A$5007,1),"")))</f>
        <v/>
      </c>
      <c r="M3599" s="30" t="str">
        <f>IF($L3599="","",INDEX($A$8:$A$5007,$L3599))</f>
        <v/>
      </c>
      <c r="N3599" s="31" t="str">
        <f>IF($L3599="","",INDEX($B$8:$B$5007,$L3599))</f>
        <v/>
      </c>
      <c r="O3599" s="32" t="str">
        <f>IF($M3599="","",IF($K3599-$M3599&gt;7,"",IF($M3599&lt;=$A3599,"",IF(OR($B3599&lt;=0,$N3599&lt;=0),"",($N3599/$B3599)^(365/($M3599-$A3599))-1))))</f>
        <v/>
      </c>
      <c r="P3599" s="31" t="str">
        <f>IF($B3599="","",IF($P3598="",$B3599,MAX($P3598,$B3599)))</f>
        <v/>
      </c>
      <c r="Q3599" s="32" t="str">
        <f>IF($P3599="","",$B3599/$P3599-1)</f>
        <v/>
      </c>
    </row>
    <row r="3600">
      <c r="A3600" s="11" t="n"/>
      <c r="B3600" s="29" t="n"/>
      <c r="K3600" s="30" t="str">
        <f>IF($A3600="","",EDATE($A3600,12*$E$4))</f>
        <v/>
      </c>
      <c r="L3600" s="19" t="str">
        <f>IF($K3600="","",IF($K3600&gt;MAX($A$8:$A$5007),"",IFERROR(MATCH($K3600,$A$8:$A$5007,1),"")))</f>
        <v/>
      </c>
      <c r="M3600" s="30" t="str">
        <f>IF($L3600="","",INDEX($A$8:$A$5007,$L3600))</f>
        <v/>
      </c>
      <c r="N3600" s="31" t="str">
        <f>IF($L3600="","",INDEX($B$8:$B$5007,$L3600))</f>
        <v/>
      </c>
      <c r="O3600" s="32" t="str">
        <f>IF($M3600="","",IF($K3600-$M3600&gt;7,"",IF($M3600&lt;=$A3600,"",IF(OR($B3600&lt;=0,$N3600&lt;=0),"",($N3600/$B3600)^(365/($M3600-$A3600))-1))))</f>
        <v/>
      </c>
      <c r="P3600" s="31" t="str">
        <f>IF($B3600="","",IF($P3599="",$B3600,MAX($P3599,$B3600)))</f>
        <v/>
      </c>
      <c r="Q3600" s="32" t="str">
        <f>IF($P3600="","",$B3600/$P3600-1)</f>
        <v/>
      </c>
    </row>
    <row r="3601">
      <c r="A3601" s="11" t="n"/>
      <c r="B3601" s="29" t="n"/>
      <c r="K3601" s="30" t="str">
        <f>IF($A3601="","",EDATE($A3601,12*$E$4))</f>
        <v/>
      </c>
      <c r="L3601" s="19" t="str">
        <f>IF($K3601="","",IF($K3601&gt;MAX($A$8:$A$5007),"",IFERROR(MATCH($K3601,$A$8:$A$5007,1),"")))</f>
        <v/>
      </c>
      <c r="M3601" s="30" t="str">
        <f>IF($L3601="","",INDEX($A$8:$A$5007,$L3601))</f>
        <v/>
      </c>
      <c r="N3601" s="31" t="str">
        <f>IF($L3601="","",INDEX($B$8:$B$5007,$L3601))</f>
        <v/>
      </c>
      <c r="O3601" s="32" t="str">
        <f>IF($M3601="","",IF($K3601-$M3601&gt;7,"",IF($M3601&lt;=$A3601,"",IF(OR($B3601&lt;=0,$N3601&lt;=0),"",($N3601/$B3601)^(365/($M3601-$A3601))-1))))</f>
        <v/>
      </c>
      <c r="P3601" s="31" t="str">
        <f>IF($B3601="","",IF($P3600="",$B3601,MAX($P3600,$B3601)))</f>
        <v/>
      </c>
      <c r="Q3601" s="32" t="str">
        <f>IF($P3601="","",$B3601/$P3601-1)</f>
        <v/>
      </c>
    </row>
    <row r="3602">
      <c r="A3602" s="11" t="n"/>
      <c r="B3602" s="29" t="n"/>
      <c r="K3602" s="30" t="str">
        <f>IF($A3602="","",EDATE($A3602,12*$E$4))</f>
        <v/>
      </c>
      <c r="L3602" s="19" t="str">
        <f>IF($K3602="","",IF($K3602&gt;MAX($A$8:$A$5007),"",IFERROR(MATCH($K3602,$A$8:$A$5007,1),"")))</f>
        <v/>
      </c>
      <c r="M3602" s="30" t="str">
        <f>IF($L3602="","",INDEX($A$8:$A$5007,$L3602))</f>
        <v/>
      </c>
      <c r="N3602" s="31" t="str">
        <f>IF($L3602="","",INDEX($B$8:$B$5007,$L3602))</f>
        <v/>
      </c>
      <c r="O3602" s="32" t="str">
        <f>IF($M3602="","",IF($K3602-$M3602&gt;7,"",IF($M3602&lt;=$A3602,"",IF(OR($B3602&lt;=0,$N3602&lt;=0),"",($N3602/$B3602)^(365/($M3602-$A3602))-1))))</f>
        <v/>
      </c>
      <c r="P3602" s="31" t="str">
        <f>IF($B3602="","",IF($P3601="",$B3602,MAX($P3601,$B3602)))</f>
        <v/>
      </c>
      <c r="Q3602" s="32" t="str">
        <f>IF($P3602="","",$B3602/$P3602-1)</f>
        <v/>
      </c>
    </row>
    <row r="3603">
      <c r="A3603" s="11" t="n"/>
      <c r="B3603" s="29" t="n"/>
      <c r="K3603" s="30" t="str">
        <f>IF($A3603="","",EDATE($A3603,12*$E$4))</f>
        <v/>
      </c>
      <c r="L3603" s="19" t="str">
        <f>IF($K3603="","",IF($K3603&gt;MAX($A$8:$A$5007),"",IFERROR(MATCH($K3603,$A$8:$A$5007,1),"")))</f>
        <v/>
      </c>
      <c r="M3603" s="30" t="str">
        <f>IF($L3603="","",INDEX($A$8:$A$5007,$L3603))</f>
        <v/>
      </c>
      <c r="N3603" s="31" t="str">
        <f>IF($L3603="","",INDEX($B$8:$B$5007,$L3603))</f>
        <v/>
      </c>
      <c r="O3603" s="32" t="str">
        <f>IF($M3603="","",IF($K3603-$M3603&gt;7,"",IF($M3603&lt;=$A3603,"",IF(OR($B3603&lt;=0,$N3603&lt;=0),"",($N3603/$B3603)^(365/($M3603-$A3603))-1))))</f>
        <v/>
      </c>
      <c r="P3603" s="31" t="str">
        <f>IF($B3603="","",IF($P3602="",$B3603,MAX($P3602,$B3603)))</f>
        <v/>
      </c>
      <c r="Q3603" s="32" t="str">
        <f>IF($P3603="","",$B3603/$P3603-1)</f>
        <v/>
      </c>
    </row>
    <row r="3604">
      <c r="A3604" s="11" t="n"/>
      <c r="B3604" s="29" t="n"/>
      <c r="K3604" s="30" t="str">
        <f>IF($A3604="","",EDATE($A3604,12*$E$4))</f>
        <v/>
      </c>
      <c r="L3604" s="19" t="str">
        <f>IF($K3604="","",IF($K3604&gt;MAX($A$8:$A$5007),"",IFERROR(MATCH($K3604,$A$8:$A$5007,1),"")))</f>
        <v/>
      </c>
      <c r="M3604" s="30" t="str">
        <f>IF($L3604="","",INDEX($A$8:$A$5007,$L3604))</f>
        <v/>
      </c>
      <c r="N3604" s="31" t="str">
        <f>IF($L3604="","",INDEX($B$8:$B$5007,$L3604))</f>
        <v/>
      </c>
      <c r="O3604" s="32" t="str">
        <f>IF($M3604="","",IF($K3604-$M3604&gt;7,"",IF($M3604&lt;=$A3604,"",IF(OR($B3604&lt;=0,$N3604&lt;=0),"",($N3604/$B3604)^(365/($M3604-$A3604))-1))))</f>
        <v/>
      </c>
      <c r="P3604" s="31" t="str">
        <f>IF($B3604="","",IF($P3603="",$B3604,MAX($P3603,$B3604)))</f>
        <v/>
      </c>
      <c r="Q3604" s="32" t="str">
        <f>IF($P3604="","",$B3604/$P3604-1)</f>
        <v/>
      </c>
    </row>
    <row r="3605">
      <c r="A3605" s="11" t="n"/>
      <c r="B3605" s="29" t="n"/>
      <c r="K3605" s="30" t="str">
        <f>IF($A3605="","",EDATE($A3605,12*$E$4))</f>
        <v/>
      </c>
      <c r="L3605" s="19" t="str">
        <f>IF($K3605="","",IF($K3605&gt;MAX($A$8:$A$5007),"",IFERROR(MATCH($K3605,$A$8:$A$5007,1),"")))</f>
        <v/>
      </c>
      <c r="M3605" s="30" t="str">
        <f>IF($L3605="","",INDEX($A$8:$A$5007,$L3605))</f>
        <v/>
      </c>
      <c r="N3605" s="31" t="str">
        <f>IF($L3605="","",INDEX($B$8:$B$5007,$L3605))</f>
        <v/>
      </c>
      <c r="O3605" s="32" t="str">
        <f>IF($M3605="","",IF($K3605-$M3605&gt;7,"",IF($M3605&lt;=$A3605,"",IF(OR($B3605&lt;=0,$N3605&lt;=0),"",($N3605/$B3605)^(365/($M3605-$A3605))-1))))</f>
        <v/>
      </c>
      <c r="P3605" s="31" t="str">
        <f>IF($B3605="","",IF($P3604="",$B3605,MAX($P3604,$B3605)))</f>
        <v/>
      </c>
      <c r="Q3605" s="32" t="str">
        <f>IF($P3605="","",$B3605/$P3605-1)</f>
        <v/>
      </c>
    </row>
    <row r="3606">
      <c r="A3606" s="11" t="n"/>
      <c r="B3606" s="29" t="n"/>
      <c r="K3606" s="30" t="str">
        <f>IF($A3606="","",EDATE($A3606,12*$E$4))</f>
        <v/>
      </c>
      <c r="L3606" s="19" t="str">
        <f>IF($K3606="","",IF($K3606&gt;MAX($A$8:$A$5007),"",IFERROR(MATCH($K3606,$A$8:$A$5007,1),"")))</f>
        <v/>
      </c>
      <c r="M3606" s="30" t="str">
        <f>IF($L3606="","",INDEX($A$8:$A$5007,$L3606))</f>
        <v/>
      </c>
      <c r="N3606" s="31" t="str">
        <f>IF($L3606="","",INDEX($B$8:$B$5007,$L3606))</f>
        <v/>
      </c>
      <c r="O3606" s="32" t="str">
        <f>IF($M3606="","",IF($K3606-$M3606&gt;7,"",IF($M3606&lt;=$A3606,"",IF(OR($B3606&lt;=0,$N3606&lt;=0),"",($N3606/$B3606)^(365/($M3606-$A3606))-1))))</f>
        <v/>
      </c>
      <c r="P3606" s="31" t="str">
        <f>IF($B3606="","",IF($P3605="",$B3606,MAX($P3605,$B3606)))</f>
        <v/>
      </c>
      <c r="Q3606" s="32" t="str">
        <f>IF($P3606="","",$B3606/$P3606-1)</f>
        <v/>
      </c>
    </row>
    <row r="3607">
      <c r="A3607" s="11" t="n"/>
      <c r="B3607" s="29" t="n"/>
      <c r="K3607" s="30" t="str">
        <f>IF($A3607="","",EDATE($A3607,12*$E$4))</f>
        <v/>
      </c>
      <c r="L3607" s="19" t="str">
        <f>IF($K3607="","",IF($K3607&gt;MAX($A$8:$A$5007),"",IFERROR(MATCH($K3607,$A$8:$A$5007,1),"")))</f>
        <v/>
      </c>
      <c r="M3607" s="30" t="str">
        <f>IF($L3607="","",INDEX($A$8:$A$5007,$L3607))</f>
        <v/>
      </c>
      <c r="N3607" s="31" t="str">
        <f>IF($L3607="","",INDEX($B$8:$B$5007,$L3607))</f>
        <v/>
      </c>
      <c r="O3607" s="32" t="str">
        <f>IF($M3607="","",IF($K3607-$M3607&gt;7,"",IF($M3607&lt;=$A3607,"",IF(OR($B3607&lt;=0,$N3607&lt;=0),"",($N3607/$B3607)^(365/($M3607-$A3607))-1))))</f>
        <v/>
      </c>
      <c r="P3607" s="31" t="str">
        <f>IF($B3607="","",IF($P3606="",$B3607,MAX($P3606,$B3607)))</f>
        <v/>
      </c>
      <c r="Q3607" s="32" t="str">
        <f>IF($P3607="","",$B3607/$P3607-1)</f>
        <v/>
      </c>
    </row>
    <row r="3608">
      <c r="A3608" s="11" t="n"/>
      <c r="B3608" s="29" t="n"/>
      <c r="K3608" s="30" t="str">
        <f>IF($A3608="","",EDATE($A3608,12*$E$4))</f>
        <v/>
      </c>
      <c r="L3608" s="19" t="str">
        <f>IF($K3608="","",IF($K3608&gt;MAX($A$8:$A$5007),"",IFERROR(MATCH($K3608,$A$8:$A$5007,1),"")))</f>
        <v/>
      </c>
      <c r="M3608" s="30" t="str">
        <f>IF($L3608="","",INDEX($A$8:$A$5007,$L3608))</f>
        <v/>
      </c>
      <c r="N3608" s="31" t="str">
        <f>IF($L3608="","",INDEX($B$8:$B$5007,$L3608))</f>
        <v/>
      </c>
      <c r="O3608" s="32" t="str">
        <f>IF($M3608="","",IF($K3608-$M3608&gt;7,"",IF($M3608&lt;=$A3608,"",IF(OR($B3608&lt;=0,$N3608&lt;=0),"",($N3608/$B3608)^(365/($M3608-$A3608))-1))))</f>
        <v/>
      </c>
      <c r="P3608" s="31" t="str">
        <f>IF($B3608="","",IF($P3607="",$B3608,MAX($P3607,$B3608)))</f>
        <v/>
      </c>
      <c r="Q3608" s="32" t="str">
        <f>IF($P3608="","",$B3608/$P3608-1)</f>
        <v/>
      </c>
    </row>
    <row r="3609">
      <c r="A3609" s="11" t="n"/>
      <c r="B3609" s="29" t="n"/>
      <c r="K3609" s="30" t="str">
        <f>IF($A3609="","",EDATE($A3609,12*$E$4))</f>
        <v/>
      </c>
      <c r="L3609" s="19" t="str">
        <f>IF($K3609="","",IF($K3609&gt;MAX($A$8:$A$5007),"",IFERROR(MATCH($K3609,$A$8:$A$5007,1),"")))</f>
        <v/>
      </c>
      <c r="M3609" s="30" t="str">
        <f>IF($L3609="","",INDEX($A$8:$A$5007,$L3609))</f>
        <v/>
      </c>
      <c r="N3609" s="31" t="str">
        <f>IF($L3609="","",INDEX($B$8:$B$5007,$L3609))</f>
        <v/>
      </c>
      <c r="O3609" s="32" t="str">
        <f>IF($M3609="","",IF($K3609-$M3609&gt;7,"",IF($M3609&lt;=$A3609,"",IF(OR($B3609&lt;=0,$N3609&lt;=0),"",($N3609/$B3609)^(365/($M3609-$A3609))-1))))</f>
        <v/>
      </c>
      <c r="P3609" s="31" t="str">
        <f>IF($B3609="","",IF($P3608="",$B3609,MAX($P3608,$B3609)))</f>
        <v/>
      </c>
      <c r="Q3609" s="32" t="str">
        <f>IF($P3609="","",$B3609/$P3609-1)</f>
        <v/>
      </c>
    </row>
    <row r="3610">
      <c r="A3610" s="11" t="n"/>
      <c r="B3610" s="29" t="n"/>
      <c r="K3610" s="30" t="str">
        <f>IF($A3610="","",EDATE($A3610,12*$E$4))</f>
        <v/>
      </c>
      <c r="L3610" s="19" t="str">
        <f>IF($K3610="","",IF($K3610&gt;MAX($A$8:$A$5007),"",IFERROR(MATCH($K3610,$A$8:$A$5007,1),"")))</f>
        <v/>
      </c>
      <c r="M3610" s="30" t="str">
        <f>IF($L3610="","",INDEX($A$8:$A$5007,$L3610))</f>
        <v/>
      </c>
      <c r="N3610" s="31" t="str">
        <f>IF($L3610="","",INDEX($B$8:$B$5007,$L3610))</f>
        <v/>
      </c>
      <c r="O3610" s="32" t="str">
        <f>IF($M3610="","",IF($K3610-$M3610&gt;7,"",IF($M3610&lt;=$A3610,"",IF(OR($B3610&lt;=0,$N3610&lt;=0),"",($N3610/$B3610)^(365/($M3610-$A3610))-1))))</f>
        <v/>
      </c>
      <c r="P3610" s="31" t="str">
        <f>IF($B3610="","",IF($P3609="",$B3610,MAX($P3609,$B3610)))</f>
        <v/>
      </c>
      <c r="Q3610" s="32" t="str">
        <f>IF($P3610="","",$B3610/$P3610-1)</f>
        <v/>
      </c>
    </row>
    <row r="3611">
      <c r="A3611" s="11" t="n"/>
      <c r="B3611" s="29" t="n"/>
      <c r="K3611" s="30" t="str">
        <f>IF($A3611="","",EDATE($A3611,12*$E$4))</f>
        <v/>
      </c>
      <c r="L3611" s="19" t="str">
        <f>IF($K3611="","",IF($K3611&gt;MAX($A$8:$A$5007),"",IFERROR(MATCH($K3611,$A$8:$A$5007,1),"")))</f>
        <v/>
      </c>
      <c r="M3611" s="30" t="str">
        <f>IF($L3611="","",INDEX($A$8:$A$5007,$L3611))</f>
        <v/>
      </c>
      <c r="N3611" s="31" t="str">
        <f>IF($L3611="","",INDEX($B$8:$B$5007,$L3611))</f>
        <v/>
      </c>
      <c r="O3611" s="32" t="str">
        <f>IF($M3611="","",IF($K3611-$M3611&gt;7,"",IF($M3611&lt;=$A3611,"",IF(OR($B3611&lt;=0,$N3611&lt;=0),"",($N3611/$B3611)^(365/($M3611-$A3611))-1))))</f>
        <v/>
      </c>
      <c r="P3611" s="31" t="str">
        <f>IF($B3611="","",IF($P3610="",$B3611,MAX($P3610,$B3611)))</f>
        <v/>
      </c>
      <c r="Q3611" s="32" t="str">
        <f>IF($P3611="","",$B3611/$P3611-1)</f>
        <v/>
      </c>
    </row>
    <row r="3612">
      <c r="A3612" s="11" t="n"/>
      <c r="B3612" s="29" t="n"/>
      <c r="K3612" s="30" t="str">
        <f>IF($A3612="","",EDATE($A3612,12*$E$4))</f>
        <v/>
      </c>
      <c r="L3612" s="19" t="str">
        <f>IF($K3612="","",IF($K3612&gt;MAX($A$8:$A$5007),"",IFERROR(MATCH($K3612,$A$8:$A$5007,1),"")))</f>
        <v/>
      </c>
      <c r="M3612" s="30" t="str">
        <f>IF($L3612="","",INDEX($A$8:$A$5007,$L3612))</f>
        <v/>
      </c>
      <c r="N3612" s="31" t="str">
        <f>IF($L3612="","",INDEX($B$8:$B$5007,$L3612))</f>
        <v/>
      </c>
      <c r="O3612" s="32" t="str">
        <f>IF($M3612="","",IF($K3612-$M3612&gt;7,"",IF($M3612&lt;=$A3612,"",IF(OR($B3612&lt;=0,$N3612&lt;=0),"",($N3612/$B3612)^(365/($M3612-$A3612))-1))))</f>
        <v/>
      </c>
      <c r="P3612" s="31" t="str">
        <f>IF($B3612="","",IF($P3611="",$B3612,MAX($P3611,$B3612)))</f>
        <v/>
      </c>
      <c r="Q3612" s="32" t="str">
        <f>IF($P3612="","",$B3612/$P3612-1)</f>
        <v/>
      </c>
    </row>
    <row r="3613">
      <c r="A3613" s="11" t="n"/>
      <c r="B3613" s="29" t="n"/>
      <c r="K3613" s="30" t="str">
        <f>IF($A3613="","",EDATE($A3613,12*$E$4))</f>
        <v/>
      </c>
      <c r="L3613" s="19" t="str">
        <f>IF($K3613="","",IF($K3613&gt;MAX($A$8:$A$5007),"",IFERROR(MATCH($K3613,$A$8:$A$5007,1),"")))</f>
        <v/>
      </c>
      <c r="M3613" s="30" t="str">
        <f>IF($L3613="","",INDEX($A$8:$A$5007,$L3613))</f>
        <v/>
      </c>
      <c r="N3613" s="31" t="str">
        <f>IF($L3613="","",INDEX($B$8:$B$5007,$L3613))</f>
        <v/>
      </c>
      <c r="O3613" s="32" t="str">
        <f>IF($M3613="","",IF($K3613-$M3613&gt;7,"",IF($M3613&lt;=$A3613,"",IF(OR($B3613&lt;=0,$N3613&lt;=0),"",($N3613/$B3613)^(365/($M3613-$A3613))-1))))</f>
        <v/>
      </c>
      <c r="P3613" s="31" t="str">
        <f>IF($B3613="","",IF($P3612="",$B3613,MAX($P3612,$B3613)))</f>
        <v/>
      </c>
      <c r="Q3613" s="32" t="str">
        <f>IF($P3613="","",$B3613/$P3613-1)</f>
        <v/>
      </c>
    </row>
    <row r="3614">
      <c r="A3614" s="11" t="n"/>
      <c r="B3614" s="29" t="n"/>
      <c r="K3614" s="30" t="str">
        <f>IF($A3614="","",EDATE($A3614,12*$E$4))</f>
        <v/>
      </c>
      <c r="L3614" s="19" t="str">
        <f>IF($K3614="","",IF($K3614&gt;MAX($A$8:$A$5007),"",IFERROR(MATCH($K3614,$A$8:$A$5007,1),"")))</f>
        <v/>
      </c>
      <c r="M3614" s="30" t="str">
        <f>IF($L3614="","",INDEX($A$8:$A$5007,$L3614))</f>
        <v/>
      </c>
      <c r="N3614" s="31" t="str">
        <f>IF($L3614="","",INDEX($B$8:$B$5007,$L3614))</f>
        <v/>
      </c>
      <c r="O3614" s="32" t="str">
        <f>IF($M3614="","",IF($K3614-$M3614&gt;7,"",IF($M3614&lt;=$A3614,"",IF(OR($B3614&lt;=0,$N3614&lt;=0),"",($N3614/$B3614)^(365/($M3614-$A3614))-1))))</f>
        <v/>
      </c>
      <c r="P3614" s="31" t="str">
        <f>IF($B3614="","",IF($P3613="",$B3614,MAX($P3613,$B3614)))</f>
        <v/>
      </c>
      <c r="Q3614" s="32" t="str">
        <f>IF($P3614="","",$B3614/$P3614-1)</f>
        <v/>
      </c>
    </row>
    <row r="3615">
      <c r="A3615" s="11" t="n"/>
      <c r="B3615" s="29" t="n"/>
      <c r="K3615" s="30" t="str">
        <f>IF($A3615="","",EDATE($A3615,12*$E$4))</f>
        <v/>
      </c>
      <c r="L3615" s="19" t="str">
        <f>IF($K3615="","",IF($K3615&gt;MAX($A$8:$A$5007),"",IFERROR(MATCH($K3615,$A$8:$A$5007,1),"")))</f>
        <v/>
      </c>
      <c r="M3615" s="30" t="str">
        <f>IF($L3615="","",INDEX($A$8:$A$5007,$L3615))</f>
        <v/>
      </c>
      <c r="N3615" s="31" t="str">
        <f>IF($L3615="","",INDEX($B$8:$B$5007,$L3615))</f>
        <v/>
      </c>
      <c r="O3615" s="32" t="str">
        <f>IF($M3615="","",IF($K3615-$M3615&gt;7,"",IF($M3615&lt;=$A3615,"",IF(OR($B3615&lt;=0,$N3615&lt;=0),"",($N3615/$B3615)^(365/($M3615-$A3615))-1))))</f>
        <v/>
      </c>
      <c r="P3615" s="31" t="str">
        <f>IF($B3615="","",IF($P3614="",$B3615,MAX($P3614,$B3615)))</f>
        <v/>
      </c>
      <c r="Q3615" s="32" t="str">
        <f>IF($P3615="","",$B3615/$P3615-1)</f>
        <v/>
      </c>
    </row>
    <row r="3616">
      <c r="A3616" s="11" t="n"/>
      <c r="B3616" s="29" t="n"/>
      <c r="K3616" s="30" t="str">
        <f>IF($A3616="","",EDATE($A3616,12*$E$4))</f>
        <v/>
      </c>
      <c r="L3616" s="19" t="str">
        <f>IF($K3616="","",IF($K3616&gt;MAX($A$8:$A$5007),"",IFERROR(MATCH($K3616,$A$8:$A$5007,1),"")))</f>
        <v/>
      </c>
      <c r="M3616" s="30" t="str">
        <f>IF($L3616="","",INDEX($A$8:$A$5007,$L3616))</f>
        <v/>
      </c>
      <c r="N3616" s="31" t="str">
        <f>IF($L3616="","",INDEX($B$8:$B$5007,$L3616))</f>
        <v/>
      </c>
      <c r="O3616" s="32" t="str">
        <f>IF($M3616="","",IF($K3616-$M3616&gt;7,"",IF($M3616&lt;=$A3616,"",IF(OR($B3616&lt;=0,$N3616&lt;=0),"",($N3616/$B3616)^(365/($M3616-$A3616))-1))))</f>
        <v/>
      </c>
      <c r="P3616" s="31" t="str">
        <f>IF($B3616="","",IF($P3615="",$B3616,MAX($P3615,$B3616)))</f>
        <v/>
      </c>
      <c r="Q3616" s="32" t="str">
        <f>IF($P3616="","",$B3616/$P3616-1)</f>
        <v/>
      </c>
    </row>
    <row r="3617">
      <c r="A3617" s="11" t="n"/>
      <c r="B3617" s="29" t="n"/>
      <c r="K3617" s="30" t="str">
        <f>IF($A3617="","",EDATE($A3617,12*$E$4))</f>
        <v/>
      </c>
      <c r="L3617" s="19" t="str">
        <f>IF($K3617="","",IF($K3617&gt;MAX($A$8:$A$5007),"",IFERROR(MATCH($K3617,$A$8:$A$5007,1),"")))</f>
        <v/>
      </c>
      <c r="M3617" s="30" t="str">
        <f>IF($L3617="","",INDEX($A$8:$A$5007,$L3617))</f>
        <v/>
      </c>
      <c r="N3617" s="31" t="str">
        <f>IF($L3617="","",INDEX($B$8:$B$5007,$L3617))</f>
        <v/>
      </c>
      <c r="O3617" s="32" t="str">
        <f>IF($M3617="","",IF($K3617-$M3617&gt;7,"",IF($M3617&lt;=$A3617,"",IF(OR($B3617&lt;=0,$N3617&lt;=0),"",($N3617/$B3617)^(365/($M3617-$A3617))-1))))</f>
        <v/>
      </c>
      <c r="P3617" s="31" t="str">
        <f>IF($B3617="","",IF($P3616="",$B3617,MAX($P3616,$B3617)))</f>
        <v/>
      </c>
      <c r="Q3617" s="32" t="str">
        <f>IF($P3617="","",$B3617/$P3617-1)</f>
        <v/>
      </c>
    </row>
    <row r="3618">
      <c r="A3618" s="11" t="n"/>
      <c r="B3618" s="29" t="n"/>
      <c r="K3618" s="30" t="str">
        <f>IF($A3618="","",EDATE($A3618,12*$E$4))</f>
        <v/>
      </c>
      <c r="L3618" s="19" t="str">
        <f>IF($K3618="","",IF($K3618&gt;MAX($A$8:$A$5007),"",IFERROR(MATCH($K3618,$A$8:$A$5007,1),"")))</f>
        <v/>
      </c>
      <c r="M3618" s="30" t="str">
        <f>IF($L3618="","",INDEX($A$8:$A$5007,$L3618))</f>
        <v/>
      </c>
      <c r="N3618" s="31" t="str">
        <f>IF($L3618="","",INDEX($B$8:$B$5007,$L3618))</f>
        <v/>
      </c>
      <c r="O3618" s="32" t="str">
        <f>IF($M3618="","",IF($K3618-$M3618&gt;7,"",IF($M3618&lt;=$A3618,"",IF(OR($B3618&lt;=0,$N3618&lt;=0),"",($N3618/$B3618)^(365/($M3618-$A3618))-1))))</f>
        <v/>
      </c>
      <c r="P3618" s="31" t="str">
        <f>IF($B3618="","",IF($P3617="",$B3618,MAX($P3617,$B3618)))</f>
        <v/>
      </c>
      <c r="Q3618" s="32" t="str">
        <f>IF($P3618="","",$B3618/$P3618-1)</f>
        <v/>
      </c>
    </row>
    <row r="3619">
      <c r="A3619" s="11" t="n"/>
      <c r="B3619" s="29" t="n"/>
      <c r="K3619" s="30" t="str">
        <f>IF($A3619="","",EDATE($A3619,12*$E$4))</f>
        <v/>
      </c>
      <c r="L3619" s="19" t="str">
        <f>IF($K3619="","",IF($K3619&gt;MAX($A$8:$A$5007),"",IFERROR(MATCH($K3619,$A$8:$A$5007,1),"")))</f>
        <v/>
      </c>
      <c r="M3619" s="30" t="str">
        <f>IF($L3619="","",INDEX($A$8:$A$5007,$L3619))</f>
        <v/>
      </c>
      <c r="N3619" s="31" t="str">
        <f>IF($L3619="","",INDEX($B$8:$B$5007,$L3619))</f>
        <v/>
      </c>
      <c r="O3619" s="32" t="str">
        <f>IF($M3619="","",IF($K3619-$M3619&gt;7,"",IF($M3619&lt;=$A3619,"",IF(OR($B3619&lt;=0,$N3619&lt;=0),"",($N3619/$B3619)^(365/($M3619-$A3619))-1))))</f>
        <v/>
      </c>
      <c r="P3619" s="31" t="str">
        <f>IF($B3619="","",IF($P3618="",$B3619,MAX($P3618,$B3619)))</f>
        <v/>
      </c>
      <c r="Q3619" s="32" t="str">
        <f>IF($P3619="","",$B3619/$P3619-1)</f>
        <v/>
      </c>
    </row>
    <row r="3620">
      <c r="A3620" s="11" t="n"/>
      <c r="B3620" s="29" t="n"/>
      <c r="K3620" s="30" t="str">
        <f>IF($A3620="","",EDATE($A3620,12*$E$4))</f>
        <v/>
      </c>
      <c r="L3620" s="19" t="str">
        <f>IF($K3620="","",IF($K3620&gt;MAX($A$8:$A$5007),"",IFERROR(MATCH($K3620,$A$8:$A$5007,1),"")))</f>
        <v/>
      </c>
      <c r="M3620" s="30" t="str">
        <f>IF($L3620="","",INDEX($A$8:$A$5007,$L3620))</f>
        <v/>
      </c>
      <c r="N3620" s="31" t="str">
        <f>IF($L3620="","",INDEX($B$8:$B$5007,$L3620))</f>
        <v/>
      </c>
      <c r="O3620" s="32" t="str">
        <f>IF($M3620="","",IF($K3620-$M3620&gt;7,"",IF($M3620&lt;=$A3620,"",IF(OR($B3620&lt;=0,$N3620&lt;=0),"",($N3620/$B3620)^(365/($M3620-$A3620))-1))))</f>
        <v/>
      </c>
      <c r="P3620" s="31" t="str">
        <f>IF($B3620="","",IF($P3619="",$B3620,MAX($P3619,$B3620)))</f>
        <v/>
      </c>
      <c r="Q3620" s="32" t="str">
        <f>IF($P3620="","",$B3620/$P3620-1)</f>
        <v/>
      </c>
    </row>
    <row r="3621">
      <c r="A3621" s="11" t="n"/>
      <c r="B3621" s="29" t="n"/>
      <c r="K3621" s="30" t="str">
        <f>IF($A3621="","",EDATE($A3621,12*$E$4))</f>
        <v/>
      </c>
      <c r="L3621" s="19" t="str">
        <f>IF($K3621="","",IF($K3621&gt;MAX($A$8:$A$5007),"",IFERROR(MATCH($K3621,$A$8:$A$5007,1),"")))</f>
        <v/>
      </c>
      <c r="M3621" s="30" t="str">
        <f>IF($L3621="","",INDEX($A$8:$A$5007,$L3621))</f>
        <v/>
      </c>
      <c r="N3621" s="31" t="str">
        <f>IF($L3621="","",INDEX($B$8:$B$5007,$L3621))</f>
        <v/>
      </c>
      <c r="O3621" s="32" t="str">
        <f>IF($M3621="","",IF($K3621-$M3621&gt;7,"",IF($M3621&lt;=$A3621,"",IF(OR($B3621&lt;=0,$N3621&lt;=0),"",($N3621/$B3621)^(365/($M3621-$A3621))-1))))</f>
        <v/>
      </c>
      <c r="P3621" s="31" t="str">
        <f>IF($B3621="","",IF($P3620="",$B3621,MAX($P3620,$B3621)))</f>
        <v/>
      </c>
      <c r="Q3621" s="32" t="str">
        <f>IF($P3621="","",$B3621/$P3621-1)</f>
        <v/>
      </c>
    </row>
    <row r="3622">
      <c r="A3622" s="11" t="n"/>
      <c r="B3622" s="29" t="n"/>
      <c r="K3622" s="30" t="str">
        <f>IF($A3622="","",EDATE($A3622,12*$E$4))</f>
        <v/>
      </c>
      <c r="L3622" s="19" t="str">
        <f>IF($K3622="","",IF($K3622&gt;MAX($A$8:$A$5007),"",IFERROR(MATCH($K3622,$A$8:$A$5007,1),"")))</f>
        <v/>
      </c>
      <c r="M3622" s="30" t="str">
        <f>IF($L3622="","",INDEX($A$8:$A$5007,$L3622))</f>
        <v/>
      </c>
      <c r="N3622" s="31" t="str">
        <f>IF($L3622="","",INDEX($B$8:$B$5007,$L3622))</f>
        <v/>
      </c>
      <c r="O3622" s="32" t="str">
        <f>IF($M3622="","",IF($K3622-$M3622&gt;7,"",IF($M3622&lt;=$A3622,"",IF(OR($B3622&lt;=0,$N3622&lt;=0),"",($N3622/$B3622)^(365/($M3622-$A3622))-1))))</f>
        <v/>
      </c>
      <c r="P3622" s="31" t="str">
        <f>IF($B3622="","",IF($P3621="",$B3622,MAX($P3621,$B3622)))</f>
        <v/>
      </c>
      <c r="Q3622" s="32" t="str">
        <f>IF($P3622="","",$B3622/$P3622-1)</f>
        <v/>
      </c>
    </row>
    <row r="3623">
      <c r="A3623" s="11" t="n"/>
      <c r="B3623" s="29" t="n"/>
      <c r="K3623" s="30" t="str">
        <f>IF($A3623="","",EDATE($A3623,12*$E$4))</f>
        <v/>
      </c>
      <c r="L3623" s="19" t="str">
        <f>IF($K3623="","",IF($K3623&gt;MAX($A$8:$A$5007),"",IFERROR(MATCH($K3623,$A$8:$A$5007,1),"")))</f>
        <v/>
      </c>
      <c r="M3623" s="30" t="str">
        <f>IF($L3623="","",INDEX($A$8:$A$5007,$L3623))</f>
        <v/>
      </c>
      <c r="N3623" s="31" t="str">
        <f>IF($L3623="","",INDEX($B$8:$B$5007,$L3623))</f>
        <v/>
      </c>
      <c r="O3623" s="32" t="str">
        <f>IF($M3623="","",IF($K3623-$M3623&gt;7,"",IF($M3623&lt;=$A3623,"",IF(OR($B3623&lt;=0,$N3623&lt;=0),"",($N3623/$B3623)^(365/($M3623-$A3623))-1))))</f>
        <v/>
      </c>
      <c r="P3623" s="31" t="str">
        <f>IF($B3623="","",IF($P3622="",$B3623,MAX($P3622,$B3623)))</f>
        <v/>
      </c>
      <c r="Q3623" s="32" t="str">
        <f>IF($P3623="","",$B3623/$P3623-1)</f>
        <v/>
      </c>
    </row>
    <row r="3624">
      <c r="A3624" s="11" t="n"/>
      <c r="B3624" s="29" t="n"/>
      <c r="K3624" s="30" t="str">
        <f>IF($A3624="","",EDATE($A3624,12*$E$4))</f>
        <v/>
      </c>
      <c r="L3624" s="19" t="str">
        <f>IF($K3624="","",IF($K3624&gt;MAX($A$8:$A$5007),"",IFERROR(MATCH($K3624,$A$8:$A$5007,1),"")))</f>
        <v/>
      </c>
      <c r="M3624" s="30" t="str">
        <f>IF($L3624="","",INDEX($A$8:$A$5007,$L3624))</f>
        <v/>
      </c>
      <c r="N3624" s="31" t="str">
        <f>IF($L3624="","",INDEX($B$8:$B$5007,$L3624))</f>
        <v/>
      </c>
      <c r="O3624" s="32" t="str">
        <f>IF($M3624="","",IF($K3624-$M3624&gt;7,"",IF($M3624&lt;=$A3624,"",IF(OR($B3624&lt;=0,$N3624&lt;=0),"",($N3624/$B3624)^(365/($M3624-$A3624))-1))))</f>
        <v/>
      </c>
      <c r="P3624" s="31" t="str">
        <f>IF($B3624="","",IF($P3623="",$B3624,MAX($P3623,$B3624)))</f>
        <v/>
      </c>
      <c r="Q3624" s="32" t="str">
        <f>IF($P3624="","",$B3624/$P3624-1)</f>
        <v/>
      </c>
    </row>
    <row r="3625">
      <c r="A3625" s="11" t="n"/>
      <c r="B3625" s="29" t="n"/>
      <c r="K3625" s="30" t="str">
        <f>IF($A3625="","",EDATE($A3625,12*$E$4))</f>
        <v/>
      </c>
      <c r="L3625" s="19" t="str">
        <f>IF($K3625="","",IF($K3625&gt;MAX($A$8:$A$5007),"",IFERROR(MATCH($K3625,$A$8:$A$5007,1),"")))</f>
        <v/>
      </c>
      <c r="M3625" s="30" t="str">
        <f>IF($L3625="","",INDEX($A$8:$A$5007,$L3625))</f>
        <v/>
      </c>
      <c r="N3625" s="31" t="str">
        <f>IF($L3625="","",INDEX($B$8:$B$5007,$L3625))</f>
        <v/>
      </c>
      <c r="O3625" s="32" t="str">
        <f>IF($M3625="","",IF($K3625-$M3625&gt;7,"",IF($M3625&lt;=$A3625,"",IF(OR($B3625&lt;=0,$N3625&lt;=0),"",($N3625/$B3625)^(365/($M3625-$A3625))-1))))</f>
        <v/>
      </c>
      <c r="P3625" s="31" t="str">
        <f>IF($B3625="","",IF($P3624="",$B3625,MAX($P3624,$B3625)))</f>
        <v/>
      </c>
      <c r="Q3625" s="32" t="str">
        <f>IF($P3625="","",$B3625/$P3625-1)</f>
        <v/>
      </c>
    </row>
    <row r="3626">
      <c r="A3626" s="11" t="n"/>
      <c r="B3626" s="29" t="n"/>
      <c r="K3626" s="30" t="str">
        <f>IF($A3626="","",EDATE($A3626,12*$E$4))</f>
        <v/>
      </c>
      <c r="L3626" s="19" t="str">
        <f>IF($K3626="","",IF($K3626&gt;MAX($A$8:$A$5007),"",IFERROR(MATCH($K3626,$A$8:$A$5007,1),"")))</f>
        <v/>
      </c>
      <c r="M3626" s="30" t="str">
        <f>IF($L3626="","",INDEX($A$8:$A$5007,$L3626))</f>
        <v/>
      </c>
      <c r="N3626" s="31" t="str">
        <f>IF($L3626="","",INDEX($B$8:$B$5007,$L3626))</f>
        <v/>
      </c>
      <c r="O3626" s="32" t="str">
        <f>IF($M3626="","",IF($K3626-$M3626&gt;7,"",IF($M3626&lt;=$A3626,"",IF(OR($B3626&lt;=0,$N3626&lt;=0),"",($N3626/$B3626)^(365/($M3626-$A3626))-1))))</f>
        <v/>
      </c>
      <c r="P3626" s="31" t="str">
        <f>IF($B3626="","",IF($P3625="",$B3626,MAX($P3625,$B3626)))</f>
        <v/>
      </c>
      <c r="Q3626" s="32" t="str">
        <f>IF($P3626="","",$B3626/$P3626-1)</f>
        <v/>
      </c>
    </row>
    <row r="3627">
      <c r="A3627" s="11" t="n"/>
      <c r="B3627" s="29" t="n"/>
      <c r="K3627" s="30" t="str">
        <f>IF($A3627="","",EDATE($A3627,12*$E$4))</f>
        <v/>
      </c>
      <c r="L3627" s="19" t="str">
        <f>IF($K3627="","",IF($K3627&gt;MAX($A$8:$A$5007),"",IFERROR(MATCH($K3627,$A$8:$A$5007,1),"")))</f>
        <v/>
      </c>
      <c r="M3627" s="30" t="str">
        <f>IF($L3627="","",INDEX($A$8:$A$5007,$L3627))</f>
        <v/>
      </c>
      <c r="N3627" s="31" t="str">
        <f>IF($L3627="","",INDEX($B$8:$B$5007,$L3627))</f>
        <v/>
      </c>
      <c r="O3627" s="32" t="str">
        <f>IF($M3627="","",IF($K3627-$M3627&gt;7,"",IF($M3627&lt;=$A3627,"",IF(OR($B3627&lt;=0,$N3627&lt;=0),"",($N3627/$B3627)^(365/($M3627-$A3627))-1))))</f>
        <v/>
      </c>
      <c r="P3627" s="31" t="str">
        <f>IF($B3627="","",IF($P3626="",$B3627,MAX($P3626,$B3627)))</f>
        <v/>
      </c>
      <c r="Q3627" s="32" t="str">
        <f>IF($P3627="","",$B3627/$P3627-1)</f>
        <v/>
      </c>
    </row>
    <row r="3628">
      <c r="A3628" s="11" t="n"/>
      <c r="B3628" s="29" t="n"/>
      <c r="K3628" s="30" t="str">
        <f>IF($A3628="","",EDATE($A3628,12*$E$4))</f>
        <v/>
      </c>
      <c r="L3628" s="19" t="str">
        <f>IF($K3628="","",IF($K3628&gt;MAX($A$8:$A$5007),"",IFERROR(MATCH($K3628,$A$8:$A$5007,1),"")))</f>
        <v/>
      </c>
      <c r="M3628" s="30" t="str">
        <f>IF($L3628="","",INDEX($A$8:$A$5007,$L3628))</f>
        <v/>
      </c>
      <c r="N3628" s="31" t="str">
        <f>IF($L3628="","",INDEX($B$8:$B$5007,$L3628))</f>
        <v/>
      </c>
      <c r="O3628" s="32" t="str">
        <f>IF($M3628="","",IF($K3628-$M3628&gt;7,"",IF($M3628&lt;=$A3628,"",IF(OR($B3628&lt;=0,$N3628&lt;=0),"",($N3628/$B3628)^(365/($M3628-$A3628))-1))))</f>
        <v/>
      </c>
      <c r="P3628" s="31" t="str">
        <f>IF($B3628="","",IF($P3627="",$B3628,MAX($P3627,$B3628)))</f>
        <v/>
      </c>
      <c r="Q3628" s="32" t="str">
        <f>IF($P3628="","",$B3628/$P3628-1)</f>
        <v/>
      </c>
    </row>
    <row r="3629">
      <c r="A3629" s="11" t="n"/>
      <c r="B3629" s="29" t="n"/>
      <c r="K3629" s="30" t="str">
        <f>IF($A3629="","",EDATE($A3629,12*$E$4))</f>
        <v/>
      </c>
      <c r="L3629" s="19" t="str">
        <f>IF($K3629="","",IF($K3629&gt;MAX($A$8:$A$5007),"",IFERROR(MATCH($K3629,$A$8:$A$5007,1),"")))</f>
        <v/>
      </c>
      <c r="M3629" s="30" t="str">
        <f>IF($L3629="","",INDEX($A$8:$A$5007,$L3629))</f>
        <v/>
      </c>
      <c r="N3629" s="31" t="str">
        <f>IF($L3629="","",INDEX($B$8:$B$5007,$L3629))</f>
        <v/>
      </c>
      <c r="O3629" s="32" t="str">
        <f>IF($M3629="","",IF($K3629-$M3629&gt;7,"",IF($M3629&lt;=$A3629,"",IF(OR($B3629&lt;=0,$N3629&lt;=0),"",($N3629/$B3629)^(365/($M3629-$A3629))-1))))</f>
        <v/>
      </c>
      <c r="P3629" s="31" t="str">
        <f>IF($B3629="","",IF($P3628="",$B3629,MAX($P3628,$B3629)))</f>
        <v/>
      </c>
      <c r="Q3629" s="32" t="str">
        <f>IF($P3629="","",$B3629/$P3629-1)</f>
        <v/>
      </c>
    </row>
    <row r="3630">
      <c r="A3630" s="11" t="n"/>
      <c r="B3630" s="29" t="n"/>
      <c r="K3630" s="30" t="str">
        <f>IF($A3630="","",EDATE($A3630,12*$E$4))</f>
        <v/>
      </c>
      <c r="L3630" s="19" t="str">
        <f>IF($K3630="","",IF($K3630&gt;MAX($A$8:$A$5007),"",IFERROR(MATCH($K3630,$A$8:$A$5007,1),"")))</f>
        <v/>
      </c>
      <c r="M3630" s="30" t="str">
        <f>IF($L3630="","",INDEX($A$8:$A$5007,$L3630))</f>
        <v/>
      </c>
      <c r="N3630" s="31" t="str">
        <f>IF($L3630="","",INDEX($B$8:$B$5007,$L3630))</f>
        <v/>
      </c>
      <c r="O3630" s="32" t="str">
        <f>IF($M3630="","",IF($K3630-$M3630&gt;7,"",IF($M3630&lt;=$A3630,"",IF(OR($B3630&lt;=0,$N3630&lt;=0),"",($N3630/$B3630)^(365/($M3630-$A3630))-1))))</f>
        <v/>
      </c>
      <c r="P3630" s="31" t="str">
        <f>IF($B3630="","",IF($P3629="",$B3630,MAX($P3629,$B3630)))</f>
        <v/>
      </c>
      <c r="Q3630" s="32" t="str">
        <f>IF($P3630="","",$B3630/$P3630-1)</f>
        <v/>
      </c>
    </row>
    <row r="3631">
      <c r="A3631" s="11" t="n"/>
      <c r="B3631" s="29" t="n"/>
      <c r="K3631" s="30" t="str">
        <f>IF($A3631="","",EDATE($A3631,12*$E$4))</f>
        <v/>
      </c>
      <c r="L3631" s="19" t="str">
        <f>IF($K3631="","",IF($K3631&gt;MAX($A$8:$A$5007),"",IFERROR(MATCH($K3631,$A$8:$A$5007,1),"")))</f>
        <v/>
      </c>
      <c r="M3631" s="30" t="str">
        <f>IF($L3631="","",INDEX($A$8:$A$5007,$L3631))</f>
        <v/>
      </c>
      <c r="N3631" s="31" t="str">
        <f>IF($L3631="","",INDEX($B$8:$B$5007,$L3631))</f>
        <v/>
      </c>
      <c r="O3631" s="32" t="str">
        <f>IF($M3631="","",IF($K3631-$M3631&gt;7,"",IF($M3631&lt;=$A3631,"",IF(OR($B3631&lt;=0,$N3631&lt;=0),"",($N3631/$B3631)^(365/($M3631-$A3631))-1))))</f>
        <v/>
      </c>
      <c r="P3631" s="31" t="str">
        <f>IF($B3631="","",IF($P3630="",$B3631,MAX($P3630,$B3631)))</f>
        <v/>
      </c>
      <c r="Q3631" s="32" t="str">
        <f>IF($P3631="","",$B3631/$P3631-1)</f>
        <v/>
      </c>
    </row>
    <row r="3632">
      <c r="A3632" s="11" t="n"/>
      <c r="B3632" s="29" t="n"/>
      <c r="K3632" s="30" t="str">
        <f>IF($A3632="","",EDATE($A3632,12*$E$4))</f>
        <v/>
      </c>
      <c r="L3632" s="19" t="str">
        <f>IF($K3632="","",IF($K3632&gt;MAX($A$8:$A$5007),"",IFERROR(MATCH($K3632,$A$8:$A$5007,1),"")))</f>
        <v/>
      </c>
      <c r="M3632" s="30" t="str">
        <f>IF($L3632="","",INDEX($A$8:$A$5007,$L3632))</f>
        <v/>
      </c>
      <c r="N3632" s="31" t="str">
        <f>IF($L3632="","",INDEX($B$8:$B$5007,$L3632))</f>
        <v/>
      </c>
      <c r="O3632" s="32" t="str">
        <f>IF($M3632="","",IF($K3632-$M3632&gt;7,"",IF($M3632&lt;=$A3632,"",IF(OR($B3632&lt;=0,$N3632&lt;=0),"",($N3632/$B3632)^(365/($M3632-$A3632))-1))))</f>
        <v/>
      </c>
      <c r="P3632" s="31" t="str">
        <f>IF($B3632="","",IF($P3631="",$B3632,MAX($P3631,$B3632)))</f>
        <v/>
      </c>
      <c r="Q3632" s="32" t="str">
        <f>IF($P3632="","",$B3632/$P3632-1)</f>
        <v/>
      </c>
    </row>
    <row r="3633">
      <c r="A3633" s="11" t="n"/>
      <c r="B3633" s="29" t="n"/>
      <c r="K3633" s="30" t="str">
        <f>IF($A3633="","",EDATE($A3633,12*$E$4))</f>
        <v/>
      </c>
      <c r="L3633" s="19" t="str">
        <f>IF($K3633="","",IF($K3633&gt;MAX($A$8:$A$5007),"",IFERROR(MATCH($K3633,$A$8:$A$5007,1),"")))</f>
        <v/>
      </c>
      <c r="M3633" s="30" t="str">
        <f>IF($L3633="","",INDEX($A$8:$A$5007,$L3633))</f>
        <v/>
      </c>
      <c r="N3633" s="31" t="str">
        <f>IF($L3633="","",INDEX($B$8:$B$5007,$L3633))</f>
        <v/>
      </c>
      <c r="O3633" s="32" t="str">
        <f>IF($M3633="","",IF($K3633-$M3633&gt;7,"",IF($M3633&lt;=$A3633,"",IF(OR($B3633&lt;=0,$N3633&lt;=0),"",($N3633/$B3633)^(365/($M3633-$A3633))-1))))</f>
        <v/>
      </c>
      <c r="P3633" s="31" t="str">
        <f>IF($B3633="","",IF($P3632="",$B3633,MAX($P3632,$B3633)))</f>
        <v/>
      </c>
      <c r="Q3633" s="32" t="str">
        <f>IF($P3633="","",$B3633/$P3633-1)</f>
        <v/>
      </c>
    </row>
    <row r="3634">
      <c r="A3634" s="11" t="n"/>
      <c r="B3634" s="29" t="n"/>
      <c r="K3634" s="30" t="str">
        <f>IF($A3634="","",EDATE($A3634,12*$E$4))</f>
        <v/>
      </c>
      <c r="L3634" s="19" t="str">
        <f>IF($K3634="","",IF($K3634&gt;MAX($A$8:$A$5007),"",IFERROR(MATCH($K3634,$A$8:$A$5007,1),"")))</f>
        <v/>
      </c>
      <c r="M3634" s="30" t="str">
        <f>IF($L3634="","",INDEX($A$8:$A$5007,$L3634))</f>
        <v/>
      </c>
      <c r="N3634" s="31" t="str">
        <f>IF($L3634="","",INDEX($B$8:$B$5007,$L3634))</f>
        <v/>
      </c>
      <c r="O3634" s="32" t="str">
        <f>IF($M3634="","",IF($K3634-$M3634&gt;7,"",IF($M3634&lt;=$A3634,"",IF(OR($B3634&lt;=0,$N3634&lt;=0),"",($N3634/$B3634)^(365/($M3634-$A3634))-1))))</f>
        <v/>
      </c>
      <c r="P3634" s="31" t="str">
        <f>IF($B3634="","",IF($P3633="",$B3634,MAX($P3633,$B3634)))</f>
        <v/>
      </c>
      <c r="Q3634" s="32" t="str">
        <f>IF($P3634="","",$B3634/$P3634-1)</f>
        <v/>
      </c>
    </row>
    <row r="3635">
      <c r="A3635" s="11" t="n"/>
      <c r="B3635" s="29" t="n"/>
      <c r="K3635" s="30" t="str">
        <f>IF($A3635="","",EDATE($A3635,12*$E$4))</f>
        <v/>
      </c>
      <c r="L3635" s="19" t="str">
        <f>IF($K3635="","",IF($K3635&gt;MAX($A$8:$A$5007),"",IFERROR(MATCH($K3635,$A$8:$A$5007,1),"")))</f>
        <v/>
      </c>
      <c r="M3635" s="30" t="str">
        <f>IF($L3635="","",INDEX($A$8:$A$5007,$L3635))</f>
        <v/>
      </c>
      <c r="N3635" s="31" t="str">
        <f>IF($L3635="","",INDEX($B$8:$B$5007,$L3635))</f>
        <v/>
      </c>
      <c r="O3635" s="32" t="str">
        <f>IF($M3635="","",IF($K3635-$M3635&gt;7,"",IF($M3635&lt;=$A3635,"",IF(OR($B3635&lt;=0,$N3635&lt;=0),"",($N3635/$B3635)^(365/($M3635-$A3635))-1))))</f>
        <v/>
      </c>
      <c r="P3635" s="31" t="str">
        <f>IF($B3635="","",IF($P3634="",$B3635,MAX($P3634,$B3635)))</f>
        <v/>
      </c>
      <c r="Q3635" s="32" t="str">
        <f>IF($P3635="","",$B3635/$P3635-1)</f>
        <v/>
      </c>
    </row>
    <row r="3636">
      <c r="A3636" s="11" t="n"/>
      <c r="B3636" s="29" t="n"/>
      <c r="K3636" s="30" t="str">
        <f>IF($A3636="","",EDATE($A3636,12*$E$4))</f>
        <v/>
      </c>
      <c r="L3636" s="19" t="str">
        <f>IF($K3636="","",IF($K3636&gt;MAX($A$8:$A$5007),"",IFERROR(MATCH($K3636,$A$8:$A$5007,1),"")))</f>
        <v/>
      </c>
      <c r="M3636" s="30" t="str">
        <f>IF($L3636="","",INDEX($A$8:$A$5007,$L3636))</f>
        <v/>
      </c>
      <c r="N3636" s="31" t="str">
        <f>IF($L3636="","",INDEX($B$8:$B$5007,$L3636))</f>
        <v/>
      </c>
      <c r="O3636" s="32" t="str">
        <f>IF($M3636="","",IF($K3636-$M3636&gt;7,"",IF($M3636&lt;=$A3636,"",IF(OR($B3636&lt;=0,$N3636&lt;=0),"",($N3636/$B3636)^(365/($M3636-$A3636))-1))))</f>
        <v/>
      </c>
      <c r="P3636" s="31" t="str">
        <f>IF($B3636="","",IF($P3635="",$B3636,MAX($P3635,$B3636)))</f>
        <v/>
      </c>
      <c r="Q3636" s="32" t="str">
        <f>IF($P3636="","",$B3636/$P3636-1)</f>
        <v/>
      </c>
    </row>
    <row r="3637">
      <c r="A3637" s="11" t="n"/>
      <c r="B3637" s="29" t="n"/>
      <c r="K3637" s="30" t="str">
        <f>IF($A3637="","",EDATE($A3637,12*$E$4))</f>
        <v/>
      </c>
      <c r="L3637" s="19" t="str">
        <f>IF($K3637="","",IF($K3637&gt;MAX($A$8:$A$5007),"",IFERROR(MATCH($K3637,$A$8:$A$5007,1),"")))</f>
        <v/>
      </c>
      <c r="M3637" s="30" t="str">
        <f>IF($L3637="","",INDEX($A$8:$A$5007,$L3637))</f>
        <v/>
      </c>
      <c r="N3637" s="31" t="str">
        <f>IF($L3637="","",INDEX($B$8:$B$5007,$L3637))</f>
        <v/>
      </c>
      <c r="O3637" s="32" t="str">
        <f>IF($M3637="","",IF($K3637-$M3637&gt;7,"",IF($M3637&lt;=$A3637,"",IF(OR($B3637&lt;=0,$N3637&lt;=0),"",($N3637/$B3637)^(365/($M3637-$A3637))-1))))</f>
        <v/>
      </c>
      <c r="P3637" s="31" t="str">
        <f>IF($B3637="","",IF($P3636="",$B3637,MAX($P3636,$B3637)))</f>
        <v/>
      </c>
      <c r="Q3637" s="32" t="str">
        <f>IF($P3637="","",$B3637/$P3637-1)</f>
        <v/>
      </c>
    </row>
    <row r="3638">
      <c r="A3638" s="11" t="n"/>
      <c r="B3638" s="29" t="n"/>
      <c r="K3638" s="30" t="str">
        <f>IF($A3638="","",EDATE($A3638,12*$E$4))</f>
        <v/>
      </c>
      <c r="L3638" s="19" t="str">
        <f>IF($K3638="","",IF($K3638&gt;MAX($A$8:$A$5007),"",IFERROR(MATCH($K3638,$A$8:$A$5007,1),"")))</f>
        <v/>
      </c>
      <c r="M3638" s="30" t="str">
        <f>IF($L3638="","",INDEX($A$8:$A$5007,$L3638))</f>
        <v/>
      </c>
      <c r="N3638" s="31" t="str">
        <f>IF($L3638="","",INDEX($B$8:$B$5007,$L3638))</f>
        <v/>
      </c>
      <c r="O3638" s="32" t="str">
        <f>IF($M3638="","",IF($K3638-$M3638&gt;7,"",IF($M3638&lt;=$A3638,"",IF(OR($B3638&lt;=0,$N3638&lt;=0),"",($N3638/$B3638)^(365/($M3638-$A3638))-1))))</f>
        <v/>
      </c>
      <c r="P3638" s="31" t="str">
        <f>IF($B3638="","",IF($P3637="",$B3638,MAX($P3637,$B3638)))</f>
        <v/>
      </c>
      <c r="Q3638" s="32" t="str">
        <f>IF($P3638="","",$B3638/$P3638-1)</f>
        <v/>
      </c>
    </row>
    <row r="3639">
      <c r="A3639" s="11" t="n"/>
      <c r="B3639" s="29" t="n"/>
      <c r="K3639" s="30" t="str">
        <f>IF($A3639="","",EDATE($A3639,12*$E$4))</f>
        <v/>
      </c>
      <c r="L3639" s="19" t="str">
        <f>IF($K3639="","",IF($K3639&gt;MAX($A$8:$A$5007),"",IFERROR(MATCH($K3639,$A$8:$A$5007,1),"")))</f>
        <v/>
      </c>
      <c r="M3639" s="30" t="str">
        <f>IF($L3639="","",INDEX($A$8:$A$5007,$L3639))</f>
        <v/>
      </c>
      <c r="N3639" s="31" t="str">
        <f>IF($L3639="","",INDEX($B$8:$B$5007,$L3639))</f>
        <v/>
      </c>
      <c r="O3639" s="32" t="str">
        <f>IF($M3639="","",IF($K3639-$M3639&gt;7,"",IF($M3639&lt;=$A3639,"",IF(OR($B3639&lt;=0,$N3639&lt;=0),"",($N3639/$B3639)^(365/($M3639-$A3639))-1))))</f>
        <v/>
      </c>
      <c r="P3639" s="31" t="str">
        <f>IF($B3639="","",IF($P3638="",$B3639,MAX($P3638,$B3639)))</f>
        <v/>
      </c>
      <c r="Q3639" s="32" t="str">
        <f>IF($P3639="","",$B3639/$P3639-1)</f>
        <v/>
      </c>
    </row>
    <row r="3640">
      <c r="A3640" s="11" t="n"/>
      <c r="B3640" s="29" t="n"/>
      <c r="K3640" s="30" t="str">
        <f>IF($A3640="","",EDATE($A3640,12*$E$4))</f>
        <v/>
      </c>
      <c r="L3640" s="19" t="str">
        <f>IF($K3640="","",IF($K3640&gt;MAX($A$8:$A$5007),"",IFERROR(MATCH($K3640,$A$8:$A$5007,1),"")))</f>
        <v/>
      </c>
      <c r="M3640" s="30" t="str">
        <f>IF($L3640="","",INDEX($A$8:$A$5007,$L3640))</f>
        <v/>
      </c>
      <c r="N3640" s="31" t="str">
        <f>IF($L3640="","",INDEX($B$8:$B$5007,$L3640))</f>
        <v/>
      </c>
      <c r="O3640" s="32" t="str">
        <f>IF($M3640="","",IF($K3640-$M3640&gt;7,"",IF($M3640&lt;=$A3640,"",IF(OR($B3640&lt;=0,$N3640&lt;=0),"",($N3640/$B3640)^(365/($M3640-$A3640))-1))))</f>
        <v/>
      </c>
      <c r="P3640" s="31" t="str">
        <f>IF($B3640="","",IF($P3639="",$B3640,MAX($P3639,$B3640)))</f>
        <v/>
      </c>
      <c r="Q3640" s="32" t="str">
        <f>IF($P3640="","",$B3640/$P3640-1)</f>
        <v/>
      </c>
    </row>
    <row r="3641">
      <c r="A3641" s="11" t="n"/>
      <c r="B3641" s="29" t="n"/>
      <c r="K3641" s="30" t="str">
        <f>IF($A3641="","",EDATE($A3641,12*$E$4))</f>
        <v/>
      </c>
      <c r="L3641" s="19" t="str">
        <f>IF($K3641="","",IF($K3641&gt;MAX($A$8:$A$5007),"",IFERROR(MATCH($K3641,$A$8:$A$5007,1),"")))</f>
        <v/>
      </c>
      <c r="M3641" s="30" t="str">
        <f>IF($L3641="","",INDEX($A$8:$A$5007,$L3641))</f>
        <v/>
      </c>
      <c r="N3641" s="31" t="str">
        <f>IF($L3641="","",INDEX($B$8:$B$5007,$L3641))</f>
        <v/>
      </c>
      <c r="O3641" s="32" t="str">
        <f>IF($M3641="","",IF($K3641-$M3641&gt;7,"",IF($M3641&lt;=$A3641,"",IF(OR($B3641&lt;=0,$N3641&lt;=0),"",($N3641/$B3641)^(365/($M3641-$A3641))-1))))</f>
        <v/>
      </c>
      <c r="P3641" s="31" t="str">
        <f>IF($B3641="","",IF($P3640="",$B3641,MAX($P3640,$B3641)))</f>
        <v/>
      </c>
      <c r="Q3641" s="32" t="str">
        <f>IF($P3641="","",$B3641/$P3641-1)</f>
        <v/>
      </c>
    </row>
    <row r="3642">
      <c r="A3642" s="11" t="n"/>
      <c r="B3642" s="29" t="n"/>
      <c r="K3642" s="30" t="str">
        <f>IF($A3642="","",EDATE($A3642,12*$E$4))</f>
        <v/>
      </c>
      <c r="L3642" s="19" t="str">
        <f>IF($K3642="","",IF($K3642&gt;MAX($A$8:$A$5007),"",IFERROR(MATCH($K3642,$A$8:$A$5007,1),"")))</f>
        <v/>
      </c>
      <c r="M3642" s="30" t="str">
        <f>IF($L3642="","",INDEX($A$8:$A$5007,$L3642))</f>
        <v/>
      </c>
      <c r="N3642" s="31" t="str">
        <f>IF($L3642="","",INDEX($B$8:$B$5007,$L3642))</f>
        <v/>
      </c>
      <c r="O3642" s="32" t="str">
        <f>IF($M3642="","",IF($K3642-$M3642&gt;7,"",IF($M3642&lt;=$A3642,"",IF(OR($B3642&lt;=0,$N3642&lt;=0),"",($N3642/$B3642)^(365/($M3642-$A3642))-1))))</f>
        <v/>
      </c>
      <c r="P3642" s="31" t="str">
        <f>IF($B3642="","",IF($P3641="",$B3642,MAX($P3641,$B3642)))</f>
        <v/>
      </c>
      <c r="Q3642" s="32" t="str">
        <f>IF($P3642="","",$B3642/$P3642-1)</f>
        <v/>
      </c>
    </row>
    <row r="3643">
      <c r="A3643" s="11" t="n"/>
      <c r="B3643" s="29" t="n"/>
      <c r="K3643" s="30" t="str">
        <f>IF($A3643="","",EDATE($A3643,12*$E$4))</f>
        <v/>
      </c>
      <c r="L3643" s="19" t="str">
        <f>IF($K3643="","",IF($K3643&gt;MAX($A$8:$A$5007),"",IFERROR(MATCH($K3643,$A$8:$A$5007,1),"")))</f>
        <v/>
      </c>
      <c r="M3643" s="30" t="str">
        <f>IF($L3643="","",INDEX($A$8:$A$5007,$L3643))</f>
        <v/>
      </c>
      <c r="N3643" s="31" t="str">
        <f>IF($L3643="","",INDEX($B$8:$B$5007,$L3643))</f>
        <v/>
      </c>
      <c r="O3643" s="32" t="str">
        <f>IF($M3643="","",IF($K3643-$M3643&gt;7,"",IF($M3643&lt;=$A3643,"",IF(OR($B3643&lt;=0,$N3643&lt;=0),"",($N3643/$B3643)^(365/($M3643-$A3643))-1))))</f>
        <v/>
      </c>
      <c r="P3643" s="31" t="str">
        <f>IF($B3643="","",IF($P3642="",$B3643,MAX($P3642,$B3643)))</f>
        <v/>
      </c>
      <c r="Q3643" s="32" t="str">
        <f>IF($P3643="","",$B3643/$P3643-1)</f>
        <v/>
      </c>
    </row>
    <row r="3644">
      <c r="A3644" s="11" t="n"/>
      <c r="B3644" s="29" t="n"/>
      <c r="K3644" s="30" t="str">
        <f>IF($A3644="","",EDATE($A3644,12*$E$4))</f>
        <v/>
      </c>
      <c r="L3644" s="19" t="str">
        <f>IF($K3644="","",IF($K3644&gt;MAX($A$8:$A$5007),"",IFERROR(MATCH($K3644,$A$8:$A$5007,1),"")))</f>
        <v/>
      </c>
      <c r="M3644" s="30" t="str">
        <f>IF($L3644="","",INDEX($A$8:$A$5007,$L3644))</f>
        <v/>
      </c>
      <c r="N3644" s="31" t="str">
        <f>IF($L3644="","",INDEX($B$8:$B$5007,$L3644))</f>
        <v/>
      </c>
      <c r="O3644" s="32" t="str">
        <f>IF($M3644="","",IF($K3644-$M3644&gt;7,"",IF($M3644&lt;=$A3644,"",IF(OR($B3644&lt;=0,$N3644&lt;=0),"",($N3644/$B3644)^(365/($M3644-$A3644))-1))))</f>
        <v/>
      </c>
      <c r="P3644" s="31" t="str">
        <f>IF($B3644="","",IF($P3643="",$B3644,MAX($P3643,$B3644)))</f>
        <v/>
      </c>
      <c r="Q3644" s="32" t="str">
        <f>IF($P3644="","",$B3644/$P3644-1)</f>
        <v/>
      </c>
    </row>
    <row r="3645">
      <c r="A3645" s="11" t="n"/>
      <c r="B3645" s="29" t="n"/>
      <c r="K3645" s="30" t="str">
        <f>IF($A3645="","",EDATE($A3645,12*$E$4))</f>
        <v/>
      </c>
      <c r="L3645" s="19" t="str">
        <f>IF($K3645="","",IF($K3645&gt;MAX($A$8:$A$5007),"",IFERROR(MATCH($K3645,$A$8:$A$5007,1),"")))</f>
        <v/>
      </c>
      <c r="M3645" s="30" t="str">
        <f>IF($L3645="","",INDEX($A$8:$A$5007,$L3645))</f>
        <v/>
      </c>
      <c r="N3645" s="31" t="str">
        <f>IF($L3645="","",INDEX($B$8:$B$5007,$L3645))</f>
        <v/>
      </c>
      <c r="O3645" s="32" t="str">
        <f>IF($M3645="","",IF($K3645-$M3645&gt;7,"",IF($M3645&lt;=$A3645,"",IF(OR($B3645&lt;=0,$N3645&lt;=0),"",($N3645/$B3645)^(365/($M3645-$A3645))-1))))</f>
        <v/>
      </c>
      <c r="P3645" s="31" t="str">
        <f>IF($B3645="","",IF($P3644="",$B3645,MAX($P3644,$B3645)))</f>
        <v/>
      </c>
      <c r="Q3645" s="32" t="str">
        <f>IF($P3645="","",$B3645/$P3645-1)</f>
        <v/>
      </c>
    </row>
    <row r="3646">
      <c r="A3646" s="11" t="n"/>
      <c r="B3646" s="29" t="n"/>
      <c r="K3646" s="30" t="str">
        <f>IF($A3646="","",EDATE($A3646,12*$E$4))</f>
        <v/>
      </c>
      <c r="L3646" s="19" t="str">
        <f>IF($K3646="","",IF($K3646&gt;MAX($A$8:$A$5007),"",IFERROR(MATCH($K3646,$A$8:$A$5007,1),"")))</f>
        <v/>
      </c>
      <c r="M3646" s="30" t="str">
        <f>IF($L3646="","",INDEX($A$8:$A$5007,$L3646))</f>
        <v/>
      </c>
      <c r="N3646" s="31" t="str">
        <f>IF($L3646="","",INDEX($B$8:$B$5007,$L3646))</f>
        <v/>
      </c>
      <c r="O3646" s="32" t="str">
        <f>IF($M3646="","",IF($K3646-$M3646&gt;7,"",IF($M3646&lt;=$A3646,"",IF(OR($B3646&lt;=0,$N3646&lt;=0),"",($N3646/$B3646)^(365/($M3646-$A3646))-1))))</f>
        <v/>
      </c>
      <c r="P3646" s="31" t="str">
        <f>IF($B3646="","",IF($P3645="",$B3646,MAX($P3645,$B3646)))</f>
        <v/>
      </c>
      <c r="Q3646" s="32" t="str">
        <f>IF($P3646="","",$B3646/$P3646-1)</f>
        <v/>
      </c>
    </row>
    <row r="3647">
      <c r="A3647" s="11" t="n"/>
      <c r="B3647" s="29" t="n"/>
      <c r="K3647" s="30" t="str">
        <f>IF($A3647="","",EDATE($A3647,12*$E$4))</f>
        <v/>
      </c>
      <c r="L3647" s="19" t="str">
        <f>IF($K3647="","",IF($K3647&gt;MAX($A$8:$A$5007),"",IFERROR(MATCH($K3647,$A$8:$A$5007,1),"")))</f>
        <v/>
      </c>
      <c r="M3647" s="30" t="str">
        <f>IF($L3647="","",INDEX($A$8:$A$5007,$L3647))</f>
        <v/>
      </c>
      <c r="N3647" s="31" t="str">
        <f>IF($L3647="","",INDEX($B$8:$B$5007,$L3647))</f>
        <v/>
      </c>
      <c r="O3647" s="32" t="str">
        <f>IF($M3647="","",IF($K3647-$M3647&gt;7,"",IF($M3647&lt;=$A3647,"",IF(OR($B3647&lt;=0,$N3647&lt;=0),"",($N3647/$B3647)^(365/($M3647-$A3647))-1))))</f>
        <v/>
      </c>
      <c r="P3647" s="31" t="str">
        <f>IF($B3647="","",IF($P3646="",$B3647,MAX($P3646,$B3647)))</f>
        <v/>
      </c>
      <c r="Q3647" s="32" t="str">
        <f>IF($P3647="","",$B3647/$P3647-1)</f>
        <v/>
      </c>
    </row>
    <row r="3648">
      <c r="A3648" s="11" t="n"/>
      <c r="B3648" s="29" t="n"/>
      <c r="K3648" s="30" t="str">
        <f>IF($A3648="","",EDATE($A3648,12*$E$4))</f>
        <v/>
      </c>
      <c r="L3648" s="19" t="str">
        <f>IF($K3648="","",IF($K3648&gt;MAX($A$8:$A$5007),"",IFERROR(MATCH($K3648,$A$8:$A$5007,1),"")))</f>
        <v/>
      </c>
      <c r="M3648" s="30" t="str">
        <f>IF($L3648="","",INDEX($A$8:$A$5007,$L3648))</f>
        <v/>
      </c>
      <c r="N3648" s="31" t="str">
        <f>IF($L3648="","",INDEX($B$8:$B$5007,$L3648))</f>
        <v/>
      </c>
      <c r="O3648" s="32" t="str">
        <f>IF($M3648="","",IF($K3648-$M3648&gt;7,"",IF($M3648&lt;=$A3648,"",IF(OR($B3648&lt;=0,$N3648&lt;=0),"",($N3648/$B3648)^(365/($M3648-$A3648))-1))))</f>
        <v/>
      </c>
      <c r="P3648" s="31" t="str">
        <f>IF($B3648="","",IF($P3647="",$B3648,MAX($P3647,$B3648)))</f>
        <v/>
      </c>
      <c r="Q3648" s="32" t="str">
        <f>IF($P3648="","",$B3648/$P3648-1)</f>
        <v/>
      </c>
    </row>
    <row r="3649">
      <c r="A3649" s="11" t="n"/>
      <c r="B3649" s="29" t="n"/>
      <c r="K3649" s="30" t="str">
        <f>IF($A3649="","",EDATE($A3649,12*$E$4))</f>
        <v/>
      </c>
      <c r="L3649" s="19" t="str">
        <f>IF($K3649="","",IF($K3649&gt;MAX($A$8:$A$5007),"",IFERROR(MATCH($K3649,$A$8:$A$5007,1),"")))</f>
        <v/>
      </c>
      <c r="M3649" s="30" t="str">
        <f>IF($L3649="","",INDEX($A$8:$A$5007,$L3649))</f>
        <v/>
      </c>
      <c r="N3649" s="31" t="str">
        <f>IF($L3649="","",INDEX($B$8:$B$5007,$L3649))</f>
        <v/>
      </c>
      <c r="O3649" s="32" t="str">
        <f>IF($M3649="","",IF($K3649-$M3649&gt;7,"",IF($M3649&lt;=$A3649,"",IF(OR($B3649&lt;=0,$N3649&lt;=0),"",($N3649/$B3649)^(365/($M3649-$A3649))-1))))</f>
        <v/>
      </c>
      <c r="P3649" s="31" t="str">
        <f>IF($B3649="","",IF($P3648="",$B3649,MAX($P3648,$B3649)))</f>
        <v/>
      </c>
      <c r="Q3649" s="32" t="str">
        <f>IF($P3649="","",$B3649/$P3649-1)</f>
        <v/>
      </c>
    </row>
    <row r="3650">
      <c r="A3650" s="11" t="n"/>
      <c r="B3650" s="29" t="n"/>
      <c r="K3650" s="30" t="str">
        <f>IF($A3650="","",EDATE($A3650,12*$E$4))</f>
        <v/>
      </c>
      <c r="L3650" s="19" t="str">
        <f>IF($K3650="","",IF($K3650&gt;MAX($A$8:$A$5007),"",IFERROR(MATCH($K3650,$A$8:$A$5007,1),"")))</f>
        <v/>
      </c>
      <c r="M3650" s="30" t="str">
        <f>IF($L3650="","",INDEX($A$8:$A$5007,$L3650))</f>
        <v/>
      </c>
      <c r="N3650" s="31" t="str">
        <f>IF($L3650="","",INDEX($B$8:$B$5007,$L3650))</f>
        <v/>
      </c>
      <c r="O3650" s="32" t="str">
        <f>IF($M3650="","",IF($K3650-$M3650&gt;7,"",IF($M3650&lt;=$A3650,"",IF(OR($B3650&lt;=0,$N3650&lt;=0),"",($N3650/$B3650)^(365/($M3650-$A3650))-1))))</f>
        <v/>
      </c>
      <c r="P3650" s="31" t="str">
        <f>IF($B3650="","",IF($P3649="",$B3650,MAX($P3649,$B3650)))</f>
        <v/>
      </c>
      <c r="Q3650" s="32" t="str">
        <f>IF($P3650="","",$B3650/$P3650-1)</f>
        <v/>
      </c>
    </row>
    <row r="3651">
      <c r="A3651" s="11" t="n"/>
      <c r="B3651" s="29" t="n"/>
      <c r="K3651" s="30" t="str">
        <f>IF($A3651="","",EDATE($A3651,12*$E$4))</f>
        <v/>
      </c>
      <c r="L3651" s="19" t="str">
        <f>IF($K3651="","",IF($K3651&gt;MAX($A$8:$A$5007),"",IFERROR(MATCH($K3651,$A$8:$A$5007,1),"")))</f>
        <v/>
      </c>
      <c r="M3651" s="30" t="str">
        <f>IF($L3651="","",INDEX($A$8:$A$5007,$L3651))</f>
        <v/>
      </c>
      <c r="N3651" s="31" t="str">
        <f>IF($L3651="","",INDEX($B$8:$B$5007,$L3651))</f>
        <v/>
      </c>
      <c r="O3651" s="32" t="str">
        <f>IF($M3651="","",IF($K3651-$M3651&gt;7,"",IF($M3651&lt;=$A3651,"",IF(OR($B3651&lt;=0,$N3651&lt;=0),"",($N3651/$B3651)^(365/($M3651-$A3651))-1))))</f>
        <v/>
      </c>
      <c r="P3651" s="31" t="str">
        <f>IF($B3651="","",IF($P3650="",$B3651,MAX($P3650,$B3651)))</f>
        <v/>
      </c>
      <c r="Q3651" s="32" t="str">
        <f>IF($P3651="","",$B3651/$P3651-1)</f>
        <v/>
      </c>
    </row>
    <row r="3652">
      <c r="A3652" s="11" t="n"/>
      <c r="B3652" s="29" t="n"/>
      <c r="K3652" s="30" t="str">
        <f>IF($A3652="","",EDATE($A3652,12*$E$4))</f>
        <v/>
      </c>
      <c r="L3652" s="19" t="str">
        <f>IF($K3652="","",IF($K3652&gt;MAX($A$8:$A$5007),"",IFERROR(MATCH($K3652,$A$8:$A$5007,1),"")))</f>
        <v/>
      </c>
      <c r="M3652" s="30" t="str">
        <f>IF($L3652="","",INDEX($A$8:$A$5007,$L3652))</f>
        <v/>
      </c>
      <c r="N3652" s="31" t="str">
        <f>IF($L3652="","",INDEX($B$8:$B$5007,$L3652))</f>
        <v/>
      </c>
      <c r="O3652" s="32" t="str">
        <f>IF($M3652="","",IF($K3652-$M3652&gt;7,"",IF($M3652&lt;=$A3652,"",IF(OR($B3652&lt;=0,$N3652&lt;=0),"",($N3652/$B3652)^(365/($M3652-$A3652))-1))))</f>
        <v/>
      </c>
      <c r="P3652" s="31" t="str">
        <f>IF($B3652="","",IF($P3651="",$B3652,MAX($P3651,$B3652)))</f>
        <v/>
      </c>
      <c r="Q3652" s="32" t="str">
        <f>IF($P3652="","",$B3652/$P3652-1)</f>
        <v/>
      </c>
    </row>
    <row r="3653">
      <c r="A3653" s="11" t="n"/>
      <c r="B3653" s="29" t="n"/>
      <c r="K3653" s="30" t="str">
        <f>IF($A3653="","",EDATE($A3653,12*$E$4))</f>
        <v/>
      </c>
      <c r="L3653" s="19" t="str">
        <f>IF($K3653="","",IF($K3653&gt;MAX($A$8:$A$5007),"",IFERROR(MATCH($K3653,$A$8:$A$5007,1),"")))</f>
        <v/>
      </c>
      <c r="M3653" s="30" t="str">
        <f>IF($L3653="","",INDEX($A$8:$A$5007,$L3653))</f>
        <v/>
      </c>
      <c r="N3653" s="31" t="str">
        <f>IF($L3653="","",INDEX($B$8:$B$5007,$L3653))</f>
        <v/>
      </c>
      <c r="O3653" s="32" t="str">
        <f>IF($M3653="","",IF($K3653-$M3653&gt;7,"",IF($M3653&lt;=$A3653,"",IF(OR($B3653&lt;=0,$N3653&lt;=0),"",($N3653/$B3653)^(365/($M3653-$A3653))-1))))</f>
        <v/>
      </c>
      <c r="P3653" s="31" t="str">
        <f>IF($B3653="","",IF($P3652="",$B3653,MAX($P3652,$B3653)))</f>
        <v/>
      </c>
      <c r="Q3653" s="32" t="str">
        <f>IF($P3653="","",$B3653/$P3653-1)</f>
        <v/>
      </c>
    </row>
    <row r="3654">
      <c r="A3654" s="11" t="n"/>
      <c r="B3654" s="29" t="n"/>
      <c r="K3654" s="30" t="str">
        <f>IF($A3654="","",EDATE($A3654,12*$E$4))</f>
        <v/>
      </c>
      <c r="L3654" s="19" t="str">
        <f>IF($K3654="","",IF($K3654&gt;MAX($A$8:$A$5007),"",IFERROR(MATCH($K3654,$A$8:$A$5007,1),"")))</f>
        <v/>
      </c>
      <c r="M3654" s="30" t="str">
        <f>IF($L3654="","",INDEX($A$8:$A$5007,$L3654))</f>
        <v/>
      </c>
      <c r="N3654" s="31" t="str">
        <f>IF($L3654="","",INDEX($B$8:$B$5007,$L3654))</f>
        <v/>
      </c>
      <c r="O3654" s="32" t="str">
        <f>IF($M3654="","",IF($K3654-$M3654&gt;7,"",IF($M3654&lt;=$A3654,"",IF(OR($B3654&lt;=0,$N3654&lt;=0),"",($N3654/$B3654)^(365/($M3654-$A3654))-1))))</f>
        <v/>
      </c>
      <c r="P3654" s="31" t="str">
        <f>IF($B3654="","",IF($P3653="",$B3654,MAX($P3653,$B3654)))</f>
        <v/>
      </c>
      <c r="Q3654" s="32" t="str">
        <f>IF($P3654="","",$B3654/$P3654-1)</f>
        <v/>
      </c>
    </row>
    <row r="3655">
      <c r="A3655" s="11" t="n"/>
      <c r="B3655" s="29" t="n"/>
      <c r="K3655" s="30" t="str">
        <f>IF($A3655="","",EDATE($A3655,12*$E$4))</f>
        <v/>
      </c>
      <c r="L3655" s="19" t="str">
        <f>IF($K3655="","",IF($K3655&gt;MAX($A$8:$A$5007),"",IFERROR(MATCH($K3655,$A$8:$A$5007,1),"")))</f>
        <v/>
      </c>
      <c r="M3655" s="30" t="str">
        <f>IF($L3655="","",INDEX($A$8:$A$5007,$L3655))</f>
        <v/>
      </c>
      <c r="N3655" s="31" t="str">
        <f>IF($L3655="","",INDEX($B$8:$B$5007,$L3655))</f>
        <v/>
      </c>
      <c r="O3655" s="32" t="str">
        <f>IF($M3655="","",IF($K3655-$M3655&gt;7,"",IF($M3655&lt;=$A3655,"",IF(OR($B3655&lt;=0,$N3655&lt;=0),"",($N3655/$B3655)^(365/($M3655-$A3655))-1))))</f>
        <v/>
      </c>
      <c r="P3655" s="31" t="str">
        <f>IF($B3655="","",IF($P3654="",$B3655,MAX($P3654,$B3655)))</f>
        <v/>
      </c>
      <c r="Q3655" s="32" t="str">
        <f>IF($P3655="","",$B3655/$P3655-1)</f>
        <v/>
      </c>
    </row>
    <row r="3656">
      <c r="A3656" s="11" t="n"/>
      <c r="B3656" s="29" t="n"/>
      <c r="K3656" s="30" t="str">
        <f>IF($A3656="","",EDATE($A3656,12*$E$4))</f>
        <v/>
      </c>
      <c r="L3656" s="19" t="str">
        <f>IF($K3656="","",IF($K3656&gt;MAX($A$8:$A$5007),"",IFERROR(MATCH($K3656,$A$8:$A$5007,1),"")))</f>
        <v/>
      </c>
      <c r="M3656" s="30" t="str">
        <f>IF($L3656="","",INDEX($A$8:$A$5007,$L3656))</f>
        <v/>
      </c>
      <c r="N3656" s="31" t="str">
        <f>IF($L3656="","",INDEX($B$8:$B$5007,$L3656))</f>
        <v/>
      </c>
      <c r="O3656" s="32" t="str">
        <f>IF($M3656="","",IF($K3656-$M3656&gt;7,"",IF($M3656&lt;=$A3656,"",IF(OR($B3656&lt;=0,$N3656&lt;=0),"",($N3656/$B3656)^(365/($M3656-$A3656))-1))))</f>
        <v/>
      </c>
      <c r="P3656" s="31" t="str">
        <f>IF($B3656="","",IF($P3655="",$B3656,MAX($P3655,$B3656)))</f>
        <v/>
      </c>
      <c r="Q3656" s="32" t="str">
        <f>IF($P3656="","",$B3656/$P3656-1)</f>
        <v/>
      </c>
    </row>
    <row r="3657">
      <c r="A3657" s="11" t="n"/>
      <c r="B3657" s="29" t="n"/>
      <c r="K3657" s="30" t="str">
        <f>IF($A3657="","",EDATE($A3657,12*$E$4))</f>
        <v/>
      </c>
      <c r="L3657" s="19" t="str">
        <f>IF($K3657="","",IF($K3657&gt;MAX($A$8:$A$5007),"",IFERROR(MATCH($K3657,$A$8:$A$5007,1),"")))</f>
        <v/>
      </c>
      <c r="M3657" s="30" t="str">
        <f>IF($L3657="","",INDEX($A$8:$A$5007,$L3657))</f>
        <v/>
      </c>
      <c r="N3657" s="31" t="str">
        <f>IF($L3657="","",INDEX($B$8:$B$5007,$L3657))</f>
        <v/>
      </c>
      <c r="O3657" s="32" t="str">
        <f>IF($M3657="","",IF($K3657-$M3657&gt;7,"",IF($M3657&lt;=$A3657,"",IF(OR($B3657&lt;=0,$N3657&lt;=0),"",($N3657/$B3657)^(365/($M3657-$A3657))-1))))</f>
        <v/>
      </c>
      <c r="P3657" s="31" t="str">
        <f>IF($B3657="","",IF($P3656="",$B3657,MAX($P3656,$B3657)))</f>
        <v/>
      </c>
      <c r="Q3657" s="32" t="str">
        <f>IF($P3657="","",$B3657/$P3657-1)</f>
        <v/>
      </c>
    </row>
    <row r="3658">
      <c r="A3658" s="11" t="n"/>
      <c r="B3658" s="29" t="n"/>
      <c r="K3658" s="30" t="str">
        <f>IF($A3658="","",EDATE($A3658,12*$E$4))</f>
        <v/>
      </c>
      <c r="L3658" s="19" t="str">
        <f>IF($K3658="","",IF($K3658&gt;MAX($A$8:$A$5007),"",IFERROR(MATCH($K3658,$A$8:$A$5007,1),"")))</f>
        <v/>
      </c>
      <c r="M3658" s="30" t="str">
        <f>IF($L3658="","",INDEX($A$8:$A$5007,$L3658))</f>
        <v/>
      </c>
      <c r="N3658" s="31" t="str">
        <f>IF($L3658="","",INDEX($B$8:$B$5007,$L3658))</f>
        <v/>
      </c>
      <c r="O3658" s="32" t="str">
        <f>IF($M3658="","",IF($K3658-$M3658&gt;7,"",IF($M3658&lt;=$A3658,"",IF(OR($B3658&lt;=0,$N3658&lt;=0),"",($N3658/$B3658)^(365/($M3658-$A3658))-1))))</f>
        <v/>
      </c>
      <c r="P3658" s="31" t="str">
        <f>IF($B3658="","",IF($P3657="",$B3658,MAX($P3657,$B3658)))</f>
        <v/>
      </c>
      <c r="Q3658" s="32" t="str">
        <f>IF($P3658="","",$B3658/$P3658-1)</f>
        <v/>
      </c>
    </row>
    <row r="3659">
      <c r="A3659" s="11" t="n"/>
      <c r="B3659" s="29" t="n"/>
      <c r="K3659" s="30" t="str">
        <f>IF($A3659="","",EDATE($A3659,12*$E$4))</f>
        <v/>
      </c>
      <c r="L3659" s="19" t="str">
        <f>IF($K3659="","",IF($K3659&gt;MAX($A$8:$A$5007),"",IFERROR(MATCH($K3659,$A$8:$A$5007,1),"")))</f>
        <v/>
      </c>
      <c r="M3659" s="30" t="str">
        <f>IF($L3659="","",INDEX($A$8:$A$5007,$L3659))</f>
        <v/>
      </c>
      <c r="N3659" s="31" t="str">
        <f>IF($L3659="","",INDEX($B$8:$B$5007,$L3659))</f>
        <v/>
      </c>
      <c r="O3659" s="32" t="str">
        <f>IF($M3659="","",IF($K3659-$M3659&gt;7,"",IF($M3659&lt;=$A3659,"",IF(OR($B3659&lt;=0,$N3659&lt;=0),"",($N3659/$B3659)^(365/($M3659-$A3659))-1))))</f>
        <v/>
      </c>
      <c r="P3659" s="31" t="str">
        <f>IF($B3659="","",IF($P3658="",$B3659,MAX($P3658,$B3659)))</f>
        <v/>
      </c>
      <c r="Q3659" s="32" t="str">
        <f>IF($P3659="","",$B3659/$P3659-1)</f>
        <v/>
      </c>
    </row>
    <row r="3660">
      <c r="A3660" s="11" t="n"/>
      <c r="B3660" s="29" t="n"/>
      <c r="K3660" s="30" t="str">
        <f>IF($A3660="","",EDATE($A3660,12*$E$4))</f>
        <v/>
      </c>
      <c r="L3660" s="19" t="str">
        <f>IF($K3660="","",IF($K3660&gt;MAX($A$8:$A$5007),"",IFERROR(MATCH($K3660,$A$8:$A$5007,1),"")))</f>
        <v/>
      </c>
      <c r="M3660" s="30" t="str">
        <f>IF($L3660="","",INDEX($A$8:$A$5007,$L3660))</f>
        <v/>
      </c>
      <c r="N3660" s="31" t="str">
        <f>IF($L3660="","",INDEX($B$8:$B$5007,$L3660))</f>
        <v/>
      </c>
      <c r="O3660" s="32" t="str">
        <f>IF($M3660="","",IF($K3660-$M3660&gt;7,"",IF($M3660&lt;=$A3660,"",IF(OR($B3660&lt;=0,$N3660&lt;=0),"",($N3660/$B3660)^(365/($M3660-$A3660))-1))))</f>
        <v/>
      </c>
      <c r="P3660" s="31" t="str">
        <f>IF($B3660="","",IF($P3659="",$B3660,MAX($P3659,$B3660)))</f>
        <v/>
      </c>
      <c r="Q3660" s="32" t="str">
        <f>IF($P3660="","",$B3660/$P3660-1)</f>
        <v/>
      </c>
    </row>
    <row r="3661">
      <c r="A3661" s="11" t="n"/>
      <c r="B3661" s="29" t="n"/>
      <c r="K3661" s="30" t="str">
        <f>IF($A3661="","",EDATE($A3661,12*$E$4))</f>
        <v/>
      </c>
      <c r="L3661" s="19" t="str">
        <f>IF($K3661="","",IF($K3661&gt;MAX($A$8:$A$5007),"",IFERROR(MATCH($K3661,$A$8:$A$5007,1),"")))</f>
        <v/>
      </c>
      <c r="M3661" s="30" t="str">
        <f>IF($L3661="","",INDEX($A$8:$A$5007,$L3661))</f>
        <v/>
      </c>
      <c r="N3661" s="31" t="str">
        <f>IF($L3661="","",INDEX($B$8:$B$5007,$L3661))</f>
        <v/>
      </c>
      <c r="O3661" s="32" t="str">
        <f>IF($M3661="","",IF($K3661-$M3661&gt;7,"",IF($M3661&lt;=$A3661,"",IF(OR($B3661&lt;=0,$N3661&lt;=0),"",($N3661/$B3661)^(365/($M3661-$A3661))-1))))</f>
        <v/>
      </c>
      <c r="P3661" s="31" t="str">
        <f>IF($B3661="","",IF($P3660="",$B3661,MAX($P3660,$B3661)))</f>
        <v/>
      </c>
      <c r="Q3661" s="32" t="str">
        <f>IF($P3661="","",$B3661/$P3661-1)</f>
        <v/>
      </c>
    </row>
    <row r="3662">
      <c r="A3662" s="11" t="n"/>
      <c r="B3662" s="29" t="n"/>
      <c r="K3662" s="30" t="str">
        <f>IF($A3662="","",EDATE($A3662,12*$E$4))</f>
        <v/>
      </c>
      <c r="L3662" s="19" t="str">
        <f>IF($K3662="","",IF($K3662&gt;MAX($A$8:$A$5007),"",IFERROR(MATCH($K3662,$A$8:$A$5007,1),"")))</f>
        <v/>
      </c>
      <c r="M3662" s="30" t="str">
        <f>IF($L3662="","",INDEX($A$8:$A$5007,$L3662))</f>
        <v/>
      </c>
      <c r="N3662" s="31" t="str">
        <f>IF($L3662="","",INDEX($B$8:$B$5007,$L3662))</f>
        <v/>
      </c>
      <c r="O3662" s="32" t="str">
        <f>IF($M3662="","",IF($K3662-$M3662&gt;7,"",IF($M3662&lt;=$A3662,"",IF(OR($B3662&lt;=0,$N3662&lt;=0),"",($N3662/$B3662)^(365/($M3662-$A3662))-1))))</f>
        <v/>
      </c>
      <c r="P3662" s="31" t="str">
        <f>IF($B3662="","",IF($P3661="",$B3662,MAX($P3661,$B3662)))</f>
        <v/>
      </c>
      <c r="Q3662" s="32" t="str">
        <f>IF($P3662="","",$B3662/$P3662-1)</f>
        <v/>
      </c>
    </row>
    <row r="3663">
      <c r="A3663" s="11" t="n"/>
      <c r="B3663" s="29" t="n"/>
      <c r="K3663" s="30" t="str">
        <f>IF($A3663="","",EDATE($A3663,12*$E$4))</f>
        <v/>
      </c>
      <c r="L3663" s="19" t="str">
        <f>IF($K3663="","",IF($K3663&gt;MAX($A$8:$A$5007),"",IFERROR(MATCH($K3663,$A$8:$A$5007,1),"")))</f>
        <v/>
      </c>
      <c r="M3663" s="30" t="str">
        <f>IF($L3663="","",INDEX($A$8:$A$5007,$L3663))</f>
        <v/>
      </c>
      <c r="N3663" s="31" t="str">
        <f>IF($L3663="","",INDEX($B$8:$B$5007,$L3663))</f>
        <v/>
      </c>
      <c r="O3663" s="32" t="str">
        <f>IF($M3663="","",IF($K3663-$M3663&gt;7,"",IF($M3663&lt;=$A3663,"",IF(OR($B3663&lt;=0,$N3663&lt;=0),"",($N3663/$B3663)^(365/($M3663-$A3663))-1))))</f>
        <v/>
      </c>
      <c r="P3663" s="31" t="str">
        <f>IF($B3663="","",IF($P3662="",$B3663,MAX($P3662,$B3663)))</f>
        <v/>
      </c>
      <c r="Q3663" s="32" t="str">
        <f>IF($P3663="","",$B3663/$P3663-1)</f>
        <v/>
      </c>
    </row>
    <row r="3664">
      <c r="A3664" s="11" t="n"/>
      <c r="B3664" s="29" t="n"/>
      <c r="K3664" s="30" t="str">
        <f>IF($A3664="","",EDATE($A3664,12*$E$4))</f>
        <v/>
      </c>
      <c r="L3664" s="19" t="str">
        <f>IF($K3664="","",IF($K3664&gt;MAX($A$8:$A$5007),"",IFERROR(MATCH($K3664,$A$8:$A$5007,1),"")))</f>
        <v/>
      </c>
      <c r="M3664" s="30" t="str">
        <f>IF($L3664="","",INDEX($A$8:$A$5007,$L3664))</f>
        <v/>
      </c>
      <c r="N3664" s="31" t="str">
        <f>IF($L3664="","",INDEX($B$8:$B$5007,$L3664))</f>
        <v/>
      </c>
      <c r="O3664" s="32" t="str">
        <f>IF($M3664="","",IF($K3664-$M3664&gt;7,"",IF($M3664&lt;=$A3664,"",IF(OR($B3664&lt;=0,$N3664&lt;=0),"",($N3664/$B3664)^(365/($M3664-$A3664))-1))))</f>
        <v/>
      </c>
      <c r="P3664" s="31" t="str">
        <f>IF($B3664="","",IF($P3663="",$B3664,MAX($P3663,$B3664)))</f>
        <v/>
      </c>
      <c r="Q3664" s="32" t="str">
        <f>IF($P3664="","",$B3664/$P3664-1)</f>
        <v/>
      </c>
    </row>
    <row r="3665">
      <c r="A3665" s="11" t="n"/>
      <c r="B3665" s="29" t="n"/>
      <c r="K3665" s="30" t="str">
        <f>IF($A3665="","",EDATE($A3665,12*$E$4))</f>
        <v/>
      </c>
      <c r="L3665" s="19" t="str">
        <f>IF($K3665="","",IF($K3665&gt;MAX($A$8:$A$5007),"",IFERROR(MATCH($K3665,$A$8:$A$5007,1),"")))</f>
        <v/>
      </c>
      <c r="M3665" s="30" t="str">
        <f>IF($L3665="","",INDEX($A$8:$A$5007,$L3665))</f>
        <v/>
      </c>
      <c r="N3665" s="31" t="str">
        <f>IF($L3665="","",INDEX($B$8:$B$5007,$L3665))</f>
        <v/>
      </c>
      <c r="O3665" s="32" t="str">
        <f>IF($M3665="","",IF($K3665-$M3665&gt;7,"",IF($M3665&lt;=$A3665,"",IF(OR($B3665&lt;=0,$N3665&lt;=0),"",($N3665/$B3665)^(365/($M3665-$A3665))-1))))</f>
        <v/>
      </c>
      <c r="P3665" s="31" t="str">
        <f>IF($B3665="","",IF($P3664="",$B3665,MAX($P3664,$B3665)))</f>
        <v/>
      </c>
      <c r="Q3665" s="32" t="str">
        <f>IF($P3665="","",$B3665/$P3665-1)</f>
        <v/>
      </c>
    </row>
    <row r="3666">
      <c r="A3666" s="11" t="n"/>
      <c r="B3666" s="29" t="n"/>
      <c r="K3666" s="30" t="str">
        <f>IF($A3666="","",EDATE($A3666,12*$E$4))</f>
        <v/>
      </c>
      <c r="L3666" s="19" t="str">
        <f>IF($K3666="","",IF($K3666&gt;MAX($A$8:$A$5007),"",IFERROR(MATCH($K3666,$A$8:$A$5007,1),"")))</f>
        <v/>
      </c>
      <c r="M3666" s="30" t="str">
        <f>IF($L3666="","",INDEX($A$8:$A$5007,$L3666))</f>
        <v/>
      </c>
      <c r="N3666" s="31" t="str">
        <f>IF($L3666="","",INDEX($B$8:$B$5007,$L3666))</f>
        <v/>
      </c>
      <c r="O3666" s="32" t="str">
        <f>IF($M3666="","",IF($K3666-$M3666&gt;7,"",IF($M3666&lt;=$A3666,"",IF(OR($B3666&lt;=0,$N3666&lt;=0),"",($N3666/$B3666)^(365/($M3666-$A3666))-1))))</f>
        <v/>
      </c>
      <c r="P3666" s="31" t="str">
        <f>IF($B3666="","",IF($P3665="",$B3666,MAX($P3665,$B3666)))</f>
        <v/>
      </c>
      <c r="Q3666" s="32" t="str">
        <f>IF($P3666="","",$B3666/$P3666-1)</f>
        <v/>
      </c>
    </row>
    <row r="3667">
      <c r="A3667" s="11" t="n"/>
      <c r="B3667" s="29" t="n"/>
      <c r="K3667" s="30" t="str">
        <f>IF($A3667="","",EDATE($A3667,12*$E$4))</f>
        <v/>
      </c>
      <c r="L3667" s="19" t="str">
        <f>IF($K3667="","",IF($K3667&gt;MAX($A$8:$A$5007),"",IFERROR(MATCH($K3667,$A$8:$A$5007,1),"")))</f>
        <v/>
      </c>
      <c r="M3667" s="30" t="str">
        <f>IF($L3667="","",INDEX($A$8:$A$5007,$L3667))</f>
        <v/>
      </c>
      <c r="N3667" s="31" t="str">
        <f>IF($L3667="","",INDEX($B$8:$B$5007,$L3667))</f>
        <v/>
      </c>
      <c r="O3667" s="32" t="str">
        <f>IF($M3667="","",IF($K3667-$M3667&gt;7,"",IF($M3667&lt;=$A3667,"",IF(OR($B3667&lt;=0,$N3667&lt;=0),"",($N3667/$B3667)^(365/($M3667-$A3667))-1))))</f>
        <v/>
      </c>
      <c r="P3667" s="31" t="str">
        <f>IF($B3667="","",IF($P3666="",$B3667,MAX($P3666,$B3667)))</f>
        <v/>
      </c>
      <c r="Q3667" s="32" t="str">
        <f>IF($P3667="","",$B3667/$P3667-1)</f>
        <v/>
      </c>
    </row>
    <row r="3668">
      <c r="A3668" s="11" t="n"/>
      <c r="B3668" s="29" t="n"/>
      <c r="K3668" s="30" t="str">
        <f>IF($A3668="","",EDATE($A3668,12*$E$4))</f>
        <v/>
      </c>
      <c r="L3668" s="19" t="str">
        <f>IF($K3668="","",IF($K3668&gt;MAX($A$8:$A$5007),"",IFERROR(MATCH($K3668,$A$8:$A$5007,1),"")))</f>
        <v/>
      </c>
      <c r="M3668" s="30" t="str">
        <f>IF($L3668="","",INDEX($A$8:$A$5007,$L3668))</f>
        <v/>
      </c>
      <c r="N3668" s="31" t="str">
        <f>IF($L3668="","",INDEX($B$8:$B$5007,$L3668))</f>
        <v/>
      </c>
      <c r="O3668" s="32" t="str">
        <f>IF($M3668="","",IF($K3668-$M3668&gt;7,"",IF($M3668&lt;=$A3668,"",IF(OR($B3668&lt;=0,$N3668&lt;=0),"",($N3668/$B3668)^(365/($M3668-$A3668))-1))))</f>
        <v/>
      </c>
      <c r="P3668" s="31" t="str">
        <f>IF($B3668="","",IF($P3667="",$B3668,MAX($P3667,$B3668)))</f>
        <v/>
      </c>
      <c r="Q3668" s="32" t="str">
        <f>IF($P3668="","",$B3668/$P3668-1)</f>
        <v/>
      </c>
    </row>
    <row r="3669">
      <c r="A3669" s="11" t="n"/>
      <c r="B3669" s="29" t="n"/>
      <c r="K3669" s="30" t="str">
        <f>IF($A3669="","",EDATE($A3669,12*$E$4))</f>
        <v/>
      </c>
      <c r="L3669" s="19" t="str">
        <f>IF($K3669="","",IF($K3669&gt;MAX($A$8:$A$5007),"",IFERROR(MATCH($K3669,$A$8:$A$5007,1),"")))</f>
        <v/>
      </c>
      <c r="M3669" s="30" t="str">
        <f>IF($L3669="","",INDEX($A$8:$A$5007,$L3669))</f>
        <v/>
      </c>
      <c r="N3669" s="31" t="str">
        <f>IF($L3669="","",INDEX($B$8:$B$5007,$L3669))</f>
        <v/>
      </c>
      <c r="O3669" s="32" t="str">
        <f>IF($M3669="","",IF($K3669-$M3669&gt;7,"",IF($M3669&lt;=$A3669,"",IF(OR($B3669&lt;=0,$N3669&lt;=0),"",($N3669/$B3669)^(365/($M3669-$A3669))-1))))</f>
        <v/>
      </c>
      <c r="P3669" s="31" t="str">
        <f>IF($B3669="","",IF($P3668="",$B3669,MAX($P3668,$B3669)))</f>
        <v/>
      </c>
      <c r="Q3669" s="32" t="str">
        <f>IF($P3669="","",$B3669/$P3669-1)</f>
        <v/>
      </c>
    </row>
    <row r="3670">
      <c r="A3670" s="11" t="n"/>
      <c r="B3670" s="29" t="n"/>
      <c r="K3670" s="30" t="str">
        <f>IF($A3670="","",EDATE($A3670,12*$E$4))</f>
        <v/>
      </c>
      <c r="L3670" s="19" t="str">
        <f>IF($K3670="","",IF($K3670&gt;MAX($A$8:$A$5007),"",IFERROR(MATCH($K3670,$A$8:$A$5007,1),"")))</f>
        <v/>
      </c>
      <c r="M3670" s="30" t="str">
        <f>IF($L3670="","",INDEX($A$8:$A$5007,$L3670))</f>
        <v/>
      </c>
      <c r="N3670" s="31" t="str">
        <f>IF($L3670="","",INDEX($B$8:$B$5007,$L3670))</f>
        <v/>
      </c>
      <c r="O3670" s="32" t="str">
        <f>IF($M3670="","",IF($K3670-$M3670&gt;7,"",IF($M3670&lt;=$A3670,"",IF(OR($B3670&lt;=0,$N3670&lt;=0),"",($N3670/$B3670)^(365/($M3670-$A3670))-1))))</f>
        <v/>
      </c>
      <c r="P3670" s="31" t="str">
        <f>IF($B3670="","",IF($P3669="",$B3670,MAX($P3669,$B3670)))</f>
        <v/>
      </c>
      <c r="Q3670" s="32" t="str">
        <f>IF($P3670="","",$B3670/$P3670-1)</f>
        <v/>
      </c>
    </row>
    <row r="3671">
      <c r="A3671" s="11" t="n"/>
      <c r="B3671" s="29" t="n"/>
      <c r="K3671" s="30" t="str">
        <f>IF($A3671="","",EDATE($A3671,12*$E$4))</f>
        <v/>
      </c>
      <c r="L3671" s="19" t="str">
        <f>IF($K3671="","",IF($K3671&gt;MAX($A$8:$A$5007),"",IFERROR(MATCH($K3671,$A$8:$A$5007,1),"")))</f>
        <v/>
      </c>
      <c r="M3671" s="30" t="str">
        <f>IF($L3671="","",INDEX($A$8:$A$5007,$L3671))</f>
        <v/>
      </c>
      <c r="N3671" s="31" t="str">
        <f>IF($L3671="","",INDEX($B$8:$B$5007,$L3671))</f>
        <v/>
      </c>
      <c r="O3671" s="32" t="str">
        <f>IF($M3671="","",IF($K3671-$M3671&gt;7,"",IF($M3671&lt;=$A3671,"",IF(OR($B3671&lt;=0,$N3671&lt;=0),"",($N3671/$B3671)^(365/($M3671-$A3671))-1))))</f>
        <v/>
      </c>
      <c r="P3671" s="31" t="str">
        <f>IF($B3671="","",IF($P3670="",$B3671,MAX($P3670,$B3671)))</f>
        <v/>
      </c>
      <c r="Q3671" s="32" t="str">
        <f>IF($P3671="","",$B3671/$P3671-1)</f>
        <v/>
      </c>
    </row>
    <row r="3672">
      <c r="A3672" s="11" t="n"/>
      <c r="B3672" s="29" t="n"/>
      <c r="K3672" s="30" t="str">
        <f>IF($A3672="","",EDATE($A3672,12*$E$4))</f>
        <v/>
      </c>
      <c r="L3672" s="19" t="str">
        <f>IF($K3672="","",IF($K3672&gt;MAX($A$8:$A$5007),"",IFERROR(MATCH($K3672,$A$8:$A$5007,1),"")))</f>
        <v/>
      </c>
      <c r="M3672" s="30" t="str">
        <f>IF($L3672="","",INDEX($A$8:$A$5007,$L3672))</f>
        <v/>
      </c>
      <c r="N3672" s="31" t="str">
        <f>IF($L3672="","",INDEX($B$8:$B$5007,$L3672))</f>
        <v/>
      </c>
      <c r="O3672" s="32" t="str">
        <f>IF($M3672="","",IF($K3672-$M3672&gt;7,"",IF($M3672&lt;=$A3672,"",IF(OR($B3672&lt;=0,$N3672&lt;=0),"",($N3672/$B3672)^(365/($M3672-$A3672))-1))))</f>
        <v/>
      </c>
      <c r="P3672" s="31" t="str">
        <f>IF($B3672="","",IF($P3671="",$B3672,MAX($P3671,$B3672)))</f>
        <v/>
      </c>
      <c r="Q3672" s="32" t="str">
        <f>IF($P3672="","",$B3672/$P3672-1)</f>
        <v/>
      </c>
    </row>
    <row r="3673">
      <c r="A3673" s="11" t="n"/>
      <c r="B3673" s="29" t="n"/>
      <c r="K3673" s="30" t="str">
        <f>IF($A3673="","",EDATE($A3673,12*$E$4))</f>
        <v/>
      </c>
      <c r="L3673" s="19" t="str">
        <f>IF($K3673="","",IF($K3673&gt;MAX($A$8:$A$5007),"",IFERROR(MATCH($K3673,$A$8:$A$5007,1),"")))</f>
        <v/>
      </c>
      <c r="M3673" s="30" t="str">
        <f>IF($L3673="","",INDEX($A$8:$A$5007,$L3673))</f>
        <v/>
      </c>
      <c r="N3673" s="31" t="str">
        <f>IF($L3673="","",INDEX($B$8:$B$5007,$L3673))</f>
        <v/>
      </c>
      <c r="O3673" s="32" t="str">
        <f>IF($M3673="","",IF($K3673-$M3673&gt;7,"",IF($M3673&lt;=$A3673,"",IF(OR($B3673&lt;=0,$N3673&lt;=0),"",($N3673/$B3673)^(365/($M3673-$A3673))-1))))</f>
        <v/>
      </c>
      <c r="P3673" s="31" t="str">
        <f>IF($B3673="","",IF($P3672="",$B3673,MAX($P3672,$B3673)))</f>
        <v/>
      </c>
      <c r="Q3673" s="32" t="str">
        <f>IF($P3673="","",$B3673/$P3673-1)</f>
        <v/>
      </c>
    </row>
    <row r="3674">
      <c r="A3674" s="11" t="n"/>
      <c r="B3674" s="29" t="n"/>
      <c r="K3674" s="30" t="str">
        <f>IF($A3674="","",EDATE($A3674,12*$E$4))</f>
        <v/>
      </c>
      <c r="L3674" s="19" t="str">
        <f>IF($K3674="","",IF($K3674&gt;MAX($A$8:$A$5007),"",IFERROR(MATCH($K3674,$A$8:$A$5007,1),"")))</f>
        <v/>
      </c>
      <c r="M3674" s="30" t="str">
        <f>IF($L3674="","",INDEX($A$8:$A$5007,$L3674))</f>
        <v/>
      </c>
      <c r="N3674" s="31" t="str">
        <f>IF($L3674="","",INDEX($B$8:$B$5007,$L3674))</f>
        <v/>
      </c>
      <c r="O3674" s="32" t="str">
        <f>IF($M3674="","",IF($K3674-$M3674&gt;7,"",IF($M3674&lt;=$A3674,"",IF(OR($B3674&lt;=0,$N3674&lt;=0),"",($N3674/$B3674)^(365/($M3674-$A3674))-1))))</f>
        <v/>
      </c>
      <c r="P3674" s="31" t="str">
        <f>IF($B3674="","",IF($P3673="",$B3674,MAX($P3673,$B3674)))</f>
        <v/>
      </c>
      <c r="Q3674" s="32" t="str">
        <f>IF($P3674="","",$B3674/$P3674-1)</f>
        <v/>
      </c>
    </row>
    <row r="3675">
      <c r="A3675" s="11" t="n"/>
      <c r="B3675" s="29" t="n"/>
      <c r="K3675" s="30" t="str">
        <f>IF($A3675="","",EDATE($A3675,12*$E$4))</f>
        <v/>
      </c>
      <c r="L3675" s="19" t="str">
        <f>IF($K3675="","",IF($K3675&gt;MAX($A$8:$A$5007),"",IFERROR(MATCH($K3675,$A$8:$A$5007,1),"")))</f>
        <v/>
      </c>
      <c r="M3675" s="30" t="str">
        <f>IF($L3675="","",INDEX($A$8:$A$5007,$L3675))</f>
        <v/>
      </c>
      <c r="N3675" s="31" t="str">
        <f>IF($L3675="","",INDEX($B$8:$B$5007,$L3675))</f>
        <v/>
      </c>
      <c r="O3675" s="32" t="str">
        <f>IF($M3675="","",IF($K3675-$M3675&gt;7,"",IF($M3675&lt;=$A3675,"",IF(OR($B3675&lt;=0,$N3675&lt;=0),"",($N3675/$B3675)^(365/($M3675-$A3675))-1))))</f>
        <v/>
      </c>
      <c r="P3675" s="31" t="str">
        <f>IF($B3675="","",IF($P3674="",$B3675,MAX($P3674,$B3675)))</f>
        <v/>
      </c>
      <c r="Q3675" s="32" t="str">
        <f>IF($P3675="","",$B3675/$P3675-1)</f>
        <v/>
      </c>
    </row>
    <row r="3676">
      <c r="A3676" s="11" t="n"/>
      <c r="B3676" s="29" t="n"/>
      <c r="K3676" s="30" t="str">
        <f>IF($A3676="","",EDATE($A3676,12*$E$4))</f>
        <v/>
      </c>
      <c r="L3676" s="19" t="str">
        <f>IF($K3676="","",IF($K3676&gt;MAX($A$8:$A$5007),"",IFERROR(MATCH($K3676,$A$8:$A$5007,1),"")))</f>
        <v/>
      </c>
      <c r="M3676" s="30" t="str">
        <f>IF($L3676="","",INDEX($A$8:$A$5007,$L3676))</f>
        <v/>
      </c>
      <c r="N3676" s="31" t="str">
        <f>IF($L3676="","",INDEX($B$8:$B$5007,$L3676))</f>
        <v/>
      </c>
      <c r="O3676" s="32" t="str">
        <f>IF($M3676="","",IF($K3676-$M3676&gt;7,"",IF($M3676&lt;=$A3676,"",IF(OR($B3676&lt;=0,$N3676&lt;=0),"",($N3676/$B3676)^(365/($M3676-$A3676))-1))))</f>
        <v/>
      </c>
      <c r="P3676" s="31" t="str">
        <f>IF($B3676="","",IF($P3675="",$B3676,MAX($P3675,$B3676)))</f>
        <v/>
      </c>
      <c r="Q3676" s="32" t="str">
        <f>IF($P3676="","",$B3676/$P3676-1)</f>
        <v/>
      </c>
    </row>
    <row r="3677">
      <c r="A3677" s="11" t="n"/>
      <c r="B3677" s="29" t="n"/>
      <c r="K3677" s="30" t="str">
        <f>IF($A3677="","",EDATE($A3677,12*$E$4))</f>
        <v/>
      </c>
      <c r="L3677" s="19" t="str">
        <f>IF($K3677="","",IF($K3677&gt;MAX($A$8:$A$5007),"",IFERROR(MATCH($K3677,$A$8:$A$5007,1),"")))</f>
        <v/>
      </c>
      <c r="M3677" s="30" t="str">
        <f>IF($L3677="","",INDEX($A$8:$A$5007,$L3677))</f>
        <v/>
      </c>
      <c r="N3677" s="31" t="str">
        <f>IF($L3677="","",INDEX($B$8:$B$5007,$L3677))</f>
        <v/>
      </c>
      <c r="O3677" s="32" t="str">
        <f>IF($M3677="","",IF($K3677-$M3677&gt;7,"",IF($M3677&lt;=$A3677,"",IF(OR($B3677&lt;=0,$N3677&lt;=0),"",($N3677/$B3677)^(365/($M3677-$A3677))-1))))</f>
        <v/>
      </c>
      <c r="P3677" s="31" t="str">
        <f>IF($B3677="","",IF($P3676="",$B3677,MAX($P3676,$B3677)))</f>
        <v/>
      </c>
      <c r="Q3677" s="32" t="str">
        <f>IF($P3677="","",$B3677/$P3677-1)</f>
        <v/>
      </c>
    </row>
    <row r="3678">
      <c r="A3678" s="11" t="n"/>
      <c r="B3678" s="29" t="n"/>
      <c r="K3678" s="30" t="str">
        <f>IF($A3678="","",EDATE($A3678,12*$E$4))</f>
        <v/>
      </c>
      <c r="L3678" s="19" t="str">
        <f>IF($K3678="","",IF($K3678&gt;MAX($A$8:$A$5007),"",IFERROR(MATCH($K3678,$A$8:$A$5007,1),"")))</f>
        <v/>
      </c>
      <c r="M3678" s="30" t="str">
        <f>IF($L3678="","",INDEX($A$8:$A$5007,$L3678))</f>
        <v/>
      </c>
      <c r="N3678" s="31" t="str">
        <f>IF($L3678="","",INDEX($B$8:$B$5007,$L3678))</f>
        <v/>
      </c>
      <c r="O3678" s="32" t="str">
        <f>IF($M3678="","",IF($K3678-$M3678&gt;7,"",IF($M3678&lt;=$A3678,"",IF(OR($B3678&lt;=0,$N3678&lt;=0),"",($N3678/$B3678)^(365/($M3678-$A3678))-1))))</f>
        <v/>
      </c>
      <c r="P3678" s="31" t="str">
        <f>IF($B3678="","",IF($P3677="",$B3678,MAX($P3677,$B3678)))</f>
        <v/>
      </c>
      <c r="Q3678" s="32" t="str">
        <f>IF($P3678="","",$B3678/$P3678-1)</f>
        <v/>
      </c>
    </row>
    <row r="3679">
      <c r="A3679" s="11" t="n"/>
      <c r="B3679" s="29" t="n"/>
      <c r="K3679" s="30" t="str">
        <f>IF($A3679="","",EDATE($A3679,12*$E$4))</f>
        <v/>
      </c>
      <c r="L3679" s="19" t="str">
        <f>IF($K3679="","",IF($K3679&gt;MAX($A$8:$A$5007),"",IFERROR(MATCH($K3679,$A$8:$A$5007,1),"")))</f>
        <v/>
      </c>
      <c r="M3679" s="30" t="str">
        <f>IF($L3679="","",INDEX($A$8:$A$5007,$L3679))</f>
        <v/>
      </c>
      <c r="N3679" s="31" t="str">
        <f>IF($L3679="","",INDEX($B$8:$B$5007,$L3679))</f>
        <v/>
      </c>
      <c r="O3679" s="32" t="str">
        <f>IF($M3679="","",IF($K3679-$M3679&gt;7,"",IF($M3679&lt;=$A3679,"",IF(OR($B3679&lt;=0,$N3679&lt;=0),"",($N3679/$B3679)^(365/($M3679-$A3679))-1))))</f>
        <v/>
      </c>
      <c r="P3679" s="31" t="str">
        <f>IF($B3679="","",IF($P3678="",$B3679,MAX($P3678,$B3679)))</f>
        <v/>
      </c>
      <c r="Q3679" s="32" t="str">
        <f>IF($P3679="","",$B3679/$P3679-1)</f>
        <v/>
      </c>
    </row>
    <row r="3680">
      <c r="A3680" s="11" t="n"/>
      <c r="B3680" s="29" t="n"/>
      <c r="K3680" s="30" t="str">
        <f>IF($A3680="","",EDATE($A3680,12*$E$4))</f>
        <v/>
      </c>
      <c r="L3680" s="19" t="str">
        <f>IF($K3680="","",IF($K3680&gt;MAX($A$8:$A$5007),"",IFERROR(MATCH($K3680,$A$8:$A$5007,1),"")))</f>
        <v/>
      </c>
      <c r="M3680" s="30" t="str">
        <f>IF($L3680="","",INDEX($A$8:$A$5007,$L3680))</f>
        <v/>
      </c>
      <c r="N3680" s="31" t="str">
        <f>IF($L3680="","",INDEX($B$8:$B$5007,$L3680))</f>
        <v/>
      </c>
      <c r="O3680" s="32" t="str">
        <f>IF($M3680="","",IF($K3680-$M3680&gt;7,"",IF($M3680&lt;=$A3680,"",IF(OR($B3680&lt;=0,$N3680&lt;=0),"",($N3680/$B3680)^(365/($M3680-$A3680))-1))))</f>
        <v/>
      </c>
      <c r="P3680" s="31" t="str">
        <f>IF($B3680="","",IF($P3679="",$B3680,MAX($P3679,$B3680)))</f>
        <v/>
      </c>
      <c r="Q3680" s="32" t="str">
        <f>IF($P3680="","",$B3680/$P3680-1)</f>
        <v/>
      </c>
    </row>
    <row r="3681">
      <c r="A3681" s="11" t="n"/>
      <c r="B3681" s="29" t="n"/>
      <c r="K3681" s="30" t="str">
        <f>IF($A3681="","",EDATE($A3681,12*$E$4))</f>
        <v/>
      </c>
      <c r="L3681" s="19" t="str">
        <f>IF($K3681="","",IF($K3681&gt;MAX($A$8:$A$5007),"",IFERROR(MATCH($K3681,$A$8:$A$5007,1),"")))</f>
        <v/>
      </c>
      <c r="M3681" s="30" t="str">
        <f>IF($L3681="","",INDEX($A$8:$A$5007,$L3681))</f>
        <v/>
      </c>
      <c r="N3681" s="31" t="str">
        <f>IF($L3681="","",INDEX($B$8:$B$5007,$L3681))</f>
        <v/>
      </c>
      <c r="O3681" s="32" t="str">
        <f>IF($M3681="","",IF($K3681-$M3681&gt;7,"",IF($M3681&lt;=$A3681,"",IF(OR($B3681&lt;=0,$N3681&lt;=0),"",($N3681/$B3681)^(365/($M3681-$A3681))-1))))</f>
        <v/>
      </c>
      <c r="P3681" s="31" t="str">
        <f>IF($B3681="","",IF($P3680="",$B3681,MAX($P3680,$B3681)))</f>
        <v/>
      </c>
      <c r="Q3681" s="32" t="str">
        <f>IF($P3681="","",$B3681/$P3681-1)</f>
        <v/>
      </c>
    </row>
    <row r="3682">
      <c r="A3682" s="11" t="n"/>
      <c r="B3682" s="29" t="n"/>
      <c r="K3682" s="30" t="str">
        <f>IF($A3682="","",EDATE($A3682,12*$E$4))</f>
        <v/>
      </c>
      <c r="L3682" s="19" t="str">
        <f>IF($K3682="","",IF($K3682&gt;MAX($A$8:$A$5007),"",IFERROR(MATCH($K3682,$A$8:$A$5007,1),"")))</f>
        <v/>
      </c>
      <c r="M3682" s="30" t="str">
        <f>IF($L3682="","",INDEX($A$8:$A$5007,$L3682))</f>
        <v/>
      </c>
      <c r="N3682" s="31" t="str">
        <f>IF($L3682="","",INDEX($B$8:$B$5007,$L3682))</f>
        <v/>
      </c>
      <c r="O3682" s="32" t="str">
        <f>IF($M3682="","",IF($K3682-$M3682&gt;7,"",IF($M3682&lt;=$A3682,"",IF(OR($B3682&lt;=0,$N3682&lt;=0),"",($N3682/$B3682)^(365/($M3682-$A3682))-1))))</f>
        <v/>
      </c>
      <c r="P3682" s="31" t="str">
        <f>IF($B3682="","",IF($P3681="",$B3682,MAX($P3681,$B3682)))</f>
        <v/>
      </c>
      <c r="Q3682" s="32" t="str">
        <f>IF($P3682="","",$B3682/$P3682-1)</f>
        <v/>
      </c>
    </row>
    <row r="3683">
      <c r="A3683" s="11" t="n"/>
      <c r="B3683" s="29" t="n"/>
      <c r="K3683" s="30" t="str">
        <f>IF($A3683="","",EDATE($A3683,12*$E$4))</f>
        <v/>
      </c>
      <c r="L3683" s="19" t="str">
        <f>IF($K3683="","",IF($K3683&gt;MAX($A$8:$A$5007),"",IFERROR(MATCH($K3683,$A$8:$A$5007,1),"")))</f>
        <v/>
      </c>
      <c r="M3683" s="30" t="str">
        <f>IF($L3683="","",INDEX($A$8:$A$5007,$L3683))</f>
        <v/>
      </c>
      <c r="N3683" s="31" t="str">
        <f>IF($L3683="","",INDEX($B$8:$B$5007,$L3683))</f>
        <v/>
      </c>
      <c r="O3683" s="32" t="str">
        <f>IF($M3683="","",IF($K3683-$M3683&gt;7,"",IF($M3683&lt;=$A3683,"",IF(OR($B3683&lt;=0,$N3683&lt;=0),"",($N3683/$B3683)^(365/($M3683-$A3683))-1))))</f>
        <v/>
      </c>
      <c r="P3683" s="31" t="str">
        <f>IF($B3683="","",IF($P3682="",$B3683,MAX($P3682,$B3683)))</f>
        <v/>
      </c>
      <c r="Q3683" s="32" t="str">
        <f>IF($P3683="","",$B3683/$P3683-1)</f>
        <v/>
      </c>
    </row>
    <row r="3684">
      <c r="A3684" s="11" t="n"/>
      <c r="B3684" s="29" t="n"/>
      <c r="K3684" s="30" t="str">
        <f>IF($A3684="","",EDATE($A3684,12*$E$4))</f>
        <v/>
      </c>
      <c r="L3684" s="19" t="str">
        <f>IF($K3684="","",IF($K3684&gt;MAX($A$8:$A$5007),"",IFERROR(MATCH($K3684,$A$8:$A$5007,1),"")))</f>
        <v/>
      </c>
      <c r="M3684" s="30" t="str">
        <f>IF($L3684="","",INDEX($A$8:$A$5007,$L3684))</f>
        <v/>
      </c>
      <c r="N3684" s="31" t="str">
        <f>IF($L3684="","",INDEX($B$8:$B$5007,$L3684))</f>
        <v/>
      </c>
      <c r="O3684" s="32" t="str">
        <f>IF($M3684="","",IF($K3684-$M3684&gt;7,"",IF($M3684&lt;=$A3684,"",IF(OR($B3684&lt;=0,$N3684&lt;=0),"",($N3684/$B3684)^(365/($M3684-$A3684))-1))))</f>
        <v/>
      </c>
      <c r="P3684" s="31" t="str">
        <f>IF($B3684="","",IF($P3683="",$B3684,MAX($P3683,$B3684)))</f>
        <v/>
      </c>
      <c r="Q3684" s="32" t="str">
        <f>IF($P3684="","",$B3684/$P3684-1)</f>
        <v/>
      </c>
    </row>
    <row r="3685">
      <c r="A3685" s="11" t="n"/>
      <c r="B3685" s="29" t="n"/>
      <c r="K3685" s="30" t="str">
        <f>IF($A3685="","",EDATE($A3685,12*$E$4))</f>
        <v/>
      </c>
      <c r="L3685" s="19" t="str">
        <f>IF($K3685="","",IF($K3685&gt;MAX($A$8:$A$5007),"",IFERROR(MATCH($K3685,$A$8:$A$5007,1),"")))</f>
        <v/>
      </c>
      <c r="M3685" s="30" t="str">
        <f>IF($L3685="","",INDEX($A$8:$A$5007,$L3685))</f>
        <v/>
      </c>
      <c r="N3685" s="31" t="str">
        <f>IF($L3685="","",INDEX($B$8:$B$5007,$L3685))</f>
        <v/>
      </c>
      <c r="O3685" s="32" t="str">
        <f>IF($M3685="","",IF($K3685-$M3685&gt;7,"",IF($M3685&lt;=$A3685,"",IF(OR($B3685&lt;=0,$N3685&lt;=0),"",($N3685/$B3685)^(365/($M3685-$A3685))-1))))</f>
        <v/>
      </c>
      <c r="P3685" s="31" t="str">
        <f>IF($B3685="","",IF($P3684="",$B3685,MAX($P3684,$B3685)))</f>
        <v/>
      </c>
      <c r="Q3685" s="32" t="str">
        <f>IF($P3685="","",$B3685/$P3685-1)</f>
        <v/>
      </c>
    </row>
    <row r="3686">
      <c r="A3686" s="11" t="n"/>
      <c r="B3686" s="29" t="n"/>
      <c r="K3686" s="30" t="str">
        <f>IF($A3686="","",EDATE($A3686,12*$E$4))</f>
        <v/>
      </c>
      <c r="L3686" s="19" t="str">
        <f>IF($K3686="","",IF($K3686&gt;MAX($A$8:$A$5007),"",IFERROR(MATCH($K3686,$A$8:$A$5007,1),"")))</f>
        <v/>
      </c>
      <c r="M3686" s="30" t="str">
        <f>IF($L3686="","",INDEX($A$8:$A$5007,$L3686))</f>
        <v/>
      </c>
      <c r="N3686" s="31" t="str">
        <f>IF($L3686="","",INDEX($B$8:$B$5007,$L3686))</f>
        <v/>
      </c>
      <c r="O3686" s="32" t="str">
        <f>IF($M3686="","",IF($K3686-$M3686&gt;7,"",IF($M3686&lt;=$A3686,"",IF(OR($B3686&lt;=0,$N3686&lt;=0),"",($N3686/$B3686)^(365/($M3686-$A3686))-1))))</f>
        <v/>
      </c>
      <c r="P3686" s="31" t="str">
        <f>IF($B3686="","",IF($P3685="",$B3686,MAX($P3685,$B3686)))</f>
        <v/>
      </c>
      <c r="Q3686" s="32" t="str">
        <f>IF($P3686="","",$B3686/$P3686-1)</f>
        <v/>
      </c>
    </row>
    <row r="3687">
      <c r="A3687" s="11" t="n"/>
      <c r="B3687" s="29" t="n"/>
      <c r="K3687" s="30" t="str">
        <f>IF($A3687="","",EDATE($A3687,12*$E$4))</f>
        <v/>
      </c>
      <c r="L3687" s="19" t="str">
        <f>IF($K3687="","",IF($K3687&gt;MAX($A$8:$A$5007),"",IFERROR(MATCH($K3687,$A$8:$A$5007,1),"")))</f>
        <v/>
      </c>
      <c r="M3687" s="30" t="str">
        <f>IF($L3687="","",INDEX($A$8:$A$5007,$L3687))</f>
        <v/>
      </c>
      <c r="N3687" s="31" t="str">
        <f>IF($L3687="","",INDEX($B$8:$B$5007,$L3687))</f>
        <v/>
      </c>
      <c r="O3687" s="32" t="str">
        <f>IF($M3687="","",IF($K3687-$M3687&gt;7,"",IF($M3687&lt;=$A3687,"",IF(OR($B3687&lt;=0,$N3687&lt;=0),"",($N3687/$B3687)^(365/($M3687-$A3687))-1))))</f>
        <v/>
      </c>
      <c r="P3687" s="31" t="str">
        <f>IF($B3687="","",IF($P3686="",$B3687,MAX($P3686,$B3687)))</f>
        <v/>
      </c>
      <c r="Q3687" s="32" t="str">
        <f>IF($P3687="","",$B3687/$P3687-1)</f>
        <v/>
      </c>
    </row>
    <row r="3688">
      <c r="A3688" s="11" t="n"/>
      <c r="B3688" s="29" t="n"/>
      <c r="K3688" s="30" t="str">
        <f>IF($A3688="","",EDATE($A3688,12*$E$4))</f>
        <v/>
      </c>
      <c r="L3688" s="19" t="str">
        <f>IF($K3688="","",IF($K3688&gt;MAX($A$8:$A$5007),"",IFERROR(MATCH($K3688,$A$8:$A$5007,1),"")))</f>
        <v/>
      </c>
      <c r="M3688" s="30" t="str">
        <f>IF($L3688="","",INDEX($A$8:$A$5007,$L3688))</f>
        <v/>
      </c>
      <c r="N3688" s="31" t="str">
        <f>IF($L3688="","",INDEX($B$8:$B$5007,$L3688))</f>
        <v/>
      </c>
      <c r="O3688" s="32" t="str">
        <f>IF($M3688="","",IF($K3688-$M3688&gt;7,"",IF($M3688&lt;=$A3688,"",IF(OR($B3688&lt;=0,$N3688&lt;=0),"",($N3688/$B3688)^(365/($M3688-$A3688))-1))))</f>
        <v/>
      </c>
      <c r="P3688" s="31" t="str">
        <f>IF($B3688="","",IF($P3687="",$B3688,MAX($P3687,$B3688)))</f>
        <v/>
      </c>
      <c r="Q3688" s="32" t="str">
        <f>IF($P3688="","",$B3688/$P3688-1)</f>
        <v/>
      </c>
    </row>
    <row r="3689">
      <c r="A3689" s="11" t="n"/>
      <c r="B3689" s="29" t="n"/>
      <c r="K3689" s="30" t="str">
        <f>IF($A3689="","",EDATE($A3689,12*$E$4))</f>
        <v/>
      </c>
      <c r="L3689" s="19" t="str">
        <f>IF($K3689="","",IF($K3689&gt;MAX($A$8:$A$5007),"",IFERROR(MATCH($K3689,$A$8:$A$5007,1),"")))</f>
        <v/>
      </c>
      <c r="M3689" s="30" t="str">
        <f>IF($L3689="","",INDEX($A$8:$A$5007,$L3689))</f>
        <v/>
      </c>
      <c r="N3689" s="31" t="str">
        <f>IF($L3689="","",INDEX($B$8:$B$5007,$L3689))</f>
        <v/>
      </c>
      <c r="O3689" s="32" t="str">
        <f>IF($M3689="","",IF($K3689-$M3689&gt;7,"",IF($M3689&lt;=$A3689,"",IF(OR($B3689&lt;=0,$N3689&lt;=0),"",($N3689/$B3689)^(365/($M3689-$A3689))-1))))</f>
        <v/>
      </c>
      <c r="P3689" s="31" t="str">
        <f>IF($B3689="","",IF($P3688="",$B3689,MAX($P3688,$B3689)))</f>
        <v/>
      </c>
      <c r="Q3689" s="32" t="str">
        <f>IF($P3689="","",$B3689/$P3689-1)</f>
        <v/>
      </c>
    </row>
    <row r="3690">
      <c r="A3690" s="11" t="n"/>
      <c r="B3690" s="29" t="n"/>
      <c r="K3690" s="30" t="str">
        <f>IF($A3690="","",EDATE($A3690,12*$E$4))</f>
        <v/>
      </c>
      <c r="L3690" s="19" t="str">
        <f>IF($K3690="","",IF($K3690&gt;MAX($A$8:$A$5007),"",IFERROR(MATCH($K3690,$A$8:$A$5007,1),"")))</f>
        <v/>
      </c>
      <c r="M3690" s="30" t="str">
        <f>IF($L3690="","",INDEX($A$8:$A$5007,$L3690))</f>
        <v/>
      </c>
      <c r="N3690" s="31" t="str">
        <f>IF($L3690="","",INDEX($B$8:$B$5007,$L3690))</f>
        <v/>
      </c>
      <c r="O3690" s="32" t="str">
        <f>IF($M3690="","",IF($K3690-$M3690&gt;7,"",IF($M3690&lt;=$A3690,"",IF(OR($B3690&lt;=0,$N3690&lt;=0),"",($N3690/$B3690)^(365/($M3690-$A3690))-1))))</f>
        <v/>
      </c>
      <c r="P3690" s="31" t="str">
        <f>IF($B3690="","",IF($P3689="",$B3690,MAX($P3689,$B3690)))</f>
        <v/>
      </c>
      <c r="Q3690" s="32" t="str">
        <f>IF($P3690="","",$B3690/$P3690-1)</f>
        <v/>
      </c>
    </row>
    <row r="3691">
      <c r="A3691" s="11" t="n"/>
      <c r="B3691" s="29" t="n"/>
      <c r="K3691" s="30" t="str">
        <f>IF($A3691="","",EDATE($A3691,12*$E$4))</f>
        <v/>
      </c>
      <c r="L3691" s="19" t="str">
        <f>IF($K3691="","",IF($K3691&gt;MAX($A$8:$A$5007),"",IFERROR(MATCH($K3691,$A$8:$A$5007,1),"")))</f>
        <v/>
      </c>
      <c r="M3691" s="30" t="str">
        <f>IF($L3691="","",INDEX($A$8:$A$5007,$L3691))</f>
        <v/>
      </c>
      <c r="N3691" s="31" t="str">
        <f>IF($L3691="","",INDEX($B$8:$B$5007,$L3691))</f>
        <v/>
      </c>
      <c r="O3691" s="32" t="str">
        <f>IF($M3691="","",IF($K3691-$M3691&gt;7,"",IF($M3691&lt;=$A3691,"",IF(OR($B3691&lt;=0,$N3691&lt;=0),"",($N3691/$B3691)^(365/($M3691-$A3691))-1))))</f>
        <v/>
      </c>
      <c r="P3691" s="31" t="str">
        <f>IF($B3691="","",IF($P3690="",$B3691,MAX($P3690,$B3691)))</f>
        <v/>
      </c>
      <c r="Q3691" s="32" t="str">
        <f>IF($P3691="","",$B3691/$P3691-1)</f>
        <v/>
      </c>
    </row>
    <row r="3692">
      <c r="A3692" s="11" t="n"/>
      <c r="B3692" s="29" t="n"/>
      <c r="K3692" s="30" t="str">
        <f>IF($A3692="","",EDATE($A3692,12*$E$4))</f>
        <v/>
      </c>
      <c r="L3692" s="19" t="str">
        <f>IF($K3692="","",IF($K3692&gt;MAX($A$8:$A$5007),"",IFERROR(MATCH($K3692,$A$8:$A$5007,1),"")))</f>
        <v/>
      </c>
      <c r="M3692" s="30" t="str">
        <f>IF($L3692="","",INDEX($A$8:$A$5007,$L3692))</f>
        <v/>
      </c>
      <c r="N3692" s="31" t="str">
        <f>IF($L3692="","",INDEX($B$8:$B$5007,$L3692))</f>
        <v/>
      </c>
      <c r="O3692" s="32" t="str">
        <f>IF($M3692="","",IF($K3692-$M3692&gt;7,"",IF($M3692&lt;=$A3692,"",IF(OR($B3692&lt;=0,$N3692&lt;=0),"",($N3692/$B3692)^(365/($M3692-$A3692))-1))))</f>
        <v/>
      </c>
      <c r="P3692" s="31" t="str">
        <f>IF($B3692="","",IF($P3691="",$B3692,MAX($P3691,$B3692)))</f>
        <v/>
      </c>
      <c r="Q3692" s="32" t="str">
        <f>IF($P3692="","",$B3692/$P3692-1)</f>
        <v/>
      </c>
    </row>
    <row r="3693">
      <c r="A3693" s="11" t="n"/>
      <c r="B3693" s="29" t="n"/>
      <c r="K3693" s="30" t="str">
        <f>IF($A3693="","",EDATE($A3693,12*$E$4))</f>
        <v/>
      </c>
      <c r="L3693" s="19" t="str">
        <f>IF($K3693="","",IF($K3693&gt;MAX($A$8:$A$5007),"",IFERROR(MATCH($K3693,$A$8:$A$5007,1),"")))</f>
        <v/>
      </c>
      <c r="M3693" s="30" t="str">
        <f>IF($L3693="","",INDEX($A$8:$A$5007,$L3693))</f>
        <v/>
      </c>
      <c r="N3693" s="31" t="str">
        <f>IF($L3693="","",INDEX($B$8:$B$5007,$L3693))</f>
        <v/>
      </c>
      <c r="O3693" s="32" t="str">
        <f>IF($M3693="","",IF($K3693-$M3693&gt;7,"",IF($M3693&lt;=$A3693,"",IF(OR($B3693&lt;=0,$N3693&lt;=0),"",($N3693/$B3693)^(365/($M3693-$A3693))-1))))</f>
        <v/>
      </c>
      <c r="P3693" s="31" t="str">
        <f>IF($B3693="","",IF($P3692="",$B3693,MAX($P3692,$B3693)))</f>
        <v/>
      </c>
      <c r="Q3693" s="32" t="str">
        <f>IF($P3693="","",$B3693/$P3693-1)</f>
        <v/>
      </c>
    </row>
    <row r="3694">
      <c r="A3694" s="11" t="n"/>
      <c r="B3694" s="29" t="n"/>
      <c r="K3694" s="30" t="str">
        <f>IF($A3694="","",EDATE($A3694,12*$E$4))</f>
        <v/>
      </c>
      <c r="L3694" s="19" t="str">
        <f>IF($K3694="","",IF($K3694&gt;MAX($A$8:$A$5007),"",IFERROR(MATCH($K3694,$A$8:$A$5007,1),"")))</f>
        <v/>
      </c>
      <c r="M3694" s="30" t="str">
        <f>IF($L3694="","",INDEX($A$8:$A$5007,$L3694))</f>
        <v/>
      </c>
      <c r="N3694" s="31" t="str">
        <f>IF($L3694="","",INDEX($B$8:$B$5007,$L3694))</f>
        <v/>
      </c>
      <c r="O3694" s="32" t="str">
        <f>IF($M3694="","",IF($K3694-$M3694&gt;7,"",IF($M3694&lt;=$A3694,"",IF(OR($B3694&lt;=0,$N3694&lt;=0),"",($N3694/$B3694)^(365/($M3694-$A3694))-1))))</f>
        <v/>
      </c>
      <c r="P3694" s="31" t="str">
        <f>IF($B3694="","",IF($P3693="",$B3694,MAX($P3693,$B3694)))</f>
        <v/>
      </c>
      <c r="Q3694" s="32" t="str">
        <f>IF($P3694="","",$B3694/$P3694-1)</f>
        <v/>
      </c>
    </row>
    <row r="3695">
      <c r="A3695" s="11" t="n"/>
      <c r="B3695" s="29" t="n"/>
      <c r="K3695" s="30" t="str">
        <f>IF($A3695="","",EDATE($A3695,12*$E$4))</f>
        <v/>
      </c>
      <c r="L3695" s="19" t="str">
        <f>IF($K3695="","",IF($K3695&gt;MAX($A$8:$A$5007),"",IFERROR(MATCH($K3695,$A$8:$A$5007,1),"")))</f>
        <v/>
      </c>
      <c r="M3695" s="30" t="str">
        <f>IF($L3695="","",INDEX($A$8:$A$5007,$L3695))</f>
        <v/>
      </c>
      <c r="N3695" s="31" t="str">
        <f>IF($L3695="","",INDEX($B$8:$B$5007,$L3695))</f>
        <v/>
      </c>
      <c r="O3695" s="32" t="str">
        <f>IF($M3695="","",IF($K3695-$M3695&gt;7,"",IF($M3695&lt;=$A3695,"",IF(OR($B3695&lt;=0,$N3695&lt;=0),"",($N3695/$B3695)^(365/($M3695-$A3695))-1))))</f>
        <v/>
      </c>
      <c r="P3695" s="31" t="str">
        <f>IF($B3695="","",IF($P3694="",$B3695,MAX($P3694,$B3695)))</f>
        <v/>
      </c>
      <c r="Q3695" s="32" t="str">
        <f>IF($P3695="","",$B3695/$P3695-1)</f>
        <v/>
      </c>
    </row>
    <row r="3696">
      <c r="A3696" s="11" t="n"/>
      <c r="B3696" s="29" t="n"/>
      <c r="K3696" s="30" t="str">
        <f>IF($A3696="","",EDATE($A3696,12*$E$4))</f>
        <v/>
      </c>
      <c r="L3696" s="19" t="str">
        <f>IF($K3696="","",IF($K3696&gt;MAX($A$8:$A$5007),"",IFERROR(MATCH($K3696,$A$8:$A$5007,1),"")))</f>
        <v/>
      </c>
      <c r="M3696" s="30" t="str">
        <f>IF($L3696="","",INDEX($A$8:$A$5007,$L3696))</f>
        <v/>
      </c>
      <c r="N3696" s="31" t="str">
        <f>IF($L3696="","",INDEX($B$8:$B$5007,$L3696))</f>
        <v/>
      </c>
      <c r="O3696" s="32" t="str">
        <f>IF($M3696="","",IF($K3696-$M3696&gt;7,"",IF($M3696&lt;=$A3696,"",IF(OR($B3696&lt;=0,$N3696&lt;=0),"",($N3696/$B3696)^(365/($M3696-$A3696))-1))))</f>
        <v/>
      </c>
      <c r="P3696" s="31" t="str">
        <f>IF($B3696="","",IF($P3695="",$B3696,MAX($P3695,$B3696)))</f>
        <v/>
      </c>
      <c r="Q3696" s="32" t="str">
        <f>IF($P3696="","",$B3696/$P3696-1)</f>
        <v/>
      </c>
    </row>
    <row r="3697">
      <c r="A3697" s="11" t="n"/>
      <c r="B3697" s="29" t="n"/>
      <c r="K3697" s="30" t="str">
        <f>IF($A3697="","",EDATE($A3697,12*$E$4))</f>
        <v/>
      </c>
      <c r="L3697" s="19" t="str">
        <f>IF($K3697="","",IF($K3697&gt;MAX($A$8:$A$5007),"",IFERROR(MATCH($K3697,$A$8:$A$5007,1),"")))</f>
        <v/>
      </c>
      <c r="M3697" s="30" t="str">
        <f>IF($L3697="","",INDEX($A$8:$A$5007,$L3697))</f>
        <v/>
      </c>
      <c r="N3697" s="31" t="str">
        <f>IF($L3697="","",INDEX($B$8:$B$5007,$L3697))</f>
        <v/>
      </c>
      <c r="O3697" s="32" t="str">
        <f>IF($M3697="","",IF($K3697-$M3697&gt;7,"",IF($M3697&lt;=$A3697,"",IF(OR($B3697&lt;=0,$N3697&lt;=0),"",($N3697/$B3697)^(365/($M3697-$A3697))-1))))</f>
        <v/>
      </c>
      <c r="P3697" s="31" t="str">
        <f>IF($B3697="","",IF($P3696="",$B3697,MAX($P3696,$B3697)))</f>
        <v/>
      </c>
      <c r="Q3697" s="32" t="str">
        <f>IF($P3697="","",$B3697/$P3697-1)</f>
        <v/>
      </c>
    </row>
    <row r="3698">
      <c r="A3698" s="11" t="n"/>
      <c r="B3698" s="29" t="n"/>
      <c r="K3698" s="30" t="str">
        <f>IF($A3698="","",EDATE($A3698,12*$E$4))</f>
        <v/>
      </c>
      <c r="L3698" s="19" t="str">
        <f>IF($K3698="","",IF($K3698&gt;MAX($A$8:$A$5007),"",IFERROR(MATCH($K3698,$A$8:$A$5007,1),"")))</f>
        <v/>
      </c>
      <c r="M3698" s="30" t="str">
        <f>IF($L3698="","",INDEX($A$8:$A$5007,$L3698))</f>
        <v/>
      </c>
      <c r="N3698" s="31" t="str">
        <f>IF($L3698="","",INDEX($B$8:$B$5007,$L3698))</f>
        <v/>
      </c>
      <c r="O3698" s="32" t="str">
        <f>IF($M3698="","",IF($K3698-$M3698&gt;7,"",IF($M3698&lt;=$A3698,"",IF(OR($B3698&lt;=0,$N3698&lt;=0),"",($N3698/$B3698)^(365/($M3698-$A3698))-1))))</f>
        <v/>
      </c>
      <c r="P3698" s="31" t="str">
        <f>IF($B3698="","",IF($P3697="",$B3698,MAX($P3697,$B3698)))</f>
        <v/>
      </c>
      <c r="Q3698" s="32" t="str">
        <f>IF($P3698="","",$B3698/$P3698-1)</f>
        <v/>
      </c>
    </row>
    <row r="3699">
      <c r="A3699" s="11" t="n"/>
      <c r="B3699" s="29" t="n"/>
      <c r="K3699" s="30" t="str">
        <f>IF($A3699="","",EDATE($A3699,12*$E$4))</f>
        <v/>
      </c>
      <c r="L3699" s="19" t="str">
        <f>IF($K3699="","",IF($K3699&gt;MAX($A$8:$A$5007),"",IFERROR(MATCH($K3699,$A$8:$A$5007,1),"")))</f>
        <v/>
      </c>
      <c r="M3699" s="30" t="str">
        <f>IF($L3699="","",INDEX($A$8:$A$5007,$L3699))</f>
        <v/>
      </c>
      <c r="N3699" s="31" t="str">
        <f>IF($L3699="","",INDEX($B$8:$B$5007,$L3699))</f>
        <v/>
      </c>
      <c r="O3699" s="32" t="str">
        <f>IF($M3699="","",IF($K3699-$M3699&gt;7,"",IF($M3699&lt;=$A3699,"",IF(OR($B3699&lt;=0,$N3699&lt;=0),"",($N3699/$B3699)^(365/($M3699-$A3699))-1))))</f>
        <v/>
      </c>
      <c r="P3699" s="31" t="str">
        <f>IF($B3699="","",IF($P3698="",$B3699,MAX($P3698,$B3699)))</f>
        <v/>
      </c>
      <c r="Q3699" s="32" t="str">
        <f>IF($P3699="","",$B3699/$P3699-1)</f>
        <v/>
      </c>
    </row>
    <row r="3700">
      <c r="A3700" s="11" t="n"/>
      <c r="B3700" s="29" t="n"/>
      <c r="K3700" s="30" t="str">
        <f>IF($A3700="","",EDATE($A3700,12*$E$4))</f>
        <v/>
      </c>
      <c r="L3700" s="19" t="str">
        <f>IF($K3700="","",IF($K3700&gt;MAX($A$8:$A$5007),"",IFERROR(MATCH($K3700,$A$8:$A$5007,1),"")))</f>
        <v/>
      </c>
      <c r="M3700" s="30" t="str">
        <f>IF($L3700="","",INDEX($A$8:$A$5007,$L3700))</f>
        <v/>
      </c>
      <c r="N3700" s="31" t="str">
        <f>IF($L3700="","",INDEX($B$8:$B$5007,$L3700))</f>
        <v/>
      </c>
      <c r="O3700" s="32" t="str">
        <f>IF($M3700="","",IF($K3700-$M3700&gt;7,"",IF($M3700&lt;=$A3700,"",IF(OR($B3700&lt;=0,$N3700&lt;=0),"",($N3700/$B3700)^(365/($M3700-$A3700))-1))))</f>
        <v/>
      </c>
      <c r="P3700" s="31" t="str">
        <f>IF($B3700="","",IF($P3699="",$B3700,MAX($P3699,$B3700)))</f>
        <v/>
      </c>
      <c r="Q3700" s="32" t="str">
        <f>IF($P3700="","",$B3700/$P3700-1)</f>
        <v/>
      </c>
    </row>
    <row r="3701">
      <c r="A3701" s="11" t="n"/>
      <c r="B3701" s="29" t="n"/>
      <c r="K3701" s="30" t="str">
        <f>IF($A3701="","",EDATE($A3701,12*$E$4))</f>
        <v/>
      </c>
      <c r="L3701" s="19" t="str">
        <f>IF($K3701="","",IF($K3701&gt;MAX($A$8:$A$5007),"",IFERROR(MATCH($K3701,$A$8:$A$5007,1),"")))</f>
        <v/>
      </c>
      <c r="M3701" s="30" t="str">
        <f>IF($L3701="","",INDEX($A$8:$A$5007,$L3701))</f>
        <v/>
      </c>
      <c r="N3701" s="31" t="str">
        <f>IF($L3701="","",INDEX($B$8:$B$5007,$L3701))</f>
        <v/>
      </c>
      <c r="O3701" s="32" t="str">
        <f>IF($M3701="","",IF($K3701-$M3701&gt;7,"",IF($M3701&lt;=$A3701,"",IF(OR($B3701&lt;=0,$N3701&lt;=0),"",($N3701/$B3701)^(365/($M3701-$A3701))-1))))</f>
        <v/>
      </c>
      <c r="P3701" s="31" t="str">
        <f>IF($B3701="","",IF($P3700="",$B3701,MAX($P3700,$B3701)))</f>
        <v/>
      </c>
      <c r="Q3701" s="32" t="str">
        <f>IF($P3701="","",$B3701/$P3701-1)</f>
        <v/>
      </c>
    </row>
    <row r="3702">
      <c r="A3702" s="11" t="n"/>
      <c r="B3702" s="29" t="n"/>
      <c r="K3702" s="30" t="str">
        <f>IF($A3702="","",EDATE($A3702,12*$E$4))</f>
        <v/>
      </c>
      <c r="L3702" s="19" t="str">
        <f>IF($K3702="","",IF($K3702&gt;MAX($A$8:$A$5007),"",IFERROR(MATCH($K3702,$A$8:$A$5007,1),"")))</f>
        <v/>
      </c>
      <c r="M3702" s="30" t="str">
        <f>IF($L3702="","",INDEX($A$8:$A$5007,$L3702))</f>
        <v/>
      </c>
      <c r="N3702" s="31" t="str">
        <f>IF($L3702="","",INDEX($B$8:$B$5007,$L3702))</f>
        <v/>
      </c>
      <c r="O3702" s="32" t="str">
        <f>IF($M3702="","",IF($K3702-$M3702&gt;7,"",IF($M3702&lt;=$A3702,"",IF(OR($B3702&lt;=0,$N3702&lt;=0),"",($N3702/$B3702)^(365/($M3702-$A3702))-1))))</f>
        <v/>
      </c>
      <c r="P3702" s="31" t="str">
        <f>IF($B3702="","",IF($P3701="",$B3702,MAX($P3701,$B3702)))</f>
        <v/>
      </c>
      <c r="Q3702" s="32" t="str">
        <f>IF($P3702="","",$B3702/$P3702-1)</f>
        <v/>
      </c>
    </row>
    <row r="3703">
      <c r="A3703" s="11" t="n"/>
      <c r="B3703" s="29" t="n"/>
      <c r="K3703" s="30" t="str">
        <f>IF($A3703="","",EDATE($A3703,12*$E$4))</f>
        <v/>
      </c>
      <c r="L3703" s="19" t="str">
        <f>IF($K3703="","",IF($K3703&gt;MAX($A$8:$A$5007),"",IFERROR(MATCH($K3703,$A$8:$A$5007,1),"")))</f>
        <v/>
      </c>
      <c r="M3703" s="30" t="str">
        <f>IF($L3703="","",INDEX($A$8:$A$5007,$L3703))</f>
        <v/>
      </c>
      <c r="N3703" s="31" t="str">
        <f>IF($L3703="","",INDEX($B$8:$B$5007,$L3703))</f>
        <v/>
      </c>
      <c r="O3703" s="32" t="str">
        <f>IF($M3703="","",IF($K3703-$M3703&gt;7,"",IF($M3703&lt;=$A3703,"",IF(OR($B3703&lt;=0,$N3703&lt;=0),"",($N3703/$B3703)^(365/($M3703-$A3703))-1))))</f>
        <v/>
      </c>
      <c r="P3703" s="31" t="str">
        <f>IF($B3703="","",IF($P3702="",$B3703,MAX($P3702,$B3703)))</f>
        <v/>
      </c>
      <c r="Q3703" s="32" t="str">
        <f>IF($P3703="","",$B3703/$P3703-1)</f>
        <v/>
      </c>
    </row>
    <row r="3704">
      <c r="A3704" s="11" t="n"/>
      <c r="B3704" s="29" t="n"/>
      <c r="K3704" s="30" t="str">
        <f>IF($A3704="","",EDATE($A3704,12*$E$4))</f>
        <v/>
      </c>
      <c r="L3704" s="19" t="str">
        <f>IF($K3704="","",IF($K3704&gt;MAX($A$8:$A$5007),"",IFERROR(MATCH($K3704,$A$8:$A$5007,1),"")))</f>
        <v/>
      </c>
      <c r="M3704" s="30" t="str">
        <f>IF($L3704="","",INDEX($A$8:$A$5007,$L3704))</f>
        <v/>
      </c>
      <c r="N3704" s="31" t="str">
        <f>IF($L3704="","",INDEX($B$8:$B$5007,$L3704))</f>
        <v/>
      </c>
      <c r="O3704" s="32" t="str">
        <f>IF($M3704="","",IF($K3704-$M3704&gt;7,"",IF($M3704&lt;=$A3704,"",IF(OR($B3704&lt;=0,$N3704&lt;=0),"",($N3704/$B3704)^(365/($M3704-$A3704))-1))))</f>
        <v/>
      </c>
      <c r="P3704" s="31" t="str">
        <f>IF($B3704="","",IF($P3703="",$B3704,MAX($P3703,$B3704)))</f>
        <v/>
      </c>
      <c r="Q3704" s="32" t="str">
        <f>IF($P3704="","",$B3704/$P3704-1)</f>
        <v/>
      </c>
    </row>
    <row r="3705">
      <c r="A3705" s="11" t="n"/>
      <c r="B3705" s="29" t="n"/>
      <c r="K3705" s="30" t="str">
        <f>IF($A3705="","",EDATE($A3705,12*$E$4))</f>
        <v/>
      </c>
      <c r="L3705" s="19" t="str">
        <f>IF($K3705="","",IF($K3705&gt;MAX($A$8:$A$5007),"",IFERROR(MATCH($K3705,$A$8:$A$5007,1),"")))</f>
        <v/>
      </c>
      <c r="M3705" s="30" t="str">
        <f>IF($L3705="","",INDEX($A$8:$A$5007,$L3705))</f>
        <v/>
      </c>
      <c r="N3705" s="31" t="str">
        <f>IF($L3705="","",INDEX($B$8:$B$5007,$L3705))</f>
        <v/>
      </c>
      <c r="O3705" s="32" t="str">
        <f>IF($M3705="","",IF($K3705-$M3705&gt;7,"",IF($M3705&lt;=$A3705,"",IF(OR($B3705&lt;=0,$N3705&lt;=0),"",($N3705/$B3705)^(365/($M3705-$A3705))-1))))</f>
        <v/>
      </c>
      <c r="P3705" s="31" t="str">
        <f>IF($B3705="","",IF($P3704="",$B3705,MAX($P3704,$B3705)))</f>
        <v/>
      </c>
      <c r="Q3705" s="32" t="str">
        <f>IF($P3705="","",$B3705/$P3705-1)</f>
        <v/>
      </c>
    </row>
    <row r="3706">
      <c r="A3706" s="11" t="n"/>
      <c r="B3706" s="29" t="n"/>
      <c r="K3706" s="30" t="str">
        <f>IF($A3706="","",EDATE($A3706,12*$E$4))</f>
        <v/>
      </c>
      <c r="L3706" s="19" t="str">
        <f>IF($K3706="","",IF($K3706&gt;MAX($A$8:$A$5007),"",IFERROR(MATCH($K3706,$A$8:$A$5007,1),"")))</f>
        <v/>
      </c>
      <c r="M3706" s="30" t="str">
        <f>IF($L3706="","",INDEX($A$8:$A$5007,$L3706))</f>
        <v/>
      </c>
      <c r="N3706" s="31" t="str">
        <f>IF($L3706="","",INDEX($B$8:$B$5007,$L3706))</f>
        <v/>
      </c>
      <c r="O3706" s="32" t="str">
        <f>IF($M3706="","",IF($K3706-$M3706&gt;7,"",IF($M3706&lt;=$A3706,"",IF(OR($B3706&lt;=0,$N3706&lt;=0),"",($N3706/$B3706)^(365/($M3706-$A3706))-1))))</f>
        <v/>
      </c>
      <c r="P3706" s="31" t="str">
        <f>IF($B3706="","",IF($P3705="",$B3706,MAX($P3705,$B3706)))</f>
        <v/>
      </c>
      <c r="Q3706" s="32" t="str">
        <f>IF($P3706="","",$B3706/$P3706-1)</f>
        <v/>
      </c>
    </row>
    <row r="3707">
      <c r="A3707" s="11" t="n"/>
      <c r="B3707" s="29" t="n"/>
      <c r="K3707" s="30" t="str">
        <f>IF($A3707="","",EDATE($A3707,12*$E$4))</f>
        <v/>
      </c>
      <c r="L3707" s="19" t="str">
        <f>IF($K3707="","",IF($K3707&gt;MAX($A$8:$A$5007),"",IFERROR(MATCH($K3707,$A$8:$A$5007,1),"")))</f>
        <v/>
      </c>
      <c r="M3707" s="30" t="str">
        <f>IF($L3707="","",INDEX($A$8:$A$5007,$L3707))</f>
        <v/>
      </c>
      <c r="N3707" s="31" t="str">
        <f>IF($L3707="","",INDEX($B$8:$B$5007,$L3707))</f>
        <v/>
      </c>
      <c r="O3707" s="32" t="str">
        <f>IF($M3707="","",IF($K3707-$M3707&gt;7,"",IF($M3707&lt;=$A3707,"",IF(OR($B3707&lt;=0,$N3707&lt;=0),"",($N3707/$B3707)^(365/($M3707-$A3707))-1))))</f>
        <v/>
      </c>
      <c r="P3707" s="31" t="str">
        <f>IF($B3707="","",IF($P3706="",$B3707,MAX($P3706,$B3707)))</f>
        <v/>
      </c>
      <c r="Q3707" s="32" t="str">
        <f>IF($P3707="","",$B3707/$P3707-1)</f>
        <v/>
      </c>
    </row>
    <row r="3708">
      <c r="A3708" s="11" t="n"/>
      <c r="B3708" s="29" t="n"/>
      <c r="K3708" s="30" t="str">
        <f>IF($A3708="","",EDATE($A3708,12*$E$4))</f>
        <v/>
      </c>
      <c r="L3708" s="19" t="str">
        <f>IF($K3708="","",IF($K3708&gt;MAX($A$8:$A$5007),"",IFERROR(MATCH($K3708,$A$8:$A$5007,1),"")))</f>
        <v/>
      </c>
      <c r="M3708" s="30" t="str">
        <f>IF($L3708="","",INDEX($A$8:$A$5007,$L3708))</f>
        <v/>
      </c>
      <c r="N3708" s="31" t="str">
        <f>IF($L3708="","",INDEX($B$8:$B$5007,$L3708))</f>
        <v/>
      </c>
      <c r="O3708" s="32" t="str">
        <f>IF($M3708="","",IF($K3708-$M3708&gt;7,"",IF($M3708&lt;=$A3708,"",IF(OR($B3708&lt;=0,$N3708&lt;=0),"",($N3708/$B3708)^(365/($M3708-$A3708))-1))))</f>
        <v/>
      </c>
      <c r="P3708" s="31" t="str">
        <f>IF($B3708="","",IF($P3707="",$B3708,MAX($P3707,$B3708)))</f>
        <v/>
      </c>
      <c r="Q3708" s="32" t="str">
        <f>IF($P3708="","",$B3708/$P3708-1)</f>
        <v/>
      </c>
    </row>
    <row r="3709">
      <c r="A3709" s="11" t="n"/>
      <c r="B3709" s="29" t="n"/>
      <c r="K3709" s="30" t="str">
        <f>IF($A3709="","",EDATE($A3709,12*$E$4))</f>
        <v/>
      </c>
      <c r="L3709" s="19" t="str">
        <f>IF($K3709="","",IF($K3709&gt;MAX($A$8:$A$5007),"",IFERROR(MATCH($K3709,$A$8:$A$5007,1),"")))</f>
        <v/>
      </c>
      <c r="M3709" s="30" t="str">
        <f>IF($L3709="","",INDEX($A$8:$A$5007,$L3709))</f>
        <v/>
      </c>
      <c r="N3709" s="31" t="str">
        <f>IF($L3709="","",INDEX($B$8:$B$5007,$L3709))</f>
        <v/>
      </c>
      <c r="O3709" s="32" t="str">
        <f>IF($M3709="","",IF($K3709-$M3709&gt;7,"",IF($M3709&lt;=$A3709,"",IF(OR($B3709&lt;=0,$N3709&lt;=0),"",($N3709/$B3709)^(365/($M3709-$A3709))-1))))</f>
        <v/>
      </c>
      <c r="P3709" s="31" t="str">
        <f>IF($B3709="","",IF($P3708="",$B3709,MAX($P3708,$B3709)))</f>
        <v/>
      </c>
      <c r="Q3709" s="32" t="str">
        <f>IF($P3709="","",$B3709/$P3709-1)</f>
        <v/>
      </c>
    </row>
    <row r="3710">
      <c r="A3710" s="11" t="n"/>
      <c r="B3710" s="29" t="n"/>
      <c r="K3710" s="30" t="str">
        <f>IF($A3710="","",EDATE($A3710,12*$E$4))</f>
        <v/>
      </c>
      <c r="L3710" s="19" t="str">
        <f>IF($K3710="","",IF($K3710&gt;MAX($A$8:$A$5007),"",IFERROR(MATCH($K3710,$A$8:$A$5007,1),"")))</f>
        <v/>
      </c>
      <c r="M3710" s="30" t="str">
        <f>IF($L3710="","",INDEX($A$8:$A$5007,$L3710))</f>
        <v/>
      </c>
      <c r="N3710" s="31" t="str">
        <f>IF($L3710="","",INDEX($B$8:$B$5007,$L3710))</f>
        <v/>
      </c>
      <c r="O3710" s="32" t="str">
        <f>IF($M3710="","",IF($K3710-$M3710&gt;7,"",IF($M3710&lt;=$A3710,"",IF(OR($B3710&lt;=0,$N3710&lt;=0),"",($N3710/$B3710)^(365/($M3710-$A3710))-1))))</f>
        <v/>
      </c>
      <c r="P3710" s="31" t="str">
        <f>IF($B3710="","",IF($P3709="",$B3710,MAX($P3709,$B3710)))</f>
        <v/>
      </c>
      <c r="Q3710" s="32" t="str">
        <f>IF($P3710="","",$B3710/$P3710-1)</f>
        <v/>
      </c>
    </row>
    <row r="3711">
      <c r="A3711" s="11" t="n"/>
      <c r="B3711" s="29" t="n"/>
      <c r="K3711" s="30" t="str">
        <f>IF($A3711="","",EDATE($A3711,12*$E$4))</f>
        <v/>
      </c>
      <c r="L3711" s="19" t="str">
        <f>IF($K3711="","",IF($K3711&gt;MAX($A$8:$A$5007),"",IFERROR(MATCH($K3711,$A$8:$A$5007,1),"")))</f>
        <v/>
      </c>
      <c r="M3711" s="30" t="str">
        <f>IF($L3711="","",INDEX($A$8:$A$5007,$L3711))</f>
        <v/>
      </c>
      <c r="N3711" s="31" t="str">
        <f>IF($L3711="","",INDEX($B$8:$B$5007,$L3711))</f>
        <v/>
      </c>
      <c r="O3711" s="32" t="str">
        <f>IF($M3711="","",IF($K3711-$M3711&gt;7,"",IF($M3711&lt;=$A3711,"",IF(OR($B3711&lt;=0,$N3711&lt;=0),"",($N3711/$B3711)^(365/($M3711-$A3711))-1))))</f>
        <v/>
      </c>
      <c r="P3711" s="31" t="str">
        <f>IF($B3711="","",IF($P3710="",$B3711,MAX($P3710,$B3711)))</f>
        <v/>
      </c>
      <c r="Q3711" s="32" t="str">
        <f>IF($P3711="","",$B3711/$P3711-1)</f>
        <v/>
      </c>
    </row>
    <row r="3712">
      <c r="A3712" s="11" t="n"/>
      <c r="B3712" s="29" t="n"/>
      <c r="K3712" s="30" t="str">
        <f>IF($A3712="","",EDATE($A3712,12*$E$4))</f>
        <v/>
      </c>
      <c r="L3712" s="19" t="str">
        <f>IF($K3712="","",IF($K3712&gt;MAX($A$8:$A$5007),"",IFERROR(MATCH($K3712,$A$8:$A$5007,1),"")))</f>
        <v/>
      </c>
      <c r="M3712" s="30" t="str">
        <f>IF($L3712="","",INDEX($A$8:$A$5007,$L3712))</f>
        <v/>
      </c>
      <c r="N3712" s="31" t="str">
        <f>IF($L3712="","",INDEX($B$8:$B$5007,$L3712))</f>
        <v/>
      </c>
      <c r="O3712" s="32" t="str">
        <f>IF($M3712="","",IF($K3712-$M3712&gt;7,"",IF($M3712&lt;=$A3712,"",IF(OR($B3712&lt;=0,$N3712&lt;=0),"",($N3712/$B3712)^(365/($M3712-$A3712))-1))))</f>
        <v/>
      </c>
      <c r="P3712" s="31" t="str">
        <f>IF($B3712="","",IF($P3711="",$B3712,MAX($P3711,$B3712)))</f>
        <v/>
      </c>
      <c r="Q3712" s="32" t="str">
        <f>IF($P3712="","",$B3712/$P3712-1)</f>
        <v/>
      </c>
    </row>
    <row r="3713">
      <c r="A3713" s="11" t="n"/>
      <c r="B3713" s="29" t="n"/>
      <c r="K3713" s="30" t="str">
        <f>IF($A3713="","",EDATE($A3713,12*$E$4))</f>
        <v/>
      </c>
      <c r="L3713" s="19" t="str">
        <f>IF($K3713="","",IF($K3713&gt;MAX($A$8:$A$5007),"",IFERROR(MATCH($K3713,$A$8:$A$5007,1),"")))</f>
        <v/>
      </c>
      <c r="M3713" s="30" t="str">
        <f>IF($L3713="","",INDEX($A$8:$A$5007,$L3713))</f>
        <v/>
      </c>
      <c r="N3713" s="31" t="str">
        <f>IF($L3713="","",INDEX($B$8:$B$5007,$L3713))</f>
        <v/>
      </c>
      <c r="O3713" s="32" t="str">
        <f>IF($M3713="","",IF($K3713-$M3713&gt;7,"",IF($M3713&lt;=$A3713,"",IF(OR($B3713&lt;=0,$N3713&lt;=0),"",($N3713/$B3713)^(365/($M3713-$A3713))-1))))</f>
        <v/>
      </c>
      <c r="P3713" s="31" t="str">
        <f>IF($B3713="","",IF($P3712="",$B3713,MAX($P3712,$B3713)))</f>
        <v/>
      </c>
      <c r="Q3713" s="32" t="str">
        <f>IF($P3713="","",$B3713/$P3713-1)</f>
        <v/>
      </c>
    </row>
    <row r="3714">
      <c r="A3714" s="11" t="n"/>
      <c r="B3714" s="29" t="n"/>
      <c r="K3714" s="30" t="str">
        <f>IF($A3714="","",EDATE($A3714,12*$E$4))</f>
        <v/>
      </c>
      <c r="L3714" s="19" t="str">
        <f>IF($K3714="","",IF($K3714&gt;MAX($A$8:$A$5007),"",IFERROR(MATCH($K3714,$A$8:$A$5007,1),"")))</f>
        <v/>
      </c>
      <c r="M3714" s="30" t="str">
        <f>IF($L3714="","",INDEX($A$8:$A$5007,$L3714))</f>
        <v/>
      </c>
      <c r="N3714" s="31" t="str">
        <f>IF($L3714="","",INDEX($B$8:$B$5007,$L3714))</f>
        <v/>
      </c>
      <c r="O3714" s="32" t="str">
        <f>IF($M3714="","",IF($K3714-$M3714&gt;7,"",IF($M3714&lt;=$A3714,"",IF(OR($B3714&lt;=0,$N3714&lt;=0),"",($N3714/$B3714)^(365/($M3714-$A3714))-1))))</f>
        <v/>
      </c>
      <c r="P3714" s="31" t="str">
        <f>IF($B3714="","",IF($P3713="",$B3714,MAX($P3713,$B3714)))</f>
        <v/>
      </c>
      <c r="Q3714" s="32" t="str">
        <f>IF($P3714="","",$B3714/$P3714-1)</f>
        <v/>
      </c>
    </row>
    <row r="3715">
      <c r="A3715" s="11" t="n"/>
      <c r="B3715" s="29" t="n"/>
      <c r="K3715" s="30" t="str">
        <f>IF($A3715="","",EDATE($A3715,12*$E$4))</f>
        <v/>
      </c>
      <c r="L3715" s="19" t="str">
        <f>IF($K3715="","",IF($K3715&gt;MAX($A$8:$A$5007),"",IFERROR(MATCH($K3715,$A$8:$A$5007,1),"")))</f>
        <v/>
      </c>
      <c r="M3715" s="30" t="str">
        <f>IF($L3715="","",INDEX($A$8:$A$5007,$L3715))</f>
        <v/>
      </c>
      <c r="N3715" s="31" t="str">
        <f>IF($L3715="","",INDEX($B$8:$B$5007,$L3715))</f>
        <v/>
      </c>
      <c r="O3715" s="32" t="str">
        <f>IF($M3715="","",IF($K3715-$M3715&gt;7,"",IF($M3715&lt;=$A3715,"",IF(OR($B3715&lt;=0,$N3715&lt;=0),"",($N3715/$B3715)^(365/($M3715-$A3715))-1))))</f>
        <v/>
      </c>
      <c r="P3715" s="31" t="str">
        <f>IF($B3715="","",IF($P3714="",$B3715,MAX($P3714,$B3715)))</f>
        <v/>
      </c>
      <c r="Q3715" s="32" t="str">
        <f>IF($P3715="","",$B3715/$P3715-1)</f>
        <v/>
      </c>
    </row>
    <row r="3716">
      <c r="A3716" s="11" t="n"/>
      <c r="B3716" s="29" t="n"/>
      <c r="K3716" s="30" t="str">
        <f>IF($A3716="","",EDATE($A3716,12*$E$4))</f>
        <v/>
      </c>
      <c r="L3716" s="19" t="str">
        <f>IF($K3716="","",IF($K3716&gt;MAX($A$8:$A$5007),"",IFERROR(MATCH($K3716,$A$8:$A$5007,1),"")))</f>
        <v/>
      </c>
      <c r="M3716" s="30" t="str">
        <f>IF($L3716="","",INDEX($A$8:$A$5007,$L3716))</f>
        <v/>
      </c>
      <c r="N3716" s="31" t="str">
        <f>IF($L3716="","",INDEX($B$8:$B$5007,$L3716))</f>
        <v/>
      </c>
      <c r="O3716" s="32" t="str">
        <f>IF($M3716="","",IF($K3716-$M3716&gt;7,"",IF($M3716&lt;=$A3716,"",IF(OR($B3716&lt;=0,$N3716&lt;=0),"",($N3716/$B3716)^(365/($M3716-$A3716))-1))))</f>
        <v/>
      </c>
      <c r="P3716" s="31" t="str">
        <f>IF($B3716="","",IF($P3715="",$B3716,MAX($P3715,$B3716)))</f>
        <v/>
      </c>
      <c r="Q3716" s="32" t="str">
        <f>IF($P3716="","",$B3716/$P3716-1)</f>
        <v/>
      </c>
    </row>
    <row r="3717">
      <c r="A3717" s="11" t="n"/>
      <c r="B3717" s="29" t="n"/>
      <c r="K3717" s="30" t="str">
        <f>IF($A3717="","",EDATE($A3717,12*$E$4))</f>
        <v/>
      </c>
      <c r="L3717" s="19" t="str">
        <f>IF($K3717="","",IF($K3717&gt;MAX($A$8:$A$5007),"",IFERROR(MATCH($K3717,$A$8:$A$5007,1),"")))</f>
        <v/>
      </c>
      <c r="M3717" s="30" t="str">
        <f>IF($L3717="","",INDEX($A$8:$A$5007,$L3717))</f>
        <v/>
      </c>
      <c r="N3717" s="31" t="str">
        <f>IF($L3717="","",INDEX($B$8:$B$5007,$L3717))</f>
        <v/>
      </c>
      <c r="O3717" s="32" t="str">
        <f>IF($M3717="","",IF($K3717-$M3717&gt;7,"",IF($M3717&lt;=$A3717,"",IF(OR($B3717&lt;=0,$N3717&lt;=0),"",($N3717/$B3717)^(365/($M3717-$A3717))-1))))</f>
        <v/>
      </c>
      <c r="P3717" s="31" t="str">
        <f>IF($B3717="","",IF($P3716="",$B3717,MAX($P3716,$B3717)))</f>
        <v/>
      </c>
      <c r="Q3717" s="32" t="str">
        <f>IF($P3717="","",$B3717/$P3717-1)</f>
        <v/>
      </c>
    </row>
    <row r="3718">
      <c r="A3718" s="11" t="n"/>
      <c r="B3718" s="29" t="n"/>
      <c r="K3718" s="30" t="str">
        <f>IF($A3718="","",EDATE($A3718,12*$E$4))</f>
        <v/>
      </c>
      <c r="L3718" s="19" t="str">
        <f>IF($K3718="","",IF($K3718&gt;MAX($A$8:$A$5007),"",IFERROR(MATCH($K3718,$A$8:$A$5007,1),"")))</f>
        <v/>
      </c>
      <c r="M3718" s="30" t="str">
        <f>IF($L3718="","",INDEX($A$8:$A$5007,$L3718))</f>
        <v/>
      </c>
      <c r="N3718" s="31" t="str">
        <f>IF($L3718="","",INDEX($B$8:$B$5007,$L3718))</f>
        <v/>
      </c>
      <c r="O3718" s="32" t="str">
        <f>IF($M3718="","",IF($K3718-$M3718&gt;7,"",IF($M3718&lt;=$A3718,"",IF(OR($B3718&lt;=0,$N3718&lt;=0),"",($N3718/$B3718)^(365/($M3718-$A3718))-1))))</f>
        <v/>
      </c>
      <c r="P3718" s="31" t="str">
        <f>IF($B3718="","",IF($P3717="",$B3718,MAX($P3717,$B3718)))</f>
        <v/>
      </c>
      <c r="Q3718" s="32" t="str">
        <f>IF($P3718="","",$B3718/$P3718-1)</f>
        <v/>
      </c>
    </row>
    <row r="3719">
      <c r="A3719" s="11" t="n"/>
      <c r="B3719" s="29" t="n"/>
      <c r="K3719" s="30" t="str">
        <f>IF($A3719="","",EDATE($A3719,12*$E$4))</f>
        <v/>
      </c>
      <c r="L3719" s="19" t="str">
        <f>IF($K3719="","",IF($K3719&gt;MAX($A$8:$A$5007),"",IFERROR(MATCH($K3719,$A$8:$A$5007,1),"")))</f>
        <v/>
      </c>
      <c r="M3719" s="30" t="str">
        <f>IF($L3719="","",INDEX($A$8:$A$5007,$L3719))</f>
        <v/>
      </c>
      <c r="N3719" s="31" t="str">
        <f>IF($L3719="","",INDEX($B$8:$B$5007,$L3719))</f>
        <v/>
      </c>
      <c r="O3719" s="32" t="str">
        <f>IF($M3719="","",IF($K3719-$M3719&gt;7,"",IF($M3719&lt;=$A3719,"",IF(OR($B3719&lt;=0,$N3719&lt;=0),"",($N3719/$B3719)^(365/($M3719-$A3719))-1))))</f>
        <v/>
      </c>
      <c r="P3719" s="31" t="str">
        <f>IF($B3719="","",IF($P3718="",$B3719,MAX($P3718,$B3719)))</f>
        <v/>
      </c>
      <c r="Q3719" s="32" t="str">
        <f>IF($P3719="","",$B3719/$P3719-1)</f>
        <v/>
      </c>
    </row>
    <row r="3720">
      <c r="A3720" s="11" t="n"/>
      <c r="B3720" s="29" t="n"/>
      <c r="K3720" s="30" t="str">
        <f>IF($A3720="","",EDATE($A3720,12*$E$4))</f>
        <v/>
      </c>
      <c r="L3720" s="19" t="str">
        <f>IF($K3720="","",IF($K3720&gt;MAX($A$8:$A$5007),"",IFERROR(MATCH($K3720,$A$8:$A$5007,1),"")))</f>
        <v/>
      </c>
      <c r="M3720" s="30" t="str">
        <f>IF($L3720="","",INDEX($A$8:$A$5007,$L3720))</f>
        <v/>
      </c>
      <c r="N3720" s="31" t="str">
        <f>IF($L3720="","",INDEX($B$8:$B$5007,$L3720))</f>
        <v/>
      </c>
      <c r="O3720" s="32" t="str">
        <f>IF($M3720="","",IF($K3720-$M3720&gt;7,"",IF($M3720&lt;=$A3720,"",IF(OR($B3720&lt;=0,$N3720&lt;=0),"",($N3720/$B3720)^(365/($M3720-$A3720))-1))))</f>
        <v/>
      </c>
      <c r="P3720" s="31" t="str">
        <f>IF($B3720="","",IF($P3719="",$B3720,MAX($P3719,$B3720)))</f>
        <v/>
      </c>
      <c r="Q3720" s="32" t="str">
        <f>IF($P3720="","",$B3720/$P3720-1)</f>
        <v/>
      </c>
    </row>
    <row r="3721">
      <c r="A3721" s="11" t="n"/>
      <c r="B3721" s="29" t="n"/>
      <c r="K3721" s="30" t="str">
        <f>IF($A3721="","",EDATE($A3721,12*$E$4))</f>
        <v/>
      </c>
      <c r="L3721" s="19" t="str">
        <f>IF($K3721="","",IF($K3721&gt;MAX($A$8:$A$5007),"",IFERROR(MATCH($K3721,$A$8:$A$5007,1),"")))</f>
        <v/>
      </c>
      <c r="M3721" s="30" t="str">
        <f>IF($L3721="","",INDEX($A$8:$A$5007,$L3721))</f>
        <v/>
      </c>
      <c r="N3721" s="31" t="str">
        <f>IF($L3721="","",INDEX($B$8:$B$5007,$L3721))</f>
        <v/>
      </c>
      <c r="O3721" s="32" t="str">
        <f>IF($M3721="","",IF($K3721-$M3721&gt;7,"",IF($M3721&lt;=$A3721,"",IF(OR($B3721&lt;=0,$N3721&lt;=0),"",($N3721/$B3721)^(365/($M3721-$A3721))-1))))</f>
        <v/>
      </c>
      <c r="P3721" s="31" t="str">
        <f>IF($B3721="","",IF($P3720="",$B3721,MAX($P3720,$B3721)))</f>
        <v/>
      </c>
      <c r="Q3721" s="32" t="str">
        <f>IF($P3721="","",$B3721/$P3721-1)</f>
        <v/>
      </c>
    </row>
    <row r="3722">
      <c r="A3722" s="11" t="n"/>
      <c r="B3722" s="29" t="n"/>
      <c r="K3722" s="30" t="str">
        <f>IF($A3722="","",EDATE($A3722,12*$E$4))</f>
        <v/>
      </c>
      <c r="L3722" s="19" t="str">
        <f>IF($K3722="","",IF($K3722&gt;MAX($A$8:$A$5007),"",IFERROR(MATCH($K3722,$A$8:$A$5007,1),"")))</f>
        <v/>
      </c>
      <c r="M3722" s="30" t="str">
        <f>IF($L3722="","",INDEX($A$8:$A$5007,$L3722))</f>
        <v/>
      </c>
      <c r="N3722" s="31" t="str">
        <f>IF($L3722="","",INDEX($B$8:$B$5007,$L3722))</f>
        <v/>
      </c>
      <c r="O3722" s="32" t="str">
        <f>IF($M3722="","",IF($K3722-$M3722&gt;7,"",IF($M3722&lt;=$A3722,"",IF(OR($B3722&lt;=0,$N3722&lt;=0),"",($N3722/$B3722)^(365/($M3722-$A3722))-1))))</f>
        <v/>
      </c>
      <c r="P3722" s="31" t="str">
        <f>IF($B3722="","",IF($P3721="",$B3722,MAX($P3721,$B3722)))</f>
        <v/>
      </c>
      <c r="Q3722" s="32" t="str">
        <f>IF($P3722="","",$B3722/$P3722-1)</f>
        <v/>
      </c>
    </row>
    <row r="3723">
      <c r="A3723" s="11" t="n"/>
      <c r="B3723" s="29" t="n"/>
      <c r="K3723" s="30" t="str">
        <f>IF($A3723="","",EDATE($A3723,12*$E$4))</f>
        <v/>
      </c>
      <c r="L3723" s="19" t="str">
        <f>IF($K3723="","",IF($K3723&gt;MAX($A$8:$A$5007),"",IFERROR(MATCH($K3723,$A$8:$A$5007,1),"")))</f>
        <v/>
      </c>
      <c r="M3723" s="30" t="str">
        <f>IF($L3723="","",INDEX($A$8:$A$5007,$L3723))</f>
        <v/>
      </c>
      <c r="N3723" s="31" t="str">
        <f>IF($L3723="","",INDEX($B$8:$B$5007,$L3723))</f>
        <v/>
      </c>
      <c r="O3723" s="32" t="str">
        <f>IF($M3723="","",IF($K3723-$M3723&gt;7,"",IF($M3723&lt;=$A3723,"",IF(OR($B3723&lt;=0,$N3723&lt;=0),"",($N3723/$B3723)^(365/($M3723-$A3723))-1))))</f>
        <v/>
      </c>
      <c r="P3723" s="31" t="str">
        <f>IF($B3723="","",IF($P3722="",$B3723,MAX($P3722,$B3723)))</f>
        <v/>
      </c>
      <c r="Q3723" s="32" t="str">
        <f>IF($P3723="","",$B3723/$P3723-1)</f>
        <v/>
      </c>
    </row>
    <row r="3724">
      <c r="A3724" s="11" t="n"/>
      <c r="B3724" s="29" t="n"/>
      <c r="K3724" s="30" t="str">
        <f>IF($A3724="","",EDATE($A3724,12*$E$4))</f>
        <v/>
      </c>
      <c r="L3724" s="19" t="str">
        <f>IF($K3724="","",IF($K3724&gt;MAX($A$8:$A$5007),"",IFERROR(MATCH($K3724,$A$8:$A$5007,1),"")))</f>
        <v/>
      </c>
      <c r="M3724" s="30" t="str">
        <f>IF($L3724="","",INDEX($A$8:$A$5007,$L3724))</f>
        <v/>
      </c>
      <c r="N3724" s="31" t="str">
        <f>IF($L3724="","",INDEX($B$8:$B$5007,$L3724))</f>
        <v/>
      </c>
      <c r="O3724" s="32" t="str">
        <f>IF($M3724="","",IF($K3724-$M3724&gt;7,"",IF($M3724&lt;=$A3724,"",IF(OR($B3724&lt;=0,$N3724&lt;=0),"",($N3724/$B3724)^(365/($M3724-$A3724))-1))))</f>
        <v/>
      </c>
      <c r="P3724" s="31" t="str">
        <f>IF($B3724="","",IF($P3723="",$B3724,MAX($P3723,$B3724)))</f>
        <v/>
      </c>
      <c r="Q3724" s="32" t="str">
        <f>IF($P3724="","",$B3724/$P3724-1)</f>
        <v/>
      </c>
    </row>
    <row r="3725">
      <c r="A3725" s="11" t="n"/>
      <c r="B3725" s="29" t="n"/>
      <c r="K3725" s="30" t="str">
        <f>IF($A3725="","",EDATE($A3725,12*$E$4))</f>
        <v/>
      </c>
      <c r="L3725" s="19" t="str">
        <f>IF($K3725="","",IF($K3725&gt;MAX($A$8:$A$5007),"",IFERROR(MATCH($K3725,$A$8:$A$5007,1),"")))</f>
        <v/>
      </c>
      <c r="M3725" s="30" t="str">
        <f>IF($L3725="","",INDEX($A$8:$A$5007,$L3725))</f>
        <v/>
      </c>
      <c r="N3725" s="31" t="str">
        <f>IF($L3725="","",INDEX($B$8:$B$5007,$L3725))</f>
        <v/>
      </c>
      <c r="O3725" s="32" t="str">
        <f>IF($M3725="","",IF($K3725-$M3725&gt;7,"",IF($M3725&lt;=$A3725,"",IF(OR($B3725&lt;=0,$N3725&lt;=0),"",($N3725/$B3725)^(365/($M3725-$A3725))-1))))</f>
        <v/>
      </c>
      <c r="P3725" s="31" t="str">
        <f>IF($B3725="","",IF($P3724="",$B3725,MAX($P3724,$B3725)))</f>
        <v/>
      </c>
      <c r="Q3725" s="32" t="str">
        <f>IF($P3725="","",$B3725/$P3725-1)</f>
        <v/>
      </c>
    </row>
    <row r="3726">
      <c r="A3726" s="11" t="n"/>
      <c r="B3726" s="29" t="n"/>
      <c r="K3726" s="30" t="str">
        <f>IF($A3726="","",EDATE($A3726,12*$E$4))</f>
        <v/>
      </c>
      <c r="L3726" s="19" t="str">
        <f>IF($K3726="","",IF($K3726&gt;MAX($A$8:$A$5007),"",IFERROR(MATCH($K3726,$A$8:$A$5007,1),"")))</f>
        <v/>
      </c>
      <c r="M3726" s="30" t="str">
        <f>IF($L3726="","",INDEX($A$8:$A$5007,$L3726))</f>
        <v/>
      </c>
      <c r="N3726" s="31" t="str">
        <f>IF($L3726="","",INDEX($B$8:$B$5007,$L3726))</f>
        <v/>
      </c>
      <c r="O3726" s="32" t="str">
        <f>IF($M3726="","",IF($K3726-$M3726&gt;7,"",IF($M3726&lt;=$A3726,"",IF(OR($B3726&lt;=0,$N3726&lt;=0),"",($N3726/$B3726)^(365/($M3726-$A3726))-1))))</f>
        <v/>
      </c>
      <c r="P3726" s="31" t="str">
        <f>IF($B3726="","",IF($P3725="",$B3726,MAX($P3725,$B3726)))</f>
        <v/>
      </c>
      <c r="Q3726" s="32" t="str">
        <f>IF($P3726="","",$B3726/$P3726-1)</f>
        <v/>
      </c>
    </row>
    <row r="3727">
      <c r="A3727" s="11" t="n"/>
      <c r="B3727" s="29" t="n"/>
      <c r="K3727" s="30" t="str">
        <f>IF($A3727="","",EDATE($A3727,12*$E$4))</f>
        <v/>
      </c>
      <c r="L3727" s="19" t="str">
        <f>IF($K3727="","",IF($K3727&gt;MAX($A$8:$A$5007),"",IFERROR(MATCH($K3727,$A$8:$A$5007,1),"")))</f>
        <v/>
      </c>
      <c r="M3727" s="30" t="str">
        <f>IF($L3727="","",INDEX($A$8:$A$5007,$L3727))</f>
        <v/>
      </c>
      <c r="N3727" s="31" t="str">
        <f>IF($L3727="","",INDEX($B$8:$B$5007,$L3727))</f>
        <v/>
      </c>
      <c r="O3727" s="32" t="str">
        <f>IF($M3727="","",IF($K3727-$M3727&gt;7,"",IF($M3727&lt;=$A3727,"",IF(OR($B3727&lt;=0,$N3727&lt;=0),"",($N3727/$B3727)^(365/($M3727-$A3727))-1))))</f>
        <v/>
      </c>
      <c r="P3727" s="31" t="str">
        <f>IF($B3727="","",IF($P3726="",$B3727,MAX($P3726,$B3727)))</f>
        <v/>
      </c>
      <c r="Q3727" s="32" t="str">
        <f>IF($P3727="","",$B3727/$P3727-1)</f>
        <v/>
      </c>
    </row>
    <row r="3728">
      <c r="A3728" s="11" t="n"/>
      <c r="B3728" s="29" t="n"/>
      <c r="K3728" s="30" t="str">
        <f>IF($A3728="","",EDATE($A3728,12*$E$4))</f>
        <v/>
      </c>
      <c r="L3728" s="19" t="str">
        <f>IF($K3728="","",IF($K3728&gt;MAX($A$8:$A$5007),"",IFERROR(MATCH($K3728,$A$8:$A$5007,1),"")))</f>
        <v/>
      </c>
      <c r="M3728" s="30" t="str">
        <f>IF($L3728="","",INDEX($A$8:$A$5007,$L3728))</f>
        <v/>
      </c>
      <c r="N3728" s="31" t="str">
        <f>IF($L3728="","",INDEX($B$8:$B$5007,$L3728))</f>
        <v/>
      </c>
      <c r="O3728" s="32" t="str">
        <f>IF($M3728="","",IF($K3728-$M3728&gt;7,"",IF($M3728&lt;=$A3728,"",IF(OR($B3728&lt;=0,$N3728&lt;=0),"",($N3728/$B3728)^(365/($M3728-$A3728))-1))))</f>
        <v/>
      </c>
      <c r="P3728" s="31" t="str">
        <f>IF($B3728="","",IF($P3727="",$B3728,MAX($P3727,$B3728)))</f>
        <v/>
      </c>
      <c r="Q3728" s="32" t="str">
        <f>IF($P3728="","",$B3728/$P3728-1)</f>
        <v/>
      </c>
    </row>
    <row r="3729">
      <c r="A3729" s="11" t="n"/>
      <c r="B3729" s="29" t="n"/>
      <c r="K3729" s="30" t="str">
        <f>IF($A3729="","",EDATE($A3729,12*$E$4))</f>
        <v/>
      </c>
      <c r="L3729" s="19" t="str">
        <f>IF($K3729="","",IF($K3729&gt;MAX($A$8:$A$5007),"",IFERROR(MATCH($K3729,$A$8:$A$5007,1),"")))</f>
        <v/>
      </c>
      <c r="M3729" s="30" t="str">
        <f>IF($L3729="","",INDEX($A$8:$A$5007,$L3729))</f>
        <v/>
      </c>
      <c r="N3729" s="31" t="str">
        <f>IF($L3729="","",INDEX($B$8:$B$5007,$L3729))</f>
        <v/>
      </c>
      <c r="O3729" s="32" t="str">
        <f>IF($M3729="","",IF($K3729-$M3729&gt;7,"",IF($M3729&lt;=$A3729,"",IF(OR($B3729&lt;=0,$N3729&lt;=0),"",($N3729/$B3729)^(365/($M3729-$A3729))-1))))</f>
        <v/>
      </c>
      <c r="P3729" s="31" t="str">
        <f>IF($B3729="","",IF($P3728="",$B3729,MAX($P3728,$B3729)))</f>
        <v/>
      </c>
      <c r="Q3729" s="32" t="str">
        <f>IF($P3729="","",$B3729/$P3729-1)</f>
        <v/>
      </c>
    </row>
    <row r="3730">
      <c r="A3730" s="11" t="n"/>
      <c r="B3730" s="29" t="n"/>
      <c r="K3730" s="30" t="str">
        <f>IF($A3730="","",EDATE($A3730,12*$E$4))</f>
        <v/>
      </c>
      <c r="L3730" s="19" t="str">
        <f>IF($K3730="","",IF($K3730&gt;MAX($A$8:$A$5007),"",IFERROR(MATCH($K3730,$A$8:$A$5007,1),"")))</f>
        <v/>
      </c>
      <c r="M3730" s="30" t="str">
        <f>IF($L3730="","",INDEX($A$8:$A$5007,$L3730))</f>
        <v/>
      </c>
      <c r="N3730" s="31" t="str">
        <f>IF($L3730="","",INDEX($B$8:$B$5007,$L3730))</f>
        <v/>
      </c>
      <c r="O3730" s="32" t="str">
        <f>IF($M3730="","",IF($K3730-$M3730&gt;7,"",IF($M3730&lt;=$A3730,"",IF(OR($B3730&lt;=0,$N3730&lt;=0),"",($N3730/$B3730)^(365/($M3730-$A3730))-1))))</f>
        <v/>
      </c>
      <c r="P3730" s="31" t="str">
        <f>IF($B3730="","",IF($P3729="",$B3730,MAX($P3729,$B3730)))</f>
        <v/>
      </c>
      <c r="Q3730" s="32" t="str">
        <f>IF($P3730="","",$B3730/$P3730-1)</f>
        <v/>
      </c>
    </row>
    <row r="3731">
      <c r="A3731" s="11" t="n"/>
      <c r="B3731" s="29" t="n"/>
      <c r="K3731" s="30" t="str">
        <f>IF($A3731="","",EDATE($A3731,12*$E$4))</f>
        <v/>
      </c>
      <c r="L3731" s="19" t="str">
        <f>IF($K3731="","",IF($K3731&gt;MAX($A$8:$A$5007),"",IFERROR(MATCH($K3731,$A$8:$A$5007,1),"")))</f>
        <v/>
      </c>
      <c r="M3731" s="30" t="str">
        <f>IF($L3731="","",INDEX($A$8:$A$5007,$L3731))</f>
        <v/>
      </c>
      <c r="N3731" s="31" t="str">
        <f>IF($L3731="","",INDEX($B$8:$B$5007,$L3731))</f>
        <v/>
      </c>
      <c r="O3731" s="32" t="str">
        <f>IF($M3731="","",IF($K3731-$M3731&gt;7,"",IF($M3731&lt;=$A3731,"",IF(OR($B3731&lt;=0,$N3731&lt;=0),"",($N3731/$B3731)^(365/($M3731-$A3731))-1))))</f>
        <v/>
      </c>
      <c r="P3731" s="31" t="str">
        <f>IF($B3731="","",IF($P3730="",$B3731,MAX($P3730,$B3731)))</f>
        <v/>
      </c>
      <c r="Q3731" s="32" t="str">
        <f>IF($P3731="","",$B3731/$P3731-1)</f>
        <v/>
      </c>
    </row>
    <row r="3732">
      <c r="A3732" s="11" t="n"/>
      <c r="B3732" s="29" t="n"/>
      <c r="K3732" s="30" t="str">
        <f>IF($A3732="","",EDATE($A3732,12*$E$4))</f>
        <v/>
      </c>
      <c r="L3732" s="19" t="str">
        <f>IF($K3732="","",IF($K3732&gt;MAX($A$8:$A$5007),"",IFERROR(MATCH($K3732,$A$8:$A$5007,1),"")))</f>
        <v/>
      </c>
      <c r="M3732" s="30" t="str">
        <f>IF($L3732="","",INDEX($A$8:$A$5007,$L3732))</f>
        <v/>
      </c>
      <c r="N3732" s="31" t="str">
        <f>IF($L3732="","",INDEX($B$8:$B$5007,$L3732))</f>
        <v/>
      </c>
      <c r="O3732" s="32" t="str">
        <f>IF($M3732="","",IF($K3732-$M3732&gt;7,"",IF($M3732&lt;=$A3732,"",IF(OR($B3732&lt;=0,$N3732&lt;=0),"",($N3732/$B3732)^(365/($M3732-$A3732))-1))))</f>
        <v/>
      </c>
      <c r="P3732" s="31" t="str">
        <f>IF($B3732="","",IF($P3731="",$B3732,MAX($P3731,$B3732)))</f>
        <v/>
      </c>
      <c r="Q3732" s="32" t="str">
        <f>IF($P3732="","",$B3732/$P3732-1)</f>
        <v/>
      </c>
    </row>
    <row r="3733">
      <c r="A3733" s="11" t="n"/>
      <c r="B3733" s="29" t="n"/>
      <c r="K3733" s="30" t="str">
        <f>IF($A3733="","",EDATE($A3733,12*$E$4))</f>
        <v/>
      </c>
      <c r="L3733" s="19" t="str">
        <f>IF($K3733="","",IF($K3733&gt;MAX($A$8:$A$5007),"",IFERROR(MATCH($K3733,$A$8:$A$5007,1),"")))</f>
        <v/>
      </c>
      <c r="M3733" s="30" t="str">
        <f>IF($L3733="","",INDEX($A$8:$A$5007,$L3733))</f>
        <v/>
      </c>
      <c r="N3733" s="31" t="str">
        <f>IF($L3733="","",INDEX($B$8:$B$5007,$L3733))</f>
        <v/>
      </c>
      <c r="O3733" s="32" t="str">
        <f>IF($M3733="","",IF($K3733-$M3733&gt;7,"",IF($M3733&lt;=$A3733,"",IF(OR($B3733&lt;=0,$N3733&lt;=0),"",($N3733/$B3733)^(365/($M3733-$A3733))-1))))</f>
        <v/>
      </c>
      <c r="P3733" s="31" t="str">
        <f>IF($B3733="","",IF($P3732="",$B3733,MAX($P3732,$B3733)))</f>
        <v/>
      </c>
      <c r="Q3733" s="32" t="str">
        <f>IF($P3733="","",$B3733/$P3733-1)</f>
        <v/>
      </c>
    </row>
    <row r="3734">
      <c r="A3734" s="11" t="n"/>
      <c r="B3734" s="29" t="n"/>
      <c r="K3734" s="30" t="str">
        <f>IF($A3734="","",EDATE($A3734,12*$E$4))</f>
        <v/>
      </c>
      <c r="L3734" s="19" t="str">
        <f>IF($K3734="","",IF($K3734&gt;MAX($A$8:$A$5007),"",IFERROR(MATCH($K3734,$A$8:$A$5007,1),"")))</f>
        <v/>
      </c>
      <c r="M3734" s="30" t="str">
        <f>IF($L3734="","",INDEX($A$8:$A$5007,$L3734))</f>
        <v/>
      </c>
      <c r="N3734" s="31" t="str">
        <f>IF($L3734="","",INDEX($B$8:$B$5007,$L3734))</f>
        <v/>
      </c>
      <c r="O3734" s="32" t="str">
        <f>IF($M3734="","",IF($K3734-$M3734&gt;7,"",IF($M3734&lt;=$A3734,"",IF(OR($B3734&lt;=0,$N3734&lt;=0),"",($N3734/$B3734)^(365/($M3734-$A3734))-1))))</f>
        <v/>
      </c>
      <c r="P3734" s="31" t="str">
        <f>IF($B3734="","",IF($P3733="",$B3734,MAX($P3733,$B3734)))</f>
        <v/>
      </c>
      <c r="Q3734" s="32" t="str">
        <f>IF($P3734="","",$B3734/$P3734-1)</f>
        <v/>
      </c>
    </row>
    <row r="3735">
      <c r="A3735" s="11" t="n"/>
      <c r="B3735" s="29" t="n"/>
      <c r="K3735" s="30" t="str">
        <f>IF($A3735="","",EDATE($A3735,12*$E$4))</f>
        <v/>
      </c>
      <c r="L3735" s="19" t="str">
        <f>IF($K3735="","",IF($K3735&gt;MAX($A$8:$A$5007),"",IFERROR(MATCH($K3735,$A$8:$A$5007,1),"")))</f>
        <v/>
      </c>
      <c r="M3735" s="30" t="str">
        <f>IF($L3735="","",INDEX($A$8:$A$5007,$L3735))</f>
        <v/>
      </c>
      <c r="N3735" s="31" t="str">
        <f>IF($L3735="","",INDEX($B$8:$B$5007,$L3735))</f>
        <v/>
      </c>
      <c r="O3735" s="32" t="str">
        <f>IF($M3735="","",IF($K3735-$M3735&gt;7,"",IF($M3735&lt;=$A3735,"",IF(OR($B3735&lt;=0,$N3735&lt;=0),"",($N3735/$B3735)^(365/($M3735-$A3735))-1))))</f>
        <v/>
      </c>
      <c r="P3735" s="31" t="str">
        <f>IF($B3735="","",IF($P3734="",$B3735,MAX($P3734,$B3735)))</f>
        <v/>
      </c>
      <c r="Q3735" s="32" t="str">
        <f>IF($P3735="","",$B3735/$P3735-1)</f>
        <v/>
      </c>
    </row>
    <row r="3736">
      <c r="A3736" s="11" t="n"/>
      <c r="B3736" s="29" t="n"/>
      <c r="K3736" s="30" t="str">
        <f>IF($A3736="","",EDATE($A3736,12*$E$4))</f>
        <v/>
      </c>
      <c r="L3736" s="19" t="str">
        <f>IF($K3736="","",IF($K3736&gt;MAX($A$8:$A$5007),"",IFERROR(MATCH($K3736,$A$8:$A$5007,1),"")))</f>
        <v/>
      </c>
      <c r="M3736" s="30" t="str">
        <f>IF($L3736="","",INDEX($A$8:$A$5007,$L3736))</f>
        <v/>
      </c>
      <c r="N3736" s="31" t="str">
        <f>IF($L3736="","",INDEX($B$8:$B$5007,$L3736))</f>
        <v/>
      </c>
      <c r="O3736" s="32" t="str">
        <f>IF($M3736="","",IF($K3736-$M3736&gt;7,"",IF($M3736&lt;=$A3736,"",IF(OR($B3736&lt;=0,$N3736&lt;=0),"",($N3736/$B3736)^(365/($M3736-$A3736))-1))))</f>
        <v/>
      </c>
      <c r="P3736" s="31" t="str">
        <f>IF($B3736="","",IF($P3735="",$B3736,MAX($P3735,$B3736)))</f>
        <v/>
      </c>
      <c r="Q3736" s="32" t="str">
        <f>IF($P3736="","",$B3736/$P3736-1)</f>
        <v/>
      </c>
    </row>
    <row r="3737">
      <c r="A3737" s="11" t="n"/>
      <c r="B3737" s="29" t="n"/>
      <c r="K3737" s="30" t="str">
        <f>IF($A3737="","",EDATE($A3737,12*$E$4))</f>
        <v/>
      </c>
      <c r="L3737" s="19" t="str">
        <f>IF($K3737="","",IF($K3737&gt;MAX($A$8:$A$5007),"",IFERROR(MATCH($K3737,$A$8:$A$5007,1),"")))</f>
        <v/>
      </c>
      <c r="M3737" s="30" t="str">
        <f>IF($L3737="","",INDEX($A$8:$A$5007,$L3737))</f>
        <v/>
      </c>
      <c r="N3737" s="31" t="str">
        <f>IF($L3737="","",INDEX($B$8:$B$5007,$L3737))</f>
        <v/>
      </c>
      <c r="O3737" s="32" t="str">
        <f>IF($M3737="","",IF($K3737-$M3737&gt;7,"",IF($M3737&lt;=$A3737,"",IF(OR($B3737&lt;=0,$N3737&lt;=0),"",($N3737/$B3737)^(365/($M3737-$A3737))-1))))</f>
        <v/>
      </c>
      <c r="P3737" s="31" t="str">
        <f>IF($B3737="","",IF($P3736="",$B3737,MAX($P3736,$B3737)))</f>
        <v/>
      </c>
      <c r="Q3737" s="32" t="str">
        <f>IF($P3737="","",$B3737/$P3737-1)</f>
        <v/>
      </c>
    </row>
    <row r="3738">
      <c r="A3738" s="11" t="n"/>
      <c r="B3738" s="29" t="n"/>
      <c r="K3738" s="30" t="str">
        <f>IF($A3738="","",EDATE($A3738,12*$E$4))</f>
        <v/>
      </c>
      <c r="L3738" s="19" t="str">
        <f>IF($K3738="","",IF($K3738&gt;MAX($A$8:$A$5007),"",IFERROR(MATCH($K3738,$A$8:$A$5007,1),"")))</f>
        <v/>
      </c>
      <c r="M3738" s="30" t="str">
        <f>IF($L3738="","",INDEX($A$8:$A$5007,$L3738))</f>
        <v/>
      </c>
      <c r="N3738" s="31" t="str">
        <f>IF($L3738="","",INDEX($B$8:$B$5007,$L3738))</f>
        <v/>
      </c>
      <c r="O3738" s="32" t="str">
        <f>IF($M3738="","",IF($K3738-$M3738&gt;7,"",IF($M3738&lt;=$A3738,"",IF(OR($B3738&lt;=0,$N3738&lt;=0),"",($N3738/$B3738)^(365/($M3738-$A3738))-1))))</f>
        <v/>
      </c>
      <c r="P3738" s="31" t="str">
        <f>IF($B3738="","",IF($P3737="",$B3738,MAX($P3737,$B3738)))</f>
        <v/>
      </c>
      <c r="Q3738" s="32" t="str">
        <f>IF($P3738="","",$B3738/$P3738-1)</f>
        <v/>
      </c>
    </row>
    <row r="3739">
      <c r="A3739" s="11" t="n"/>
      <c r="B3739" s="29" t="n"/>
      <c r="K3739" s="30" t="str">
        <f>IF($A3739="","",EDATE($A3739,12*$E$4))</f>
        <v/>
      </c>
      <c r="L3739" s="19" t="str">
        <f>IF($K3739="","",IF($K3739&gt;MAX($A$8:$A$5007),"",IFERROR(MATCH($K3739,$A$8:$A$5007,1),"")))</f>
        <v/>
      </c>
      <c r="M3739" s="30" t="str">
        <f>IF($L3739="","",INDEX($A$8:$A$5007,$L3739))</f>
        <v/>
      </c>
      <c r="N3739" s="31" t="str">
        <f>IF($L3739="","",INDEX($B$8:$B$5007,$L3739))</f>
        <v/>
      </c>
      <c r="O3739" s="32" t="str">
        <f>IF($M3739="","",IF($K3739-$M3739&gt;7,"",IF($M3739&lt;=$A3739,"",IF(OR($B3739&lt;=0,$N3739&lt;=0),"",($N3739/$B3739)^(365/($M3739-$A3739))-1))))</f>
        <v/>
      </c>
      <c r="P3739" s="31" t="str">
        <f>IF($B3739="","",IF($P3738="",$B3739,MAX($P3738,$B3739)))</f>
        <v/>
      </c>
      <c r="Q3739" s="32" t="str">
        <f>IF($P3739="","",$B3739/$P3739-1)</f>
        <v/>
      </c>
    </row>
    <row r="3740">
      <c r="A3740" s="11" t="n"/>
      <c r="B3740" s="29" t="n"/>
      <c r="K3740" s="30" t="str">
        <f>IF($A3740="","",EDATE($A3740,12*$E$4))</f>
        <v/>
      </c>
      <c r="L3740" s="19" t="str">
        <f>IF($K3740="","",IF($K3740&gt;MAX($A$8:$A$5007),"",IFERROR(MATCH($K3740,$A$8:$A$5007,1),"")))</f>
        <v/>
      </c>
      <c r="M3740" s="30" t="str">
        <f>IF($L3740="","",INDEX($A$8:$A$5007,$L3740))</f>
        <v/>
      </c>
      <c r="N3740" s="31" t="str">
        <f>IF($L3740="","",INDEX($B$8:$B$5007,$L3740))</f>
        <v/>
      </c>
      <c r="O3740" s="32" t="str">
        <f>IF($M3740="","",IF($K3740-$M3740&gt;7,"",IF($M3740&lt;=$A3740,"",IF(OR($B3740&lt;=0,$N3740&lt;=0),"",($N3740/$B3740)^(365/($M3740-$A3740))-1))))</f>
        <v/>
      </c>
      <c r="P3740" s="31" t="str">
        <f>IF($B3740="","",IF($P3739="",$B3740,MAX($P3739,$B3740)))</f>
        <v/>
      </c>
      <c r="Q3740" s="32" t="str">
        <f>IF($P3740="","",$B3740/$P3740-1)</f>
        <v/>
      </c>
    </row>
    <row r="3741">
      <c r="A3741" s="11" t="n"/>
      <c r="B3741" s="29" t="n"/>
      <c r="K3741" s="30" t="str">
        <f>IF($A3741="","",EDATE($A3741,12*$E$4))</f>
        <v/>
      </c>
      <c r="L3741" s="19" t="str">
        <f>IF($K3741="","",IF($K3741&gt;MAX($A$8:$A$5007),"",IFERROR(MATCH($K3741,$A$8:$A$5007,1),"")))</f>
        <v/>
      </c>
      <c r="M3741" s="30" t="str">
        <f>IF($L3741="","",INDEX($A$8:$A$5007,$L3741))</f>
        <v/>
      </c>
      <c r="N3741" s="31" t="str">
        <f>IF($L3741="","",INDEX($B$8:$B$5007,$L3741))</f>
        <v/>
      </c>
      <c r="O3741" s="32" t="str">
        <f>IF($M3741="","",IF($K3741-$M3741&gt;7,"",IF($M3741&lt;=$A3741,"",IF(OR($B3741&lt;=0,$N3741&lt;=0),"",($N3741/$B3741)^(365/($M3741-$A3741))-1))))</f>
        <v/>
      </c>
      <c r="P3741" s="31" t="str">
        <f>IF($B3741="","",IF($P3740="",$B3741,MAX($P3740,$B3741)))</f>
        <v/>
      </c>
      <c r="Q3741" s="32" t="str">
        <f>IF($P3741="","",$B3741/$P3741-1)</f>
        <v/>
      </c>
    </row>
    <row r="3742">
      <c r="A3742" s="11" t="n"/>
      <c r="B3742" s="29" t="n"/>
      <c r="K3742" s="30" t="str">
        <f>IF($A3742="","",EDATE($A3742,12*$E$4))</f>
        <v/>
      </c>
      <c r="L3742" s="19" t="str">
        <f>IF($K3742="","",IF($K3742&gt;MAX($A$8:$A$5007),"",IFERROR(MATCH($K3742,$A$8:$A$5007,1),"")))</f>
        <v/>
      </c>
      <c r="M3742" s="30" t="str">
        <f>IF($L3742="","",INDEX($A$8:$A$5007,$L3742))</f>
        <v/>
      </c>
      <c r="N3742" s="31" t="str">
        <f>IF($L3742="","",INDEX($B$8:$B$5007,$L3742))</f>
        <v/>
      </c>
      <c r="O3742" s="32" t="str">
        <f>IF($M3742="","",IF($K3742-$M3742&gt;7,"",IF($M3742&lt;=$A3742,"",IF(OR($B3742&lt;=0,$N3742&lt;=0),"",($N3742/$B3742)^(365/($M3742-$A3742))-1))))</f>
        <v/>
      </c>
      <c r="P3742" s="31" t="str">
        <f>IF($B3742="","",IF($P3741="",$B3742,MAX($P3741,$B3742)))</f>
        <v/>
      </c>
      <c r="Q3742" s="32" t="str">
        <f>IF($P3742="","",$B3742/$P3742-1)</f>
        <v/>
      </c>
    </row>
    <row r="3743">
      <c r="A3743" s="11" t="n"/>
      <c r="B3743" s="29" t="n"/>
      <c r="K3743" s="30" t="str">
        <f>IF($A3743="","",EDATE($A3743,12*$E$4))</f>
        <v/>
      </c>
      <c r="L3743" s="19" t="str">
        <f>IF($K3743="","",IF($K3743&gt;MAX($A$8:$A$5007),"",IFERROR(MATCH($K3743,$A$8:$A$5007,1),"")))</f>
        <v/>
      </c>
      <c r="M3743" s="30" t="str">
        <f>IF($L3743="","",INDEX($A$8:$A$5007,$L3743))</f>
        <v/>
      </c>
      <c r="N3743" s="31" t="str">
        <f>IF($L3743="","",INDEX($B$8:$B$5007,$L3743))</f>
        <v/>
      </c>
      <c r="O3743" s="32" t="str">
        <f>IF($M3743="","",IF($K3743-$M3743&gt;7,"",IF($M3743&lt;=$A3743,"",IF(OR($B3743&lt;=0,$N3743&lt;=0),"",($N3743/$B3743)^(365/($M3743-$A3743))-1))))</f>
        <v/>
      </c>
      <c r="P3743" s="31" t="str">
        <f>IF($B3743="","",IF($P3742="",$B3743,MAX($P3742,$B3743)))</f>
        <v/>
      </c>
      <c r="Q3743" s="32" t="str">
        <f>IF($P3743="","",$B3743/$P3743-1)</f>
        <v/>
      </c>
    </row>
    <row r="3744">
      <c r="A3744" s="11" t="n"/>
      <c r="B3744" s="29" t="n"/>
      <c r="K3744" s="30" t="str">
        <f>IF($A3744="","",EDATE($A3744,12*$E$4))</f>
        <v/>
      </c>
      <c r="L3744" s="19" t="str">
        <f>IF($K3744="","",IF($K3744&gt;MAX($A$8:$A$5007),"",IFERROR(MATCH($K3744,$A$8:$A$5007,1),"")))</f>
        <v/>
      </c>
      <c r="M3744" s="30" t="str">
        <f>IF($L3744="","",INDEX($A$8:$A$5007,$L3744))</f>
        <v/>
      </c>
      <c r="N3744" s="31" t="str">
        <f>IF($L3744="","",INDEX($B$8:$B$5007,$L3744))</f>
        <v/>
      </c>
      <c r="O3744" s="32" t="str">
        <f>IF($M3744="","",IF($K3744-$M3744&gt;7,"",IF($M3744&lt;=$A3744,"",IF(OR($B3744&lt;=0,$N3744&lt;=0),"",($N3744/$B3744)^(365/($M3744-$A3744))-1))))</f>
        <v/>
      </c>
      <c r="P3744" s="31" t="str">
        <f>IF($B3744="","",IF($P3743="",$B3744,MAX($P3743,$B3744)))</f>
        <v/>
      </c>
      <c r="Q3744" s="32" t="str">
        <f>IF($P3744="","",$B3744/$P3744-1)</f>
        <v/>
      </c>
    </row>
    <row r="3745">
      <c r="A3745" s="11" t="n"/>
      <c r="B3745" s="29" t="n"/>
      <c r="K3745" s="30" t="str">
        <f>IF($A3745="","",EDATE($A3745,12*$E$4))</f>
        <v/>
      </c>
      <c r="L3745" s="19" t="str">
        <f>IF($K3745="","",IF($K3745&gt;MAX($A$8:$A$5007),"",IFERROR(MATCH($K3745,$A$8:$A$5007,1),"")))</f>
        <v/>
      </c>
      <c r="M3745" s="30" t="str">
        <f>IF($L3745="","",INDEX($A$8:$A$5007,$L3745))</f>
        <v/>
      </c>
      <c r="N3745" s="31" t="str">
        <f>IF($L3745="","",INDEX($B$8:$B$5007,$L3745))</f>
        <v/>
      </c>
      <c r="O3745" s="32" t="str">
        <f>IF($M3745="","",IF($K3745-$M3745&gt;7,"",IF($M3745&lt;=$A3745,"",IF(OR($B3745&lt;=0,$N3745&lt;=0),"",($N3745/$B3745)^(365/($M3745-$A3745))-1))))</f>
        <v/>
      </c>
      <c r="P3745" s="31" t="str">
        <f>IF($B3745="","",IF($P3744="",$B3745,MAX($P3744,$B3745)))</f>
        <v/>
      </c>
      <c r="Q3745" s="32" t="str">
        <f>IF($P3745="","",$B3745/$P3745-1)</f>
        <v/>
      </c>
    </row>
    <row r="3746">
      <c r="A3746" s="11" t="n"/>
      <c r="B3746" s="29" t="n"/>
      <c r="K3746" s="30" t="str">
        <f>IF($A3746="","",EDATE($A3746,12*$E$4))</f>
        <v/>
      </c>
      <c r="L3746" s="19" t="str">
        <f>IF($K3746="","",IF($K3746&gt;MAX($A$8:$A$5007),"",IFERROR(MATCH($K3746,$A$8:$A$5007,1),"")))</f>
        <v/>
      </c>
      <c r="M3746" s="30" t="str">
        <f>IF($L3746="","",INDEX($A$8:$A$5007,$L3746))</f>
        <v/>
      </c>
      <c r="N3746" s="31" t="str">
        <f>IF($L3746="","",INDEX($B$8:$B$5007,$L3746))</f>
        <v/>
      </c>
      <c r="O3746" s="32" t="str">
        <f>IF($M3746="","",IF($K3746-$M3746&gt;7,"",IF($M3746&lt;=$A3746,"",IF(OR($B3746&lt;=0,$N3746&lt;=0),"",($N3746/$B3746)^(365/($M3746-$A3746))-1))))</f>
        <v/>
      </c>
      <c r="P3746" s="31" t="str">
        <f>IF($B3746="","",IF($P3745="",$B3746,MAX($P3745,$B3746)))</f>
        <v/>
      </c>
      <c r="Q3746" s="32" t="str">
        <f>IF($P3746="","",$B3746/$P3746-1)</f>
        <v/>
      </c>
    </row>
    <row r="3747">
      <c r="A3747" s="11" t="n"/>
      <c r="B3747" s="29" t="n"/>
      <c r="K3747" s="30" t="str">
        <f>IF($A3747="","",EDATE($A3747,12*$E$4))</f>
        <v/>
      </c>
      <c r="L3747" s="19" t="str">
        <f>IF($K3747="","",IF($K3747&gt;MAX($A$8:$A$5007),"",IFERROR(MATCH($K3747,$A$8:$A$5007,1),"")))</f>
        <v/>
      </c>
      <c r="M3747" s="30" t="str">
        <f>IF($L3747="","",INDEX($A$8:$A$5007,$L3747))</f>
        <v/>
      </c>
      <c r="N3747" s="31" t="str">
        <f>IF($L3747="","",INDEX($B$8:$B$5007,$L3747))</f>
        <v/>
      </c>
      <c r="O3747" s="32" t="str">
        <f>IF($M3747="","",IF($K3747-$M3747&gt;7,"",IF($M3747&lt;=$A3747,"",IF(OR($B3747&lt;=0,$N3747&lt;=0),"",($N3747/$B3747)^(365/($M3747-$A3747))-1))))</f>
        <v/>
      </c>
      <c r="P3747" s="31" t="str">
        <f>IF($B3747="","",IF($P3746="",$B3747,MAX($P3746,$B3747)))</f>
        <v/>
      </c>
      <c r="Q3747" s="32" t="str">
        <f>IF($P3747="","",$B3747/$P3747-1)</f>
        <v/>
      </c>
    </row>
    <row r="3748">
      <c r="A3748" s="11" t="n"/>
      <c r="B3748" s="29" t="n"/>
      <c r="K3748" s="30" t="str">
        <f>IF($A3748="","",EDATE($A3748,12*$E$4))</f>
        <v/>
      </c>
      <c r="L3748" s="19" t="str">
        <f>IF($K3748="","",IF($K3748&gt;MAX($A$8:$A$5007),"",IFERROR(MATCH($K3748,$A$8:$A$5007,1),"")))</f>
        <v/>
      </c>
      <c r="M3748" s="30" t="str">
        <f>IF($L3748="","",INDEX($A$8:$A$5007,$L3748))</f>
        <v/>
      </c>
      <c r="N3748" s="31" t="str">
        <f>IF($L3748="","",INDEX($B$8:$B$5007,$L3748))</f>
        <v/>
      </c>
      <c r="O3748" s="32" t="str">
        <f>IF($M3748="","",IF($K3748-$M3748&gt;7,"",IF($M3748&lt;=$A3748,"",IF(OR($B3748&lt;=0,$N3748&lt;=0),"",($N3748/$B3748)^(365/($M3748-$A3748))-1))))</f>
        <v/>
      </c>
      <c r="P3748" s="31" t="str">
        <f>IF($B3748="","",IF($P3747="",$B3748,MAX($P3747,$B3748)))</f>
        <v/>
      </c>
      <c r="Q3748" s="32" t="str">
        <f>IF($P3748="","",$B3748/$P3748-1)</f>
        <v/>
      </c>
    </row>
    <row r="3749">
      <c r="A3749" s="11" t="n"/>
      <c r="B3749" s="29" t="n"/>
      <c r="K3749" s="30" t="str">
        <f>IF($A3749="","",EDATE($A3749,12*$E$4))</f>
        <v/>
      </c>
      <c r="L3749" s="19" t="str">
        <f>IF($K3749="","",IF($K3749&gt;MAX($A$8:$A$5007),"",IFERROR(MATCH($K3749,$A$8:$A$5007,1),"")))</f>
        <v/>
      </c>
      <c r="M3749" s="30" t="str">
        <f>IF($L3749="","",INDEX($A$8:$A$5007,$L3749))</f>
        <v/>
      </c>
      <c r="N3749" s="31" t="str">
        <f>IF($L3749="","",INDEX($B$8:$B$5007,$L3749))</f>
        <v/>
      </c>
      <c r="O3749" s="32" t="str">
        <f>IF($M3749="","",IF($K3749-$M3749&gt;7,"",IF($M3749&lt;=$A3749,"",IF(OR($B3749&lt;=0,$N3749&lt;=0),"",($N3749/$B3749)^(365/($M3749-$A3749))-1))))</f>
        <v/>
      </c>
      <c r="P3749" s="31" t="str">
        <f>IF($B3749="","",IF($P3748="",$B3749,MAX($P3748,$B3749)))</f>
        <v/>
      </c>
      <c r="Q3749" s="32" t="str">
        <f>IF($P3749="","",$B3749/$P3749-1)</f>
        <v/>
      </c>
    </row>
    <row r="3750">
      <c r="A3750" s="11" t="n"/>
      <c r="B3750" s="29" t="n"/>
      <c r="K3750" s="30" t="str">
        <f>IF($A3750="","",EDATE($A3750,12*$E$4))</f>
        <v/>
      </c>
      <c r="L3750" s="19" t="str">
        <f>IF($K3750="","",IF($K3750&gt;MAX($A$8:$A$5007),"",IFERROR(MATCH($K3750,$A$8:$A$5007,1),"")))</f>
        <v/>
      </c>
      <c r="M3750" s="30" t="str">
        <f>IF($L3750="","",INDEX($A$8:$A$5007,$L3750))</f>
        <v/>
      </c>
      <c r="N3750" s="31" t="str">
        <f>IF($L3750="","",INDEX($B$8:$B$5007,$L3750))</f>
        <v/>
      </c>
      <c r="O3750" s="32" t="str">
        <f>IF($M3750="","",IF($K3750-$M3750&gt;7,"",IF($M3750&lt;=$A3750,"",IF(OR($B3750&lt;=0,$N3750&lt;=0),"",($N3750/$B3750)^(365/($M3750-$A3750))-1))))</f>
        <v/>
      </c>
      <c r="P3750" s="31" t="str">
        <f>IF($B3750="","",IF($P3749="",$B3750,MAX($P3749,$B3750)))</f>
        <v/>
      </c>
      <c r="Q3750" s="32" t="str">
        <f>IF($P3750="","",$B3750/$P3750-1)</f>
        <v/>
      </c>
    </row>
    <row r="3751">
      <c r="A3751" s="11" t="n"/>
      <c r="B3751" s="29" t="n"/>
      <c r="K3751" s="30" t="str">
        <f>IF($A3751="","",EDATE($A3751,12*$E$4))</f>
        <v/>
      </c>
      <c r="L3751" s="19" t="str">
        <f>IF($K3751="","",IF($K3751&gt;MAX($A$8:$A$5007),"",IFERROR(MATCH($K3751,$A$8:$A$5007,1),"")))</f>
        <v/>
      </c>
      <c r="M3751" s="30" t="str">
        <f>IF($L3751="","",INDEX($A$8:$A$5007,$L3751))</f>
        <v/>
      </c>
      <c r="N3751" s="31" t="str">
        <f>IF($L3751="","",INDEX($B$8:$B$5007,$L3751))</f>
        <v/>
      </c>
      <c r="O3751" s="32" t="str">
        <f>IF($M3751="","",IF($K3751-$M3751&gt;7,"",IF($M3751&lt;=$A3751,"",IF(OR($B3751&lt;=0,$N3751&lt;=0),"",($N3751/$B3751)^(365/($M3751-$A3751))-1))))</f>
        <v/>
      </c>
      <c r="P3751" s="31" t="str">
        <f>IF($B3751="","",IF($P3750="",$B3751,MAX($P3750,$B3751)))</f>
        <v/>
      </c>
      <c r="Q3751" s="32" t="str">
        <f>IF($P3751="","",$B3751/$P3751-1)</f>
        <v/>
      </c>
    </row>
    <row r="3752">
      <c r="A3752" s="11" t="n"/>
      <c r="B3752" s="29" t="n"/>
      <c r="K3752" s="30" t="str">
        <f>IF($A3752="","",EDATE($A3752,12*$E$4))</f>
        <v/>
      </c>
      <c r="L3752" s="19" t="str">
        <f>IF($K3752="","",IF($K3752&gt;MAX($A$8:$A$5007),"",IFERROR(MATCH($K3752,$A$8:$A$5007,1),"")))</f>
        <v/>
      </c>
      <c r="M3752" s="30" t="str">
        <f>IF($L3752="","",INDEX($A$8:$A$5007,$L3752))</f>
        <v/>
      </c>
      <c r="N3752" s="31" t="str">
        <f>IF($L3752="","",INDEX($B$8:$B$5007,$L3752))</f>
        <v/>
      </c>
      <c r="O3752" s="32" t="str">
        <f>IF($M3752="","",IF($K3752-$M3752&gt;7,"",IF($M3752&lt;=$A3752,"",IF(OR($B3752&lt;=0,$N3752&lt;=0),"",($N3752/$B3752)^(365/($M3752-$A3752))-1))))</f>
        <v/>
      </c>
      <c r="P3752" s="31" t="str">
        <f>IF($B3752="","",IF($P3751="",$B3752,MAX($P3751,$B3752)))</f>
        <v/>
      </c>
      <c r="Q3752" s="32" t="str">
        <f>IF($P3752="","",$B3752/$P3752-1)</f>
        <v/>
      </c>
    </row>
    <row r="3753">
      <c r="A3753" s="11" t="n"/>
      <c r="B3753" s="29" t="n"/>
      <c r="K3753" s="30" t="str">
        <f>IF($A3753="","",EDATE($A3753,12*$E$4))</f>
        <v/>
      </c>
      <c r="L3753" s="19" t="str">
        <f>IF($K3753="","",IF($K3753&gt;MAX($A$8:$A$5007),"",IFERROR(MATCH($K3753,$A$8:$A$5007,1),"")))</f>
        <v/>
      </c>
      <c r="M3753" s="30" t="str">
        <f>IF($L3753="","",INDEX($A$8:$A$5007,$L3753))</f>
        <v/>
      </c>
      <c r="N3753" s="31" t="str">
        <f>IF($L3753="","",INDEX($B$8:$B$5007,$L3753))</f>
        <v/>
      </c>
      <c r="O3753" s="32" t="str">
        <f>IF($M3753="","",IF($K3753-$M3753&gt;7,"",IF($M3753&lt;=$A3753,"",IF(OR($B3753&lt;=0,$N3753&lt;=0),"",($N3753/$B3753)^(365/($M3753-$A3753))-1))))</f>
        <v/>
      </c>
      <c r="P3753" s="31" t="str">
        <f>IF($B3753="","",IF($P3752="",$B3753,MAX($P3752,$B3753)))</f>
        <v/>
      </c>
      <c r="Q3753" s="32" t="str">
        <f>IF($P3753="","",$B3753/$P3753-1)</f>
        <v/>
      </c>
    </row>
    <row r="3754">
      <c r="A3754" s="11" t="n"/>
      <c r="B3754" s="29" t="n"/>
      <c r="K3754" s="30" t="str">
        <f>IF($A3754="","",EDATE($A3754,12*$E$4))</f>
        <v/>
      </c>
      <c r="L3754" s="19" t="str">
        <f>IF($K3754="","",IF($K3754&gt;MAX($A$8:$A$5007),"",IFERROR(MATCH($K3754,$A$8:$A$5007,1),"")))</f>
        <v/>
      </c>
      <c r="M3754" s="30" t="str">
        <f>IF($L3754="","",INDEX($A$8:$A$5007,$L3754))</f>
        <v/>
      </c>
      <c r="N3754" s="31" t="str">
        <f>IF($L3754="","",INDEX($B$8:$B$5007,$L3754))</f>
        <v/>
      </c>
      <c r="O3754" s="32" t="str">
        <f>IF($M3754="","",IF($K3754-$M3754&gt;7,"",IF($M3754&lt;=$A3754,"",IF(OR($B3754&lt;=0,$N3754&lt;=0),"",($N3754/$B3754)^(365/($M3754-$A3754))-1))))</f>
        <v/>
      </c>
      <c r="P3754" s="31" t="str">
        <f>IF($B3754="","",IF($P3753="",$B3754,MAX($P3753,$B3754)))</f>
        <v/>
      </c>
      <c r="Q3754" s="32" t="str">
        <f>IF($P3754="","",$B3754/$P3754-1)</f>
        <v/>
      </c>
    </row>
    <row r="3755">
      <c r="A3755" s="11" t="n"/>
      <c r="B3755" s="29" t="n"/>
      <c r="K3755" s="30" t="str">
        <f>IF($A3755="","",EDATE($A3755,12*$E$4))</f>
        <v/>
      </c>
      <c r="L3755" s="19" t="str">
        <f>IF($K3755="","",IF($K3755&gt;MAX($A$8:$A$5007),"",IFERROR(MATCH($K3755,$A$8:$A$5007,1),"")))</f>
        <v/>
      </c>
      <c r="M3755" s="30" t="str">
        <f>IF($L3755="","",INDEX($A$8:$A$5007,$L3755))</f>
        <v/>
      </c>
      <c r="N3755" s="31" t="str">
        <f>IF($L3755="","",INDEX($B$8:$B$5007,$L3755))</f>
        <v/>
      </c>
      <c r="O3755" s="32" t="str">
        <f>IF($M3755="","",IF($K3755-$M3755&gt;7,"",IF($M3755&lt;=$A3755,"",IF(OR($B3755&lt;=0,$N3755&lt;=0),"",($N3755/$B3755)^(365/($M3755-$A3755))-1))))</f>
        <v/>
      </c>
      <c r="P3755" s="31" t="str">
        <f>IF($B3755="","",IF($P3754="",$B3755,MAX($P3754,$B3755)))</f>
        <v/>
      </c>
      <c r="Q3755" s="32" t="str">
        <f>IF($P3755="","",$B3755/$P3755-1)</f>
        <v/>
      </c>
    </row>
    <row r="3756">
      <c r="A3756" s="11" t="n"/>
      <c r="B3756" s="29" t="n"/>
      <c r="K3756" s="30" t="str">
        <f>IF($A3756="","",EDATE($A3756,12*$E$4))</f>
        <v/>
      </c>
      <c r="L3756" s="19" t="str">
        <f>IF($K3756="","",IF($K3756&gt;MAX($A$8:$A$5007),"",IFERROR(MATCH($K3756,$A$8:$A$5007,1),"")))</f>
        <v/>
      </c>
      <c r="M3756" s="30" t="str">
        <f>IF($L3756="","",INDEX($A$8:$A$5007,$L3756))</f>
        <v/>
      </c>
      <c r="N3756" s="31" t="str">
        <f>IF($L3756="","",INDEX($B$8:$B$5007,$L3756))</f>
        <v/>
      </c>
      <c r="O3756" s="32" t="str">
        <f>IF($M3756="","",IF($K3756-$M3756&gt;7,"",IF($M3756&lt;=$A3756,"",IF(OR($B3756&lt;=0,$N3756&lt;=0),"",($N3756/$B3756)^(365/($M3756-$A3756))-1))))</f>
        <v/>
      </c>
      <c r="P3756" s="31" t="str">
        <f>IF($B3756="","",IF($P3755="",$B3756,MAX($P3755,$B3756)))</f>
        <v/>
      </c>
      <c r="Q3756" s="32" t="str">
        <f>IF($P3756="","",$B3756/$P3756-1)</f>
        <v/>
      </c>
    </row>
    <row r="3757">
      <c r="A3757" s="11" t="n"/>
      <c r="B3757" s="29" t="n"/>
      <c r="K3757" s="30" t="str">
        <f>IF($A3757="","",EDATE($A3757,12*$E$4))</f>
        <v/>
      </c>
      <c r="L3757" s="19" t="str">
        <f>IF($K3757="","",IF($K3757&gt;MAX($A$8:$A$5007),"",IFERROR(MATCH($K3757,$A$8:$A$5007,1),"")))</f>
        <v/>
      </c>
      <c r="M3757" s="30" t="str">
        <f>IF($L3757="","",INDEX($A$8:$A$5007,$L3757))</f>
        <v/>
      </c>
      <c r="N3757" s="31" t="str">
        <f>IF($L3757="","",INDEX($B$8:$B$5007,$L3757))</f>
        <v/>
      </c>
      <c r="O3757" s="32" t="str">
        <f>IF($M3757="","",IF($K3757-$M3757&gt;7,"",IF($M3757&lt;=$A3757,"",IF(OR($B3757&lt;=0,$N3757&lt;=0),"",($N3757/$B3757)^(365/($M3757-$A3757))-1))))</f>
        <v/>
      </c>
      <c r="P3757" s="31" t="str">
        <f>IF($B3757="","",IF($P3756="",$B3757,MAX($P3756,$B3757)))</f>
        <v/>
      </c>
      <c r="Q3757" s="32" t="str">
        <f>IF($P3757="","",$B3757/$P3757-1)</f>
        <v/>
      </c>
    </row>
    <row r="3758">
      <c r="A3758" s="11" t="n"/>
      <c r="B3758" s="29" t="n"/>
      <c r="K3758" s="30" t="str">
        <f>IF($A3758="","",EDATE($A3758,12*$E$4))</f>
        <v/>
      </c>
      <c r="L3758" s="19" t="str">
        <f>IF($K3758="","",IF($K3758&gt;MAX($A$8:$A$5007),"",IFERROR(MATCH($K3758,$A$8:$A$5007,1),"")))</f>
        <v/>
      </c>
      <c r="M3758" s="30" t="str">
        <f>IF($L3758="","",INDEX($A$8:$A$5007,$L3758))</f>
        <v/>
      </c>
      <c r="N3758" s="31" t="str">
        <f>IF($L3758="","",INDEX($B$8:$B$5007,$L3758))</f>
        <v/>
      </c>
      <c r="O3758" s="32" t="str">
        <f>IF($M3758="","",IF($K3758-$M3758&gt;7,"",IF($M3758&lt;=$A3758,"",IF(OR($B3758&lt;=0,$N3758&lt;=0),"",($N3758/$B3758)^(365/($M3758-$A3758))-1))))</f>
        <v/>
      </c>
      <c r="P3758" s="31" t="str">
        <f>IF($B3758="","",IF($P3757="",$B3758,MAX($P3757,$B3758)))</f>
        <v/>
      </c>
      <c r="Q3758" s="32" t="str">
        <f>IF($P3758="","",$B3758/$P3758-1)</f>
        <v/>
      </c>
    </row>
    <row r="3759">
      <c r="A3759" s="11" t="n"/>
      <c r="B3759" s="29" t="n"/>
      <c r="K3759" s="30" t="str">
        <f>IF($A3759="","",EDATE($A3759,12*$E$4))</f>
        <v/>
      </c>
      <c r="L3759" s="19" t="str">
        <f>IF($K3759="","",IF($K3759&gt;MAX($A$8:$A$5007),"",IFERROR(MATCH($K3759,$A$8:$A$5007,1),"")))</f>
        <v/>
      </c>
      <c r="M3759" s="30" t="str">
        <f>IF($L3759="","",INDEX($A$8:$A$5007,$L3759))</f>
        <v/>
      </c>
      <c r="N3759" s="31" t="str">
        <f>IF($L3759="","",INDEX($B$8:$B$5007,$L3759))</f>
        <v/>
      </c>
      <c r="O3759" s="32" t="str">
        <f>IF($M3759="","",IF($K3759-$M3759&gt;7,"",IF($M3759&lt;=$A3759,"",IF(OR($B3759&lt;=0,$N3759&lt;=0),"",($N3759/$B3759)^(365/($M3759-$A3759))-1))))</f>
        <v/>
      </c>
      <c r="P3759" s="31" t="str">
        <f>IF($B3759="","",IF($P3758="",$B3759,MAX($P3758,$B3759)))</f>
        <v/>
      </c>
      <c r="Q3759" s="32" t="str">
        <f>IF($P3759="","",$B3759/$P3759-1)</f>
        <v/>
      </c>
    </row>
    <row r="3760">
      <c r="A3760" s="11" t="n"/>
      <c r="B3760" s="29" t="n"/>
      <c r="K3760" s="30" t="str">
        <f>IF($A3760="","",EDATE($A3760,12*$E$4))</f>
        <v/>
      </c>
      <c r="L3760" s="19" t="str">
        <f>IF($K3760="","",IF($K3760&gt;MAX($A$8:$A$5007),"",IFERROR(MATCH($K3760,$A$8:$A$5007,1),"")))</f>
        <v/>
      </c>
      <c r="M3760" s="30" t="str">
        <f>IF($L3760="","",INDEX($A$8:$A$5007,$L3760))</f>
        <v/>
      </c>
      <c r="N3760" s="31" t="str">
        <f>IF($L3760="","",INDEX($B$8:$B$5007,$L3760))</f>
        <v/>
      </c>
      <c r="O3760" s="32" t="str">
        <f>IF($M3760="","",IF($K3760-$M3760&gt;7,"",IF($M3760&lt;=$A3760,"",IF(OR($B3760&lt;=0,$N3760&lt;=0),"",($N3760/$B3760)^(365/($M3760-$A3760))-1))))</f>
        <v/>
      </c>
      <c r="P3760" s="31" t="str">
        <f>IF($B3760="","",IF($P3759="",$B3760,MAX($P3759,$B3760)))</f>
        <v/>
      </c>
      <c r="Q3760" s="32" t="str">
        <f>IF($P3760="","",$B3760/$P3760-1)</f>
        <v/>
      </c>
    </row>
    <row r="3761">
      <c r="A3761" s="11" t="n"/>
      <c r="B3761" s="29" t="n"/>
      <c r="K3761" s="30" t="str">
        <f>IF($A3761="","",EDATE($A3761,12*$E$4))</f>
        <v/>
      </c>
      <c r="L3761" s="19" t="str">
        <f>IF($K3761="","",IF($K3761&gt;MAX($A$8:$A$5007),"",IFERROR(MATCH($K3761,$A$8:$A$5007,1),"")))</f>
        <v/>
      </c>
      <c r="M3761" s="30" t="str">
        <f>IF($L3761="","",INDEX($A$8:$A$5007,$L3761))</f>
        <v/>
      </c>
      <c r="N3761" s="31" t="str">
        <f>IF($L3761="","",INDEX($B$8:$B$5007,$L3761))</f>
        <v/>
      </c>
      <c r="O3761" s="32" t="str">
        <f>IF($M3761="","",IF($K3761-$M3761&gt;7,"",IF($M3761&lt;=$A3761,"",IF(OR($B3761&lt;=0,$N3761&lt;=0),"",($N3761/$B3761)^(365/($M3761-$A3761))-1))))</f>
        <v/>
      </c>
      <c r="P3761" s="31" t="str">
        <f>IF($B3761="","",IF($P3760="",$B3761,MAX($P3760,$B3761)))</f>
        <v/>
      </c>
      <c r="Q3761" s="32" t="str">
        <f>IF($P3761="","",$B3761/$P3761-1)</f>
        <v/>
      </c>
    </row>
    <row r="3762">
      <c r="A3762" s="11" t="n"/>
      <c r="B3762" s="29" t="n"/>
      <c r="K3762" s="30" t="str">
        <f>IF($A3762="","",EDATE($A3762,12*$E$4))</f>
        <v/>
      </c>
      <c r="L3762" s="19" t="str">
        <f>IF($K3762="","",IF($K3762&gt;MAX($A$8:$A$5007),"",IFERROR(MATCH($K3762,$A$8:$A$5007,1),"")))</f>
        <v/>
      </c>
      <c r="M3762" s="30" t="str">
        <f>IF($L3762="","",INDEX($A$8:$A$5007,$L3762))</f>
        <v/>
      </c>
      <c r="N3762" s="31" t="str">
        <f>IF($L3762="","",INDEX($B$8:$B$5007,$L3762))</f>
        <v/>
      </c>
      <c r="O3762" s="32" t="str">
        <f>IF($M3762="","",IF($K3762-$M3762&gt;7,"",IF($M3762&lt;=$A3762,"",IF(OR($B3762&lt;=0,$N3762&lt;=0),"",($N3762/$B3762)^(365/($M3762-$A3762))-1))))</f>
        <v/>
      </c>
      <c r="P3762" s="31" t="str">
        <f>IF($B3762="","",IF($P3761="",$B3762,MAX($P3761,$B3762)))</f>
        <v/>
      </c>
      <c r="Q3762" s="32" t="str">
        <f>IF($P3762="","",$B3762/$P3762-1)</f>
        <v/>
      </c>
    </row>
    <row r="3763">
      <c r="A3763" s="11" t="n"/>
      <c r="B3763" s="29" t="n"/>
      <c r="K3763" s="30" t="str">
        <f>IF($A3763="","",EDATE($A3763,12*$E$4))</f>
        <v/>
      </c>
      <c r="L3763" s="19" t="str">
        <f>IF($K3763="","",IF($K3763&gt;MAX($A$8:$A$5007),"",IFERROR(MATCH($K3763,$A$8:$A$5007,1),"")))</f>
        <v/>
      </c>
      <c r="M3763" s="30" t="str">
        <f>IF($L3763="","",INDEX($A$8:$A$5007,$L3763))</f>
        <v/>
      </c>
      <c r="N3763" s="31" t="str">
        <f>IF($L3763="","",INDEX($B$8:$B$5007,$L3763))</f>
        <v/>
      </c>
      <c r="O3763" s="32" t="str">
        <f>IF($M3763="","",IF($K3763-$M3763&gt;7,"",IF($M3763&lt;=$A3763,"",IF(OR($B3763&lt;=0,$N3763&lt;=0),"",($N3763/$B3763)^(365/($M3763-$A3763))-1))))</f>
        <v/>
      </c>
      <c r="P3763" s="31" t="str">
        <f>IF($B3763="","",IF($P3762="",$B3763,MAX($P3762,$B3763)))</f>
        <v/>
      </c>
      <c r="Q3763" s="32" t="str">
        <f>IF($P3763="","",$B3763/$P3763-1)</f>
        <v/>
      </c>
    </row>
    <row r="3764">
      <c r="A3764" s="11" t="n"/>
      <c r="B3764" s="29" t="n"/>
      <c r="K3764" s="30" t="str">
        <f>IF($A3764="","",EDATE($A3764,12*$E$4))</f>
        <v/>
      </c>
      <c r="L3764" s="19" t="str">
        <f>IF($K3764="","",IF($K3764&gt;MAX($A$8:$A$5007),"",IFERROR(MATCH($K3764,$A$8:$A$5007,1),"")))</f>
        <v/>
      </c>
      <c r="M3764" s="30" t="str">
        <f>IF($L3764="","",INDEX($A$8:$A$5007,$L3764))</f>
        <v/>
      </c>
      <c r="N3764" s="31" t="str">
        <f>IF($L3764="","",INDEX($B$8:$B$5007,$L3764))</f>
        <v/>
      </c>
      <c r="O3764" s="32" t="str">
        <f>IF($M3764="","",IF($K3764-$M3764&gt;7,"",IF($M3764&lt;=$A3764,"",IF(OR($B3764&lt;=0,$N3764&lt;=0),"",($N3764/$B3764)^(365/($M3764-$A3764))-1))))</f>
        <v/>
      </c>
      <c r="P3764" s="31" t="str">
        <f>IF($B3764="","",IF($P3763="",$B3764,MAX($P3763,$B3764)))</f>
        <v/>
      </c>
      <c r="Q3764" s="32" t="str">
        <f>IF($P3764="","",$B3764/$P3764-1)</f>
        <v/>
      </c>
    </row>
    <row r="3765">
      <c r="A3765" s="11" t="n"/>
      <c r="B3765" s="29" t="n"/>
      <c r="K3765" s="30" t="str">
        <f>IF($A3765="","",EDATE($A3765,12*$E$4))</f>
        <v/>
      </c>
      <c r="L3765" s="19" t="str">
        <f>IF($K3765="","",IF($K3765&gt;MAX($A$8:$A$5007),"",IFERROR(MATCH($K3765,$A$8:$A$5007,1),"")))</f>
        <v/>
      </c>
      <c r="M3765" s="30" t="str">
        <f>IF($L3765="","",INDEX($A$8:$A$5007,$L3765))</f>
        <v/>
      </c>
      <c r="N3765" s="31" t="str">
        <f>IF($L3765="","",INDEX($B$8:$B$5007,$L3765))</f>
        <v/>
      </c>
      <c r="O3765" s="32" t="str">
        <f>IF($M3765="","",IF($K3765-$M3765&gt;7,"",IF($M3765&lt;=$A3765,"",IF(OR($B3765&lt;=0,$N3765&lt;=0),"",($N3765/$B3765)^(365/($M3765-$A3765))-1))))</f>
        <v/>
      </c>
      <c r="P3765" s="31" t="str">
        <f>IF($B3765="","",IF($P3764="",$B3765,MAX($P3764,$B3765)))</f>
        <v/>
      </c>
      <c r="Q3765" s="32" t="str">
        <f>IF($P3765="","",$B3765/$P3765-1)</f>
        <v/>
      </c>
    </row>
    <row r="3766">
      <c r="A3766" s="11" t="n"/>
      <c r="B3766" s="29" t="n"/>
      <c r="K3766" s="30" t="str">
        <f>IF($A3766="","",EDATE($A3766,12*$E$4))</f>
        <v/>
      </c>
      <c r="L3766" s="19" t="str">
        <f>IF($K3766="","",IF($K3766&gt;MAX($A$8:$A$5007),"",IFERROR(MATCH($K3766,$A$8:$A$5007,1),"")))</f>
        <v/>
      </c>
      <c r="M3766" s="30" t="str">
        <f>IF($L3766="","",INDEX($A$8:$A$5007,$L3766))</f>
        <v/>
      </c>
      <c r="N3766" s="31" t="str">
        <f>IF($L3766="","",INDEX($B$8:$B$5007,$L3766))</f>
        <v/>
      </c>
      <c r="O3766" s="32" t="str">
        <f>IF($M3766="","",IF($K3766-$M3766&gt;7,"",IF($M3766&lt;=$A3766,"",IF(OR($B3766&lt;=0,$N3766&lt;=0),"",($N3766/$B3766)^(365/($M3766-$A3766))-1))))</f>
        <v/>
      </c>
      <c r="P3766" s="31" t="str">
        <f>IF($B3766="","",IF($P3765="",$B3766,MAX($P3765,$B3766)))</f>
        <v/>
      </c>
      <c r="Q3766" s="32" t="str">
        <f>IF($P3766="","",$B3766/$P3766-1)</f>
        <v/>
      </c>
    </row>
    <row r="3767">
      <c r="A3767" s="11" t="n"/>
      <c r="B3767" s="29" t="n"/>
      <c r="K3767" s="30" t="str">
        <f>IF($A3767="","",EDATE($A3767,12*$E$4))</f>
        <v/>
      </c>
      <c r="L3767" s="19" t="str">
        <f>IF($K3767="","",IF($K3767&gt;MAX($A$8:$A$5007),"",IFERROR(MATCH($K3767,$A$8:$A$5007,1),"")))</f>
        <v/>
      </c>
      <c r="M3767" s="30" t="str">
        <f>IF($L3767="","",INDEX($A$8:$A$5007,$L3767))</f>
        <v/>
      </c>
      <c r="N3767" s="31" t="str">
        <f>IF($L3767="","",INDEX($B$8:$B$5007,$L3767))</f>
        <v/>
      </c>
      <c r="O3767" s="32" t="str">
        <f>IF($M3767="","",IF($K3767-$M3767&gt;7,"",IF($M3767&lt;=$A3767,"",IF(OR($B3767&lt;=0,$N3767&lt;=0),"",($N3767/$B3767)^(365/($M3767-$A3767))-1))))</f>
        <v/>
      </c>
      <c r="P3767" s="31" t="str">
        <f>IF($B3767="","",IF($P3766="",$B3767,MAX($P3766,$B3767)))</f>
        <v/>
      </c>
      <c r="Q3767" s="32" t="str">
        <f>IF($P3767="","",$B3767/$P3767-1)</f>
        <v/>
      </c>
    </row>
    <row r="3768">
      <c r="A3768" s="11" t="n"/>
      <c r="B3768" s="29" t="n"/>
      <c r="K3768" s="30" t="str">
        <f>IF($A3768="","",EDATE($A3768,12*$E$4))</f>
        <v/>
      </c>
      <c r="L3768" s="19" t="str">
        <f>IF($K3768="","",IF($K3768&gt;MAX($A$8:$A$5007),"",IFERROR(MATCH($K3768,$A$8:$A$5007,1),"")))</f>
        <v/>
      </c>
      <c r="M3768" s="30" t="str">
        <f>IF($L3768="","",INDEX($A$8:$A$5007,$L3768))</f>
        <v/>
      </c>
      <c r="N3768" s="31" t="str">
        <f>IF($L3768="","",INDEX($B$8:$B$5007,$L3768))</f>
        <v/>
      </c>
      <c r="O3768" s="32" t="str">
        <f>IF($M3768="","",IF($K3768-$M3768&gt;7,"",IF($M3768&lt;=$A3768,"",IF(OR($B3768&lt;=0,$N3768&lt;=0),"",($N3768/$B3768)^(365/($M3768-$A3768))-1))))</f>
        <v/>
      </c>
      <c r="P3768" s="31" t="str">
        <f>IF($B3768="","",IF($P3767="",$B3768,MAX($P3767,$B3768)))</f>
        <v/>
      </c>
      <c r="Q3768" s="32" t="str">
        <f>IF($P3768="","",$B3768/$P3768-1)</f>
        <v/>
      </c>
    </row>
    <row r="3769">
      <c r="A3769" s="11" t="n"/>
      <c r="B3769" s="29" t="n"/>
      <c r="K3769" s="30" t="str">
        <f>IF($A3769="","",EDATE($A3769,12*$E$4))</f>
        <v/>
      </c>
      <c r="L3769" s="19" t="str">
        <f>IF($K3769="","",IF($K3769&gt;MAX($A$8:$A$5007),"",IFERROR(MATCH($K3769,$A$8:$A$5007,1),"")))</f>
        <v/>
      </c>
      <c r="M3769" s="30" t="str">
        <f>IF($L3769="","",INDEX($A$8:$A$5007,$L3769))</f>
        <v/>
      </c>
      <c r="N3769" s="31" t="str">
        <f>IF($L3769="","",INDEX($B$8:$B$5007,$L3769))</f>
        <v/>
      </c>
      <c r="O3769" s="32" t="str">
        <f>IF($M3769="","",IF($K3769-$M3769&gt;7,"",IF($M3769&lt;=$A3769,"",IF(OR($B3769&lt;=0,$N3769&lt;=0),"",($N3769/$B3769)^(365/($M3769-$A3769))-1))))</f>
        <v/>
      </c>
      <c r="P3769" s="31" t="str">
        <f>IF($B3769="","",IF($P3768="",$B3769,MAX($P3768,$B3769)))</f>
        <v/>
      </c>
      <c r="Q3769" s="32" t="str">
        <f>IF($P3769="","",$B3769/$P3769-1)</f>
        <v/>
      </c>
    </row>
    <row r="3770">
      <c r="A3770" s="11" t="n"/>
      <c r="B3770" s="29" t="n"/>
      <c r="K3770" s="30" t="str">
        <f>IF($A3770="","",EDATE($A3770,12*$E$4))</f>
        <v/>
      </c>
      <c r="L3770" s="19" t="str">
        <f>IF($K3770="","",IF($K3770&gt;MAX($A$8:$A$5007),"",IFERROR(MATCH($K3770,$A$8:$A$5007,1),"")))</f>
        <v/>
      </c>
      <c r="M3770" s="30" t="str">
        <f>IF($L3770="","",INDEX($A$8:$A$5007,$L3770))</f>
        <v/>
      </c>
      <c r="N3770" s="31" t="str">
        <f>IF($L3770="","",INDEX($B$8:$B$5007,$L3770))</f>
        <v/>
      </c>
      <c r="O3770" s="32" t="str">
        <f>IF($M3770="","",IF($K3770-$M3770&gt;7,"",IF($M3770&lt;=$A3770,"",IF(OR($B3770&lt;=0,$N3770&lt;=0),"",($N3770/$B3770)^(365/($M3770-$A3770))-1))))</f>
        <v/>
      </c>
      <c r="P3770" s="31" t="str">
        <f>IF($B3770="","",IF($P3769="",$B3770,MAX($P3769,$B3770)))</f>
        <v/>
      </c>
      <c r="Q3770" s="32" t="str">
        <f>IF($P3770="","",$B3770/$P3770-1)</f>
        <v/>
      </c>
    </row>
    <row r="3771">
      <c r="A3771" s="11" t="n"/>
      <c r="B3771" s="29" t="n"/>
      <c r="K3771" s="30" t="str">
        <f>IF($A3771="","",EDATE($A3771,12*$E$4))</f>
        <v/>
      </c>
      <c r="L3771" s="19" t="str">
        <f>IF($K3771="","",IF($K3771&gt;MAX($A$8:$A$5007),"",IFERROR(MATCH($K3771,$A$8:$A$5007,1),"")))</f>
        <v/>
      </c>
      <c r="M3771" s="30" t="str">
        <f>IF($L3771="","",INDEX($A$8:$A$5007,$L3771))</f>
        <v/>
      </c>
      <c r="N3771" s="31" t="str">
        <f>IF($L3771="","",INDEX($B$8:$B$5007,$L3771))</f>
        <v/>
      </c>
      <c r="O3771" s="32" t="str">
        <f>IF($M3771="","",IF($K3771-$M3771&gt;7,"",IF($M3771&lt;=$A3771,"",IF(OR($B3771&lt;=0,$N3771&lt;=0),"",($N3771/$B3771)^(365/($M3771-$A3771))-1))))</f>
        <v/>
      </c>
      <c r="P3771" s="31" t="str">
        <f>IF($B3771="","",IF($P3770="",$B3771,MAX($P3770,$B3771)))</f>
        <v/>
      </c>
      <c r="Q3771" s="32" t="str">
        <f>IF($P3771="","",$B3771/$P3771-1)</f>
        <v/>
      </c>
    </row>
    <row r="3772">
      <c r="A3772" s="11" t="n"/>
      <c r="B3772" s="29" t="n"/>
      <c r="K3772" s="30" t="str">
        <f>IF($A3772="","",EDATE($A3772,12*$E$4))</f>
        <v/>
      </c>
      <c r="L3772" s="19" t="str">
        <f>IF($K3772="","",IF($K3772&gt;MAX($A$8:$A$5007),"",IFERROR(MATCH($K3772,$A$8:$A$5007,1),"")))</f>
        <v/>
      </c>
      <c r="M3772" s="30" t="str">
        <f>IF($L3772="","",INDEX($A$8:$A$5007,$L3772))</f>
        <v/>
      </c>
      <c r="N3772" s="31" t="str">
        <f>IF($L3772="","",INDEX($B$8:$B$5007,$L3772))</f>
        <v/>
      </c>
      <c r="O3772" s="32" t="str">
        <f>IF($M3772="","",IF($K3772-$M3772&gt;7,"",IF($M3772&lt;=$A3772,"",IF(OR($B3772&lt;=0,$N3772&lt;=0),"",($N3772/$B3772)^(365/($M3772-$A3772))-1))))</f>
        <v/>
      </c>
      <c r="P3772" s="31" t="str">
        <f>IF($B3772="","",IF($P3771="",$B3772,MAX($P3771,$B3772)))</f>
        <v/>
      </c>
      <c r="Q3772" s="32" t="str">
        <f>IF($P3772="","",$B3772/$P3772-1)</f>
        <v/>
      </c>
    </row>
    <row r="3773">
      <c r="A3773" s="11" t="n"/>
      <c r="B3773" s="29" t="n"/>
      <c r="K3773" s="30" t="str">
        <f>IF($A3773="","",EDATE($A3773,12*$E$4))</f>
        <v/>
      </c>
      <c r="L3773" s="19" t="str">
        <f>IF($K3773="","",IF($K3773&gt;MAX($A$8:$A$5007),"",IFERROR(MATCH($K3773,$A$8:$A$5007,1),"")))</f>
        <v/>
      </c>
      <c r="M3773" s="30" t="str">
        <f>IF($L3773="","",INDEX($A$8:$A$5007,$L3773))</f>
        <v/>
      </c>
      <c r="N3773" s="31" t="str">
        <f>IF($L3773="","",INDEX($B$8:$B$5007,$L3773))</f>
        <v/>
      </c>
      <c r="O3773" s="32" t="str">
        <f>IF($M3773="","",IF($K3773-$M3773&gt;7,"",IF($M3773&lt;=$A3773,"",IF(OR($B3773&lt;=0,$N3773&lt;=0),"",($N3773/$B3773)^(365/($M3773-$A3773))-1))))</f>
        <v/>
      </c>
      <c r="P3773" s="31" t="str">
        <f>IF($B3773="","",IF($P3772="",$B3773,MAX($P3772,$B3773)))</f>
        <v/>
      </c>
      <c r="Q3773" s="32" t="str">
        <f>IF($P3773="","",$B3773/$P3773-1)</f>
        <v/>
      </c>
    </row>
    <row r="3774">
      <c r="A3774" s="11" t="n"/>
      <c r="B3774" s="29" t="n"/>
      <c r="K3774" s="30" t="str">
        <f>IF($A3774="","",EDATE($A3774,12*$E$4))</f>
        <v/>
      </c>
      <c r="L3774" s="19" t="str">
        <f>IF($K3774="","",IF($K3774&gt;MAX($A$8:$A$5007),"",IFERROR(MATCH($K3774,$A$8:$A$5007,1),"")))</f>
        <v/>
      </c>
      <c r="M3774" s="30" t="str">
        <f>IF($L3774="","",INDEX($A$8:$A$5007,$L3774))</f>
        <v/>
      </c>
      <c r="N3774" s="31" t="str">
        <f>IF($L3774="","",INDEX($B$8:$B$5007,$L3774))</f>
        <v/>
      </c>
      <c r="O3774" s="32" t="str">
        <f>IF($M3774="","",IF($K3774-$M3774&gt;7,"",IF($M3774&lt;=$A3774,"",IF(OR($B3774&lt;=0,$N3774&lt;=0),"",($N3774/$B3774)^(365/($M3774-$A3774))-1))))</f>
        <v/>
      </c>
      <c r="P3774" s="31" t="str">
        <f>IF($B3774="","",IF($P3773="",$B3774,MAX($P3773,$B3774)))</f>
        <v/>
      </c>
      <c r="Q3774" s="32" t="str">
        <f>IF($P3774="","",$B3774/$P3774-1)</f>
        <v/>
      </c>
    </row>
    <row r="3775">
      <c r="A3775" s="11" t="n"/>
      <c r="B3775" s="29" t="n"/>
      <c r="K3775" s="30" t="str">
        <f>IF($A3775="","",EDATE($A3775,12*$E$4))</f>
        <v/>
      </c>
      <c r="L3775" s="19" t="str">
        <f>IF($K3775="","",IF($K3775&gt;MAX($A$8:$A$5007),"",IFERROR(MATCH($K3775,$A$8:$A$5007,1),"")))</f>
        <v/>
      </c>
      <c r="M3775" s="30" t="str">
        <f>IF($L3775="","",INDEX($A$8:$A$5007,$L3775))</f>
        <v/>
      </c>
      <c r="N3775" s="31" t="str">
        <f>IF($L3775="","",INDEX($B$8:$B$5007,$L3775))</f>
        <v/>
      </c>
      <c r="O3775" s="32" t="str">
        <f>IF($M3775="","",IF($K3775-$M3775&gt;7,"",IF($M3775&lt;=$A3775,"",IF(OR($B3775&lt;=0,$N3775&lt;=0),"",($N3775/$B3775)^(365/($M3775-$A3775))-1))))</f>
        <v/>
      </c>
      <c r="P3775" s="31" t="str">
        <f>IF($B3775="","",IF($P3774="",$B3775,MAX($P3774,$B3775)))</f>
        <v/>
      </c>
      <c r="Q3775" s="32" t="str">
        <f>IF($P3775="","",$B3775/$P3775-1)</f>
        <v/>
      </c>
    </row>
    <row r="3776">
      <c r="A3776" s="11" t="n"/>
      <c r="B3776" s="29" t="n"/>
      <c r="K3776" s="30" t="str">
        <f>IF($A3776="","",EDATE($A3776,12*$E$4))</f>
        <v/>
      </c>
      <c r="L3776" s="19" t="str">
        <f>IF($K3776="","",IF($K3776&gt;MAX($A$8:$A$5007),"",IFERROR(MATCH($K3776,$A$8:$A$5007,1),"")))</f>
        <v/>
      </c>
      <c r="M3776" s="30" t="str">
        <f>IF($L3776="","",INDEX($A$8:$A$5007,$L3776))</f>
        <v/>
      </c>
      <c r="N3776" s="31" t="str">
        <f>IF($L3776="","",INDEX($B$8:$B$5007,$L3776))</f>
        <v/>
      </c>
      <c r="O3776" s="32" t="str">
        <f>IF($M3776="","",IF($K3776-$M3776&gt;7,"",IF($M3776&lt;=$A3776,"",IF(OR($B3776&lt;=0,$N3776&lt;=0),"",($N3776/$B3776)^(365/($M3776-$A3776))-1))))</f>
        <v/>
      </c>
      <c r="P3776" s="31" t="str">
        <f>IF($B3776="","",IF($P3775="",$B3776,MAX($P3775,$B3776)))</f>
        <v/>
      </c>
      <c r="Q3776" s="32" t="str">
        <f>IF($P3776="","",$B3776/$P3776-1)</f>
        <v/>
      </c>
    </row>
    <row r="3777">
      <c r="A3777" s="11" t="n"/>
      <c r="B3777" s="29" t="n"/>
      <c r="K3777" s="30" t="str">
        <f>IF($A3777="","",EDATE($A3777,12*$E$4))</f>
        <v/>
      </c>
      <c r="L3777" s="19" t="str">
        <f>IF($K3777="","",IF($K3777&gt;MAX($A$8:$A$5007),"",IFERROR(MATCH($K3777,$A$8:$A$5007,1),"")))</f>
        <v/>
      </c>
      <c r="M3777" s="30" t="str">
        <f>IF($L3777="","",INDEX($A$8:$A$5007,$L3777))</f>
        <v/>
      </c>
      <c r="N3777" s="31" t="str">
        <f>IF($L3777="","",INDEX($B$8:$B$5007,$L3777))</f>
        <v/>
      </c>
      <c r="O3777" s="32" t="str">
        <f>IF($M3777="","",IF($K3777-$M3777&gt;7,"",IF($M3777&lt;=$A3777,"",IF(OR($B3777&lt;=0,$N3777&lt;=0),"",($N3777/$B3777)^(365/($M3777-$A3777))-1))))</f>
        <v/>
      </c>
      <c r="P3777" s="31" t="str">
        <f>IF($B3777="","",IF($P3776="",$B3777,MAX($P3776,$B3777)))</f>
        <v/>
      </c>
      <c r="Q3777" s="32" t="str">
        <f>IF($P3777="","",$B3777/$P3777-1)</f>
        <v/>
      </c>
    </row>
    <row r="3778">
      <c r="A3778" s="11" t="n"/>
      <c r="B3778" s="29" t="n"/>
      <c r="K3778" s="30" t="str">
        <f>IF($A3778="","",EDATE($A3778,12*$E$4))</f>
        <v/>
      </c>
      <c r="L3778" s="19" t="str">
        <f>IF($K3778="","",IF($K3778&gt;MAX($A$8:$A$5007),"",IFERROR(MATCH($K3778,$A$8:$A$5007,1),"")))</f>
        <v/>
      </c>
      <c r="M3778" s="30" t="str">
        <f>IF($L3778="","",INDEX($A$8:$A$5007,$L3778))</f>
        <v/>
      </c>
      <c r="N3778" s="31" t="str">
        <f>IF($L3778="","",INDEX($B$8:$B$5007,$L3778))</f>
        <v/>
      </c>
      <c r="O3778" s="32" t="str">
        <f>IF($M3778="","",IF($K3778-$M3778&gt;7,"",IF($M3778&lt;=$A3778,"",IF(OR($B3778&lt;=0,$N3778&lt;=0),"",($N3778/$B3778)^(365/($M3778-$A3778))-1))))</f>
        <v/>
      </c>
      <c r="P3778" s="31" t="str">
        <f>IF($B3778="","",IF($P3777="",$B3778,MAX($P3777,$B3778)))</f>
        <v/>
      </c>
      <c r="Q3778" s="32" t="str">
        <f>IF($P3778="","",$B3778/$P3778-1)</f>
        <v/>
      </c>
    </row>
    <row r="3779">
      <c r="A3779" s="11" t="n"/>
      <c r="B3779" s="29" t="n"/>
      <c r="K3779" s="30" t="str">
        <f>IF($A3779="","",EDATE($A3779,12*$E$4))</f>
        <v/>
      </c>
      <c r="L3779" s="19" t="str">
        <f>IF($K3779="","",IF($K3779&gt;MAX($A$8:$A$5007),"",IFERROR(MATCH($K3779,$A$8:$A$5007,1),"")))</f>
        <v/>
      </c>
      <c r="M3779" s="30" t="str">
        <f>IF($L3779="","",INDEX($A$8:$A$5007,$L3779))</f>
        <v/>
      </c>
      <c r="N3779" s="31" t="str">
        <f>IF($L3779="","",INDEX($B$8:$B$5007,$L3779))</f>
        <v/>
      </c>
      <c r="O3779" s="32" t="str">
        <f>IF($M3779="","",IF($K3779-$M3779&gt;7,"",IF($M3779&lt;=$A3779,"",IF(OR($B3779&lt;=0,$N3779&lt;=0),"",($N3779/$B3779)^(365/($M3779-$A3779))-1))))</f>
        <v/>
      </c>
      <c r="P3779" s="31" t="str">
        <f>IF($B3779="","",IF($P3778="",$B3779,MAX($P3778,$B3779)))</f>
        <v/>
      </c>
      <c r="Q3779" s="32" t="str">
        <f>IF($P3779="","",$B3779/$P3779-1)</f>
        <v/>
      </c>
    </row>
    <row r="3780">
      <c r="A3780" s="11" t="n"/>
      <c r="B3780" s="29" t="n"/>
      <c r="K3780" s="30" t="str">
        <f>IF($A3780="","",EDATE($A3780,12*$E$4))</f>
        <v/>
      </c>
      <c r="L3780" s="19" t="str">
        <f>IF($K3780="","",IF($K3780&gt;MAX($A$8:$A$5007),"",IFERROR(MATCH($K3780,$A$8:$A$5007,1),"")))</f>
        <v/>
      </c>
      <c r="M3780" s="30" t="str">
        <f>IF($L3780="","",INDEX($A$8:$A$5007,$L3780))</f>
        <v/>
      </c>
      <c r="N3780" s="31" t="str">
        <f>IF($L3780="","",INDEX($B$8:$B$5007,$L3780))</f>
        <v/>
      </c>
      <c r="O3780" s="32" t="str">
        <f>IF($M3780="","",IF($K3780-$M3780&gt;7,"",IF($M3780&lt;=$A3780,"",IF(OR($B3780&lt;=0,$N3780&lt;=0),"",($N3780/$B3780)^(365/($M3780-$A3780))-1))))</f>
        <v/>
      </c>
      <c r="P3780" s="31" t="str">
        <f>IF($B3780="","",IF($P3779="",$B3780,MAX($P3779,$B3780)))</f>
        <v/>
      </c>
      <c r="Q3780" s="32" t="str">
        <f>IF($P3780="","",$B3780/$P3780-1)</f>
        <v/>
      </c>
    </row>
    <row r="3781">
      <c r="A3781" s="11" t="n"/>
      <c r="B3781" s="29" t="n"/>
      <c r="K3781" s="30" t="str">
        <f>IF($A3781="","",EDATE($A3781,12*$E$4))</f>
        <v/>
      </c>
      <c r="L3781" s="19" t="str">
        <f>IF($K3781="","",IF($K3781&gt;MAX($A$8:$A$5007),"",IFERROR(MATCH($K3781,$A$8:$A$5007,1),"")))</f>
        <v/>
      </c>
      <c r="M3781" s="30" t="str">
        <f>IF($L3781="","",INDEX($A$8:$A$5007,$L3781))</f>
        <v/>
      </c>
      <c r="N3781" s="31" t="str">
        <f>IF($L3781="","",INDEX($B$8:$B$5007,$L3781))</f>
        <v/>
      </c>
      <c r="O3781" s="32" t="str">
        <f>IF($M3781="","",IF($K3781-$M3781&gt;7,"",IF($M3781&lt;=$A3781,"",IF(OR($B3781&lt;=0,$N3781&lt;=0),"",($N3781/$B3781)^(365/($M3781-$A3781))-1))))</f>
        <v/>
      </c>
      <c r="P3781" s="31" t="str">
        <f>IF($B3781="","",IF($P3780="",$B3781,MAX($P3780,$B3781)))</f>
        <v/>
      </c>
      <c r="Q3781" s="32" t="str">
        <f>IF($P3781="","",$B3781/$P3781-1)</f>
        <v/>
      </c>
    </row>
    <row r="3782">
      <c r="A3782" s="11" t="n"/>
      <c r="B3782" s="29" t="n"/>
      <c r="K3782" s="30" t="str">
        <f>IF($A3782="","",EDATE($A3782,12*$E$4))</f>
        <v/>
      </c>
      <c r="L3782" s="19" t="str">
        <f>IF($K3782="","",IF($K3782&gt;MAX($A$8:$A$5007),"",IFERROR(MATCH($K3782,$A$8:$A$5007,1),"")))</f>
        <v/>
      </c>
      <c r="M3782" s="30" t="str">
        <f>IF($L3782="","",INDEX($A$8:$A$5007,$L3782))</f>
        <v/>
      </c>
      <c r="N3782" s="31" t="str">
        <f>IF($L3782="","",INDEX($B$8:$B$5007,$L3782))</f>
        <v/>
      </c>
      <c r="O3782" s="32" t="str">
        <f>IF($M3782="","",IF($K3782-$M3782&gt;7,"",IF($M3782&lt;=$A3782,"",IF(OR($B3782&lt;=0,$N3782&lt;=0),"",($N3782/$B3782)^(365/($M3782-$A3782))-1))))</f>
        <v/>
      </c>
      <c r="P3782" s="31" t="str">
        <f>IF($B3782="","",IF($P3781="",$B3782,MAX($P3781,$B3782)))</f>
        <v/>
      </c>
      <c r="Q3782" s="32" t="str">
        <f>IF($P3782="","",$B3782/$P3782-1)</f>
        <v/>
      </c>
    </row>
    <row r="3783">
      <c r="A3783" s="11" t="n"/>
      <c r="B3783" s="29" t="n"/>
      <c r="K3783" s="30" t="str">
        <f>IF($A3783="","",EDATE($A3783,12*$E$4))</f>
        <v/>
      </c>
      <c r="L3783" s="19" t="str">
        <f>IF($K3783="","",IF($K3783&gt;MAX($A$8:$A$5007),"",IFERROR(MATCH($K3783,$A$8:$A$5007,1),"")))</f>
        <v/>
      </c>
      <c r="M3783" s="30" t="str">
        <f>IF($L3783="","",INDEX($A$8:$A$5007,$L3783))</f>
        <v/>
      </c>
      <c r="N3783" s="31" t="str">
        <f>IF($L3783="","",INDEX($B$8:$B$5007,$L3783))</f>
        <v/>
      </c>
      <c r="O3783" s="32" t="str">
        <f>IF($M3783="","",IF($K3783-$M3783&gt;7,"",IF($M3783&lt;=$A3783,"",IF(OR($B3783&lt;=0,$N3783&lt;=0),"",($N3783/$B3783)^(365/($M3783-$A3783))-1))))</f>
        <v/>
      </c>
      <c r="P3783" s="31" t="str">
        <f>IF($B3783="","",IF($P3782="",$B3783,MAX($P3782,$B3783)))</f>
        <v/>
      </c>
      <c r="Q3783" s="32" t="str">
        <f>IF($P3783="","",$B3783/$P3783-1)</f>
        <v/>
      </c>
    </row>
    <row r="3784">
      <c r="A3784" s="11" t="n"/>
      <c r="B3784" s="29" t="n"/>
      <c r="K3784" s="30" t="str">
        <f>IF($A3784="","",EDATE($A3784,12*$E$4))</f>
        <v/>
      </c>
      <c r="L3784" s="19" t="str">
        <f>IF($K3784="","",IF($K3784&gt;MAX($A$8:$A$5007),"",IFERROR(MATCH($K3784,$A$8:$A$5007,1),"")))</f>
        <v/>
      </c>
      <c r="M3784" s="30" t="str">
        <f>IF($L3784="","",INDEX($A$8:$A$5007,$L3784))</f>
        <v/>
      </c>
      <c r="N3784" s="31" t="str">
        <f>IF($L3784="","",INDEX($B$8:$B$5007,$L3784))</f>
        <v/>
      </c>
      <c r="O3784" s="32" t="str">
        <f>IF($M3784="","",IF($K3784-$M3784&gt;7,"",IF($M3784&lt;=$A3784,"",IF(OR($B3784&lt;=0,$N3784&lt;=0),"",($N3784/$B3784)^(365/($M3784-$A3784))-1))))</f>
        <v/>
      </c>
      <c r="P3784" s="31" t="str">
        <f>IF($B3784="","",IF($P3783="",$B3784,MAX($P3783,$B3784)))</f>
        <v/>
      </c>
      <c r="Q3784" s="32" t="str">
        <f>IF($P3784="","",$B3784/$P3784-1)</f>
        <v/>
      </c>
    </row>
    <row r="3785">
      <c r="A3785" s="11" t="n"/>
      <c r="B3785" s="29" t="n"/>
      <c r="K3785" s="30" t="str">
        <f>IF($A3785="","",EDATE($A3785,12*$E$4))</f>
        <v/>
      </c>
      <c r="L3785" s="19" t="str">
        <f>IF($K3785="","",IF($K3785&gt;MAX($A$8:$A$5007),"",IFERROR(MATCH($K3785,$A$8:$A$5007,1),"")))</f>
        <v/>
      </c>
      <c r="M3785" s="30" t="str">
        <f>IF($L3785="","",INDEX($A$8:$A$5007,$L3785))</f>
        <v/>
      </c>
      <c r="N3785" s="31" t="str">
        <f>IF($L3785="","",INDEX($B$8:$B$5007,$L3785))</f>
        <v/>
      </c>
      <c r="O3785" s="32" t="str">
        <f>IF($M3785="","",IF($K3785-$M3785&gt;7,"",IF($M3785&lt;=$A3785,"",IF(OR($B3785&lt;=0,$N3785&lt;=0),"",($N3785/$B3785)^(365/($M3785-$A3785))-1))))</f>
        <v/>
      </c>
      <c r="P3785" s="31" t="str">
        <f>IF($B3785="","",IF($P3784="",$B3785,MAX($P3784,$B3785)))</f>
        <v/>
      </c>
      <c r="Q3785" s="32" t="str">
        <f>IF($P3785="","",$B3785/$P3785-1)</f>
        <v/>
      </c>
    </row>
    <row r="3786">
      <c r="A3786" s="11" t="n"/>
      <c r="B3786" s="29" t="n"/>
      <c r="K3786" s="30" t="str">
        <f>IF($A3786="","",EDATE($A3786,12*$E$4))</f>
        <v/>
      </c>
      <c r="L3786" s="19" t="str">
        <f>IF($K3786="","",IF($K3786&gt;MAX($A$8:$A$5007),"",IFERROR(MATCH($K3786,$A$8:$A$5007,1),"")))</f>
        <v/>
      </c>
      <c r="M3786" s="30" t="str">
        <f>IF($L3786="","",INDEX($A$8:$A$5007,$L3786))</f>
        <v/>
      </c>
      <c r="N3786" s="31" t="str">
        <f>IF($L3786="","",INDEX($B$8:$B$5007,$L3786))</f>
        <v/>
      </c>
      <c r="O3786" s="32" t="str">
        <f>IF($M3786="","",IF($K3786-$M3786&gt;7,"",IF($M3786&lt;=$A3786,"",IF(OR($B3786&lt;=0,$N3786&lt;=0),"",($N3786/$B3786)^(365/($M3786-$A3786))-1))))</f>
        <v/>
      </c>
      <c r="P3786" s="31" t="str">
        <f>IF($B3786="","",IF($P3785="",$B3786,MAX($P3785,$B3786)))</f>
        <v/>
      </c>
      <c r="Q3786" s="32" t="str">
        <f>IF($P3786="","",$B3786/$P3786-1)</f>
        <v/>
      </c>
    </row>
    <row r="3787">
      <c r="A3787" s="11" t="n"/>
      <c r="B3787" s="29" t="n"/>
      <c r="K3787" s="30" t="str">
        <f>IF($A3787="","",EDATE($A3787,12*$E$4))</f>
        <v/>
      </c>
      <c r="L3787" s="19" t="str">
        <f>IF($K3787="","",IF($K3787&gt;MAX($A$8:$A$5007),"",IFERROR(MATCH($K3787,$A$8:$A$5007,1),"")))</f>
        <v/>
      </c>
      <c r="M3787" s="30" t="str">
        <f>IF($L3787="","",INDEX($A$8:$A$5007,$L3787))</f>
        <v/>
      </c>
      <c r="N3787" s="31" t="str">
        <f>IF($L3787="","",INDEX($B$8:$B$5007,$L3787))</f>
        <v/>
      </c>
      <c r="O3787" s="32" t="str">
        <f>IF($M3787="","",IF($K3787-$M3787&gt;7,"",IF($M3787&lt;=$A3787,"",IF(OR($B3787&lt;=0,$N3787&lt;=0),"",($N3787/$B3787)^(365/($M3787-$A3787))-1))))</f>
        <v/>
      </c>
      <c r="P3787" s="31" t="str">
        <f>IF($B3787="","",IF($P3786="",$B3787,MAX($P3786,$B3787)))</f>
        <v/>
      </c>
      <c r="Q3787" s="32" t="str">
        <f>IF($P3787="","",$B3787/$P3787-1)</f>
        <v/>
      </c>
    </row>
    <row r="3788">
      <c r="A3788" s="11" t="n"/>
      <c r="B3788" s="29" t="n"/>
      <c r="K3788" s="30" t="str">
        <f>IF($A3788="","",EDATE($A3788,12*$E$4))</f>
        <v/>
      </c>
      <c r="L3788" s="19" t="str">
        <f>IF($K3788="","",IF($K3788&gt;MAX($A$8:$A$5007),"",IFERROR(MATCH($K3788,$A$8:$A$5007,1),"")))</f>
        <v/>
      </c>
      <c r="M3788" s="30" t="str">
        <f>IF($L3788="","",INDEX($A$8:$A$5007,$L3788))</f>
        <v/>
      </c>
      <c r="N3788" s="31" t="str">
        <f>IF($L3788="","",INDEX($B$8:$B$5007,$L3788))</f>
        <v/>
      </c>
      <c r="O3788" s="32" t="str">
        <f>IF($M3788="","",IF($K3788-$M3788&gt;7,"",IF($M3788&lt;=$A3788,"",IF(OR($B3788&lt;=0,$N3788&lt;=0),"",($N3788/$B3788)^(365/($M3788-$A3788))-1))))</f>
        <v/>
      </c>
      <c r="P3788" s="31" t="str">
        <f>IF($B3788="","",IF($P3787="",$B3788,MAX($P3787,$B3788)))</f>
        <v/>
      </c>
      <c r="Q3788" s="32" t="str">
        <f>IF($P3788="","",$B3788/$P3788-1)</f>
        <v/>
      </c>
    </row>
    <row r="3789">
      <c r="A3789" s="11" t="n"/>
      <c r="B3789" s="29" t="n"/>
      <c r="K3789" s="30" t="str">
        <f>IF($A3789="","",EDATE($A3789,12*$E$4))</f>
        <v/>
      </c>
      <c r="L3789" s="19" t="str">
        <f>IF($K3789="","",IF($K3789&gt;MAX($A$8:$A$5007),"",IFERROR(MATCH($K3789,$A$8:$A$5007,1),"")))</f>
        <v/>
      </c>
      <c r="M3789" s="30" t="str">
        <f>IF($L3789="","",INDEX($A$8:$A$5007,$L3789))</f>
        <v/>
      </c>
      <c r="N3789" s="31" t="str">
        <f>IF($L3789="","",INDEX($B$8:$B$5007,$L3789))</f>
        <v/>
      </c>
      <c r="O3789" s="32" t="str">
        <f>IF($M3789="","",IF($K3789-$M3789&gt;7,"",IF($M3789&lt;=$A3789,"",IF(OR($B3789&lt;=0,$N3789&lt;=0),"",($N3789/$B3789)^(365/($M3789-$A3789))-1))))</f>
        <v/>
      </c>
      <c r="P3789" s="31" t="str">
        <f>IF($B3789="","",IF($P3788="",$B3789,MAX($P3788,$B3789)))</f>
        <v/>
      </c>
      <c r="Q3789" s="32" t="str">
        <f>IF($P3789="","",$B3789/$P3789-1)</f>
        <v/>
      </c>
    </row>
    <row r="3790">
      <c r="A3790" s="11" t="n"/>
      <c r="B3790" s="29" t="n"/>
      <c r="K3790" s="30" t="str">
        <f>IF($A3790="","",EDATE($A3790,12*$E$4))</f>
        <v/>
      </c>
      <c r="L3790" s="19" t="str">
        <f>IF($K3790="","",IF($K3790&gt;MAX($A$8:$A$5007),"",IFERROR(MATCH($K3790,$A$8:$A$5007,1),"")))</f>
        <v/>
      </c>
      <c r="M3790" s="30" t="str">
        <f>IF($L3790="","",INDEX($A$8:$A$5007,$L3790))</f>
        <v/>
      </c>
      <c r="N3790" s="31" t="str">
        <f>IF($L3790="","",INDEX($B$8:$B$5007,$L3790))</f>
        <v/>
      </c>
      <c r="O3790" s="32" t="str">
        <f>IF($M3790="","",IF($K3790-$M3790&gt;7,"",IF($M3790&lt;=$A3790,"",IF(OR($B3790&lt;=0,$N3790&lt;=0),"",($N3790/$B3790)^(365/($M3790-$A3790))-1))))</f>
        <v/>
      </c>
      <c r="P3790" s="31" t="str">
        <f>IF($B3790="","",IF($P3789="",$B3790,MAX($P3789,$B3790)))</f>
        <v/>
      </c>
      <c r="Q3790" s="32" t="str">
        <f>IF($P3790="","",$B3790/$P3790-1)</f>
        <v/>
      </c>
    </row>
    <row r="3791">
      <c r="A3791" s="11" t="n"/>
      <c r="B3791" s="29" t="n"/>
      <c r="K3791" s="30" t="str">
        <f>IF($A3791="","",EDATE($A3791,12*$E$4))</f>
        <v/>
      </c>
      <c r="L3791" s="19" t="str">
        <f>IF($K3791="","",IF($K3791&gt;MAX($A$8:$A$5007),"",IFERROR(MATCH($K3791,$A$8:$A$5007,1),"")))</f>
        <v/>
      </c>
      <c r="M3791" s="30" t="str">
        <f>IF($L3791="","",INDEX($A$8:$A$5007,$L3791))</f>
        <v/>
      </c>
      <c r="N3791" s="31" t="str">
        <f>IF($L3791="","",INDEX($B$8:$B$5007,$L3791))</f>
        <v/>
      </c>
      <c r="O3791" s="32" t="str">
        <f>IF($M3791="","",IF($K3791-$M3791&gt;7,"",IF($M3791&lt;=$A3791,"",IF(OR($B3791&lt;=0,$N3791&lt;=0),"",($N3791/$B3791)^(365/($M3791-$A3791))-1))))</f>
        <v/>
      </c>
      <c r="P3791" s="31" t="str">
        <f>IF($B3791="","",IF($P3790="",$B3791,MAX($P3790,$B3791)))</f>
        <v/>
      </c>
      <c r="Q3791" s="32" t="str">
        <f>IF($P3791="","",$B3791/$P3791-1)</f>
        <v/>
      </c>
    </row>
    <row r="3792">
      <c r="A3792" s="11" t="n"/>
      <c r="B3792" s="29" t="n"/>
      <c r="K3792" s="30" t="str">
        <f>IF($A3792="","",EDATE($A3792,12*$E$4))</f>
        <v/>
      </c>
      <c r="L3792" s="19" t="str">
        <f>IF($K3792="","",IF($K3792&gt;MAX($A$8:$A$5007),"",IFERROR(MATCH($K3792,$A$8:$A$5007,1),"")))</f>
        <v/>
      </c>
      <c r="M3792" s="30" t="str">
        <f>IF($L3792="","",INDEX($A$8:$A$5007,$L3792))</f>
        <v/>
      </c>
      <c r="N3792" s="31" t="str">
        <f>IF($L3792="","",INDEX($B$8:$B$5007,$L3792))</f>
        <v/>
      </c>
      <c r="O3792" s="32" t="str">
        <f>IF($M3792="","",IF($K3792-$M3792&gt;7,"",IF($M3792&lt;=$A3792,"",IF(OR($B3792&lt;=0,$N3792&lt;=0),"",($N3792/$B3792)^(365/($M3792-$A3792))-1))))</f>
        <v/>
      </c>
      <c r="P3792" s="31" t="str">
        <f>IF($B3792="","",IF($P3791="",$B3792,MAX($P3791,$B3792)))</f>
        <v/>
      </c>
      <c r="Q3792" s="32" t="str">
        <f>IF($P3792="","",$B3792/$P3792-1)</f>
        <v/>
      </c>
    </row>
    <row r="3793">
      <c r="A3793" s="11" t="n"/>
      <c r="B3793" s="29" t="n"/>
      <c r="K3793" s="30" t="str">
        <f>IF($A3793="","",EDATE($A3793,12*$E$4))</f>
        <v/>
      </c>
      <c r="L3793" s="19" t="str">
        <f>IF($K3793="","",IF($K3793&gt;MAX($A$8:$A$5007),"",IFERROR(MATCH($K3793,$A$8:$A$5007,1),"")))</f>
        <v/>
      </c>
      <c r="M3793" s="30" t="str">
        <f>IF($L3793="","",INDEX($A$8:$A$5007,$L3793))</f>
        <v/>
      </c>
      <c r="N3793" s="31" t="str">
        <f>IF($L3793="","",INDEX($B$8:$B$5007,$L3793))</f>
        <v/>
      </c>
      <c r="O3793" s="32" t="str">
        <f>IF($M3793="","",IF($K3793-$M3793&gt;7,"",IF($M3793&lt;=$A3793,"",IF(OR($B3793&lt;=0,$N3793&lt;=0),"",($N3793/$B3793)^(365/($M3793-$A3793))-1))))</f>
        <v/>
      </c>
      <c r="P3793" s="31" t="str">
        <f>IF($B3793="","",IF($P3792="",$B3793,MAX($P3792,$B3793)))</f>
        <v/>
      </c>
      <c r="Q3793" s="32" t="str">
        <f>IF($P3793="","",$B3793/$P3793-1)</f>
        <v/>
      </c>
    </row>
    <row r="3794">
      <c r="A3794" s="11" t="n"/>
      <c r="B3794" s="29" t="n"/>
      <c r="K3794" s="30" t="str">
        <f>IF($A3794="","",EDATE($A3794,12*$E$4))</f>
        <v/>
      </c>
      <c r="L3794" s="19" t="str">
        <f>IF($K3794="","",IF($K3794&gt;MAX($A$8:$A$5007),"",IFERROR(MATCH($K3794,$A$8:$A$5007,1),"")))</f>
        <v/>
      </c>
      <c r="M3794" s="30" t="str">
        <f>IF($L3794="","",INDEX($A$8:$A$5007,$L3794))</f>
        <v/>
      </c>
      <c r="N3794" s="31" t="str">
        <f>IF($L3794="","",INDEX($B$8:$B$5007,$L3794))</f>
        <v/>
      </c>
      <c r="O3794" s="32" t="str">
        <f>IF($M3794="","",IF($K3794-$M3794&gt;7,"",IF($M3794&lt;=$A3794,"",IF(OR($B3794&lt;=0,$N3794&lt;=0),"",($N3794/$B3794)^(365/($M3794-$A3794))-1))))</f>
        <v/>
      </c>
      <c r="P3794" s="31" t="str">
        <f>IF($B3794="","",IF($P3793="",$B3794,MAX($P3793,$B3794)))</f>
        <v/>
      </c>
      <c r="Q3794" s="32" t="str">
        <f>IF($P3794="","",$B3794/$P3794-1)</f>
        <v/>
      </c>
    </row>
    <row r="3795">
      <c r="A3795" s="11" t="n"/>
      <c r="B3795" s="29" t="n"/>
      <c r="K3795" s="30" t="str">
        <f>IF($A3795="","",EDATE($A3795,12*$E$4))</f>
        <v/>
      </c>
      <c r="L3795" s="19" t="str">
        <f>IF($K3795="","",IF($K3795&gt;MAX($A$8:$A$5007),"",IFERROR(MATCH($K3795,$A$8:$A$5007,1),"")))</f>
        <v/>
      </c>
      <c r="M3795" s="30" t="str">
        <f>IF($L3795="","",INDEX($A$8:$A$5007,$L3795))</f>
        <v/>
      </c>
      <c r="N3795" s="31" t="str">
        <f>IF($L3795="","",INDEX($B$8:$B$5007,$L3795))</f>
        <v/>
      </c>
      <c r="O3795" s="32" t="str">
        <f>IF($M3795="","",IF($K3795-$M3795&gt;7,"",IF($M3795&lt;=$A3795,"",IF(OR($B3795&lt;=0,$N3795&lt;=0),"",($N3795/$B3795)^(365/($M3795-$A3795))-1))))</f>
        <v/>
      </c>
      <c r="P3795" s="31" t="str">
        <f>IF($B3795="","",IF($P3794="",$B3795,MAX($P3794,$B3795)))</f>
        <v/>
      </c>
      <c r="Q3795" s="32" t="str">
        <f>IF($P3795="","",$B3795/$P3795-1)</f>
        <v/>
      </c>
    </row>
    <row r="3796">
      <c r="A3796" s="11" t="n"/>
      <c r="B3796" s="29" t="n"/>
      <c r="K3796" s="30" t="str">
        <f>IF($A3796="","",EDATE($A3796,12*$E$4))</f>
        <v/>
      </c>
      <c r="L3796" s="19" t="str">
        <f>IF($K3796="","",IF($K3796&gt;MAX($A$8:$A$5007),"",IFERROR(MATCH($K3796,$A$8:$A$5007,1),"")))</f>
        <v/>
      </c>
      <c r="M3796" s="30" t="str">
        <f>IF($L3796="","",INDEX($A$8:$A$5007,$L3796))</f>
        <v/>
      </c>
      <c r="N3796" s="31" t="str">
        <f>IF($L3796="","",INDEX($B$8:$B$5007,$L3796))</f>
        <v/>
      </c>
      <c r="O3796" s="32" t="str">
        <f>IF($M3796="","",IF($K3796-$M3796&gt;7,"",IF($M3796&lt;=$A3796,"",IF(OR($B3796&lt;=0,$N3796&lt;=0),"",($N3796/$B3796)^(365/($M3796-$A3796))-1))))</f>
        <v/>
      </c>
      <c r="P3796" s="31" t="str">
        <f>IF($B3796="","",IF($P3795="",$B3796,MAX($P3795,$B3796)))</f>
        <v/>
      </c>
      <c r="Q3796" s="32" t="str">
        <f>IF($P3796="","",$B3796/$P3796-1)</f>
        <v/>
      </c>
    </row>
    <row r="3797">
      <c r="A3797" s="11" t="n"/>
      <c r="B3797" s="29" t="n"/>
      <c r="K3797" s="30" t="str">
        <f>IF($A3797="","",EDATE($A3797,12*$E$4))</f>
        <v/>
      </c>
      <c r="L3797" s="19" t="str">
        <f>IF($K3797="","",IF($K3797&gt;MAX($A$8:$A$5007),"",IFERROR(MATCH($K3797,$A$8:$A$5007,1),"")))</f>
        <v/>
      </c>
      <c r="M3797" s="30" t="str">
        <f>IF($L3797="","",INDEX($A$8:$A$5007,$L3797))</f>
        <v/>
      </c>
      <c r="N3797" s="31" t="str">
        <f>IF($L3797="","",INDEX($B$8:$B$5007,$L3797))</f>
        <v/>
      </c>
      <c r="O3797" s="32" t="str">
        <f>IF($M3797="","",IF($K3797-$M3797&gt;7,"",IF($M3797&lt;=$A3797,"",IF(OR($B3797&lt;=0,$N3797&lt;=0),"",($N3797/$B3797)^(365/($M3797-$A3797))-1))))</f>
        <v/>
      </c>
      <c r="P3797" s="31" t="str">
        <f>IF($B3797="","",IF($P3796="",$B3797,MAX($P3796,$B3797)))</f>
        <v/>
      </c>
      <c r="Q3797" s="32" t="str">
        <f>IF($P3797="","",$B3797/$P3797-1)</f>
        <v/>
      </c>
    </row>
    <row r="3798">
      <c r="A3798" s="11" t="n"/>
      <c r="B3798" s="29" t="n"/>
      <c r="K3798" s="30" t="str">
        <f>IF($A3798="","",EDATE($A3798,12*$E$4))</f>
        <v/>
      </c>
      <c r="L3798" s="19" t="str">
        <f>IF($K3798="","",IF($K3798&gt;MAX($A$8:$A$5007),"",IFERROR(MATCH($K3798,$A$8:$A$5007,1),"")))</f>
        <v/>
      </c>
      <c r="M3798" s="30" t="str">
        <f>IF($L3798="","",INDEX($A$8:$A$5007,$L3798))</f>
        <v/>
      </c>
      <c r="N3798" s="31" t="str">
        <f>IF($L3798="","",INDEX($B$8:$B$5007,$L3798))</f>
        <v/>
      </c>
      <c r="O3798" s="32" t="str">
        <f>IF($M3798="","",IF($K3798-$M3798&gt;7,"",IF($M3798&lt;=$A3798,"",IF(OR($B3798&lt;=0,$N3798&lt;=0),"",($N3798/$B3798)^(365/($M3798-$A3798))-1))))</f>
        <v/>
      </c>
      <c r="P3798" s="31" t="str">
        <f>IF($B3798="","",IF($P3797="",$B3798,MAX($P3797,$B3798)))</f>
        <v/>
      </c>
      <c r="Q3798" s="32" t="str">
        <f>IF($P3798="","",$B3798/$P3798-1)</f>
        <v/>
      </c>
    </row>
    <row r="3799">
      <c r="A3799" s="11" t="n"/>
      <c r="B3799" s="29" t="n"/>
      <c r="K3799" s="30" t="str">
        <f>IF($A3799="","",EDATE($A3799,12*$E$4))</f>
        <v/>
      </c>
      <c r="L3799" s="19" t="str">
        <f>IF($K3799="","",IF($K3799&gt;MAX($A$8:$A$5007),"",IFERROR(MATCH($K3799,$A$8:$A$5007,1),"")))</f>
        <v/>
      </c>
      <c r="M3799" s="30" t="str">
        <f>IF($L3799="","",INDEX($A$8:$A$5007,$L3799))</f>
        <v/>
      </c>
      <c r="N3799" s="31" t="str">
        <f>IF($L3799="","",INDEX($B$8:$B$5007,$L3799))</f>
        <v/>
      </c>
      <c r="O3799" s="32" t="str">
        <f>IF($M3799="","",IF($K3799-$M3799&gt;7,"",IF($M3799&lt;=$A3799,"",IF(OR($B3799&lt;=0,$N3799&lt;=0),"",($N3799/$B3799)^(365/($M3799-$A3799))-1))))</f>
        <v/>
      </c>
      <c r="P3799" s="31" t="str">
        <f>IF($B3799="","",IF($P3798="",$B3799,MAX($P3798,$B3799)))</f>
        <v/>
      </c>
      <c r="Q3799" s="32" t="str">
        <f>IF($P3799="","",$B3799/$P3799-1)</f>
        <v/>
      </c>
    </row>
    <row r="3800">
      <c r="A3800" s="11" t="n"/>
      <c r="B3800" s="29" t="n"/>
      <c r="K3800" s="30" t="str">
        <f>IF($A3800="","",EDATE($A3800,12*$E$4))</f>
        <v/>
      </c>
      <c r="L3800" s="19" t="str">
        <f>IF($K3800="","",IF($K3800&gt;MAX($A$8:$A$5007),"",IFERROR(MATCH($K3800,$A$8:$A$5007,1),"")))</f>
        <v/>
      </c>
      <c r="M3800" s="30" t="str">
        <f>IF($L3800="","",INDEX($A$8:$A$5007,$L3800))</f>
        <v/>
      </c>
      <c r="N3800" s="31" t="str">
        <f>IF($L3800="","",INDEX($B$8:$B$5007,$L3800))</f>
        <v/>
      </c>
      <c r="O3800" s="32" t="str">
        <f>IF($M3800="","",IF($K3800-$M3800&gt;7,"",IF($M3800&lt;=$A3800,"",IF(OR($B3800&lt;=0,$N3800&lt;=0),"",($N3800/$B3800)^(365/($M3800-$A3800))-1))))</f>
        <v/>
      </c>
      <c r="P3800" s="31" t="str">
        <f>IF($B3800="","",IF($P3799="",$B3800,MAX($P3799,$B3800)))</f>
        <v/>
      </c>
      <c r="Q3800" s="32" t="str">
        <f>IF($P3800="","",$B3800/$P3800-1)</f>
        <v/>
      </c>
    </row>
    <row r="3801">
      <c r="A3801" s="11" t="n"/>
      <c r="B3801" s="29" t="n"/>
      <c r="K3801" s="30" t="str">
        <f>IF($A3801="","",EDATE($A3801,12*$E$4))</f>
        <v/>
      </c>
      <c r="L3801" s="19" t="str">
        <f>IF($K3801="","",IF($K3801&gt;MAX($A$8:$A$5007),"",IFERROR(MATCH($K3801,$A$8:$A$5007,1),"")))</f>
        <v/>
      </c>
      <c r="M3801" s="30" t="str">
        <f>IF($L3801="","",INDEX($A$8:$A$5007,$L3801))</f>
        <v/>
      </c>
      <c r="N3801" s="31" t="str">
        <f>IF($L3801="","",INDEX($B$8:$B$5007,$L3801))</f>
        <v/>
      </c>
      <c r="O3801" s="32" t="str">
        <f>IF($M3801="","",IF($K3801-$M3801&gt;7,"",IF($M3801&lt;=$A3801,"",IF(OR($B3801&lt;=0,$N3801&lt;=0),"",($N3801/$B3801)^(365/($M3801-$A3801))-1))))</f>
        <v/>
      </c>
      <c r="P3801" s="31" t="str">
        <f>IF($B3801="","",IF($P3800="",$B3801,MAX($P3800,$B3801)))</f>
        <v/>
      </c>
      <c r="Q3801" s="32" t="str">
        <f>IF($P3801="","",$B3801/$P3801-1)</f>
        <v/>
      </c>
    </row>
    <row r="3802">
      <c r="A3802" s="11" t="n"/>
      <c r="B3802" s="29" t="n"/>
      <c r="K3802" s="30" t="str">
        <f>IF($A3802="","",EDATE($A3802,12*$E$4))</f>
        <v/>
      </c>
      <c r="L3802" s="19" t="str">
        <f>IF($K3802="","",IF($K3802&gt;MAX($A$8:$A$5007),"",IFERROR(MATCH($K3802,$A$8:$A$5007,1),"")))</f>
        <v/>
      </c>
      <c r="M3802" s="30" t="str">
        <f>IF($L3802="","",INDEX($A$8:$A$5007,$L3802))</f>
        <v/>
      </c>
      <c r="N3802" s="31" t="str">
        <f>IF($L3802="","",INDEX($B$8:$B$5007,$L3802))</f>
        <v/>
      </c>
      <c r="O3802" s="32" t="str">
        <f>IF($M3802="","",IF($K3802-$M3802&gt;7,"",IF($M3802&lt;=$A3802,"",IF(OR($B3802&lt;=0,$N3802&lt;=0),"",($N3802/$B3802)^(365/($M3802-$A3802))-1))))</f>
        <v/>
      </c>
      <c r="P3802" s="31" t="str">
        <f>IF($B3802="","",IF($P3801="",$B3802,MAX($P3801,$B3802)))</f>
        <v/>
      </c>
      <c r="Q3802" s="32" t="str">
        <f>IF($P3802="","",$B3802/$P3802-1)</f>
        <v/>
      </c>
    </row>
    <row r="3803">
      <c r="A3803" s="11" t="n"/>
      <c r="B3803" s="29" t="n"/>
      <c r="K3803" s="30" t="str">
        <f>IF($A3803="","",EDATE($A3803,12*$E$4))</f>
        <v/>
      </c>
      <c r="L3803" s="19" t="str">
        <f>IF($K3803="","",IF($K3803&gt;MAX($A$8:$A$5007),"",IFERROR(MATCH($K3803,$A$8:$A$5007,1),"")))</f>
        <v/>
      </c>
      <c r="M3803" s="30" t="str">
        <f>IF($L3803="","",INDEX($A$8:$A$5007,$L3803))</f>
        <v/>
      </c>
      <c r="N3803" s="31" t="str">
        <f>IF($L3803="","",INDEX($B$8:$B$5007,$L3803))</f>
        <v/>
      </c>
      <c r="O3803" s="32" t="str">
        <f>IF($M3803="","",IF($K3803-$M3803&gt;7,"",IF($M3803&lt;=$A3803,"",IF(OR($B3803&lt;=0,$N3803&lt;=0),"",($N3803/$B3803)^(365/($M3803-$A3803))-1))))</f>
        <v/>
      </c>
      <c r="P3803" s="31" t="str">
        <f>IF($B3803="","",IF($P3802="",$B3803,MAX($P3802,$B3803)))</f>
        <v/>
      </c>
      <c r="Q3803" s="32" t="str">
        <f>IF($P3803="","",$B3803/$P3803-1)</f>
        <v/>
      </c>
    </row>
    <row r="3804">
      <c r="A3804" s="11" t="n"/>
      <c r="B3804" s="29" t="n"/>
      <c r="K3804" s="30" t="str">
        <f>IF($A3804="","",EDATE($A3804,12*$E$4))</f>
        <v/>
      </c>
      <c r="L3804" s="19" t="str">
        <f>IF($K3804="","",IF($K3804&gt;MAX($A$8:$A$5007),"",IFERROR(MATCH($K3804,$A$8:$A$5007,1),"")))</f>
        <v/>
      </c>
      <c r="M3804" s="30" t="str">
        <f>IF($L3804="","",INDEX($A$8:$A$5007,$L3804))</f>
        <v/>
      </c>
      <c r="N3804" s="31" t="str">
        <f>IF($L3804="","",INDEX($B$8:$B$5007,$L3804))</f>
        <v/>
      </c>
      <c r="O3804" s="32" t="str">
        <f>IF($M3804="","",IF($K3804-$M3804&gt;7,"",IF($M3804&lt;=$A3804,"",IF(OR($B3804&lt;=0,$N3804&lt;=0),"",($N3804/$B3804)^(365/($M3804-$A3804))-1))))</f>
        <v/>
      </c>
      <c r="P3804" s="31" t="str">
        <f>IF($B3804="","",IF($P3803="",$B3804,MAX($P3803,$B3804)))</f>
        <v/>
      </c>
      <c r="Q3804" s="32" t="str">
        <f>IF($P3804="","",$B3804/$P3804-1)</f>
        <v/>
      </c>
    </row>
    <row r="3805">
      <c r="A3805" s="11" t="n"/>
      <c r="B3805" s="29" t="n"/>
      <c r="K3805" s="30" t="str">
        <f>IF($A3805="","",EDATE($A3805,12*$E$4))</f>
        <v/>
      </c>
      <c r="L3805" s="19" t="str">
        <f>IF($K3805="","",IF($K3805&gt;MAX($A$8:$A$5007),"",IFERROR(MATCH($K3805,$A$8:$A$5007,1),"")))</f>
        <v/>
      </c>
      <c r="M3805" s="30" t="str">
        <f>IF($L3805="","",INDEX($A$8:$A$5007,$L3805))</f>
        <v/>
      </c>
      <c r="N3805" s="31" t="str">
        <f>IF($L3805="","",INDEX($B$8:$B$5007,$L3805))</f>
        <v/>
      </c>
      <c r="O3805" s="32" t="str">
        <f>IF($M3805="","",IF($K3805-$M3805&gt;7,"",IF($M3805&lt;=$A3805,"",IF(OR($B3805&lt;=0,$N3805&lt;=0),"",($N3805/$B3805)^(365/($M3805-$A3805))-1))))</f>
        <v/>
      </c>
      <c r="P3805" s="31" t="str">
        <f>IF($B3805="","",IF($P3804="",$B3805,MAX($P3804,$B3805)))</f>
        <v/>
      </c>
      <c r="Q3805" s="32" t="str">
        <f>IF($P3805="","",$B3805/$P3805-1)</f>
        <v/>
      </c>
    </row>
    <row r="3806">
      <c r="A3806" s="11" t="n"/>
      <c r="B3806" s="29" t="n"/>
      <c r="K3806" s="30" t="str">
        <f>IF($A3806="","",EDATE($A3806,12*$E$4))</f>
        <v/>
      </c>
      <c r="L3806" s="19" t="str">
        <f>IF($K3806="","",IF($K3806&gt;MAX($A$8:$A$5007),"",IFERROR(MATCH($K3806,$A$8:$A$5007,1),"")))</f>
        <v/>
      </c>
      <c r="M3806" s="30" t="str">
        <f>IF($L3806="","",INDEX($A$8:$A$5007,$L3806))</f>
        <v/>
      </c>
      <c r="N3806" s="31" t="str">
        <f>IF($L3806="","",INDEX($B$8:$B$5007,$L3806))</f>
        <v/>
      </c>
      <c r="O3806" s="32" t="str">
        <f>IF($M3806="","",IF($K3806-$M3806&gt;7,"",IF($M3806&lt;=$A3806,"",IF(OR($B3806&lt;=0,$N3806&lt;=0),"",($N3806/$B3806)^(365/($M3806-$A3806))-1))))</f>
        <v/>
      </c>
      <c r="P3806" s="31" t="str">
        <f>IF($B3806="","",IF($P3805="",$B3806,MAX($P3805,$B3806)))</f>
        <v/>
      </c>
      <c r="Q3806" s="32" t="str">
        <f>IF($P3806="","",$B3806/$P3806-1)</f>
        <v/>
      </c>
    </row>
    <row r="3807">
      <c r="A3807" s="11" t="n"/>
      <c r="B3807" s="29" t="n"/>
      <c r="K3807" s="30" t="str">
        <f>IF($A3807="","",EDATE($A3807,12*$E$4))</f>
        <v/>
      </c>
      <c r="L3807" s="19" t="str">
        <f>IF($K3807="","",IF($K3807&gt;MAX($A$8:$A$5007),"",IFERROR(MATCH($K3807,$A$8:$A$5007,1),"")))</f>
        <v/>
      </c>
      <c r="M3807" s="30" t="str">
        <f>IF($L3807="","",INDEX($A$8:$A$5007,$L3807))</f>
        <v/>
      </c>
      <c r="N3807" s="31" t="str">
        <f>IF($L3807="","",INDEX($B$8:$B$5007,$L3807))</f>
        <v/>
      </c>
      <c r="O3807" s="32" t="str">
        <f>IF($M3807="","",IF($K3807-$M3807&gt;7,"",IF($M3807&lt;=$A3807,"",IF(OR($B3807&lt;=0,$N3807&lt;=0),"",($N3807/$B3807)^(365/($M3807-$A3807))-1))))</f>
        <v/>
      </c>
      <c r="P3807" s="31" t="str">
        <f>IF($B3807="","",IF($P3806="",$B3807,MAX($P3806,$B3807)))</f>
        <v/>
      </c>
      <c r="Q3807" s="32" t="str">
        <f>IF($P3807="","",$B3807/$P3807-1)</f>
        <v/>
      </c>
    </row>
    <row r="3808">
      <c r="A3808" s="11" t="n"/>
      <c r="B3808" s="29" t="n"/>
      <c r="K3808" s="30" t="str">
        <f>IF($A3808="","",EDATE($A3808,12*$E$4))</f>
        <v/>
      </c>
      <c r="L3808" s="19" t="str">
        <f>IF($K3808="","",IF($K3808&gt;MAX($A$8:$A$5007),"",IFERROR(MATCH($K3808,$A$8:$A$5007,1),"")))</f>
        <v/>
      </c>
      <c r="M3808" s="30" t="str">
        <f>IF($L3808="","",INDEX($A$8:$A$5007,$L3808))</f>
        <v/>
      </c>
      <c r="N3808" s="31" t="str">
        <f>IF($L3808="","",INDEX($B$8:$B$5007,$L3808))</f>
        <v/>
      </c>
      <c r="O3808" s="32" t="str">
        <f>IF($M3808="","",IF($K3808-$M3808&gt;7,"",IF($M3808&lt;=$A3808,"",IF(OR($B3808&lt;=0,$N3808&lt;=0),"",($N3808/$B3808)^(365/($M3808-$A3808))-1))))</f>
        <v/>
      </c>
      <c r="P3808" s="31" t="str">
        <f>IF($B3808="","",IF($P3807="",$B3808,MAX($P3807,$B3808)))</f>
        <v/>
      </c>
      <c r="Q3808" s="32" t="str">
        <f>IF($P3808="","",$B3808/$P3808-1)</f>
        <v/>
      </c>
    </row>
    <row r="3809">
      <c r="A3809" s="11" t="n"/>
      <c r="B3809" s="29" t="n"/>
      <c r="K3809" s="30" t="str">
        <f>IF($A3809="","",EDATE($A3809,12*$E$4))</f>
        <v/>
      </c>
      <c r="L3809" s="19" t="str">
        <f>IF($K3809="","",IF($K3809&gt;MAX($A$8:$A$5007),"",IFERROR(MATCH($K3809,$A$8:$A$5007,1),"")))</f>
        <v/>
      </c>
      <c r="M3809" s="30" t="str">
        <f>IF($L3809="","",INDEX($A$8:$A$5007,$L3809))</f>
        <v/>
      </c>
      <c r="N3809" s="31" t="str">
        <f>IF($L3809="","",INDEX($B$8:$B$5007,$L3809))</f>
        <v/>
      </c>
      <c r="O3809" s="32" t="str">
        <f>IF($M3809="","",IF($K3809-$M3809&gt;7,"",IF($M3809&lt;=$A3809,"",IF(OR($B3809&lt;=0,$N3809&lt;=0),"",($N3809/$B3809)^(365/($M3809-$A3809))-1))))</f>
        <v/>
      </c>
      <c r="P3809" s="31" t="str">
        <f>IF($B3809="","",IF($P3808="",$B3809,MAX($P3808,$B3809)))</f>
        <v/>
      </c>
      <c r="Q3809" s="32" t="str">
        <f>IF($P3809="","",$B3809/$P3809-1)</f>
        <v/>
      </c>
    </row>
    <row r="3810">
      <c r="A3810" s="11" t="n"/>
      <c r="B3810" s="29" t="n"/>
      <c r="K3810" s="30" t="str">
        <f>IF($A3810="","",EDATE($A3810,12*$E$4))</f>
        <v/>
      </c>
      <c r="L3810" s="19" t="str">
        <f>IF($K3810="","",IF($K3810&gt;MAX($A$8:$A$5007),"",IFERROR(MATCH($K3810,$A$8:$A$5007,1),"")))</f>
        <v/>
      </c>
      <c r="M3810" s="30" t="str">
        <f>IF($L3810="","",INDEX($A$8:$A$5007,$L3810))</f>
        <v/>
      </c>
      <c r="N3810" s="31" t="str">
        <f>IF($L3810="","",INDEX($B$8:$B$5007,$L3810))</f>
        <v/>
      </c>
      <c r="O3810" s="32" t="str">
        <f>IF($M3810="","",IF($K3810-$M3810&gt;7,"",IF($M3810&lt;=$A3810,"",IF(OR($B3810&lt;=0,$N3810&lt;=0),"",($N3810/$B3810)^(365/($M3810-$A3810))-1))))</f>
        <v/>
      </c>
      <c r="P3810" s="31" t="str">
        <f>IF($B3810="","",IF($P3809="",$B3810,MAX($P3809,$B3810)))</f>
        <v/>
      </c>
      <c r="Q3810" s="32" t="str">
        <f>IF($P3810="","",$B3810/$P3810-1)</f>
        <v/>
      </c>
    </row>
    <row r="3811">
      <c r="A3811" s="11" t="n"/>
      <c r="B3811" s="29" t="n"/>
      <c r="K3811" s="30" t="str">
        <f>IF($A3811="","",EDATE($A3811,12*$E$4))</f>
        <v/>
      </c>
      <c r="L3811" s="19" t="str">
        <f>IF($K3811="","",IF($K3811&gt;MAX($A$8:$A$5007),"",IFERROR(MATCH($K3811,$A$8:$A$5007,1),"")))</f>
        <v/>
      </c>
      <c r="M3811" s="30" t="str">
        <f>IF($L3811="","",INDEX($A$8:$A$5007,$L3811))</f>
        <v/>
      </c>
      <c r="N3811" s="31" t="str">
        <f>IF($L3811="","",INDEX($B$8:$B$5007,$L3811))</f>
        <v/>
      </c>
      <c r="O3811" s="32" t="str">
        <f>IF($M3811="","",IF($K3811-$M3811&gt;7,"",IF($M3811&lt;=$A3811,"",IF(OR($B3811&lt;=0,$N3811&lt;=0),"",($N3811/$B3811)^(365/($M3811-$A3811))-1))))</f>
        <v/>
      </c>
      <c r="P3811" s="31" t="str">
        <f>IF($B3811="","",IF($P3810="",$B3811,MAX($P3810,$B3811)))</f>
        <v/>
      </c>
      <c r="Q3811" s="32" t="str">
        <f>IF($P3811="","",$B3811/$P3811-1)</f>
        <v/>
      </c>
    </row>
    <row r="3812">
      <c r="A3812" s="11" t="n"/>
      <c r="B3812" s="29" t="n"/>
      <c r="K3812" s="30" t="str">
        <f>IF($A3812="","",EDATE($A3812,12*$E$4))</f>
        <v/>
      </c>
      <c r="L3812" s="19" t="str">
        <f>IF($K3812="","",IF($K3812&gt;MAX($A$8:$A$5007),"",IFERROR(MATCH($K3812,$A$8:$A$5007,1),"")))</f>
        <v/>
      </c>
      <c r="M3812" s="30" t="str">
        <f>IF($L3812="","",INDEX($A$8:$A$5007,$L3812))</f>
        <v/>
      </c>
      <c r="N3812" s="31" t="str">
        <f>IF($L3812="","",INDEX($B$8:$B$5007,$L3812))</f>
        <v/>
      </c>
      <c r="O3812" s="32" t="str">
        <f>IF($M3812="","",IF($K3812-$M3812&gt;7,"",IF($M3812&lt;=$A3812,"",IF(OR($B3812&lt;=0,$N3812&lt;=0),"",($N3812/$B3812)^(365/($M3812-$A3812))-1))))</f>
        <v/>
      </c>
      <c r="P3812" s="31" t="str">
        <f>IF($B3812="","",IF($P3811="",$B3812,MAX($P3811,$B3812)))</f>
        <v/>
      </c>
      <c r="Q3812" s="32" t="str">
        <f>IF($P3812="","",$B3812/$P3812-1)</f>
        <v/>
      </c>
    </row>
    <row r="3813">
      <c r="A3813" s="11" t="n"/>
      <c r="B3813" s="29" t="n"/>
      <c r="K3813" s="30" t="str">
        <f>IF($A3813="","",EDATE($A3813,12*$E$4))</f>
        <v/>
      </c>
      <c r="L3813" s="19" t="str">
        <f>IF($K3813="","",IF($K3813&gt;MAX($A$8:$A$5007),"",IFERROR(MATCH($K3813,$A$8:$A$5007,1),"")))</f>
        <v/>
      </c>
      <c r="M3813" s="30" t="str">
        <f>IF($L3813="","",INDEX($A$8:$A$5007,$L3813))</f>
        <v/>
      </c>
      <c r="N3813" s="31" t="str">
        <f>IF($L3813="","",INDEX($B$8:$B$5007,$L3813))</f>
        <v/>
      </c>
      <c r="O3813" s="32" t="str">
        <f>IF($M3813="","",IF($K3813-$M3813&gt;7,"",IF($M3813&lt;=$A3813,"",IF(OR($B3813&lt;=0,$N3813&lt;=0),"",($N3813/$B3813)^(365/($M3813-$A3813))-1))))</f>
        <v/>
      </c>
      <c r="P3813" s="31" t="str">
        <f>IF($B3813="","",IF($P3812="",$B3813,MAX($P3812,$B3813)))</f>
        <v/>
      </c>
      <c r="Q3813" s="32" t="str">
        <f>IF($P3813="","",$B3813/$P3813-1)</f>
        <v/>
      </c>
    </row>
    <row r="3814">
      <c r="A3814" s="11" t="n"/>
      <c r="B3814" s="29" t="n"/>
      <c r="K3814" s="30" t="str">
        <f>IF($A3814="","",EDATE($A3814,12*$E$4))</f>
        <v/>
      </c>
      <c r="L3814" s="19" t="str">
        <f>IF($K3814="","",IF($K3814&gt;MAX($A$8:$A$5007),"",IFERROR(MATCH($K3814,$A$8:$A$5007,1),"")))</f>
        <v/>
      </c>
      <c r="M3814" s="30" t="str">
        <f>IF($L3814="","",INDEX($A$8:$A$5007,$L3814))</f>
        <v/>
      </c>
      <c r="N3814" s="31" t="str">
        <f>IF($L3814="","",INDEX($B$8:$B$5007,$L3814))</f>
        <v/>
      </c>
      <c r="O3814" s="32" t="str">
        <f>IF($M3814="","",IF($K3814-$M3814&gt;7,"",IF($M3814&lt;=$A3814,"",IF(OR($B3814&lt;=0,$N3814&lt;=0),"",($N3814/$B3814)^(365/($M3814-$A3814))-1))))</f>
        <v/>
      </c>
      <c r="P3814" s="31" t="str">
        <f>IF($B3814="","",IF($P3813="",$B3814,MAX($P3813,$B3814)))</f>
        <v/>
      </c>
      <c r="Q3814" s="32" t="str">
        <f>IF($P3814="","",$B3814/$P3814-1)</f>
        <v/>
      </c>
    </row>
    <row r="3815">
      <c r="A3815" s="11" t="n"/>
      <c r="B3815" s="29" t="n"/>
      <c r="K3815" s="30" t="str">
        <f>IF($A3815="","",EDATE($A3815,12*$E$4))</f>
        <v/>
      </c>
      <c r="L3815" s="19" t="str">
        <f>IF($K3815="","",IF($K3815&gt;MAX($A$8:$A$5007),"",IFERROR(MATCH($K3815,$A$8:$A$5007,1),"")))</f>
        <v/>
      </c>
      <c r="M3815" s="30" t="str">
        <f>IF($L3815="","",INDEX($A$8:$A$5007,$L3815))</f>
        <v/>
      </c>
      <c r="N3815" s="31" t="str">
        <f>IF($L3815="","",INDEX($B$8:$B$5007,$L3815))</f>
        <v/>
      </c>
      <c r="O3815" s="32" t="str">
        <f>IF($M3815="","",IF($K3815-$M3815&gt;7,"",IF($M3815&lt;=$A3815,"",IF(OR($B3815&lt;=0,$N3815&lt;=0),"",($N3815/$B3815)^(365/($M3815-$A3815))-1))))</f>
        <v/>
      </c>
      <c r="P3815" s="31" t="str">
        <f>IF($B3815="","",IF($P3814="",$B3815,MAX($P3814,$B3815)))</f>
        <v/>
      </c>
      <c r="Q3815" s="32" t="str">
        <f>IF($P3815="","",$B3815/$P3815-1)</f>
        <v/>
      </c>
    </row>
    <row r="3816">
      <c r="A3816" s="11" t="n"/>
      <c r="B3816" s="29" t="n"/>
      <c r="K3816" s="30" t="str">
        <f>IF($A3816="","",EDATE($A3816,12*$E$4))</f>
        <v/>
      </c>
      <c r="L3816" s="19" t="str">
        <f>IF($K3816="","",IF($K3816&gt;MAX($A$8:$A$5007),"",IFERROR(MATCH($K3816,$A$8:$A$5007,1),"")))</f>
        <v/>
      </c>
      <c r="M3816" s="30" t="str">
        <f>IF($L3816="","",INDEX($A$8:$A$5007,$L3816))</f>
        <v/>
      </c>
      <c r="N3816" s="31" t="str">
        <f>IF($L3816="","",INDEX($B$8:$B$5007,$L3816))</f>
        <v/>
      </c>
      <c r="O3816" s="32" t="str">
        <f>IF($M3816="","",IF($K3816-$M3816&gt;7,"",IF($M3816&lt;=$A3816,"",IF(OR($B3816&lt;=0,$N3816&lt;=0),"",($N3816/$B3816)^(365/($M3816-$A3816))-1))))</f>
        <v/>
      </c>
      <c r="P3816" s="31" t="str">
        <f>IF($B3816="","",IF($P3815="",$B3816,MAX($P3815,$B3816)))</f>
        <v/>
      </c>
      <c r="Q3816" s="32" t="str">
        <f>IF($P3816="","",$B3816/$P3816-1)</f>
        <v/>
      </c>
    </row>
    <row r="3817">
      <c r="A3817" s="11" t="n"/>
      <c r="B3817" s="29" t="n"/>
      <c r="K3817" s="30" t="str">
        <f>IF($A3817="","",EDATE($A3817,12*$E$4))</f>
        <v/>
      </c>
      <c r="L3817" s="19" t="str">
        <f>IF($K3817="","",IF($K3817&gt;MAX($A$8:$A$5007),"",IFERROR(MATCH($K3817,$A$8:$A$5007,1),"")))</f>
        <v/>
      </c>
      <c r="M3817" s="30" t="str">
        <f>IF($L3817="","",INDEX($A$8:$A$5007,$L3817))</f>
        <v/>
      </c>
      <c r="N3817" s="31" t="str">
        <f>IF($L3817="","",INDEX($B$8:$B$5007,$L3817))</f>
        <v/>
      </c>
      <c r="O3817" s="32" t="str">
        <f>IF($M3817="","",IF($K3817-$M3817&gt;7,"",IF($M3817&lt;=$A3817,"",IF(OR($B3817&lt;=0,$N3817&lt;=0),"",($N3817/$B3817)^(365/($M3817-$A3817))-1))))</f>
        <v/>
      </c>
      <c r="P3817" s="31" t="str">
        <f>IF($B3817="","",IF($P3816="",$B3817,MAX($P3816,$B3817)))</f>
        <v/>
      </c>
      <c r="Q3817" s="32" t="str">
        <f>IF($P3817="","",$B3817/$P3817-1)</f>
        <v/>
      </c>
    </row>
    <row r="3818">
      <c r="A3818" s="11" t="n"/>
      <c r="B3818" s="29" t="n"/>
      <c r="K3818" s="30" t="str">
        <f>IF($A3818="","",EDATE($A3818,12*$E$4))</f>
        <v/>
      </c>
      <c r="L3818" s="19" t="str">
        <f>IF($K3818="","",IF($K3818&gt;MAX($A$8:$A$5007),"",IFERROR(MATCH($K3818,$A$8:$A$5007,1),"")))</f>
        <v/>
      </c>
      <c r="M3818" s="30" t="str">
        <f>IF($L3818="","",INDEX($A$8:$A$5007,$L3818))</f>
        <v/>
      </c>
      <c r="N3818" s="31" t="str">
        <f>IF($L3818="","",INDEX($B$8:$B$5007,$L3818))</f>
        <v/>
      </c>
      <c r="O3818" s="32" t="str">
        <f>IF($M3818="","",IF($K3818-$M3818&gt;7,"",IF($M3818&lt;=$A3818,"",IF(OR($B3818&lt;=0,$N3818&lt;=0),"",($N3818/$B3818)^(365/($M3818-$A3818))-1))))</f>
        <v/>
      </c>
      <c r="P3818" s="31" t="str">
        <f>IF($B3818="","",IF($P3817="",$B3818,MAX($P3817,$B3818)))</f>
        <v/>
      </c>
      <c r="Q3818" s="32" t="str">
        <f>IF($P3818="","",$B3818/$P3818-1)</f>
        <v/>
      </c>
    </row>
    <row r="3819">
      <c r="A3819" s="11" t="n"/>
      <c r="B3819" s="29" t="n"/>
      <c r="K3819" s="30" t="str">
        <f>IF($A3819="","",EDATE($A3819,12*$E$4))</f>
        <v/>
      </c>
      <c r="L3819" s="19" t="str">
        <f>IF($K3819="","",IF($K3819&gt;MAX($A$8:$A$5007),"",IFERROR(MATCH($K3819,$A$8:$A$5007,1),"")))</f>
        <v/>
      </c>
      <c r="M3819" s="30" t="str">
        <f>IF($L3819="","",INDEX($A$8:$A$5007,$L3819))</f>
        <v/>
      </c>
      <c r="N3819" s="31" t="str">
        <f>IF($L3819="","",INDEX($B$8:$B$5007,$L3819))</f>
        <v/>
      </c>
      <c r="O3819" s="32" t="str">
        <f>IF($M3819="","",IF($K3819-$M3819&gt;7,"",IF($M3819&lt;=$A3819,"",IF(OR($B3819&lt;=0,$N3819&lt;=0),"",($N3819/$B3819)^(365/($M3819-$A3819))-1))))</f>
        <v/>
      </c>
      <c r="P3819" s="31" t="str">
        <f>IF($B3819="","",IF($P3818="",$B3819,MAX($P3818,$B3819)))</f>
        <v/>
      </c>
      <c r="Q3819" s="32" t="str">
        <f>IF($P3819="","",$B3819/$P3819-1)</f>
        <v/>
      </c>
    </row>
    <row r="3820">
      <c r="A3820" s="11" t="n"/>
      <c r="B3820" s="29" t="n"/>
      <c r="K3820" s="30" t="str">
        <f>IF($A3820="","",EDATE($A3820,12*$E$4))</f>
        <v/>
      </c>
      <c r="L3820" s="19" t="str">
        <f>IF($K3820="","",IF($K3820&gt;MAX($A$8:$A$5007),"",IFERROR(MATCH($K3820,$A$8:$A$5007,1),"")))</f>
        <v/>
      </c>
      <c r="M3820" s="30" t="str">
        <f>IF($L3820="","",INDEX($A$8:$A$5007,$L3820))</f>
        <v/>
      </c>
      <c r="N3820" s="31" t="str">
        <f>IF($L3820="","",INDEX($B$8:$B$5007,$L3820))</f>
        <v/>
      </c>
      <c r="O3820" s="32" t="str">
        <f>IF($M3820="","",IF($K3820-$M3820&gt;7,"",IF($M3820&lt;=$A3820,"",IF(OR($B3820&lt;=0,$N3820&lt;=0),"",($N3820/$B3820)^(365/($M3820-$A3820))-1))))</f>
        <v/>
      </c>
      <c r="P3820" s="31" t="str">
        <f>IF($B3820="","",IF($P3819="",$B3820,MAX($P3819,$B3820)))</f>
        <v/>
      </c>
      <c r="Q3820" s="32" t="str">
        <f>IF($P3820="","",$B3820/$P3820-1)</f>
        <v/>
      </c>
    </row>
    <row r="3821">
      <c r="A3821" s="11" t="n"/>
      <c r="B3821" s="29" t="n"/>
      <c r="K3821" s="30" t="str">
        <f>IF($A3821="","",EDATE($A3821,12*$E$4))</f>
        <v/>
      </c>
      <c r="L3821" s="19" t="str">
        <f>IF($K3821="","",IF($K3821&gt;MAX($A$8:$A$5007),"",IFERROR(MATCH($K3821,$A$8:$A$5007,1),"")))</f>
        <v/>
      </c>
      <c r="M3821" s="30" t="str">
        <f>IF($L3821="","",INDEX($A$8:$A$5007,$L3821))</f>
        <v/>
      </c>
      <c r="N3821" s="31" t="str">
        <f>IF($L3821="","",INDEX($B$8:$B$5007,$L3821))</f>
        <v/>
      </c>
      <c r="O3821" s="32" t="str">
        <f>IF($M3821="","",IF($K3821-$M3821&gt;7,"",IF($M3821&lt;=$A3821,"",IF(OR($B3821&lt;=0,$N3821&lt;=0),"",($N3821/$B3821)^(365/($M3821-$A3821))-1))))</f>
        <v/>
      </c>
      <c r="P3821" s="31" t="str">
        <f>IF($B3821="","",IF($P3820="",$B3821,MAX($P3820,$B3821)))</f>
        <v/>
      </c>
      <c r="Q3821" s="32" t="str">
        <f>IF($P3821="","",$B3821/$P3821-1)</f>
        <v/>
      </c>
    </row>
    <row r="3822">
      <c r="A3822" s="11" t="n"/>
      <c r="B3822" s="29" t="n"/>
      <c r="K3822" s="30" t="str">
        <f>IF($A3822="","",EDATE($A3822,12*$E$4))</f>
        <v/>
      </c>
      <c r="L3822" s="19" t="str">
        <f>IF($K3822="","",IF($K3822&gt;MAX($A$8:$A$5007),"",IFERROR(MATCH($K3822,$A$8:$A$5007,1),"")))</f>
        <v/>
      </c>
      <c r="M3822" s="30" t="str">
        <f>IF($L3822="","",INDEX($A$8:$A$5007,$L3822))</f>
        <v/>
      </c>
      <c r="N3822" s="31" t="str">
        <f>IF($L3822="","",INDEX($B$8:$B$5007,$L3822))</f>
        <v/>
      </c>
      <c r="O3822" s="32" t="str">
        <f>IF($M3822="","",IF($K3822-$M3822&gt;7,"",IF($M3822&lt;=$A3822,"",IF(OR($B3822&lt;=0,$N3822&lt;=0),"",($N3822/$B3822)^(365/($M3822-$A3822))-1))))</f>
        <v/>
      </c>
      <c r="P3822" s="31" t="str">
        <f>IF($B3822="","",IF($P3821="",$B3822,MAX($P3821,$B3822)))</f>
        <v/>
      </c>
      <c r="Q3822" s="32" t="str">
        <f>IF($P3822="","",$B3822/$P3822-1)</f>
        <v/>
      </c>
    </row>
    <row r="3823">
      <c r="A3823" s="11" t="n"/>
      <c r="B3823" s="29" t="n"/>
      <c r="K3823" s="30" t="str">
        <f>IF($A3823="","",EDATE($A3823,12*$E$4))</f>
        <v/>
      </c>
      <c r="L3823" s="19" t="str">
        <f>IF($K3823="","",IF($K3823&gt;MAX($A$8:$A$5007),"",IFERROR(MATCH($K3823,$A$8:$A$5007,1),"")))</f>
        <v/>
      </c>
      <c r="M3823" s="30" t="str">
        <f>IF($L3823="","",INDEX($A$8:$A$5007,$L3823))</f>
        <v/>
      </c>
      <c r="N3823" s="31" t="str">
        <f>IF($L3823="","",INDEX($B$8:$B$5007,$L3823))</f>
        <v/>
      </c>
      <c r="O3823" s="32" t="str">
        <f>IF($M3823="","",IF($K3823-$M3823&gt;7,"",IF($M3823&lt;=$A3823,"",IF(OR($B3823&lt;=0,$N3823&lt;=0),"",($N3823/$B3823)^(365/($M3823-$A3823))-1))))</f>
        <v/>
      </c>
      <c r="P3823" s="31" t="str">
        <f>IF($B3823="","",IF($P3822="",$B3823,MAX($P3822,$B3823)))</f>
        <v/>
      </c>
      <c r="Q3823" s="32" t="str">
        <f>IF($P3823="","",$B3823/$P3823-1)</f>
        <v/>
      </c>
    </row>
    <row r="3824">
      <c r="A3824" s="11" t="n"/>
      <c r="B3824" s="29" t="n"/>
      <c r="K3824" s="30" t="str">
        <f>IF($A3824="","",EDATE($A3824,12*$E$4))</f>
        <v/>
      </c>
      <c r="L3824" s="19" t="str">
        <f>IF($K3824="","",IF($K3824&gt;MAX($A$8:$A$5007),"",IFERROR(MATCH($K3824,$A$8:$A$5007,1),"")))</f>
        <v/>
      </c>
      <c r="M3824" s="30" t="str">
        <f>IF($L3824="","",INDEX($A$8:$A$5007,$L3824))</f>
        <v/>
      </c>
      <c r="N3824" s="31" t="str">
        <f>IF($L3824="","",INDEX($B$8:$B$5007,$L3824))</f>
        <v/>
      </c>
      <c r="O3824" s="32" t="str">
        <f>IF($M3824="","",IF($K3824-$M3824&gt;7,"",IF($M3824&lt;=$A3824,"",IF(OR($B3824&lt;=0,$N3824&lt;=0),"",($N3824/$B3824)^(365/($M3824-$A3824))-1))))</f>
        <v/>
      </c>
      <c r="P3824" s="31" t="str">
        <f>IF($B3824="","",IF($P3823="",$B3824,MAX($P3823,$B3824)))</f>
        <v/>
      </c>
      <c r="Q3824" s="32" t="str">
        <f>IF($P3824="","",$B3824/$P3824-1)</f>
        <v/>
      </c>
    </row>
    <row r="3825">
      <c r="A3825" s="11" t="n"/>
      <c r="B3825" s="29" t="n"/>
      <c r="K3825" s="30" t="str">
        <f>IF($A3825="","",EDATE($A3825,12*$E$4))</f>
        <v/>
      </c>
      <c r="L3825" s="19" t="str">
        <f>IF($K3825="","",IF($K3825&gt;MAX($A$8:$A$5007),"",IFERROR(MATCH($K3825,$A$8:$A$5007,1),"")))</f>
        <v/>
      </c>
      <c r="M3825" s="30" t="str">
        <f>IF($L3825="","",INDEX($A$8:$A$5007,$L3825))</f>
        <v/>
      </c>
      <c r="N3825" s="31" t="str">
        <f>IF($L3825="","",INDEX($B$8:$B$5007,$L3825))</f>
        <v/>
      </c>
      <c r="O3825" s="32" t="str">
        <f>IF($M3825="","",IF($K3825-$M3825&gt;7,"",IF($M3825&lt;=$A3825,"",IF(OR($B3825&lt;=0,$N3825&lt;=0),"",($N3825/$B3825)^(365/($M3825-$A3825))-1))))</f>
        <v/>
      </c>
      <c r="P3825" s="31" t="str">
        <f>IF($B3825="","",IF($P3824="",$B3825,MAX($P3824,$B3825)))</f>
        <v/>
      </c>
      <c r="Q3825" s="32" t="str">
        <f>IF($P3825="","",$B3825/$P3825-1)</f>
        <v/>
      </c>
    </row>
    <row r="3826">
      <c r="A3826" s="11" t="n"/>
      <c r="B3826" s="29" t="n"/>
      <c r="K3826" s="30" t="str">
        <f>IF($A3826="","",EDATE($A3826,12*$E$4))</f>
        <v/>
      </c>
      <c r="L3826" s="19" t="str">
        <f>IF($K3826="","",IF($K3826&gt;MAX($A$8:$A$5007),"",IFERROR(MATCH($K3826,$A$8:$A$5007,1),"")))</f>
        <v/>
      </c>
      <c r="M3826" s="30" t="str">
        <f>IF($L3826="","",INDEX($A$8:$A$5007,$L3826))</f>
        <v/>
      </c>
      <c r="N3826" s="31" t="str">
        <f>IF($L3826="","",INDEX($B$8:$B$5007,$L3826))</f>
        <v/>
      </c>
      <c r="O3826" s="32" t="str">
        <f>IF($M3826="","",IF($K3826-$M3826&gt;7,"",IF($M3826&lt;=$A3826,"",IF(OR($B3826&lt;=0,$N3826&lt;=0),"",($N3826/$B3826)^(365/($M3826-$A3826))-1))))</f>
        <v/>
      </c>
      <c r="P3826" s="31" t="str">
        <f>IF($B3826="","",IF($P3825="",$B3826,MAX($P3825,$B3826)))</f>
        <v/>
      </c>
      <c r="Q3826" s="32" t="str">
        <f>IF($P3826="","",$B3826/$P3826-1)</f>
        <v/>
      </c>
    </row>
    <row r="3827">
      <c r="A3827" s="11" t="n"/>
      <c r="B3827" s="29" t="n"/>
      <c r="K3827" s="30" t="str">
        <f>IF($A3827="","",EDATE($A3827,12*$E$4))</f>
        <v/>
      </c>
      <c r="L3827" s="19" t="str">
        <f>IF($K3827="","",IF($K3827&gt;MAX($A$8:$A$5007),"",IFERROR(MATCH($K3827,$A$8:$A$5007,1),"")))</f>
        <v/>
      </c>
      <c r="M3827" s="30" t="str">
        <f>IF($L3827="","",INDEX($A$8:$A$5007,$L3827))</f>
        <v/>
      </c>
      <c r="N3827" s="31" t="str">
        <f>IF($L3827="","",INDEX($B$8:$B$5007,$L3827))</f>
        <v/>
      </c>
      <c r="O3827" s="32" t="str">
        <f>IF($M3827="","",IF($K3827-$M3827&gt;7,"",IF($M3827&lt;=$A3827,"",IF(OR($B3827&lt;=0,$N3827&lt;=0),"",($N3827/$B3827)^(365/($M3827-$A3827))-1))))</f>
        <v/>
      </c>
      <c r="P3827" s="31" t="str">
        <f>IF($B3827="","",IF($P3826="",$B3827,MAX($P3826,$B3827)))</f>
        <v/>
      </c>
      <c r="Q3827" s="32" t="str">
        <f>IF($P3827="","",$B3827/$P3827-1)</f>
        <v/>
      </c>
    </row>
    <row r="3828">
      <c r="A3828" s="11" t="n"/>
      <c r="B3828" s="29" t="n"/>
      <c r="K3828" s="30" t="str">
        <f>IF($A3828="","",EDATE($A3828,12*$E$4))</f>
        <v/>
      </c>
      <c r="L3828" s="19" t="str">
        <f>IF($K3828="","",IF($K3828&gt;MAX($A$8:$A$5007),"",IFERROR(MATCH($K3828,$A$8:$A$5007,1),"")))</f>
        <v/>
      </c>
      <c r="M3828" s="30" t="str">
        <f>IF($L3828="","",INDEX($A$8:$A$5007,$L3828))</f>
        <v/>
      </c>
      <c r="N3828" s="31" t="str">
        <f>IF($L3828="","",INDEX($B$8:$B$5007,$L3828))</f>
        <v/>
      </c>
      <c r="O3828" s="32" t="str">
        <f>IF($M3828="","",IF($K3828-$M3828&gt;7,"",IF($M3828&lt;=$A3828,"",IF(OR($B3828&lt;=0,$N3828&lt;=0),"",($N3828/$B3828)^(365/($M3828-$A3828))-1))))</f>
        <v/>
      </c>
      <c r="P3828" s="31" t="str">
        <f>IF($B3828="","",IF($P3827="",$B3828,MAX($P3827,$B3828)))</f>
        <v/>
      </c>
      <c r="Q3828" s="32" t="str">
        <f>IF($P3828="","",$B3828/$P3828-1)</f>
        <v/>
      </c>
    </row>
    <row r="3829">
      <c r="A3829" s="11" t="n"/>
      <c r="B3829" s="29" t="n"/>
      <c r="K3829" s="30" t="str">
        <f>IF($A3829="","",EDATE($A3829,12*$E$4))</f>
        <v/>
      </c>
      <c r="L3829" s="19" t="str">
        <f>IF($K3829="","",IF($K3829&gt;MAX($A$8:$A$5007),"",IFERROR(MATCH($K3829,$A$8:$A$5007,1),"")))</f>
        <v/>
      </c>
      <c r="M3829" s="30" t="str">
        <f>IF($L3829="","",INDEX($A$8:$A$5007,$L3829))</f>
        <v/>
      </c>
      <c r="N3829" s="31" t="str">
        <f>IF($L3829="","",INDEX($B$8:$B$5007,$L3829))</f>
        <v/>
      </c>
      <c r="O3829" s="32" t="str">
        <f>IF($M3829="","",IF($K3829-$M3829&gt;7,"",IF($M3829&lt;=$A3829,"",IF(OR($B3829&lt;=0,$N3829&lt;=0),"",($N3829/$B3829)^(365/($M3829-$A3829))-1))))</f>
        <v/>
      </c>
      <c r="P3829" s="31" t="str">
        <f>IF($B3829="","",IF($P3828="",$B3829,MAX($P3828,$B3829)))</f>
        <v/>
      </c>
      <c r="Q3829" s="32" t="str">
        <f>IF($P3829="","",$B3829/$P3829-1)</f>
        <v/>
      </c>
    </row>
    <row r="3830">
      <c r="A3830" s="11" t="n"/>
      <c r="B3830" s="29" t="n"/>
      <c r="K3830" s="30" t="str">
        <f>IF($A3830="","",EDATE($A3830,12*$E$4))</f>
        <v/>
      </c>
      <c r="L3830" s="19" t="str">
        <f>IF($K3830="","",IF($K3830&gt;MAX($A$8:$A$5007),"",IFERROR(MATCH($K3830,$A$8:$A$5007,1),"")))</f>
        <v/>
      </c>
      <c r="M3830" s="30" t="str">
        <f>IF($L3830="","",INDEX($A$8:$A$5007,$L3830))</f>
        <v/>
      </c>
      <c r="N3830" s="31" t="str">
        <f>IF($L3830="","",INDEX($B$8:$B$5007,$L3830))</f>
        <v/>
      </c>
      <c r="O3830" s="32" t="str">
        <f>IF($M3830="","",IF($K3830-$M3830&gt;7,"",IF($M3830&lt;=$A3830,"",IF(OR($B3830&lt;=0,$N3830&lt;=0),"",($N3830/$B3830)^(365/($M3830-$A3830))-1))))</f>
        <v/>
      </c>
      <c r="P3830" s="31" t="str">
        <f>IF($B3830="","",IF($P3829="",$B3830,MAX($P3829,$B3830)))</f>
        <v/>
      </c>
      <c r="Q3830" s="32" t="str">
        <f>IF($P3830="","",$B3830/$P3830-1)</f>
        <v/>
      </c>
    </row>
    <row r="3831">
      <c r="A3831" s="11" t="n"/>
      <c r="B3831" s="29" t="n"/>
      <c r="K3831" s="30" t="str">
        <f>IF($A3831="","",EDATE($A3831,12*$E$4))</f>
        <v/>
      </c>
      <c r="L3831" s="19" t="str">
        <f>IF($K3831="","",IF($K3831&gt;MAX($A$8:$A$5007),"",IFERROR(MATCH($K3831,$A$8:$A$5007,1),"")))</f>
        <v/>
      </c>
      <c r="M3831" s="30" t="str">
        <f>IF($L3831="","",INDEX($A$8:$A$5007,$L3831))</f>
        <v/>
      </c>
      <c r="N3831" s="31" t="str">
        <f>IF($L3831="","",INDEX($B$8:$B$5007,$L3831))</f>
        <v/>
      </c>
      <c r="O3831" s="32" t="str">
        <f>IF($M3831="","",IF($K3831-$M3831&gt;7,"",IF($M3831&lt;=$A3831,"",IF(OR($B3831&lt;=0,$N3831&lt;=0),"",($N3831/$B3831)^(365/($M3831-$A3831))-1))))</f>
        <v/>
      </c>
      <c r="P3831" s="31" t="str">
        <f>IF($B3831="","",IF($P3830="",$B3831,MAX($P3830,$B3831)))</f>
        <v/>
      </c>
      <c r="Q3831" s="32" t="str">
        <f>IF($P3831="","",$B3831/$P3831-1)</f>
        <v/>
      </c>
    </row>
    <row r="3832">
      <c r="A3832" s="11" t="n"/>
      <c r="B3832" s="29" t="n"/>
      <c r="K3832" s="30" t="str">
        <f>IF($A3832="","",EDATE($A3832,12*$E$4))</f>
        <v/>
      </c>
      <c r="L3832" s="19" t="str">
        <f>IF($K3832="","",IF($K3832&gt;MAX($A$8:$A$5007),"",IFERROR(MATCH($K3832,$A$8:$A$5007,1),"")))</f>
        <v/>
      </c>
      <c r="M3832" s="30" t="str">
        <f>IF($L3832="","",INDEX($A$8:$A$5007,$L3832))</f>
        <v/>
      </c>
      <c r="N3832" s="31" t="str">
        <f>IF($L3832="","",INDEX($B$8:$B$5007,$L3832))</f>
        <v/>
      </c>
      <c r="O3832" s="32" t="str">
        <f>IF($M3832="","",IF($K3832-$M3832&gt;7,"",IF($M3832&lt;=$A3832,"",IF(OR($B3832&lt;=0,$N3832&lt;=0),"",($N3832/$B3832)^(365/($M3832-$A3832))-1))))</f>
        <v/>
      </c>
      <c r="P3832" s="31" t="str">
        <f>IF($B3832="","",IF($P3831="",$B3832,MAX($P3831,$B3832)))</f>
        <v/>
      </c>
      <c r="Q3832" s="32" t="str">
        <f>IF($P3832="","",$B3832/$P3832-1)</f>
        <v/>
      </c>
    </row>
    <row r="3833">
      <c r="A3833" s="11" t="n"/>
      <c r="B3833" s="29" t="n"/>
      <c r="K3833" s="30" t="str">
        <f>IF($A3833="","",EDATE($A3833,12*$E$4))</f>
        <v/>
      </c>
      <c r="L3833" s="19" t="str">
        <f>IF($K3833="","",IF($K3833&gt;MAX($A$8:$A$5007),"",IFERROR(MATCH($K3833,$A$8:$A$5007,1),"")))</f>
        <v/>
      </c>
      <c r="M3833" s="30" t="str">
        <f>IF($L3833="","",INDEX($A$8:$A$5007,$L3833))</f>
        <v/>
      </c>
      <c r="N3833" s="31" t="str">
        <f>IF($L3833="","",INDEX($B$8:$B$5007,$L3833))</f>
        <v/>
      </c>
      <c r="O3833" s="32" t="str">
        <f>IF($M3833="","",IF($K3833-$M3833&gt;7,"",IF($M3833&lt;=$A3833,"",IF(OR($B3833&lt;=0,$N3833&lt;=0),"",($N3833/$B3833)^(365/($M3833-$A3833))-1))))</f>
        <v/>
      </c>
      <c r="P3833" s="31" t="str">
        <f>IF($B3833="","",IF($P3832="",$B3833,MAX($P3832,$B3833)))</f>
        <v/>
      </c>
      <c r="Q3833" s="32" t="str">
        <f>IF($P3833="","",$B3833/$P3833-1)</f>
        <v/>
      </c>
    </row>
    <row r="3834">
      <c r="A3834" s="11" t="n"/>
      <c r="B3834" s="29" t="n"/>
      <c r="K3834" s="30" t="str">
        <f>IF($A3834="","",EDATE($A3834,12*$E$4))</f>
        <v/>
      </c>
      <c r="L3834" s="19" t="str">
        <f>IF($K3834="","",IF($K3834&gt;MAX($A$8:$A$5007),"",IFERROR(MATCH($K3834,$A$8:$A$5007,1),"")))</f>
        <v/>
      </c>
      <c r="M3834" s="30" t="str">
        <f>IF($L3834="","",INDEX($A$8:$A$5007,$L3834))</f>
        <v/>
      </c>
      <c r="N3834" s="31" t="str">
        <f>IF($L3834="","",INDEX($B$8:$B$5007,$L3834))</f>
        <v/>
      </c>
      <c r="O3834" s="32" t="str">
        <f>IF($M3834="","",IF($K3834-$M3834&gt;7,"",IF($M3834&lt;=$A3834,"",IF(OR($B3834&lt;=0,$N3834&lt;=0),"",($N3834/$B3834)^(365/($M3834-$A3834))-1))))</f>
        <v/>
      </c>
      <c r="P3834" s="31" t="str">
        <f>IF($B3834="","",IF($P3833="",$B3834,MAX($P3833,$B3834)))</f>
        <v/>
      </c>
      <c r="Q3834" s="32" t="str">
        <f>IF($P3834="","",$B3834/$P3834-1)</f>
        <v/>
      </c>
    </row>
    <row r="3835">
      <c r="A3835" s="11" t="n"/>
      <c r="B3835" s="29" t="n"/>
      <c r="K3835" s="30" t="str">
        <f>IF($A3835="","",EDATE($A3835,12*$E$4))</f>
        <v/>
      </c>
      <c r="L3835" s="19" t="str">
        <f>IF($K3835="","",IF($K3835&gt;MAX($A$8:$A$5007),"",IFERROR(MATCH($K3835,$A$8:$A$5007,1),"")))</f>
        <v/>
      </c>
      <c r="M3835" s="30" t="str">
        <f>IF($L3835="","",INDEX($A$8:$A$5007,$L3835))</f>
        <v/>
      </c>
      <c r="N3835" s="31" t="str">
        <f>IF($L3835="","",INDEX($B$8:$B$5007,$L3835))</f>
        <v/>
      </c>
      <c r="O3835" s="32" t="str">
        <f>IF($M3835="","",IF($K3835-$M3835&gt;7,"",IF($M3835&lt;=$A3835,"",IF(OR($B3835&lt;=0,$N3835&lt;=0),"",($N3835/$B3835)^(365/($M3835-$A3835))-1))))</f>
        <v/>
      </c>
      <c r="P3835" s="31" t="str">
        <f>IF($B3835="","",IF($P3834="",$B3835,MAX($P3834,$B3835)))</f>
        <v/>
      </c>
      <c r="Q3835" s="32" t="str">
        <f>IF($P3835="","",$B3835/$P3835-1)</f>
        <v/>
      </c>
    </row>
    <row r="3836">
      <c r="A3836" s="11" t="n"/>
      <c r="B3836" s="29" t="n"/>
      <c r="K3836" s="30" t="str">
        <f>IF($A3836="","",EDATE($A3836,12*$E$4))</f>
        <v/>
      </c>
      <c r="L3836" s="19" t="str">
        <f>IF($K3836="","",IF($K3836&gt;MAX($A$8:$A$5007),"",IFERROR(MATCH($K3836,$A$8:$A$5007,1),"")))</f>
        <v/>
      </c>
      <c r="M3836" s="30" t="str">
        <f>IF($L3836="","",INDEX($A$8:$A$5007,$L3836))</f>
        <v/>
      </c>
      <c r="N3836" s="31" t="str">
        <f>IF($L3836="","",INDEX($B$8:$B$5007,$L3836))</f>
        <v/>
      </c>
      <c r="O3836" s="32" t="str">
        <f>IF($M3836="","",IF($K3836-$M3836&gt;7,"",IF($M3836&lt;=$A3836,"",IF(OR($B3836&lt;=0,$N3836&lt;=0),"",($N3836/$B3836)^(365/($M3836-$A3836))-1))))</f>
        <v/>
      </c>
      <c r="P3836" s="31" t="str">
        <f>IF($B3836="","",IF($P3835="",$B3836,MAX($P3835,$B3836)))</f>
        <v/>
      </c>
      <c r="Q3836" s="32" t="str">
        <f>IF($P3836="","",$B3836/$P3836-1)</f>
        <v/>
      </c>
    </row>
    <row r="3837">
      <c r="A3837" s="11" t="n"/>
      <c r="B3837" s="29" t="n"/>
      <c r="K3837" s="30" t="str">
        <f>IF($A3837="","",EDATE($A3837,12*$E$4))</f>
        <v/>
      </c>
      <c r="L3837" s="19" t="str">
        <f>IF($K3837="","",IF($K3837&gt;MAX($A$8:$A$5007),"",IFERROR(MATCH($K3837,$A$8:$A$5007,1),"")))</f>
        <v/>
      </c>
      <c r="M3837" s="30" t="str">
        <f>IF($L3837="","",INDEX($A$8:$A$5007,$L3837))</f>
        <v/>
      </c>
      <c r="N3837" s="31" t="str">
        <f>IF($L3837="","",INDEX($B$8:$B$5007,$L3837))</f>
        <v/>
      </c>
      <c r="O3837" s="32" t="str">
        <f>IF($M3837="","",IF($K3837-$M3837&gt;7,"",IF($M3837&lt;=$A3837,"",IF(OR($B3837&lt;=0,$N3837&lt;=0),"",($N3837/$B3837)^(365/($M3837-$A3837))-1))))</f>
        <v/>
      </c>
      <c r="P3837" s="31" t="str">
        <f>IF($B3837="","",IF($P3836="",$B3837,MAX($P3836,$B3837)))</f>
        <v/>
      </c>
      <c r="Q3837" s="32" t="str">
        <f>IF($P3837="","",$B3837/$P3837-1)</f>
        <v/>
      </c>
    </row>
    <row r="3838">
      <c r="A3838" s="11" t="n"/>
      <c r="B3838" s="29" t="n"/>
      <c r="K3838" s="30" t="str">
        <f>IF($A3838="","",EDATE($A3838,12*$E$4))</f>
        <v/>
      </c>
      <c r="L3838" s="19" t="str">
        <f>IF($K3838="","",IF($K3838&gt;MAX($A$8:$A$5007),"",IFERROR(MATCH($K3838,$A$8:$A$5007,1),"")))</f>
        <v/>
      </c>
      <c r="M3838" s="30" t="str">
        <f>IF($L3838="","",INDEX($A$8:$A$5007,$L3838))</f>
        <v/>
      </c>
      <c r="N3838" s="31" t="str">
        <f>IF($L3838="","",INDEX($B$8:$B$5007,$L3838))</f>
        <v/>
      </c>
      <c r="O3838" s="32" t="str">
        <f>IF($M3838="","",IF($K3838-$M3838&gt;7,"",IF($M3838&lt;=$A3838,"",IF(OR($B3838&lt;=0,$N3838&lt;=0),"",($N3838/$B3838)^(365/($M3838-$A3838))-1))))</f>
        <v/>
      </c>
      <c r="P3838" s="31" t="str">
        <f>IF($B3838="","",IF($P3837="",$B3838,MAX($P3837,$B3838)))</f>
        <v/>
      </c>
      <c r="Q3838" s="32" t="str">
        <f>IF($P3838="","",$B3838/$P3838-1)</f>
        <v/>
      </c>
    </row>
    <row r="3839">
      <c r="A3839" s="11" t="n"/>
      <c r="B3839" s="29" t="n"/>
      <c r="K3839" s="30" t="str">
        <f>IF($A3839="","",EDATE($A3839,12*$E$4))</f>
        <v/>
      </c>
      <c r="L3839" s="19" t="str">
        <f>IF($K3839="","",IF($K3839&gt;MAX($A$8:$A$5007),"",IFERROR(MATCH($K3839,$A$8:$A$5007,1),"")))</f>
        <v/>
      </c>
      <c r="M3839" s="30" t="str">
        <f>IF($L3839="","",INDEX($A$8:$A$5007,$L3839))</f>
        <v/>
      </c>
      <c r="N3839" s="31" t="str">
        <f>IF($L3839="","",INDEX($B$8:$B$5007,$L3839))</f>
        <v/>
      </c>
      <c r="O3839" s="32" t="str">
        <f>IF($M3839="","",IF($K3839-$M3839&gt;7,"",IF($M3839&lt;=$A3839,"",IF(OR($B3839&lt;=0,$N3839&lt;=0),"",($N3839/$B3839)^(365/($M3839-$A3839))-1))))</f>
        <v/>
      </c>
      <c r="P3839" s="31" t="str">
        <f>IF($B3839="","",IF($P3838="",$B3839,MAX($P3838,$B3839)))</f>
        <v/>
      </c>
      <c r="Q3839" s="32" t="str">
        <f>IF($P3839="","",$B3839/$P3839-1)</f>
        <v/>
      </c>
    </row>
    <row r="3840">
      <c r="A3840" s="11" t="n"/>
      <c r="B3840" s="29" t="n"/>
      <c r="K3840" s="30" t="str">
        <f>IF($A3840="","",EDATE($A3840,12*$E$4))</f>
        <v/>
      </c>
      <c r="L3840" s="19" t="str">
        <f>IF($K3840="","",IF($K3840&gt;MAX($A$8:$A$5007),"",IFERROR(MATCH($K3840,$A$8:$A$5007,1),"")))</f>
        <v/>
      </c>
      <c r="M3840" s="30" t="str">
        <f>IF($L3840="","",INDEX($A$8:$A$5007,$L3840))</f>
        <v/>
      </c>
      <c r="N3840" s="31" t="str">
        <f>IF($L3840="","",INDEX($B$8:$B$5007,$L3840))</f>
        <v/>
      </c>
      <c r="O3840" s="32" t="str">
        <f>IF($M3840="","",IF($K3840-$M3840&gt;7,"",IF($M3840&lt;=$A3840,"",IF(OR($B3840&lt;=0,$N3840&lt;=0),"",($N3840/$B3840)^(365/($M3840-$A3840))-1))))</f>
        <v/>
      </c>
      <c r="P3840" s="31" t="str">
        <f>IF($B3840="","",IF($P3839="",$B3840,MAX($P3839,$B3840)))</f>
        <v/>
      </c>
      <c r="Q3840" s="32" t="str">
        <f>IF($P3840="","",$B3840/$P3840-1)</f>
        <v/>
      </c>
    </row>
    <row r="3841">
      <c r="A3841" s="11" t="n"/>
      <c r="B3841" s="29" t="n"/>
      <c r="K3841" s="30" t="str">
        <f>IF($A3841="","",EDATE($A3841,12*$E$4))</f>
        <v/>
      </c>
      <c r="L3841" s="19" t="str">
        <f>IF($K3841="","",IF($K3841&gt;MAX($A$8:$A$5007),"",IFERROR(MATCH($K3841,$A$8:$A$5007,1),"")))</f>
        <v/>
      </c>
      <c r="M3841" s="30" t="str">
        <f>IF($L3841="","",INDEX($A$8:$A$5007,$L3841))</f>
        <v/>
      </c>
      <c r="N3841" s="31" t="str">
        <f>IF($L3841="","",INDEX($B$8:$B$5007,$L3841))</f>
        <v/>
      </c>
      <c r="O3841" s="32" t="str">
        <f>IF($M3841="","",IF($K3841-$M3841&gt;7,"",IF($M3841&lt;=$A3841,"",IF(OR($B3841&lt;=0,$N3841&lt;=0),"",($N3841/$B3841)^(365/($M3841-$A3841))-1))))</f>
        <v/>
      </c>
      <c r="P3841" s="31" t="str">
        <f>IF($B3841="","",IF($P3840="",$B3841,MAX($P3840,$B3841)))</f>
        <v/>
      </c>
      <c r="Q3841" s="32" t="str">
        <f>IF($P3841="","",$B3841/$P3841-1)</f>
        <v/>
      </c>
    </row>
    <row r="3842">
      <c r="A3842" s="11" t="n"/>
      <c r="B3842" s="29" t="n"/>
      <c r="K3842" s="30" t="str">
        <f>IF($A3842="","",EDATE($A3842,12*$E$4))</f>
        <v/>
      </c>
      <c r="L3842" s="19" t="str">
        <f>IF($K3842="","",IF($K3842&gt;MAX($A$8:$A$5007),"",IFERROR(MATCH($K3842,$A$8:$A$5007,1),"")))</f>
        <v/>
      </c>
      <c r="M3842" s="30" t="str">
        <f>IF($L3842="","",INDEX($A$8:$A$5007,$L3842))</f>
        <v/>
      </c>
      <c r="N3842" s="31" t="str">
        <f>IF($L3842="","",INDEX($B$8:$B$5007,$L3842))</f>
        <v/>
      </c>
      <c r="O3842" s="32" t="str">
        <f>IF($M3842="","",IF($K3842-$M3842&gt;7,"",IF($M3842&lt;=$A3842,"",IF(OR($B3842&lt;=0,$N3842&lt;=0),"",($N3842/$B3842)^(365/($M3842-$A3842))-1))))</f>
        <v/>
      </c>
      <c r="P3842" s="31" t="str">
        <f>IF($B3842="","",IF($P3841="",$B3842,MAX($P3841,$B3842)))</f>
        <v/>
      </c>
      <c r="Q3842" s="32" t="str">
        <f>IF($P3842="","",$B3842/$P3842-1)</f>
        <v/>
      </c>
    </row>
    <row r="3843">
      <c r="A3843" s="11" t="n"/>
      <c r="B3843" s="29" t="n"/>
      <c r="K3843" s="30" t="str">
        <f>IF($A3843="","",EDATE($A3843,12*$E$4))</f>
        <v/>
      </c>
      <c r="L3843" s="19" t="str">
        <f>IF($K3843="","",IF($K3843&gt;MAX($A$8:$A$5007),"",IFERROR(MATCH($K3843,$A$8:$A$5007,1),"")))</f>
        <v/>
      </c>
      <c r="M3843" s="30" t="str">
        <f>IF($L3843="","",INDEX($A$8:$A$5007,$L3843))</f>
        <v/>
      </c>
      <c r="N3843" s="31" t="str">
        <f>IF($L3843="","",INDEX($B$8:$B$5007,$L3843))</f>
        <v/>
      </c>
      <c r="O3843" s="32" t="str">
        <f>IF($M3843="","",IF($K3843-$M3843&gt;7,"",IF($M3843&lt;=$A3843,"",IF(OR($B3843&lt;=0,$N3843&lt;=0),"",($N3843/$B3843)^(365/($M3843-$A3843))-1))))</f>
        <v/>
      </c>
      <c r="P3843" s="31" t="str">
        <f>IF($B3843="","",IF($P3842="",$B3843,MAX($P3842,$B3843)))</f>
        <v/>
      </c>
      <c r="Q3843" s="32" t="str">
        <f>IF($P3843="","",$B3843/$P3843-1)</f>
        <v/>
      </c>
    </row>
    <row r="3844">
      <c r="A3844" s="11" t="n"/>
      <c r="B3844" s="29" t="n"/>
      <c r="K3844" s="30" t="str">
        <f>IF($A3844="","",EDATE($A3844,12*$E$4))</f>
        <v/>
      </c>
      <c r="L3844" s="19" t="str">
        <f>IF($K3844="","",IF($K3844&gt;MAX($A$8:$A$5007),"",IFERROR(MATCH($K3844,$A$8:$A$5007,1),"")))</f>
        <v/>
      </c>
      <c r="M3844" s="30" t="str">
        <f>IF($L3844="","",INDEX($A$8:$A$5007,$L3844))</f>
        <v/>
      </c>
      <c r="N3844" s="31" t="str">
        <f>IF($L3844="","",INDEX($B$8:$B$5007,$L3844))</f>
        <v/>
      </c>
      <c r="O3844" s="32" t="str">
        <f>IF($M3844="","",IF($K3844-$M3844&gt;7,"",IF($M3844&lt;=$A3844,"",IF(OR($B3844&lt;=0,$N3844&lt;=0),"",($N3844/$B3844)^(365/($M3844-$A3844))-1))))</f>
        <v/>
      </c>
      <c r="P3844" s="31" t="str">
        <f>IF($B3844="","",IF($P3843="",$B3844,MAX($P3843,$B3844)))</f>
        <v/>
      </c>
      <c r="Q3844" s="32" t="str">
        <f>IF($P3844="","",$B3844/$P3844-1)</f>
        <v/>
      </c>
    </row>
    <row r="3845">
      <c r="A3845" s="11" t="n"/>
      <c r="B3845" s="29" t="n"/>
      <c r="K3845" s="30" t="str">
        <f>IF($A3845="","",EDATE($A3845,12*$E$4))</f>
        <v/>
      </c>
      <c r="L3845" s="19" t="str">
        <f>IF($K3845="","",IF($K3845&gt;MAX($A$8:$A$5007),"",IFERROR(MATCH($K3845,$A$8:$A$5007,1),"")))</f>
        <v/>
      </c>
      <c r="M3845" s="30" t="str">
        <f>IF($L3845="","",INDEX($A$8:$A$5007,$L3845))</f>
        <v/>
      </c>
      <c r="N3845" s="31" t="str">
        <f>IF($L3845="","",INDEX($B$8:$B$5007,$L3845))</f>
        <v/>
      </c>
      <c r="O3845" s="32" t="str">
        <f>IF($M3845="","",IF($K3845-$M3845&gt;7,"",IF($M3845&lt;=$A3845,"",IF(OR($B3845&lt;=0,$N3845&lt;=0),"",($N3845/$B3845)^(365/($M3845-$A3845))-1))))</f>
        <v/>
      </c>
      <c r="P3845" s="31" t="str">
        <f>IF($B3845="","",IF($P3844="",$B3845,MAX($P3844,$B3845)))</f>
        <v/>
      </c>
      <c r="Q3845" s="32" t="str">
        <f>IF($P3845="","",$B3845/$P3845-1)</f>
        <v/>
      </c>
    </row>
    <row r="3846">
      <c r="A3846" s="11" t="n"/>
      <c r="B3846" s="29" t="n"/>
      <c r="K3846" s="30" t="str">
        <f>IF($A3846="","",EDATE($A3846,12*$E$4))</f>
        <v/>
      </c>
      <c r="L3846" s="19" t="str">
        <f>IF($K3846="","",IF($K3846&gt;MAX($A$8:$A$5007),"",IFERROR(MATCH($K3846,$A$8:$A$5007,1),"")))</f>
        <v/>
      </c>
      <c r="M3846" s="30" t="str">
        <f>IF($L3846="","",INDEX($A$8:$A$5007,$L3846))</f>
        <v/>
      </c>
      <c r="N3846" s="31" t="str">
        <f>IF($L3846="","",INDEX($B$8:$B$5007,$L3846))</f>
        <v/>
      </c>
      <c r="O3846" s="32" t="str">
        <f>IF($M3846="","",IF($K3846-$M3846&gt;7,"",IF($M3846&lt;=$A3846,"",IF(OR($B3846&lt;=0,$N3846&lt;=0),"",($N3846/$B3846)^(365/($M3846-$A3846))-1))))</f>
        <v/>
      </c>
      <c r="P3846" s="31" t="str">
        <f>IF($B3846="","",IF($P3845="",$B3846,MAX($P3845,$B3846)))</f>
        <v/>
      </c>
      <c r="Q3846" s="32" t="str">
        <f>IF($P3846="","",$B3846/$P3846-1)</f>
        <v/>
      </c>
    </row>
    <row r="3847">
      <c r="A3847" s="11" t="n"/>
      <c r="B3847" s="29" t="n"/>
      <c r="K3847" s="30" t="str">
        <f>IF($A3847="","",EDATE($A3847,12*$E$4))</f>
        <v/>
      </c>
      <c r="L3847" s="19" t="str">
        <f>IF($K3847="","",IF($K3847&gt;MAX($A$8:$A$5007),"",IFERROR(MATCH($K3847,$A$8:$A$5007,1),"")))</f>
        <v/>
      </c>
      <c r="M3847" s="30" t="str">
        <f>IF($L3847="","",INDEX($A$8:$A$5007,$L3847))</f>
        <v/>
      </c>
      <c r="N3847" s="31" t="str">
        <f>IF($L3847="","",INDEX($B$8:$B$5007,$L3847))</f>
        <v/>
      </c>
      <c r="O3847" s="32" t="str">
        <f>IF($M3847="","",IF($K3847-$M3847&gt;7,"",IF($M3847&lt;=$A3847,"",IF(OR($B3847&lt;=0,$N3847&lt;=0),"",($N3847/$B3847)^(365/($M3847-$A3847))-1))))</f>
        <v/>
      </c>
      <c r="P3847" s="31" t="str">
        <f>IF($B3847="","",IF($P3846="",$B3847,MAX($P3846,$B3847)))</f>
        <v/>
      </c>
      <c r="Q3847" s="32" t="str">
        <f>IF($P3847="","",$B3847/$P3847-1)</f>
        <v/>
      </c>
    </row>
    <row r="3848">
      <c r="A3848" s="11" t="n"/>
      <c r="B3848" s="29" t="n"/>
      <c r="K3848" s="30" t="str">
        <f>IF($A3848="","",EDATE($A3848,12*$E$4))</f>
        <v/>
      </c>
      <c r="L3848" s="19" t="str">
        <f>IF($K3848="","",IF($K3848&gt;MAX($A$8:$A$5007),"",IFERROR(MATCH($K3848,$A$8:$A$5007,1),"")))</f>
        <v/>
      </c>
      <c r="M3848" s="30" t="str">
        <f>IF($L3848="","",INDEX($A$8:$A$5007,$L3848))</f>
        <v/>
      </c>
      <c r="N3848" s="31" t="str">
        <f>IF($L3848="","",INDEX($B$8:$B$5007,$L3848))</f>
        <v/>
      </c>
      <c r="O3848" s="32" t="str">
        <f>IF($M3848="","",IF($K3848-$M3848&gt;7,"",IF($M3848&lt;=$A3848,"",IF(OR($B3848&lt;=0,$N3848&lt;=0),"",($N3848/$B3848)^(365/($M3848-$A3848))-1))))</f>
        <v/>
      </c>
      <c r="P3848" s="31" t="str">
        <f>IF($B3848="","",IF($P3847="",$B3848,MAX($P3847,$B3848)))</f>
        <v/>
      </c>
      <c r="Q3848" s="32" t="str">
        <f>IF($P3848="","",$B3848/$P3848-1)</f>
        <v/>
      </c>
    </row>
    <row r="3849">
      <c r="A3849" s="11" t="n"/>
      <c r="B3849" s="29" t="n"/>
      <c r="K3849" s="30" t="str">
        <f>IF($A3849="","",EDATE($A3849,12*$E$4))</f>
        <v/>
      </c>
      <c r="L3849" s="19" t="str">
        <f>IF($K3849="","",IF($K3849&gt;MAX($A$8:$A$5007),"",IFERROR(MATCH($K3849,$A$8:$A$5007,1),"")))</f>
        <v/>
      </c>
      <c r="M3849" s="30" t="str">
        <f>IF($L3849="","",INDEX($A$8:$A$5007,$L3849))</f>
        <v/>
      </c>
      <c r="N3849" s="31" t="str">
        <f>IF($L3849="","",INDEX($B$8:$B$5007,$L3849))</f>
        <v/>
      </c>
      <c r="O3849" s="32" t="str">
        <f>IF($M3849="","",IF($K3849-$M3849&gt;7,"",IF($M3849&lt;=$A3849,"",IF(OR($B3849&lt;=0,$N3849&lt;=0),"",($N3849/$B3849)^(365/($M3849-$A3849))-1))))</f>
        <v/>
      </c>
      <c r="P3849" s="31" t="str">
        <f>IF($B3849="","",IF($P3848="",$B3849,MAX($P3848,$B3849)))</f>
        <v/>
      </c>
      <c r="Q3849" s="32" t="str">
        <f>IF($P3849="","",$B3849/$P3849-1)</f>
        <v/>
      </c>
    </row>
    <row r="3850">
      <c r="A3850" s="11" t="n"/>
      <c r="B3850" s="29" t="n"/>
      <c r="K3850" s="30" t="str">
        <f>IF($A3850="","",EDATE($A3850,12*$E$4))</f>
        <v/>
      </c>
      <c r="L3850" s="19" t="str">
        <f>IF($K3850="","",IF($K3850&gt;MAX($A$8:$A$5007),"",IFERROR(MATCH($K3850,$A$8:$A$5007,1),"")))</f>
        <v/>
      </c>
      <c r="M3850" s="30" t="str">
        <f>IF($L3850="","",INDEX($A$8:$A$5007,$L3850))</f>
        <v/>
      </c>
      <c r="N3850" s="31" t="str">
        <f>IF($L3850="","",INDEX($B$8:$B$5007,$L3850))</f>
        <v/>
      </c>
      <c r="O3850" s="32" t="str">
        <f>IF($M3850="","",IF($K3850-$M3850&gt;7,"",IF($M3850&lt;=$A3850,"",IF(OR($B3850&lt;=0,$N3850&lt;=0),"",($N3850/$B3850)^(365/($M3850-$A3850))-1))))</f>
        <v/>
      </c>
      <c r="P3850" s="31" t="str">
        <f>IF($B3850="","",IF($P3849="",$B3850,MAX($P3849,$B3850)))</f>
        <v/>
      </c>
      <c r="Q3850" s="32" t="str">
        <f>IF($P3850="","",$B3850/$P3850-1)</f>
        <v/>
      </c>
    </row>
    <row r="3851">
      <c r="A3851" s="11" t="n"/>
      <c r="B3851" s="29" t="n"/>
      <c r="K3851" s="30" t="str">
        <f>IF($A3851="","",EDATE($A3851,12*$E$4))</f>
        <v/>
      </c>
      <c r="L3851" s="19" t="str">
        <f>IF($K3851="","",IF($K3851&gt;MAX($A$8:$A$5007),"",IFERROR(MATCH($K3851,$A$8:$A$5007,1),"")))</f>
        <v/>
      </c>
      <c r="M3851" s="30" t="str">
        <f>IF($L3851="","",INDEX($A$8:$A$5007,$L3851))</f>
        <v/>
      </c>
      <c r="N3851" s="31" t="str">
        <f>IF($L3851="","",INDEX($B$8:$B$5007,$L3851))</f>
        <v/>
      </c>
      <c r="O3851" s="32" t="str">
        <f>IF($M3851="","",IF($K3851-$M3851&gt;7,"",IF($M3851&lt;=$A3851,"",IF(OR($B3851&lt;=0,$N3851&lt;=0),"",($N3851/$B3851)^(365/($M3851-$A3851))-1))))</f>
        <v/>
      </c>
      <c r="P3851" s="31" t="str">
        <f>IF($B3851="","",IF($P3850="",$B3851,MAX($P3850,$B3851)))</f>
        <v/>
      </c>
      <c r="Q3851" s="32" t="str">
        <f>IF($P3851="","",$B3851/$P3851-1)</f>
        <v/>
      </c>
    </row>
    <row r="3852">
      <c r="A3852" s="11" t="n"/>
      <c r="B3852" s="29" t="n"/>
      <c r="K3852" s="30" t="str">
        <f>IF($A3852="","",EDATE($A3852,12*$E$4))</f>
        <v/>
      </c>
      <c r="L3852" s="19" t="str">
        <f>IF($K3852="","",IF($K3852&gt;MAX($A$8:$A$5007),"",IFERROR(MATCH($K3852,$A$8:$A$5007,1),"")))</f>
        <v/>
      </c>
      <c r="M3852" s="30" t="str">
        <f>IF($L3852="","",INDEX($A$8:$A$5007,$L3852))</f>
        <v/>
      </c>
      <c r="N3852" s="31" t="str">
        <f>IF($L3852="","",INDEX($B$8:$B$5007,$L3852))</f>
        <v/>
      </c>
      <c r="O3852" s="32" t="str">
        <f>IF($M3852="","",IF($K3852-$M3852&gt;7,"",IF($M3852&lt;=$A3852,"",IF(OR($B3852&lt;=0,$N3852&lt;=0),"",($N3852/$B3852)^(365/($M3852-$A3852))-1))))</f>
        <v/>
      </c>
      <c r="P3852" s="31" t="str">
        <f>IF($B3852="","",IF($P3851="",$B3852,MAX($P3851,$B3852)))</f>
        <v/>
      </c>
      <c r="Q3852" s="32" t="str">
        <f>IF($P3852="","",$B3852/$P3852-1)</f>
        <v/>
      </c>
    </row>
    <row r="3853">
      <c r="A3853" s="11" t="n"/>
      <c r="B3853" s="29" t="n"/>
      <c r="K3853" s="30" t="str">
        <f>IF($A3853="","",EDATE($A3853,12*$E$4))</f>
        <v/>
      </c>
      <c r="L3853" s="19" t="str">
        <f>IF($K3853="","",IF($K3853&gt;MAX($A$8:$A$5007),"",IFERROR(MATCH($K3853,$A$8:$A$5007,1),"")))</f>
        <v/>
      </c>
      <c r="M3853" s="30" t="str">
        <f>IF($L3853="","",INDEX($A$8:$A$5007,$L3853))</f>
        <v/>
      </c>
      <c r="N3853" s="31" t="str">
        <f>IF($L3853="","",INDEX($B$8:$B$5007,$L3853))</f>
        <v/>
      </c>
      <c r="O3853" s="32" t="str">
        <f>IF($M3853="","",IF($K3853-$M3853&gt;7,"",IF($M3853&lt;=$A3853,"",IF(OR($B3853&lt;=0,$N3853&lt;=0),"",($N3853/$B3853)^(365/($M3853-$A3853))-1))))</f>
        <v/>
      </c>
      <c r="P3853" s="31" t="str">
        <f>IF($B3853="","",IF($P3852="",$B3853,MAX($P3852,$B3853)))</f>
        <v/>
      </c>
      <c r="Q3853" s="32" t="str">
        <f>IF($P3853="","",$B3853/$P3853-1)</f>
        <v/>
      </c>
    </row>
    <row r="3854">
      <c r="A3854" s="11" t="n"/>
      <c r="B3854" s="29" t="n"/>
      <c r="K3854" s="30" t="str">
        <f>IF($A3854="","",EDATE($A3854,12*$E$4))</f>
        <v/>
      </c>
      <c r="L3854" s="19" t="str">
        <f>IF($K3854="","",IF($K3854&gt;MAX($A$8:$A$5007),"",IFERROR(MATCH($K3854,$A$8:$A$5007,1),"")))</f>
        <v/>
      </c>
      <c r="M3854" s="30" t="str">
        <f>IF($L3854="","",INDEX($A$8:$A$5007,$L3854))</f>
        <v/>
      </c>
      <c r="N3854" s="31" t="str">
        <f>IF($L3854="","",INDEX($B$8:$B$5007,$L3854))</f>
        <v/>
      </c>
      <c r="O3854" s="32" t="str">
        <f>IF($M3854="","",IF($K3854-$M3854&gt;7,"",IF($M3854&lt;=$A3854,"",IF(OR($B3854&lt;=0,$N3854&lt;=0),"",($N3854/$B3854)^(365/($M3854-$A3854))-1))))</f>
        <v/>
      </c>
      <c r="P3854" s="31" t="str">
        <f>IF($B3854="","",IF($P3853="",$B3854,MAX($P3853,$B3854)))</f>
        <v/>
      </c>
      <c r="Q3854" s="32" t="str">
        <f>IF($P3854="","",$B3854/$P3854-1)</f>
        <v/>
      </c>
    </row>
    <row r="3855">
      <c r="A3855" s="11" t="n"/>
      <c r="B3855" s="29" t="n"/>
      <c r="K3855" s="30" t="str">
        <f>IF($A3855="","",EDATE($A3855,12*$E$4))</f>
        <v/>
      </c>
      <c r="L3855" s="19" t="str">
        <f>IF($K3855="","",IF($K3855&gt;MAX($A$8:$A$5007),"",IFERROR(MATCH($K3855,$A$8:$A$5007,1),"")))</f>
        <v/>
      </c>
      <c r="M3855" s="30" t="str">
        <f>IF($L3855="","",INDEX($A$8:$A$5007,$L3855))</f>
        <v/>
      </c>
      <c r="N3855" s="31" t="str">
        <f>IF($L3855="","",INDEX($B$8:$B$5007,$L3855))</f>
        <v/>
      </c>
      <c r="O3855" s="32" t="str">
        <f>IF($M3855="","",IF($K3855-$M3855&gt;7,"",IF($M3855&lt;=$A3855,"",IF(OR($B3855&lt;=0,$N3855&lt;=0),"",($N3855/$B3855)^(365/($M3855-$A3855))-1))))</f>
        <v/>
      </c>
      <c r="P3855" s="31" t="str">
        <f>IF($B3855="","",IF($P3854="",$B3855,MAX($P3854,$B3855)))</f>
        <v/>
      </c>
      <c r="Q3855" s="32" t="str">
        <f>IF($P3855="","",$B3855/$P3855-1)</f>
        <v/>
      </c>
    </row>
    <row r="3856">
      <c r="A3856" s="11" t="n"/>
      <c r="B3856" s="29" t="n"/>
      <c r="K3856" s="30" t="str">
        <f>IF($A3856="","",EDATE($A3856,12*$E$4))</f>
        <v/>
      </c>
      <c r="L3856" s="19" t="str">
        <f>IF($K3856="","",IF($K3856&gt;MAX($A$8:$A$5007),"",IFERROR(MATCH($K3856,$A$8:$A$5007,1),"")))</f>
        <v/>
      </c>
      <c r="M3856" s="30" t="str">
        <f>IF($L3856="","",INDEX($A$8:$A$5007,$L3856))</f>
        <v/>
      </c>
      <c r="N3856" s="31" t="str">
        <f>IF($L3856="","",INDEX($B$8:$B$5007,$L3856))</f>
        <v/>
      </c>
      <c r="O3856" s="32" t="str">
        <f>IF($M3856="","",IF($K3856-$M3856&gt;7,"",IF($M3856&lt;=$A3856,"",IF(OR($B3856&lt;=0,$N3856&lt;=0),"",($N3856/$B3856)^(365/($M3856-$A3856))-1))))</f>
        <v/>
      </c>
      <c r="P3856" s="31" t="str">
        <f>IF($B3856="","",IF($P3855="",$B3856,MAX($P3855,$B3856)))</f>
        <v/>
      </c>
      <c r="Q3856" s="32" t="str">
        <f>IF($P3856="","",$B3856/$P3856-1)</f>
        <v/>
      </c>
    </row>
    <row r="3857">
      <c r="A3857" s="11" t="n"/>
      <c r="B3857" s="29" t="n"/>
      <c r="K3857" s="30" t="str">
        <f>IF($A3857="","",EDATE($A3857,12*$E$4))</f>
        <v/>
      </c>
      <c r="L3857" s="19" t="str">
        <f>IF($K3857="","",IF($K3857&gt;MAX($A$8:$A$5007),"",IFERROR(MATCH($K3857,$A$8:$A$5007,1),"")))</f>
        <v/>
      </c>
      <c r="M3857" s="30" t="str">
        <f>IF($L3857="","",INDEX($A$8:$A$5007,$L3857))</f>
        <v/>
      </c>
      <c r="N3857" s="31" t="str">
        <f>IF($L3857="","",INDEX($B$8:$B$5007,$L3857))</f>
        <v/>
      </c>
      <c r="O3857" s="32" t="str">
        <f>IF($M3857="","",IF($K3857-$M3857&gt;7,"",IF($M3857&lt;=$A3857,"",IF(OR($B3857&lt;=0,$N3857&lt;=0),"",($N3857/$B3857)^(365/($M3857-$A3857))-1))))</f>
        <v/>
      </c>
      <c r="P3857" s="31" t="str">
        <f>IF($B3857="","",IF($P3856="",$B3857,MAX($P3856,$B3857)))</f>
        <v/>
      </c>
      <c r="Q3857" s="32" t="str">
        <f>IF($P3857="","",$B3857/$P3857-1)</f>
        <v/>
      </c>
    </row>
    <row r="3858">
      <c r="A3858" s="11" t="n"/>
      <c r="B3858" s="29" t="n"/>
      <c r="K3858" s="30" t="str">
        <f>IF($A3858="","",EDATE($A3858,12*$E$4))</f>
        <v/>
      </c>
      <c r="L3858" s="19" t="str">
        <f>IF($K3858="","",IF($K3858&gt;MAX($A$8:$A$5007),"",IFERROR(MATCH($K3858,$A$8:$A$5007,1),"")))</f>
        <v/>
      </c>
      <c r="M3858" s="30" t="str">
        <f>IF($L3858="","",INDEX($A$8:$A$5007,$L3858))</f>
        <v/>
      </c>
      <c r="N3858" s="31" t="str">
        <f>IF($L3858="","",INDEX($B$8:$B$5007,$L3858))</f>
        <v/>
      </c>
      <c r="O3858" s="32" t="str">
        <f>IF($M3858="","",IF($K3858-$M3858&gt;7,"",IF($M3858&lt;=$A3858,"",IF(OR($B3858&lt;=0,$N3858&lt;=0),"",($N3858/$B3858)^(365/($M3858-$A3858))-1))))</f>
        <v/>
      </c>
      <c r="P3858" s="31" t="str">
        <f>IF($B3858="","",IF($P3857="",$B3858,MAX($P3857,$B3858)))</f>
        <v/>
      </c>
      <c r="Q3858" s="32" t="str">
        <f>IF($P3858="","",$B3858/$P3858-1)</f>
        <v/>
      </c>
    </row>
    <row r="3859">
      <c r="A3859" s="11" t="n"/>
      <c r="B3859" s="29" t="n"/>
      <c r="K3859" s="30" t="str">
        <f>IF($A3859="","",EDATE($A3859,12*$E$4))</f>
        <v/>
      </c>
      <c r="L3859" s="19" t="str">
        <f>IF($K3859="","",IF($K3859&gt;MAX($A$8:$A$5007),"",IFERROR(MATCH($K3859,$A$8:$A$5007,1),"")))</f>
        <v/>
      </c>
      <c r="M3859" s="30" t="str">
        <f>IF($L3859="","",INDEX($A$8:$A$5007,$L3859))</f>
        <v/>
      </c>
      <c r="N3859" s="31" t="str">
        <f>IF($L3859="","",INDEX($B$8:$B$5007,$L3859))</f>
        <v/>
      </c>
      <c r="O3859" s="32" t="str">
        <f>IF($M3859="","",IF($K3859-$M3859&gt;7,"",IF($M3859&lt;=$A3859,"",IF(OR($B3859&lt;=0,$N3859&lt;=0),"",($N3859/$B3859)^(365/($M3859-$A3859))-1))))</f>
        <v/>
      </c>
      <c r="P3859" s="31" t="str">
        <f>IF($B3859="","",IF($P3858="",$B3859,MAX($P3858,$B3859)))</f>
        <v/>
      </c>
      <c r="Q3859" s="32" t="str">
        <f>IF($P3859="","",$B3859/$P3859-1)</f>
        <v/>
      </c>
    </row>
    <row r="3860">
      <c r="A3860" s="11" t="n"/>
      <c r="B3860" s="29" t="n"/>
      <c r="K3860" s="30" t="str">
        <f>IF($A3860="","",EDATE($A3860,12*$E$4))</f>
        <v/>
      </c>
      <c r="L3860" s="19" t="str">
        <f>IF($K3860="","",IF($K3860&gt;MAX($A$8:$A$5007),"",IFERROR(MATCH($K3860,$A$8:$A$5007,1),"")))</f>
        <v/>
      </c>
      <c r="M3860" s="30" t="str">
        <f>IF($L3860="","",INDEX($A$8:$A$5007,$L3860))</f>
        <v/>
      </c>
      <c r="N3860" s="31" t="str">
        <f>IF($L3860="","",INDEX($B$8:$B$5007,$L3860))</f>
        <v/>
      </c>
      <c r="O3860" s="32" t="str">
        <f>IF($M3860="","",IF($K3860-$M3860&gt;7,"",IF($M3860&lt;=$A3860,"",IF(OR($B3860&lt;=0,$N3860&lt;=0),"",($N3860/$B3860)^(365/($M3860-$A3860))-1))))</f>
        <v/>
      </c>
      <c r="P3860" s="31" t="str">
        <f>IF($B3860="","",IF($P3859="",$B3860,MAX($P3859,$B3860)))</f>
        <v/>
      </c>
      <c r="Q3860" s="32" t="str">
        <f>IF($P3860="","",$B3860/$P3860-1)</f>
        <v/>
      </c>
    </row>
    <row r="3861">
      <c r="A3861" s="11" t="n"/>
      <c r="B3861" s="29" t="n"/>
      <c r="K3861" s="30" t="str">
        <f>IF($A3861="","",EDATE($A3861,12*$E$4))</f>
        <v/>
      </c>
      <c r="L3861" s="19" t="str">
        <f>IF($K3861="","",IF($K3861&gt;MAX($A$8:$A$5007),"",IFERROR(MATCH($K3861,$A$8:$A$5007,1),"")))</f>
        <v/>
      </c>
      <c r="M3861" s="30" t="str">
        <f>IF($L3861="","",INDEX($A$8:$A$5007,$L3861))</f>
        <v/>
      </c>
      <c r="N3861" s="31" t="str">
        <f>IF($L3861="","",INDEX($B$8:$B$5007,$L3861))</f>
        <v/>
      </c>
      <c r="O3861" s="32" t="str">
        <f>IF($M3861="","",IF($K3861-$M3861&gt;7,"",IF($M3861&lt;=$A3861,"",IF(OR($B3861&lt;=0,$N3861&lt;=0),"",($N3861/$B3861)^(365/($M3861-$A3861))-1))))</f>
        <v/>
      </c>
      <c r="P3861" s="31" t="str">
        <f>IF($B3861="","",IF($P3860="",$B3861,MAX($P3860,$B3861)))</f>
        <v/>
      </c>
      <c r="Q3861" s="32" t="str">
        <f>IF($P3861="","",$B3861/$P3861-1)</f>
        <v/>
      </c>
    </row>
    <row r="3862">
      <c r="A3862" s="11" t="n"/>
      <c r="B3862" s="29" t="n"/>
      <c r="K3862" s="30" t="str">
        <f>IF($A3862="","",EDATE($A3862,12*$E$4))</f>
        <v/>
      </c>
      <c r="L3862" s="19" t="str">
        <f>IF($K3862="","",IF($K3862&gt;MAX($A$8:$A$5007),"",IFERROR(MATCH($K3862,$A$8:$A$5007,1),"")))</f>
        <v/>
      </c>
      <c r="M3862" s="30" t="str">
        <f>IF($L3862="","",INDEX($A$8:$A$5007,$L3862))</f>
        <v/>
      </c>
      <c r="N3862" s="31" t="str">
        <f>IF($L3862="","",INDEX($B$8:$B$5007,$L3862))</f>
        <v/>
      </c>
      <c r="O3862" s="32" t="str">
        <f>IF($M3862="","",IF($K3862-$M3862&gt;7,"",IF($M3862&lt;=$A3862,"",IF(OR($B3862&lt;=0,$N3862&lt;=0),"",($N3862/$B3862)^(365/($M3862-$A3862))-1))))</f>
        <v/>
      </c>
      <c r="P3862" s="31" t="str">
        <f>IF($B3862="","",IF($P3861="",$B3862,MAX($P3861,$B3862)))</f>
        <v/>
      </c>
      <c r="Q3862" s="32" t="str">
        <f>IF($P3862="","",$B3862/$P3862-1)</f>
        <v/>
      </c>
    </row>
    <row r="3863">
      <c r="A3863" s="11" t="n"/>
      <c r="B3863" s="29" t="n"/>
      <c r="K3863" s="30" t="str">
        <f>IF($A3863="","",EDATE($A3863,12*$E$4))</f>
        <v/>
      </c>
      <c r="L3863" s="19" t="str">
        <f>IF($K3863="","",IF($K3863&gt;MAX($A$8:$A$5007),"",IFERROR(MATCH($K3863,$A$8:$A$5007,1),"")))</f>
        <v/>
      </c>
      <c r="M3863" s="30" t="str">
        <f>IF($L3863="","",INDEX($A$8:$A$5007,$L3863))</f>
        <v/>
      </c>
      <c r="N3863" s="31" t="str">
        <f>IF($L3863="","",INDEX($B$8:$B$5007,$L3863))</f>
        <v/>
      </c>
      <c r="O3863" s="32" t="str">
        <f>IF($M3863="","",IF($K3863-$M3863&gt;7,"",IF($M3863&lt;=$A3863,"",IF(OR($B3863&lt;=0,$N3863&lt;=0),"",($N3863/$B3863)^(365/($M3863-$A3863))-1))))</f>
        <v/>
      </c>
      <c r="P3863" s="31" t="str">
        <f>IF($B3863="","",IF($P3862="",$B3863,MAX($P3862,$B3863)))</f>
        <v/>
      </c>
      <c r="Q3863" s="32" t="str">
        <f>IF($P3863="","",$B3863/$P3863-1)</f>
        <v/>
      </c>
    </row>
    <row r="3864">
      <c r="A3864" s="11" t="n"/>
      <c r="B3864" s="29" t="n"/>
      <c r="K3864" s="30" t="str">
        <f>IF($A3864="","",EDATE($A3864,12*$E$4))</f>
        <v/>
      </c>
      <c r="L3864" s="19" t="str">
        <f>IF($K3864="","",IF($K3864&gt;MAX($A$8:$A$5007),"",IFERROR(MATCH($K3864,$A$8:$A$5007,1),"")))</f>
        <v/>
      </c>
      <c r="M3864" s="30" t="str">
        <f>IF($L3864="","",INDEX($A$8:$A$5007,$L3864))</f>
        <v/>
      </c>
      <c r="N3864" s="31" t="str">
        <f>IF($L3864="","",INDEX($B$8:$B$5007,$L3864))</f>
        <v/>
      </c>
      <c r="O3864" s="32" t="str">
        <f>IF($M3864="","",IF($K3864-$M3864&gt;7,"",IF($M3864&lt;=$A3864,"",IF(OR($B3864&lt;=0,$N3864&lt;=0),"",($N3864/$B3864)^(365/($M3864-$A3864))-1))))</f>
        <v/>
      </c>
      <c r="P3864" s="31" t="str">
        <f>IF($B3864="","",IF($P3863="",$B3864,MAX($P3863,$B3864)))</f>
        <v/>
      </c>
      <c r="Q3864" s="32" t="str">
        <f>IF($P3864="","",$B3864/$P3864-1)</f>
        <v/>
      </c>
    </row>
    <row r="3865">
      <c r="A3865" s="11" t="n"/>
      <c r="B3865" s="29" t="n"/>
      <c r="K3865" s="30" t="str">
        <f>IF($A3865="","",EDATE($A3865,12*$E$4))</f>
        <v/>
      </c>
      <c r="L3865" s="19" t="str">
        <f>IF($K3865="","",IF($K3865&gt;MAX($A$8:$A$5007),"",IFERROR(MATCH($K3865,$A$8:$A$5007,1),"")))</f>
        <v/>
      </c>
      <c r="M3865" s="30" t="str">
        <f>IF($L3865="","",INDEX($A$8:$A$5007,$L3865))</f>
        <v/>
      </c>
      <c r="N3865" s="31" t="str">
        <f>IF($L3865="","",INDEX($B$8:$B$5007,$L3865))</f>
        <v/>
      </c>
      <c r="O3865" s="32" t="str">
        <f>IF($M3865="","",IF($K3865-$M3865&gt;7,"",IF($M3865&lt;=$A3865,"",IF(OR($B3865&lt;=0,$N3865&lt;=0),"",($N3865/$B3865)^(365/($M3865-$A3865))-1))))</f>
        <v/>
      </c>
      <c r="P3865" s="31" t="str">
        <f>IF($B3865="","",IF($P3864="",$B3865,MAX($P3864,$B3865)))</f>
        <v/>
      </c>
      <c r="Q3865" s="32" t="str">
        <f>IF($P3865="","",$B3865/$P3865-1)</f>
        <v/>
      </c>
    </row>
    <row r="3866">
      <c r="A3866" s="11" t="n"/>
      <c r="B3866" s="29" t="n"/>
      <c r="K3866" s="30" t="str">
        <f>IF($A3866="","",EDATE($A3866,12*$E$4))</f>
        <v/>
      </c>
      <c r="L3866" s="19" t="str">
        <f>IF($K3866="","",IF($K3866&gt;MAX($A$8:$A$5007),"",IFERROR(MATCH($K3866,$A$8:$A$5007,1),"")))</f>
        <v/>
      </c>
      <c r="M3866" s="30" t="str">
        <f>IF($L3866="","",INDEX($A$8:$A$5007,$L3866))</f>
        <v/>
      </c>
      <c r="N3866" s="31" t="str">
        <f>IF($L3866="","",INDEX($B$8:$B$5007,$L3866))</f>
        <v/>
      </c>
      <c r="O3866" s="32" t="str">
        <f>IF($M3866="","",IF($K3866-$M3866&gt;7,"",IF($M3866&lt;=$A3866,"",IF(OR($B3866&lt;=0,$N3866&lt;=0),"",($N3866/$B3866)^(365/($M3866-$A3866))-1))))</f>
        <v/>
      </c>
      <c r="P3866" s="31" t="str">
        <f>IF($B3866="","",IF($P3865="",$B3866,MAX($P3865,$B3866)))</f>
        <v/>
      </c>
      <c r="Q3866" s="32" t="str">
        <f>IF($P3866="","",$B3866/$P3866-1)</f>
        <v/>
      </c>
    </row>
    <row r="3867">
      <c r="A3867" s="11" t="n"/>
      <c r="B3867" s="29" t="n"/>
      <c r="K3867" s="30" t="str">
        <f>IF($A3867="","",EDATE($A3867,12*$E$4))</f>
        <v/>
      </c>
      <c r="L3867" s="19" t="str">
        <f>IF($K3867="","",IF($K3867&gt;MAX($A$8:$A$5007),"",IFERROR(MATCH($K3867,$A$8:$A$5007,1),"")))</f>
        <v/>
      </c>
      <c r="M3867" s="30" t="str">
        <f>IF($L3867="","",INDEX($A$8:$A$5007,$L3867))</f>
        <v/>
      </c>
      <c r="N3867" s="31" t="str">
        <f>IF($L3867="","",INDEX($B$8:$B$5007,$L3867))</f>
        <v/>
      </c>
      <c r="O3867" s="32" t="str">
        <f>IF($M3867="","",IF($K3867-$M3867&gt;7,"",IF($M3867&lt;=$A3867,"",IF(OR($B3867&lt;=0,$N3867&lt;=0),"",($N3867/$B3867)^(365/($M3867-$A3867))-1))))</f>
        <v/>
      </c>
      <c r="P3867" s="31" t="str">
        <f>IF($B3867="","",IF($P3866="",$B3867,MAX($P3866,$B3867)))</f>
        <v/>
      </c>
      <c r="Q3867" s="32" t="str">
        <f>IF($P3867="","",$B3867/$P3867-1)</f>
        <v/>
      </c>
    </row>
    <row r="3868">
      <c r="A3868" s="11" t="n"/>
      <c r="B3868" s="29" t="n"/>
      <c r="K3868" s="30" t="str">
        <f>IF($A3868="","",EDATE($A3868,12*$E$4))</f>
        <v/>
      </c>
      <c r="L3868" s="19" t="str">
        <f>IF($K3868="","",IF($K3868&gt;MAX($A$8:$A$5007),"",IFERROR(MATCH($K3868,$A$8:$A$5007,1),"")))</f>
        <v/>
      </c>
      <c r="M3868" s="30" t="str">
        <f>IF($L3868="","",INDEX($A$8:$A$5007,$L3868))</f>
        <v/>
      </c>
      <c r="N3868" s="31" t="str">
        <f>IF($L3868="","",INDEX($B$8:$B$5007,$L3868))</f>
        <v/>
      </c>
      <c r="O3868" s="32" t="str">
        <f>IF($M3868="","",IF($K3868-$M3868&gt;7,"",IF($M3868&lt;=$A3868,"",IF(OR($B3868&lt;=0,$N3868&lt;=0),"",($N3868/$B3868)^(365/($M3868-$A3868))-1))))</f>
        <v/>
      </c>
      <c r="P3868" s="31" t="str">
        <f>IF($B3868="","",IF($P3867="",$B3868,MAX($P3867,$B3868)))</f>
        <v/>
      </c>
      <c r="Q3868" s="32" t="str">
        <f>IF($P3868="","",$B3868/$P3868-1)</f>
        <v/>
      </c>
    </row>
    <row r="3869">
      <c r="A3869" s="11" t="n"/>
      <c r="B3869" s="29" t="n"/>
      <c r="K3869" s="30" t="str">
        <f>IF($A3869="","",EDATE($A3869,12*$E$4))</f>
        <v/>
      </c>
      <c r="L3869" s="19" t="str">
        <f>IF($K3869="","",IF($K3869&gt;MAX($A$8:$A$5007),"",IFERROR(MATCH($K3869,$A$8:$A$5007,1),"")))</f>
        <v/>
      </c>
      <c r="M3869" s="30" t="str">
        <f>IF($L3869="","",INDEX($A$8:$A$5007,$L3869))</f>
        <v/>
      </c>
      <c r="N3869" s="31" t="str">
        <f>IF($L3869="","",INDEX($B$8:$B$5007,$L3869))</f>
        <v/>
      </c>
      <c r="O3869" s="32" t="str">
        <f>IF($M3869="","",IF($K3869-$M3869&gt;7,"",IF($M3869&lt;=$A3869,"",IF(OR($B3869&lt;=0,$N3869&lt;=0),"",($N3869/$B3869)^(365/($M3869-$A3869))-1))))</f>
        <v/>
      </c>
      <c r="P3869" s="31" t="str">
        <f>IF($B3869="","",IF($P3868="",$B3869,MAX($P3868,$B3869)))</f>
        <v/>
      </c>
      <c r="Q3869" s="32" t="str">
        <f>IF($P3869="","",$B3869/$P3869-1)</f>
        <v/>
      </c>
    </row>
    <row r="3870">
      <c r="A3870" s="11" t="n"/>
      <c r="B3870" s="29" t="n"/>
      <c r="K3870" s="30" t="str">
        <f>IF($A3870="","",EDATE($A3870,12*$E$4))</f>
        <v/>
      </c>
      <c r="L3870" s="19" t="str">
        <f>IF($K3870="","",IF($K3870&gt;MAX($A$8:$A$5007),"",IFERROR(MATCH($K3870,$A$8:$A$5007,1),"")))</f>
        <v/>
      </c>
      <c r="M3870" s="30" t="str">
        <f>IF($L3870="","",INDEX($A$8:$A$5007,$L3870))</f>
        <v/>
      </c>
      <c r="N3870" s="31" t="str">
        <f>IF($L3870="","",INDEX($B$8:$B$5007,$L3870))</f>
        <v/>
      </c>
      <c r="O3870" s="32" t="str">
        <f>IF($M3870="","",IF($K3870-$M3870&gt;7,"",IF($M3870&lt;=$A3870,"",IF(OR($B3870&lt;=0,$N3870&lt;=0),"",($N3870/$B3870)^(365/($M3870-$A3870))-1))))</f>
        <v/>
      </c>
      <c r="P3870" s="31" t="str">
        <f>IF($B3870="","",IF($P3869="",$B3870,MAX($P3869,$B3870)))</f>
        <v/>
      </c>
      <c r="Q3870" s="32" t="str">
        <f>IF($P3870="","",$B3870/$P3870-1)</f>
        <v/>
      </c>
    </row>
    <row r="3871">
      <c r="A3871" s="11" t="n"/>
      <c r="B3871" s="29" t="n"/>
      <c r="K3871" s="30" t="str">
        <f>IF($A3871="","",EDATE($A3871,12*$E$4))</f>
        <v/>
      </c>
      <c r="L3871" s="19" t="str">
        <f>IF($K3871="","",IF($K3871&gt;MAX($A$8:$A$5007),"",IFERROR(MATCH($K3871,$A$8:$A$5007,1),"")))</f>
        <v/>
      </c>
      <c r="M3871" s="30" t="str">
        <f>IF($L3871="","",INDEX($A$8:$A$5007,$L3871))</f>
        <v/>
      </c>
      <c r="N3871" s="31" t="str">
        <f>IF($L3871="","",INDEX($B$8:$B$5007,$L3871))</f>
        <v/>
      </c>
      <c r="O3871" s="32" t="str">
        <f>IF($M3871="","",IF($K3871-$M3871&gt;7,"",IF($M3871&lt;=$A3871,"",IF(OR($B3871&lt;=0,$N3871&lt;=0),"",($N3871/$B3871)^(365/($M3871-$A3871))-1))))</f>
        <v/>
      </c>
      <c r="P3871" s="31" t="str">
        <f>IF($B3871="","",IF($P3870="",$B3871,MAX($P3870,$B3871)))</f>
        <v/>
      </c>
      <c r="Q3871" s="32" t="str">
        <f>IF($P3871="","",$B3871/$P3871-1)</f>
        <v/>
      </c>
    </row>
    <row r="3872">
      <c r="A3872" s="11" t="n"/>
      <c r="B3872" s="29" t="n"/>
      <c r="K3872" s="30" t="str">
        <f>IF($A3872="","",EDATE($A3872,12*$E$4))</f>
        <v/>
      </c>
      <c r="L3872" s="19" t="str">
        <f>IF($K3872="","",IF($K3872&gt;MAX($A$8:$A$5007),"",IFERROR(MATCH($K3872,$A$8:$A$5007,1),"")))</f>
        <v/>
      </c>
      <c r="M3872" s="30" t="str">
        <f>IF($L3872="","",INDEX($A$8:$A$5007,$L3872))</f>
        <v/>
      </c>
      <c r="N3872" s="31" t="str">
        <f>IF($L3872="","",INDEX($B$8:$B$5007,$L3872))</f>
        <v/>
      </c>
      <c r="O3872" s="32" t="str">
        <f>IF($M3872="","",IF($K3872-$M3872&gt;7,"",IF($M3872&lt;=$A3872,"",IF(OR($B3872&lt;=0,$N3872&lt;=0),"",($N3872/$B3872)^(365/($M3872-$A3872))-1))))</f>
        <v/>
      </c>
      <c r="P3872" s="31" t="str">
        <f>IF($B3872="","",IF($P3871="",$B3872,MAX($P3871,$B3872)))</f>
        <v/>
      </c>
      <c r="Q3872" s="32" t="str">
        <f>IF($P3872="","",$B3872/$P3872-1)</f>
        <v/>
      </c>
    </row>
    <row r="3873">
      <c r="A3873" s="11" t="n"/>
      <c r="B3873" s="29" t="n"/>
      <c r="K3873" s="30" t="str">
        <f>IF($A3873="","",EDATE($A3873,12*$E$4))</f>
        <v/>
      </c>
      <c r="L3873" s="19" t="str">
        <f>IF($K3873="","",IF($K3873&gt;MAX($A$8:$A$5007),"",IFERROR(MATCH($K3873,$A$8:$A$5007,1),"")))</f>
        <v/>
      </c>
      <c r="M3873" s="30" t="str">
        <f>IF($L3873="","",INDEX($A$8:$A$5007,$L3873))</f>
        <v/>
      </c>
      <c r="N3873" s="31" t="str">
        <f>IF($L3873="","",INDEX($B$8:$B$5007,$L3873))</f>
        <v/>
      </c>
      <c r="O3873" s="32" t="str">
        <f>IF($M3873="","",IF($K3873-$M3873&gt;7,"",IF($M3873&lt;=$A3873,"",IF(OR($B3873&lt;=0,$N3873&lt;=0),"",($N3873/$B3873)^(365/($M3873-$A3873))-1))))</f>
        <v/>
      </c>
      <c r="P3873" s="31" t="str">
        <f>IF($B3873="","",IF($P3872="",$B3873,MAX($P3872,$B3873)))</f>
        <v/>
      </c>
      <c r="Q3873" s="32" t="str">
        <f>IF($P3873="","",$B3873/$P3873-1)</f>
        <v/>
      </c>
    </row>
    <row r="3874">
      <c r="A3874" s="11" t="n"/>
      <c r="B3874" s="29" t="n"/>
      <c r="K3874" s="30" t="str">
        <f>IF($A3874="","",EDATE($A3874,12*$E$4))</f>
        <v/>
      </c>
      <c r="L3874" s="19" t="str">
        <f>IF($K3874="","",IF($K3874&gt;MAX($A$8:$A$5007),"",IFERROR(MATCH($K3874,$A$8:$A$5007,1),"")))</f>
        <v/>
      </c>
      <c r="M3874" s="30" t="str">
        <f>IF($L3874="","",INDEX($A$8:$A$5007,$L3874))</f>
        <v/>
      </c>
      <c r="N3874" s="31" t="str">
        <f>IF($L3874="","",INDEX($B$8:$B$5007,$L3874))</f>
        <v/>
      </c>
      <c r="O3874" s="32" t="str">
        <f>IF($M3874="","",IF($K3874-$M3874&gt;7,"",IF($M3874&lt;=$A3874,"",IF(OR($B3874&lt;=0,$N3874&lt;=0),"",($N3874/$B3874)^(365/($M3874-$A3874))-1))))</f>
        <v/>
      </c>
      <c r="P3874" s="31" t="str">
        <f>IF($B3874="","",IF($P3873="",$B3874,MAX($P3873,$B3874)))</f>
        <v/>
      </c>
      <c r="Q3874" s="32" t="str">
        <f>IF($P3874="","",$B3874/$P3874-1)</f>
        <v/>
      </c>
    </row>
    <row r="3875">
      <c r="A3875" s="11" t="n"/>
      <c r="B3875" s="29" t="n"/>
      <c r="K3875" s="30" t="str">
        <f>IF($A3875="","",EDATE($A3875,12*$E$4))</f>
        <v/>
      </c>
      <c r="L3875" s="19" t="str">
        <f>IF($K3875="","",IF($K3875&gt;MAX($A$8:$A$5007),"",IFERROR(MATCH($K3875,$A$8:$A$5007,1),"")))</f>
        <v/>
      </c>
      <c r="M3875" s="30" t="str">
        <f>IF($L3875="","",INDEX($A$8:$A$5007,$L3875))</f>
        <v/>
      </c>
      <c r="N3875" s="31" t="str">
        <f>IF($L3875="","",INDEX($B$8:$B$5007,$L3875))</f>
        <v/>
      </c>
      <c r="O3875" s="32" t="str">
        <f>IF($M3875="","",IF($K3875-$M3875&gt;7,"",IF($M3875&lt;=$A3875,"",IF(OR($B3875&lt;=0,$N3875&lt;=0),"",($N3875/$B3875)^(365/($M3875-$A3875))-1))))</f>
        <v/>
      </c>
      <c r="P3875" s="31" t="str">
        <f>IF($B3875="","",IF($P3874="",$B3875,MAX($P3874,$B3875)))</f>
        <v/>
      </c>
      <c r="Q3875" s="32" t="str">
        <f>IF($P3875="","",$B3875/$P3875-1)</f>
        <v/>
      </c>
    </row>
    <row r="3876">
      <c r="A3876" s="11" t="n"/>
      <c r="B3876" s="29" t="n"/>
      <c r="K3876" s="30" t="str">
        <f>IF($A3876="","",EDATE($A3876,12*$E$4))</f>
        <v/>
      </c>
      <c r="L3876" s="19" t="str">
        <f>IF($K3876="","",IF($K3876&gt;MAX($A$8:$A$5007),"",IFERROR(MATCH($K3876,$A$8:$A$5007,1),"")))</f>
        <v/>
      </c>
      <c r="M3876" s="30" t="str">
        <f>IF($L3876="","",INDEX($A$8:$A$5007,$L3876))</f>
        <v/>
      </c>
      <c r="N3876" s="31" t="str">
        <f>IF($L3876="","",INDEX($B$8:$B$5007,$L3876))</f>
        <v/>
      </c>
      <c r="O3876" s="32" t="str">
        <f>IF($M3876="","",IF($K3876-$M3876&gt;7,"",IF($M3876&lt;=$A3876,"",IF(OR($B3876&lt;=0,$N3876&lt;=0),"",($N3876/$B3876)^(365/($M3876-$A3876))-1))))</f>
        <v/>
      </c>
      <c r="P3876" s="31" t="str">
        <f>IF($B3876="","",IF($P3875="",$B3876,MAX($P3875,$B3876)))</f>
        <v/>
      </c>
      <c r="Q3876" s="32" t="str">
        <f>IF($P3876="","",$B3876/$P3876-1)</f>
        <v/>
      </c>
    </row>
    <row r="3877">
      <c r="A3877" s="11" t="n"/>
      <c r="B3877" s="29" t="n"/>
      <c r="K3877" s="30" t="str">
        <f>IF($A3877="","",EDATE($A3877,12*$E$4))</f>
        <v/>
      </c>
      <c r="L3877" s="19" t="str">
        <f>IF($K3877="","",IF($K3877&gt;MAX($A$8:$A$5007),"",IFERROR(MATCH($K3877,$A$8:$A$5007,1),"")))</f>
        <v/>
      </c>
      <c r="M3877" s="30" t="str">
        <f>IF($L3877="","",INDEX($A$8:$A$5007,$L3877))</f>
        <v/>
      </c>
      <c r="N3877" s="31" t="str">
        <f>IF($L3877="","",INDEX($B$8:$B$5007,$L3877))</f>
        <v/>
      </c>
      <c r="O3877" s="32" t="str">
        <f>IF($M3877="","",IF($K3877-$M3877&gt;7,"",IF($M3877&lt;=$A3877,"",IF(OR($B3877&lt;=0,$N3877&lt;=0),"",($N3877/$B3877)^(365/($M3877-$A3877))-1))))</f>
        <v/>
      </c>
      <c r="P3877" s="31" t="str">
        <f>IF($B3877="","",IF($P3876="",$B3877,MAX($P3876,$B3877)))</f>
        <v/>
      </c>
      <c r="Q3877" s="32" t="str">
        <f>IF($P3877="","",$B3877/$P3877-1)</f>
        <v/>
      </c>
    </row>
    <row r="3878">
      <c r="A3878" s="11" t="n"/>
      <c r="B3878" s="29" t="n"/>
      <c r="K3878" s="30" t="str">
        <f>IF($A3878="","",EDATE($A3878,12*$E$4))</f>
        <v/>
      </c>
      <c r="L3878" s="19" t="str">
        <f>IF($K3878="","",IF($K3878&gt;MAX($A$8:$A$5007),"",IFERROR(MATCH($K3878,$A$8:$A$5007,1),"")))</f>
        <v/>
      </c>
      <c r="M3878" s="30" t="str">
        <f>IF($L3878="","",INDEX($A$8:$A$5007,$L3878))</f>
        <v/>
      </c>
      <c r="N3878" s="31" t="str">
        <f>IF($L3878="","",INDEX($B$8:$B$5007,$L3878))</f>
        <v/>
      </c>
      <c r="O3878" s="32" t="str">
        <f>IF($M3878="","",IF($K3878-$M3878&gt;7,"",IF($M3878&lt;=$A3878,"",IF(OR($B3878&lt;=0,$N3878&lt;=0),"",($N3878/$B3878)^(365/($M3878-$A3878))-1))))</f>
        <v/>
      </c>
      <c r="P3878" s="31" t="str">
        <f>IF($B3878="","",IF($P3877="",$B3878,MAX($P3877,$B3878)))</f>
        <v/>
      </c>
      <c r="Q3878" s="32" t="str">
        <f>IF($P3878="","",$B3878/$P3878-1)</f>
        <v/>
      </c>
    </row>
    <row r="3879">
      <c r="A3879" s="11" t="n"/>
      <c r="B3879" s="29" t="n"/>
      <c r="K3879" s="30" t="str">
        <f>IF($A3879="","",EDATE($A3879,12*$E$4))</f>
        <v/>
      </c>
      <c r="L3879" s="19" t="str">
        <f>IF($K3879="","",IF($K3879&gt;MAX($A$8:$A$5007),"",IFERROR(MATCH($K3879,$A$8:$A$5007,1),"")))</f>
        <v/>
      </c>
      <c r="M3879" s="30" t="str">
        <f>IF($L3879="","",INDEX($A$8:$A$5007,$L3879))</f>
        <v/>
      </c>
      <c r="N3879" s="31" t="str">
        <f>IF($L3879="","",INDEX($B$8:$B$5007,$L3879))</f>
        <v/>
      </c>
      <c r="O3879" s="32" t="str">
        <f>IF($M3879="","",IF($K3879-$M3879&gt;7,"",IF($M3879&lt;=$A3879,"",IF(OR($B3879&lt;=0,$N3879&lt;=0),"",($N3879/$B3879)^(365/($M3879-$A3879))-1))))</f>
        <v/>
      </c>
      <c r="P3879" s="31" t="str">
        <f>IF($B3879="","",IF($P3878="",$B3879,MAX($P3878,$B3879)))</f>
        <v/>
      </c>
      <c r="Q3879" s="32" t="str">
        <f>IF($P3879="","",$B3879/$P3879-1)</f>
        <v/>
      </c>
    </row>
    <row r="3880">
      <c r="A3880" s="11" t="n"/>
      <c r="B3880" s="29" t="n"/>
      <c r="K3880" s="30" t="str">
        <f>IF($A3880="","",EDATE($A3880,12*$E$4))</f>
        <v/>
      </c>
      <c r="L3880" s="19" t="str">
        <f>IF($K3880="","",IF($K3880&gt;MAX($A$8:$A$5007),"",IFERROR(MATCH($K3880,$A$8:$A$5007,1),"")))</f>
        <v/>
      </c>
      <c r="M3880" s="30" t="str">
        <f>IF($L3880="","",INDEX($A$8:$A$5007,$L3880))</f>
        <v/>
      </c>
      <c r="N3880" s="31" t="str">
        <f>IF($L3880="","",INDEX($B$8:$B$5007,$L3880))</f>
        <v/>
      </c>
      <c r="O3880" s="32" t="str">
        <f>IF($M3880="","",IF($K3880-$M3880&gt;7,"",IF($M3880&lt;=$A3880,"",IF(OR($B3880&lt;=0,$N3880&lt;=0),"",($N3880/$B3880)^(365/($M3880-$A3880))-1))))</f>
        <v/>
      </c>
      <c r="P3880" s="31" t="str">
        <f>IF($B3880="","",IF($P3879="",$B3880,MAX($P3879,$B3880)))</f>
        <v/>
      </c>
      <c r="Q3880" s="32" t="str">
        <f>IF($P3880="","",$B3880/$P3880-1)</f>
        <v/>
      </c>
    </row>
    <row r="3881">
      <c r="A3881" s="11" t="n"/>
      <c r="B3881" s="29" t="n"/>
      <c r="K3881" s="30" t="str">
        <f>IF($A3881="","",EDATE($A3881,12*$E$4))</f>
        <v/>
      </c>
      <c r="L3881" s="19" t="str">
        <f>IF($K3881="","",IF($K3881&gt;MAX($A$8:$A$5007),"",IFERROR(MATCH($K3881,$A$8:$A$5007,1),"")))</f>
        <v/>
      </c>
      <c r="M3881" s="30" t="str">
        <f>IF($L3881="","",INDEX($A$8:$A$5007,$L3881))</f>
        <v/>
      </c>
      <c r="N3881" s="31" t="str">
        <f>IF($L3881="","",INDEX($B$8:$B$5007,$L3881))</f>
        <v/>
      </c>
      <c r="O3881" s="32" t="str">
        <f>IF($M3881="","",IF($K3881-$M3881&gt;7,"",IF($M3881&lt;=$A3881,"",IF(OR($B3881&lt;=0,$N3881&lt;=0),"",($N3881/$B3881)^(365/($M3881-$A3881))-1))))</f>
        <v/>
      </c>
      <c r="P3881" s="31" t="str">
        <f>IF($B3881="","",IF($P3880="",$B3881,MAX($P3880,$B3881)))</f>
        <v/>
      </c>
      <c r="Q3881" s="32" t="str">
        <f>IF($P3881="","",$B3881/$P3881-1)</f>
        <v/>
      </c>
    </row>
    <row r="3882">
      <c r="A3882" s="11" t="n"/>
      <c r="B3882" s="29" t="n"/>
      <c r="K3882" s="30" t="str">
        <f>IF($A3882="","",EDATE($A3882,12*$E$4))</f>
        <v/>
      </c>
      <c r="L3882" s="19" t="str">
        <f>IF($K3882="","",IF($K3882&gt;MAX($A$8:$A$5007),"",IFERROR(MATCH($K3882,$A$8:$A$5007,1),"")))</f>
        <v/>
      </c>
      <c r="M3882" s="30" t="str">
        <f>IF($L3882="","",INDEX($A$8:$A$5007,$L3882))</f>
        <v/>
      </c>
      <c r="N3882" s="31" t="str">
        <f>IF($L3882="","",INDEX($B$8:$B$5007,$L3882))</f>
        <v/>
      </c>
      <c r="O3882" s="32" t="str">
        <f>IF($M3882="","",IF($K3882-$M3882&gt;7,"",IF($M3882&lt;=$A3882,"",IF(OR($B3882&lt;=0,$N3882&lt;=0),"",($N3882/$B3882)^(365/($M3882-$A3882))-1))))</f>
        <v/>
      </c>
      <c r="P3882" s="31" t="str">
        <f>IF($B3882="","",IF($P3881="",$B3882,MAX($P3881,$B3882)))</f>
        <v/>
      </c>
      <c r="Q3882" s="32" t="str">
        <f>IF($P3882="","",$B3882/$P3882-1)</f>
        <v/>
      </c>
    </row>
    <row r="3883">
      <c r="A3883" s="11" t="n"/>
      <c r="B3883" s="29" t="n"/>
      <c r="K3883" s="30" t="str">
        <f>IF($A3883="","",EDATE($A3883,12*$E$4))</f>
        <v/>
      </c>
      <c r="L3883" s="19" t="str">
        <f>IF($K3883="","",IF($K3883&gt;MAX($A$8:$A$5007),"",IFERROR(MATCH($K3883,$A$8:$A$5007,1),"")))</f>
        <v/>
      </c>
      <c r="M3883" s="30" t="str">
        <f>IF($L3883="","",INDEX($A$8:$A$5007,$L3883))</f>
        <v/>
      </c>
      <c r="N3883" s="31" t="str">
        <f>IF($L3883="","",INDEX($B$8:$B$5007,$L3883))</f>
        <v/>
      </c>
      <c r="O3883" s="32" t="str">
        <f>IF($M3883="","",IF($K3883-$M3883&gt;7,"",IF($M3883&lt;=$A3883,"",IF(OR($B3883&lt;=0,$N3883&lt;=0),"",($N3883/$B3883)^(365/($M3883-$A3883))-1))))</f>
        <v/>
      </c>
      <c r="P3883" s="31" t="str">
        <f>IF($B3883="","",IF($P3882="",$B3883,MAX($P3882,$B3883)))</f>
        <v/>
      </c>
      <c r="Q3883" s="32" t="str">
        <f>IF($P3883="","",$B3883/$P3883-1)</f>
        <v/>
      </c>
    </row>
    <row r="3884">
      <c r="A3884" s="11" t="n"/>
      <c r="B3884" s="29" t="n"/>
      <c r="K3884" s="30" t="str">
        <f>IF($A3884="","",EDATE($A3884,12*$E$4))</f>
        <v/>
      </c>
      <c r="L3884" s="19" t="str">
        <f>IF($K3884="","",IF($K3884&gt;MAX($A$8:$A$5007),"",IFERROR(MATCH($K3884,$A$8:$A$5007,1),"")))</f>
        <v/>
      </c>
      <c r="M3884" s="30" t="str">
        <f>IF($L3884="","",INDEX($A$8:$A$5007,$L3884))</f>
        <v/>
      </c>
      <c r="N3884" s="31" t="str">
        <f>IF($L3884="","",INDEX($B$8:$B$5007,$L3884))</f>
        <v/>
      </c>
      <c r="O3884" s="32" t="str">
        <f>IF($M3884="","",IF($K3884-$M3884&gt;7,"",IF($M3884&lt;=$A3884,"",IF(OR($B3884&lt;=0,$N3884&lt;=0),"",($N3884/$B3884)^(365/($M3884-$A3884))-1))))</f>
        <v/>
      </c>
      <c r="P3884" s="31" t="str">
        <f>IF($B3884="","",IF($P3883="",$B3884,MAX($P3883,$B3884)))</f>
        <v/>
      </c>
      <c r="Q3884" s="32" t="str">
        <f>IF($P3884="","",$B3884/$P3884-1)</f>
        <v/>
      </c>
    </row>
    <row r="3885">
      <c r="A3885" s="11" t="n"/>
      <c r="B3885" s="29" t="n"/>
      <c r="K3885" s="30" t="str">
        <f>IF($A3885="","",EDATE($A3885,12*$E$4))</f>
        <v/>
      </c>
      <c r="L3885" s="19" t="str">
        <f>IF($K3885="","",IF($K3885&gt;MAX($A$8:$A$5007),"",IFERROR(MATCH($K3885,$A$8:$A$5007,1),"")))</f>
        <v/>
      </c>
      <c r="M3885" s="30" t="str">
        <f>IF($L3885="","",INDEX($A$8:$A$5007,$L3885))</f>
        <v/>
      </c>
      <c r="N3885" s="31" t="str">
        <f>IF($L3885="","",INDEX($B$8:$B$5007,$L3885))</f>
        <v/>
      </c>
      <c r="O3885" s="32" t="str">
        <f>IF($M3885="","",IF($K3885-$M3885&gt;7,"",IF($M3885&lt;=$A3885,"",IF(OR($B3885&lt;=0,$N3885&lt;=0),"",($N3885/$B3885)^(365/($M3885-$A3885))-1))))</f>
        <v/>
      </c>
      <c r="P3885" s="31" t="str">
        <f>IF($B3885="","",IF($P3884="",$B3885,MAX($P3884,$B3885)))</f>
        <v/>
      </c>
      <c r="Q3885" s="32" t="str">
        <f>IF($P3885="","",$B3885/$P3885-1)</f>
        <v/>
      </c>
    </row>
    <row r="3886">
      <c r="A3886" s="11" t="n"/>
      <c r="B3886" s="29" t="n"/>
      <c r="K3886" s="30" t="str">
        <f>IF($A3886="","",EDATE($A3886,12*$E$4))</f>
        <v/>
      </c>
      <c r="L3886" s="19" t="str">
        <f>IF($K3886="","",IF($K3886&gt;MAX($A$8:$A$5007),"",IFERROR(MATCH($K3886,$A$8:$A$5007,1),"")))</f>
        <v/>
      </c>
      <c r="M3886" s="30" t="str">
        <f>IF($L3886="","",INDEX($A$8:$A$5007,$L3886))</f>
        <v/>
      </c>
      <c r="N3886" s="31" t="str">
        <f>IF($L3886="","",INDEX($B$8:$B$5007,$L3886))</f>
        <v/>
      </c>
      <c r="O3886" s="32" t="str">
        <f>IF($M3886="","",IF($K3886-$M3886&gt;7,"",IF($M3886&lt;=$A3886,"",IF(OR($B3886&lt;=0,$N3886&lt;=0),"",($N3886/$B3886)^(365/($M3886-$A3886))-1))))</f>
        <v/>
      </c>
      <c r="P3886" s="31" t="str">
        <f>IF($B3886="","",IF($P3885="",$B3886,MAX($P3885,$B3886)))</f>
        <v/>
      </c>
      <c r="Q3886" s="32" t="str">
        <f>IF($P3886="","",$B3886/$P3886-1)</f>
        <v/>
      </c>
    </row>
    <row r="3887">
      <c r="A3887" s="11" t="n"/>
      <c r="B3887" s="29" t="n"/>
      <c r="K3887" s="30" t="str">
        <f>IF($A3887="","",EDATE($A3887,12*$E$4))</f>
        <v/>
      </c>
      <c r="L3887" s="19" t="str">
        <f>IF($K3887="","",IF($K3887&gt;MAX($A$8:$A$5007),"",IFERROR(MATCH($K3887,$A$8:$A$5007,1),"")))</f>
        <v/>
      </c>
      <c r="M3887" s="30" t="str">
        <f>IF($L3887="","",INDEX($A$8:$A$5007,$L3887))</f>
        <v/>
      </c>
      <c r="N3887" s="31" t="str">
        <f>IF($L3887="","",INDEX($B$8:$B$5007,$L3887))</f>
        <v/>
      </c>
      <c r="O3887" s="32" t="str">
        <f>IF($M3887="","",IF($K3887-$M3887&gt;7,"",IF($M3887&lt;=$A3887,"",IF(OR($B3887&lt;=0,$N3887&lt;=0),"",($N3887/$B3887)^(365/($M3887-$A3887))-1))))</f>
        <v/>
      </c>
      <c r="P3887" s="31" t="str">
        <f>IF($B3887="","",IF($P3886="",$B3887,MAX($P3886,$B3887)))</f>
        <v/>
      </c>
      <c r="Q3887" s="32" t="str">
        <f>IF($P3887="","",$B3887/$P3887-1)</f>
        <v/>
      </c>
    </row>
    <row r="3888">
      <c r="A3888" s="11" t="n"/>
      <c r="B3888" s="29" t="n"/>
      <c r="K3888" s="30" t="str">
        <f>IF($A3888="","",EDATE($A3888,12*$E$4))</f>
        <v/>
      </c>
      <c r="L3888" s="19" t="str">
        <f>IF($K3888="","",IF($K3888&gt;MAX($A$8:$A$5007),"",IFERROR(MATCH($K3888,$A$8:$A$5007,1),"")))</f>
        <v/>
      </c>
      <c r="M3888" s="30" t="str">
        <f>IF($L3888="","",INDEX($A$8:$A$5007,$L3888))</f>
        <v/>
      </c>
      <c r="N3888" s="31" t="str">
        <f>IF($L3888="","",INDEX($B$8:$B$5007,$L3888))</f>
        <v/>
      </c>
      <c r="O3888" s="32" t="str">
        <f>IF($M3888="","",IF($K3888-$M3888&gt;7,"",IF($M3888&lt;=$A3888,"",IF(OR($B3888&lt;=0,$N3888&lt;=0),"",($N3888/$B3888)^(365/($M3888-$A3888))-1))))</f>
        <v/>
      </c>
      <c r="P3888" s="31" t="str">
        <f>IF($B3888="","",IF($P3887="",$B3888,MAX($P3887,$B3888)))</f>
        <v/>
      </c>
      <c r="Q3888" s="32" t="str">
        <f>IF($P3888="","",$B3888/$P3888-1)</f>
        <v/>
      </c>
    </row>
    <row r="3889">
      <c r="A3889" s="11" t="n"/>
      <c r="B3889" s="29" t="n"/>
      <c r="K3889" s="30" t="str">
        <f>IF($A3889="","",EDATE($A3889,12*$E$4))</f>
        <v/>
      </c>
      <c r="L3889" s="19" t="str">
        <f>IF($K3889="","",IF($K3889&gt;MAX($A$8:$A$5007),"",IFERROR(MATCH($K3889,$A$8:$A$5007,1),"")))</f>
        <v/>
      </c>
      <c r="M3889" s="30" t="str">
        <f>IF($L3889="","",INDEX($A$8:$A$5007,$L3889))</f>
        <v/>
      </c>
      <c r="N3889" s="31" t="str">
        <f>IF($L3889="","",INDEX($B$8:$B$5007,$L3889))</f>
        <v/>
      </c>
      <c r="O3889" s="32" t="str">
        <f>IF($M3889="","",IF($K3889-$M3889&gt;7,"",IF($M3889&lt;=$A3889,"",IF(OR($B3889&lt;=0,$N3889&lt;=0),"",($N3889/$B3889)^(365/($M3889-$A3889))-1))))</f>
        <v/>
      </c>
      <c r="P3889" s="31" t="str">
        <f>IF($B3889="","",IF($P3888="",$B3889,MAX($P3888,$B3889)))</f>
        <v/>
      </c>
      <c r="Q3889" s="32" t="str">
        <f>IF($P3889="","",$B3889/$P3889-1)</f>
        <v/>
      </c>
    </row>
    <row r="3890">
      <c r="A3890" s="11" t="n"/>
      <c r="B3890" s="29" t="n"/>
      <c r="K3890" s="30" t="str">
        <f>IF($A3890="","",EDATE($A3890,12*$E$4))</f>
        <v/>
      </c>
      <c r="L3890" s="19" t="str">
        <f>IF($K3890="","",IF($K3890&gt;MAX($A$8:$A$5007),"",IFERROR(MATCH($K3890,$A$8:$A$5007,1),"")))</f>
        <v/>
      </c>
      <c r="M3890" s="30" t="str">
        <f>IF($L3890="","",INDEX($A$8:$A$5007,$L3890))</f>
        <v/>
      </c>
      <c r="N3890" s="31" t="str">
        <f>IF($L3890="","",INDEX($B$8:$B$5007,$L3890))</f>
        <v/>
      </c>
      <c r="O3890" s="32" t="str">
        <f>IF($M3890="","",IF($K3890-$M3890&gt;7,"",IF($M3890&lt;=$A3890,"",IF(OR($B3890&lt;=0,$N3890&lt;=0),"",($N3890/$B3890)^(365/($M3890-$A3890))-1))))</f>
        <v/>
      </c>
      <c r="P3890" s="31" t="str">
        <f>IF($B3890="","",IF($P3889="",$B3890,MAX($P3889,$B3890)))</f>
        <v/>
      </c>
      <c r="Q3890" s="32" t="str">
        <f>IF($P3890="","",$B3890/$P3890-1)</f>
        <v/>
      </c>
    </row>
    <row r="3891">
      <c r="A3891" s="11" t="n"/>
      <c r="B3891" s="29" t="n"/>
      <c r="K3891" s="30" t="str">
        <f>IF($A3891="","",EDATE($A3891,12*$E$4))</f>
        <v/>
      </c>
      <c r="L3891" s="19" t="str">
        <f>IF($K3891="","",IF($K3891&gt;MAX($A$8:$A$5007),"",IFERROR(MATCH($K3891,$A$8:$A$5007,1),"")))</f>
        <v/>
      </c>
      <c r="M3891" s="30" t="str">
        <f>IF($L3891="","",INDEX($A$8:$A$5007,$L3891))</f>
        <v/>
      </c>
      <c r="N3891" s="31" t="str">
        <f>IF($L3891="","",INDEX($B$8:$B$5007,$L3891))</f>
        <v/>
      </c>
      <c r="O3891" s="32" t="str">
        <f>IF($M3891="","",IF($K3891-$M3891&gt;7,"",IF($M3891&lt;=$A3891,"",IF(OR($B3891&lt;=0,$N3891&lt;=0),"",($N3891/$B3891)^(365/($M3891-$A3891))-1))))</f>
        <v/>
      </c>
      <c r="P3891" s="31" t="str">
        <f>IF($B3891="","",IF($P3890="",$B3891,MAX($P3890,$B3891)))</f>
        <v/>
      </c>
      <c r="Q3891" s="32" t="str">
        <f>IF($P3891="","",$B3891/$P3891-1)</f>
        <v/>
      </c>
    </row>
    <row r="3892">
      <c r="A3892" s="11" t="n"/>
      <c r="B3892" s="29" t="n"/>
      <c r="K3892" s="30" t="str">
        <f>IF($A3892="","",EDATE($A3892,12*$E$4))</f>
        <v/>
      </c>
      <c r="L3892" s="19" t="str">
        <f>IF($K3892="","",IF($K3892&gt;MAX($A$8:$A$5007),"",IFERROR(MATCH($K3892,$A$8:$A$5007,1),"")))</f>
        <v/>
      </c>
      <c r="M3892" s="30" t="str">
        <f>IF($L3892="","",INDEX($A$8:$A$5007,$L3892))</f>
        <v/>
      </c>
      <c r="N3892" s="31" t="str">
        <f>IF($L3892="","",INDEX($B$8:$B$5007,$L3892))</f>
        <v/>
      </c>
      <c r="O3892" s="32" t="str">
        <f>IF($M3892="","",IF($K3892-$M3892&gt;7,"",IF($M3892&lt;=$A3892,"",IF(OR($B3892&lt;=0,$N3892&lt;=0),"",($N3892/$B3892)^(365/($M3892-$A3892))-1))))</f>
        <v/>
      </c>
      <c r="P3892" s="31" t="str">
        <f>IF($B3892="","",IF($P3891="",$B3892,MAX($P3891,$B3892)))</f>
        <v/>
      </c>
      <c r="Q3892" s="32" t="str">
        <f>IF($P3892="","",$B3892/$P3892-1)</f>
        <v/>
      </c>
    </row>
    <row r="3893">
      <c r="A3893" s="11" t="n"/>
      <c r="B3893" s="29" t="n"/>
      <c r="K3893" s="30" t="str">
        <f>IF($A3893="","",EDATE($A3893,12*$E$4))</f>
        <v/>
      </c>
      <c r="L3893" s="19" t="str">
        <f>IF($K3893="","",IF($K3893&gt;MAX($A$8:$A$5007),"",IFERROR(MATCH($K3893,$A$8:$A$5007,1),"")))</f>
        <v/>
      </c>
      <c r="M3893" s="30" t="str">
        <f>IF($L3893="","",INDEX($A$8:$A$5007,$L3893))</f>
        <v/>
      </c>
      <c r="N3893" s="31" t="str">
        <f>IF($L3893="","",INDEX($B$8:$B$5007,$L3893))</f>
        <v/>
      </c>
      <c r="O3893" s="32" t="str">
        <f>IF($M3893="","",IF($K3893-$M3893&gt;7,"",IF($M3893&lt;=$A3893,"",IF(OR($B3893&lt;=0,$N3893&lt;=0),"",($N3893/$B3893)^(365/($M3893-$A3893))-1))))</f>
        <v/>
      </c>
      <c r="P3893" s="31" t="str">
        <f>IF($B3893="","",IF($P3892="",$B3893,MAX($P3892,$B3893)))</f>
        <v/>
      </c>
      <c r="Q3893" s="32" t="str">
        <f>IF($P3893="","",$B3893/$P3893-1)</f>
        <v/>
      </c>
    </row>
    <row r="3894">
      <c r="A3894" s="11" t="n"/>
      <c r="B3894" s="29" t="n"/>
      <c r="K3894" s="30" t="str">
        <f>IF($A3894="","",EDATE($A3894,12*$E$4))</f>
        <v/>
      </c>
      <c r="L3894" s="19" t="str">
        <f>IF($K3894="","",IF($K3894&gt;MAX($A$8:$A$5007),"",IFERROR(MATCH($K3894,$A$8:$A$5007,1),"")))</f>
        <v/>
      </c>
      <c r="M3894" s="30" t="str">
        <f>IF($L3894="","",INDEX($A$8:$A$5007,$L3894))</f>
        <v/>
      </c>
      <c r="N3894" s="31" t="str">
        <f>IF($L3894="","",INDEX($B$8:$B$5007,$L3894))</f>
        <v/>
      </c>
      <c r="O3894" s="32" t="str">
        <f>IF($M3894="","",IF($K3894-$M3894&gt;7,"",IF($M3894&lt;=$A3894,"",IF(OR($B3894&lt;=0,$N3894&lt;=0),"",($N3894/$B3894)^(365/($M3894-$A3894))-1))))</f>
        <v/>
      </c>
      <c r="P3894" s="31" t="str">
        <f>IF($B3894="","",IF($P3893="",$B3894,MAX($P3893,$B3894)))</f>
        <v/>
      </c>
      <c r="Q3894" s="32" t="str">
        <f>IF($P3894="","",$B3894/$P3894-1)</f>
        <v/>
      </c>
    </row>
    <row r="3895">
      <c r="A3895" s="11" t="n"/>
      <c r="B3895" s="29" t="n"/>
      <c r="K3895" s="30" t="str">
        <f>IF($A3895="","",EDATE($A3895,12*$E$4))</f>
        <v/>
      </c>
      <c r="L3895" s="19" t="str">
        <f>IF($K3895="","",IF($K3895&gt;MAX($A$8:$A$5007),"",IFERROR(MATCH($K3895,$A$8:$A$5007,1),"")))</f>
        <v/>
      </c>
      <c r="M3895" s="30" t="str">
        <f>IF($L3895="","",INDEX($A$8:$A$5007,$L3895))</f>
        <v/>
      </c>
      <c r="N3895" s="31" t="str">
        <f>IF($L3895="","",INDEX($B$8:$B$5007,$L3895))</f>
        <v/>
      </c>
      <c r="O3895" s="32" t="str">
        <f>IF($M3895="","",IF($K3895-$M3895&gt;7,"",IF($M3895&lt;=$A3895,"",IF(OR($B3895&lt;=0,$N3895&lt;=0),"",($N3895/$B3895)^(365/($M3895-$A3895))-1))))</f>
        <v/>
      </c>
      <c r="P3895" s="31" t="str">
        <f>IF($B3895="","",IF($P3894="",$B3895,MAX($P3894,$B3895)))</f>
        <v/>
      </c>
      <c r="Q3895" s="32" t="str">
        <f>IF($P3895="","",$B3895/$P3895-1)</f>
        <v/>
      </c>
    </row>
    <row r="3896">
      <c r="A3896" s="11" t="n"/>
      <c r="B3896" s="29" t="n"/>
      <c r="K3896" s="30" t="str">
        <f>IF($A3896="","",EDATE($A3896,12*$E$4))</f>
        <v/>
      </c>
      <c r="L3896" s="19" t="str">
        <f>IF($K3896="","",IF($K3896&gt;MAX($A$8:$A$5007),"",IFERROR(MATCH($K3896,$A$8:$A$5007,1),"")))</f>
        <v/>
      </c>
      <c r="M3896" s="30" t="str">
        <f>IF($L3896="","",INDEX($A$8:$A$5007,$L3896))</f>
        <v/>
      </c>
      <c r="N3896" s="31" t="str">
        <f>IF($L3896="","",INDEX($B$8:$B$5007,$L3896))</f>
        <v/>
      </c>
      <c r="O3896" s="32" t="str">
        <f>IF($M3896="","",IF($K3896-$M3896&gt;7,"",IF($M3896&lt;=$A3896,"",IF(OR($B3896&lt;=0,$N3896&lt;=0),"",($N3896/$B3896)^(365/($M3896-$A3896))-1))))</f>
        <v/>
      </c>
      <c r="P3896" s="31" t="str">
        <f>IF($B3896="","",IF($P3895="",$B3896,MAX($P3895,$B3896)))</f>
        <v/>
      </c>
      <c r="Q3896" s="32" t="str">
        <f>IF($P3896="","",$B3896/$P3896-1)</f>
        <v/>
      </c>
    </row>
    <row r="3897">
      <c r="A3897" s="11" t="n"/>
      <c r="B3897" s="29" t="n"/>
      <c r="K3897" s="30" t="str">
        <f>IF($A3897="","",EDATE($A3897,12*$E$4))</f>
        <v/>
      </c>
      <c r="L3897" s="19" t="str">
        <f>IF($K3897="","",IF($K3897&gt;MAX($A$8:$A$5007),"",IFERROR(MATCH($K3897,$A$8:$A$5007,1),"")))</f>
        <v/>
      </c>
      <c r="M3897" s="30" t="str">
        <f>IF($L3897="","",INDEX($A$8:$A$5007,$L3897))</f>
        <v/>
      </c>
      <c r="N3897" s="31" t="str">
        <f>IF($L3897="","",INDEX($B$8:$B$5007,$L3897))</f>
        <v/>
      </c>
      <c r="O3897" s="32" t="str">
        <f>IF($M3897="","",IF($K3897-$M3897&gt;7,"",IF($M3897&lt;=$A3897,"",IF(OR($B3897&lt;=0,$N3897&lt;=0),"",($N3897/$B3897)^(365/($M3897-$A3897))-1))))</f>
        <v/>
      </c>
      <c r="P3897" s="31" t="str">
        <f>IF($B3897="","",IF($P3896="",$B3897,MAX($P3896,$B3897)))</f>
        <v/>
      </c>
      <c r="Q3897" s="32" t="str">
        <f>IF($P3897="","",$B3897/$P3897-1)</f>
        <v/>
      </c>
    </row>
    <row r="3898">
      <c r="A3898" s="11" t="n"/>
      <c r="B3898" s="29" t="n"/>
      <c r="K3898" s="30" t="str">
        <f>IF($A3898="","",EDATE($A3898,12*$E$4))</f>
        <v/>
      </c>
      <c r="L3898" s="19" t="str">
        <f>IF($K3898="","",IF($K3898&gt;MAX($A$8:$A$5007),"",IFERROR(MATCH($K3898,$A$8:$A$5007,1),"")))</f>
        <v/>
      </c>
      <c r="M3898" s="30" t="str">
        <f>IF($L3898="","",INDEX($A$8:$A$5007,$L3898))</f>
        <v/>
      </c>
      <c r="N3898" s="31" t="str">
        <f>IF($L3898="","",INDEX($B$8:$B$5007,$L3898))</f>
        <v/>
      </c>
      <c r="O3898" s="32" t="str">
        <f>IF($M3898="","",IF($K3898-$M3898&gt;7,"",IF($M3898&lt;=$A3898,"",IF(OR($B3898&lt;=0,$N3898&lt;=0),"",($N3898/$B3898)^(365/($M3898-$A3898))-1))))</f>
        <v/>
      </c>
      <c r="P3898" s="31" t="str">
        <f>IF($B3898="","",IF($P3897="",$B3898,MAX($P3897,$B3898)))</f>
        <v/>
      </c>
      <c r="Q3898" s="32" t="str">
        <f>IF($P3898="","",$B3898/$P3898-1)</f>
        <v/>
      </c>
    </row>
    <row r="3899">
      <c r="A3899" s="11" t="n"/>
      <c r="B3899" s="29" t="n"/>
      <c r="K3899" s="30" t="str">
        <f>IF($A3899="","",EDATE($A3899,12*$E$4))</f>
        <v/>
      </c>
      <c r="L3899" s="19" t="str">
        <f>IF($K3899="","",IF($K3899&gt;MAX($A$8:$A$5007),"",IFERROR(MATCH($K3899,$A$8:$A$5007,1),"")))</f>
        <v/>
      </c>
      <c r="M3899" s="30" t="str">
        <f>IF($L3899="","",INDEX($A$8:$A$5007,$L3899))</f>
        <v/>
      </c>
      <c r="N3899" s="31" t="str">
        <f>IF($L3899="","",INDEX($B$8:$B$5007,$L3899))</f>
        <v/>
      </c>
      <c r="O3899" s="32" t="str">
        <f>IF($M3899="","",IF($K3899-$M3899&gt;7,"",IF($M3899&lt;=$A3899,"",IF(OR($B3899&lt;=0,$N3899&lt;=0),"",($N3899/$B3899)^(365/($M3899-$A3899))-1))))</f>
        <v/>
      </c>
      <c r="P3899" s="31" t="str">
        <f>IF($B3899="","",IF($P3898="",$B3899,MAX($P3898,$B3899)))</f>
        <v/>
      </c>
      <c r="Q3899" s="32" t="str">
        <f>IF($P3899="","",$B3899/$P3899-1)</f>
        <v/>
      </c>
    </row>
    <row r="3900">
      <c r="A3900" s="11" t="n"/>
      <c r="B3900" s="29" t="n"/>
      <c r="K3900" s="30" t="str">
        <f>IF($A3900="","",EDATE($A3900,12*$E$4))</f>
        <v/>
      </c>
      <c r="L3900" s="19" t="str">
        <f>IF($K3900="","",IF($K3900&gt;MAX($A$8:$A$5007),"",IFERROR(MATCH($K3900,$A$8:$A$5007,1),"")))</f>
        <v/>
      </c>
      <c r="M3900" s="30" t="str">
        <f>IF($L3900="","",INDEX($A$8:$A$5007,$L3900))</f>
        <v/>
      </c>
      <c r="N3900" s="31" t="str">
        <f>IF($L3900="","",INDEX($B$8:$B$5007,$L3900))</f>
        <v/>
      </c>
      <c r="O3900" s="32" t="str">
        <f>IF($M3900="","",IF($K3900-$M3900&gt;7,"",IF($M3900&lt;=$A3900,"",IF(OR($B3900&lt;=0,$N3900&lt;=0),"",($N3900/$B3900)^(365/($M3900-$A3900))-1))))</f>
        <v/>
      </c>
      <c r="P3900" s="31" t="str">
        <f>IF($B3900="","",IF($P3899="",$B3900,MAX($P3899,$B3900)))</f>
        <v/>
      </c>
      <c r="Q3900" s="32" t="str">
        <f>IF($P3900="","",$B3900/$P3900-1)</f>
        <v/>
      </c>
    </row>
    <row r="3901">
      <c r="A3901" s="11" t="n"/>
      <c r="B3901" s="29" t="n"/>
      <c r="K3901" s="30" t="str">
        <f>IF($A3901="","",EDATE($A3901,12*$E$4))</f>
        <v/>
      </c>
      <c r="L3901" s="19" t="str">
        <f>IF($K3901="","",IF($K3901&gt;MAX($A$8:$A$5007),"",IFERROR(MATCH($K3901,$A$8:$A$5007,1),"")))</f>
        <v/>
      </c>
      <c r="M3901" s="30" t="str">
        <f>IF($L3901="","",INDEX($A$8:$A$5007,$L3901))</f>
        <v/>
      </c>
      <c r="N3901" s="31" t="str">
        <f>IF($L3901="","",INDEX($B$8:$B$5007,$L3901))</f>
        <v/>
      </c>
      <c r="O3901" s="32" t="str">
        <f>IF($M3901="","",IF($K3901-$M3901&gt;7,"",IF($M3901&lt;=$A3901,"",IF(OR($B3901&lt;=0,$N3901&lt;=0),"",($N3901/$B3901)^(365/($M3901-$A3901))-1))))</f>
        <v/>
      </c>
      <c r="P3901" s="31" t="str">
        <f>IF($B3901="","",IF($P3900="",$B3901,MAX($P3900,$B3901)))</f>
        <v/>
      </c>
      <c r="Q3901" s="32" t="str">
        <f>IF($P3901="","",$B3901/$P3901-1)</f>
        <v/>
      </c>
    </row>
    <row r="3902">
      <c r="A3902" s="11" t="n"/>
      <c r="B3902" s="29" t="n"/>
      <c r="K3902" s="30" t="str">
        <f>IF($A3902="","",EDATE($A3902,12*$E$4))</f>
        <v/>
      </c>
      <c r="L3902" s="19" t="str">
        <f>IF($K3902="","",IF($K3902&gt;MAX($A$8:$A$5007),"",IFERROR(MATCH($K3902,$A$8:$A$5007,1),"")))</f>
        <v/>
      </c>
      <c r="M3902" s="30" t="str">
        <f>IF($L3902="","",INDEX($A$8:$A$5007,$L3902))</f>
        <v/>
      </c>
      <c r="N3902" s="31" t="str">
        <f>IF($L3902="","",INDEX($B$8:$B$5007,$L3902))</f>
        <v/>
      </c>
      <c r="O3902" s="32" t="str">
        <f>IF($M3902="","",IF($K3902-$M3902&gt;7,"",IF($M3902&lt;=$A3902,"",IF(OR($B3902&lt;=0,$N3902&lt;=0),"",($N3902/$B3902)^(365/($M3902-$A3902))-1))))</f>
        <v/>
      </c>
      <c r="P3902" s="31" t="str">
        <f>IF($B3902="","",IF($P3901="",$B3902,MAX($P3901,$B3902)))</f>
        <v/>
      </c>
      <c r="Q3902" s="32" t="str">
        <f>IF($P3902="","",$B3902/$P3902-1)</f>
        <v/>
      </c>
    </row>
    <row r="3903">
      <c r="A3903" s="11" t="n"/>
      <c r="B3903" s="29" t="n"/>
      <c r="K3903" s="30" t="str">
        <f>IF($A3903="","",EDATE($A3903,12*$E$4))</f>
        <v/>
      </c>
      <c r="L3903" s="19" t="str">
        <f>IF($K3903="","",IF($K3903&gt;MAX($A$8:$A$5007),"",IFERROR(MATCH($K3903,$A$8:$A$5007,1),"")))</f>
        <v/>
      </c>
      <c r="M3903" s="30" t="str">
        <f>IF($L3903="","",INDEX($A$8:$A$5007,$L3903))</f>
        <v/>
      </c>
      <c r="N3903" s="31" t="str">
        <f>IF($L3903="","",INDEX($B$8:$B$5007,$L3903))</f>
        <v/>
      </c>
      <c r="O3903" s="32" t="str">
        <f>IF($M3903="","",IF($K3903-$M3903&gt;7,"",IF($M3903&lt;=$A3903,"",IF(OR($B3903&lt;=0,$N3903&lt;=0),"",($N3903/$B3903)^(365/($M3903-$A3903))-1))))</f>
        <v/>
      </c>
      <c r="P3903" s="31" t="str">
        <f>IF($B3903="","",IF($P3902="",$B3903,MAX($P3902,$B3903)))</f>
        <v/>
      </c>
      <c r="Q3903" s="32" t="str">
        <f>IF($P3903="","",$B3903/$P3903-1)</f>
        <v/>
      </c>
    </row>
    <row r="3904">
      <c r="A3904" s="11" t="n"/>
      <c r="B3904" s="29" t="n"/>
      <c r="K3904" s="30" t="str">
        <f>IF($A3904="","",EDATE($A3904,12*$E$4))</f>
        <v/>
      </c>
      <c r="L3904" s="19" t="str">
        <f>IF($K3904="","",IF($K3904&gt;MAX($A$8:$A$5007),"",IFERROR(MATCH($K3904,$A$8:$A$5007,1),"")))</f>
        <v/>
      </c>
      <c r="M3904" s="30" t="str">
        <f>IF($L3904="","",INDEX($A$8:$A$5007,$L3904))</f>
        <v/>
      </c>
      <c r="N3904" s="31" t="str">
        <f>IF($L3904="","",INDEX($B$8:$B$5007,$L3904))</f>
        <v/>
      </c>
      <c r="O3904" s="32" t="str">
        <f>IF($M3904="","",IF($K3904-$M3904&gt;7,"",IF($M3904&lt;=$A3904,"",IF(OR($B3904&lt;=0,$N3904&lt;=0),"",($N3904/$B3904)^(365/($M3904-$A3904))-1))))</f>
        <v/>
      </c>
      <c r="P3904" s="31" t="str">
        <f>IF($B3904="","",IF($P3903="",$B3904,MAX($P3903,$B3904)))</f>
        <v/>
      </c>
      <c r="Q3904" s="32" t="str">
        <f>IF($P3904="","",$B3904/$P3904-1)</f>
        <v/>
      </c>
    </row>
    <row r="3905">
      <c r="A3905" s="11" t="n"/>
      <c r="B3905" s="29" t="n"/>
      <c r="K3905" s="30" t="str">
        <f>IF($A3905="","",EDATE($A3905,12*$E$4))</f>
        <v/>
      </c>
      <c r="L3905" s="19" t="str">
        <f>IF($K3905="","",IF($K3905&gt;MAX($A$8:$A$5007),"",IFERROR(MATCH($K3905,$A$8:$A$5007,1),"")))</f>
        <v/>
      </c>
      <c r="M3905" s="30" t="str">
        <f>IF($L3905="","",INDEX($A$8:$A$5007,$L3905))</f>
        <v/>
      </c>
      <c r="N3905" s="31" t="str">
        <f>IF($L3905="","",INDEX($B$8:$B$5007,$L3905))</f>
        <v/>
      </c>
      <c r="O3905" s="32" t="str">
        <f>IF($M3905="","",IF($K3905-$M3905&gt;7,"",IF($M3905&lt;=$A3905,"",IF(OR($B3905&lt;=0,$N3905&lt;=0),"",($N3905/$B3905)^(365/($M3905-$A3905))-1))))</f>
        <v/>
      </c>
      <c r="P3905" s="31" t="str">
        <f>IF($B3905="","",IF($P3904="",$B3905,MAX($P3904,$B3905)))</f>
        <v/>
      </c>
      <c r="Q3905" s="32" t="str">
        <f>IF($P3905="","",$B3905/$P3905-1)</f>
        <v/>
      </c>
    </row>
    <row r="3906">
      <c r="A3906" s="11" t="n"/>
      <c r="B3906" s="29" t="n"/>
      <c r="K3906" s="30" t="str">
        <f>IF($A3906="","",EDATE($A3906,12*$E$4))</f>
        <v/>
      </c>
      <c r="L3906" s="19" t="str">
        <f>IF($K3906="","",IF($K3906&gt;MAX($A$8:$A$5007),"",IFERROR(MATCH($K3906,$A$8:$A$5007,1),"")))</f>
        <v/>
      </c>
      <c r="M3906" s="30" t="str">
        <f>IF($L3906="","",INDEX($A$8:$A$5007,$L3906))</f>
        <v/>
      </c>
      <c r="N3906" s="31" t="str">
        <f>IF($L3906="","",INDEX($B$8:$B$5007,$L3906))</f>
        <v/>
      </c>
      <c r="O3906" s="32" t="str">
        <f>IF($M3906="","",IF($K3906-$M3906&gt;7,"",IF($M3906&lt;=$A3906,"",IF(OR($B3906&lt;=0,$N3906&lt;=0),"",($N3906/$B3906)^(365/($M3906-$A3906))-1))))</f>
        <v/>
      </c>
      <c r="P3906" s="31" t="str">
        <f>IF($B3906="","",IF($P3905="",$B3906,MAX($P3905,$B3906)))</f>
        <v/>
      </c>
      <c r="Q3906" s="32" t="str">
        <f>IF($P3906="","",$B3906/$P3906-1)</f>
        <v/>
      </c>
    </row>
    <row r="3907">
      <c r="A3907" s="11" t="n"/>
      <c r="B3907" s="29" t="n"/>
      <c r="K3907" s="30" t="str">
        <f>IF($A3907="","",EDATE($A3907,12*$E$4))</f>
        <v/>
      </c>
      <c r="L3907" s="19" t="str">
        <f>IF($K3907="","",IF($K3907&gt;MAX($A$8:$A$5007),"",IFERROR(MATCH($K3907,$A$8:$A$5007,1),"")))</f>
        <v/>
      </c>
      <c r="M3907" s="30" t="str">
        <f>IF($L3907="","",INDEX($A$8:$A$5007,$L3907))</f>
        <v/>
      </c>
      <c r="N3907" s="31" t="str">
        <f>IF($L3907="","",INDEX($B$8:$B$5007,$L3907))</f>
        <v/>
      </c>
      <c r="O3907" s="32" t="str">
        <f>IF($M3907="","",IF($K3907-$M3907&gt;7,"",IF($M3907&lt;=$A3907,"",IF(OR($B3907&lt;=0,$N3907&lt;=0),"",($N3907/$B3907)^(365/($M3907-$A3907))-1))))</f>
        <v/>
      </c>
      <c r="P3907" s="31" t="str">
        <f>IF($B3907="","",IF($P3906="",$B3907,MAX($P3906,$B3907)))</f>
        <v/>
      </c>
      <c r="Q3907" s="32" t="str">
        <f>IF($P3907="","",$B3907/$P3907-1)</f>
        <v/>
      </c>
    </row>
    <row r="3908">
      <c r="A3908" s="11" t="n"/>
      <c r="B3908" s="29" t="n"/>
      <c r="K3908" s="30" t="str">
        <f>IF($A3908="","",EDATE($A3908,12*$E$4))</f>
        <v/>
      </c>
      <c r="L3908" s="19" t="str">
        <f>IF($K3908="","",IF($K3908&gt;MAX($A$8:$A$5007),"",IFERROR(MATCH($K3908,$A$8:$A$5007,1),"")))</f>
        <v/>
      </c>
      <c r="M3908" s="30" t="str">
        <f>IF($L3908="","",INDEX($A$8:$A$5007,$L3908))</f>
        <v/>
      </c>
      <c r="N3908" s="31" t="str">
        <f>IF($L3908="","",INDEX($B$8:$B$5007,$L3908))</f>
        <v/>
      </c>
      <c r="O3908" s="32" t="str">
        <f>IF($M3908="","",IF($K3908-$M3908&gt;7,"",IF($M3908&lt;=$A3908,"",IF(OR($B3908&lt;=0,$N3908&lt;=0),"",($N3908/$B3908)^(365/($M3908-$A3908))-1))))</f>
        <v/>
      </c>
      <c r="P3908" s="31" t="str">
        <f>IF($B3908="","",IF($P3907="",$B3908,MAX($P3907,$B3908)))</f>
        <v/>
      </c>
      <c r="Q3908" s="32" t="str">
        <f>IF($P3908="","",$B3908/$P3908-1)</f>
        <v/>
      </c>
    </row>
    <row r="3909">
      <c r="A3909" s="11" t="n"/>
      <c r="B3909" s="29" t="n"/>
      <c r="K3909" s="30" t="str">
        <f>IF($A3909="","",EDATE($A3909,12*$E$4))</f>
        <v/>
      </c>
      <c r="L3909" s="19" t="str">
        <f>IF($K3909="","",IF($K3909&gt;MAX($A$8:$A$5007),"",IFERROR(MATCH($K3909,$A$8:$A$5007,1),"")))</f>
        <v/>
      </c>
      <c r="M3909" s="30" t="str">
        <f>IF($L3909="","",INDEX($A$8:$A$5007,$L3909))</f>
        <v/>
      </c>
      <c r="N3909" s="31" t="str">
        <f>IF($L3909="","",INDEX($B$8:$B$5007,$L3909))</f>
        <v/>
      </c>
      <c r="O3909" s="32" t="str">
        <f>IF($M3909="","",IF($K3909-$M3909&gt;7,"",IF($M3909&lt;=$A3909,"",IF(OR($B3909&lt;=0,$N3909&lt;=0),"",($N3909/$B3909)^(365/($M3909-$A3909))-1))))</f>
        <v/>
      </c>
      <c r="P3909" s="31" t="str">
        <f>IF($B3909="","",IF($P3908="",$B3909,MAX($P3908,$B3909)))</f>
        <v/>
      </c>
      <c r="Q3909" s="32" t="str">
        <f>IF($P3909="","",$B3909/$P3909-1)</f>
        <v/>
      </c>
    </row>
    <row r="3910">
      <c r="A3910" s="11" t="n"/>
      <c r="B3910" s="29" t="n"/>
      <c r="K3910" s="30" t="str">
        <f>IF($A3910="","",EDATE($A3910,12*$E$4))</f>
        <v/>
      </c>
      <c r="L3910" s="19" t="str">
        <f>IF($K3910="","",IF($K3910&gt;MAX($A$8:$A$5007),"",IFERROR(MATCH($K3910,$A$8:$A$5007,1),"")))</f>
        <v/>
      </c>
      <c r="M3910" s="30" t="str">
        <f>IF($L3910="","",INDEX($A$8:$A$5007,$L3910))</f>
        <v/>
      </c>
      <c r="N3910" s="31" t="str">
        <f>IF($L3910="","",INDEX($B$8:$B$5007,$L3910))</f>
        <v/>
      </c>
      <c r="O3910" s="32" t="str">
        <f>IF($M3910="","",IF($K3910-$M3910&gt;7,"",IF($M3910&lt;=$A3910,"",IF(OR($B3910&lt;=0,$N3910&lt;=0),"",($N3910/$B3910)^(365/($M3910-$A3910))-1))))</f>
        <v/>
      </c>
      <c r="P3910" s="31" t="str">
        <f>IF($B3910="","",IF($P3909="",$B3910,MAX($P3909,$B3910)))</f>
        <v/>
      </c>
      <c r="Q3910" s="32" t="str">
        <f>IF($P3910="","",$B3910/$P3910-1)</f>
        <v/>
      </c>
    </row>
    <row r="3911">
      <c r="A3911" s="11" t="n"/>
      <c r="B3911" s="29" t="n"/>
      <c r="K3911" s="30" t="str">
        <f>IF($A3911="","",EDATE($A3911,12*$E$4))</f>
        <v/>
      </c>
      <c r="L3911" s="19" t="str">
        <f>IF($K3911="","",IF($K3911&gt;MAX($A$8:$A$5007),"",IFERROR(MATCH($K3911,$A$8:$A$5007,1),"")))</f>
        <v/>
      </c>
      <c r="M3911" s="30" t="str">
        <f>IF($L3911="","",INDEX($A$8:$A$5007,$L3911))</f>
        <v/>
      </c>
      <c r="N3911" s="31" t="str">
        <f>IF($L3911="","",INDEX($B$8:$B$5007,$L3911))</f>
        <v/>
      </c>
      <c r="O3911" s="32" t="str">
        <f>IF($M3911="","",IF($K3911-$M3911&gt;7,"",IF($M3911&lt;=$A3911,"",IF(OR($B3911&lt;=0,$N3911&lt;=0),"",($N3911/$B3911)^(365/($M3911-$A3911))-1))))</f>
        <v/>
      </c>
      <c r="P3911" s="31" t="str">
        <f>IF($B3911="","",IF($P3910="",$B3911,MAX($P3910,$B3911)))</f>
        <v/>
      </c>
      <c r="Q3911" s="32" t="str">
        <f>IF($P3911="","",$B3911/$P3911-1)</f>
        <v/>
      </c>
    </row>
    <row r="3912">
      <c r="A3912" s="11" t="n"/>
      <c r="B3912" s="29" t="n"/>
      <c r="K3912" s="30" t="str">
        <f>IF($A3912="","",EDATE($A3912,12*$E$4))</f>
        <v/>
      </c>
      <c r="L3912" s="19" t="str">
        <f>IF($K3912="","",IF($K3912&gt;MAX($A$8:$A$5007),"",IFERROR(MATCH($K3912,$A$8:$A$5007,1),"")))</f>
        <v/>
      </c>
      <c r="M3912" s="30" t="str">
        <f>IF($L3912="","",INDEX($A$8:$A$5007,$L3912))</f>
        <v/>
      </c>
      <c r="N3912" s="31" t="str">
        <f>IF($L3912="","",INDEX($B$8:$B$5007,$L3912))</f>
        <v/>
      </c>
      <c r="O3912" s="32" t="str">
        <f>IF($M3912="","",IF($K3912-$M3912&gt;7,"",IF($M3912&lt;=$A3912,"",IF(OR($B3912&lt;=0,$N3912&lt;=0),"",($N3912/$B3912)^(365/($M3912-$A3912))-1))))</f>
        <v/>
      </c>
      <c r="P3912" s="31" t="str">
        <f>IF($B3912="","",IF($P3911="",$B3912,MAX($P3911,$B3912)))</f>
        <v/>
      </c>
      <c r="Q3912" s="32" t="str">
        <f>IF($P3912="","",$B3912/$P3912-1)</f>
        <v/>
      </c>
    </row>
    <row r="3913">
      <c r="A3913" s="11" t="n"/>
      <c r="B3913" s="29" t="n"/>
      <c r="K3913" s="30" t="str">
        <f>IF($A3913="","",EDATE($A3913,12*$E$4))</f>
        <v/>
      </c>
      <c r="L3913" s="19" t="str">
        <f>IF($K3913="","",IF($K3913&gt;MAX($A$8:$A$5007),"",IFERROR(MATCH($K3913,$A$8:$A$5007,1),"")))</f>
        <v/>
      </c>
      <c r="M3913" s="30" t="str">
        <f>IF($L3913="","",INDEX($A$8:$A$5007,$L3913))</f>
        <v/>
      </c>
      <c r="N3913" s="31" t="str">
        <f>IF($L3913="","",INDEX($B$8:$B$5007,$L3913))</f>
        <v/>
      </c>
      <c r="O3913" s="32" t="str">
        <f>IF($M3913="","",IF($K3913-$M3913&gt;7,"",IF($M3913&lt;=$A3913,"",IF(OR($B3913&lt;=0,$N3913&lt;=0),"",($N3913/$B3913)^(365/($M3913-$A3913))-1))))</f>
        <v/>
      </c>
      <c r="P3913" s="31" t="str">
        <f>IF($B3913="","",IF($P3912="",$B3913,MAX($P3912,$B3913)))</f>
        <v/>
      </c>
      <c r="Q3913" s="32" t="str">
        <f>IF($P3913="","",$B3913/$P3913-1)</f>
        <v/>
      </c>
    </row>
    <row r="3914">
      <c r="A3914" s="11" t="n"/>
      <c r="B3914" s="29" t="n"/>
      <c r="K3914" s="30" t="str">
        <f>IF($A3914="","",EDATE($A3914,12*$E$4))</f>
        <v/>
      </c>
      <c r="L3914" s="19" t="str">
        <f>IF($K3914="","",IF($K3914&gt;MAX($A$8:$A$5007),"",IFERROR(MATCH($K3914,$A$8:$A$5007,1),"")))</f>
        <v/>
      </c>
      <c r="M3914" s="30" t="str">
        <f>IF($L3914="","",INDEX($A$8:$A$5007,$L3914))</f>
        <v/>
      </c>
      <c r="N3914" s="31" t="str">
        <f>IF($L3914="","",INDEX($B$8:$B$5007,$L3914))</f>
        <v/>
      </c>
      <c r="O3914" s="32" t="str">
        <f>IF($M3914="","",IF($K3914-$M3914&gt;7,"",IF($M3914&lt;=$A3914,"",IF(OR($B3914&lt;=0,$N3914&lt;=0),"",($N3914/$B3914)^(365/($M3914-$A3914))-1))))</f>
        <v/>
      </c>
      <c r="P3914" s="31" t="str">
        <f>IF($B3914="","",IF($P3913="",$B3914,MAX($P3913,$B3914)))</f>
        <v/>
      </c>
      <c r="Q3914" s="32" t="str">
        <f>IF($P3914="","",$B3914/$P3914-1)</f>
        <v/>
      </c>
    </row>
    <row r="3915">
      <c r="A3915" s="11" t="n"/>
      <c r="B3915" s="29" t="n"/>
      <c r="K3915" s="30" t="str">
        <f>IF($A3915="","",EDATE($A3915,12*$E$4))</f>
        <v/>
      </c>
      <c r="L3915" s="19" t="str">
        <f>IF($K3915="","",IF($K3915&gt;MAX($A$8:$A$5007),"",IFERROR(MATCH($K3915,$A$8:$A$5007,1),"")))</f>
        <v/>
      </c>
      <c r="M3915" s="30" t="str">
        <f>IF($L3915="","",INDEX($A$8:$A$5007,$L3915))</f>
        <v/>
      </c>
      <c r="N3915" s="31" t="str">
        <f>IF($L3915="","",INDEX($B$8:$B$5007,$L3915))</f>
        <v/>
      </c>
      <c r="O3915" s="32" t="str">
        <f>IF($M3915="","",IF($K3915-$M3915&gt;7,"",IF($M3915&lt;=$A3915,"",IF(OR($B3915&lt;=0,$N3915&lt;=0),"",($N3915/$B3915)^(365/($M3915-$A3915))-1))))</f>
        <v/>
      </c>
      <c r="P3915" s="31" t="str">
        <f>IF($B3915="","",IF($P3914="",$B3915,MAX($P3914,$B3915)))</f>
        <v/>
      </c>
      <c r="Q3915" s="32" t="str">
        <f>IF($P3915="","",$B3915/$P3915-1)</f>
        <v/>
      </c>
    </row>
    <row r="3916">
      <c r="A3916" s="11" t="n"/>
      <c r="B3916" s="29" t="n"/>
      <c r="K3916" s="30" t="str">
        <f>IF($A3916="","",EDATE($A3916,12*$E$4))</f>
        <v/>
      </c>
      <c r="L3916" s="19" t="str">
        <f>IF($K3916="","",IF($K3916&gt;MAX($A$8:$A$5007),"",IFERROR(MATCH($K3916,$A$8:$A$5007,1),"")))</f>
        <v/>
      </c>
      <c r="M3916" s="30" t="str">
        <f>IF($L3916="","",INDEX($A$8:$A$5007,$L3916))</f>
        <v/>
      </c>
      <c r="N3916" s="31" t="str">
        <f>IF($L3916="","",INDEX($B$8:$B$5007,$L3916))</f>
        <v/>
      </c>
      <c r="O3916" s="32" t="str">
        <f>IF($M3916="","",IF($K3916-$M3916&gt;7,"",IF($M3916&lt;=$A3916,"",IF(OR($B3916&lt;=0,$N3916&lt;=0),"",($N3916/$B3916)^(365/($M3916-$A3916))-1))))</f>
        <v/>
      </c>
      <c r="P3916" s="31" t="str">
        <f>IF($B3916="","",IF($P3915="",$B3916,MAX($P3915,$B3916)))</f>
        <v/>
      </c>
      <c r="Q3916" s="32" t="str">
        <f>IF($P3916="","",$B3916/$P3916-1)</f>
        <v/>
      </c>
    </row>
    <row r="3917">
      <c r="A3917" s="11" t="n"/>
      <c r="B3917" s="29" t="n"/>
      <c r="K3917" s="30" t="str">
        <f>IF($A3917="","",EDATE($A3917,12*$E$4))</f>
        <v/>
      </c>
      <c r="L3917" s="19" t="str">
        <f>IF($K3917="","",IF($K3917&gt;MAX($A$8:$A$5007),"",IFERROR(MATCH($K3917,$A$8:$A$5007,1),"")))</f>
        <v/>
      </c>
      <c r="M3917" s="30" t="str">
        <f>IF($L3917="","",INDEX($A$8:$A$5007,$L3917))</f>
        <v/>
      </c>
      <c r="N3917" s="31" t="str">
        <f>IF($L3917="","",INDEX($B$8:$B$5007,$L3917))</f>
        <v/>
      </c>
      <c r="O3917" s="32" t="str">
        <f>IF($M3917="","",IF($K3917-$M3917&gt;7,"",IF($M3917&lt;=$A3917,"",IF(OR($B3917&lt;=0,$N3917&lt;=0),"",($N3917/$B3917)^(365/($M3917-$A3917))-1))))</f>
        <v/>
      </c>
      <c r="P3917" s="31" t="str">
        <f>IF($B3917="","",IF($P3916="",$B3917,MAX($P3916,$B3917)))</f>
        <v/>
      </c>
      <c r="Q3917" s="32" t="str">
        <f>IF($P3917="","",$B3917/$P3917-1)</f>
        <v/>
      </c>
    </row>
    <row r="3918">
      <c r="A3918" s="11" t="n"/>
      <c r="B3918" s="29" t="n"/>
      <c r="K3918" s="30" t="str">
        <f>IF($A3918="","",EDATE($A3918,12*$E$4))</f>
        <v/>
      </c>
      <c r="L3918" s="19" t="str">
        <f>IF($K3918="","",IF($K3918&gt;MAX($A$8:$A$5007),"",IFERROR(MATCH($K3918,$A$8:$A$5007,1),"")))</f>
        <v/>
      </c>
      <c r="M3918" s="30" t="str">
        <f>IF($L3918="","",INDEX($A$8:$A$5007,$L3918))</f>
        <v/>
      </c>
      <c r="N3918" s="31" t="str">
        <f>IF($L3918="","",INDEX($B$8:$B$5007,$L3918))</f>
        <v/>
      </c>
      <c r="O3918" s="32" t="str">
        <f>IF($M3918="","",IF($K3918-$M3918&gt;7,"",IF($M3918&lt;=$A3918,"",IF(OR($B3918&lt;=0,$N3918&lt;=0),"",($N3918/$B3918)^(365/($M3918-$A3918))-1))))</f>
        <v/>
      </c>
      <c r="P3918" s="31" t="str">
        <f>IF($B3918="","",IF($P3917="",$B3918,MAX($P3917,$B3918)))</f>
        <v/>
      </c>
      <c r="Q3918" s="32" t="str">
        <f>IF($P3918="","",$B3918/$P3918-1)</f>
        <v/>
      </c>
    </row>
    <row r="3919">
      <c r="A3919" s="11" t="n"/>
      <c r="B3919" s="29" t="n"/>
      <c r="K3919" s="30" t="str">
        <f>IF($A3919="","",EDATE($A3919,12*$E$4))</f>
        <v/>
      </c>
      <c r="L3919" s="19" t="str">
        <f>IF($K3919="","",IF($K3919&gt;MAX($A$8:$A$5007),"",IFERROR(MATCH($K3919,$A$8:$A$5007,1),"")))</f>
        <v/>
      </c>
      <c r="M3919" s="30" t="str">
        <f>IF($L3919="","",INDEX($A$8:$A$5007,$L3919))</f>
        <v/>
      </c>
      <c r="N3919" s="31" t="str">
        <f>IF($L3919="","",INDEX($B$8:$B$5007,$L3919))</f>
        <v/>
      </c>
      <c r="O3919" s="32" t="str">
        <f>IF($M3919="","",IF($K3919-$M3919&gt;7,"",IF($M3919&lt;=$A3919,"",IF(OR($B3919&lt;=0,$N3919&lt;=0),"",($N3919/$B3919)^(365/($M3919-$A3919))-1))))</f>
        <v/>
      </c>
      <c r="P3919" s="31" t="str">
        <f>IF($B3919="","",IF($P3918="",$B3919,MAX($P3918,$B3919)))</f>
        <v/>
      </c>
      <c r="Q3919" s="32" t="str">
        <f>IF($P3919="","",$B3919/$P3919-1)</f>
        <v/>
      </c>
    </row>
    <row r="3920">
      <c r="A3920" s="11" t="n"/>
      <c r="B3920" s="29" t="n"/>
      <c r="K3920" s="30" t="str">
        <f>IF($A3920="","",EDATE($A3920,12*$E$4))</f>
        <v/>
      </c>
      <c r="L3920" s="19" t="str">
        <f>IF($K3920="","",IF($K3920&gt;MAX($A$8:$A$5007),"",IFERROR(MATCH($K3920,$A$8:$A$5007,1),"")))</f>
        <v/>
      </c>
      <c r="M3920" s="30" t="str">
        <f>IF($L3920="","",INDEX($A$8:$A$5007,$L3920))</f>
        <v/>
      </c>
      <c r="N3920" s="31" t="str">
        <f>IF($L3920="","",INDEX($B$8:$B$5007,$L3920))</f>
        <v/>
      </c>
      <c r="O3920" s="32" t="str">
        <f>IF($M3920="","",IF($K3920-$M3920&gt;7,"",IF($M3920&lt;=$A3920,"",IF(OR($B3920&lt;=0,$N3920&lt;=0),"",($N3920/$B3920)^(365/($M3920-$A3920))-1))))</f>
        <v/>
      </c>
      <c r="P3920" s="31" t="str">
        <f>IF($B3920="","",IF($P3919="",$B3920,MAX($P3919,$B3920)))</f>
        <v/>
      </c>
      <c r="Q3920" s="32" t="str">
        <f>IF($P3920="","",$B3920/$P3920-1)</f>
        <v/>
      </c>
    </row>
    <row r="3921">
      <c r="A3921" s="11" t="n"/>
      <c r="B3921" s="29" t="n"/>
      <c r="K3921" s="30" t="str">
        <f>IF($A3921="","",EDATE($A3921,12*$E$4))</f>
        <v/>
      </c>
      <c r="L3921" s="19" t="str">
        <f>IF($K3921="","",IF($K3921&gt;MAX($A$8:$A$5007),"",IFERROR(MATCH($K3921,$A$8:$A$5007,1),"")))</f>
        <v/>
      </c>
      <c r="M3921" s="30" t="str">
        <f>IF($L3921="","",INDEX($A$8:$A$5007,$L3921))</f>
        <v/>
      </c>
      <c r="N3921" s="31" t="str">
        <f>IF($L3921="","",INDEX($B$8:$B$5007,$L3921))</f>
        <v/>
      </c>
      <c r="O3921" s="32" t="str">
        <f>IF($M3921="","",IF($K3921-$M3921&gt;7,"",IF($M3921&lt;=$A3921,"",IF(OR($B3921&lt;=0,$N3921&lt;=0),"",($N3921/$B3921)^(365/($M3921-$A3921))-1))))</f>
        <v/>
      </c>
      <c r="P3921" s="31" t="str">
        <f>IF($B3921="","",IF($P3920="",$B3921,MAX($P3920,$B3921)))</f>
        <v/>
      </c>
      <c r="Q3921" s="32" t="str">
        <f>IF($P3921="","",$B3921/$P3921-1)</f>
        <v/>
      </c>
    </row>
    <row r="3922">
      <c r="A3922" s="11" t="n"/>
      <c r="B3922" s="29" t="n"/>
      <c r="K3922" s="30" t="str">
        <f>IF($A3922="","",EDATE($A3922,12*$E$4))</f>
        <v/>
      </c>
      <c r="L3922" s="19" t="str">
        <f>IF($K3922="","",IF($K3922&gt;MAX($A$8:$A$5007),"",IFERROR(MATCH($K3922,$A$8:$A$5007,1),"")))</f>
        <v/>
      </c>
      <c r="M3922" s="30" t="str">
        <f>IF($L3922="","",INDEX($A$8:$A$5007,$L3922))</f>
        <v/>
      </c>
      <c r="N3922" s="31" t="str">
        <f>IF($L3922="","",INDEX($B$8:$B$5007,$L3922))</f>
        <v/>
      </c>
      <c r="O3922" s="32" t="str">
        <f>IF($M3922="","",IF($K3922-$M3922&gt;7,"",IF($M3922&lt;=$A3922,"",IF(OR($B3922&lt;=0,$N3922&lt;=0),"",($N3922/$B3922)^(365/($M3922-$A3922))-1))))</f>
        <v/>
      </c>
      <c r="P3922" s="31" t="str">
        <f>IF($B3922="","",IF($P3921="",$B3922,MAX($P3921,$B3922)))</f>
        <v/>
      </c>
      <c r="Q3922" s="32" t="str">
        <f>IF($P3922="","",$B3922/$P3922-1)</f>
        <v/>
      </c>
    </row>
    <row r="3923">
      <c r="A3923" s="11" t="n"/>
      <c r="B3923" s="29" t="n"/>
      <c r="K3923" s="30" t="str">
        <f>IF($A3923="","",EDATE($A3923,12*$E$4))</f>
        <v/>
      </c>
      <c r="L3923" s="19" t="str">
        <f>IF($K3923="","",IF($K3923&gt;MAX($A$8:$A$5007),"",IFERROR(MATCH($K3923,$A$8:$A$5007,1),"")))</f>
        <v/>
      </c>
      <c r="M3923" s="30" t="str">
        <f>IF($L3923="","",INDEX($A$8:$A$5007,$L3923))</f>
        <v/>
      </c>
      <c r="N3923" s="31" t="str">
        <f>IF($L3923="","",INDEX($B$8:$B$5007,$L3923))</f>
        <v/>
      </c>
      <c r="O3923" s="32" t="str">
        <f>IF($M3923="","",IF($K3923-$M3923&gt;7,"",IF($M3923&lt;=$A3923,"",IF(OR($B3923&lt;=0,$N3923&lt;=0),"",($N3923/$B3923)^(365/($M3923-$A3923))-1))))</f>
        <v/>
      </c>
      <c r="P3923" s="31" t="str">
        <f>IF($B3923="","",IF($P3922="",$B3923,MAX($P3922,$B3923)))</f>
        <v/>
      </c>
      <c r="Q3923" s="32" t="str">
        <f>IF($P3923="","",$B3923/$P3923-1)</f>
        <v/>
      </c>
    </row>
    <row r="3924">
      <c r="A3924" s="11" t="n"/>
      <c r="B3924" s="29" t="n"/>
      <c r="K3924" s="30" t="str">
        <f>IF($A3924="","",EDATE($A3924,12*$E$4))</f>
        <v/>
      </c>
      <c r="L3924" s="19" t="str">
        <f>IF($K3924="","",IF($K3924&gt;MAX($A$8:$A$5007),"",IFERROR(MATCH($K3924,$A$8:$A$5007,1),"")))</f>
        <v/>
      </c>
      <c r="M3924" s="30" t="str">
        <f>IF($L3924="","",INDEX($A$8:$A$5007,$L3924))</f>
        <v/>
      </c>
      <c r="N3924" s="31" t="str">
        <f>IF($L3924="","",INDEX($B$8:$B$5007,$L3924))</f>
        <v/>
      </c>
      <c r="O3924" s="32" t="str">
        <f>IF($M3924="","",IF($K3924-$M3924&gt;7,"",IF($M3924&lt;=$A3924,"",IF(OR($B3924&lt;=0,$N3924&lt;=0),"",($N3924/$B3924)^(365/($M3924-$A3924))-1))))</f>
        <v/>
      </c>
      <c r="P3924" s="31" t="str">
        <f>IF($B3924="","",IF($P3923="",$B3924,MAX($P3923,$B3924)))</f>
        <v/>
      </c>
      <c r="Q3924" s="32" t="str">
        <f>IF($P3924="","",$B3924/$P3924-1)</f>
        <v/>
      </c>
    </row>
    <row r="3925">
      <c r="A3925" s="11" t="n"/>
      <c r="B3925" s="29" t="n"/>
      <c r="K3925" s="30" t="str">
        <f>IF($A3925="","",EDATE($A3925,12*$E$4))</f>
        <v/>
      </c>
      <c r="L3925" s="19" t="str">
        <f>IF($K3925="","",IF($K3925&gt;MAX($A$8:$A$5007),"",IFERROR(MATCH($K3925,$A$8:$A$5007,1),"")))</f>
        <v/>
      </c>
      <c r="M3925" s="30" t="str">
        <f>IF($L3925="","",INDEX($A$8:$A$5007,$L3925))</f>
        <v/>
      </c>
      <c r="N3925" s="31" t="str">
        <f>IF($L3925="","",INDEX($B$8:$B$5007,$L3925))</f>
        <v/>
      </c>
      <c r="O3925" s="32" t="str">
        <f>IF($M3925="","",IF($K3925-$M3925&gt;7,"",IF($M3925&lt;=$A3925,"",IF(OR($B3925&lt;=0,$N3925&lt;=0),"",($N3925/$B3925)^(365/($M3925-$A3925))-1))))</f>
        <v/>
      </c>
      <c r="P3925" s="31" t="str">
        <f>IF($B3925="","",IF($P3924="",$B3925,MAX($P3924,$B3925)))</f>
        <v/>
      </c>
      <c r="Q3925" s="32" t="str">
        <f>IF($P3925="","",$B3925/$P3925-1)</f>
        <v/>
      </c>
    </row>
    <row r="3926">
      <c r="A3926" s="11" t="n"/>
      <c r="B3926" s="29" t="n"/>
      <c r="K3926" s="30" t="str">
        <f>IF($A3926="","",EDATE($A3926,12*$E$4))</f>
        <v/>
      </c>
      <c r="L3926" s="19" t="str">
        <f>IF($K3926="","",IF($K3926&gt;MAX($A$8:$A$5007),"",IFERROR(MATCH($K3926,$A$8:$A$5007,1),"")))</f>
        <v/>
      </c>
      <c r="M3926" s="30" t="str">
        <f>IF($L3926="","",INDEX($A$8:$A$5007,$L3926))</f>
        <v/>
      </c>
      <c r="N3926" s="31" t="str">
        <f>IF($L3926="","",INDEX($B$8:$B$5007,$L3926))</f>
        <v/>
      </c>
      <c r="O3926" s="32" t="str">
        <f>IF($M3926="","",IF($K3926-$M3926&gt;7,"",IF($M3926&lt;=$A3926,"",IF(OR($B3926&lt;=0,$N3926&lt;=0),"",($N3926/$B3926)^(365/($M3926-$A3926))-1))))</f>
        <v/>
      </c>
      <c r="P3926" s="31" t="str">
        <f>IF($B3926="","",IF($P3925="",$B3926,MAX($P3925,$B3926)))</f>
        <v/>
      </c>
      <c r="Q3926" s="32" t="str">
        <f>IF($P3926="","",$B3926/$P3926-1)</f>
        <v/>
      </c>
    </row>
    <row r="3927">
      <c r="A3927" s="11" t="n"/>
      <c r="B3927" s="29" t="n"/>
      <c r="K3927" s="30" t="str">
        <f>IF($A3927="","",EDATE($A3927,12*$E$4))</f>
        <v/>
      </c>
      <c r="L3927" s="19" t="str">
        <f>IF($K3927="","",IF($K3927&gt;MAX($A$8:$A$5007),"",IFERROR(MATCH($K3927,$A$8:$A$5007,1),"")))</f>
        <v/>
      </c>
      <c r="M3927" s="30" t="str">
        <f>IF($L3927="","",INDEX($A$8:$A$5007,$L3927))</f>
        <v/>
      </c>
      <c r="N3927" s="31" t="str">
        <f>IF($L3927="","",INDEX($B$8:$B$5007,$L3927))</f>
        <v/>
      </c>
      <c r="O3927" s="32" t="str">
        <f>IF($M3927="","",IF($K3927-$M3927&gt;7,"",IF($M3927&lt;=$A3927,"",IF(OR($B3927&lt;=0,$N3927&lt;=0),"",($N3927/$B3927)^(365/($M3927-$A3927))-1))))</f>
        <v/>
      </c>
      <c r="P3927" s="31" t="str">
        <f>IF($B3927="","",IF($P3926="",$B3927,MAX($P3926,$B3927)))</f>
        <v/>
      </c>
      <c r="Q3927" s="32" t="str">
        <f>IF($P3927="","",$B3927/$P3927-1)</f>
        <v/>
      </c>
    </row>
    <row r="3928">
      <c r="A3928" s="11" t="n"/>
      <c r="B3928" s="29" t="n"/>
      <c r="K3928" s="30" t="str">
        <f>IF($A3928="","",EDATE($A3928,12*$E$4))</f>
        <v/>
      </c>
      <c r="L3928" s="19" t="str">
        <f>IF($K3928="","",IF($K3928&gt;MAX($A$8:$A$5007),"",IFERROR(MATCH($K3928,$A$8:$A$5007,1),"")))</f>
        <v/>
      </c>
      <c r="M3928" s="30" t="str">
        <f>IF($L3928="","",INDEX($A$8:$A$5007,$L3928))</f>
        <v/>
      </c>
      <c r="N3928" s="31" t="str">
        <f>IF($L3928="","",INDEX($B$8:$B$5007,$L3928))</f>
        <v/>
      </c>
      <c r="O3928" s="32" t="str">
        <f>IF($M3928="","",IF($K3928-$M3928&gt;7,"",IF($M3928&lt;=$A3928,"",IF(OR($B3928&lt;=0,$N3928&lt;=0),"",($N3928/$B3928)^(365/($M3928-$A3928))-1))))</f>
        <v/>
      </c>
      <c r="P3928" s="31" t="str">
        <f>IF($B3928="","",IF($P3927="",$B3928,MAX($P3927,$B3928)))</f>
        <v/>
      </c>
      <c r="Q3928" s="32" t="str">
        <f>IF($P3928="","",$B3928/$P3928-1)</f>
        <v/>
      </c>
    </row>
    <row r="3929">
      <c r="A3929" s="11" t="n"/>
      <c r="B3929" s="29" t="n"/>
      <c r="K3929" s="30" t="str">
        <f>IF($A3929="","",EDATE($A3929,12*$E$4))</f>
        <v/>
      </c>
      <c r="L3929" s="19" t="str">
        <f>IF($K3929="","",IF($K3929&gt;MAX($A$8:$A$5007),"",IFERROR(MATCH($K3929,$A$8:$A$5007,1),"")))</f>
        <v/>
      </c>
      <c r="M3929" s="30" t="str">
        <f>IF($L3929="","",INDEX($A$8:$A$5007,$L3929))</f>
        <v/>
      </c>
      <c r="N3929" s="31" t="str">
        <f>IF($L3929="","",INDEX($B$8:$B$5007,$L3929))</f>
        <v/>
      </c>
      <c r="O3929" s="32" t="str">
        <f>IF($M3929="","",IF($K3929-$M3929&gt;7,"",IF($M3929&lt;=$A3929,"",IF(OR($B3929&lt;=0,$N3929&lt;=0),"",($N3929/$B3929)^(365/($M3929-$A3929))-1))))</f>
        <v/>
      </c>
      <c r="P3929" s="31" t="str">
        <f>IF($B3929="","",IF($P3928="",$B3929,MAX($P3928,$B3929)))</f>
        <v/>
      </c>
      <c r="Q3929" s="32" t="str">
        <f>IF($P3929="","",$B3929/$P3929-1)</f>
        <v/>
      </c>
    </row>
    <row r="3930">
      <c r="A3930" s="11" t="n"/>
      <c r="B3930" s="29" t="n"/>
      <c r="K3930" s="30" t="str">
        <f>IF($A3930="","",EDATE($A3930,12*$E$4))</f>
        <v/>
      </c>
      <c r="L3930" s="19" t="str">
        <f>IF($K3930="","",IF($K3930&gt;MAX($A$8:$A$5007),"",IFERROR(MATCH($K3930,$A$8:$A$5007,1),"")))</f>
        <v/>
      </c>
      <c r="M3930" s="30" t="str">
        <f>IF($L3930="","",INDEX($A$8:$A$5007,$L3930))</f>
        <v/>
      </c>
      <c r="N3930" s="31" t="str">
        <f>IF($L3930="","",INDEX($B$8:$B$5007,$L3930))</f>
        <v/>
      </c>
      <c r="O3930" s="32" t="str">
        <f>IF($M3930="","",IF($K3930-$M3930&gt;7,"",IF($M3930&lt;=$A3930,"",IF(OR($B3930&lt;=0,$N3930&lt;=0),"",($N3930/$B3930)^(365/($M3930-$A3930))-1))))</f>
        <v/>
      </c>
      <c r="P3930" s="31" t="str">
        <f>IF($B3930="","",IF($P3929="",$B3930,MAX($P3929,$B3930)))</f>
        <v/>
      </c>
      <c r="Q3930" s="32" t="str">
        <f>IF($P3930="","",$B3930/$P3930-1)</f>
        <v/>
      </c>
    </row>
    <row r="3931">
      <c r="A3931" s="11" t="n"/>
      <c r="B3931" s="29" t="n"/>
      <c r="K3931" s="30" t="str">
        <f>IF($A3931="","",EDATE($A3931,12*$E$4))</f>
        <v/>
      </c>
      <c r="L3931" s="19" t="str">
        <f>IF($K3931="","",IF($K3931&gt;MAX($A$8:$A$5007),"",IFERROR(MATCH($K3931,$A$8:$A$5007,1),"")))</f>
        <v/>
      </c>
      <c r="M3931" s="30" t="str">
        <f>IF($L3931="","",INDEX($A$8:$A$5007,$L3931))</f>
        <v/>
      </c>
      <c r="N3931" s="31" t="str">
        <f>IF($L3931="","",INDEX($B$8:$B$5007,$L3931))</f>
        <v/>
      </c>
      <c r="O3931" s="32" t="str">
        <f>IF($M3931="","",IF($K3931-$M3931&gt;7,"",IF($M3931&lt;=$A3931,"",IF(OR($B3931&lt;=0,$N3931&lt;=0),"",($N3931/$B3931)^(365/($M3931-$A3931))-1))))</f>
        <v/>
      </c>
      <c r="P3931" s="31" t="str">
        <f>IF($B3931="","",IF($P3930="",$B3931,MAX($P3930,$B3931)))</f>
        <v/>
      </c>
      <c r="Q3931" s="32" t="str">
        <f>IF($P3931="","",$B3931/$P3931-1)</f>
        <v/>
      </c>
    </row>
    <row r="3932">
      <c r="A3932" s="11" t="n"/>
      <c r="B3932" s="29" t="n"/>
      <c r="K3932" s="30" t="str">
        <f>IF($A3932="","",EDATE($A3932,12*$E$4))</f>
        <v/>
      </c>
      <c r="L3932" s="19" t="str">
        <f>IF($K3932="","",IF($K3932&gt;MAX($A$8:$A$5007),"",IFERROR(MATCH($K3932,$A$8:$A$5007,1),"")))</f>
        <v/>
      </c>
      <c r="M3932" s="30" t="str">
        <f>IF($L3932="","",INDEX($A$8:$A$5007,$L3932))</f>
        <v/>
      </c>
      <c r="N3932" s="31" t="str">
        <f>IF($L3932="","",INDEX($B$8:$B$5007,$L3932))</f>
        <v/>
      </c>
      <c r="O3932" s="32" t="str">
        <f>IF($M3932="","",IF($K3932-$M3932&gt;7,"",IF($M3932&lt;=$A3932,"",IF(OR($B3932&lt;=0,$N3932&lt;=0),"",($N3932/$B3932)^(365/($M3932-$A3932))-1))))</f>
        <v/>
      </c>
      <c r="P3932" s="31" t="str">
        <f>IF($B3932="","",IF($P3931="",$B3932,MAX($P3931,$B3932)))</f>
        <v/>
      </c>
      <c r="Q3932" s="32" t="str">
        <f>IF($P3932="","",$B3932/$P3932-1)</f>
        <v/>
      </c>
    </row>
    <row r="3933">
      <c r="A3933" s="11" t="n"/>
      <c r="B3933" s="29" t="n"/>
      <c r="K3933" s="30" t="str">
        <f>IF($A3933="","",EDATE($A3933,12*$E$4))</f>
        <v/>
      </c>
      <c r="L3933" s="19" t="str">
        <f>IF($K3933="","",IF($K3933&gt;MAX($A$8:$A$5007),"",IFERROR(MATCH($K3933,$A$8:$A$5007,1),"")))</f>
        <v/>
      </c>
      <c r="M3933" s="30" t="str">
        <f>IF($L3933="","",INDEX($A$8:$A$5007,$L3933))</f>
        <v/>
      </c>
      <c r="N3933" s="31" t="str">
        <f>IF($L3933="","",INDEX($B$8:$B$5007,$L3933))</f>
        <v/>
      </c>
      <c r="O3933" s="32" t="str">
        <f>IF($M3933="","",IF($K3933-$M3933&gt;7,"",IF($M3933&lt;=$A3933,"",IF(OR($B3933&lt;=0,$N3933&lt;=0),"",($N3933/$B3933)^(365/($M3933-$A3933))-1))))</f>
        <v/>
      </c>
      <c r="P3933" s="31" t="str">
        <f>IF($B3933="","",IF($P3932="",$B3933,MAX($P3932,$B3933)))</f>
        <v/>
      </c>
      <c r="Q3933" s="32" t="str">
        <f>IF($P3933="","",$B3933/$P3933-1)</f>
        <v/>
      </c>
    </row>
    <row r="3934">
      <c r="A3934" s="11" t="n"/>
      <c r="B3934" s="29" t="n"/>
      <c r="K3934" s="30" t="str">
        <f>IF($A3934="","",EDATE($A3934,12*$E$4))</f>
        <v/>
      </c>
      <c r="L3934" s="19" t="str">
        <f>IF($K3934="","",IF($K3934&gt;MAX($A$8:$A$5007),"",IFERROR(MATCH($K3934,$A$8:$A$5007,1),"")))</f>
        <v/>
      </c>
      <c r="M3934" s="30" t="str">
        <f>IF($L3934="","",INDEX($A$8:$A$5007,$L3934))</f>
        <v/>
      </c>
      <c r="N3934" s="31" t="str">
        <f>IF($L3934="","",INDEX($B$8:$B$5007,$L3934))</f>
        <v/>
      </c>
      <c r="O3934" s="32" t="str">
        <f>IF($M3934="","",IF($K3934-$M3934&gt;7,"",IF($M3934&lt;=$A3934,"",IF(OR($B3934&lt;=0,$N3934&lt;=0),"",($N3934/$B3934)^(365/($M3934-$A3934))-1))))</f>
        <v/>
      </c>
      <c r="P3934" s="31" t="str">
        <f>IF($B3934="","",IF($P3933="",$B3934,MAX($P3933,$B3934)))</f>
        <v/>
      </c>
      <c r="Q3934" s="32" t="str">
        <f>IF($P3934="","",$B3934/$P3934-1)</f>
        <v/>
      </c>
    </row>
    <row r="3935">
      <c r="A3935" s="11" t="n"/>
      <c r="B3935" s="29" t="n"/>
      <c r="K3935" s="30" t="str">
        <f>IF($A3935="","",EDATE($A3935,12*$E$4))</f>
        <v/>
      </c>
      <c r="L3935" s="19" t="str">
        <f>IF($K3935="","",IF($K3935&gt;MAX($A$8:$A$5007),"",IFERROR(MATCH($K3935,$A$8:$A$5007,1),"")))</f>
        <v/>
      </c>
      <c r="M3935" s="30" t="str">
        <f>IF($L3935="","",INDEX($A$8:$A$5007,$L3935))</f>
        <v/>
      </c>
      <c r="N3935" s="31" t="str">
        <f>IF($L3935="","",INDEX($B$8:$B$5007,$L3935))</f>
        <v/>
      </c>
      <c r="O3935" s="32" t="str">
        <f>IF($M3935="","",IF($K3935-$M3935&gt;7,"",IF($M3935&lt;=$A3935,"",IF(OR($B3935&lt;=0,$N3935&lt;=0),"",($N3935/$B3935)^(365/($M3935-$A3935))-1))))</f>
        <v/>
      </c>
      <c r="P3935" s="31" t="str">
        <f>IF($B3935="","",IF($P3934="",$B3935,MAX($P3934,$B3935)))</f>
        <v/>
      </c>
      <c r="Q3935" s="32" t="str">
        <f>IF($P3935="","",$B3935/$P3935-1)</f>
        <v/>
      </c>
    </row>
    <row r="3936">
      <c r="A3936" s="11" t="n"/>
      <c r="B3936" s="29" t="n"/>
      <c r="K3936" s="30" t="str">
        <f>IF($A3936="","",EDATE($A3936,12*$E$4))</f>
        <v/>
      </c>
      <c r="L3936" s="19" t="str">
        <f>IF($K3936="","",IF($K3936&gt;MAX($A$8:$A$5007),"",IFERROR(MATCH($K3936,$A$8:$A$5007,1),"")))</f>
        <v/>
      </c>
      <c r="M3936" s="30" t="str">
        <f>IF($L3936="","",INDEX($A$8:$A$5007,$L3936))</f>
        <v/>
      </c>
      <c r="N3936" s="31" t="str">
        <f>IF($L3936="","",INDEX($B$8:$B$5007,$L3936))</f>
        <v/>
      </c>
      <c r="O3936" s="32" t="str">
        <f>IF($M3936="","",IF($K3936-$M3936&gt;7,"",IF($M3936&lt;=$A3936,"",IF(OR($B3936&lt;=0,$N3936&lt;=0),"",($N3936/$B3936)^(365/($M3936-$A3936))-1))))</f>
        <v/>
      </c>
      <c r="P3936" s="31" t="str">
        <f>IF($B3936="","",IF($P3935="",$B3936,MAX($P3935,$B3936)))</f>
        <v/>
      </c>
      <c r="Q3936" s="32" t="str">
        <f>IF($P3936="","",$B3936/$P3936-1)</f>
        <v/>
      </c>
    </row>
    <row r="3937">
      <c r="A3937" s="11" t="n"/>
      <c r="B3937" s="29" t="n"/>
      <c r="K3937" s="30" t="str">
        <f>IF($A3937="","",EDATE($A3937,12*$E$4))</f>
        <v/>
      </c>
      <c r="L3937" s="19" t="str">
        <f>IF($K3937="","",IF($K3937&gt;MAX($A$8:$A$5007),"",IFERROR(MATCH($K3937,$A$8:$A$5007,1),"")))</f>
        <v/>
      </c>
      <c r="M3937" s="30" t="str">
        <f>IF($L3937="","",INDEX($A$8:$A$5007,$L3937))</f>
        <v/>
      </c>
      <c r="N3937" s="31" t="str">
        <f>IF($L3937="","",INDEX($B$8:$B$5007,$L3937))</f>
        <v/>
      </c>
      <c r="O3937" s="32" t="str">
        <f>IF($M3937="","",IF($K3937-$M3937&gt;7,"",IF($M3937&lt;=$A3937,"",IF(OR($B3937&lt;=0,$N3937&lt;=0),"",($N3937/$B3937)^(365/($M3937-$A3937))-1))))</f>
        <v/>
      </c>
      <c r="P3937" s="31" t="str">
        <f>IF($B3937="","",IF($P3936="",$B3937,MAX($P3936,$B3937)))</f>
        <v/>
      </c>
      <c r="Q3937" s="32" t="str">
        <f>IF($P3937="","",$B3937/$P3937-1)</f>
        <v/>
      </c>
    </row>
    <row r="3938">
      <c r="A3938" s="11" t="n"/>
      <c r="B3938" s="29" t="n"/>
      <c r="K3938" s="30" t="str">
        <f>IF($A3938="","",EDATE($A3938,12*$E$4))</f>
        <v/>
      </c>
      <c r="L3938" s="19" t="str">
        <f>IF($K3938="","",IF($K3938&gt;MAX($A$8:$A$5007),"",IFERROR(MATCH($K3938,$A$8:$A$5007,1),"")))</f>
        <v/>
      </c>
      <c r="M3938" s="30" t="str">
        <f>IF($L3938="","",INDEX($A$8:$A$5007,$L3938))</f>
        <v/>
      </c>
      <c r="N3938" s="31" t="str">
        <f>IF($L3938="","",INDEX($B$8:$B$5007,$L3938))</f>
        <v/>
      </c>
      <c r="O3938" s="32" t="str">
        <f>IF($M3938="","",IF($K3938-$M3938&gt;7,"",IF($M3938&lt;=$A3938,"",IF(OR($B3938&lt;=0,$N3938&lt;=0),"",($N3938/$B3938)^(365/($M3938-$A3938))-1))))</f>
        <v/>
      </c>
      <c r="P3938" s="31" t="str">
        <f>IF($B3938="","",IF($P3937="",$B3938,MAX($P3937,$B3938)))</f>
        <v/>
      </c>
      <c r="Q3938" s="32" t="str">
        <f>IF($P3938="","",$B3938/$P3938-1)</f>
        <v/>
      </c>
    </row>
    <row r="3939">
      <c r="A3939" s="11" t="n"/>
      <c r="B3939" s="29" t="n"/>
      <c r="K3939" s="30" t="str">
        <f>IF($A3939="","",EDATE($A3939,12*$E$4))</f>
        <v/>
      </c>
      <c r="L3939" s="19" t="str">
        <f>IF($K3939="","",IF($K3939&gt;MAX($A$8:$A$5007),"",IFERROR(MATCH($K3939,$A$8:$A$5007,1),"")))</f>
        <v/>
      </c>
      <c r="M3939" s="30" t="str">
        <f>IF($L3939="","",INDEX($A$8:$A$5007,$L3939))</f>
        <v/>
      </c>
      <c r="N3939" s="31" t="str">
        <f>IF($L3939="","",INDEX($B$8:$B$5007,$L3939))</f>
        <v/>
      </c>
      <c r="O3939" s="32" t="str">
        <f>IF($M3939="","",IF($K3939-$M3939&gt;7,"",IF($M3939&lt;=$A3939,"",IF(OR($B3939&lt;=0,$N3939&lt;=0),"",($N3939/$B3939)^(365/($M3939-$A3939))-1))))</f>
        <v/>
      </c>
      <c r="P3939" s="31" t="str">
        <f>IF($B3939="","",IF($P3938="",$B3939,MAX($P3938,$B3939)))</f>
        <v/>
      </c>
      <c r="Q3939" s="32" t="str">
        <f>IF($P3939="","",$B3939/$P3939-1)</f>
        <v/>
      </c>
    </row>
    <row r="3940">
      <c r="A3940" s="11" t="n"/>
      <c r="B3940" s="29" t="n"/>
      <c r="K3940" s="30" t="str">
        <f>IF($A3940="","",EDATE($A3940,12*$E$4))</f>
        <v/>
      </c>
      <c r="L3940" s="19" t="str">
        <f>IF($K3940="","",IF($K3940&gt;MAX($A$8:$A$5007),"",IFERROR(MATCH($K3940,$A$8:$A$5007,1),"")))</f>
        <v/>
      </c>
      <c r="M3940" s="30" t="str">
        <f>IF($L3940="","",INDEX($A$8:$A$5007,$L3940))</f>
        <v/>
      </c>
      <c r="N3940" s="31" t="str">
        <f>IF($L3940="","",INDEX($B$8:$B$5007,$L3940))</f>
        <v/>
      </c>
      <c r="O3940" s="32" t="str">
        <f>IF($M3940="","",IF($K3940-$M3940&gt;7,"",IF($M3940&lt;=$A3940,"",IF(OR($B3940&lt;=0,$N3940&lt;=0),"",($N3940/$B3940)^(365/($M3940-$A3940))-1))))</f>
        <v/>
      </c>
      <c r="P3940" s="31" t="str">
        <f>IF($B3940="","",IF($P3939="",$B3940,MAX($P3939,$B3940)))</f>
        <v/>
      </c>
      <c r="Q3940" s="32" t="str">
        <f>IF($P3940="","",$B3940/$P3940-1)</f>
        <v/>
      </c>
    </row>
    <row r="3941">
      <c r="A3941" s="11" t="n"/>
      <c r="B3941" s="29" t="n"/>
      <c r="K3941" s="30" t="str">
        <f>IF($A3941="","",EDATE($A3941,12*$E$4))</f>
        <v/>
      </c>
      <c r="L3941" s="19" t="str">
        <f>IF($K3941="","",IF($K3941&gt;MAX($A$8:$A$5007),"",IFERROR(MATCH($K3941,$A$8:$A$5007,1),"")))</f>
        <v/>
      </c>
      <c r="M3941" s="30" t="str">
        <f>IF($L3941="","",INDEX($A$8:$A$5007,$L3941))</f>
        <v/>
      </c>
      <c r="N3941" s="31" t="str">
        <f>IF($L3941="","",INDEX($B$8:$B$5007,$L3941))</f>
        <v/>
      </c>
      <c r="O3941" s="32" t="str">
        <f>IF($M3941="","",IF($K3941-$M3941&gt;7,"",IF($M3941&lt;=$A3941,"",IF(OR($B3941&lt;=0,$N3941&lt;=0),"",($N3941/$B3941)^(365/($M3941-$A3941))-1))))</f>
        <v/>
      </c>
      <c r="P3941" s="31" t="str">
        <f>IF($B3941="","",IF($P3940="",$B3941,MAX($P3940,$B3941)))</f>
        <v/>
      </c>
      <c r="Q3941" s="32" t="str">
        <f>IF($P3941="","",$B3941/$P3941-1)</f>
        <v/>
      </c>
    </row>
    <row r="3942">
      <c r="A3942" s="11" t="n"/>
      <c r="B3942" s="29" t="n"/>
      <c r="K3942" s="30" t="str">
        <f>IF($A3942="","",EDATE($A3942,12*$E$4))</f>
        <v/>
      </c>
      <c r="L3942" s="19" t="str">
        <f>IF($K3942="","",IF($K3942&gt;MAX($A$8:$A$5007),"",IFERROR(MATCH($K3942,$A$8:$A$5007,1),"")))</f>
        <v/>
      </c>
      <c r="M3942" s="30" t="str">
        <f>IF($L3942="","",INDEX($A$8:$A$5007,$L3942))</f>
        <v/>
      </c>
      <c r="N3942" s="31" t="str">
        <f>IF($L3942="","",INDEX($B$8:$B$5007,$L3942))</f>
        <v/>
      </c>
      <c r="O3942" s="32" t="str">
        <f>IF($M3942="","",IF($K3942-$M3942&gt;7,"",IF($M3942&lt;=$A3942,"",IF(OR($B3942&lt;=0,$N3942&lt;=0),"",($N3942/$B3942)^(365/($M3942-$A3942))-1))))</f>
        <v/>
      </c>
      <c r="P3942" s="31" t="str">
        <f>IF($B3942="","",IF($P3941="",$B3942,MAX($P3941,$B3942)))</f>
        <v/>
      </c>
      <c r="Q3942" s="32" t="str">
        <f>IF($P3942="","",$B3942/$P3942-1)</f>
        <v/>
      </c>
    </row>
    <row r="3943">
      <c r="A3943" s="11" t="n"/>
      <c r="B3943" s="29" t="n"/>
      <c r="K3943" s="30" t="str">
        <f>IF($A3943="","",EDATE($A3943,12*$E$4))</f>
        <v/>
      </c>
      <c r="L3943" s="19" t="str">
        <f>IF($K3943="","",IF($K3943&gt;MAX($A$8:$A$5007),"",IFERROR(MATCH($K3943,$A$8:$A$5007,1),"")))</f>
        <v/>
      </c>
      <c r="M3943" s="30" t="str">
        <f>IF($L3943="","",INDEX($A$8:$A$5007,$L3943))</f>
        <v/>
      </c>
      <c r="N3943" s="31" t="str">
        <f>IF($L3943="","",INDEX($B$8:$B$5007,$L3943))</f>
        <v/>
      </c>
      <c r="O3943" s="32" t="str">
        <f>IF($M3943="","",IF($K3943-$M3943&gt;7,"",IF($M3943&lt;=$A3943,"",IF(OR($B3943&lt;=0,$N3943&lt;=0),"",($N3943/$B3943)^(365/($M3943-$A3943))-1))))</f>
        <v/>
      </c>
      <c r="P3943" s="31" t="str">
        <f>IF($B3943="","",IF($P3942="",$B3943,MAX($P3942,$B3943)))</f>
        <v/>
      </c>
      <c r="Q3943" s="32" t="str">
        <f>IF($P3943="","",$B3943/$P3943-1)</f>
        <v/>
      </c>
    </row>
    <row r="3944">
      <c r="A3944" s="11" t="n"/>
      <c r="B3944" s="29" t="n"/>
      <c r="K3944" s="30" t="str">
        <f>IF($A3944="","",EDATE($A3944,12*$E$4))</f>
        <v/>
      </c>
      <c r="L3944" s="19" t="str">
        <f>IF($K3944="","",IF($K3944&gt;MAX($A$8:$A$5007),"",IFERROR(MATCH($K3944,$A$8:$A$5007,1),"")))</f>
        <v/>
      </c>
      <c r="M3944" s="30" t="str">
        <f>IF($L3944="","",INDEX($A$8:$A$5007,$L3944))</f>
        <v/>
      </c>
      <c r="N3944" s="31" t="str">
        <f>IF($L3944="","",INDEX($B$8:$B$5007,$L3944))</f>
        <v/>
      </c>
      <c r="O3944" s="32" t="str">
        <f>IF($M3944="","",IF($K3944-$M3944&gt;7,"",IF($M3944&lt;=$A3944,"",IF(OR($B3944&lt;=0,$N3944&lt;=0),"",($N3944/$B3944)^(365/($M3944-$A3944))-1))))</f>
        <v/>
      </c>
      <c r="P3944" s="31" t="str">
        <f>IF($B3944="","",IF($P3943="",$B3944,MAX($P3943,$B3944)))</f>
        <v/>
      </c>
      <c r="Q3944" s="32" t="str">
        <f>IF($P3944="","",$B3944/$P3944-1)</f>
        <v/>
      </c>
    </row>
    <row r="3945">
      <c r="A3945" s="11" t="n"/>
      <c r="B3945" s="29" t="n"/>
      <c r="K3945" s="30" t="str">
        <f>IF($A3945="","",EDATE($A3945,12*$E$4))</f>
        <v/>
      </c>
      <c r="L3945" s="19" t="str">
        <f>IF($K3945="","",IF($K3945&gt;MAX($A$8:$A$5007),"",IFERROR(MATCH($K3945,$A$8:$A$5007,1),"")))</f>
        <v/>
      </c>
      <c r="M3945" s="30" t="str">
        <f>IF($L3945="","",INDEX($A$8:$A$5007,$L3945))</f>
        <v/>
      </c>
      <c r="N3945" s="31" t="str">
        <f>IF($L3945="","",INDEX($B$8:$B$5007,$L3945))</f>
        <v/>
      </c>
      <c r="O3945" s="32" t="str">
        <f>IF($M3945="","",IF($K3945-$M3945&gt;7,"",IF($M3945&lt;=$A3945,"",IF(OR($B3945&lt;=0,$N3945&lt;=0),"",($N3945/$B3945)^(365/($M3945-$A3945))-1))))</f>
        <v/>
      </c>
      <c r="P3945" s="31" t="str">
        <f>IF($B3945="","",IF($P3944="",$B3945,MAX($P3944,$B3945)))</f>
        <v/>
      </c>
      <c r="Q3945" s="32" t="str">
        <f>IF($P3945="","",$B3945/$P3945-1)</f>
        <v/>
      </c>
    </row>
    <row r="3946">
      <c r="A3946" s="11" t="n"/>
      <c r="B3946" s="29" t="n"/>
      <c r="K3946" s="30" t="str">
        <f>IF($A3946="","",EDATE($A3946,12*$E$4))</f>
        <v/>
      </c>
      <c r="L3946" s="19" t="str">
        <f>IF($K3946="","",IF($K3946&gt;MAX($A$8:$A$5007),"",IFERROR(MATCH($K3946,$A$8:$A$5007,1),"")))</f>
        <v/>
      </c>
      <c r="M3946" s="30" t="str">
        <f>IF($L3946="","",INDEX($A$8:$A$5007,$L3946))</f>
        <v/>
      </c>
      <c r="N3946" s="31" t="str">
        <f>IF($L3946="","",INDEX($B$8:$B$5007,$L3946))</f>
        <v/>
      </c>
      <c r="O3946" s="32" t="str">
        <f>IF($M3946="","",IF($K3946-$M3946&gt;7,"",IF($M3946&lt;=$A3946,"",IF(OR($B3946&lt;=0,$N3946&lt;=0),"",($N3946/$B3946)^(365/($M3946-$A3946))-1))))</f>
        <v/>
      </c>
      <c r="P3946" s="31" t="str">
        <f>IF($B3946="","",IF($P3945="",$B3946,MAX($P3945,$B3946)))</f>
        <v/>
      </c>
      <c r="Q3946" s="32" t="str">
        <f>IF($P3946="","",$B3946/$P3946-1)</f>
        <v/>
      </c>
    </row>
    <row r="3947">
      <c r="A3947" s="11" t="n"/>
      <c r="B3947" s="29" t="n"/>
      <c r="K3947" s="30" t="str">
        <f>IF($A3947="","",EDATE($A3947,12*$E$4))</f>
        <v/>
      </c>
      <c r="L3947" s="19" t="str">
        <f>IF($K3947="","",IF($K3947&gt;MAX($A$8:$A$5007),"",IFERROR(MATCH($K3947,$A$8:$A$5007,1),"")))</f>
        <v/>
      </c>
      <c r="M3947" s="30" t="str">
        <f>IF($L3947="","",INDEX($A$8:$A$5007,$L3947))</f>
        <v/>
      </c>
      <c r="N3947" s="31" t="str">
        <f>IF($L3947="","",INDEX($B$8:$B$5007,$L3947))</f>
        <v/>
      </c>
      <c r="O3947" s="32" t="str">
        <f>IF($M3947="","",IF($K3947-$M3947&gt;7,"",IF($M3947&lt;=$A3947,"",IF(OR($B3947&lt;=0,$N3947&lt;=0),"",($N3947/$B3947)^(365/($M3947-$A3947))-1))))</f>
        <v/>
      </c>
      <c r="P3947" s="31" t="str">
        <f>IF($B3947="","",IF($P3946="",$B3947,MAX($P3946,$B3947)))</f>
        <v/>
      </c>
      <c r="Q3947" s="32" t="str">
        <f>IF($P3947="","",$B3947/$P3947-1)</f>
        <v/>
      </c>
    </row>
    <row r="3948">
      <c r="A3948" s="11" t="n"/>
      <c r="B3948" s="29" t="n"/>
      <c r="K3948" s="30" t="str">
        <f>IF($A3948="","",EDATE($A3948,12*$E$4))</f>
        <v/>
      </c>
      <c r="L3948" s="19" t="str">
        <f>IF($K3948="","",IF($K3948&gt;MAX($A$8:$A$5007),"",IFERROR(MATCH($K3948,$A$8:$A$5007,1),"")))</f>
        <v/>
      </c>
      <c r="M3948" s="30" t="str">
        <f>IF($L3948="","",INDEX($A$8:$A$5007,$L3948))</f>
        <v/>
      </c>
      <c r="N3948" s="31" t="str">
        <f>IF($L3948="","",INDEX($B$8:$B$5007,$L3948))</f>
        <v/>
      </c>
      <c r="O3948" s="32" t="str">
        <f>IF($M3948="","",IF($K3948-$M3948&gt;7,"",IF($M3948&lt;=$A3948,"",IF(OR($B3948&lt;=0,$N3948&lt;=0),"",($N3948/$B3948)^(365/($M3948-$A3948))-1))))</f>
        <v/>
      </c>
      <c r="P3948" s="31" t="str">
        <f>IF($B3948="","",IF($P3947="",$B3948,MAX($P3947,$B3948)))</f>
        <v/>
      </c>
      <c r="Q3948" s="32" t="str">
        <f>IF($P3948="","",$B3948/$P3948-1)</f>
        <v/>
      </c>
    </row>
    <row r="3949">
      <c r="A3949" s="11" t="n"/>
      <c r="B3949" s="29" t="n"/>
      <c r="K3949" s="30" t="str">
        <f>IF($A3949="","",EDATE($A3949,12*$E$4))</f>
        <v/>
      </c>
      <c r="L3949" s="19" t="str">
        <f>IF($K3949="","",IF($K3949&gt;MAX($A$8:$A$5007),"",IFERROR(MATCH($K3949,$A$8:$A$5007,1),"")))</f>
        <v/>
      </c>
      <c r="M3949" s="30" t="str">
        <f>IF($L3949="","",INDEX($A$8:$A$5007,$L3949))</f>
        <v/>
      </c>
      <c r="N3949" s="31" t="str">
        <f>IF($L3949="","",INDEX($B$8:$B$5007,$L3949))</f>
        <v/>
      </c>
      <c r="O3949" s="32" t="str">
        <f>IF($M3949="","",IF($K3949-$M3949&gt;7,"",IF($M3949&lt;=$A3949,"",IF(OR($B3949&lt;=0,$N3949&lt;=0),"",($N3949/$B3949)^(365/($M3949-$A3949))-1))))</f>
        <v/>
      </c>
      <c r="P3949" s="31" t="str">
        <f>IF($B3949="","",IF($P3948="",$B3949,MAX($P3948,$B3949)))</f>
        <v/>
      </c>
      <c r="Q3949" s="32" t="str">
        <f>IF($P3949="","",$B3949/$P3949-1)</f>
        <v/>
      </c>
    </row>
    <row r="3950">
      <c r="A3950" s="11" t="n"/>
      <c r="B3950" s="29" t="n"/>
      <c r="K3950" s="30" t="str">
        <f>IF($A3950="","",EDATE($A3950,12*$E$4))</f>
        <v/>
      </c>
      <c r="L3950" s="19" t="str">
        <f>IF($K3950="","",IF($K3950&gt;MAX($A$8:$A$5007),"",IFERROR(MATCH($K3950,$A$8:$A$5007,1),"")))</f>
        <v/>
      </c>
      <c r="M3950" s="30" t="str">
        <f>IF($L3950="","",INDEX($A$8:$A$5007,$L3950))</f>
        <v/>
      </c>
      <c r="N3950" s="31" t="str">
        <f>IF($L3950="","",INDEX($B$8:$B$5007,$L3950))</f>
        <v/>
      </c>
      <c r="O3950" s="32" t="str">
        <f>IF($M3950="","",IF($K3950-$M3950&gt;7,"",IF($M3950&lt;=$A3950,"",IF(OR($B3950&lt;=0,$N3950&lt;=0),"",($N3950/$B3950)^(365/($M3950-$A3950))-1))))</f>
        <v/>
      </c>
      <c r="P3950" s="31" t="str">
        <f>IF($B3950="","",IF($P3949="",$B3950,MAX($P3949,$B3950)))</f>
        <v/>
      </c>
      <c r="Q3950" s="32" t="str">
        <f>IF($P3950="","",$B3950/$P3950-1)</f>
        <v/>
      </c>
    </row>
    <row r="3951">
      <c r="A3951" s="11" t="n"/>
      <c r="B3951" s="29" t="n"/>
      <c r="K3951" s="30" t="str">
        <f>IF($A3951="","",EDATE($A3951,12*$E$4))</f>
        <v/>
      </c>
      <c r="L3951" s="19" t="str">
        <f>IF($K3951="","",IF($K3951&gt;MAX($A$8:$A$5007),"",IFERROR(MATCH($K3951,$A$8:$A$5007,1),"")))</f>
        <v/>
      </c>
      <c r="M3951" s="30" t="str">
        <f>IF($L3951="","",INDEX($A$8:$A$5007,$L3951))</f>
        <v/>
      </c>
      <c r="N3951" s="31" t="str">
        <f>IF($L3951="","",INDEX($B$8:$B$5007,$L3951))</f>
        <v/>
      </c>
      <c r="O3951" s="32" t="str">
        <f>IF($M3951="","",IF($K3951-$M3951&gt;7,"",IF($M3951&lt;=$A3951,"",IF(OR($B3951&lt;=0,$N3951&lt;=0),"",($N3951/$B3951)^(365/($M3951-$A3951))-1))))</f>
        <v/>
      </c>
      <c r="P3951" s="31" t="str">
        <f>IF($B3951="","",IF($P3950="",$B3951,MAX($P3950,$B3951)))</f>
        <v/>
      </c>
      <c r="Q3951" s="32" t="str">
        <f>IF($P3951="","",$B3951/$P3951-1)</f>
        <v/>
      </c>
    </row>
    <row r="3952">
      <c r="A3952" s="11" t="n"/>
      <c r="B3952" s="29" t="n"/>
      <c r="K3952" s="30" t="str">
        <f>IF($A3952="","",EDATE($A3952,12*$E$4))</f>
        <v/>
      </c>
      <c r="L3952" s="19" t="str">
        <f>IF($K3952="","",IF($K3952&gt;MAX($A$8:$A$5007),"",IFERROR(MATCH($K3952,$A$8:$A$5007,1),"")))</f>
        <v/>
      </c>
      <c r="M3952" s="30" t="str">
        <f>IF($L3952="","",INDEX($A$8:$A$5007,$L3952))</f>
        <v/>
      </c>
      <c r="N3952" s="31" t="str">
        <f>IF($L3952="","",INDEX($B$8:$B$5007,$L3952))</f>
        <v/>
      </c>
      <c r="O3952" s="32" t="str">
        <f>IF($M3952="","",IF($K3952-$M3952&gt;7,"",IF($M3952&lt;=$A3952,"",IF(OR($B3952&lt;=0,$N3952&lt;=0),"",($N3952/$B3952)^(365/($M3952-$A3952))-1))))</f>
        <v/>
      </c>
      <c r="P3952" s="31" t="str">
        <f>IF($B3952="","",IF($P3951="",$B3952,MAX($P3951,$B3952)))</f>
        <v/>
      </c>
      <c r="Q3952" s="32" t="str">
        <f>IF($P3952="","",$B3952/$P3952-1)</f>
        <v/>
      </c>
    </row>
    <row r="3953">
      <c r="A3953" s="11" t="n"/>
      <c r="B3953" s="29" t="n"/>
      <c r="K3953" s="30" t="str">
        <f>IF($A3953="","",EDATE($A3953,12*$E$4))</f>
        <v/>
      </c>
      <c r="L3953" s="19" t="str">
        <f>IF($K3953="","",IF($K3953&gt;MAX($A$8:$A$5007),"",IFERROR(MATCH($K3953,$A$8:$A$5007,1),"")))</f>
        <v/>
      </c>
      <c r="M3953" s="30" t="str">
        <f>IF($L3953="","",INDEX($A$8:$A$5007,$L3953))</f>
        <v/>
      </c>
      <c r="N3953" s="31" t="str">
        <f>IF($L3953="","",INDEX($B$8:$B$5007,$L3953))</f>
        <v/>
      </c>
      <c r="O3953" s="32" t="str">
        <f>IF($M3953="","",IF($K3953-$M3953&gt;7,"",IF($M3953&lt;=$A3953,"",IF(OR($B3953&lt;=0,$N3953&lt;=0),"",($N3953/$B3953)^(365/($M3953-$A3953))-1))))</f>
        <v/>
      </c>
      <c r="P3953" s="31" t="str">
        <f>IF($B3953="","",IF($P3952="",$B3953,MAX($P3952,$B3953)))</f>
        <v/>
      </c>
      <c r="Q3953" s="32" t="str">
        <f>IF($P3953="","",$B3953/$P3953-1)</f>
        <v/>
      </c>
    </row>
    <row r="3954">
      <c r="A3954" s="11" t="n"/>
      <c r="B3954" s="29" t="n"/>
      <c r="K3954" s="30" t="str">
        <f>IF($A3954="","",EDATE($A3954,12*$E$4))</f>
        <v/>
      </c>
      <c r="L3954" s="19" t="str">
        <f>IF($K3954="","",IF($K3954&gt;MAX($A$8:$A$5007),"",IFERROR(MATCH($K3954,$A$8:$A$5007,1),"")))</f>
        <v/>
      </c>
      <c r="M3954" s="30" t="str">
        <f>IF($L3954="","",INDEX($A$8:$A$5007,$L3954))</f>
        <v/>
      </c>
      <c r="N3954" s="31" t="str">
        <f>IF($L3954="","",INDEX($B$8:$B$5007,$L3954))</f>
        <v/>
      </c>
      <c r="O3954" s="32" t="str">
        <f>IF($M3954="","",IF($K3954-$M3954&gt;7,"",IF($M3954&lt;=$A3954,"",IF(OR($B3954&lt;=0,$N3954&lt;=0),"",($N3954/$B3954)^(365/($M3954-$A3954))-1))))</f>
        <v/>
      </c>
      <c r="P3954" s="31" t="str">
        <f>IF($B3954="","",IF($P3953="",$B3954,MAX($P3953,$B3954)))</f>
        <v/>
      </c>
      <c r="Q3954" s="32" t="str">
        <f>IF($P3954="","",$B3954/$P3954-1)</f>
        <v/>
      </c>
    </row>
    <row r="3955">
      <c r="A3955" s="11" t="n"/>
      <c r="B3955" s="29" t="n"/>
      <c r="K3955" s="30" t="str">
        <f>IF($A3955="","",EDATE($A3955,12*$E$4))</f>
        <v/>
      </c>
      <c r="L3955" s="19" t="str">
        <f>IF($K3955="","",IF($K3955&gt;MAX($A$8:$A$5007),"",IFERROR(MATCH($K3955,$A$8:$A$5007,1),"")))</f>
        <v/>
      </c>
      <c r="M3955" s="30" t="str">
        <f>IF($L3955="","",INDEX($A$8:$A$5007,$L3955))</f>
        <v/>
      </c>
      <c r="N3955" s="31" t="str">
        <f>IF($L3955="","",INDEX($B$8:$B$5007,$L3955))</f>
        <v/>
      </c>
      <c r="O3955" s="32" t="str">
        <f>IF($M3955="","",IF($K3955-$M3955&gt;7,"",IF($M3955&lt;=$A3955,"",IF(OR($B3955&lt;=0,$N3955&lt;=0),"",($N3955/$B3955)^(365/($M3955-$A3955))-1))))</f>
        <v/>
      </c>
      <c r="P3955" s="31" t="str">
        <f>IF($B3955="","",IF($P3954="",$B3955,MAX($P3954,$B3955)))</f>
        <v/>
      </c>
      <c r="Q3955" s="32" t="str">
        <f>IF($P3955="","",$B3955/$P3955-1)</f>
        <v/>
      </c>
    </row>
    <row r="3956">
      <c r="A3956" s="11" t="n"/>
      <c r="B3956" s="29" t="n"/>
      <c r="K3956" s="30" t="str">
        <f>IF($A3956="","",EDATE($A3956,12*$E$4))</f>
        <v/>
      </c>
      <c r="L3956" s="19" t="str">
        <f>IF($K3956="","",IF($K3956&gt;MAX($A$8:$A$5007),"",IFERROR(MATCH($K3956,$A$8:$A$5007,1),"")))</f>
        <v/>
      </c>
      <c r="M3956" s="30" t="str">
        <f>IF($L3956="","",INDEX($A$8:$A$5007,$L3956))</f>
        <v/>
      </c>
      <c r="N3956" s="31" t="str">
        <f>IF($L3956="","",INDEX($B$8:$B$5007,$L3956))</f>
        <v/>
      </c>
      <c r="O3956" s="32" t="str">
        <f>IF($M3956="","",IF($K3956-$M3956&gt;7,"",IF($M3956&lt;=$A3956,"",IF(OR($B3956&lt;=0,$N3956&lt;=0),"",($N3956/$B3956)^(365/($M3956-$A3956))-1))))</f>
        <v/>
      </c>
      <c r="P3956" s="31" t="str">
        <f>IF($B3956="","",IF($P3955="",$B3956,MAX($P3955,$B3956)))</f>
        <v/>
      </c>
      <c r="Q3956" s="32" t="str">
        <f>IF($P3956="","",$B3956/$P3956-1)</f>
        <v/>
      </c>
    </row>
    <row r="3957">
      <c r="A3957" s="11" t="n"/>
      <c r="B3957" s="29" t="n"/>
      <c r="K3957" s="30" t="str">
        <f>IF($A3957="","",EDATE($A3957,12*$E$4))</f>
        <v/>
      </c>
      <c r="L3957" s="19" t="str">
        <f>IF($K3957="","",IF($K3957&gt;MAX($A$8:$A$5007),"",IFERROR(MATCH($K3957,$A$8:$A$5007,1),"")))</f>
        <v/>
      </c>
      <c r="M3957" s="30" t="str">
        <f>IF($L3957="","",INDEX($A$8:$A$5007,$L3957))</f>
        <v/>
      </c>
      <c r="N3957" s="31" t="str">
        <f>IF($L3957="","",INDEX($B$8:$B$5007,$L3957))</f>
        <v/>
      </c>
      <c r="O3957" s="32" t="str">
        <f>IF($M3957="","",IF($K3957-$M3957&gt;7,"",IF($M3957&lt;=$A3957,"",IF(OR($B3957&lt;=0,$N3957&lt;=0),"",($N3957/$B3957)^(365/($M3957-$A3957))-1))))</f>
        <v/>
      </c>
      <c r="P3957" s="31" t="str">
        <f>IF($B3957="","",IF($P3956="",$B3957,MAX($P3956,$B3957)))</f>
        <v/>
      </c>
      <c r="Q3957" s="32" t="str">
        <f>IF($P3957="","",$B3957/$P3957-1)</f>
        <v/>
      </c>
    </row>
    <row r="3958">
      <c r="A3958" s="11" t="n"/>
      <c r="B3958" s="29" t="n"/>
      <c r="K3958" s="30" t="str">
        <f>IF($A3958="","",EDATE($A3958,12*$E$4))</f>
        <v/>
      </c>
      <c r="L3958" s="19" t="str">
        <f>IF($K3958="","",IF($K3958&gt;MAX($A$8:$A$5007),"",IFERROR(MATCH($K3958,$A$8:$A$5007,1),"")))</f>
        <v/>
      </c>
      <c r="M3958" s="30" t="str">
        <f>IF($L3958="","",INDEX($A$8:$A$5007,$L3958))</f>
        <v/>
      </c>
      <c r="N3958" s="31" t="str">
        <f>IF($L3958="","",INDEX($B$8:$B$5007,$L3958))</f>
        <v/>
      </c>
      <c r="O3958" s="32" t="str">
        <f>IF($M3958="","",IF($K3958-$M3958&gt;7,"",IF($M3958&lt;=$A3958,"",IF(OR($B3958&lt;=0,$N3958&lt;=0),"",($N3958/$B3958)^(365/($M3958-$A3958))-1))))</f>
        <v/>
      </c>
      <c r="P3958" s="31" t="str">
        <f>IF($B3958="","",IF($P3957="",$B3958,MAX($P3957,$B3958)))</f>
        <v/>
      </c>
      <c r="Q3958" s="32" t="str">
        <f>IF($P3958="","",$B3958/$P3958-1)</f>
        <v/>
      </c>
    </row>
    <row r="3959">
      <c r="A3959" s="11" t="n"/>
      <c r="B3959" s="29" t="n"/>
      <c r="K3959" s="30" t="str">
        <f>IF($A3959="","",EDATE($A3959,12*$E$4))</f>
        <v/>
      </c>
      <c r="L3959" s="19" t="str">
        <f>IF($K3959="","",IF($K3959&gt;MAX($A$8:$A$5007),"",IFERROR(MATCH($K3959,$A$8:$A$5007,1),"")))</f>
        <v/>
      </c>
      <c r="M3959" s="30" t="str">
        <f>IF($L3959="","",INDEX($A$8:$A$5007,$L3959))</f>
        <v/>
      </c>
      <c r="N3959" s="31" t="str">
        <f>IF($L3959="","",INDEX($B$8:$B$5007,$L3959))</f>
        <v/>
      </c>
      <c r="O3959" s="32" t="str">
        <f>IF($M3959="","",IF($K3959-$M3959&gt;7,"",IF($M3959&lt;=$A3959,"",IF(OR($B3959&lt;=0,$N3959&lt;=0),"",($N3959/$B3959)^(365/($M3959-$A3959))-1))))</f>
        <v/>
      </c>
      <c r="P3959" s="31" t="str">
        <f>IF($B3959="","",IF($P3958="",$B3959,MAX($P3958,$B3959)))</f>
        <v/>
      </c>
      <c r="Q3959" s="32" t="str">
        <f>IF($P3959="","",$B3959/$P3959-1)</f>
        <v/>
      </c>
    </row>
    <row r="3960">
      <c r="A3960" s="11" t="n"/>
      <c r="B3960" s="29" t="n"/>
      <c r="K3960" s="30" t="str">
        <f>IF($A3960="","",EDATE($A3960,12*$E$4))</f>
        <v/>
      </c>
      <c r="L3960" s="19" t="str">
        <f>IF($K3960="","",IF($K3960&gt;MAX($A$8:$A$5007),"",IFERROR(MATCH($K3960,$A$8:$A$5007,1),"")))</f>
        <v/>
      </c>
      <c r="M3960" s="30" t="str">
        <f>IF($L3960="","",INDEX($A$8:$A$5007,$L3960))</f>
        <v/>
      </c>
      <c r="N3960" s="31" t="str">
        <f>IF($L3960="","",INDEX($B$8:$B$5007,$L3960))</f>
        <v/>
      </c>
      <c r="O3960" s="32" t="str">
        <f>IF($M3960="","",IF($K3960-$M3960&gt;7,"",IF($M3960&lt;=$A3960,"",IF(OR($B3960&lt;=0,$N3960&lt;=0),"",($N3960/$B3960)^(365/($M3960-$A3960))-1))))</f>
        <v/>
      </c>
      <c r="P3960" s="31" t="str">
        <f>IF($B3960="","",IF($P3959="",$B3960,MAX($P3959,$B3960)))</f>
        <v/>
      </c>
      <c r="Q3960" s="32" t="str">
        <f>IF($P3960="","",$B3960/$P3960-1)</f>
        <v/>
      </c>
    </row>
    <row r="3961">
      <c r="A3961" s="11" t="n"/>
      <c r="B3961" s="29" t="n"/>
      <c r="K3961" s="30" t="str">
        <f>IF($A3961="","",EDATE($A3961,12*$E$4))</f>
        <v/>
      </c>
      <c r="L3961" s="19" t="str">
        <f>IF($K3961="","",IF($K3961&gt;MAX($A$8:$A$5007),"",IFERROR(MATCH($K3961,$A$8:$A$5007,1),"")))</f>
        <v/>
      </c>
      <c r="M3961" s="30" t="str">
        <f>IF($L3961="","",INDEX($A$8:$A$5007,$L3961))</f>
        <v/>
      </c>
      <c r="N3961" s="31" t="str">
        <f>IF($L3961="","",INDEX($B$8:$B$5007,$L3961))</f>
        <v/>
      </c>
      <c r="O3961" s="32" t="str">
        <f>IF($M3961="","",IF($K3961-$M3961&gt;7,"",IF($M3961&lt;=$A3961,"",IF(OR($B3961&lt;=0,$N3961&lt;=0),"",($N3961/$B3961)^(365/($M3961-$A3961))-1))))</f>
        <v/>
      </c>
      <c r="P3961" s="31" t="str">
        <f>IF($B3961="","",IF($P3960="",$B3961,MAX($P3960,$B3961)))</f>
        <v/>
      </c>
      <c r="Q3961" s="32" t="str">
        <f>IF($P3961="","",$B3961/$P3961-1)</f>
        <v/>
      </c>
    </row>
    <row r="3962">
      <c r="A3962" s="11" t="n"/>
      <c r="B3962" s="29" t="n"/>
      <c r="K3962" s="30" t="str">
        <f>IF($A3962="","",EDATE($A3962,12*$E$4))</f>
        <v/>
      </c>
      <c r="L3962" s="19" t="str">
        <f>IF($K3962="","",IF($K3962&gt;MAX($A$8:$A$5007),"",IFERROR(MATCH($K3962,$A$8:$A$5007,1),"")))</f>
        <v/>
      </c>
      <c r="M3962" s="30" t="str">
        <f>IF($L3962="","",INDEX($A$8:$A$5007,$L3962))</f>
        <v/>
      </c>
      <c r="N3962" s="31" t="str">
        <f>IF($L3962="","",INDEX($B$8:$B$5007,$L3962))</f>
        <v/>
      </c>
      <c r="O3962" s="32" t="str">
        <f>IF($M3962="","",IF($K3962-$M3962&gt;7,"",IF($M3962&lt;=$A3962,"",IF(OR($B3962&lt;=0,$N3962&lt;=0),"",($N3962/$B3962)^(365/($M3962-$A3962))-1))))</f>
        <v/>
      </c>
      <c r="P3962" s="31" t="str">
        <f>IF($B3962="","",IF($P3961="",$B3962,MAX($P3961,$B3962)))</f>
        <v/>
      </c>
      <c r="Q3962" s="32" t="str">
        <f>IF($P3962="","",$B3962/$P3962-1)</f>
        <v/>
      </c>
    </row>
    <row r="3963">
      <c r="A3963" s="11" t="n"/>
      <c r="B3963" s="29" t="n"/>
      <c r="K3963" s="30" t="str">
        <f>IF($A3963="","",EDATE($A3963,12*$E$4))</f>
        <v/>
      </c>
      <c r="L3963" s="19" t="str">
        <f>IF($K3963="","",IF($K3963&gt;MAX($A$8:$A$5007),"",IFERROR(MATCH($K3963,$A$8:$A$5007,1),"")))</f>
        <v/>
      </c>
      <c r="M3963" s="30" t="str">
        <f>IF($L3963="","",INDEX($A$8:$A$5007,$L3963))</f>
        <v/>
      </c>
      <c r="N3963" s="31" t="str">
        <f>IF($L3963="","",INDEX($B$8:$B$5007,$L3963))</f>
        <v/>
      </c>
      <c r="O3963" s="32" t="str">
        <f>IF($M3963="","",IF($K3963-$M3963&gt;7,"",IF($M3963&lt;=$A3963,"",IF(OR($B3963&lt;=0,$N3963&lt;=0),"",($N3963/$B3963)^(365/($M3963-$A3963))-1))))</f>
        <v/>
      </c>
      <c r="P3963" s="31" t="str">
        <f>IF($B3963="","",IF($P3962="",$B3963,MAX($P3962,$B3963)))</f>
        <v/>
      </c>
      <c r="Q3963" s="32" t="str">
        <f>IF($P3963="","",$B3963/$P3963-1)</f>
        <v/>
      </c>
    </row>
    <row r="3964">
      <c r="A3964" s="11" t="n"/>
      <c r="B3964" s="29" t="n"/>
      <c r="K3964" s="30" t="str">
        <f>IF($A3964="","",EDATE($A3964,12*$E$4))</f>
        <v/>
      </c>
      <c r="L3964" s="19" t="str">
        <f>IF($K3964="","",IF($K3964&gt;MAX($A$8:$A$5007),"",IFERROR(MATCH($K3964,$A$8:$A$5007,1),"")))</f>
        <v/>
      </c>
      <c r="M3964" s="30" t="str">
        <f>IF($L3964="","",INDEX($A$8:$A$5007,$L3964))</f>
        <v/>
      </c>
      <c r="N3964" s="31" t="str">
        <f>IF($L3964="","",INDEX($B$8:$B$5007,$L3964))</f>
        <v/>
      </c>
      <c r="O3964" s="32" t="str">
        <f>IF($M3964="","",IF($K3964-$M3964&gt;7,"",IF($M3964&lt;=$A3964,"",IF(OR($B3964&lt;=0,$N3964&lt;=0),"",($N3964/$B3964)^(365/($M3964-$A3964))-1))))</f>
        <v/>
      </c>
      <c r="P3964" s="31" t="str">
        <f>IF($B3964="","",IF($P3963="",$B3964,MAX($P3963,$B3964)))</f>
        <v/>
      </c>
      <c r="Q3964" s="32" t="str">
        <f>IF($P3964="","",$B3964/$P3964-1)</f>
        <v/>
      </c>
    </row>
    <row r="3965">
      <c r="A3965" s="11" t="n"/>
      <c r="B3965" s="29" t="n"/>
      <c r="K3965" s="30" t="str">
        <f>IF($A3965="","",EDATE($A3965,12*$E$4))</f>
        <v/>
      </c>
      <c r="L3965" s="19" t="str">
        <f>IF($K3965="","",IF($K3965&gt;MAX($A$8:$A$5007),"",IFERROR(MATCH($K3965,$A$8:$A$5007,1),"")))</f>
        <v/>
      </c>
      <c r="M3965" s="30" t="str">
        <f>IF($L3965="","",INDEX($A$8:$A$5007,$L3965))</f>
        <v/>
      </c>
      <c r="N3965" s="31" t="str">
        <f>IF($L3965="","",INDEX($B$8:$B$5007,$L3965))</f>
        <v/>
      </c>
      <c r="O3965" s="32" t="str">
        <f>IF($M3965="","",IF($K3965-$M3965&gt;7,"",IF($M3965&lt;=$A3965,"",IF(OR($B3965&lt;=0,$N3965&lt;=0),"",($N3965/$B3965)^(365/($M3965-$A3965))-1))))</f>
        <v/>
      </c>
      <c r="P3965" s="31" t="str">
        <f>IF($B3965="","",IF($P3964="",$B3965,MAX($P3964,$B3965)))</f>
        <v/>
      </c>
      <c r="Q3965" s="32" t="str">
        <f>IF($P3965="","",$B3965/$P3965-1)</f>
        <v/>
      </c>
    </row>
    <row r="3966">
      <c r="A3966" s="11" t="n"/>
      <c r="B3966" s="29" t="n"/>
      <c r="K3966" s="30" t="str">
        <f>IF($A3966="","",EDATE($A3966,12*$E$4))</f>
        <v/>
      </c>
      <c r="L3966" s="19" t="str">
        <f>IF($K3966="","",IF($K3966&gt;MAX($A$8:$A$5007),"",IFERROR(MATCH($K3966,$A$8:$A$5007,1),"")))</f>
        <v/>
      </c>
      <c r="M3966" s="30" t="str">
        <f>IF($L3966="","",INDEX($A$8:$A$5007,$L3966))</f>
        <v/>
      </c>
      <c r="N3966" s="31" t="str">
        <f>IF($L3966="","",INDEX($B$8:$B$5007,$L3966))</f>
        <v/>
      </c>
      <c r="O3966" s="32" t="str">
        <f>IF($M3966="","",IF($K3966-$M3966&gt;7,"",IF($M3966&lt;=$A3966,"",IF(OR($B3966&lt;=0,$N3966&lt;=0),"",($N3966/$B3966)^(365/($M3966-$A3966))-1))))</f>
        <v/>
      </c>
      <c r="P3966" s="31" t="str">
        <f>IF($B3966="","",IF($P3965="",$B3966,MAX($P3965,$B3966)))</f>
        <v/>
      </c>
      <c r="Q3966" s="32" t="str">
        <f>IF($P3966="","",$B3966/$P3966-1)</f>
        <v/>
      </c>
    </row>
    <row r="3967">
      <c r="A3967" s="11" t="n"/>
      <c r="B3967" s="29" t="n"/>
      <c r="K3967" s="30" t="str">
        <f>IF($A3967="","",EDATE($A3967,12*$E$4))</f>
        <v/>
      </c>
      <c r="L3967" s="19" t="str">
        <f>IF($K3967="","",IF($K3967&gt;MAX($A$8:$A$5007),"",IFERROR(MATCH($K3967,$A$8:$A$5007,1),"")))</f>
        <v/>
      </c>
      <c r="M3967" s="30" t="str">
        <f>IF($L3967="","",INDEX($A$8:$A$5007,$L3967))</f>
        <v/>
      </c>
      <c r="N3967" s="31" t="str">
        <f>IF($L3967="","",INDEX($B$8:$B$5007,$L3967))</f>
        <v/>
      </c>
      <c r="O3967" s="32" t="str">
        <f>IF($M3967="","",IF($K3967-$M3967&gt;7,"",IF($M3967&lt;=$A3967,"",IF(OR($B3967&lt;=0,$N3967&lt;=0),"",($N3967/$B3967)^(365/($M3967-$A3967))-1))))</f>
        <v/>
      </c>
      <c r="P3967" s="31" t="str">
        <f>IF($B3967="","",IF($P3966="",$B3967,MAX($P3966,$B3967)))</f>
        <v/>
      </c>
      <c r="Q3967" s="32" t="str">
        <f>IF($P3967="","",$B3967/$P3967-1)</f>
        <v/>
      </c>
    </row>
    <row r="3968">
      <c r="A3968" s="11" t="n"/>
      <c r="B3968" s="29" t="n"/>
      <c r="K3968" s="30" t="str">
        <f>IF($A3968="","",EDATE($A3968,12*$E$4))</f>
        <v/>
      </c>
      <c r="L3968" s="19" t="str">
        <f>IF($K3968="","",IF($K3968&gt;MAX($A$8:$A$5007),"",IFERROR(MATCH($K3968,$A$8:$A$5007,1),"")))</f>
        <v/>
      </c>
      <c r="M3968" s="30" t="str">
        <f>IF($L3968="","",INDEX($A$8:$A$5007,$L3968))</f>
        <v/>
      </c>
      <c r="N3968" s="31" t="str">
        <f>IF($L3968="","",INDEX($B$8:$B$5007,$L3968))</f>
        <v/>
      </c>
      <c r="O3968" s="32" t="str">
        <f>IF($M3968="","",IF($K3968-$M3968&gt;7,"",IF($M3968&lt;=$A3968,"",IF(OR($B3968&lt;=0,$N3968&lt;=0),"",($N3968/$B3968)^(365/($M3968-$A3968))-1))))</f>
        <v/>
      </c>
      <c r="P3968" s="31" t="str">
        <f>IF($B3968="","",IF($P3967="",$B3968,MAX($P3967,$B3968)))</f>
        <v/>
      </c>
      <c r="Q3968" s="32" t="str">
        <f>IF($P3968="","",$B3968/$P3968-1)</f>
        <v/>
      </c>
    </row>
    <row r="3969">
      <c r="A3969" s="11" t="n"/>
      <c r="B3969" s="29" t="n"/>
      <c r="K3969" s="30" t="str">
        <f>IF($A3969="","",EDATE($A3969,12*$E$4))</f>
        <v/>
      </c>
      <c r="L3969" s="19" t="str">
        <f>IF($K3969="","",IF($K3969&gt;MAX($A$8:$A$5007),"",IFERROR(MATCH($K3969,$A$8:$A$5007,1),"")))</f>
        <v/>
      </c>
      <c r="M3969" s="30" t="str">
        <f>IF($L3969="","",INDEX($A$8:$A$5007,$L3969))</f>
        <v/>
      </c>
      <c r="N3969" s="31" t="str">
        <f>IF($L3969="","",INDEX($B$8:$B$5007,$L3969))</f>
        <v/>
      </c>
      <c r="O3969" s="32" t="str">
        <f>IF($M3969="","",IF($K3969-$M3969&gt;7,"",IF($M3969&lt;=$A3969,"",IF(OR($B3969&lt;=0,$N3969&lt;=0),"",($N3969/$B3969)^(365/($M3969-$A3969))-1))))</f>
        <v/>
      </c>
      <c r="P3969" s="31" t="str">
        <f>IF($B3969="","",IF($P3968="",$B3969,MAX($P3968,$B3969)))</f>
        <v/>
      </c>
      <c r="Q3969" s="32" t="str">
        <f>IF($P3969="","",$B3969/$P3969-1)</f>
        <v/>
      </c>
    </row>
    <row r="3970">
      <c r="A3970" s="11" t="n"/>
      <c r="B3970" s="29" t="n"/>
      <c r="K3970" s="30" t="str">
        <f>IF($A3970="","",EDATE($A3970,12*$E$4))</f>
        <v/>
      </c>
      <c r="L3970" s="19" t="str">
        <f>IF($K3970="","",IF($K3970&gt;MAX($A$8:$A$5007),"",IFERROR(MATCH($K3970,$A$8:$A$5007,1),"")))</f>
        <v/>
      </c>
      <c r="M3970" s="30" t="str">
        <f>IF($L3970="","",INDEX($A$8:$A$5007,$L3970))</f>
        <v/>
      </c>
      <c r="N3970" s="31" t="str">
        <f>IF($L3970="","",INDEX($B$8:$B$5007,$L3970))</f>
        <v/>
      </c>
      <c r="O3970" s="32" t="str">
        <f>IF($M3970="","",IF($K3970-$M3970&gt;7,"",IF($M3970&lt;=$A3970,"",IF(OR($B3970&lt;=0,$N3970&lt;=0),"",($N3970/$B3970)^(365/($M3970-$A3970))-1))))</f>
        <v/>
      </c>
      <c r="P3970" s="31" t="str">
        <f>IF($B3970="","",IF($P3969="",$B3970,MAX($P3969,$B3970)))</f>
        <v/>
      </c>
      <c r="Q3970" s="32" t="str">
        <f>IF($P3970="","",$B3970/$P3970-1)</f>
        <v/>
      </c>
    </row>
    <row r="3971">
      <c r="A3971" s="11" t="n"/>
      <c r="B3971" s="29" t="n"/>
      <c r="K3971" s="30" t="str">
        <f>IF($A3971="","",EDATE($A3971,12*$E$4))</f>
        <v/>
      </c>
      <c r="L3971" s="19" t="str">
        <f>IF($K3971="","",IF($K3971&gt;MAX($A$8:$A$5007),"",IFERROR(MATCH($K3971,$A$8:$A$5007,1),"")))</f>
        <v/>
      </c>
      <c r="M3971" s="30" t="str">
        <f>IF($L3971="","",INDEX($A$8:$A$5007,$L3971))</f>
        <v/>
      </c>
      <c r="N3971" s="31" t="str">
        <f>IF($L3971="","",INDEX($B$8:$B$5007,$L3971))</f>
        <v/>
      </c>
      <c r="O3971" s="32" t="str">
        <f>IF($M3971="","",IF($K3971-$M3971&gt;7,"",IF($M3971&lt;=$A3971,"",IF(OR($B3971&lt;=0,$N3971&lt;=0),"",($N3971/$B3971)^(365/($M3971-$A3971))-1))))</f>
        <v/>
      </c>
      <c r="P3971" s="31" t="str">
        <f>IF($B3971="","",IF($P3970="",$B3971,MAX($P3970,$B3971)))</f>
        <v/>
      </c>
      <c r="Q3971" s="32" t="str">
        <f>IF($P3971="","",$B3971/$P3971-1)</f>
        <v/>
      </c>
    </row>
    <row r="3972">
      <c r="A3972" s="11" t="n"/>
      <c r="B3972" s="29" t="n"/>
      <c r="K3972" s="30" t="str">
        <f>IF($A3972="","",EDATE($A3972,12*$E$4))</f>
        <v/>
      </c>
      <c r="L3972" s="19" t="str">
        <f>IF($K3972="","",IF($K3972&gt;MAX($A$8:$A$5007),"",IFERROR(MATCH($K3972,$A$8:$A$5007,1),"")))</f>
        <v/>
      </c>
      <c r="M3972" s="30" t="str">
        <f>IF($L3972="","",INDEX($A$8:$A$5007,$L3972))</f>
        <v/>
      </c>
      <c r="N3972" s="31" t="str">
        <f>IF($L3972="","",INDEX($B$8:$B$5007,$L3972))</f>
        <v/>
      </c>
      <c r="O3972" s="32" t="str">
        <f>IF($M3972="","",IF($K3972-$M3972&gt;7,"",IF($M3972&lt;=$A3972,"",IF(OR($B3972&lt;=0,$N3972&lt;=0),"",($N3972/$B3972)^(365/($M3972-$A3972))-1))))</f>
        <v/>
      </c>
      <c r="P3972" s="31" t="str">
        <f>IF($B3972="","",IF($P3971="",$B3972,MAX($P3971,$B3972)))</f>
        <v/>
      </c>
      <c r="Q3972" s="32" t="str">
        <f>IF($P3972="","",$B3972/$P3972-1)</f>
        <v/>
      </c>
    </row>
    <row r="3973">
      <c r="A3973" s="11" t="n"/>
      <c r="B3973" s="29" t="n"/>
      <c r="K3973" s="30" t="str">
        <f>IF($A3973="","",EDATE($A3973,12*$E$4))</f>
        <v/>
      </c>
      <c r="L3973" s="19" t="str">
        <f>IF($K3973="","",IF($K3973&gt;MAX($A$8:$A$5007),"",IFERROR(MATCH($K3973,$A$8:$A$5007,1),"")))</f>
        <v/>
      </c>
      <c r="M3973" s="30" t="str">
        <f>IF($L3973="","",INDEX($A$8:$A$5007,$L3973))</f>
        <v/>
      </c>
      <c r="N3973" s="31" t="str">
        <f>IF($L3973="","",INDEX($B$8:$B$5007,$L3973))</f>
        <v/>
      </c>
      <c r="O3973" s="32" t="str">
        <f>IF($M3973="","",IF($K3973-$M3973&gt;7,"",IF($M3973&lt;=$A3973,"",IF(OR($B3973&lt;=0,$N3973&lt;=0),"",($N3973/$B3973)^(365/($M3973-$A3973))-1))))</f>
        <v/>
      </c>
      <c r="P3973" s="31" t="str">
        <f>IF($B3973="","",IF($P3972="",$B3973,MAX($P3972,$B3973)))</f>
        <v/>
      </c>
      <c r="Q3973" s="32" t="str">
        <f>IF($P3973="","",$B3973/$P3973-1)</f>
        <v/>
      </c>
    </row>
    <row r="3974">
      <c r="A3974" s="11" t="n"/>
      <c r="B3974" s="29" t="n"/>
      <c r="K3974" s="30" t="str">
        <f>IF($A3974="","",EDATE($A3974,12*$E$4))</f>
        <v/>
      </c>
      <c r="L3974" s="19" t="str">
        <f>IF($K3974="","",IF($K3974&gt;MAX($A$8:$A$5007),"",IFERROR(MATCH($K3974,$A$8:$A$5007,1),"")))</f>
        <v/>
      </c>
      <c r="M3974" s="30" t="str">
        <f>IF($L3974="","",INDEX($A$8:$A$5007,$L3974))</f>
        <v/>
      </c>
      <c r="N3974" s="31" t="str">
        <f>IF($L3974="","",INDEX($B$8:$B$5007,$L3974))</f>
        <v/>
      </c>
      <c r="O3974" s="32" t="str">
        <f>IF($M3974="","",IF($K3974-$M3974&gt;7,"",IF($M3974&lt;=$A3974,"",IF(OR($B3974&lt;=0,$N3974&lt;=0),"",($N3974/$B3974)^(365/($M3974-$A3974))-1))))</f>
        <v/>
      </c>
      <c r="P3974" s="31" t="str">
        <f>IF($B3974="","",IF($P3973="",$B3974,MAX($P3973,$B3974)))</f>
        <v/>
      </c>
      <c r="Q3974" s="32" t="str">
        <f>IF($P3974="","",$B3974/$P3974-1)</f>
        <v/>
      </c>
    </row>
    <row r="3975">
      <c r="A3975" s="11" t="n"/>
      <c r="B3975" s="29" t="n"/>
      <c r="K3975" s="30" t="str">
        <f>IF($A3975="","",EDATE($A3975,12*$E$4))</f>
        <v/>
      </c>
      <c r="L3975" s="19" t="str">
        <f>IF($K3975="","",IF($K3975&gt;MAX($A$8:$A$5007),"",IFERROR(MATCH($K3975,$A$8:$A$5007,1),"")))</f>
        <v/>
      </c>
      <c r="M3975" s="30" t="str">
        <f>IF($L3975="","",INDEX($A$8:$A$5007,$L3975))</f>
        <v/>
      </c>
      <c r="N3975" s="31" t="str">
        <f>IF($L3975="","",INDEX($B$8:$B$5007,$L3975))</f>
        <v/>
      </c>
      <c r="O3975" s="32" t="str">
        <f>IF($M3975="","",IF($K3975-$M3975&gt;7,"",IF($M3975&lt;=$A3975,"",IF(OR($B3975&lt;=0,$N3975&lt;=0),"",($N3975/$B3975)^(365/($M3975-$A3975))-1))))</f>
        <v/>
      </c>
      <c r="P3975" s="31" t="str">
        <f>IF($B3975="","",IF($P3974="",$B3975,MAX($P3974,$B3975)))</f>
        <v/>
      </c>
      <c r="Q3975" s="32" t="str">
        <f>IF($P3975="","",$B3975/$P3975-1)</f>
        <v/>
      </c>
    </row>
    <row r="3976">
      <c r="A3976" s="11" t="n"/>
      <c r="B3976" s="29" t="n"/>
      <c r="K3976" s="30" t="str">
        <f>IF($A3976="","",EDATE($A3976,12*$E$4))</f>
        <v/>
      </c>
      <c r="L3976" s="19" t="str">
        <f>IF($K3976="","",IF($K3976&gt;MAX($A$8:$A$5007),"",IFERROR(MATCH($K3976,$A$8:$A$5007,1),"")))</f>
        <v/>
      </c>
      <c r="M3976" s="30" t="str">
        <f>IF($L3976="","",INDEX($A$8:$A$5007,$L3976))</f>
        <v/>
      </c>
      <c r="N3976" s="31" t="str">
        <f>IF($L3976="","",INDEX($B$8:$B$5007,$L3976))</f>
        <v/>
      </c>
      <c r="O3976" s="32" t="str">
        <f>IF($M3976="","",IF($K3976-$M3976&gt;7,"",IF($M3976&lt;=$A3976,"",IF(OR($B3976&lt;=0,$N3976&lt;=0),"",($N3976/$B3976)^(365/($M3976-$A3976))-1))))</f>
        <v/>
      </c>
      <c r="P3976" s="31" t="str">
        <f>IF($B3976="","",IF($P3975="",$B3976,MAX($P3975,$B3976)))</f>
        <v/>
      </c>
      <c r="Q3976" s="32" t="str">
        <f>IF($P3976="","",$B3976/$P3976-1)</f>
        <v/>
      </c>
    </row>
    <row r="3977">
      <c r="A3977" s="11" t="n"/>
      <c r="B3977" s="29" t="n"/>
      <c r="K3977" s="30" t="str">
        <f>IF($A3977="","",EDATE($A3977,12*$E$4))</f>
        <v/>
      </c>
      <c r="L3977" s="19" t="str">
        <f>IF($K3977="","",IF($K3977&gt;MAX($A$8:$A$5007),"",IFERROR(MATCH($K3977,$A$8:$A$5007,1),"")))</f>
        <v/>
      </c>
      <c r="M3977" s="30" t="str">
        <f>IF($L3977="","",INDEX($A$8:$A$5007,$L3977))</f>
        <v/>
      </c>
      <c r="N3977" s="31" t="str">
        <f>IF($L3977="","",INDEX($B$8:$B$5007,$L3977))</f>
        <v/>
      </c>
      <c r="O3977" s="32" t="str">
        <f>IF($M3977="","",IF($K3977-$M3977&gt;7,"",IF($M3977&lt;=$A3977,"",IF(OR($B3977&lt;=0,$N3977&lt;=0),"",($N3977/$B3977)^(365/($M3977-$A3977))-1))))</f>
        <v/>
      </c>
      <c r="P3977" s="31" t="str">
        <f>IF($B3977="","",IF($P3976="",$B3977,MAX($P3976,$B3977)))</f>
        <v/>
      </c>
      <c r="Q3977" s="32" t="str">
        <f>IF($P3977="","",$B3977/$P3977-1)</f>
        <v/>
      </c>
    </row>
    <row r="3978">
      <c r="A3978" s="11" t="n"/>
      <c r="B3978" s="29" t="n"/>
      <c r="K3978" s="30" t="str">
        <f>IF($A3978="","",EDATE($A3978,12*$E$4))</f>
        <v/>
      </c>
      <c r="L3978" s="19" t="str">
        <f>IF($K3978="","",IF($K3978&gt;MAX($A$8:$A$5007),"",IFERROR(MATCH($K3978,$A$8:$A$5007,1),"")))</f>
        <v/>
      </c>
      <c r="M3978" s="30" t="str">
        <f>IF($L3978="","",INDEX($A$8:$A$5007,$L3978))</f>
        <v/>
      </c>
      <c r="N3978" s="31" t="str">
        <f>IF($L3978="","",INDEX($B$8:$B$5007,$L3978))</f>
        <v/>
      </c>
      <c r="O3978" s="32" t="str">
        <f>IF($M3978="","",IF($K3978-$M3978&gt;7,"",IF($M3978&lt;=$A3978,"",IF(OR($B3978&lt;=0,$N3978&lt;=0),"",($N3978/$B3978)^(365/($M3978-$A3978))-1))))</f>
        <v/>
      </c>
      <c r="P3978" s="31" t="str">
        <f>IF($B3978="","",IF($P3977="",$B3978,MAX($P3977,$B3978)))</f>
        <v/>
      </c>
      <c r="Q3978" s="32" t="str">
        <f>IF($P3978="","",$B3978/$P3978-1)</f>
        <v/>
      </c>
    </row>
    <row r="3979">
      <c r="A3979" s="11" t="n"/>
      <c r="B3979" s="29" t="n"/>
      <c r="K3979" s="30" t="str">
        <f>IF($A3979="","",EDATE($A3979,12*$E$4))</f>
        <v/>
      </c>
      <c r="L3979" s="19" t="str">
        <f>IF($K3979="","",IF($K3979&gt;MAX($A$8:$A$5007),"",IFERROR(MATCH($K3979,$A$8:$A$5007,1),"")))</f>
        <v/>
      </c>
      <c r="M3979" s="30" t="str">
        <f>IF($L3979="","",INDEX($A$8:$A$5007,$L3979))</f>
        <v/>
      </c>
      <c r="N3979" s="31" t="str">
        <f>IF($L3979="","",INDEX($B$8:$B$5007,$L3979))</f>
        <v/>
      </c>
      <c r="O3979" s="32" t="str">
        <f>IF($M3979="","",IF($K3979-$M3979&gt;7,"",IF($M3979&lt;=$A3979,"",IF(OR($B3979&lt;=0,$N3979&lt;=0),"",($N3979/$B3979)^(365/($M3979-$A3979))-1))))</f>
        <v/>
      </c>
      <c r="P3979" s="31" t="str">
        <f>IF($B3979="","",IF($P3978="",$B3979,MAX($P3978,$B3979)))</f>
        <v/>
      </c>
      <c r="Q3979" s="32" t="str">
        <f>IF($P3979="","",$B3979/$P3979-1)</f>
        <v/>
      </c>
    </row>
    <row r="3980">
      <c r="A3980" s="11" t="n"/>
      <c r="B3980" s="29" t="n"/>
      <c r="K3980" s="30" t="str">
        <f>IF($A3980="","",EDATE($A3980,12*$E$4))</f>
        <v/>
      </c>
      <c r="L3980" s="19" t="str">
        <f>IF($K3980="","",IF($K3980&gt;MAX($A$8:$A$5007),"",IFERROR(MATCH($K3980,$A$8:$A$5007,1),"")))</f>
        <v/>
      </c>
      <c r="M3980" s="30" t="str">
        <f>IF($L3980="","",INDEX($A$8:$A$5007,$L3980))</f>
        <v/>
      </c>
      <c r="N3980" s="31" t="str">
        <f>IF($L3980="","",INDEX($B$8:$B$5007,$L3980))</f>
        <v/>
      </c>
      <c r="O3980" s="32" t="str">
        <f>IF($M3980="","",IF($K3980-$M3980&gt;7,"",IF($M3980&lt;=$A3980,"",IF(OR($B3980&lt;=0,$N3980&lt;=0),"",($N3980/$B3980)^(365/($M3980-$A3980))-1))))</f>
        <v/>
      </c>
      <c r="P3980" s="31" t="str">
        <f>IF($B3980="","",IF($P3979="",$B3980,MAX($P3979,$B3980)))</f>
        <v/>
      </c>
      <c r="Q3980" s="32" t="str">
        <f>IF($P3980="","",$B3980/$P3980-1)</f>
        <v/>
      </c>
    </row>
    <row r="3981">
      <c r="A3981" s="11" t="n"/>
      <c r="B3981" s="29" t="n"/>
      <c r="K3981" s="30" t="str">
        <f>IF($A3981="","",EDATE($A3981,12*$E$4))</f>
        <v/>
      </c>
      <c r="L3981" s="19" t="str">
        <f>IF($K3981="","",IF($K3981&gt;MAX($A$8:$A$5007),"",IFERROR(MATCH($K3981,$A$8:$A$5007,1),"")))</f>
        <v/>
      </c>
      <c r="M3981" s="30" t="str">
        <f>IF($L3981="","",INDEX($A$8:$A$5007,$L3981))</f>
        <v/>
      </c>
      <c r="N3981" s="31" t="str">
        <f>IF($L3981="","",INDEX($B$8:$B$5007,$L3981))</f>
        <v/>
      </c>
      <c r="O3981" s="32" t="str">
        <f>IF($M3981="","",IF($K3981-$M3981&gt;7,"",IF($M3981&lt;=$A3981,"",IF(OR($B3981&lt;=0,$N3981&lt;=0),"",($N3981/$B3981)^(365/($M3981-$A3981))-1))))</f>
        <v/>
      </c>
      <c r="P3981" s="31" t="str">
        <f>IF($B3981="","",IF($P3980="",$B3981,MAX($P3980,$B3981)))</f>
        <v/>
      </c>
      <c r="Q3981" s="32" t="str">
        <f>IF($P3981="","",$B3981/$P3981-1)</f>
        <v/>
      </c>
    </row>
    <row r="3982">
      <c r="A3982" s="11" t="n"/>
      <c r="B3982" s="29" t="n"/>
      <c r="K3982" s="30" t="str">
        <f>IF($A3982="","",EDATE($A3982,12*$E$4))</f>
        <v/>
      </c>
      <c r="L3982" s="19" t="str">
        <f>IF($K3982="","",IF($K3982&gt;MAX($A$8:$A$5007),"",IFERROR(MATCH($K3982,$A$8:$A$5007,1),"")))</f>
        <v/>
      </c>
      <c r="M3982" s="30" t="str">
        <f>IF($L3982="","",INDEX($A$8:$A$5007,$L3982))</f>
        <v/>
      </c>
      <c r="N3982" s="31" t="str">
        <f>IF($L3982="","",INDEX($B$8:$B$5007,$L3982))</f>
        <v/>
      </c>
      <c r="O3982" s="32" t="str">
        <f>IF($M3982="","",IF($K3982-$M3982&gt;7,"",IF($M3982&lt;=$A3982,"",IF(OR($B3982&lt;=0,$N3982&lt;=0),"",($N3982/$B3982)^(365/($M3982-$A3982))-1))))</f>
        <v/>
      </c>
      <c r="P3982" s="31" t="str">
        <f>IF($B3982="","",IF($P3981="",$B3982,MAX($P3981,$B3982)))</f>
        <v/>
      </c>
      <c r="Q3982" s="32" t="str">
        <f>IF($P3982="","",$B3982/$P3982-1)</f>
        <v/>
      </c>
    </row>
    <row r="3983">
      <c r="A3983" s="11" t="n"/>
      <c r="B3983" s="29" t="n"/>
      <c r="K3983" s="30" t="str">
        <f>IF($A3983="","",EDATE($A3983,12*$E$4))</f>
        <v/>
      </c>
      <c r="L3983" s="19" t="str">
        <f>IF($K3983="","",IF($K3983&gt;MAX($A$8:$A$5007),"",IFERROR(MATCH($K3983,$A$8:$A$5007,1),"")))</f>
        <v/>
      </c>
      <c r="M3983" s="30" t="str">
        <f>IF($L3983="","",INDEX($A$8:$A$5007,$L3983))</f>
        <v/>
      </c>
      <c r="N3983" s="31" t="str">
        <f>IF($L3983="","",INDEX($B$8:$B$5007,$L3983))</f>
        <v/>
      </c>
      <c r="O3983" s="32" t="str">
        <f>IF($M3983="","",IF($K3983-$M3983&gt;7,"",IF($M3983&lt;=$A3983,"",IF(OR($B3983&lt;=0,$N3983&lt;=0),"",($N3983/$B3983)^(365/($M3983-$A3983))-1))))</f>
        <v/>
      </c>
      <c r="P3983" s="31" t="str">
        <f>IF($B3983="","",IF($P3982="",$B3983,MAX($P3982,$B3983)))</f>
        <v/>
      </c>
      <c r="Q3983" s="32" t="str">
        <f>IF($P3983="","",$B3983/$P3983-1)</f>
        <v/>
      </c>
    </row>
    <row r="3984">
      <c r="A3984" s="11" t="n"/>
      <c r="B3984" s="29" t="n"/>
      <c r="K3984" s="30" t="str">
        <f>IF($A3984="","",EDATE($A3984,12*$E$4))</f>
        <v/>
      </c>
      <c r="L3984" s="19" t="str">
        <f>IF($K3984="","",IF($K3984&gt;MAX($A$8:$A$5007),"",IFERROR(MATCH($K3984,$A$8:$A$5007,1),"")))</f>
        <v/>
      </c>
      <c r="M3984" s="30" t="str">
        <f>IF($L3984="","",INDEX($A$8:$A$5007,$L3984))</f>
        <v/>
      </c>
      <c r="N3984" s="31" t="str">
        <f>IF($L3984="","",INDEX($B$8:$B$5007,$L3984))</f>
        <v/>
      </c>
      <c r="O3984" s="32" t="str">
        <f>IF($M3984="","",IF($K3984-$M3984&gt;7,"",IF($M3984&lt;=$A3984,"",IF(OR($B3984&lt;=0,$N3984&lt;=0),"",($N3984/$B3984)^(365/($M3984-$A3984))-1))))</f>
        <v/>
      </c>
      <c r="P3984" s="31" t="str">
        <f>IF($B3984="","",IF($P3983="",$B3984,MAX($P3983,$B3984)))</f>
        <v/>
      </c>
      <c r="Q3984" s="32" t="str">
        <f>IF($P3984="","",$B3984/$P3984-1)</f>
        <v/>
      </c>
    </row>
    <row r="3985">
      <c r="A3985" s="11" t="n"/>
      <c r="B3985" s="29" t="n"/>
      <c r="K3985" s="30" t="str">
        <f>IF($A3985="","",EDATE($A3985,12*$E$4))</f>
        <v/>
      </c>
      <c r="L3985" s="19" t="str">
        <f>IF($K3985="","",IF($K3985&gt;MAX($A$8:$A$5007),"",IFERROR(MATCH($K3985,$A$8:$A$5007,1),"")))</f>
        <v/>
      </c>
      <c r="M3985" s="30" t="str">
        <f>IF($L3985="","",INDEX($A$8:$A$5007,$L3985))</f>
        <v/>
      </c>
      <c r="N3985" s="31" t="str">
        <f>IF($L3985="","",INDEX($B$8:$B$5007,$L3985))</f>
        <v/>
      </c>
      <c r="O3985" s="32" t="str">
        <f>IF($M3985="","",IF($K3985-$M3985&gt;7,"",IF($M3985&lt;=$A3985,"",IF(OR($B3985&lt;=0,$N3985&lt;=0),"",($N3985/$B3985)^(365/($M3985-$A3985))-1))))</f>
        <v/>
      </c>
      <c r="P3985" s="31" t="str">
        <f>IF($B3985="","",IF($P3984="",$B3985,MAX($P3984,$B3985)))</f>
        <v/>
      </c>
      <c r="Q3985" s="32" t="str">
        <f>IF($P3985="","",$B3985/$P3985-1)</f>
        <v/>
      </c>
    </row>
    <row r="3986">
      <c r="A3986" s="11" t="n"/>
      <c r="B3986" s="29" t="n"/>
      <c r="K3986" s="30" t="str">
        <f>IF($A3986="","",EDATE($A3986,12*$E$4))</f>
        <v/>
      </c>
      <c r="L3986" s="19" t="str">
        <f>IF($K3986="","",IF($K3986&gt;MAX($A$8:$A$5007),"",IFERROR(MATCH($K3986,$A$8:$A$5007,1),"")))</f>
        <v/>
      </c>
      <c r="M3986" s="30" t="str">
        <f>IF($L3986="","",INDEX($A$8:$A$5007,$L3986))</f>
        <v/>
      </c>
      <c r="N3986" s="31" t="str">
        <f>IF($L3986="","",INDEX($B$8:$B$5007,$L3986))</f>
        <v/>
      </c>
      <c r="O3986" s="32" t="str">
        <f>IF($M3986="","",IF($K3986-$M3986&gt;7,"",IF($M3986&lt;=$A3986,"",IF(OR($B3986&lt;=0,$N3986&lt;=0),"",($N3986/$B3986)^(365/($M3986-$A3986))-1))))</f>
        <v/>
      </c>
      <c r="P3986" s="31" t="str">
        <f>IF($B3986="","",IF($P3985="",$B3986,MAX($P3985,$B3986)))</f>
        <v/>
      </c>
      <c r="Q3986" s="32" t="str">
        <f>IF($P3986="","",$B3986/$P3986-1)</f>
        <v/>
      </c>
    </row>
    <row r="3987">
      <c r="A3987" s="11" t="n"/>
      <c r="B3987" s="29" t="n"/>
      <c r="K3987" s="30" t="str">
        <f>IF($A3987="","",EDATE($A3987,12*$E$4))</f>
        <v/>
      </c>
      <c r="L3987" s="19" t="str">
        <f>IF($K3987="","",IF($K3987&gt;MAX($A$8:$A$5007),"",IFERROR(MATCH($K3987,$A$8:$A$5007,1),"")))</f>
        <v/>
      </c>
      <c r="M3987" s="30" t="str">
        <f>IF($L3987="","",INDEX($A$8:$A$5007,$L3987))</f>
        <v/>
      </c>
      <c r="N3987" s="31" t="str">
        <f>IF($L3987="","",INDEX($B$8:$B$5007,$L3987))</f>
        <v/>
      </c>
      <c r="O3987" s="32" t="str">
        <f>IF($M3987="","",IF($K3987-$M3987&gt;7,"",IF($M3987&lt;=$A3987,"",IF(OR($B3987&lt;=0,$N3987&lt;=0),"",($N3987/$B3987)^(365/($M3987-$A3987))-1))))</f>
        <v/>
      </c>
      <c r="P3987" s="31" t="str">
        <f>IF($B3987="","",IF($P3986="",$B3987,MAX($P3986,$B3987)))</f>
        <v/>
      </c>
      <c r="Q3987" s="32" t="str">
        <f>IF($P3987="","",$B3987/$P3987-1)</f>
        <v/>
      </c>
    </row>
    <row r="3988">
      <c r="A3988" s="11" t="n"/>
      <c r="B3988" s="29" t="n"/>
      <c r="K3988" s="30" t="str">
        <f>IF($A3988="","",EDATE($A3988,12*$E$4))</f>
        <v/>
      </c>
      <c r="L3988" s="19" t="str">
        <f>IF($K3988="","",IF($K3988&gt;MAX($A$8:$A$5007),"",IFERROR(MATCH($K3988,$A$8:$A$5007,1),"")))</f>
        <v/>
      </c>
      <c r="M3988" s="30" t="str">
        <f>IF($L3988="","",INDEX($A$8:$A$5007,$L3988))</f>
        <v/>
      </c>
      <c r="N3988" s="31" t="str">
        <f>IF($L3988="","",INDEX($B$8:$B$5007,$L3988))</f>
        <v/>
      </c>
      <c r="O3988" s="32" t="str">
        <f>IF($M3988="","",IF($K3988-$M3988&gt;7,"",IF($M3988&lt;=$A3988,"",IF(OR($B3988&lt;=0,$N3988&lt;=0),"",($N3988/$B3988)^(365/($M3988-$A3988))-1))))</f>
        <v/>
      </c>
      <c r="P3988" s="31" t="str">
        <f>IF($B3988="","",IF($P3987="",$B3988,MAX($P3987,$B3988)))</f>
        <v/>
      </c>
      <c r="Q3988" s="32" t="str">
        <f>IF($P3988="","",$B3988/$P3988-1)</f>
        <v/>
      </c>
    </row>
    <row r="3989">
      <c r="A3989" s="11" t="n"/>
      <c r="B3989" s="29" t="n"/>
      <c r="K3989" s="30" t="str">
        <f>IF($A3989="","",EDATE($A3989,12*$E$4))</f>
        <v/>
      </c>
      <c r="L3989" s="19" t="str">
        <f>IF($K3989="","",IF($K3989&gt;MAX($A$8:$A$5007),"",IFERROR(MATCH($K3989,$A$8:$A$5007,1),"")))</f>
        <v/>
      </c>
      <c r="M3989" s="30" t="str">
        <f>IF($L3989="","",INDEX($A$8:$A$5007,$L3989))</f>
        <v/>
      </c>
      <c r="N3989" s="31" t="str">
        <f>IF($L3989="","",INDEX($B$8:$B$5007,$L3989))</f>
        <v/>
      </c>
      <c r="O3989" s="32" t="str">
        <f>IF($M3989="","",IF($K3989-$M3989&gt;7,"",IF($M3989&lt;=$A3989,"",IF(OR($B3989&lt;=0,$N3989&lt;=0),"",($N3989/$B3989)^(365/($M3989-$A3989))-1))))</f>
        <v/>
      </c>
      <c r="P3989" s="31" t="str">
        <f>IF($B3989="","",IF($P3988="",$B3989,MAX($P3988,$B3989)))</f>
        <v/>
      </c>
      <c r="Q3989" s="32" t="str">
        <f>IF($P3989="","",$B3989/$P3989-1)</f>
        <v/>
      </c>
    </row>
    <row r="3990">
      <c r="A3990" s="11" t="n"/>
      <c r="B3990" s="29" t="n"/>
      <c r="K3990" s="30" t="str">
        <f>IF($A3990="","",EDATE($A3990,12*$E$4))</f>
        <v/>
      </c>
      <c r="L3990" s="19" t="str">
        <f>IF($K3990="","",IF($K3990&gt;MAX($A$8:$A$5007),"",IFERROR(MATCH($K3990,$A$8:$A$5007,1),"")))</f>
        <v/>
      </c>
      <c r="M3990" s="30" t="str">
        <f>IF($L3990="","",INDEX($A$8:$A$5007,$L3990))</f>
        <v/>
      </c>
      <c r="N3990" s="31" t="str">
        <f>IF($L3990="","",INDEX($B$8:$B$5007,$L3990))</f>
        <v/>
      </c>
      <c r="O3990" s="32" t="str">
        <f>IF($M3990="","",IF($K3990-$M3990&gt;7,"",IF($M3990&lt;=$A3990,"",IF(OR($B3990&lt;=0,$N3990&lt;=0),"",($N3990/$B3990)^(365/($M3990-$A3990))-1))))</f>
        <v/>
      </c>
      <c r="P3990" s="31" t="str">
        <f>IF($B3990="","",IF($P3989="",$B3990,MAX($P3989,$B3990)))</f>
        <v/>
      </c>
      <c r="Q3990" s="32" t="str">
        <f>IF($P3990="","",$B3990/$P3990-1)</f>
        <v/>
      </c>
    </row>
    <row r="3991">
      <c r="A3991" s="11" t="n"/>
      <c r="B3991" s="29" t="n"/>
      <c r="K3991" s="30" t="str">
        <f>IF($A3991="","",EDATE($A3991,12*$E$4))</f>
        <v/>
      </c>
      <c r="L3991" s="19" t="str">
        <f>IF($K3991="","",IF($K3991&gt;MAX($A$8:$A$5007),"",IFERROR(MATCH($K3991,$A$8:$A$5007,1),"")))</f>
        <v/>
      </c>
      <c r="M3991" s="30" t="str">
        <f>IF($L3991="","",INDEX($A$8:$A$5007,$L3991))</f>
        <v/>
      </c>
      <c r="N3991" s="31" t="str">
        <f>IF($L3991="","",INDEX($B$8:$B$5007,$L3991))</f>
        <v/>
      </c>
      <c r="O3991" s="32" t="str">
        <f>IF($M3991="","",IF($K3991-$M3991&gt;7,"",IF($M3991&lt;=$A3991,"",IF(OR($B3991&lt;=0,$N3991&lt;=0),"",($N3991/$B3991)^(365/($M3991-$A3991))-1))))</f>
        <v/>
      </c>
      <c r="P3991" s="31" t="str">
        <f>IF($B3991="","",IF($P3990="",$B3991,MAX($P3990,$B3991)))</f>
        <v/>
      </c>
      <c r="Q3991" s="32" t="str">
        <f>IF($P3991="","",$B3991/$P3991-1)</f>
        <v/>
      </c>
    </row>
    <row r="3992">
      <c r="A3992" s="11" t="n"/>
      <c r="B3992" s="29" t="n"/>
      <c r="K3992" s="30" t="str">
        <f>IF($A3992="","",EDATE($A3992,12*$E$4))</f>
        <v/>
      </c>
      <c r="L3992" s="19" t="str">
        <f>IF($K3992="","",IF($K3992&gt;MAX($A$8:$A$5007),"",IFERROR(MATCH($K3992,$A$8:$A$5007,1),"")))</f>
        <v/>
      </c>
      <c r="M3992" s="30" t="str">
        <f>IF($L3992="","",INDEX($A$8:$A$5007,$L3992))</f>
        <v/>
      </c>
      <c r="N3992" s="31" t="str">
        <f>IF($L3992="","",INDEX($B$8:$B$5007,$L3992))</f>
        <v/>
      </c>
      <c r="O3992" s="32" t="str">
        <f>IF($M3992="","",IF($K3992-$M3992&gt;7,"",IF($M3992&lt;=$A3992,"",IF(OR($B3992&lt;=0,$N3992&lt;=0),"",($N3992/$B3992)^(365/($M3992-$A3992))-1))))</f>
        <v/>
      </c>
      <c r="P3992" s="31" t="str">
        <f>IF($B3992="","",IF($P3991="",$B3992,MAX($P3991,$B3992)))</f>
        <v/>
      </c>
      <c r="Q3992" s="32" t="str">
        <f>IF($P3992="","",$B3992/$P3992-1)</f>
        <v/>
      </c>
    </row>
    <row r="3993">
      <c r="A3993" s="11" t="n"/>
      <c r="B3993" s="29" t="n"/>
      <c r="K3993" s="30" t="str">
        <f>IF($A3993="","",EDATE($A3993,12*$E$4))</f>
        <v/>
      </c>
      <c r="L3993" s="19" t="str">
        <f>IF($K3993="","",IF($K3993&gt;MAX($A$8:$A$5007),"",IFERROR(MATCH($K3993,$A$8:$A$5007,1),"")))</f>
        <v/>
      </c>
      <c r="M3993" s="30" t="str">
        <f>IF($L3993="","",INDEX($A$8:$A$5007,$L3993))</f>
        <v/>
      </c>
      <c r="N3993" s="31" t="str">
        <f>IF($L3993="","",INDEX($B$8:$B$5007,$L3993))</f>
        <v/>
      </c>
      <c r="O3993" s="32" t="str">
        <f>IF($M3993="","",IF($K3993-$M3993&gt;7,"",IF($M3993&lt;=$A3993,"",IF(OR($B3993&lt;=0,$N3993&lt;=0),"",($N3993/$B3993)^(365/($M3993-$A3993))-1))))</f>
        <v/>
      </c>
      <c r="P3993" s="31" t="str">
        <f>IF($B3993="","",IF($P3992="",$B3993,MAX($P3992,$B3993)))</f>
        <v/>
      </c>
      <c r="Q3993" s="32" t="str">
        <f>IF($P3993="","",$B3993/$P3993-1)</f>
        <v/>
      </c>
    </row>
    <row r="3994">
      <c r="A3994" s="11" t="n"/>
      <c r="B3994" s="29" t="n"/>
      <c r="K3994" s="30" t="str">
        <f>IF($A3994="","",EDATE($A3994,12*$E$4))</f>
        <v/>
      </c>
      <c r="L3994" s="19" t="str">
        <f>IF($K3994="","",IF($K3994&gt;MAX($A$8:$A$5007),"",IFERROR(MATCH($K3994,$A$8:$A$5007,1),"")))</f>
        <v/>
      </c>
      <c r="M3994" s="30" t="str">
        <f>IF($L3994="","",INDEX($A$8:$A$5007,$L3994))</f>
        <v/>
      </c>
      <c r="N3994" s="31" t="str">
        <f>IF($L3994="","",INDEX($B$8:$B$5007,$L3994))</f>
        <v/>
      </c>
      <c r="O3994" s="32" t="str">
        <f>IF($M3994="","",IF($K3994-$M3994&gt;7,"",IF($M3994&lt;=$A3994,"",IF(OR($B3994&lt;=0,$N3994&lt;=0),"",($N3994/$B3994)^(365/($M3994-$A3994))-1))))</f>
        <v/>
      </c>
      <c r="P3994" s="31" t="str">
        <f>IF($B3994="","",IF($P3993="",$B3994,MAX($P3993,$B3994)))</f>
        <v/>
      </c>
      <c r="Q3994" s="32" t="str">
        <f>IF($P3994="","",$B3994/$P3994-1)</f>
        <v/>
      </c>
    </row>
    <row r="3995">
      <c r="A3995" s="11" t="n"/>
      <c r="B3995" s="29" t="n"/>
      <c r="K3995" s="30" t="str">
        <f>IF($A3995="","",EDATE($A3995,12*$E$4))</f>
        <v/>
      </c>
      <c r="L3995" s="19" t="str">
        <f>IF($K3995="","",IF($K3995&gt;MAX($A$8:$A$5007),"",IFERROR(MATCH($K3995,$A$8:$A$5007,1),"")))</f>
        <v/>
      </c>
      <c r="M3995" s="30" t="str">
        <f>IF($L3995="","",INDEX($A$8:$A$5007,$L3995))</f>
        <v/>
      </c>
      <c r="N3995" s="31" t="str">
        <f>IF($L3995="","",INDEX($B$8:$B$5007,$L3995))</f>
        <v/>
      </c>
      <c r="O3995" s="32" t="str">
        <f>IF($M3995="","",IF($K3995-$M3995&gt;7,"",IF($M3995&lt;=$A3995,"",IF(OR($B3995&lt;=0,$N3995&lt;=0),"",($N3995/$B3995)^(365/($M3995-$A3995))-1))))</f>
        <v/>
      </c>
      <c r="P3995" s="31" t="str">
        <f>IF($B3995="","",IF($P3994="",$B3995,MAX($P3994,$B3995)))</f>
        <v/>
      </c>
      <c r="Q3995" s="32" t="str">
        <f>IF($P3995="","",$B3995/$P3995-1)</f>
        <v/>
      </c>
    </row>
    <row r="3996">
      <c r="A3996" s="11" t="n"/>
      <c r="B3996" s="29" t="n"/>
      <c r="K3996" s="30" t="str">
        <f>IF($A3996="","",EDATE($A3996,12*$E$4))</f>
        <v/>
      </c>
      <c r="L3996" s="19" t="str">
        <f>IF($K3996="","",IF($K3996&gt;MAX($A$8:$A$5007),"",IFERROR(MATCH($K3996,$A$8:$A$5007,1),"")))</f>
        <v/>
      </c>
      <c r="M3996" s="30" t="str">
        <f>IF($L3996="","",INDEX($A$8:$A$5007,$L3996))</f>
        <v/>
      </c>
      <c r="N3996" s="31" t="str">
        <f>IF($L3996="","",INDEX($B$8:$B$5007,$L3996))</f>
        <v/>
      </c>
      <c r="O3996" s="32" t="str">
        <f>IF($M3996="","",IF($K3996-$M3996&gt;7,"",IF($M3996&lt;=$A3996,"",IF(OR($B3996&lt;=0,$N3996&lt;=0),"",($N3996/$B3996)^(365/($M3996-$A3996))-1))))</f>
        <v/>
      </c>
      <c r="P3996" s="31" t="str">
        <f>IF($B3996="","",IF($P3995="",$B3996,MAX($P3995,$B3996)))</f>
        <v/>
      </c>
      <c r="Q3996" s="32" t="str">
        <f>IF($P3996="","",$B3996/$P3996-1)</f>
        <v/>
      </c>
    </row>
    <row r="3997">
      <c r="A3997" s="11" t="n"/>
      <c r="B3997" s="29" t="n"/>
      <c r="K3997" s="30" t="str">
        <f>IF($A3997="","",EDATE($A3997,12*$E$4))</f>
        <v/>
      </c>
      <c r="L3997" s="19" t="str">
        <f>IF($K3997="","",IF($K3997&gt;MAX($A$8:$A$5007),"",IFERROR(MATCH($K3997,$A$8:$A$5007,1),"")))</f>
        <v/>
      </c>
      <c r="M3997" s="30" t="str">
        <f>IF($L3997="","",INDEX($A$8:$A$5007,$L3997))</f>
        <v/>
      </c>
      <c r="N3997" s="31" t="str">
        <f>IF($L3997="","",INDEX($B$8:$B$5007,$L3997))</f>
        <v/>
      </c>
      <c r="O3997" s="32" t="str">
        <f>IF($M3997="","",IF($K3997-$M3997&gt;7,"",IF($M3997&lt;=$A3997,"",IF(OR($B3997&lt;=0,$N3997&lt;=0),"",($N3997/$B3997)^(365/($M3997-$A3997))-1))))</f>
        <v/>
      </c>
      <c r="P3997" s="31" t="str">
        <f>IF($B3997="","",IF($P3996="",$B3997,MAX($P3996,$B3997)))</f>
        <v/>
      </c>
      <c r="Q3997" s="32" t="str">
        <f>IF($P3997="","",$B3997/$P3997-1)</f>
        <v/>
      </c>
    </row>
    <row r="3998">
      <c r="A3998" s="11" t="n"/>
      <c r="B3998" s="29" t="n"/>
      <c r="K3998" s="30" t="str">
        <f>IF($A3998="","",EDATE($A3998,12*$E$4))</f>
        <v/>
      </c>
      <c r="L3998" s="19" t="str">
        <f>IF($K3998="","",IF($K3998&gt;MAX($A$8:$A$5007),"",IFERROR(MATCH($K3998,$A$8:$A$5007,1),"")))</f>
        <v/>
      </c>
      <c r="M3998" s="30" t="str">
        <f>IF($L3998="","",INDEX($A$8:$A$5007,$L3998))</f>
        <v/>
      </c>
      <c r="N3998" s="31" t="str">
        <f>IF($L3998="","",INDEX($B$8:$B$5007,$L3998))</f>
        <v/>
      </c>
      <c r="O3998" s="32" t="str">
        <f>IF($M3998="","",IF($K3998-$M3998&gt;7,"",IF($M3998&lt;=$A3998,"",IF(OR($B3998&lt;=0,$N3998&lt;=0),"",($N3998/$B3998)^(365/($M3998-$A3998))-1))))</f>
        <v/>
      </c>
      <c r="P3998" s="31" t="str">
        <f>IF($B3998="","",IF($P3997="",$B3998,MAX($P3997,$B3998)))</f>
        <v/>
      </c>
      <c r="Q3998" s="32" t="str">
        <f>IF($P3998="","",$B3998/$P3998-1)</f>
        <v/>
      </c>
    </row>
    <row r="3999">
      <c r="A3999" s="11" t="n"/>
      <c r="B3999" s="29" t="n"/>
      <c r="K3999" s="30" t="str">
        <f>IF($A3999="","",EDATE($A3999,12*$E$4))</f>
        <v/>
      </c>
      <c r="L3999" s="19" t="str">
        <f>IF($K3999="","",IF($K3999&gt;MAX($A$8:$A$5007),"",IFERROR(MATCH($K3999,$A$8:$A$5007,1),"")))</f>
        <v/>
      </c>
      <c r="M3999" s="30" t="str">
        <f>IF($L3999="","",INDEX($A$8:$A$5007,$L3999))</f>
        <v/>
      </c>
      <c r="N3999" s="31" t="str">
        <f>IF($L3999="","",INDEX($B$8:$B$5007,$L3999))</f>
        <v/>
      </c>
      <c r="O3999" s="32" t="str">
        <f>IF($M3999="","",IF($K3999-$M3999&gt;7,"",IF($M3999&lt;=$A3999,"",IF(OR($B3999&lt;=0,$N3999&lt;=0),"",($N3999/$B3999)^(365/($M3999-$A3999))-1))))</f>
        <v/>
      </c>
      <c r="P3999" s="31" t="str">
        <f>IF($B3999="","",IF($P3998="",$B3999,MAX($P3998,$B3999)))</f>
        <v/>
      </c>
      <c r="Q3999" s="32" t="str">
        <f>IF($P3999="","",$B3999/$P3999-1)</f>
        <v/>
      </c>
    </row>
    <row r="4000">
      <c r="A4000" s="11" t="n"/>
      <c r="B4000" s="29" t="n"/>
      <c r="K4000" s="30" t="str">
        <f>IF($A4000="","",EDATE($A4000,12*$E$4))</f>
        <v/>
      </c>
      <c r="L4000" s="19" t="str">
        <f>IF($K4000="","",IF($K4000&gt;MAX($A$8:$A$5007),"",IFERROR(MATCH($K4000,$A$8:$A$5007,1),"")))</f>
        <v/>
      </c>
      <c r="M4000" s="30" t="str">
        <f>IF($L4000="","",INDEX($A$8:$A$5007,$L4000))</f>
        <v/>
      </c>
      <c r="N4000" s="31" t="str">
        <f>IF($L4000="","",INDEX($B$8:$B$5007,$L4000))</f>
        <v/>
      </c>
      <c r="O4000" s="32" t="str">
        <f>IF($M4000="","",IF($K4000-$M4000&gt;7,"",IF($M4000&lt;=$A4000,"",IF(OR($B4000&lt;=0,$N4000&lt;=0),"",($N4000/$B4000)^(365/($M4000-$A4000))-1))))</f>
        <v/>
      </c>
      <c r="P4000" s="31" t="str">
        <f>IF($B4000="","",IF($P3999="",$B4000,MAX($P3999,$B4000)))</f>
        <v/>
      </c>
      <c r="Q4000" s="32" t="str">
        <f>IF($P4000="","",$B4000/$P4000-1)</f>
        <v/>
      </c>
    </row>
    <row r="4001">
      <c r="A4001" s="11" t="n"/>
      <c r="B4001" s="29" t="n"/>
      <c r="K4001" s="30" t="str">
        <f>IF($A4001="","",EDATE($A4001,12*$E$4))</f>
        <v/>
      </c>
      <c r="L4001" s="19" t="str">
        <f>IF($K4001="","",IF($K4001&gt;MAX($A$8:$A$5007),"",IFERROR(MATCH($K4001,$A$8:$A$5007,1),"")))</f>
        <v/>
      </c>
      <c r="M4001" s="30" t="str">
        <f>IF($L4001="","",INDEX($A$8:$A$5007,$L4001))</f>
        <v/>
      </c>
      <c r="N4001" s="31" t="str">
        <f>IF($L4001="","",INDEX($B$8:$B$5007,$L4001))</f>
        <v/>
      </c>
      <c r="O4001" s="32" t="str">
        <f>IF($M4001="","",IF($K4001-$M4001&gt;7,"",IF($M4001&lt;=$A4001,"",IF(OR($B4001&lt;=0,$N4001&lt;=0),"",($N4001/$B4001)^(365/($M4001-$A4001))-1))))</f>
        <v/>
      </c>
      <c r="P4001" s="31" t="str">
        <f>IF($B4001="","",IF($P4000="",$B4001,MAX($P4000,$B4001)))</f>
        <v/>
      </c>
      <c r="Q4001" s="32" t="str">
        <f>IF($P4001="","",$B4001/$P4001-1)</f>
        <v/>
      </c>
    </row>
    <row r="4002">
      <c r="A4002" s="11" t="n"/>
      <c r="B4002" s="29" t="n"/>
      <c r="K4002" s="30" t="str">
        <f>IF($A4002="","",EDATE($A4002,12*$E$4))</f>
        <v/>
      </c>
      <c r="L4002" s="19" t="str">
        <f>IF($K4002="","",IF($K4002&gt;MAX($A$8:$A$5007),"",IFERROR(MATCH($K4002,$A$8:$A$5007,1),"")))</f>
        <v/>
      </c>
      <c r="M4002" s="30" t="str">
        <f>IF($L4002="","",INDEX($A$8:$A$5007,$L4002))</f>
        <v/>
      </c>
      <c r="N4002" s="31" t="str">
        <f>IF($L4002="","",INDEX($B$8:$B$5007,$L4002))</f>
        <v/>
      </c>
      <c r="O4002" s="32" t="str">
        <f>IF($M4002="","",IF($K4002-$M4002&gt;7,"",IF($M4002&lt;=$A4002,"",IF(OR($B4002&lt;=0,$N4002&lt;=0),"",($N4002/$B4002)^(365/($M4002-$A4002))-1))))</f>
        <v/>
      </c>
      <c r="P4002" s="31" t="str">
        <f>IF($B4002="","",IF($P4001="",$B4002,MAX($P4001,$B4002)))</f>
        <v/>
      </c>
      <c r="Q4002" s="32" t="str">
        <f>IF($P4002="","",$B4002/$P4002-1)</f>
        <v/>
      </c>
    </row>
    <row r="4003">
      <c r="A4003" s="11" t="n"/>
      <c r="B4003" s="29" t="n"/>
      <c r="K4003" s="30" t="str">
        <f>IF($A4003="","",EDATE($A4003,12*$E$4))</f>
        <v/>
      </c>
      <c r="L4003" s="19" t="str">
        <f>IF($K4003="","",IF($K4003&gt;MAX($A$8:$A$5007),"",IFERROR(MATCH($K4003,$A$8:$A$5007,1),"")))</f>
        <v/>
      </c>
      <c r="M4003" s="30" t="str">
        <f>IF($L4003="","",INDEX($A$8:$A$5007,$L4003))</f>
        <v/>
      </c>
      <c r="N4003" s="31" t="str">
        <f>IF($L4003="","",INDEX($B$8:$B$5007,$L4003))</f>
        <v/>
      </c>
      <c r="O4003" s="32" t="str">
        <f>IF($M4003="","",IF($K4003-$M4003&gt;7,"",IF($M4003&lt;=$A4003,"",IF(OR($B4003&lt;=0,$N4003&lt;=0),"",($N4003/$B4003)^(365/($M4003-$A4003))-1))))</f>
        <v/>
      </c>
      <c r="P4003" s="31" t="str">
        <f>IF($B4003="","",IF($P4002="",$B4003,MAX($P4002,$B4003)))</f>
        <v/>
      </c>
      <c r="Q4003" s="32" t="str">
        <f>IF($P4003="","",$B4003/$P4003-1)</f>
        <v/>
      </c>
    </row>
    <row r="4004">
      <c r="A4004" s="11" t="n"/>
      <c r="B4004" s="29" t="n"/>
      <c r="K4004" s="30" t="str">
        <f>IF($A4004="","",EDATE($A4004,12*$E$4))</f>
        <v/>
      </c>
      <c r="L4004" s="19" t="str">
        <f>IF($K4004="","",IF($K4004&gt;MAX($A$8:$A$5007),"",IFERROR(MATCH($K4004,$A$8:$A$5007,1),"")))</f>
        <v/>
      </c>
      <c r="M4004" s="30" t="str">
        <f>IF($L4004="","",INDEX($A$8:$A$5007,$L4004))</f>
        <v/>
      </c>
      <c r="N4004" s="31" t="str">
        <f>IF($L4004="","",INDEX($B$8:$B$5007,$L4004))</f>
        <v/>
      </c>
      <c r="O4004" s="32" t="str">
        <f>IF($M4004="","",IF($K4004-$M4004&gt;7,"",IF($M4004&lt;=$A4004,"",IF(OR($B4004&lt;=0,$N4004&lt;=0),"",($N4004/$B4004)^(365/($M4004-$A4004))-1))))</f>
        <v/>
      </c>
      <c r="P4004" s="31" t="str">
        <f>IF($B4004="","",IF($P4003="",$B4004,MAX($P4003,$B4004)))</f>
        <v/>
      </c>
      <c r="Q4004" s="32" t="str">
        <f>IF($P4004="","",$B4004/$P4004-1)</f>
        <v/>
      </c>
    </row>
    <row r="4005">
      <c r="A4005" s="11" t="n"/>
      <c r="B4005" s="29" t="n"/>
      <c r="K4005" s="30" t="str">
        <f>IF($A4005="","",EDATE($A4005,12*$E$4))</f>
        <v/>
      </c>
      <c r="L4005" s="19" t="str">
        <f>IF($K4005="","",IF($K4005&gt;MAX($A$8:$A$5007),"",IFERROR(MATCH($K4005,$A$8:$A$5007,1),"")))</f>
        <v/>
      </c>
      <c r="M4005" s="30" t="str">
        <f>IF($L4005="","",INDEX($A$8:$A$5007,$L4005))</f>
        <v/>
      </c>
      <c r="N4005" s="31" t="str">
        <f>IF($L4005="","",INDEX($B$8:$B$5007,$L4005))</f>
        <v/>
      </c>
      <c r="O4005" s="32" t="str">
        <f>IF($M4005="","",IF($K4005-$M4005&gt;7,"",IF($M4005&lt;=$A4005,"",IF(OR($B4005&lt;=0,$N4005&lt;=0),"",($N4005/$B4005)^(365/($M4005-$A4005))-1))))</f>
        <v/>
      </c>
      <c r="P4005" s="31" t="str">
        <f>IF($B4005="","",IF($P4004="",$B4005,MAX($P4004,$B4005)))</f>
        <v/>
      </c>
      <c r="Q4005" s="32" t="str">
        <f>IF($P4005="","",$B4005/$P4005-1)</f>
        <v/>
      </c>
    </row>
    <row r="4006">
      <c r="A4006" s="11" t="n"/>
      <c r="B4006" s="29" t="n"/>
      <c r="K4006" s="30" t="str">
        <f>IF($A4006="","",EDATE($A4006,12*$E$4))</f>
        <v/>
      </c>
      <c r="L4006" s="19" t="str">
        <f>IF($K4006="","",IF($K4006&gt;MAX($A$8:$A$5007),"",IFERROR(MATCH($K4006,$A$8:$A$5007,1),"")))</f>
        <v/>
      </c>
      <c r="M4006" s="30" t="str">
        <f>IF($L4006="","",INDEX($A$8:$A$5007,$L4006))</f>
        <v/>
      </c>
      <c r="N4006" s="31" t="str">
        <f>IF($L4006="","",INDEX($B$8:$B$5007,$L4006))</f>
        <v/>
      </c>
      <c r="O4006" s="32" t="str">
        <f>IF($M4006="","",IF($K4006-$M4006&gt;7,"",IF($M4006&lt;=$A4006,"",IF(OR($B4006&lt;=0,$N4006&lt;=0),"",($N4006/$B4006)^(365/($M4006-$A4006))-1))))</f>
        <v/>
      </c>
      <c r="P4006" s="31" t="str">
        <f>IF($B4006="","",IF($P4005="",$B4006,MAX($P4005,$B4006)))</f>
        <v/>
      </c>
      <c r="Q4006" s="32" t="str">
        <f>IF($P4006="","",$B4006/$P4006-1)</f>
        <v/>
      </c>
    </row>
    <row r="4007">
      <c r="A4007" s="11" t="n"/>
      <c r="B4007" s="29" t="n"/>
      <c r="K4007" s="30" t="str">
        <f>IF($A4007="","",EDATE($A4007,12*$E$4))</f>
        <v/>
      </c>
      <c r="L4007" s="19" t="str">
        <f>IF($K4007="","",IF($K4007&gt;MAX($A$8:$A$5007),"",IFERROR(MATCH($K4007,$A$8:$A$5007,1),"")))</f>
        <v/>
      </c>
      <c r="M4007" s="30" t="str">
        <f>IF($L4007="","",INDEX($A$8:$A$5007,$L4007))</f>
        <v/>
      </c>
      <c r="N4007" s="31" t="str">
        <f>IF($L4007="","",INDEX($B$8:$B$5007,$L4007))</f>
        <v/>
      </c>
      <c r="O4007" s="32" t="str">
        <f>IF($M4007="","",IF($K4007-$M4007&gt;7,"",IF($M4007&lt;=$A4007,"",IF(OR($B4007&lt;=0,$N4007&lt;=0),"",($N4007/$B4007)^(365/($M4007-$A4007))-1))))</f>
        <v/>
      </c>
      <c r="P4007" s="31" t="str">
        <f>IF($B4007="","",IF($P4006="",$B4007,MAX($P4006,$B4007)))</f>
        <v/>
      </c>
      <c r="Q4007" s="32" t="str">
        <f>IF($P4007="","",$B4007/$P4007-1)</f>
        <v/>
      </c>
    </row>
    <row r="4008">
      <c r="A4008" s="11" t="n"/>
      <c r="B4008" s="29" t="n"/>
      <c r="K4008" s="30" t="str">
        <f>IF($A4008="","",EDATE($A4008,12*$E$4))</f>
        <v/>
      </c>
      <c r="L4008" s="19" t="str">
        <f>IF($K4008="","",IF($K4008&gt;MAX($A$8:$A$5007),"",IFERROR(MATCH($K4008,$A$8:$A$5007,1),"")))</f>
        <v/>
      </c>
      <c r="M4008" s="30" t="str">
        <f>IF($L4008="","",INDEX($A$8:$A$5007,$L4008))</f>
        <v/>
      </c>
      <c r="N4008" s="31" t="str">
        <f>IF($L4008="","",INDEX($B$8:$B$5007,$L4008))</f>
        <v/>
      </c>
      <c r="O4008" s="32" t="str">
        <f>IF($M4008="","",IF($K4008-$M4008&gt;7,"",IF($M4008&lt;=$A4008,"",IF(OR($B4008&lt;=0,$N4008&lt;=0),"",($N4008/$B4008)^(365/($M4008-$A4008))-1))))</f>
        <v/>
      </c>
      <c r="P4008" s="31" t="str">
        <f>IF($B4008="","",IF($P4007="",$B4008,MAX($P4007,$B4008)))</f>
        <v/>
      </c>
      <c r="Q4008" s="32" t="str">
        <f>IF($P4008="","",$B4008/$P4008-1)</f>
        <v/>
      </c>
    </row>
    <row r="4009">
      <c r="A4009" s="11" t="n"/>
      <c r="B4009" s="29" t="n"/>
      <c r="K4009" s="30" t="str">
        <f>IF($A4009="","",EDATE($A4009,12*$E$4))</f>
        <v/>
      </c>
      <c r="L4009" s="19" t="str">
        <f>IF($K4009="","",IF($K4009&gt;MAX($A$8:$A$5007),"",IFERROR(MATCH($K4009,$A$8:$A$5007,1),"")))</f>
        <v/>
      </c>
      <c r="M4009" s="30" t="str">
        <f>IF($L4009="","",INDEX($A$8:$A$5007,$L4009))</f>
        <v/>
      </c>
      <c r="N4009" s="31" t="str">
        <f>IF($L4009="","",INDEX($B$8:$B$5007,$L4009))</f>
        <v/>
      </c>
      <c r="O4009" s="32" t="str">
        <f>IF($M4009="","",IF($K4009-$M4009&gt;7,"",IF($M4009&lt;=$A4009,"",IF(OR($B4009&lt;=0,$N4009&lt;=0),"",($N4009/$B4009)^(365/($M4009-$A4009))-1))))</f>
        <v/>
      </c>
      <c r="P4009" s="31" t="str">
        <f>IF($B4009="","",IF($P4008="",$B4009,MAX($P4008,$B4009)))</f>
        <v/>
      </c>
      <c r="Q4009" s="32" t="str">
        <f>IF($P4009="","",$B4009/$P4009-1)</f>
        <v/>
      </c>
    </row>
    <row r="4010">
      <c r="A4010" s="11" t="n"/>
      <c r="B4010" s="29" t="n"/>
      <c r="K4010" s="30" t="str">
        <f>IF($A4010="","",EDATE($A4010,12*$E$4))</f>
        <v/>
      </c>
      <c r="L4010" s="19" t="str">
        <f>IF($K4010="","",IF($K4010&gt;MAX($A$8:$A$5007),"",IFERROR(MATCH($K4010,$A$8:$A$5007,1),"")))</f>
        <v/>
      </c>
      <c r="M4010" s="30" t="str">
        <f>IF($L4010="","",INDEX($A$8:$A$5007,$L4010))</f>
        <v/>
      </c>
      <c r="N4010" s="31" t="str">
        <f>IF($L4010="","",INDEX($B$8:$B$5007,$L4010))</f>
        <v/>
      </c>
      <c r="O4010" s="32" t="str">
        <f>IF($M4010="","",IF($K4010-$M4010&gt;7,"",IF($M4010&lt;=$A4010,"",IF(OR($B4010&lt;=0,$N4010&lt;=0),"",($N4010/$B4010)^(365/($M4010-$A4010))-1))))</f>
        <v/>
      </c>
      <c r="P4010" s="31" t="str">
        <f>IF($B4010="","",IF($P4009="",$B4010,MAX($P4009,$B4010)))</f>
        <v/>
      </c>
      <c r="Q4010" s="32" t="str">
        <f>IF($P4010="","",$B4010/$P4010-1)</f>
        <v/>
      </c>
    </row>
    <row r="4011">
      <c r="A4011" s="11" t="n"/>
      <c r="B4011" s="29" t="n"/>
      <c r="K4011" s="30" t="str">
        <f>IF($A4011="","",EDATE($A4011,12*$E$4))</f>
        <v/>
      </c>
      <c r="L4011" s="19" t="str">
        <f>IF($K4011="","",IF($K4011&gt;MAX($A$8:$A$5007),"",IFERROR(MATCH($K4011,$A$8:$A$5007,1),"")))</f>
        <v/>
      </c>
      <c r="M4011" s="30" t="str">
        <f>IF($L4011="","",INDEX($A$8:$A$5007,$L4011))</f>
        <v/>
      </c>
      <c r="N4011" s="31" t="str">
        <f>IF($L4011="","",INDEX($B$8:$B$5007,$L4011))</f>
        <v/>
      </c>
      <c r="O4011" s="32" t="str">
        <f>IF($M4011="","",IF($K4011-$M4011&gt;7,"",IF($M4011&lt;=$A4011,"",IF(OR($B4011&lt;=0,$N4011&lt;=0),"",($N4011/$B4011)^(365/($M4011-$A4011))-1))))</f>
        <v/>
      </c>
      <c r="P4011" s="31" t="str">
        <f>IF($B4011="","",IF($P4010="",$B4011,MAX($P4010,$B4011)))</f>
        <v/>
      </c>
      <c r="Q4011" s="32" t="str">
        <f>IF($P4011="","",$B4011/$P4011-1)</f>
        <v/>
      </c>
    </row>
    <row r="4012">
      <c r="A4012" s="11" t="n"/>
      <c r="B4012" s="29" t="n"/>
      <c r="K4012" s="30" t="str">
        <f>IF($A4012="","",EDATE($A4012,12*$E$4))</f>
        <v/>
      </c>
      <c r="L4012" s="19" t="str">
        <f>IF($K4012="","",IF($K4012&gt;MAX($A$8:$A$5007),"",IFERROR(MATCH($K4012,$A$8:$A$5007,1),"")))</f>
        <v/>
      </c>
      <c r="M4012" s="30" t="str">
        <f>IF($L4012="","",INDEX($A$8:$A$5007,$L4012))</f>
        <v/>
      </c>
      <c r="N4012" s="31" t="str">
        <f>IF($L4012="","",INDEX($B$8:$B$5007,$L4012))</f>
        <v/>
      </c>
      <c r="O4012" s="32" t="str">
        <f>IF($M4012="","",IF($K4012-$M4012&gt;7,"",IF($M4012&lt;=$A4012,"",IF(OR($B4012&lt;=0,$N4012&lt;=0),"",($N4012/$B4012)^(365/($M4012-$A4012))-1))))</f>
        <v/>
      </c>
      <c r="P4012" s="31" t="str">
        <f>IF($B4012="","",IF($P4011="",$B4012,MAX($P4011,$B4012)))</f>
        <v/>
      </c>
      <c r="Q4012" s="32" t="str">
        <f>IF($P4012="","",$B4012/$P4012-1)</f>
        <v/>
      </c>
    </row>
    <row r="4013">
      <c r="A4013" s="11" t="n"/>
      <c r="B4013" s="29" t="n"/>
      <c r="K4013" s="30" t="str">
        <f>IF($A4013="","",EDATE($A4013,12*$E$4))</f>
        <v/>
      </c>
      <c r="L4013" s="19" t="str">
        <f>IF($K4013="","",IF($K4013&gt;MAX($A$8:$A$5007),"",IFERROR(MATCH($K4013,$A$8:$A$5007,1),"")))</f>
        <v/>
      </c>
      <c r="M4013" s="30" t="str">
        <f>IF($L4013="","",INDEX($A$8:$A$5007,$L4013))</f>
        <v/>
      </c>
      <c r="N4013" s="31" t="str">
        <f>IF($L4013="","",INDEX($B$8:$B$5007,$L4013))</f>
        <v/>
      </c>
      <c r="O4013" s="32" t="str">
        <f>IF($M4013="","",IF($K4013-$M4013&gt;7,"",IF($M4013&lt;=$A4013,"",IF(OR($B4013&lt;=0,$N4013&lt;=0),"",($N4013/$B4013)^(365/($M4013-$A4013))-1))))</f>
        <v/>
      </c>
      <c r="P4013" s="31" t="str">
        <f>IF($B4013="","",IF($P4012="",$B4013,MAX($P4012,$B4013)))</f>
        <v/>
      </c>
      <c r="Q4013" s="32" t="str">
        <f>IF($P4013="","",$B4013/$P4013-1)</f>
        <v/>
      </c>
    </row>
    <row r="4014">
      <c r="A4014" s="11" t="n"/>
      <c r="B4014" s="29" t="n"/>
      <c r="K4014" s="30" t="str">
        <f>IF($A4014="","",EDATE($A4014,12*$E$4))</f>
        <v/>
      </c>
      <c r="L4014" s="19" t="str">
        <f>IF($K4014="","",IF($K4014&gt;MAX($A$8:$A$5007),"",IFERROR(MATCH($K4014,$A$8:$A$5007,1),"")))</f>
        <v/>
      </c>
      <c r="M4014" s="30" t="str">
        <f>IF($L4014="","",INDEX($A$8:$A$5007,$L4014))</f>
        <v/>
      </c>
      <c r="N4014" s="31" t="str">
        <f>IF($L4014="","",INDEX($B$8:$B$5007,$L4014))</f>
        <v/>
      </c>
      <c r="O4014" s="32" t="str">
        <f>IF($M4014="","",IF($K4014-$M4014&gt;7,"",IF($M4014&lt;=$A4014,"",IF(OR($B4014&lt;=0,$N4014&lt;=0),"",($N4014/$B4014)^(365/($M4014-$A4014))-1))))</f>
        <v/>
      </c>
      <c r="P4014" s="31" t="str">
        <f>IF($B4014="","",IF($P4013="",$B4014,MAX($P4013,$B4014)))</f>
        <v/>
      </c>
      <c r="Q4014" s="32" t="str">
        <f>IF($P4014="","",$B4014/$P4014-1)</f>
        <v/>
      </c>
    </row>
    <row r="4015">
      <c r="A4015" s="11" t="n"/>
      <c r="B4015" s="29" t="n"/>
      <c r="K4015" s="30" t="str">
        <f>IF($A4015="","",EDATE($A4015,12*$E$4))</f>
        <v/>
      </c>
      <c r="L4015" s="19" t="str">
        <f>IF($K4015="","",IF($K4015&gt;MAX($A$8:$A$5007),"",IFERROR(MATCH($K4015,$A$8:$A$5007,1),"")))</f>
        <v/>
      </c>
      <c r="M4015" s="30" t="str">
        <f>IF($L4015="","",INDEX($A$8:$A$5007,$L4015))</f>
        <v/>
      </c>
      <c r="N4015" s="31" t="str">
        <f>IF($L4015="","",INDEX($B$8:$B$5007,$L4015))</f>
        <v/>
      </c>
      <c r="O4015" s="32" t="str">
        <f>IF($M4015="","",IF($K4015-$M4015&gt;7,"",IF($M4015&lt;=$A4015,"",IF(OR($B4015&lt;=0,$N4015&lt;=0),"",($N4015/$B4015)^(365/($M4015-$A4015))-1))))</f>
        <v/>
      </c>
      <c r="P4015" s="31" t="str">
        <f>IF($B4015="","",IF($P4014="",$B4015,MAX($P4014,$B4015)))</f>
        <v/>
      </c>
      <c r="Q4015" s="32" t="str">
        <f>IF($P4015="","",$B4015/$P4015-1)</f>
        <v/>
      </c>
    </row>
    <row r="4016">
      <c r="A4016" s="11" t="n"/>
      <c r="B4016" s="29" t="n"/>
      <c r="K4016" s="30" t="str">
        <f>IF($A4016="","",EDATE($A4016,12*$E$4))</f>
        <v/>
      </c>
      <c r="L4016" s="19" t="str">
        <f>IF($K4016="","",IF($K4016&gt;MAX($A$8:$A$5007),"",IFERROR(MATCH($K4016,$A$8:$A$5007,1),"")))</f>
        <v/>
      </c>
      <c r="M4016" s="30" t="str">
        <f>IF($L4016="","",INDEX($A$8:$A$5007,$L4016))</f>
        <v/>
      </c>
      <c r="N4016" s="31" t="str">
        <f>IF($L4016="","",INDEX($B$8:$B$5007,$L4016))</f>
        <v/>
      </c>
      <c r="O4016" s="32" t="str">
        <f>IF($M4016="","",IF($K4016-$M4016&gt;7,"",IF($M4016&lt;=$A4016,"",IF(OR($B4016&lt;=0,$N4016&lt;=0),"",($N4016/$B4016)^(365/($M4016-$A4016))-1))))</f>
        <v/>
      </c>
      <c r="P4016" s="31" t="str">
        <f>IF($B4016="","",IF($P4015="",$B4016,MAX($P4015,$B4016)))</f>
        <v/>
      </c>
      <c r="Q4016" s="32" t="str">
        <f>IF($P4016="","",$B4016/$P4016-1)</f>
        <v/>
      </c>
    </row>
    <row r="4017">
      <c r="A4017" s="11" t="n"/>
      <c r="B4017" s="29" t="n"/>
      <c r="K4017" s="30" t="str">
        <f>IF($A4017="","",EDATE($A4017,12*$E$4))</f>
        <v/>
      </c>
      <c r="L4017" s="19" t="str">
        <f>IF($K4017="","",IF($K4017&gt;MAX($A$8:$A$5007),"",IFERROR(MATCH($K4017,$A$8:$A$5007,1),"")))</f>
        <v/>
      </c>
      <c r="M4017" s="30" t="str">
        <f>IF($L4017="","",INDEX($A$8:$A$5007,$L4017))</f>
        <v/>
      </c>
      <c r="N4017" s="31" t="str">
        <f>IF($L4017="","",INDEX($B$8:$B$5007,$L4017))</f>
        <v/>
      </c>
      <c r="O4017" s="32" t="str">
        <f>IF($M4017="","",IF($K4017-$M4017&gt;7,"",IF($M4017&lt;=$A4017,"",IF(OR($B4017&lt;=0,$N4017&lt;=0),"",($N4017/$B4017)^(365/($M4017-$A4017))-1))))</f>
        <v/>
      </c>
      <c r="P4017" s="31" t="str">
        <f>IF($B4017="","",IF($P4016="",$B4017,MAX($P4016,$B4017)))</f>
        <v/>
      </c>
      <c r="Q4017" s="32" t="str">
        <f>IF($P4017="","",$B4017/$P4017-1)</f>
        <v/>
      </c>
    </row>
    <row r="4018">
      <c r="A4018" s="11" t="n"/>
      <c r="B4018" s="29" t="n"/>
      <c r="K4018" s="30" t="str">
        <f>IF($A4018="","",EDATE($A4018,12*$E$4))</f>
        <v/>
      </c>
      <c r="L4018" s="19" t="str">
        <f>IF($K4018="","",IF($K4018&gt;MAX($A$8:$A$5007),"",IFERROR(MATCH($K4018,$A$8:$A$5007,1),"")))</f>
        <v/>
      </c>
      <c r="M4018" s="30" t="str">
        <f>IF($L4018="","",INDEX($A$8:$A$5007,$L4018))</f>
        <v/>
      </c>
      <c r="N4018" s="31" t="str">
        <f>IF($L4018="","",INDEX($B$8:$B$5007,$L4018))</f>
        <v/>
      </c>
      <c r="O4018" s="32" t="str">
        <f>IF($M4018="","",IF($K4018-$M4018&gt;7,"",IF($M4018&lt;=$A4018,"",IF(OR($B4018&lt;=0,$N4018&lt;=0),"",($N4018/$B4018)^(365/($M4018-$A4018))-1))))</f>
        <v/>
      </c>
      <c r="P4018" s="31" t="str">
        <f>IF($B4018="","",IF($P4017="",$B4018,MAX($P4017,$B4018)))</f>
        <v/>
      </c>
      <c r="Q4018" s="32" t="str">
        <f>IF($P4018="","",$B4018/$P4018-1)</f>
        <v/>
      </c>
    </row>
    <row r="4019">
      <c r="A4019" s="11" t="n"/>
      <c r="B4019" s="29" t="n"/>
      <c r="K4019" s="30" t="str">
        <f>IF($A4019="","",EDATE($A4019,12*$E$4))</f>
        <v/>
      </c>
      <c r="L4019" s="19" t="str">
        <f>IF($K4019="","",IF($K4019&gt;MAX($A$8:$A$5007),"",IFERROR(MATCH($K4019,$A$8:$A$5007,1),"")))</f>
        <v/>
      </c>
      <c r="M4019" s="30" t="str">
        <f>IF($L4019="","",INDEX($A$8:$A$5007,$L4019))</f>
        <v/>
      </c>
      <c r="N4019" s="31" t="str">
        <f>IF($L4019="","",INDEX($B$8:$B$5007,$L4019))</f>
        <v/>
      </c>
      <c r="O4019" s="32" t="str">
        <f>IF($M4019="","",IF($K4019-$M4019&gt;7,"",IF($M4019&lt;=$A4019,"",IF(OR($B4019&lt;=0,$N4019&lt;=0),"",($N4019/$B4019)^(365/($M4019-$A4019))-1))))</f>
        <v/>
      </c>
      <c r="P4019" s="31" t="str">
        <f>IF($B4019="","",IF($P4018="",$B4019,MAX($P4018,$B4019)))</f>
        <v/>
      </c>
      <c r="Q4019" s="32" t="str">
        <f>IF($P4019="","",$B4019/$P4019-1)</f>
        <v/>
      </c>
    </row>
    <row r="4020">
      <c r="A4020" s="11" t="n"/>
      <c r="B4020" s="29" t="n"/>
      <c r="K4020" s="30" t="str">
        <f>IF($A4020="","",EDATE($A4020,12*$E$4))</f>
        <v/>
      </c>
      <c r="L4020" s="19" t="str">
        <f>IF($K4020="","",IF($K4020&gt;MAX($A$8:$A$5007),"",IFERROR(MATCH($K4020,$A$8:$A$5007,1),"")))</f>
        <v/>
      </c>
      <c r="M4020" s="30" t="str">
        <f>IF($L4020="","",INDEX($A$8:$A$5007,$L4020))</f>
        <v/>
      </c>
      <c r="N4020" s="31" t="str">
        <f>IF($L4020="","",INDEX($B$8:$B$5007,$L4020))</f>
        <v/>
      </c>
      <c r="O4020" s="32" t="str">
        <f>IF($M4020="","",IF($K4020-$M4020&gt;7,"",IF($M4020&lt;=$A4020,"",IF(OR($B4020&lt;=0,$N4020&lt;=0),"",($N4020/$B4020)^(365/($M4020-$A4020))-1))))</f>
        <v/>
      </c>
      <c r="P4020" s="31" t="str">
        <f>IF($B4020="","",IF($P4019="",$B4020,MAX($P4019,$B4020)))</f>
        <v/>
      </c>
      <c r="Q4020" s="32" t="str">
        <f>IF($P4020="","",$B4020/$P4020-1)</f>
        <v/>
      </c>
    </row>
    <row r="4021">
      <c r="A4021" s="11" t="n"/>
      <c r="B4021" s="29" t="n"/>
      <c r="K4021" s="30" t="str">
        <f>IF($A4021="","",EDATE($A4021,12*$E$4))</f>
        <v/>
      </c>
      <c r="L4021" s="19" t="str">
        <f>IF($K4021="","",IF($K4021&gt;MAX($A$8:$A$5007),"",IFERROR(MATCH($K4021,$A$8:$A$5007,1),"")))</f>
        <v/>
      </c>
      <c r="M4021" s="30" t="str">
        <f>IF($L4021="","",INDEX($A$8:$A$5007,$L4021))</f>
        <v/>
      </c>
      <c r="N4021" s="31" t="str">
        <f>IF($L4021="","",INDEX($B$8:$B$5007,$L4021))</f>
        <v/>
      </c>
      <c r="O4021" s="32" t="str">
        <f>IF($M4021="","",IF($K4021-$M4021&gt;7,"",IF($M4021&lt;=$A4021,"",IF(OR($B4021&lt;=0,$N4021&lt;=0),"",($N4021/$B4021)^(365/($M4021-$A4021))-1))))</f>
        <v/>
      </c>
      <c r="P4021" s="31" t="str">
        <f>IF($B4021="","",IF($P4020="",$B4021,MAX($P4020,$B4021)))</f>
        <v/>
      </c>
      <c r="Q4021" s="32" t="str">
        <f>IF($P4021="","",$B4021/$P4021-1)</f>
        <v/>
      </c>
    </row>
    <row r="4022">
      <c r="A4022" s="11" t="n"/>
      <c r="B4022" s="29" t="n"/>
      <c r="K4022" s="30" t="str">
        <f>IF($A4022="","",EDATE($A4022,12*$E$4))</f>
        <v/>
      </c>
      <c r="L4022" s="19" t="str">
        <f>IF($K4022="","",IF($K4022&gt;MAX($A$8:$A$5007),"",IFERROR(MATCH($K4022,$A$8:$A$5007,1),"")))</f>
        <v/>
      </c>
      <c r="M4022" s="30" t="str">
        <f>IF($L4022="","",INDEX($A$8:$A$5007,$L4022))</f>
        <v/>
      </c>
      <c r="N4022" s="31" t="str">
        <f>IF($L4022="","",INDEX($B$8:$B$5007,$L4022))</f>
        <v/>
      </c>
      <c r="O4022" s="32" t="str">
        <f>IF($M4022="","",IF($K4022-$M4022&gt;7,"",IF($M4022&lt;=$A4022,"",IF(OR($B4022&lt;=0,$N4022&lt;=0),"",($N4022/$B4022)^(365/($M4022-$A4022))-1))))</f>
        <v/>
      </c>
      <c r="P4022" s="31" t="str">
        <f>IF($B4022="","",IF($P4021="",$B4022,MAX($P4021,$B4022)))</f>
        <v/>
      </c>
      <c r="Q4022" s="32" t="str">
        <f>IF($P4022="","",$B4022/$P4022-1)</f>
        <v/>
      </c>
    </row>
    <row r="4023">
      <c r="A4023" s="11" t="n"/>
      <c r="B4023" s="29" t="n"/>
      <c r="K4023" s="30" t="str">
        <f>IF($A4023="","",EDATE($A4023,12*$E$4))</f>
        <v/>
      </c>
      <c r="L4023" s="19" t="str">
        <f>IF($K4023="","",IF($K4023&gt;MAX($A$8:$A$5007),"",IFERROR(MATCH($K4023,$A$8:$A$5007,1),"")))</f>
        <v/>
      </c>
      <c r="M4023" s="30" t="str">
        <f>IF($L4023="","",INDEX($A$8:$A$5007,$L4023))</f>
        <v/>
      </c>
      <c r="N4023" s="31" t="str">
        <f>IF($L4023="","",INDEX($B$8:$B$5007,$L4023))</f>
        <v/>
      </c>
      <c r="O4023" s="32" t="str">
        <f>IF($M4023="","",IF($K4023-$M4023&gt;7,"",IF($M4023&lt;=$A4023,"",IF(OR($B4023&lt;=0,$N4023&lt;=0),"",($N4023/$B4023)^(365/($M4023-$A4023))-1))))</f>
        <v/>
      </c>
      <c r="P4023" s="31" t="str">
        <f>IF($B4023="","",IF($P4022="",$B4023,MAX($P4022,$B4023)))</f>
        <v/>
      </c>
      <c r="Q4023" s="32" t="str">
        <f>IF($P4023="","",$B4023/$P4023-1)</f>
        <v/>
      </c>
    </row>
    <row r="4024">
      <c r="A4024" s="11" t="n"/>
      <c r="B4024" s="29" t="n"/>
      <c r="K4024" s="30" t="str">
        <f>IF($A4024="","",EDATE($A4024,12*$E$4))</f>
        <v/>
      </c>
      <c r="L4024" s="19" t="str">
        <f>IF($K4024="","",IF($K4024&gt;MAX($A$8:$A$5007),"",IFERROR(MATCH($K4024,$A$8:$A$5007,1),"")))</f>
        <v/>
      </c>
      <c r="M4024" s="30" t="str">
        <f>IF($L4024="","",INDEX($A$8:$A$5007,$L4024))</f>
        <v/>
      </c>
      <c r="N4024" s="31" t="str">
        <f>IF($L4024="","",INDEX($B$8:$B$5007,$L4024))</f>
        <v/>
      </c>
      <c r="O4024" s="32" t="str">
        <f>IF($M4024="","",IF($K4024-$M4024&gt;7,"",IF($M4024&lt;=$A4024,"",IF(OR($B4024&lt;=0,$N4024&lt;=0),"",($N4024/$B4024)^(365/($M4024-$A4024))-1))))</f>
        <v/>
      </c>
      <c r="P4024" s="31" t="str">
        <f>IF($B4024="","",IF($P4023="",$B4024,MAX($P4023,$B4024)))</f>
        <v/>
      </c>
      <c r="Q4024" s="32" t="str">
        <f>IF($P4024="","",$B4024/$P4024-1)</f>
        <v/>
      </c>
    </row>
    <row r="4025">
      <c r="A4025" s="11" t="n"/>
      <c r="B4025" s="29" t="n"/>
      <c r="K4025" s="30" t="str">
        <f>IF($A4025="","",EDATE($A4025,12*$E$4))</f>
        <v/>
      </c>
      <c r="L4025" s="19" t="str">
        <f>IF($K4025="","",IF($K4025&gt;MAX($A$8:$A$5007),"",IFERROR(MATCH($K4025,$A$8:$A$5007,1),"")))</f>
        <v/>
      </c>
      <c r="M4025" s="30" t="str">
        <f>IF($L4025="","",INDEX($A$8:$A$5007,$L4025))</f>
        <v/>
      </c>
      <c r="N4025" s="31" t="str">
        <f>IF($L4025="","",INDEX($B$8:$B$5007,$L4025))</f>
        <v/>
      </c>
      <c r="O4025" s="32" t="str">
        <f>IF($M4025="","",IF($K4025-$M4025&gt;7,"",IF($M4025&lt;=$A4025,"",IF(OR($B4025&lt;=0,$N4025&lt;=0),"",($N4025/$B4025)^(365/($M4025-$A4025))-1))))</f>
        <v/>
      </c>
      <c r="P4025" s="31" t="str">
        <f>IF($B4025="","",IF($P4024="",$B4025,MAX($P4024,$B4025)))</f>
        <v/>
      </c>
      <c r="Q4025" s="32" t="str">
        <f>IF($P4025="","",$B4025/$P4025-1)</f>
        <v/>
      </c>
    </row>
    <row r="4026">
      <c r="A4026" s="11" t="n"/>
      <c r="B4026" s="29" t="n"/>
      <c r="K4026" s="30" t="str">
        <f>IF($A4026="","",EDATE($A4026,12*$E$4))</f>
        <v/>
      </c>
      <c r="L4026" s="19" t="str">
        <f>IF($K4026="","",IF($K4026&gt;MAX($A$8:$A$5007),"",IFERROR(MATCH($K4026,$A$8:$A$5007,1),"")))</f>
        <v/>
      </c>
      <c r="M4026" s="30" t="str">
        <f>IF($L4026="","",INDEX($A$8:$A$5007,$L4026))</f>
        <v/>
      </c>
      <c r="N4026" s="31" t="str">
        <f>IF($L4026="","",INDEX($B$8:$B$5007,$L4026))</f>
        <v/>
      </c>
      <c r="O4026" s="32" t="str">
        <f>IF($M4026="","",IF($K4026-$M4026&gt;7,"",IF($M4026&lt;=$A4026,"",IF(OR($B4026&lt;=0,$N4026&lt;=0),"",($N4026/$B4026)^(365/($M4026-$A4026))-1))))</f>
        <v/>
      </c>
      <c r="P4026" s="31" t="str">
        <f>IF($B4026="","",IF($P4025="",$B4026,MAX($P4025,$B4026)))</f>
        <v/>
      </c>
      <c r="Q4026" s="32" t="str">
        <f>IF($P4026="","",$B4026/$P4026-1)</f>
        <v/>
      </c>
    </row>
    <row r="4027">
      <c r="A4027" s="11" t="n"/>
      <c r="B4027" s="29" t="n"/>
      <c r="K4027" s="30" t="str">
        <f>IF($A4027="","",EDATE($A4027,12*$E$4))</f>
        <v/>
      </c>
      <c r="L4027" s="19" t="str">
        <f>IF($K4027="","",IF($K4027&gt;MAX($A$8:$A$5007),"",IFERROR(MATCH($K4027,$A$8:$A$5007,1),"")))</f>
        <v/>
      </c>
      <c r="M4027" s="30" t="str">
        <f>IF($L4027="","",INDEX($A$8:$A$5007,$L4027))</f>
        <v/>
      </c>
      <c r="N4027" s="31" t="str">
        <f>IF($L4027="","",INDEX($B$8:$B$5007,$L4027))</f>
        <v/>
      </c>
      <c r="O4027" s="32" t="str">
        <f>IF($M4027="","",IF($K4027-$M4027&gt;7,"",IF($M4027&lt;=$A4027,"",IF(OR($B4027&lt;=0,$N4027&lt;=0),"",($N4027/$B4027)^(365/($M4027-$A4027))-1))))</f>
        <v/>
      </c>
      <c r="P4027" s="31" t="str">
        <f>IF($B4027="","",IF($P4026="",$B4027,MAX($P4026,$B4027)))</f>
        <v/>
      </c>
      <c r="Q4027" s="32" t="str">
        <f>IF($P4027="","",$B4027/$P4027-1)</f>
        <v/>
      </c>
    </row>
    <row r="4028">
      <c r="A4028" s="11" t="n"/>
      <c r="B4028" s="29" t="n"/>
      <c r="K4028" s="30" t="str">
        <f>IF($A4028="","",EDATE($A4028,12*$E$4))</f>
        <v/>
      </c>
      <c r="L4028" s="19" t="str">
        <f>IF($K4028="","",IF($K4028&gt;MAX($A$8:$A$5007),"",IFERROR(MATCH($K4028,$A$8:$A$5007,1),"")))</f>
        <v/>
      </c>
      <c r="M4028" s="30" t="str">
        <f>IF($L4028="","",INDEX($A$8:$A$5007,$L4028))</f>
        <v/>
      </c>
      <c r="N4028" s="31" t="str">
        <f>IF($L4028="","",INDEX($B$8:$B$5007,$L4028))</f>
        <v/>
      </c>
      <c r="O4028" s="32" t="str">
        <f>IF($M4028="","",IF($K4028-$M4028&gt;7,"",IF($M4028&lt;=$A4028,"",IF(OR($B4028&lt;=0,$N4028&lt;=0),"",($N4028/$B4028)^(365/($M4028-$A4028))-1))))</f>
        <v/>
      </c>
      <c r="P4028" s="31" t="str">
        <f>IF($B4028="","",IF($P4027="",$B4028,MAX($P4027,$B4028)))</f>
        <v/>
      </c>
      <c r="Q4028" s="32" t="str">
        <f>IF($P4028="","",$B4028/$P4028-1)</f>
        <v/>
      </c>
    </row>
    <row r="4029">
      <c r="A4029" s="11" t="n"/>
      <c r="B4029" s="29" t="n"/>
      <c r="K4029" s="30" t="str">
        <f>IF($A4029="","",EDATE($A4029,12*$E$4))</f>
        <v/>
      </c>
      <c r="L4029" s="19" t="str">
        <f>IF($K4029="","",IF($K4029&gt;MAX($A$8:$A$5007),"",IFERROR(MATCH($K4029,$A$8:$A$5007,1),"")))</f>
        <v/>
      </c>
      <c r="M4029" s="30" t="str">
        <f>IF($L4029="","",INDEX($A$8:$A$5007,$L4029))</f>
        <v/>
      </c>
      <c r="N4029" s="31" t="str">
        <f>IF($L4029="","",INDEX($B$8:$B$5007,$L4029))</f>
        <v/>
      </c>
      <c r="O4029" s="32" t="str">
        <f>IF($M4029="","",IF($K4029-$M4029&gt;7,"",IF($M4029&lt;=$A4029,"",IF(OR($B4029&lt;=0,$N4029&lt;=0),"",($N4029/$B4029)^(365/($M4029-$A4029))-1))))</f>
        <v/>
      </c>
      <c r="P4029" s="31" t="str">
        <f>IF($B4029="","",IF($P4028="",$B4029,MAX($P4028,$B4029)))</f>
        <v/>
      </c>
      <c r="Q4029" s="32" t="str">
        <f>IF($P4029="","",$B4029/$P4029-1)</f>
        <v/>
      </c>
    </row>
    <row r="4030">
      <c r="A4030" s="11" t="n"/>
      <c r="B4030" s="29" t="n"/>
      <c r="K4030" s="30" t="str">
        <f>IF($A4030="","",EDATE($A4030,12*$E$4))</f>
        <v/>
      </c>
      <c r="L4030" s="19" t="str">
        <f>IF($K4030="","",IF($K4030&gt;MAX($A$8:$A$5007),"",IFERROR(MATCH($K4030,$A$8:$A$5007,1),"")))</f>
        <v/>
      </c>
      <c r="M4030" s="30" t="str">
        <f>IF($L4030="","",INDEX($A$8:$A$5007,$L4030))</f>
        <v/>
      </c>
      <c r="N4030" s="31" t="str">
        <f>IF($L4030="","",INDEX($B$8:$B$5007,$L4030))</f>
        <v/>
      </c>
      <c r="O4030" s="32" t="str">
        <f>IF($M4030="","",IF($K4030-$M4030&gt;7,"",IF($M4030&lt;=$A4030,"",IF(OR($B4030&lt;=0,$N4030&lt;=0),"",($N4030/$B4030)^(365/($M4030-$A4030))-1))))</f>
        <v/>
      </c>
      <c r="P4030" s="31" t="str">
        <f>IF($B4030="","",IF($P4029="",$B4030,MAX($P4029,$B4030)))</f>
        <v/>
      </c>
      <c r="Q4030" s="32" t="str">
        <f>IF($P4030="","",$B4030/$P4030-1)</f>
        <v/>
      </c>
    </row>
    <row r="4031">
      <c r="A4031" s="11" t="n"/>
      <c r="B4031" s="29" t="n"/>
      <c r="K4031" s="30" t="str">
        <f>IF($A4031="","",EDATE($A4031,12*$E$4))</f>
        <v/>
      </c>
      <c r="L4031" s="19" t="str">
        <f>IF($K4031="","",IF($K4031&gt;MAX($A$8:$A$5007),"",IFERROR(MATCH($K4031,$A$8:$A$5007,1),"")))</f>
        <v/>
      </c>
      <c r="M4031" s="30" t="str">
        <f>IF($L4031="","",INDEX($A$8:$A$5007,$L4031))</f>
        <v/>
      </c>
      <c r="N4031" s="31" t="str">
        <f>IF($L4031="","",INDEX($B$8:$B$5007,$L4031))</f>
        <v/>
      </c>
      <c r="O4031" s="32" t="str">
        <f>IF($M4031="","",IF($K4031-$M4031&gt;7,"",IF($M4031&lt;=$A4031,"",IF(OR($B4031&lt;=0,$N4031&lt;=0),"",($N4031/$B4031)^(365/($M4031-$A4031))-1))))</f>
        <v/>
      </c>
      <c r="P4031" s="31" t="str">
        <f>IF($B4031="","",IF($P4030="",$B4031,MAX($P4030,$B4031)))</f>
        <v/>
      </c>
      <c r="Q4031" s="32" t="str">
        <f>IF($P4031="","",$B4031/$P4031-1)</f>
        <v/>
      </c>
    </row>
    <row r="4032">
      <c r="A4032" s="11" t="n"/>
      <c r="B4032" s="29" t="n"/>
      <c r="K4032" s="30" t="str">
        <f>IF($A4032="","",EDATE($A4032,12*$E$4))</f>
        <v/>
      </c>
      <c r="L4032" s="19" t="str">
        <f>IF($K4032="","",IF($K4032&gt;MAX($A$8:$A$5007),"",IFERROR(MATCH($K4032,$A$8:$A$5007,1),"")))</f>
        <v/>
      </c>
      <c r="M4032" s="30" t="str">
        <f>IF($L4032="","",INDEX($A$8:$A$5007,$L4032))</f>
        <v/>
      </c>
      <c r="N4032" s="31" t="str">
        <f>IF($L4032="","",INDEX($B$8:$B$5007,$L4032))</f>
        <v/>
      </c>
      <c r="O4032" s="32" t="str">
        <f>IF($M4032="","",IF($K4032-$M4032&gt;7,"",IF($M4032&lt;=$A4032,"",IF(OR($B4032&lt;=0,$N4032&lt;=0),"",($N4032/$B4032)^(365/($M4032-$A4032))-1))))</f>
        <v/>
      </c>
      <c r="P4032" s="31" t="str">
        <f>IF($B4032="","",IF($P4031="",$B4032,MAX($P4031,$B4032)))</f>
        <v/>
      </c>
      <c r="Q4032" s="32" t="str">
        <f>IF($P4032="","",$B4032/$P4032-1)</f>
        <v/>
      </c>
    </row>
    <row r="4033">
      <c r="A4033" s="11" t="n"/>
      <c r="B4033" s="29" t="n"/>
      <c r="K4033" s="30" t="str">
        <f>IF($A4033="","",EDATE($A4033,12*$E$4))</f>
        <v/>
      </c>
      <c r="L4033" s="19" t="str">
        <f>IF($K4033="","",IF($K4033&gt;MAX($A$8:$A$5007),"",IFERROR(MATCH($K4033,$A$8:$A$5007,1),"")))</f>
        <v/>
      </c>
      <c r="M4033" s="30" t="str">
        <f>IF($L4033="","",INDEX($A$8:$A$5007,$L4033))</f>
        <v/>
      </c>
      <c r="N4033" s="31" t="str">
        <f>IF($L4033="","",INDEX($B$8:$B$5007,$L4033))</f>
        <v/>
      </c>
      <c r="O4033" s="32" t="str">
        <f>IF($M4033="","",IF($K4033-$M4033&gt;7,"",IF($M4033&lt;=$A4033,"",IF(OR($B4033&lt;=0,$N4033&lt;=0),"",($N4033/$B4033)^(365/($M4033-$A4033))-1))))</f>
        <v/>
      </c>
      <c r="P4033" s="31" t="str">
        <f>IF($B4033="","",IF($P4032="",$B4033,MAX($P4032,$B4033)))</f>
        <v/>
      </c>
      <c r="Q4033" s="32" t="str">
        <f>IF($P4033="","",$B4033/$P4033-1)</f>
        <v/>
      </c>
    </row>
    <row r="4034">
      <c r="A4034" s="11" t="n"/>
      <c r="B4034" s="29" t="n"/>
      <c r="K4034" s="30" t="str">
        <f>IF($A4034="","",EDATE($A4034,12*$E$4))</f>
        <v/>
      </c>
      <c r="L4034" s="19" t="str">
        <f>IF($K4034="","",IF($K4034&gt;MAX($A$8:$A$5007),"",IFERROR(MATCH($K4034,$A$8:$A$5007,1),"")))</f>
        <v/>
      </c>
      <c r="M4034" s="30" t="str">
        <f>IF($L4034="","",INDEX($A$8:$A$5007,$L4034))</f>
        <v/>
      </c>
      <c r="N4034" s="31" t="str">
        <f>IF($L4034="","",INDEX($B$8:$B$5007,$L4034))</f>
        <v/>
      </c>
      <c r="O4034" s="32" t="str">
        <f>IF($M4034="","",IF($K4034-$M4034&gt;7,"",IF($M4034&lt;=$A4034,"",IF(OR($B4034&lt;=0,$N4034&lt;=0),"",($N4034/$B4034)^(365/($M4034-$A4034))-1))))</f>
        <v/>
      </c>
      <c r="P4034" s="31" t="str">
        <f>IF($B4034="","",IF($P4033="",$B4034,MAX($P4033,$B4034)))</f>
        <v/>
      </c>
      <c r="Q4034" s="32" t="str">
        <f>IF($P4034="","",$B4034/$P4034-1)</f>
        <v/>
      </c>
    </row>
    <row r="4035">
      <c r="A4035" s="11" t="n"/>
      <c r="B4035" s="29" t="n"/>
      <c r="K4035" s="30" t="str">
        <f>IF($A4035="","",EDATE($A4035,12*$E$4))</f>
        <v/>
      </c>
      <c r="L4035" s="19" t="str">
        <f>IF($K4035="","",IF($K4035&gt;MAX($A$8:$A$5007),"",IFERROR(MATCH($K4035,$A$8:$A$5007,1),"")))</f>
        <v/>
      </c>
      <c r="M4035" s="30" t="str">
        <f>IF($L4035="","",INDEX($A$8:$A$5007,$L4035))</f>
        <v/>
      </c>
      <c r="N4035" s="31" t="str">
        <f>IF($L4035="","",INDEX($B$8:$B$5007,$L4035))</f>
        <v/>
      </c>
      <c r="O4035" s="32" t="str">
        <f>IF($M4035="","",IF($K4035-$M4035&gt;7,"",IF($M4035&lt;=$A4035,"",IF(OR($B4035&lt;=0,$N4035&lt;=0),"",($N4035/$B4035)^(365/($M4035-$A4035))-1))))</f>
        <v/>
      </c>
      <c r="P4035" s="31" t="str">
        <f>IF($B4035="","",IF($P4034="",$B4035,MAX($P4034,$B4035)))</f>
        <v/>
      </c>
      <c r="Q4035" s="32" t="str">
        <f>IF($P4035="","",$B4035/$P4035-1)</f>
        <v/>
      </c>
    </row>
    <row r="4036">
      <c r="A4036" s="11" t="n"/>
      <c r="B4036" s="29" t="n"/>
      <c r="K4036" s="30" t="str">
        <f>IF($A4036="","",EDATE($A4036,12*$E$4))</f>
        <v/>
      </c>
      <c r="L4036" s="19" t="str">
        <f>IF($K4036="","",IF($K4036&gt;MAX($A$8:$A$5007),"",IFERROR(MATCH($K4036,$A$8:$A$5007,1),"")))</f>
        <v/>
      </c>
      <c r="M4036" s="30" t="str">
        <f>IF($L4036="","",INDEX($A$8:$A$5007,$L4036))</f>
        <v/>
      </c>
      <c r="N4036" s="31" t="str">
        <f>IF($L4036="","",INDEX($B$8:$B$5007,$L4036))</f>
        <v/>
      </c>
      <c r="O4036" s="32" t="str">
        <f>IF($M4036="","",IF($K4036-$M4036&gt;7,"",IF($M4036&lt;=$A4036,"",IF(OR($B4036&lt;=0,$N4036&lt;=0),"",($N4036/$B4036)^(365/($M4036-$A4036))-1))))</f>
        <v/>
      </c>
      <c r="P4036" s="31" t="str">
        <f>IF($B4036="","",IF($P4035="",$B4036,MAX($P4035,$B4036)))</f>
        <v/>
      </c>
      <c r="Q4036" s="32" t="str">
        <f>IF($P4036="","",$B4036/$P4036-1)</f>
        <v/>
      </c>
    </row>
    <row r="4037">
      <c r="A4037" s="11" t="n"/>
      <c r="B4037" s="29" t="n"/>
      <c r="K4037" s="30" t="str">
        <f>IF($A4037="","",EDATE($A4037,12*$E$4))</f>
        <v/>
      </c>
      <c r="L4037" s="19" t="str">
        <f>IF($K4037="","",IF($K4037&gt;MAX($A$8:$A$5007),"",IFERROR(MATCH($K4037,$A$8:$A$5007,1),"")))</f>
        <v/>
      </c>
      <c r="M4037" s="30" t="str">
        <f>IF($L4037="","",INDEX($A$8:$A$5007,$L4037))</f>
        <v/>
      </c>
      <c r="N4037" s="31" t="str">
        <f>IF($L4037="","",INDEX($B$8:$B$5007,$L4037))</f>
        <v/>
      </c>
      <c r="O4037" s="32" t="str">
        <f>IF($M4037="","",IF($K4037-$M4037&gt;7,"",IF($M4037&lt;=$A4037,"",IF(OR($B4037&lt;=0,$N4037&lt;=0),"",($N4037/$B4037)^(365/($M4037-$A4037))-1))))</f>
        <v/>
      </c>
      <c r="P4037" s="31" t="str">
        <f>IF($B4037="","",IF($P4036="",$B4037,MAX($P4036,$B4037)))</f>
        <v/>
      </c>
      <c r="Q4037" s="32" t="str">
        <f>IF($P4037="","",$B4037/$P4037-1)</f>
        <v/>
      </c>
    </row>
    <row r="4038">
      <c r="A4038" s="11" t="n"/>
      <c r="B4038" s="29" t="n"/>
      <c r="K4038" s="30" t="str">
        <f>IF($A4038="","",EDATE($A4038,12*$E$4))</f>
        <v/>
      </c>
      <c r="L4038" s="19" t="str">
        <f>IF($K4038="","",IF($K4038&gt;MAX($A$8:$A$5007),"",IFERROR(MATCH($K4038,$A$8:$A$5007,1),"")))</f>
        <v/>
      </c>
      <c r="M4038" s="30" t="str">
        <f>IF($L4038="","",INDEX($A$8:$A$5007,$L4038))</f>
        <v/>
      </c>
      <c r="N4038" s="31" t="str">
        <f>IF($L4038="","",INDEX($B$8:$B$5007,$L4038))</f>
        <v/>
      </c>
      <c r="O4038" s="32" t="str">
        <f>IF($M4038="","",IF($K4038-$M4038&gt;7,"",IF($M4038&lt;=$A4038,"",IF(OR($B4038&lt;=0,$N4038&lt;=0),"",($N4038/$B4038)^(365/($M4038-$A4038))-1))))</f>
        <v/>
      </c>
      <c r="P4038" s="31" t="str">
        <f>IF($B4038="","",IF($P4037="",$B4038,MAX($P4037,$B4038)))</f>
        <v/>
      </c>
      <c r="Q4038" s="32" t="str">
        <f>IF($P4038="","",$B4038/$P4038-1)</f>
        <v/>
      </c>
    </row>
    <row r="4039">
      <c r="A4039" s="11" t="n"/>
      <c r="B4039" s="29" t="n"/>
      <c r="K4039" s="30" t="str">
        <f>IF($A4039="","",EDATE($A4039,12*$E$4))</f>
        <v/>
      </c>
      <c r="L4039" s="19" t="str">
        <f>IF($K4039="","",IF($K4039&gt;MAX($A$8:$A$5007),"",IFERROR(MATCH($K4039,$A$8:$A$5007,1),"")))</f>
        <v/>
      </c>
      <c r="M4039" s="30" t="str">
        <f>IF($L4039="","",INDEX($A$8:$A$5007,$L4039))</f>
        <v/>
      </c>
      <c r="N4039" s="31" t="str">
        <f>IF($L4039="","",INDEX($B$8:$B$5007,$L4039))</f>
        <v/>
      </c>
      <c r="O4039" s="32" t="str">
        <f>IF($M4039="","",IF($K4039-$M4039&gt;7,"",IF($M4039&lt;=$A4039,"",IF(OR($B4039&lt;=0,$N4039&lt;=0),"",($N4039/$B4039)^(365/($M4039-$A4039))-1))))</f>
        <v/>
      </c>
      <c r="P4039" s="31" t="str">
        <f>IF($B4039="","",IF($P4038="",$B4039,MAX($P4038,$B4039)))</f>
        <v/>
      </c>
      <c r="Q4039" s="32" t="str">
        <f>IF($P4039="","",$B4039/$P4039-1)</f>
        <v/>
      </c>
    </row>
    <row r="4040">
      <c r="A4040" s="11" t="n"/>
      <c r="B4040" s="29" t="n"/>
      <c r="K4040" s="30" t="str">
        <f>IF($A4040="","",EDATE($A4040,12*$E$4))</f>
        <v/>
      </c>
      <c r="L4040" s="19" t="str">
        <f>IF($K4040="","",IF($K4040&gt;MAX($A$8:$A$5007),"",IFERROR(MATCH($K4040,$A$8:$A$5007,1),"")))</f>
        <v/>
      </c>
      <c r="M4040" s="30" t="str">
        <f>IF($L4040="","",INDEX($A$8:$A$5007,$L4040))</f>
        <v/>
      </c>
      <c r="N4040" s="31" t="str">
        <f>IF($L4040="","",INDEX($B$8:$B$5007,$L4040))</f>
        <v/>
      </c>
      <c r="O4040" s="32" t="str">
        <f>IF($M4040="","",IF($K4040-$M4040&gt;7,"",IF($M4040&lt;=$A4040,"",IF(OR($B4040&lt;=0,$N4040&lt;=0),"",($N4040/$B4040)^(365/($M4040-$A4040))-1))))</f>
        <v/>
      </c>
      <c r="P4040" s="31" t="str">
        <f>IF($B4040="","",IF($P4039="",$B4040,MAX($P4039,$B4040)))</f>
        <v/>
      </c>
      <c r="Q4040" s="32" t="str">
        <f>IF($P4040="","",$B4040/$P4040-1)</f>
        <v/>
      </c>
    </row>
    <row r="4041">
      <c r="A4041" s="11" t="n"/>
      <c r="B4041" s="29" t="n"/>
      <c r="K4041" s="30" t="str">
        <f>IF($A4041="","",EDATE($A4041,12*$E$4))</f>
        <v/>
      </c>
      <c r="L4041" s="19" t="str">
        <f>IF($K4041="","",IF($K4041&gt;MAX($A$8:$A$5007),"",IFERROR(MATCH($K4041,$A$8:$A$5007,1),"")))</f>
        <v/>
      </c>
      <c r="M4041" s="30" t="str">
        <f>IF($L4041="","",INDEX($A$8:$A$5007,$L4041))</f>
        <v/>
      </c>
      <c r="N4041" s="31" t="str">
        <f>IF($L4041="","",INDEX($B$8:$B$5007,$L4041))</f>
        <v/>
      </c>
      <c r="O4041" s="32" t="str">
        <f>IF($M4041="","",IF($K4041-$M4041&gt;7,"",IF($M4041&lt;=$A4041,"",IF(OR($B4041&lt;=0,$N4041&lt;=0),"",($N4041/$B4041)^(365/($M4041-$A4041))-1))))</f>
        <v/>
      </c>
      <c r="P4041" s="31" t="str">
        <f>IF($B4041="","",IF($P4040="",$B4041,MAX($P4040,$B4041)))</f>
        <v/>
      </c>
      <c r="Q4041" s="32" t="str">
        <f>IF($P4041="","",$B4041/$P4041-1)</f>
        <v/>
      </c>
    </row>
    <row r="4042">
      <c r="A4042" s="11" t="n"/>
      <c r="B4042" s="29" t="n"/>
      <c r="K4042" s="30" t="str">
        <f>IF($A4042="","",EDATE($A4042,12*$E$4))</f>
        <v/>
      </c>
      <c r="L4042" s="19" t="str">
        <f>IF($K4042="","",IF($K4042&gt;MAX($A$8:$A$5007),"",IFERROR(MATCH($K4042,$A$8:$A$5007,1),"")))</f>
        <v/>
      </c>
      <c r="M4042" s="30" t="str">
        <f>IF($L4042="","",INDEX($A$8:$A$5007,$L4042))</f>
        <v/>
      </c>
      <c r="N4042" s="31" t="str">
        <f>IF($L4042="","",INDEX($B$8:$B$5007,$L4042))</f>
        <v/>
      </c>
      <c r="O4042" s="32" t="str">
        <f>IF($M4042="","",IF($K4042-$M4042&gt;7,"",IF($M4042&lt;=$A4042,"",IF(OR($B4042&lt;=0,$N4042&lt;=0),"",($N4042/$B4042)^(365/($M4042-$A4042))-1))))</f>
        <v/>
      </c>
      <c r="P4042" s="31" t="str">
        <f>IF($B4042="","",IF($P4041="",$B4042,MAX($P4041,$B4042)))</f>
        <v/>
      </c>
      <c r="Q4042" s="32" t="str">
        <f>IF($P4042="","",$B4042/$P4042-1)</f>
        <v/>
      </c>
    </row>
    <row r="4043">
      <c r="A4043" s="11" t="n"/>
      <c r="B4043" s="29" t="n"/>
      <c r="K4043" s="30" t="str">
        <f>IF($A4043="","",EDATE($A4043,12*$E$4))</f>
        <v/>
      </c>
      <c r="L4043" s="19" t="str">
        <f>IF($K4043="","",IF($K4043&gt;MAX($A$8:$A$5007),"",IFERROR(MATCH($K4043,$A$8:$A$5007,1),"")))</f>
        <v/>
      </c>
      <c r="M4043" s="30" t="str">
        <f>IF($L4043="","",INDEX($A$8:$A$5007,$L4043))</f>
        <v/>
      </c>
      <c r="N4043" s="31" t="str">
        <f>IF($L4043="","",INDEX($B$8:$B$5007,$L4043))</f>
        <v/>
      </c>
      <c r="O4043" s="32" t="str">
        <f>IF($M4043="","",IF($K4043-$M4043&gt;7,"",IF($M4043&lt;=$A4043,"",IF(OR($B4043&lt;=0,$N4043&lt;=0),"",($N4043/$B4043)^(365/($M4043-$A4043))-1))))</f>
        <v/>
      </c>
      <c r="P4043" s="31" t="str">
        <f>IF($B4043="","",IF($P4042="",$B4043,MAX($P4042,$B4043)))</f>
        <v/>
      </c>
      <c r="Q4043" s="32" t="str">
        <f>IF($P4043="","",$B4043/$P4043-1)</f>
        <v/>
      </c>
    </row>
    <row r="4044">
      <c r="A4044" s="11" t="n"/>
      <c r="B4044" s="29" t="n"/>
      <c r="K4044" s="30" t="str">
        <f>IF($A4044="","",EDATE($A4044,12*$E$4))</f>
        <v/>
      </c>
      <c r="L4044" s="19" t="str">
        <f>IF($K4044="","",IF($K4044&gt;MAX($A$8:$A$5007),"",IFERROR(MATCH($K4044,$A$8:$A$5007,1),"")))</f>
        <v/>
      </c>
      <c r="M4044" s="30" t="str">
        <f>IF($L4044="","",INDEX($A$8:$A$5007,$L4044))</f>
        <v/>
      </c>
      <c r="N4044" s="31" t="str">
        <f>IF($L4044="","",INDEX($B$8:$B$5007,$L4044))</f>
        <v/>
      </c>
      <c r="O4044" s="32" t="str">
        <f>IF($M4044="","",IF($K4044-$M4044&gt;7,"",IF($M4044&lt;=$A4044,"",IF(OR($B4044&lt;=0,$N4044&lt;=0),"",($N4044/$B4044)^(365/($M4044-$A4044))-1))))</f>
        <v/>
      </c>
      <c r="P4044" s="31" t="str">
        <f>IF($B4044="","",IF($P4043="",$B4044,MAX($P4043,$B4044)))</f>
        <v/>
      </c>
      <c r="Q4044" s="32" t="str">
        <f>IF($P4044="","",$B4044/$P4044-1)</f>
        <v/>
      </c>
    </row>
    <row r="4045">
      <c r="A4045" s="11" t="n"/>
      <c r="B4045" s="29" t="n"/>
      <c r="K4045" s="30" t="str">
        <f>IF($A4045="","",EDATE($A4045,12*$E$4))</f>
        <v/>
      </c>
      <c r="L4045" s="19" t="str">
        <f>IF($K4045="","",IF($K4045&gt;MAX($A$8:$A$5007),"",IFERROR(MATCH($K4045,$A$8:$A$5007,1),"")))</f>
        <v/>
      </c>
      <c r="M4045" s="30" t="str">
        <f>IF($L4045="","",INDEX($A$8:$A$5007,$L4045))</f>
        <v/>
      </c>
      <c r="N4045" s="31" t="str">
        <f>IF($L4045="","",INDEX($B$8:$B$5007,$L4045))</f>
        <v/>
      </c>
      <c r="O4045" s="32" t="str">
        <f>IF($M4045="","",IF($K4045-$M4045&gt;7,"",IF($M4045&lt;=$A4045,"",IF(OR($B4045&lt;=0,$N4045&lt;=0),"",($N4045/$B4045)^(365/($M4045-$A4045))-1))))</f>
        <v/>
      </c>
      <c r="P4045" s="31" t="str">
        <f>IF($B4045="","",IF($P4044="",$B4045,MAX($P4044,$B4045)))</f>
        <v/>
      </c>
      <c r="Q4045" s="32" t="str">
        <f>IF($P4045="","",$B4045/$P4045-1)</f>
        <v/>
      </c>
    </row>
    <row r="4046">
      <c r="A4046" s="11" t="n"/>
      <c r="B4046" s="29" t="n"/>
      <c r="K4046" s="30" t="str">
        <f>IF($A4046="","",EDATE($A4046,12*$E$4))</f>
        <v/>
      </c>
      <c r="L4046" s="19" t="str">
        <f>IF($K4046="","",IF($K4046&gt;MAX($A$8:$A$5007),"",IFERROR(MATCH($K4046,$A$8:$A$5007,1),"")))</f>
        <v/>
      </c>
      <c r="M4046" s="30" t="str">
        <f>IF($L4046="","",INDEX($A$8:$A$5007,$L4046))</f>
        <v/>
      </c>
      <c r="N4046" s="31" t="str">
        <f>IF($L4046="","",INDEX($B$8:$B$5007,$L4046))</f>
        <v/>
      </c>
      <c r="O4046" s="32" t="str">
        <f>IF($M4046="","",IF($K4046-$M4046&gt;7,"",IF($M4046&lt;=$A4046,"",IF(OR($B4046&lt;=0,$N4046&lt;=0),"",($N4046/$B4046)^(365/($M4046-$A4046))-1))))</f>
        <v/>
      </c>
      <c r="P4046" s="31" t="str">
        <f>IF($B4046="","",IF($P4045="",$B4046,MAX($P4045,$B4046)))</f>
        <v/>
      </c>
      <c r="Q4046" s="32" t="str">
        <f>IF($P4046="","",$B4046/$P4046-1)</f>
        <v/>
      </c>
    </row>
    <row r="4047">
      <c r="A4047" s="11" t="n"/>
      <c r="B4047" s="29" t="n"/>
      <c r="K4047" s="30" t="str">
        <f>IF($A4047="","",EDATE($A4047,12*$E$4))</f>
        <v/>
      </c>
      <c r="L4047" s="19" t="str">
        <f>IF($K4047="","",IF($K4047&gt;MAX($A$8:$A$5007),"",IFERROR(MATCH($K4047,$A$8:$A$5007,1),"")))</f>
        <v/>
      </c>
      <c r="M4047" s="30" t="str">
        <f>IF($L4047="","",INDEX($A$8:$A$5007,$L4047))</f>
        <v/>
      </c>
      <c r="N4047" s="31" t="str">
        <f>IF($L4047="","",INDEX($B$8:$B$5007,$L4047))</f>
        <v/>
      </c>
      <c r="O4047" s="32" t="str">
        <f>IF($M4047="","",IF($K4047-$M4047&gt;7,"",IF($M4047&lt;=$A4047,"",IF(OR($B4047&lt;=0,$N4047&lt;=0),"",($N4047/$B4047)^(365/($M4047-$A4047))-1))))</f>
        <v/>
      </c>
      <c r="P4047" s="31" t="str">
        <f>IF($B4047="","",IF($P4046="",$B4047,MAX($P4046,$B4047)))</f>
        <v/>
      </c>
      <c r="Q4047" s="32" t="str">
        <f>IF($P4047="","",$B4047/$P4047-1)</f>
        <v/>
      </c>
    </row>
    <row r="4048">
      <c r="A4048" s="11" t="n"/>
      <c r="B4048" s="29" t="n"/>
      <c r="K4048" s="30" t="str">
        <f>IF($A4048="","",EDATE($A4048,12*$E$4))</f>
        <v/>
      </c>
      <c r="L4048" s="19" t="str">
        <f>IF($K4048="","",IF($K4048&gt;MAX($A$8:$A$5007),"",IFERROR(MATCH($K4048,$A$8:$A$5007,1),"")))</f>
        <v/>
      </c>
      <c r="M4048" s="30" t="str">
        <f>IF($L4048="","",INDEX($A$8:$A$5007,$L4048))</f>
        <v/>
      </c>
      <c r="N4048" s="31" t="str">
        <f>IF($L4048="","",INDEX($B$8:$B$5007,$L4048))</f>
        <v/>
      </c>
      <c r="O4048" s="32" t="str">
        <f>IF($M4048="","",IF($K4048-$M4048&gt;7,"",IF($M4048&lt;=$A4048,"",IF(OR($B4048&lt;=0,$N4048&lt;=0),"",($N4048/$B4048)^(365/($M4048-$A4048))-1))))</f>
        <v/>
      </c>
      <c r="P4048" s="31" t="str">
        <f>IF($B4048="","",IF($P4047="",$B4048,MAX($P4047,$B4048)))</f>
        <v/>
      </c>
      <c r="Q4048" s="32" t="str">
        <f>IF($P4048="","",$B4048/$P4048-1)</f>
        <v/>
      </c>
    </row>
    <row r="4049">
      <c r="A4049" s="11" t="n"/>
      <c r="B4049" s="29" t="n"/>
      <c r="K4049" s="30" t="str">
        <f>IF($A4049="","",EDATE($A4049,12*$E$4))</f>
        <v/>
      </c>
      <c r="L4049" s="19" t="str">
        <f>IF($K4049="","",IF($K4049&gt;MAX($A$8:$A$5007),"",IFERROR(MATCH($K4049,$A$8:$A$5007,1),"")))</f>
        <v/>
      </c>
      <c r="M4049" s="30" t="str">
        <f>IF($L4049="","",INDEX($A$8:$A$5007,$L4049))</f>
        <v/>
      </c>
      <c r="N4049" s="31" t="str">
        <f>IF($L4049="","",INDEX($B$8:$B$5007,$L4049))</f>
        <v/>
      </c>
      <c r="O4049" s="32" t="str">
        <f>IF($M4049="","",IF($K4049-$M4049&gt;7,"",IF($M4049&lt;=$A4049,"",IF(OR($B4049&lt;=0,$N4049&lt;=0),"",($N4049/$B4049)^(365/($M4049-$A4049))-1))))</f>
        <v/>
      </c>
      <c r="P4049" s="31" t="str">
        <f>IF($B4049="","",IF($P4048="",$B4049,MAX($P4048,$B4049)))</f>
        <v/>
      </c>
      <c r="Q4049" s="32" t="str">
        <f>IF($P4049="","",$B4049/$P4049-1)</f>
        <v/>
      </c>
    </row>
    <row r="4050">
      <c r="A4050" s="11" t="n"/>
      <c r="B4050" s="29" t="n"/>
      <c r="K4050" s="30" t="str">
        <f>IF($A4050="","",EDATE($A4050,12*$E$4))</f>
        <v/>
      </c>
      <c r="L4050" s="19" t="str">
        <f>IF($K4050="","",IF($K4050&gt;MAX($A$8:$A$5007),"",IFERROR(MATCH($K4050,$A$8:$A$5007,1),"")))</f>
        <v/>
      </c>
      <c r="M4050" s="30" t="str">
        <f>IF($L4050="","",INDEX($A$8:$A$5007,$L4050))</f>
        <v/>
      </c>
      <c r="N4050" s="31" t="str">
        <f>IF($L4050="","",INDEX($B$8:$B$5007,$L4050))</f>
        <v/>
      </c>
      <c r="O4050" s="32" t="str">
        <f>IF($M4050="","",IF($K4050-$M4050&gt;7,"",IF($M4050&lt;=$A4050,"",IF(OR($B4050&lt;=0,$N4050&lt;=0),"",($N4050/$B4050)^(365/($M4050-$A4050))-1))))</f>
        <v/>
      </c>
      <c r="P4050" s="31" t="str">
        <f>IF($B4050="","",IF($P4049="",$B4050,MAX($P4049,$B4050)))</f>
        <v/>
      </c>
      <c r="Q4050" s="32" t="str">
        <f>IF($P4050="","",$B4050/$P4050-1)</f>
        <v/>
      </c>
    </row>
    <row r="4051">
      <c r="A4051" s="11" t="n"/>
      <c r="B4051" s="29" t="n"/>
      <c r="K4051" s="30" t="str">
        <f>IF($A4051="","",EDATE($A4051,12*$E$4))</f>
        <v/>
      </c>
      <c r="L4051" s="19" t="str">
        <f>IF($K4051="","",IF($K4051&gt;MAX($A$8:$A$5007),"",IFERROR(MATCH($K4051,$A$8:$A$5007,1),"")))</f>
        <v/>
      </c>
      <c r="M4051" s="30" t="str">
        <f>IF($L4051="","",INDEX($A$8:$A$5007,$L4051))</f>
        <v/>
      </c>
      <c r="N4051" s="31" t="str">
        <f>IF($L4051="","",INDEX($B$8:$B$5007,$L4051))</f>
        <v/>
      </c>
      <c r="O4051" s="32" t="str">
        <f>IF($M4051="","",IF($K4051-$M4051&gt;7,"",IF($M4051&lt;=$A4051,"",IF(OR($B4051&lt;=0,$N4051&lt;=0),"",($N4051/$B4051)^(365/($M4051-$A4051))-1))))</f>
        <v/>
      </c>
      <c r="P4051" s="31" t="str">
        <f>IF($B4051="","",IF($P4050="",$B4051,MAX($P4050,$B4051)))</f>
        <v/>
      </c>
      <c r="Q4051" s="32" t="str">
        <f>IF($P4051="","",$B4051/$P4051-1)</f>
        <v/>
      </c>
    </row>
    <row r="4052">
      <c r="A4052" s="11" t="n"/>
      <c r="B4052" s="29" t="n"/>
      <c r="K4052" s="30" t="str">
        <f>IF($A4052="","",EDATE($A4052,12*$E$4))</f>
        <v/>
      </c>
      <c r="L4052" s="19" t="str">
        <f>IF($K4052="","",IF($K4052&gt;MAX($A$8:$A$5007),"",IFERROR(MATCH($K4052,$A$8:$A$5007,1),"")))</f>
        <v/>
      </c>
      <c r="M4052" s="30" t="str">
        <f>IF($L4052="","",INDEX($A$8:$A$5007,$L4052))</f>
        <v/>
      </c>
      <c r="N4052" s="31" t="str">
        <f>IF($L4052="","",INDEX($B$8:$B$5007,$L4052))</f>
        <v/>
      </c>
      <c r="O4052" s="32" t="str">
        <f>IF($M4052="","",IF($K4052-$M4052&gt;7,"",IF($M4052&lt;=$A4052,"",IF(OR($B4052&lt;=0,$N4052&lt;=0),"",($N4052/$B4052)^(365/($M4052-$A4052))-1))))</f>
        <v/>
      </c>
      <c r="P4052" s="31" t="str">
        <f>IF($B4052="","",IF($P4051="",$B4052,MAX($P4051,$B4052)))</f>
        <v/>
      </c>
      <c r="Q4052" s="32" t="str">
        <f>IF($P4052="","",$B4052/$P4052-1)</f>
        <v/>
      </c>
    </row>
    <row r="4053">
      <c r="A4053" s="11" t="n"/>
      <c r="B4053" s="29" t="n"/>
      <c r="K4053" s="30" t="str">
        <f>IF($A4053="","",EDATE($A4053,12*$E$4))</f>
        <v/>
      </c>
      <c r="L4053" s="19" t="str">
        <f>IF($K4053="","",IF($K4053&gt;MAX($A$8:$A$5007),"",IFERROR(MATCH($K4053,$A$8:$A$5007,1),"")))</f>
        <v/>
      </c>
      <c r="M4053" s="30" t="str">
        <f>IF($L4053="","",INDEX($A$8:$A$5007,$L4053))</f>
        <v/>
      </c>
      <c r="N4053" s="31" t="str">
        <f>IF($L4053="","",INDEX($B$8:$B$5007,$L4053))</f>
        <v/>
      </c>
      <c r="O4053" s="32" t="str">
        <f>IF($M4053="","",IF($K4053-$M4053&gt;7,"",IF($M4053&lt;=$A4053,"",IF(OR($B4053&lt;=0,$N4053&lt;=0),"",($N4053/$B4053)^(365/($M4053-$A4053))-1))))</f>
        <v/>
      </c>
      <c r="P4053" s="31" t="str">
        <f>IF($B4053="","",IF($P4052="",$B4053,MAX($P4052,$B4053)))</f>
        <v/>
      </c>
      <c r="Q4053" s="32" t="str">
        <f>IF($P4053="","",$B4053/$P4053-1)</f>
        <v/>
      </c>
    </row>
    <row r="4054">
      <c r="A4054" s="11" t="n"/>
      <c r="B4054" s="29" t="n"/>
      <c r="K4054" s="30" t="str">
        <f>IF($A4054="","",EDATE($A4054,12*$E$4))</f>
        <v/>
      </c>
      <c r="L4054" s="19" t="str">
        <f>IF($K4054="","",IF($K4054&gt;MAX($A$8:$A$5007),"",IFERROR(MATCH($K4054,$A$8:$A$5007,1),"")))</f>
        <v/>
      </c>
      <c r="M4054" s="30" t="str">
        <f>IF($L4054="","",INDEX($A$8:$A$5007,$L4054))</f>
        <v/>
      </c>
      <c r="N4054" s="31" t="str">
        <f>IF($L4054="","",INDEX($B$8:$B$5007,$L4054))</f>
        <v/>
      </c>
      <c r="O4054" s="32" t="str">
        <f>IF($M4054="","",IF($K4054-$M4054&gt;7,"",IF($M4054&lt;=$A4054,"",IF(OR($B4054&lt;=0,$N4054&lt;=0),"",($N4054/$B4054)^(365/($M4054-$A4054))-1))))</f>
        <v/>
      </c>
      <c r="P4054" s="31" t="str">
        <f>IF($B4054="","",IF($P4053="",$B4054,MAX($P4053,$B4054)))</f>
        <v/>
      </c>
      <c r="Q4054" s="32" t="str">
        <f>IF($P4054="","",$B4054/$P4054-1)</f>
        <v/>
      </c>
    </row>
    <row r="4055">
      <c r="A4055" s="11" t="n"/>
      <c r="B4055" s="29" t="n"/>
      <c r="K4055" s="30" t="str">
        <f>IF($A4055="","",EDATE($A4055,12*$E$4))</f>
        <v/>
      </c>
      <c r="L4055" s="19" t="str">
        <f>IF($K4055="","",IF($K4055&gt;MAX($A$8:$A$5007),"",IFERROR(MATCH($K4055,$A$8:$A$5007,1),"")))</f>
        <v/>
      </c>
      <c r="M4055" s="30" t="str">
        <f>IF($L4055="","",INDEX($A$8:$A$5007,$L4055))</f>
        <v/>
      </c>
      <c r="N4055" s="31" t="str">
        <f>IF($L4055="","",INDEX($B$8:$B$5007,$L4055))</f>
        <v/>
      </c>
      <c r="O4055" s="32" t="str">
        <f>IF($M4055="","",IF($K4055-$M4055&gt;7,"",IF($M4055&lt;=$A4055,"",IF(OR($B4055&lt;=0,$N4055&lt;=0),"",($N4055/$B4055)^(365/($M4055-$A4055))-1))))</f>
        <v/>
      </c>
      <c r="P4055" s="31" t="str">
        <f>IF($B4055="","",IF($P4054="",$B4055,MAX($P4054,$B4055)))</f>
        <v/>
      </c>
      <c r="Q4055" s="32" t="str">
        <f>IF($P4055="","",$B4055/$P4055-1)</f>
        <v/>
      </c>
    </row>
    <row r="4056">
      <c r="A4056" s="11" t="n"/>
      <c r="B4056" s="29" t="n"/>
      <c r="K4056" s="30" t="str">
        <f>IF($A4056="","",EDATE($A4056,12*$E$4))</f>
        <v/>
      </c>
      <c r="L4056" s="19" t="str">
        <f>IF($K4056="","",IF($K4056&gt;MAX($A$8:$A$5007),"",IFERROR(MATCH($K4056,$A$8:$A$5007,1),"")))</f>
        <v/>
      </c>
      <c r="M4056" s="30" t="str">
        <f>IF($L4056="","",INDEX($A$8:$A$5007,$L4056))</f>
        <v/>
      </c>
      <c r="N4056" s="31" t="str">
        <f>IF($L4056="","",INDEX($B$8:$B$5007,$L4056))</f>
        <v/>
      </c>
      <c r="O4056" s="32" t="str">
        <f>IF($M4056="","",IF($K4056-$M4056&gt;7,"",IF($M4056&lt;=$A4056,"",IF(OR($B4056&lt;=0,$N4056&lt;=0),"",($N4056/$B4056)^(365/($M4056-$A4056))-1))))</f>
        <v/>
      </c>
      <c r="P4056" s="31" t="str">
        <f>IF($B4056="","",IF($P4055="",$B4056,MAX($P4055,$B4056)))</f>
        <v/>
      </c>
      <c r="Q4056" s="32" t="str">
        <f>IF($P4056="","",$B4056/$P4056-1)</f>
        <v/>
      </c>
    </row>
    <row r="4057">
      <c r="A4057" s="11" t="n"/>
      <c r="B4057" s="29" t="n"/>
      <c r="K4057" s="30" t="str">
        <f>IF($A4057="","",EDATE($A4057,12*$E$4))</f>
        <v/>
      </c>
      <c r="L4057" s="19" t="str">
        <f>IF($K4057="","",IF($K4057&gt;MAX($A$8:$A$5007),"",IFERROR(MATCH($K4057,$A$8:$A$5007,1),"")))</f>
        <v/>
      </c>
      <c r="M4057" s="30" t="str">
        <f>IF($L4057="","",INDEX($A$8:$A$5007,$L4057))</f>
        <v/>
      </c>
      <c r="N4057" s="31" t="str">
        <f>IF($L4057="","",INDEX($B$8:$B$5007,$L4057))</f>
        <v/>
      </c>
      <c r="O4057" s="32" t="str">
        <f>IF($M4057="","",IF($K4057-$M4057&gt;7,"",IF($M4057&lt;=$A4057,"",IF(OR($B4057&lt;=0,$N4057&lt;=0),"",($N4057/$B4057)^(365/($M4057-$A4057))-1))))</f>
        <v/>
      </c>
      <c r="P4057" s="31" t="str">
        <f>IF($B4057="","",IF($P4056="",$B4057,MAX($P4056,$B4057)))</f>
        <v/>
      </c>
      <c r="Q4057" s="32" t="str">
        <f>IF($P4057="","",$B4057/$P4057-1)</f>
        <v/>
      </c>
    </row>
    <row r="4058">
      <c r="A4058" s="11" t="n"/>
      <c r="B4058" s="29" t="n"/>
      <c r="K4058" s="30" t="str">
        <f>IF($A4058="","",EDATE($A4058,12*$E$4))</f>
        <v/>
      </c>
      <c r="L4058" s="19" t="str">
        <f>IF($K4058="","",IF($K4058&gt;MAX($A$8:$A$5007),"",IFERROR(MATCH($K4058,$A$8:$A$5007,1),"")))</f>
        <v/>
      </c>
      <c r="M4058" s="30" t="str">
        <f>IF($L4058="","",INDEX($A$8:$A$5007,$L4058))</f>
        <v/>
      </c>
      <c r="N4058" s="31" t="str">
        <f>IF($L4058="","",INDEX($B$8:$B$5007,$L4058))</f>
        <v/>
      </c>
      <c r="O4058" s="32" t="str">
        <f>IF($M4058="","",IF($K4058-$M4058&gt;7,"",IF($M4058&lt;=$A4058,"",IF(OR($B4058&lt;=0,$N4058&lt;=0),"",($N4058/$B4058)^(365/($M4058-$A4058))-1))))</f>
        <v/>
      </c>
      <c r="P4058" s="31" t="str">
        <f>IF($B4058="","",IF($P4057="",$B4058,MAX($P4057,$B4058)))</f>
        <v/>
      </c>
      <c r="Q4058" s="32" t="str">
        <f>IF($P4058="","",$B4058/$P4058-1)</f>
        <v/>
      </c>
    </row>
    <row r="4059">
      <c r="A4059" s="11" t="n"/>
      <c r="B4059" s="29" t="n"/>
      <c r="K4059" s="30" t="str">
        <f>IF($A4059="","",EDATE($A4059,12*$E$4))</f>
        <v/>
      </c>
      <c r="L4059" s="19" t="str">
        <f>IF($K4059="","",IF($K4059&gt;MAX($A$8:$A$5007),"",IFERROR(MATCH($K4059,$A$8:$A$5007,1),"")))</f>
        <v/>
      </c>
      <c r="M4059" s="30" t="str">
        <f>IF($L4059="","",INDEX($A$8:$A$5007,$L4059))</f>
        <v/>
      </c>
      <c r="N4059" s="31" t="str">
        <f>IF($L4059="","",INDEX($B$8:$B$5007,$L4059))</f>
        <v/>
      </c>
      <c r="O4059" s="32" t="str">
        <f>IF($M4059="","",IF($K4059-$M4059&gt;7,"",IF($M4059&lt;=$A4059,"",IF(OR($B4059&lt;=0,$N4059&lt;=0),"",($N4059/$B4059)^(365/($M4059-$A4059))-1))))</f>
        <v/>
      </c>
      <c r="P4059" s="31" t="str">
        <f>IF($B4059="","",IF($P4058="",$B4059,MAX($P4058,$B4059)))</f>
        <v/>
      </c>
      <c r="Q4059" s="32" t="str">
        <f>IF($P4059="","",$B4059/$P4059-1)</f>
        <v/>
      </c>
    </row>
    <row r="4060">
      <c r="A4060" s="11" t="n"/>
      <c r="B4060" s="29" t="n"/>
      <c r="K4060" s="30" t="str">
        <f>IF($A4060="","",EDATE($A4060,12*$E$4))</f>
        <v/>
      </c>
      <c r="L4060" s="19" t="str">
        <f>IF($K4060="","",IF($K4060&gt;MAX($A$8:$A$5007),"",IFERROR(MATCH($K4060,$A$8:$A$5007,1),"")))</f>
        <v/>
      </c>
      <c r="M4060" s="30" t="str">
        <f>IF($L4060="","",INDEX($A$8:$A$5007,$L4060))</f>
        <v/>
      </c>
      <c r="N4060" s="31" t="str">
        <f>IF($L4060="","",INDEX($B$8:$B$5007,$L4060))</f>
        <v/>
      </c>
      <c r="O4060" s="32" t="str">
        <f>IF($M4060="","",IF($K4060-$M4060&gt;7,"",IF($M4060&lt;=$A4060,"",IF(OR($B4060&lt;=0,$N4060&lt;=0),"",($N4060/$B4060)^(365/($M4060-$A4060))-1))))</f>
        <v/>
      </c>
      <c r="P4060" s="31" t="str">
        <f>IF($B4060="","",IF($P4059="",$B4060,MAX($P4059,$B4060)))</f>
        <v/>
      </c>
      <c r="Q4060" s="32" t="str">
        <f>IF($P4060="","",$B4060/$P4060-1)</f>
        <v/>
      </c>
    </row>
    <row r="4061">
      <c r="A4061" s="11" t="n"/>
      <c r="B4061" s="29" t="n"/>
      <c r="K4061" s="30" t="str">
        <f>IF($A4061="","",EDATE($A4061,12*$E$4))</f>
        <v/>
      </c>
      <c r="L4061" s="19" t="str">
        <f>IF($K4061="","",IF($K4061&gt;MAX($A$8:$A$5007),"",IFERROR(MATCH($K4061,$A$8:$A$5007,1),"")))</f>
        <v/>
      </c>
      <c r="M4061" s="30" t="str">
        <f>IF($L4061="","",INDEX($A$8:$A$5007,$L4061))</f>
        <v/>
      </c>
      <c r="N4061" s="31" t="str">
        <f>IF($L4061="","",INDEX($B$8:$B$5007,$L4061))</f>
        <v/>
      </c>
      <c r="O4061" s="32" t="str">
        <f>IF($M4061="","",IF($K4061-$M4061&gt;7,"",IF($M4061&lt;=$A4061,"",IF(OR($B4061&lt;=0,$N4061&lt;=0),"",($N4061/$B4061)^(365/($M4061-$A4061))-1))))</f>
        <v/>
      </c>
      <c r="P4061" s="31" t="str">
        <f>IF($B4061="","",IF($P4060="",$B4061,MAX($P4060,$B4061)))</f>
        <v/>
      </c>
      <c r="Q4061" s="32" t="str">
        <f>IF($P4061="","",$B4061/$P4061-1)</f>
        <v/>
      </c>
    </row>
    <row r="4062">
      <c r="A4062" s="11" t="n"/>
      <c r="B4062" s="29" t="n"/>
      <c r="K4062" s="30" t="str">
        <f>IF($A4062="","",EDATE($A4062,12*$E$4))</f>
        <v/>
      </c>
      <c r="L4062" s="19" t="str">
        <f>IF($K4062="","",IF($K4062&gt;MAX($A$8:$A$5007),"",IFERROR(MATCH($K4062,$A$8:$A$5007,1),"")))</f>
        <v/>
      </c>
      <c r="M4062" s="30" t="str">
        <f>IF($L4062="","",INDEX($A$8:$A$5007,$L4062))</f>
        <v/>
      </c>
      <c r="N4062" s="31" t="str">
        <f>IF($L4062="","",INDEX($B$8:$B$5007,$L4062))</f>
        <v/>
      </c>
      <c r="O4062" s="32" t="str">
        <f>IF($M4062="","",IF($K4062-$M4062&gt;7,"",IF($M4062&lt;=$A4062,"",IF(OR($B4062&lt;=0,$N4062&lt;=0),"",($N4062/$B4062)^(365/($M4062-$A4062))-1))))</f>
        <v/>
      </c>
      <c r="P4062" s="31" t="str">
        <f>IF($B4062="","",IF($P4061="",$B4062,MAX($P4061,$B4062)))</f>
        <v/>
      </c>
      <c r="Q4062" s="32" t="str">
        <f>IF($P4062="","",$B4062/$P4062-1)</f>
        <v/>
      </c>
    </row>
    <row r="4063">
      <c r="A4063" s="11" t="n"/>
      <c r="B4063" s="29" t="n"/>
      <c r="K4063" s="30" t="str">
        <f>IF($A4063="","",EDATE($A4063,12*$E$4))</f>
        <v/>
      </c>
      <c r="L4063" s="19" t="str">
        <f>IF($K4063="","",IF($K4063&gt;MAX($A$8:$A$5007),"",IFERROR(MATCH($K4063,$A$8:$A$5007,1),"")))</f>
        <v/>
      </c>
      <c r="M4063" s="30" t="str">
        <f>IF($L4063="","",INDEX($A$8:$A$5007,$L4063))</f>
        <v/>
      </c>
      <c r="N4063" s="31" t="str">
        <f>IF($L4063="","",INDEX($B$8:$B$5007,$L4063))</f>
        <v/>
      </c>
      <c r="O4063" s="32" t="str">
        <f>IF($M4063="","",IF($K4063-$M4063&gt;7,"",IF($M4063&lt;=$A4063,"",IF(OR($B4063&lt;=0,$N4063&lt;=0),"",($N4063/$B4063)^(365/($M4063-$A4063))-1))))</f>
        <v/>
      </c>
      <c r="P4063" s="31" t="str">
        <f>IF($B4063="","",IF($P4062="",$B4063,MAX($P4062,$B4063)))</f>
        <v/>
      </c>
      <c r="Q4063" s="32" t="str">
        <f>IF($P4063="","",$B4063/$P4063-1)</f>
        <v/>
      </c>
    </row>
    <row r="4064">
      <c r="A4064" s="11" t="n"/>
      <c r="B4064" s="29" t="n"/>
      <c r="K4064" s="30" t="str">
        <f>IF($A4064="","",EDATE($A4064,12*$E$4))</f>
        <v/>
      </c>
      <c r="L4064" s="19" t="str">
        <f>IF($K4064="","",IF($K4064&gt;MAX($A$8:$A$5007),"",IFERROR(MATCH($K4064,$A$8:$A$5007,1),"")))</f>
        <v/>
      </c>
      <c r="M4064" s="30" t="str">
        <f>IF($L4064="","",INDEX($A$8:$A$5007,$L4064))</f>
        <v/>
      </c>
      <c r="N4064" s="31" t="str">
        <f>IF($L4064="","",INDEX($B$8:$B$5007,$L4064))</f>
        <v/>
      </c>
      <c r="O4064" s="32" t="str">
        <f>IF($M4064="","",IF($K4064-$M4064&gt;7,"",IF($M4064&lt;=$A4064,"",IF(OR($B4064&lt;=0,$N4064&lt;=0),"",($N4064/$B4064)^(365/($M4064-$A4064))-1))))</f>
        <v/>
      </c>
      <c r="P4064" s="31" t="str">
        <f>IF($B4064="","",IF($P4063="",$B4064,MAX($P4063,$B4064)))</f>
        <v/>
      </c>
      <c r="Q4064" s="32" t="str">
        <f>IF($P4064="","",$B4064/$P4064-1)</f>
        <v/>
      </c>
    </row>
    <row r="4065">
      <c r="A4065" s="11" t="n"/>
      <c r="B4065" s="29" t="n"/>
      <c r="K4065" s="30" t="str">
        <f>IF($A4065="","",EDATE($A4065,12*$E$4))</f>
        <v/>
      </c>
      <c r="L4065" s="19" t="str">
        <f>IF($K4065="","",IF($K4065&gt;MAX($A$8:$A$5007),"",IFERROR(MATCH($K4065,$A$8:$A$5007,1),"")))</f>
        <v/>
      </c>
      <c r="M4065" s="30" t="str">
        <f>IF($L4065="","",INDEX($A$8:$A$5007,$L4065))</f>
        <v/>
      </c>
      <c r="N4065" s="31" t="str">
        <f>IF($L4065="","",INDEX($B$8:$B$5007,$L4065))</f>
        <v/>
      </c>
      <c r="O4065" s="32" t="str">
        <f>IF($M4065="","",IF($K4065-$M4065&gt;7,"",IF($M4065&lt;=$A4065,"",IF(OR($B4065&lt;=0,$N4065&lt;=0),"",($N4065/$B4065)^(365/($M4065-$A4065))-1))))</f>
        <v/>
      </c>
      <c r="P4065" s="31" t="str">
        <f>IF($B4065="","",IF($P4064="",$B4065,MAX($P4064,$B4065)))</f>
        <v/>
      </c>
      <c r="Q4065" s="32" t="str">
        <f>IF($P4065="","",$B4065/$P4065-1)</f>
        <v/>
      </c>
    </row>
    <row r="4066">
      <c r="A4066" s="11" t="n"/>
      <c r="B4066" s="29" t="n"/>
      <c r="K4066" s="30" t="str">
        <f>IF($A4066="","",EDATE($A4066,12*$E$4))</f>
        <v/>
      </c>
      <c r="L4066" s="19" t="str">
        <f>IF($K4066="","",IF($K4066&gt;MAX($A$8:$A$5007),"",IFERROR(MATCH($K4066,$A$8:$A$5007,1),"")))</f>
        <v/>
      </c>
      <c r="M4066" s="30" t="str">
        <f>IF($L4066="","",INDEX($A$8:$A$5007,$L4066))</f>
        <v/>
      </c>
      <c r="N4066" s="31" t="str">
        <f>IF($L4066="","",INDEX($B$8:$B$5007,$L4066))</f>
        <v/>
      </c>
      <c r="O4066" s="32" t="str">
        <f>IF($M4066="","",IF($K4066-$M4066&gt;7,"",IF($M4066&lt;=$A4066,"",IF(OR($B4066&lt;=0,$N4066&lt;=0),"",($N4066/$B4066)^(365/($M4066-$A4066))-1))))</f>
        <v/>
      </c>
      <c r="P4066" s="31" t="str">
        <f>IF($B4066="","",IF($P4065="",$B4066,MAX($P4065,$B4066)))</f>
        <v/>
      </c>
      <c r="Q4066" s="32" t="str">
        <f>IF($P4066="","",$B4066/$P4066-1)</f>
        <v/>
      </c>
    </row>
    <row r="4067">
      <c r="A4067" s="11" t="n"/>
      <c r="B4067" s="29" t="n"/>
      <c r="K4067" s="30" t="str">
        <f>IF($A4067="","",EDATE($A4067,12*$E$4))</f>
        <v/>
      </c>
      <c r="L4067" s="19" t="str">
        <f>IF($K4067="","",IF($K4067&gt;MAX($A$8:$A$5007),"",IFERROR(MATCH($K4067,$A$8:$A$5007,1),"")))</f>
        <v/>
      </c>
      <c r="M4067" s="30" t="str">
        <f>IF($L4067="","",INDEX($A$8:$A$5007,$L4067))</f>
        <v/>
      </c>
      <c r="N4067" s="31" t="str">
        <f>IF($L4067="","",INDEX($B$8:$B$5007,$L4067))</f>
        <v/>
      </c>
      <c r="O4067" s="32" t="str">
        <f>IF($M4067="","",IF($K4067-$M4067&gt;7,"",IF($M4067&lt;=$A4067,"",IF(OR($B4067&lt;=0,$N4067&lt;=0),"",($N4067/$B4067)^(365/($M4067-$A4067))-1))))</f>
        <v/>
      </c>
      <c r="P4067" s="31" t="str">
        <f>IF($B4067="","",IF($P4066="",$B4067,MAX($P4066,$B4067)))</f>
        <v/>
      </c>
      <c r="Q4067" s="32" t="str">
        <f>IF($P4067="","",$B4067/$P4067-1)</f>
        <v/>
      </c>
    </row>
    <row r="4068">
      <c r="A4068" s="11" t="n"/>
      <c r="B4068" s="29" t="n"/>
      <c r="K4068" s="30" t="str">
        <f>IF($A4068="","",EDATE($A4068,12*$E$4))</f>
        <v/>
      </c>
      <c r="L4068" s="19" t="str">
        <f>IF($K4068="","",IF($K4068&gt;MAX($A$8:$A$5007),"",IFERROR(MATCH($K4068,$A$8:$A$5007,1),"")))</f>
        <v/>
      </c>
      <c r="M4068" s="30" t="str">
        <f>IF($L4068="","",INDEX($A$8:$A$5007,$L4068))</f>
        <v/>
      </c>
      <c r="N4068" s="31" t="str">
        <f>IF($L4068="","",INDEX($B$8:$B$5007,$L4068))</f>
        <v/>
      </c>
      <c r="O4068" s="32" t="str">
        <f>IF($M4068="","",IF($K4068-$M4068&gt;7,"",IF($M4068&lt;=$A4068,"",IF(OR($B4068&lt;=0,$N4068&lt;=0),"",($N4068/$B4068)^(365/($M4068-$A4068))-1))))</f>
        <v/>
      </c>
      <c r="P4068" s="31" t="str">
        <f>IF($B4068="","",IF($P4067="",$B4068,MAX($P4067,$B4068)))</f>
        <v/>
      </c>
      <c r="Q4068" s="32" t="str">
        <f>IF($P4068="","",$B4068/$P4068-1)</f>
        <v/>
      </c>
    </row>
    <row r="4069">
      <c r="A4069" s="11" t="n"/>
      <c r="B4069" s="29" t="n"/>
      <c r="K4069" s="30" t="str">
        <f>IF($A4069="","",EDATE($A4069,12*$E$4))</f>
        <v/>
      </c>
      <c r="L4069" s="19" t="str">
        <f>IF($K4069="","",IF($K4069&gt;MAX($A$8:$A$5007),"",IFERROR(MATCH($K4069,$A$8:$A$5007,1),"")))</f>
        <v/>
      </c>
      <c r="M4069" s="30" t="str">
        <f>IF($L4069="","",INDEX($A$8:$A$5007,$L4069))</f>
        <v/>
      </c>
      <c r="N4069" s="31" t="str">
        <f>IF($L4069="","",INDEX($B$8:$B$5007,$L4069))</f>
        <v/>
      </c>
      <c r="O4069" s="32" t="str">
        <f>IF($M4069="","",IF($K4069-$M4069&gt;7,"",IF($M4069&lt;=$A4069,"",IF(OR($B4069&lt;=0,$N4069&lt;=0),"",($N4069/$B4069)^(365/($M4069-$A4069))-1))))</f>
        <v/>
      </c>
      <c r="P4069" s="31" t="str">
        <f>IF($B4069="","",IF($P4068="",$B4069,MAX($P4068,$B4069)))</f>
        <v/>
      </c>
      <c r="Q4069" s="32" t="str">
        <f>IF($P4069="","",$B4069/$P4069-1)</f>
        <v/>
      </c>
    </row>
    <row r="4070">
      <c r="A4070" s="11" t="n"/>
      <c r="B4070" s="29" t="n"/>
      <c r="K4070" s="30" t="str">
        <f>IF($A4070="","",EDATE($A4070,12*$E$4))</f>
        <v/>
      </c>
      <c r="L4070" s="19" t="str">
        <f>IF($K4070="","",IF($K4070&gt;MAX($A$8:$A$5007),"",IFERROR(MATCH($K4070,$A$8:$A$5007,1),"")))</f>
        <v/>
      </c>
      <c r="M4070" s="30" t="str">
        <f>IF($L4070="","",INDEX($A$8:$A$5007,$L4070))</f>
        <v/>
      </c>
      <c r="N4070" s="31" t="str">
        <f>IF($L4070="","",INDEX($B$8:$B$5007,$L4070))</f>
        <v/>
      </c>
      <c r="O4070" s="32" t="str">
        <f>IF($M4070="","",IF($K4070-$M4070&gt;7,"",IF($M4070&lt;=$A4070,"",IF(OR($B4070&lt;=0,$N4070&lt;=0),"",($N4070/$B4070)^(365/($M4070-$A4070))-1))))</f>
        <v/>
      </c>
      <c r="P4070" s="31" t="str">
        <f>IF($B4070="","",IF($P4069="",$B4070,MAX($P4069,$B4070)))</f>
        <v/>
      </c>
      <c r="Q4070" s="32" t="str">
        <f>IF($P4070="","",$B4070/$P4070-1)</f>
        <v/>
      </c>
    </row>
    <row r="4071">
      <c r="A4071" s="11" t="n"/>
      <c r="B4071" s="29" t="n"/>
      <c r="K4071" s="30" t="str">
        <f>IF($A4071="","",EDATE($A4071,12*$E$4))</f>
        <v/>
      </c>
      <c r="L4071" s="19" t="str">
        <f>IF($K4071="","",IF($K4071&gt;MAX($A$8:$A$5007),"",IFERROR(MATCH($K4071,$A$8:$A$5007,1),"")))</f>
        <v/>
      </c>
      <c r="M4071" s="30" t="str">
        <f>IF($L4071="","",INDEX($A$8:$A$5007,$L4071))</f>
        <v/>
      </c>
      <c r="N4071" s="31" t="str">
        <f>IF($L4071="","",INDEX($B$8:$B$5007,$L4071))</f>
        <v/>
      </c>
      <c r="O4071" s="32" t="str">
        <f>IF($M4071="","",IF($K4071-$M4071&gt;7,"",IF($M4071&lt;=$A4071,"",IF(OR($B4071&lt;=0,$N4071&lt;=0),"",($N4071/$B4071)^(365/($M4071-$A4071))-1))))</f>
        <v/>
      </c>
      <c r="P4071" s="31" t="str">
        <f>IF($B4071="","",IF($P4070="",$B4071,MAX($P4070,$B4071)))</f>
        <v/>
      </c>
      <c r="Q4071" s="32" t="str">
        <f>IF($P4071="","",$B4071/$P4071-1)</f>
        <v/>
      </c>
    </row>
    <row r="4072">
      <c r="A4072" s="11" t="n"/>
      <c r="B4072" s="29" t="n"/>
      <c r="K4072" s="30" t="str">
        <f>IF($A4072="","",EDATE($A4072,12*$E$4))</f>
        <v/>
      </c>
      <c r="L4072" s="19" t="str">
        <f>IF($K4072="","",IF($K4072&gt;MAX($A$8:$A$5007),"",IFERROR(MATCH($K4072,$A$8:$A$5007,1),"")))</f>
        <v/>
      </c>
      <c r="M4072" s="30" t="str">
        <f>IF($L4072="","",INDEX($A$8:$A$5007,$L4072))</f>
        <v/>
      </c>
      <c r="N4072" s="31" t="str">
        <f>IF($L4072="","",INDEX($B$8:$B$5007,$L4072))</f>
        <v/>
      </c>
      <c r="O4072" s="32" t="str">
        <f>IF($M4072="","",IF($K4072-$M4072&gt;7,"",IF($M4072&lt;=$A4072,"",IF(OR($B4072&lt;=0,$N4072&lt;=0),"",($N4072/$B4072)^(365/($M4072-$A4072))-1))))</f>
        <v/>
      </c>
      <c r="P4072" s="31" t="str">
        <f>IF($B4072="","",IF($P4071="",$B4072,MAX($P4071,$B4072)))</f>
        <v/>
      </c>
      <c r="Q4072" s="32" t="str">
        <f>IF($P4072="","",$B4072/$P4072-1)</f>
        <v/>
      </c>
    </row>
    <row r="4073">
      <c r="A4073" s="11" t="n"/>
      <c r="B4073" s="29" t="n"/>
      <c r="K4073" s="30" t="str">
        <f>IF($A4073="","",EDATE($A4073,12*$E$4))</f>
        <v/>
      </c>
      <c r="L4073" s="19" t="str">
        <f>IF($K4073="","",IF($K4073&gt;MAX($A$8:$A$5007),"",IFERROR(MATCH($K4073,$A$8:$A$5007,1),"")))</f>
        <v/>
      </c>
      <c r="M4073" s="30" t="str">
        <f>IF($L4073="","",INDEX($A$8:$A$5007,$L4073))</f>
        <v/>
      </c>
      <c r="N4073" s="31" t="str">
        <f>IF($L4073="","",INDEX($B$8:$B$5007,$L4073))</f>
        <v/>
      </c>
      <c r="O4073" s="32" t="str">
        <f>IF($M4073="","",IF($K4073-$M4073&gt;7,"",IF($M4073&lt;=$A4073,"",IF(OR($B4073&lt;=0,$N4073&lt;=0),"",($N4073/$B4073)^(365/($M4073-$A4073))-1))))</f>
        <v/>
      </c>
      <c r="P4073" s="31" t="str">
        <f>IF($B4073="","",IF($P4072="",$B4073,MAX($P4072,$B4073)))</f>
        <v/>
      </c>
      <c r="Q4073" s="32" t="str">
        <f>IF($P4073="","",$B4073/$P4073-1)</f>
        <v/>
      </c>
    </row>
    <row r="4074">
      <c r="A4074" s="11" t="n"/>
      <c r="B4074" s="29" t="n"/>
      <c r="K4074" s="30" t="str">
        <f>IF($A4074="","",EDATE($A4074,12*$E$4))</f>
        <v/>
      </c>
      <c r="L4074" s="19" t="str">
        <f>IF($K4074="","",IF($K4074&gt;MAX($A$8:$A$5007),"",IFERROR(MATCH($K4074,$A$8:$A$5007,1),"")))</f>
        <v/>
      </c>
      <c r="M4074" s="30" t="str">
        <f>IF($L4074="","",INDEX($A$8:$A$5007,$L4074))</f>
        <v/>
      </c>
      <c r="N4074" s="31" t="str">
        <f>IF($L4074="","",INDEX($B$8:$B$5007,$L4074))</f>
        <v/>
      </c>
      <c r="O4074" s="32" t="str">
        <f>IF($M4074="","",IF($K4074-$M4074&gt;7,"",IF($M4074&lt;=$A4074,"",IF(OR($B4074&lt;=0,$N4074&lt;=0),"",($N4074/$B4074)^(365/($M4074-$A4074))-1))))</f>
        <v/>
      </c>
      <c r="P4074" s="31" t="str">
        <f>IF($B4074="","",IF($P4073="",$B4074,MAX($P4073,$B4074)))</f>
        <v/>
      </c>
      <c r="Q4074" s="32" t="str">
        <f>IF($P4074="","",$B4074/$P4074-1)</f>
        <v/>
      </c>
    </row>
    <row r="4075">
      <c r="A4075" s="11" t="n"/>
      <c r="B4075" s="29" t="n"/>
      <c r="K4075" s="30" t="str">
        <f>IF($A4075="","",EDATE($A4075,12*$E$4))</f>
        <v/>
      </c>
      <c r="L4075" s="19" t="str">
        <f>IF($K4075="","",IF($K4075&gt;MAX($A$8:$A$5007),"",IFERROR(MATCH($K4075,$A$8:$A$5007,1),"")))</f>
        <v/>
      </c>
      <c r="M4075" s="30" t="str">
        <f>IF($L4075="","",INDEX($A$8:$A$5007,$L4075))</f>
        <v/>
      </c>
      <c r="N4075" s="31" t="str">
        <f>IF($L4075="","",INDEX($B$8:$B$5007,$L4075))</f>
        <v/>
      </c>
      <c r="O4075" s="32" t="str">
        <f>IF($M4075="","",IF($K4075-$M4075&gt;7,"",IF($M4075&lt;=$A4075,"",IF(OR($B4075&lt;=0,$N4075&lt;=0),"",($N4075/$B4075)^(365/($M4075-$A4075))-1))))</f>
        <v/>
      </c>
      <c r="P4075" s="31" t="str">
        <f>IF($B4075="","",IF($P4074="",$B4075,MAX($P4074,$B4075)))</f>
        <v/>
      </c>
      <c r="Q4075" s="32" t="str">
        <f>IF($P4075="","",$B4075/$P4075-1)</f>
        <v/>
      </c>
    </row>
    <row r="4076">
      <c r="A4076" s="11" t="n"/>
      <c r="B4076" s="29" t="n"/>
      <c r="K4076" s="30" t="str">
        <f>IF($A4076="","",EDATE($A4076,12*$E$4))</f>
        <v/>
      </c>
      <c r="L4076" s="19" t="str">
        <f>IF($K4076="","",IF($K4076&gt;MAX($A$8:$A$5007),"",IFERROR(MATCH($K4076,$A$8:$A$5007,1),"")))</f>
        <v/>
      </c>
      <c r="M4076" s="30" t="str">
        <f>IF($L4076="","",INDEX($A$8:$A$5007,$L4076))</f>
        <v/>
      </c>
      <c r="N4076" s="31" t="str">
        <f>IF($L4076="","",INDEX($B$8:$B$5007,$L4076))</f>
        <v/>
      </c>
      <c r="O4076" s="32" t="str">
        <f>IF($M4076="","",IF($K4076-$M4076&gt;7,"",IF($M4076&lt;=$A4076,"",IF(OR($B4076&lt;=0,$N4076&lt;=0),"",($N4076/$B4076)^(365/($M4076-$A4076))-1))))</f>
        <v/>
      </c>
      <c r="P4076" s="31" t="str">
        <f>IF($B4076="","",IF($P4075="",$B4076,MAX($P4075,$B4076)))</f>
        <v/>
      </c>
      <c r="Q4076" s="32" t="str">
        <f>IF($P4076="","",$B4076/$P4076-1)</f>
        <v/>
      </c>
    </row>
    <row r="4077">
      <c r="A4077" s="11" t="n"/>
      <c r="B4077" s="29" t="n"/>
      <c r="K4077" s="30" t="str">
        <f>IF($A4077="","",EDATE($A4077,12*$E$4))</f>
        <v/>
      </c>
      <c r="L4077" s="19" t="str">
        <f>IF($K4077="","",IF($K4077&gt;MAX($A$8:$A$5007),"",IFERROR(MATCH($K4077,$A$8:$A$5007,1),"")))</f>
        <v/>
      </c>
      <c r="M4077" s="30" t="str">
        <f>IF($L4077="","",INDEX($A$8:$A$5007,$L4077))</f>
        <v/>
      </c>
      <c r="N4077" s="31" t="str">
        <f>IF($L4077="","",INDEX($B$8:$B$5007,$L4077))</f>
        <v/>
      </c>
      <c r="O4077" s="32" t="str">
        <f>IF($M4077="","",IF($K4077-$M4077&gt;7,"",IF($M4077&lt;=$A4077,"",IF(OR($B4077&lt;=0,$N4077&lt;=0),"",($N4077/$B4077)^(365/($M4077-$A4077))-1))))</f>
        <v/>
      </c>
      <c r="P4077" s="31" t="str">
        <f>IF($B4077="","",IF($P4076="",$B4077,MAX($P4076,$B4077)))</f>
        <v/>
      </c>
      <c r="Q4077" s="32" t="str">
        <f>IF($P4077="","",$B4077/$P4077-1)</f>
        <v/>
      </c>
    </row>
    <row r="4078">
      <c r="A4078" s="11" t="n"/>
      <c r="B4078" s="29" t="n"/>
      <c r="K4078" s="30" t="str">
        <f>IF($A4078="","",EDATE($A4078,12*$E$4))</f>
        <v/>
      </c>
      <c r="L4078" s="19" t="str">
        <f>IF($K4078="","",IF($K4078&gt;MAX($A$8:$A$5007),"",IFERROR(MATCH($K4078,$A$8:$A$5007,1),"")))</f>
        <v/>
      </c>
      <c r="M4078" s="30" t="str">
        <f>IF($L4078="","",INDEX($A$8:$A$5007,$L4078))</f>
        <v/>
      </c>
      <c r="N4078" s="31" t="str">
        <f>IF($L4078="","",INDEX($B$8:$B$5007,$L4078))</f>
        <v/>
      </c>
      <c r="O4078" s="32" t="str">
        <f>IF($M4078="","",IF($K4078-$M4078&gt;7,"",IF($M4078&lt;=$A4078,"",IF(OR($B4078&lt;=0,$N4078&lt;=0),"",($N4078/$B4078)^(365/($M4078-$A4078))-1))))</f>
        <v/>
      </c>
      <c r="P4078" s="31" t="str">
        <f>IF($B4078="","",IF($P4077="",$B4078,MAX($P4077,$B4078)))</f>
        <v/>
      </c>
      <c r="Q4078" s="32" t="str">
        <f>IF($P4078="","",$B4078/$P4078-1)</f>
        <v/>
      </c>
    </row>
    <row r="4079">
      <c r="A4079" s="11" t="n"/>
      <c r="B4079" s="29" t="n"/>
      <c r="K4079" s="30" t="str">
        <f>IF($A4079="","",EDATE($A4079,12*$E$4))</f>
        <v/>
      </c>
      <c r="L4079" s="19" t="str">
        <f>IF($K4079="","",IF($K4079&gt;MAX($A$8:$A$5007),"",IFERROR(MATCH($K4079,$A$8:$A$5007,1),"")))</f>
        <v/>
      </c>
      <c r="M4079" s="30" t="str">
        <f>IF($L4079="","",INDEX($A$8:$A$5007,$L4079))</f>
        <v/>
      </c>
      <c r="N4079" s="31" t="str">
        <f>IF($L4079="","",INDEX($B$8:$B$5007,$L4079))</f>
        <v/>
      </c>
      <c r="O4079" s="32" t="str">
        <f>IF($M4079="","",IF($K4079-$M4079&gt;7,"",IF($M4079&lt;=$A4079,"",IF(OR($B4079&lt;=0,$N4079&lt;=0),"",($N4079/$B4079)^(365/($M4079-$A4079))-1))))</f>
        <v/>
      </c>
      <c r="P4079" s="31" t="str">
        <f>IF($B4079="","",IF($P4078="",$B4079,MAX($P4078,$B4079)))</f>
        <v/>
      </c>
      <c r="Q4079" s="32" t="str">
        <f>IF($P4079="","",$B4079/$P4079-1)</f>
        <v/>
      </c>
    </row>
    <row r="4080">
      <c r="A4080" s="11" t="n"/>
      <c r="B4080" s="29" t="n"/>
      <c r="K4080" s="30" t="str">
        <f>IF($A4080="","",EDATE($A4080,12*$E$4))</f>
        <v/>
      </c>
      <c r="L4080" s="19" t="str">
        <f>IF($K4080="","",IF($K4080&gt;MAX($A$8:$A$5007),"",IFERROR(MATCH($K4080,$A$8:$A$5007,1),"")))</f>
        <v/>
      </c>
      <c r="M4080" s="30" t="str">
        <f>IF($L4080="","",INDEX($A$8:$A$5007,$L4080))</f>
        <v/>
      </c>
      <c r="N4080" s="31" t="str">
        <f>IF($L4080="","",INDEX($B$8:$B$5007,$L4080))</f>
        <v/>
      </c>
      <c r="O4080" s="32" t="str">
        <f>IF($M4080="","",IF($K4080-$M4080&gt;7,"",IF($M4080&lt;=$A4080,"",IF(OR($B4080&lt;=0,$N4080&lt;=0),"",($N4080/$B4080)^(365/($M4080-$A4080))-1))))</f>
        <v/>
      </c>
      <c r="P4080" s="31" t="str">
        <f>IF($B4080="","",IF($P4079="",$B4080,MAX($P4079,$B4080)))</f>
        <v/>
      </c>
      <c r="Q4080" s="32" t="str">
        <f>IF($P4080="","",$B4080/$P4080-1)</f>
        <v/>
      </c>
    </row>
    <row r="4081">
      <c r="A4081" s="11" t="n"/>
      <c r="B4081" s="29" t="n"/>
      <c r="K4081" s="30" t="str">
        <f>IF($A4081="","",EDATE($A4081,12*$E$4))</f>
        <v/>
      </c>
      <c r="L4081" s="19" t="str">
        <f>IF($K4081="","",IF($K4081&gt;MAX($A$8:$A$5007),"",IFERROR(MATCH($K4081,$A$8:$A$5007,1),"")))</f>
        <v/>
      </c>
      <c r="M4081" s="30" t="str">
        <f>IF($L4081="","",INDEX($A$8:$A$5007,$L4081))</f>
        <v/>
      </c>
      <c r="N4081" s="31" t="str">
        <f>IF($L4081="","",INDEX($B$8:$B$5007,$L4081))</f>
        <v/>
      </c>
      <c r="O4081" s="32" t="str">
        <f>IF($M4081="","",IF($K4081-$M4081&gt;7,"",IF($M4081&lt;=$A4081,"",IF(OR($B4081&lt;=0,$N4081&lt;=0),"",($N4081/$B4081)^(365/($M4081-$A4081))-1))))</f>
        <v/>
      </c>
      <c r="P4081" s="31" t="str">
        <f>IF($B4081="","",IF($P4080="",$B4081,MAX($P4080,$B4081)))</f>
        <v/>
      </c>
      <c r="Q4081" s="32" t="str">
        <f>IF($P4081="","",$B4081/$P4081-1)</f>
        <v/>
      </c>
    </row>
    <row r="4082">
      <c r="A4082" s="11" t="n"/>
      <c r="B4082" s="29" t="n"/>
      <c r="K4082" s="30" t="str">
        <f>IF($A4082="","",EDATE($A4082,12*$E$4))</f>
        <v/>
      </c>
      <c r="L4082" s="19" t="str">
        <f>IF($K4082="","",IF($K4082&gt;MAX($A$8:$A$5007),"",IFERROR(MATCH($K4082,$A$8:$A$5007,1),"")))</f>
        <v/>
      </c>
      <c r="M4082" s="30" t="str">
        <f>IF($L4082="","",INDEX($A$8:$A$5007,$L4082))</f>
        <v/>
      </c>
      <c r="N4082" s="31" t="str">
        <f>IF($L4082="","",INDEX($B$8:$B$5007,$L4082))</f>
        <v/>
      </c>
      <c r="O4082" s="32" t="str">
        <f>IF($M4082="","",IF($K4082-$M4082&gt;7,"",IF($M4082&lt;=$A4082,"",IF(OR($B4082&lt;=0,$N4082&lt;=0),"",($N4082/$B4082)^(365/($M4082-$A4082))-1))))</f>
        <v/>
      </c>
      <c r="P4082" s="31" t="str">
        <f>IF($B4082="","",IF($P4081="",$B4082,MAX($P4081,$B4082)))</f>
        <v/>
      </c>
      <c r="Q4082" s="32" t="str">
        <f>IF($P4082="","",$B4082/$P4082-1)</f>
        <v/>
      </c>
    </row>
    <row r="4083">
      <c r="A4083" s="11" t="n"/>
      <c r="B4083" s="29" t="n"/>
      <c r="K4083" s="30" t="str">
        <f>IF($A4083="","",EDATE($A4083,12*$E$4))</f>
        <v/>
      </c>
      <c r="L4083" s="19" t="str">
        <f>IF($K4083="","",IF($K4083&gt;MAX($A$8:$A$5007),"",IFERROR(MATCH($K4083,$A$8:$A$5007,1),"")))</f>
        <v/>
      </c>
      <c r="M4083" s="30" t="str">
        <f>IF($L4083="","",INDEX($A$8:$A$5007,$L4083))</f>
        <v/>
      </c>
      <c r="N4083" s="31" t="str">
        <f>IF($L4083="","",INDEX($B$8:$B$5007,$L4083))</f>
        <v/>
      </c>
      <c r="O4083" s="32" t="str">
        <f>IF($M4083="","",IF($K4083-$M4083&gt;7,"",IF($M4083&lt;=$A4083,"",IF(OR($B4083&lt;=0,$N4083&lt;=0),"",($N4083/$B4083)^(365/($M4083-$A4083))-1))))</f>
        <v/>
      </c>
      <c r="P4083" s="31" t="str">
        <f>IF($B4083="","",IF($P4082="",$B4083,MAX($P4082,$B4083)))</f>
        <v/>
      </c>
      <c r="Q4083" s="32" t="str">
        <f>IF($P4083="","",$B4083/$P4083-1)</f>
        <v/>
      </c>
    </row>
    <row r="4084">
      <c r="A4084" s="11" t="n"/>
      <c r="B4084" s="29" t="n"/>
      <c r="K4084" s="30" t="str">
        <f>IF($A4084="","",EDATE($A4084,12*$E$4))</f>
        <v/>
      </c>
      <c r="L4084" s="19" t="str">
        <f>IF($K4084="","",IF($K4084&gt;MAX($A$8:$A$5007),"",IFERROR(MATCH($K4084,$A$8:$A$5007,1),"")))</f>
        <v/>
      </c>
      <c r="M4084" s="30" t="str">
        <f>IF($L4084="","",INDEX($A$8:$A$5007,$L4084))</f>
        <v/>
      </c>
      <c r="N4084" s="31" t="str">
        <f>IF($L4084="","",INDEX($B$8:$B$5007,$L4084))</f>
        <v/>
      </c>
      <c r="O4084" s="32" t="str">
        <f>IF($M4084="","",IF($K4084-$M4084&gt;7,"",IF($M4084&lt;=$A4084,"",IF(OR($B4084&lt;=0,$N4084&lt;=0),"",($N4084/$B4084)^(365/($M4084-$A4084))-1))))</f>
        <v/>
      </c>
      <c r="P4084" s="31" t="str">
        <f>IF($B4084="","",IF($P4083="",$B4084,MAX($P4083,$B4084)))</f>
        <v/>
      </c>
      <c r="Q4084" s="32" t="str">
        <f>IF($P4084="","",$B4084/$P4084-1)</f>
        <v/>
      </c>
    </row>
    <row r="4085">
      <c r="A4085" s="11" t="n"/>
      <c r="B4085" s="29" t="n"/>
      <c r="K4085" s="30" t="str">
        <f>IF($A4085="","",EDATE($A4085,12*$E$4))</f>
        <v/>
      </c>
      <c r="L4085" s="19" t="str">
        <f>IF($K4085="","",IF($K4085&gt;MAX($A$8:$A$5007),"",IFERROR(MATCH($K4085,$A$8:$A$5007,1),"")))</f>
        <v/>
      </c>
      <c r="M4085" s="30" t="str">
        <f>IF($L4085="","",INDEX($A$8:$A$5007,$L4085))</f>
        <v/>
      </c>
      <c r="N4085" s="31" t="str">
        <f>IF($L4085="","",INDEX($B$8:$B$5007,$L4085))</f>
        <v/>
      </c>
      <c r="O4085" s="32" t="str">
        <f>IF($M4085="","",IF($K4085-$M4085&gt;7,"",IF($M4085&lt;=$A4085,"",IF(OR($B4085&lt;=0,$N4085&lt;=0),"",($N4085/$B4085)^(365/($M4085-$A4085))-1))))</f>
        <v/>
      </c>
      <c r="P4085" s="31" t="str">
        <f>IF($B4085="","",IF($P4084="",$B4085,MAX($P4084,$B4085)))</f>
        <v/>
      </c>
      <c r="Q4085" s="32" t="str">
        <f>IF($P4085="","",$B4085/$P4085-1)</f>
        <v/>
      </c>
    </row>
    <row r="4086">
      <c r="A4086" s="11" t="n"/>
      <c r="B4086" s="29" t="n"/>
      <c r="K4086" s="30" t="str">
        <f>IF($A4086="","",EDATE($A4086,12*$E$4))</f>
        <v/>
      </c>
      <c r="L4086" s="19" t="str">
        <f>IF($K4086="","",IF($K4086&gt;MAX($A$8:$A$5007),"",IFERROR(MATCH($K4086,$A$8:$A$5007,1),"")))</f>
        <v/>
      </c>
      <c r="M4086" s="30" t="str">
        <f>IF($L4086="","",INDEX($A$8:$A$5007,$L4086))</f>
        <v/>
      </c>
      <c r="N4086" s="31" t="str">
        <f>IF($L4086="","",INDEX($B$8:$B$5007,$L4086))</f>
        <v/>
      </c>
      <c r="O4086" s="32" t="str">
        <f>IF($M4086="","",IF($K4086-$M4086&gt;7,"",IF($M4086&lt;=$A4086,"",IF(OR($B4086&lt;=0,$N4086&lt;=0),"",($N4086/$B4086)^(365/($M4086-$A4086))-1))))</f>
        <v/>
      </c>
      <c r="P4086" s="31" t="str">
        <f>IF($B4086="","",IF($P4085="",$B4086,MAX($P4085,$B4086)))</f>
        <v/>
      </c>
      <c r="Q4086" s="32" t="str">
        <f>IF($P4086="","",$B4086/$P4086-1)</f>
        <v/>
      </c>
    </row>
    <row r="4087">
      <c r="A4087" s="11" t="n"/>
      <c r="B4087" s="29" t="n"/>
      <c r="K4087" s="30" t="str">
        <f>IF($A4087="","",EDATE($A4087,12*$E$4))</f>
        <v/>
      </c>
      <c r="L4087" s="19" t="str">
        <f>IF($K4087="","",IF($K4087&gt;MAX($A$8:$A$5007),"",IFERROR(MATCH($K4087,$A$8:$A$5007,1),"")))</f>
        <v/>
      </c>
      <c r="M4087" s="30" t="str">
        <f>IF($L4087="","",INDEX($A$8:$A$5007,$L4087))</f>
        <v/>
      </c>
      <c r="N4087" s="31" t="str">
        <f>IF($L4087="","",INDEX($B$8:$B$5007,$L4087))</f>
        <v/>
      </c>
      <c r="O4087" s="32" t="str">
        <f>IF($M4087="","",IF($K4087-$M4087&gt;7,"",IF($M4087&lt;=$A4087,"",IF(OR($B4087&lt;=0,$N4087&lt;=0),"",($N4087/$B4087)^(365/($M4087-$A4087))-1))))</f>
        <v/>
      </c>
      <c r="P4087" s="31" t="str">
        <f>IF($B4087="","",IF($P4086="",$B4087,MAX($P4086,$B4087)))</f>
        <v/>
      </c>
      <c r="Q4087" s="32" t="str">
        <f>IF($P4087="","",$B4087/$P4087-1)</f>
        <v/>
      </c>
    </row>
    <row r="4088">
      <c r="A4088" s="11" t="n"/>
      <c r="B4088" s="29" t="n"/>
      <c r="K4088" s="30" t="str">
        <f>IF($A4088="","",EDATE($A4088,12*$E$4))</f>
        <v/>
      </c>
      <c r="L4088" s="19" t="str">
        <f>IF($K4088="","",IF($K4088&gt;MAX($A$8:$A$5007),"",IFERROR(MATCH($K4088,$A$8:$A$5007,1),"")))</f>
        <v/>
      </c>
      <c r="M4088" s="30" t="str">
        <f>IF($L4088="","",INDEX($A$8:$A$5007,$L4088))</f>
        <v/>
      </c>
      <c r="N4088" s="31" t="str">
        <f>IF($L4088="","",INDEX($B$8:$B$5007,$L4088))</f>
        <v/>
      </c>
      <c r="O4088" s="32" t="str">
        <f>IF($M4088="","",IF($K4088-$M4088&gt;7,"",IF($M4088&lt;=$A4088,"",IF(OR($B4088&lt;=0,$N4088&lt;=0),"",($N4088/$B4088)^(365/($M4088-$A4088))-1))))</f>
        <v/>
      </c>
      <c r="P4088" s="31" t="str">
        <f>IF($B4088="","",IF($P4087="",$B4088,MAX($P4087,$B4088)))</f>
        <v/>
      </c>
      <c r="Q4088" s="32" t="str">
        <f>IF($P4088="","",$B4088/$P4088-1)</f>
        <v/>
      </c>
    </row>
    <row r="4089">
      <c r="A4089" s="11" t="n"/>
      <c r="B4089" s="29" t="n"/>
      <c r="K4089" s="30" t="str">
        <f>IF($A4089="","",EDATE($A4089,12*$E$4))</f>
        <v/>
      </c>
      <c r="L4089" s="19" t="str">
        <f>IF($K4089="","",IF($K4089&gt;MAX($A$8:$A$5007),"",IFERROR(MATCH($K4089,$A$8:$A$5007,1),"")))</f>
        <v/>
      </c>
      <c r="M4089" s="30" t="str">
        <f>IF($L4089="","",INDEX($A$8:$A$5007,$L4089))</f>
        <v/>
      </c>
      <c r="N4089" s="31" t="str">
        <f>IF($L4089="","",INDEX($B$8:$B$5007,$L4089))</f>
        <v/>
      </c>
      <c r="O4089" s="32" t="str">
        <f>IF($M4089="","",IF($K4089-$M4089&gt;7,"",IF($M4089&lt;=$A4089,"",IF(OR($B4089&lt;=0,$N4089&lt;=0),"",($N4089/$B4089)^(365/($M4089-$A4089))-1))))</f>
        <v/>
      </c>
      <c r="P4089" s="31" t="str">
        <f>IF($B4089="","",IF($P4088="",$B4089,MAX($P4088,$B4089)))</f>
        <v/>
      </c>
      <c r="Q4089" s="32" t="str">
        <f>IF($P4089="","",$B4089/$P4089-1)</f>
        <v/>
      </c>
    </row>
    <row r="4090">
      <c r="A4090" s="11" t="n"/>
      <c r="B4090" s="29" t="n"/>
      <c r="K4090" s="30" t="str">
        <f>IF($A4090="","",EDATE($A4090,12*$E$4))</f>
        <v/>
      </c>
      <c r="L4090" s="19" t="str">
        <f>IF($K4090="","",IF($K4090&gt;MAX($A$8:$A$5007),"",IFERROR(MATCH($K4090,$A$8:$A$5007,1),"")))</f>
        <v/>
      </c>
      <c r="M4090" s="30" t="str">
        <f>IF($L4090="","",INDEX($A$8:$A$5007,$L4090))</f>
        <v/>
      </c>
      <c r="N4090" s="31" t="str">
        <f>IF($L4090="","",INDEX($B$8:$B$5007,$L4090))</f>
        <v/>
      </c>
      <c r="O4090" s="32" t="str">
        <f>IF($M4090="","",IF($K4090-$M4090&gt;7,"",IF($M4090&lt;=$A4090,"",IF(OR($B4090&lt;=0,$N4090&lt;=0),"",($N4090/$B4090)^(365/($M4090-$A4090))-1))))</f>
        <v/>
      </c>
      <c r="P4090" s="31" t="str">
        <f>IF($B4090="","",IF($P4089="",$B4090,MAX($P4089,$B4090)))</f>
        <v/>
      </c>
      <c r="Q4090" s="32" t="str">
        <f>IF($P4090="","",$B4090/$P4090-1)</f>
        <v/>
      </c>
    </row>
    <row r="4091">
      <c r="A4091" s="11" t="n"/>
      <c r="B4091" s="29" t="n"/>
      <c r="K4091" s="30" t="str">
        <f>IF($A4091="","",EDATE($A4091,12*$E$4))</f>
        <v/>
      </c>
      <c r="L4091" s="19" t="str">
        <f>IF($K4091="","",IF($K4091&gt;MAX($A$8:$A$5007),"",IFERROR(MATCH($K4091,$A$8:$A$5007,1),"")))</f>
        <v/>
      </c>
      <c r="M4091" s="30" t="str">
        <f>IF($L4091="","",INDEX($A$8:$A$5007,$L4091))</f>
        <v/>
      </c>
      <c r="N4091" s="31" t="str">
        <f>IF($L4091="","",INDEX($B$8:$B$5007,$L4091))</f>
        <v/>
      </c>
      <c r="O4091" s="32" t="str">
        <f>IF($M4091="","",IF($K4091-$M4091&gt;7,"",IF($M4091&lt;=$A4091,"",IF(OR($B4091&lt;=0,$N4091&lt;=0),"",($N4091/$B4091)^(365/($M4091-$A4091))-1))))</f>
        <v/>
      </c>
      <c r="P4091" s="31" t="str">
        <f>IF($B4091="","",IF($P4090="",$B4091,MAX($P4090,$B4091)))</f>
        <v/>
      </c>
      <c r="Q4091" s="32" t="str">
        <f>IF($P4091="","",$B4091/$P4091-1)</f>
        <v/>
      </c>
    </row>
    <row r="4092">
      <c r="A4092" s="11" t="n"/>
      <c r="B4092" s="29" t="n"/>
      <c r="K4092" s="30" t="str">
        <f>IF($A4092="","",EDATE($A4092,12*$E$4))</f>
        <v/>
      </c>
      <c r="L4092" s="19" t="str">
        <f>IF($K4092="","",IF($K4092&gt;MAX($A$8:$A$5007),"",IFERROR(MATCH($K4092,$A$8:$A$5007,1),"")))</f>
        <v/>
      </c>
      <c r="M4092" s="30" t="str">
        <f>IF($L4092="","",INDEX($A$8:$A$5007,$L4092))</f>
        <v/>
      </c>
      <c r="N4092" s="31" t="str">
        <f>IF($L4092="","",INDEX($B$8:$B$5007,$L4092))</f>
        <v/>
      </c>
      <c r="O4092" s="32" t="str">
        <f>IF($M4092="","",IF($K4092-$M4092&gt;7,"",IF($M4092&lt;=$A4092,"",IF(OR($B4092&lt;=0,$N4092&lt;=0),"",($N4092/$B4092)^(365/($M4092-$A4092))-1))))</f>
        <v/>
      </c>
      <c r="P4092" s="31" t="str">
        <f>IF($B4092="","",IF($P4091="",$B4092,MAX($P4091,$B4092)))</f>
        <v/>
      </c>
      <c r="Q4092" s="32" t="str">
        <f>IF($P4092="","",$B4092/$P4092-1)</f>
        <v/>
      </c>
    </row>
    <row r="4093">
      <c r="A4093" s="11" t="n"/>
      <c r="B4093" s="29" t="n"/>
      <c r="K4093" s="30" t="str">
        <f>IF($A4093="","",EDATE($A4093,12*$E$4))</f>
        <v/>
      </c>
      <c r="L4093" s="19" t="str">
        <f>IF($K4093="","",IF($K4093&gt;MAX($A$8:$A$5007),"",IFERROR(MATCH($K4093,$A$8:$A$5007,1),"")))</f>
        <v/>
      </c>
      <c r="M4093" s="30" t="str">
        <f>IF($L4093="","",INDEX($A$8:$A$5007,$L4093))</f>
        <v/>
      </c>
      <c r="N4093" s="31" t="str">
        <f>IF($L4093="","",INDEX($B$8:$B$5007,$L4093))</f>
        <v/>
      </c>
      <c r="O4093" s="32" t="str">
        <f>IF($M4093="","",IF($K4093-$M4093&gt;7,"",IF($M4093&lt;=$A4093,"",IF(OR($B4093&lt;=0,$N4093&lt;=0),"",($N4093/$B4093)^(365/($M4093-$A4093))-1))))</f>
        <v/>
      </c>
      <c r="P4093" s="31" t="str">
        <f>IF($B4093="","",IF($P4092="",$B4093,MAX($P4092,$B4093)))</f>
        <v/>
      </c>
      <c r="Q4093" s="32" t="str">
        <f>IF($P4093="","",$B4093/$P4093-1)</f>
        <v/>
      </c>
    </row>
    <row r="4094">
      <c r="A4094" s="11" t="n"/>
      <c r="B4094" s="29" t="n"/>
      <c r="K4094" s="30" t="str">
        <f>IF($A4094="","",EDATE($A4094,12*$E$4))</f>
        <v/>
      </c>
      <c r="L4094" s="19" t="str">
        <f>IF($K4094="","",IF($K4094&gt;MAX($A$8:$A$5007),"",IFERROR(MATCH($K4094,$A$8:$A$5007,1),"")))</f>
        <v/>
      </c>
      <c r="M4094" s="30" t="str">
        <f>IF($L4094="","",INDEX($A$8:$A$5007,$L4094))</f>
        <v/>
      </c>
      <c r="N4094" s="31" t="str">
        <f>IF($L4094="","",INDEX($B$8:$B$5007,$L4094))</f>
        <v/>
      </c>
      <c r="O4094" s="32" t="str">
        <f>IF($M4094="","",IF($K4094-$M4094&gt;7,"",IF($M4094&lt;=$A4094,"",IF(OR($B4094&lt;=0,$N4094&lt;=0),"",($N4094/$B4094)^(365/($M4094-$A4094))-1))))</f>
        <v/>
      </c>
      <c r="P4094" s="31" t="str">
        <f>IF($B4094="","",IF($P4093="",$B4094,MAX($P4093,$B4094)))</f>
        <v/>
      </c>
      <c r="Q4094" s="32" t="str">
        <f>IF($P4094="","",$B4094/$P4094-1)</f>
        <v/>
      </c>
    </row>
    <row r="4095">
      <c r="A4095" s="11" t="n"/>
      <c r="B4095" s="29" t="n"/>
      <c r="K4095" s="30" t="str">
        <f>IF($A4095="","",EDATE($A4095,12*$E$4))</f>
        <v/>
      </c>
      <c r="L4095" s="19" t="str">
        <f>IF($K4095="","",IF($K4095&gt;MAX($A$8:$A$5007),"",IFERROR(MATCH($K4095,$A$8:$A$5007,1),"")))</f>
        <v/>
      </c>
      <c r="M4095" s="30" t="str">
        <f>IF($L4095="","",INDEX($A$8:$A$5007,$L4095))</f>
        <v/>
      </c>
      <c r="N4095" s="31" t="str">
        <f>IF($L4095="","",INDEX($B$8:$B$5007,$L4095))</f>
        <v/>
      </c>
      <c r="O4095" s="32" t="str">
        <f>IF($M4095="","",IF($K4095-$M4095&gt;7,"",IF($M4095&lt;=$A4095,"",IF(OR($B4095&lt;=0,$N4095&lt;=0),"",($N4095/$B4095)^(365/($M4095-$A4095))-1))))</f>
        <v/>
      </c>
      <c r="P4095" s="31" t="str">
        <f>IF($B4095="","",IF($P4094="",$B4095,MAX($P4094,$B4095)))</f>
        <v/>
      </c>
      <c r="Q4095" s="32" t="str">
        <f>IF($P4095="","",$B4095/$P4095-1)</f>
        <v/>
      </c>
    </row>
    <row r="4096">
      <c r="A4096" s="11" t="n"/>
      <c r="B4096" s="29" t="n"/>
      <c r="K4096" s="30" t="str">
        <f>IF($A4096="","",EDATE($A4096,12*$E$4))</f>
        <v/>
      </c>
      <c r="L4096" s="19" t="str">
        <f>IF($K4096="","",IF($K4096&gt;MAX($A$8:$A$5007),"",IFERROR(MATCH($K4096,$A$8:$A$5007,1),"")))</f>
        <v/>
      </c>
      <c r="M4096" s="30" t="str">
        <f>IF($L4096="","",INDEX($A$8:$A$5007,$L4096))</f>
        <v/>
      </c>
      <c r="N4096" s="31" t="str">
        <f>IF($L4096="","",INDEX($B$8:$B$5007,$L4096))</f>
        <v/>
      </c>
      <c r="O4096" s="32" t="str">
        <f>IF($M4096="","",IF($K4096-$M4096&gt;7,"",IF($M4096&lt;=$A4096,"",IF(OR($B4096&lt;=0,$N4096&lt;=0),"",($N4096/$B4096)^(365/($M4096-$A4096))-1))))</f>
        <v/>
      </c>
      <c r="P4096" s="31" t="str">
        <f>IF($B4096="","",IF($P4095="",$B4096,MAX($P4095,$B4096)))</f>
        <v/>
      </c>
      <c r="Q4096" s="32" t="str">
        <f>IF($P4096="","",$B4096/$P4096-1)</f>
        <v/>
      </c>
    </row>
    <row r="4097">
      <c r="A4097" s="11" t="n"/>
      <c r="B4097" s="29" t="n"/>
      <c r="K4097" s="30" t="str">
        <f>IF($A4097="","",EDATE($A4097,12*$E$4))</f>
        <v/>
      </c>
      <c r="L4097" s="19" t="str">
        <f>IF($K4097="","",IF($K4097&gt;MAX($A$8:$A$5007),"",IFERROR(MATCH($K4097,$A$8:$A$5007,1),"")))</f>
        <v/>
      </c>
      <c r="M4097" s="30" t="str">
        <f>IF($L4097="","",INDEX($A$8:$A$5007,$L4097))</f>
        <v/>
      </c>
      <c r="N4097" s="31" t="str">
        <f>IF($L4097="","",INDEX($B$8:$B$5007,$L4097))</f>
        <v/>
      </c>
      <c r="O4097" s="32" t="str">
        <f>IF($M4097="","",IF($K4097-$M4097&gt;7,"",IF($M4097&lt;=$A4097,"",IF(OR($B4097&lt;=0,$N4097&lt;=0),"",($N4097/$B4097)^(365/($M4097-$A4097))-1))))</f>
        <v/>
      </c>
      <c r="P4097" s="31" t="str">
        <f>IF($B4097="","",IF($P4096="",$B4097,MAX($P4096,$B4097)))</f>
        <v/>
      </c>
      <c r="Q4097" s="32" t="str">
        <f>IF($P4097="","",$B4097/$P4097-1)</f>
        <v/>
      </c>
    </row>
    <row r="4098">
      <c r="A4098" s="11" t="n"/>
      <c r="B4098" s="29" t="n"/>
      <c r="K4098" s="30" t="str">
        <f>IF($A4098="","",EDATE($A4098,12*$E$4))</f>
        <v/>
      </c>
      <c r="L4098" s="19" t="str">
        <f>IF($K4098="","",IF($K4098&gt;MAX($A$8:$A$5007),"",IFERROR(MATCH($K4098,$A$8:$A$5007,1),"")))</f>
        <v/>
      </c>
      <c r="M4098" s="30" t="str">
        <f>IF($L4098="","",INDEX($A$8:$A$5007,$L4098))</f>
        <v/>
      </c>
      <c r="N4098" s="31" t="str">
        <f>IF($L4098="","",INDEX($B$8:$B$5007,$L4098))</f>
        <v/>
      </c>
      <c r="O4098" s="32" t="str">
        <f>IF($M4098="","",IF($K4098-$M4098&gt;7,"",IF($M4098&lt;=$A4098,"",IF(OR($B4098&lt;=0,$N4098&lt;=0),"",($N4098/$B4098)^(365/($M4098-$A4098))-1))))</f>
        <v/>
      </c>
      <c r="P4098" s="31" t="str">
        <f>IF($B4098="","",IF($P4097="",$B4098,MAX($P4097,$B4098)))</f>
        <v/>
      </c>
      <c r="Q4098" s="32" t="str">
        <f>IF($P4098="","",$B4098/$P4098-1)</f>
        <v/>
      </c>
    </row>
    <row r="4099">
      <c r="A4099" s="11" t="n"/>
      <c r="B4099" s="29" t="n"/>
      <c r="K4099" s="30" t="str">
        <f>IF($A4099="","",EDATE($A4099,12*$E$4))</f>
        <v/>
      </c>
      <c r="L4099" s="19" t="str">
        <f>IF($K4099="","",IF($K4099&gt;MAX($A$8:$A$5007),"",IFERROR(MATCH($K4099,$A$8:$A$5007,1),"")))</f>
        <v/>
      </c>
      <c r="M4099" s="30" t="str">
        <f>IF($L4099="","",INDEX($A$8:$A$5007,$L4099))</f>
        <v/>
      </c>
      <c r="N4099" s="31" t="str">
        <f>IF($L4099="","",INDEX($B$8:$B$5007,$L4099))</f>
        <v/>
      </c>
      <c r="O4099" s="32" t="str">
        <f>IF($M4099="","",IF($K4099-$M4099&gt;7,"",IF($M4099&lt;=$A4099,"",IF(OR($B4099&lt;=0,$N4099&lt;=0),"",($N4099/$B4099)^(365/($M4099-$A4099))-1))))</f>
        <v/>
      </c>
      <c r="P4099" s="31" t="str">
        <f>IF($B4099="","",IF($P4098="",$B4099,MAX($P4098,$B4099)))</f>
        <v/>
      </c>
      <c r="Q4099" s="32" t="str">
        <f>IF($P4099="","",$B4099/$P4099-1)</f>
        <v/>
      </c>
    </row>
    <row r="4100">
      <c r="A4100" s="11" t="n"/>
      <c r="B4100" s="29" t="n"/>
      <c r="K4100" s="30" t="str">
        <f>IF($A4100="","",EDATE($A4100,12*$E$4))</f>
        <v/>
      </c>
      <c r="L4100" s="19" t="str">
        <f>IF($K4100="","",IF($K4100&gt;MAX($A$8:$A$5007),"",IFERROR(MATCH($K4100,$A$8:$A$5007,1),"")))</f>
        <v/>
      </c>
      <c r="M4100" s="30" t="str">
        <f>IF($L4100="","",INDEX($A$8:$A$5007,$L4100))</f>
        <v/>
      </c>
      <c r="N4100" s="31" t="str">
        <f>IF($L4100="","",INDEX($B$8:$B$5007,$L4100))</f>
        <v/>
      </c>
      <c r="O4100" s="32" t="str">
        <f>IF($M4100="","",IF($K4100-$M4100&gt;7,"",IF($M4100&lt;=$A4100,"",IF(OR($B4100&lt;=0,$N4100&lt;=0),"",($N4100/$B4100)^(365/($M4100-$A4100))-1))))</f>
        <v/>
      </c>
      <c r="P4100" s="31" t="str">
        <f>IF($B4100="","",IF($P4099="",$B4100,MAX($P4099,$B4100)))</f>
        <v/>
      </c>
      <c r="Q4100" s="32" t="str">
        <f>IF($P4100="","",$B4100/$P4100-1)</f>
        <v/>
      </c>
    </row>
    <row r="4101">
      <c r="A4101" s="11" t="n"/>
      <c r="B4101" s="29" t="n"/>
      <c r="K4101" s="30" t="str">
        <f>IF($A4101="","",EDATE($A4101,12*$E$4))</f>
        <v/>
      </c>
      <c r="L4101" s="19" t="str">
        <f>IF($K4101="","",IF($K4101&gt;MAX($A$8:$A$5007),"",IFERROR(MATCH($K4101,$A$8:$A$5007,1),"")))</f>
        <v/>
      </c>
      <c r="M4101" s="30" t="str">
        <f>IF($L4101="","",INDEX($A$8:$A$5007,$L4101))</f>
        <v/>
      </c>
      <c r="N4101" s="31" t="str">
        <f>IF($L4101="","",INDEX($B$8:$B$5007,$L4101))</f>
        <v/>
      </c>
      <c r="O4101" s="32" t="str">
        <f>IF($M4101="","",IF($K4101-$M4101&gt;7,"",IF($M4101&lt;=$A4101,"",IF(OR($B4101&lt;=0,$N4101&lt;=0),"",($N4101/$B4101)^(365/($M4101-$A4101))-1))))</f>
        <v/>
      </c>
      <c r="P4101" s="31" t="str">
        <f>IF($B4101="","",IF($P4100="",$B4101,MAX($P4100,$B4101)))</f>
        <v/>
      </c>
      <c r="Q4101" s="32" t="str">
        <f>IF($P4101="","",$B4101/$P4101-1)</f>
        <v/>
      </c>
    </row>
    <row r="4102">
      <c r="A4102" s="11" t="n"/>
      <c r="B4102" s="29" t="n"/>
      <c r="K4102" s="30" t="str">
        <f>IF($A4102="","",EDATE($A4102,12*$E$4))</f>
        <v/>
      </c>
      <c r="L4102" s="19" t="str">
        <f>IF($K4102="","",IF($K4102&gt;MAX($A$8:$A$5007),"",IFERROR(MATCH($K4102,$A$8:$A$5007,1),"")))</f>
        <v/>
      </c>
      <c r="M4102" s="30" t="str">
        <f>IF($L4102="","",INDEX($A$8:$A$5007,$L4102))</f>
        <v/>
      </c>
      <c r="N4102" s="31" t="str">
        <f>IF($L4102="","",INDEX($B$8:$B$5007,$L4102))</f>
        <v/>
      </c>
      <c r="O4102" s="32" t="str">
        <f>IF($M4102="","",IF($K4102-$M4102&gt;7,"",IF($M4102&lt;=$A4102,"",IF(OR($B4102&lt;=0,$N4102&lt;=0),"",($N4102/$B4102)^(365/($M4102-$A4102))-1))))</f>
        <v/>
      </c>
      <c r="P4102" s="31" t="str">
        <f>IF($B4102="","",IF($P4101="",$B4102,MAX($P4101,$B4102)))</f>
        <v/>
      </c>
      <c r="Q4102" s="32" t="str">
        <f>IF($P4102="","",$B4102/$P4102-1)</f>
        <v/>
      </c>
    </row>
    <row r="4103">
      <c r="A4103" s="11" t="n"/>
      <c r="B4103" s="29" t="n"/>
      <c r="K4103" s="30" t="str">
        <f>IF($A4103="","",EDATE($A4103,12*$E$4))</f>
        <v/>
      </c>
      <c r="L4103" s="19" t="str">
        <f>IF($K4103="","",IF($K4103&gt;MAX($A$8:$A$5007),"",IFERROR(MATCH($K4103,$A$8:$A$5007,1),"")))</f>
        <v/>
      </c>
      <c r="M4103" s="30" t="str">
        <f>IF($L4103="","",INDEX($A$8:$A$5007,$L4103))</f>
        <v/>
      </c>
      <c r="N4103" s="31" t="str">
        <f>IF($L4103="","",INDEX($B$8:$B$5007,$L4103))</f>
        <v/>
      </c>
      <c r="O4103" s="32" t="str">
        <f>IF($M4103="","",IF($K4103-$M4103&gt;7,"",IF($M4103&lt;=$A4103,"",IF(OR($B4103&lt;=0,$N4103&lt;=0),"",($N4103/$B4103)^(365/($M4103-$A4103))-1))))</f>
        <v/>
      </c>
      <c r="P4103" s="31" t="str">
        <f>IF($B4103="","",IF($P4102="",$B4103,MAX($P4102,$B4103)))</f>
        <v/>
      </c>
      <c r="Q4103" s="32" t="str">
        <f>IF($P4103="","",$B4103/$P4103-1)</f>
        <v/>
      </c>
    </row>
    <row r="4104">
      <c r="A4104" s="11" t="n"/>
      <c r="B4104" s="29" t="n"/>
      <c r="K4104" s="30" t="str">
        <f>IF($A4104="","",EDATE($A4104,12*$E$4))</f>
        <v/>
      </c>
      <c r="L4104" s="19" t="str">
        <f>IF($K4104="","",IF($K4104&gt;MAX($A$8:$A$5007),"",IFERROR(MATCH($K4104,$A$8:$A$5007,1),"")))</f>
        <v/>
      </c>
      <c r="M4104" s="30" t="str">
        <f>IF($L4104="","",INDEX($A$8:$A$5007,$L4104))</f>
        <v/>
      </c>
      <c r="N4104" s="31" t="str">
        <f>IF($L4104="","",INDEX($B$8:$B$5007,$L4104))</f>
        <v/>
      </c>
      <c r="O4104" s="32" t="str">
        <f>IF($M4104="","",IF($K4104-$M4104&gt;7,"",IF($M4104&lt;=$A4104,"",IF(OR($B4104&lt;=0,$N4104&lt;=0),"",($N4104/$B4104)^(365/($M4104-$A4104))-1))))</f>
        <v/>
      </c>
      <c r="P4104" s="31" t="str">
        <f>IF($B4104="","",IF($P4103="",$B4104,MAX($P4103,$B4104)))</f>
        <v/>
      </c>
      <c r="Q4104" s="32" t="str">
        <f>IF($P4104="","",$B4104/$P4104-1)</f>
        <v/>
      </c>
    </row>
    <row r="4105">
      <c r="A4105" s="11" t="n"/>
      <c r="B4105" s="29" t="n"/>
      <c r="K4105" s="30" t="str">
        <f>IF($A4105="","",EDATE($A4105,12*$E$4))</f>
        <v/>
      </c>
      <c r="L4105" s="19" t="str">
        <f>IF($K4105="","",IF($K4105&gt;MAX($A$8:$A$5007),"",IFERROR(MATCH($K4105,$A$8:$A$5007,1),"")))</f>
        <v/>
      </c>
      <c r="M4105" s="30" t="str">
        <f>IF($L4105="","",INDEX($A$8:$A$5007,$L4105))</f>
        <v/>
      </c>
      <c r="N4105" s="31" t="str">
        <f>IF($L4105="","",INDEX($B$8:$B$5007,$L4105))</f>
        <v/>
      </c>
      <c r="O4105" s="32" t="str">
        <f>IF($M4105="","",IF($K4105-$M4105&gt;7,"",IF($M4105&lt;=$A4105,"",IF(OR($B4105&lt;=0,$N4105&lt;=0),"",($N4105/$B4105)^(365/($M4105-$A4105))-1))))</f>
        <v/>
      </c>
      <c r="P4105" s="31" t="str">
        <f>IF($B4105="","",IF($P4104="",$B4105,MAX($P4104,$B4105)))</f>
        <v/>
      </c>
      <c r="Q4105" s="32" t="str">
        <f>IF($P4105="","",$B4105/$P4105-1)</f>
        <v/>
      </c>
    </row>
    <row r="4106">
      <c r="A4106" s="11" t="n"/>
      <c r="B4106" s="29" t="n"/>
      <c r="K4106" s="30" t="str">
        <f>IF($A4106="","",EDATE($A4106,12*$E$4))</f>
        <v/>
      </c>
      <c r="L4106" s="19" t="str">
        <f>IF($K4106="","",IF($K4106&gt;MAX($A$8:$A$5007),"",IFERROR(MATCH($K4106,$A$8:$A$5007,1),"")))</f>
        <v/>
      </c>
      <c r="M4106" s="30" t="str">
        <f>IF($L4106="","",INDEX($A$8:$A$5007,$L4106))</f>
        <v/>
      </c>
      <c r="N4106" s="31" t="str">
        <f>IF($L4106="","",INDEX($B$8:$B$5007,$L4106))</f>
        <v/>
      </c>
      <c r="O4106" s="32" t="str">
        <f>IF($M4106="","",IF($K4106-$M4106&gt;7,"",IF($M4106&lt;=$A4106,"",IF(OR($B4106&lt;=0,$N4106&lt;=0),"",($N4106/$B4106)^(365/($M4106-$A4106))-1))))</f>
        <v/>
      </c>
      <c r="P4106" s="31" t="str">
        <f>IF($B4106="","",IF($P4105="",$B4106,MAX($P4105,$B4106)))</f>
        <v/>
      </c>
      <c r="Q4106" s="32" t="str">
        <f>IF($P4106="","",$B4106/$P4106-1)</f>
        <v/>
      </c>
    </row>
    <row r="4107">
      <c r="A4107" s="11" t="n"/>
      <c r="B4107" s="29" t="n"/>
      <c r="K4107" s="30" t="str">
        <f>IF($A4107="","",EDATE($A4107,12*$E$4))</f>
        <v/>
      </c>
      <c r="L4107" s="19" t="str">
        <f>IF($K4107="","",IF($K4107&gt;MAX($A$8:$A$5007),"",IFERROR(MATCH($K4107,$A$8:$A$5007,1),"")))</f>
        <v/>
      </c>
      <c r="M4107" s="30" t="str">
        <f>IF($L4107="","",INDEX($A$8:$A$5007,$L4107))</f>
        <v/>
      </c>
      <c r="N4107" s="31" t="str">
        <f>IF($L4107="","",INDEX($B$8:$B$5007,$L4107))</f>
        <v/>
      </c>
      <c r="O4107" s="32" t="str">
        <f>IF($M4107="","",IF($K4107-$M4107&gt;7,"",IF($M4107&lt;=$A4107,"",IF(OR($B4107&lt;=0,$N4107&lt;=0),"",($N4107/$B4107)^(365/($M4107-$A4107))-1))))</f>
        <v/>
      </c>
      <c r="P4107" s="31" t="str">
        <f>IF($B4107="","",IF($P4106="",$B4107,MAX($P4106,$B4107)))</f>
        <v/>
      </c>
      <c r="Q4107" s="32" t="str">
        <f>IF($P4107="","",$B4107/$P4107-1)</f>
        <v/>
      </c>
    </row>
    <row r="4108">
      <c r="A4108" s="11" t="n"/>
      <c r="B4108" s="29" t="n"/>
      <c r="K4108" s="30" t="str">
        <f>IF($A4108="","",EDATE($A4108,12*$E$4))</f>
        <v/>
      </c>
      <c r="L4108" s="19" t="str">
        <f>IF($K4108="","",IF($K4108&gt;MAX($A$8:$A$5007),"",IFERROR(MATCH($K4108,$A$8:$A$5007,1),"")))</f>
        <v/>
      </c>
      <c r="M4108" s="30" t="str">
        <f>IF($L4108="","",INDEX($A$8:$A$5007,$L4108))</f>
        <v/>
      </c>
      <c r="N4108" s="31" t="str">
        <f>IF($L4108="","",INDEX($B$8:$B$5007,$L4108))</f>
        <v/>
      </c>
      <c r="O4108" s="32" t="str">
        <f>IF($M4108="","",IF($K4108-$M4108&gt;7,"",IF($M4108&lt;=$A4108,"",IF(OR($B4108&lt;=0,$N4108&lt;=0),"",($N4108/$B4108)^(365/($M4108-$A4108))-1))))</f>
        <v/>
      </c>
      <c r="P4108" s="31" t="str">
        <f>IF($B4108="","",IF($P4107="",$B4108,MAX($P4107,$B4108)))</f>
        <v/>
      </c>
      <c r="Q4108" s="32" t="str">
        <f>IF($P4108="","",$B4108/$P4108-1)</f>
        <v/>
      </c>
    </row>
    <row r="4109">
      <c r="A4109" s="11" t="n"/>
      <c r="B4109" s="29" t="n"/>
      <c r="K4109" s="30" t="str">
        <f>IF($A4109="","",EDATE($A4109,12*$E$4))</f>
        <v/>
      </c>
      <c r="L4109" s="19" t="str">
        <f>IF($K4109="","",IF($K4109&gt;MAX($A$8:$A$5007),"",IFERROR(MATCH($K4109,$A$8:$A$5007,1),"")))</f>
        <v/>
      </c>
      <c r="M4109" s="30" t="str">
        <f>IF($L4109="","",INDEX($A$8:$A$5007,$L4109))</f>
        <v/>
      </c>
      <c r="N4109" s="31" t="str">
        <f>IF($L4109="","",INDEX($B$8:$B$5007,$L4109))</f>
        <v/>
      </c>
      <c r="O4109" s="32" t="str">
        <f>IF($M4109="","",IF($K4109-$M4109&gt;7,"",IF($M4109&lt;=$A4109,"",IF(OR($B4109&lt;=0,$N4109&lt;=0),"",($N4109/$B4109)^(365/($M4109-$A4109))-1))))</f>
        <v/>
      </c>
      <c r="P4109" s="31" t="str">
        <f>IF($B4109="","",IF($P4108="",$B4109,MAX($P4108,$B4109)))</f>
        <v/>
      </c>
      <c r="Q4109" s="32" t="str">
        <f>IF($P4109="","",$B4109/$P4109-1)</f>
        <v/>
      </c>
    </row>
    <row r="4110">
      <c r="A4110" s="11" t="n"/>
      <c r="B4110" s="29" t="n"/>
      <c r="K4110" s="30" t="str">
        <f>IF($A4110="","",EDATE($A4110,12*$E$4))</f>
        <v/>
      </c>
      <c r="L4110" s="19" t="str">
        <f>IF($K4110="","",IF($K4110&gt;MAX($A$8:$A$5007),"",IFERROR(MATCH($K4110,$A$8:$A$5007,1),"")))</f>
        <v/>
      </c>
      <c r="M4110" s="30" t="str">
        <f>IF($L4110="","",INDEX($A$8:$A$5007,$L4110))</f>
        <v/>
      </c>
      <c r="N4110" s="31" t="str">
        <f>IF($L4110="","",INDEX($B$8:$B$5007,$L4110))</f>
        <v/>
      </c>
      <c r="O4110" s="32" t="str">
        <f>IF($M4110="","",IF($K4110-$M4110&gt;7,"",IF($M4110&lt;=$A4110,"",IF(OR($B4110&lt;=0,$N4110&lt;=0),"",($N4110/$B4110)^(365/($M4110-$A4110))-1))))</f>
        <v/>
      </c>
      <c r="P4110" s="31" t="str">
        <f>IF($B4110="","",IF($P4109="",$B4110,MAX($P4109,$B4110)))</f>
        <v/>
      </c>
      <c r="Q4110" s="32" t="str">
        <f>IF($P4110="","",$B4110/$P4110-1)</f>
        <v/>
      </c>
    </row>
    <row r="4111">
      <c r="A4111" s="11" t="n"/>
      <c r="B4111" s="29" t="n"/>
      <c r="K4111" s="30" t="str">
        <f>IF($A4111="","",EDATE($A4111,12*$E$4))</f>
        <v/>
      </c>
      <c r="L4111" s="19" t="str">
        <f>IF($K4111="","",IF($K4111&gt;MAX($A$8:$A$5007),"",IFERROR(MATCH($K4111,$A$8:$A$5007,1),"")))</f>
        <v/>
      </c>
      <c r="M4111" s="30" t="str">
        <f>IF($L4111="","",INDEX($A$8:$A$5007,$L4111))</f>
        <v/>
      </c>
      <c r="N4111" s="31" t="str">
        <f>IF($L4111="","",INDEX($B$8:$B$5007,$L4111))</f>
        <v/>
      </c>
      <c r="O4111" s="32" t="str">
        <f>IF($M4111="","",IF($K4111-$M4111&gt;7,"",IF($M4111&lt;=$A4111,"",IF(OR($B4111&lt;=0,$N4111&lt;=0),"",($N4111/$B4111)^(365/($M4111-$A4111))-1))))</f>
        <v/>
      </c>
      <c r="P4111" s="31" t="str">
        <f>IF($B4111="","",IF($P4110="",$B4111,MAX($P4110,$B4111)))</f>
        <v/>
      </c>
      <c r="Q4111" s="32" t="str">
        <f>IF($P4111="","",$B4111/$P4111-1)</f>
        <v/>
      </c>
    </row>
    <row r="4112">
      <c r="A4112" s="11" t="n"/>
      <c r="B4112" s="29" t="n"/>
      <c r="K4112" s="30" t="str">
        <f>IF($A4112="","",EDATE($A4112,12*$E$4))</f>
        <v/>
      </c>
      <c r="L4112" s="19" t="str">
        <f>IF($K4112="","",IF($K4112&gt;MAX($A$8:$A$5007),"",IFERROR(MATCH($K4112,$A$8:$A$5007,1),"")))</f>
        <v/>
      </c>
      <c r="M4112" s="30" t="str">
        <f>IF($L4112="","",INDEX($A$8:$A$5007,$L4112))</f>
        <v/>
      </c>
      <c r="N4112" s="31" t="str">
        <f>IF($L4112="","",INDEX($B$8:$B$5007,$L4112))</f>
        <v/>
      </c>
      <c r="O4112" s="32" t="str">
        <f>IF($M4112="","",IF($K4112-$M4112&gt;7,"",IF($M4112&lt;=$A4112,"",IF(OR($B4112&lt;=0,$N4112&lt;=0),"",($N4112/$B4112)^(365/($M4112-$A4112))-1))))</f>
        <v/>
      </c>
      <c r="P4112" s="31" t="str">
        <f>IF($B4112="","",IF($P4111="",$B4112,MAX($P4111,$B4112)))</f>
        <v/>
      </c>
      <c r="Q4112" s="32" t="str">
        <f>IF($P4112="","",$B4112/$P4112-1)</f>
        <v/>
      </c>
    </row>
    <row r="4113">
      <c r="A4113" s="11" t="n"/>
      <c r="B4113" s="29" t="n"/>
      <c r="K4113" s="30" t="str">
        <f>IF($A4113="","",EDATE($A4113,12*$E$4))</f>
        <v/>
      </c>
      <c r="L4113" s="19" t="str">
        <f>IF($K4113="","",IF($K4113&gt;MAX($A$8:$A$5007),"",IFERROR(MATCH($K4113,$A$8:$A$5007,1),"")))</f>
        <v/>
      </c>
      <c r="M4113" s="30" t="str">
        <f>IF($L4113="","",INDEX($A$8:$A$5007,$L4113))</f>
        <v/>
      </c>
      <c r="N4113" s="31" t="str">
        <f>IF($L4113="","",INDEX($B$8:$B$5007,$L4113))</f>
        <v/>
      </c>
      <c r="O4113" s="32" t="str">
        <f>IF($M4113="","",IF($K4113-$M4113&gt;7,"",IF($M4113&lt;=$A4113,"",IF(OR($B4113&lt;=0,$N4113&lt;=0),"",($N4113/$B4113)^(365/($M4113-$A4113))-1))))</f>
        <v/>
      </c>
      <c r="P4113" s="31" t="str">
        <f>IF($B4113="","",IF($P4112="",$B4113,MAX($P4112,$B4113)))</f>
        <v/>
      </c>
      <c r="Q4113" s="32" t="str">
        <f>IF($P4113="","",$B4113/$P4113-1)</f>
        <v/>
      </c>
    </row>
    <row r="4114">
      <c r="A4114" s="11" t="n"/>
      <c r="B4114" s="29" t="n"/>
      <c r="K4114" s="30" t="str">
        <f>IF($A4114="","",EDATE($A4114,12*$E$4))</f>
        <v/>
      </c>
      <c r="L4114" s="19" t="str">
        <f>IF($K4114="","",IF($K4114&gt;MAX($A$8:$A$5007),"",IFERROR(MATCH($K4114,$A$8:$A$5007,1),"")))</f>
        <v/>
      </c>
      <c r="M4114" s="30" t="str">
        <f>IF($L4114="","",INDEX($A$8:$A$5007,$L4114))</f>
        <v/>
      </c>
      <c r="N4114" s="31" t="str">
        <f>IF($L4114="","",INDEX($B$8:$B$5007,$L4114))</f>
        <v/>
      </c>
      <c r="O4114" s="32" t="str">
        <f>IF($M4114="","",IF($K4114-$M4114&gt;7,"",IF($M4114&lt;=$A4114,"",IF(OR($B4114&lt;=0,$N4114&lt;=0),"",($N4114/$B4114)^(365/($M4114-$A4114))-1))))</f>
        <v/>
      </c>
      <c r="P4114" s="31" t="str">
        <f>IF($B4114="","",IF($P4113="",$B4114,MAX($P4113,$B4114)))</f>
        <v/>
      </c>
      <c r="Q4114" s="32" t="str">
        <f>IF($P4114="","",$B4114/$P4114-1)</f>
        <v/>
      </c>
    </row>
    <row r="4115">
      <c r="A4115" s="11" t="n"/>
      <c r="B4115" s="29" t="n"/>
      <c r="K4115" s="30" t="str">
        <f>IF($A4115="","",EDATE($A4115,12*$E$4))</f>
        <v/>
      </c>
      <c r="L4115" s="19" t="str">
        <f>IF($K4115="","",IF($K4115&gt;MAX($A$8:$A$5007),"",IFERROR(MATCH($K4115,$A$8:$A$5007,1),"")))</f>
        <v/>
      </c>
      <c r="M4115" s="30" t="str">
        <f>IF($L4115="","",INDEX($A$8:$A$5007,$L4115))</f>
        <v/>
      </c>
      <c r="N4115" s="31" t="str">
        <f>IF($L4115="","",INDEX($B$8:$B$5007,$L4115))</f>
        <v/>
      </c>
      <c r="O4115" s="32" t="str">
        <f>IF($M4115="","",IF($K4115-$M4115&gt;7,"",IF($M4115&lt;=$A4115,"",IF(OR($B4115&lt;=0,$N4115&lt;=0),"",($N4115/$B4115)^(365/($M4115-$A4115))-1))))</f>
        <v/>
      </c>
      <c r="P4115" s="31" t="str">
        <f>IF($B4115="","",IF($P4114="",$B4115,MAX($P4114,$B4115)))</f>
        <v/>
      </c>
      <c r="Q4115" s="32" t="str">
        <f>IF($P4115="","",$B4115/$P4115-1)</f>
        <v/>
      </c>
    </row>
    <row r="4116">
      <c r="A4116" s="11" t="n"/>
      <c r="B4116" s="29" t="n"/>
      <c r="K4116" s="30" t="str">
        <f>IF($A4116="","",EDATE($A4116,12*$E$4))</f>
        <v/>
      </c>
      <c r="L4116" s="19" t="str">
        <f>IF($K4116="","",IF($K4116&gt;MAX($A$8:$A$5007),"",IFERROR(MATCH($K4116,$A$8:$A$5007,1),"")))</f>
        <v/>
      </c>
      <c r="M4116" s="30" t="str">
        <f>IF($L4116="","",INDEX($A$8:$A$5007,$L4116))</f>
        <v/>
      </c>
      <c r="N4116" s="31" t="str">
        <f>IF($L4116="","",INDEX($B$8:$B$5007,$L4116))</f>
        <v/>
      </c>
      <c r="O4116" s="32" t="str">
        <f>IF($M4116="","",IF($K4116-$M4116&gt;7,"",IF($M4116&lt;=$A4116,"",IF(OR($B4116&lt;=0,$N4116&lt;=0),"",($N4116/$B4116)^(365/($M4116-$A4116))-1))))</f>
        <v/>
      </c>
      <c r="P4116" s="31" t="str">
        <f>IF($B4116="","",IF($P4115="",$B4116,MAX($P4115,$B4116)))</f>
        <v/>
      </c>
      <c r="Q4116" s="32" t="str">
        <f>IF($P4116="","",$B4116/$P4116-1)</f>
        <v/>
      </c>
    </row>
    <row r="4117">
      <c r="A4117" s="11" t="n"/>
      <c r="B4117" s="29" t="n"/>
      <c r="K4117" s="30" t="str">
        <f>IF($A4117="","",EDATE($A4117,12*$E$4))</f>
        <v/>
      </c>
      <c r="L4117" s="19" t="str">
        <f>IF($K4117="","",IF($K4117&gt;MAX($A$8:$A$5007),"",IFERROR(MATCH($K4117,$A$8:$A$5007,1),"")))</f>
        <v/>
      </c>
      <c r="M4117" s="30" t="str">
        <f>IF($L4117="","",INDEX($A$8:$A$5007,$L4117))</f>
        <v/>
      </c>
      <c r="N4117" s="31" t="str">
        <f>IF($L4117="","",INDEX($B$8:$B$5007,$L4117))</f>
        <v/>
      </c>
      <c r="O4117" s="32" t="str">
        <f>IF($M4117="","",IF($K4117-$M4117&gt;7,"",IF($M4117&lt;=$A4117,"",IF(OR($B4117&lt;=0,$N4117&lt;=0),"",($N4117/$B4117)^(365/($M4117-$A4117))-1))))</f>
        <v/>
      </c>
      <c r="P4117" s="31" t="str">
        <f>IF($B4117="","",IF($P4116="",$B4117,MAX($P4116,$B4117)))</f>
        <v/>
      </c>
      <c r="Q4117" s="32" t="str">
        <f>IF($P4117="","",$B4117/$P4117-1)</f>
        <v/>
      </c>
    </row>
    <row r="4118">
      <c r="A4118" s="11" t="n"/>
      <c r="B4118" s="29" t="n"/>
      <c r="K4118" s="30" t="str">
        <f>IF($A4118="","",EDATE($A4118,12*$E$4))</f>
        <v/>
      </c>
      <c r="L4118" s="19" t="str">
        <f>IF($K4118="","",IF($K4118&gt;MAX($A$8:$A$5007),"",IFERROR(MATCH($K4118,$A$8:$A$5007,1),"")))</f>
        <v/>
      </c>
      <c r="M4118" s="30" t="str">
        <f>IF($L4118="","",INDEX($A$8:$A$5007,$L4118))</f>
        <v/>
      </c>
      <c r="N4118" s="31" t="str">
        <f>IF($L4118="","",INDEX($B$8:$B$5007,$L4118))</f>
        <v/>
      </c>
      <c r="O4118" s="32" t="str">
        <f>IF($M4118="","",IF($K4118-$M4118&gt;7,"",IF($M4118&lt;=$A4118,"",IF(OR($B4118&lt;=0,$N4118&lt;=0),"",($N4118/$B4118)^(365/($M4118-$A4118))-1))))</f>
        <v/>
      </c>
      <c r="P4118" s="31" t="str">
        <f>IF($B4118="","",IF($P4117="",$B4118,MAX($P4117,$B4118)))</f>
        <v/>
      </c>
      <c r="Q4118" s="32" t="str">
        <f>IF($P4118="","",$B4118/$P4118-1)</f>
        <v/>
      </c>
    </row>
    <row r="4119">
      <c r="A4119" s="11" t="n"/>
      <c r="B4119" s="29" t="n"/>
      <c r="K4119" s="30" t="str">
        <f>IF($A4119="","",EDATE($A4119,12*$E$4))</f>
        <v/>
      </c>
      <c r="L4119" s="19" t="str">
        <f>IF($K4119="","",IF($K4119&gt;MAX($A$8:$A$5007),"",IFERROR(MATCH($K4119,$A$8:$A$5007,1),"")))</f>
        <v/>
      </c>
      <c r="M4119" s="30" t="str">
        <f>IF($L4119="","",INDEX($A$8:$A$5007,$L4119))</f>
        <v/>
      </c>
      <c r="N4119" s="31" t="str">
        <f>IF($L4119="","",INDEX($B$8:$B$5007,$L4119))</f>
        <v/>
      </c>
      <c r="O4119" s="32" t="str">
        <f>IF($M4119="","",IF($K4119-$M4119&gt;7,"",IF($M4119&lt;=$A4119,"",IF(OR($B4119&lt;=0,$N4119&lt;=0),"",($N4119/$B4119)^(365/($M4119-$A4119))-1))))</f>
        <v/>
      </c>
      <c r="P4119" s="31" t="str">
        <f>IF($B4119="","",IF($P4118="",$B4119,MAX($P4118,$B4119)))</f>
        <v/>
      </c>
      <c r="Q4119" s="32" t="str">
        <f>IF($P4119="","",$B4119/$P4119-1)</f>
        <v/>
      </c>
    </row>
    <row r="4120">
      <c r="A4120" s="11" t="n"/>
      <c r="B4120" s="29" t="n"/>
      <c r="K4120" s="30" t="str">
        <f>IF($A4120="","",EDATE($A4120,12*$E$4))</f>
        <v/>
      </c>
      <c r="L4120" s="19" t="str">
        <f>IF($K4120="","",IF($K4120&gt;MAX($A$8:$A$5007),"",IFERROR(MATCH($K4120,$A$8:$A$5007,1),"")))</f>
        <v/>
      </c>
      <c r="M4120" s="30" t="str">
        <f>IF($L4120="","",INDEX($A$8:$A$5007,$L4120))</f>
        <v/>
      </c>
      <c r="N4120" s="31" t="str">
        <f>IF($L4120="","",INDEX($B$8:$B$5007,$L4120))</f>
        <v/>
      </c>
      <c r="O4120" s="32" t="str">
        <f>IF($M4120="","",IF($K4120-$M4120&gt;7,"",IF($M4120&lt;=$A4120,"",IF(OR($B4120&lt;=0,$N4120&lt;=0),"",($N4120/$B4120)^(365/($M4120-$A4120))-1))))</f>
        <v/>
      </c>
      <c r="P4120" s="31" t="str">
        <f>IF($B4120="","",IF($P4119="",$B4120,MAX($P4119,$B4120)))</f>
        <v/>
      </c>
      <c r="Q4120" s="32" t="str">
        <f>IF($P4120="","",$B4120/$P4120-1)</f>
        <v/>
      </c>
    </row>
    <row r="4121">
      <c r="A4121" s="11" t="n"/>
      <c r="B4121" s="29" t="n"/>
      <c r="K4121" s="30" t="str">
        <f>IF($A4121="","",EDATE($A4121,12*$E$4))</f>
        <v/>
      </c>
      <c r="L4121" s="19" t="str">
        <f>IF($K4121="","",IF($K4121&gt;MAX($A$8:$A$5007),"",IFERROR(MATCH($K4121,$A$8:$A$5007,1),"")))</f>
        <v/>
      </c>
      <c r="M4121" s="30" t="str">
        <f>IF($L4121="","",INDEX($A$8:$A$5007,$L4121))</f>
        <v/>
      </c>
      <c r="N4121" s="31" t="str">
        <f>IF($L4121="","",INDEX($B$8:$B$5007,$L4121))</f>
        <v/>
      </c>
      <c r="O4121" s="32" t="str">
        <f>IF($M4121="","",IF($K4121-$M4121&gt;7,"",IF($M4121&lt;=$A4121,"",IF(OR($B4121&lt;=0,$N4121&lt;=0),"",($N4121/$B4121)^(365/($M4121-$A4121))-1))))</f>
        <v/>
      </c>
      <c r="P4121" s="31" t="str">
        <f>IF($B4121="","",IF($P4120="",$B4121,MAX($P4120,$B4121)))</f>
        <v/>
      </c>
      <c r="Q4121" s="32" t="str">
        <f>IF($P4121="","",$B4121/$P4121-1)</f>
        <v/>
      </c>
    </row>
    <row r="4122">
      <c r="A4122" s="11" t="n"/>
      <c r="B4122" s="29" t="n"/>
      <c r="K4122" s="30" t="str">
        <f>IF($A4122="","",EDATE($A4122,12*$E$4))</f>
        <v/>
      </c>
      <c r="L4122" s="19" t="str">
        <f>IF($K4122="","",IF($K4122&gt;MAX($A$8:$A$5007),"",IFERROR(MATCH($K4122,$A$8:$A$5007,1),"")))</f>
        <v/>
      </c>
      <c r="M4122" s="30" t="str">
        <f>IF($L4122="","",INDEX($A$8:$A$5007,$L4122))</f>
        <v/>
      </c>
      <c r="N4122" s="31" t="str">
        <f>IF($L4122="","",INDEX($B$8:$B$5007,$L4122))</f>
        <v/>
      </c>
      <c r="O4122" s="32" t="str">
        <f>IF($M4122="","",IF($K4122-$M4122&gt;7,"",IF($M4122&lt;=$A4122,"",IF(OR($B4122&lt;=0,$N4122&lt;=0),"",($N4122/$B4122)^(365/($M4122-$A4122))-1))))</f>
        <v/>
      </c>
      <c r="P4122" s="31" t="str">
        <f>IF($B4122="","",IF($P4121="",$B4122,MAX($P4121,$B4122)))</f>
        <v/>
      </c>
      <c r="Q4122" s="32" t="str">
        <f>IF($P4122="","",$B4122/$P4122-1)</f>
        <v/>
      </c>
    </row>
    <row r="4123">
      <c r="A4123" s="11" t="n"/>
      <c r="B4123" s="29" t="n"/>
      <c r="K4123" s="30" t="str">
        <f>IF($A4123="","",EDATE($A4123,12*$E$4))</f>
        <v/>
      </c>
      <c r="L4123" s="19" t="str">
        <f>IF($K4123="","",IF($K4123&gt;MAX($A$8:$A$5007),"",IFERROR(MATCH($K4123,$A$8:$A$5007,1),"")))</f>
        <v/>
      </c>
      <c r="M4123" s="30" t="str">
        <f>IF($L4123="","",INDEX($A$8:$A$5007,$L4123))</f>
        <v/>
      </c>
      <c r="N4123" s="31" t="str">
        <f>IF($L4123="","",INDEX($B$8:$B$5007,$L4123))</f>
        <v/>
      </c>
      <c r="O4123" s="32" t="str">
        <f>IF($M4123="","",IF($K4123-$M4123&gt;7,"",IF($M4123&lt;=$A4123,"",IF(OR($B4123&lt;=0,$N4123&lt;=0),"",($N4123/$B4123)^(365/($M4123-$A4123))-1))))</f>
        <v/>
      </c>
      <c r="P4123" s="31" t="str">
        <f>IF($B4123="","",IF($P4122="",$B4123,MAX($P4122,$B4123)))</f>
        <v/>
      </c>
      <c r="Q4123" s="32" t="str">
        <f>IF($P4123="","",$B4123/$P4123-1)</f>
        <v/>
      </c>
    </row>
    <row r="4124">
      <c r="A4124" s="11" t="n"/>
      <c r="B4124" s="29" t="n"/>
      <c r="K4124" s="30" t="str">
        <f>IF($A4124="","",EDATE($A4124,12*$E$4))</f>
        <v/>
      </c>
      <c r="L4124" s="19" t="str">
        <f>IF($K4124="","",IF($K4124&gt;MAX($A$8:$A$5007),"",IFERROR(MATCH($K4124,$A$8:$A$5007,1),"")))</f>
        <v/>
      </c>
      <c r="M4124" s="30" t="str">
        <f>IF($L4124="","",INDEX($A$8:$A$5007,$L4124))</f>
        <v/>
      </c>
      <c r="N4124" s="31" t="str">
        <f>IF($L4124="","",INDEX($B$8:$B$5007,$L4124))</f>
        <v/>
      </c>
      <c r="O4124" s="32" t="str">
        <f>IF($M4124="","",IF($K4124-$M4124&gt;7,"",IF($M4124&lt;=$A4124,"",IF(OR($B4124&lt;=0,$N4124&lt;=0),"",($N4124/$B4124)^(365/($M4124-$A4124))-1))))</f>
        <v/>
      </c>
      <c r="P4124" s="31" t="str">
        <f>IF($B4124="","",IF($P4123="",$B4124,MAX($P4123,$B4124)))</f>
        <v/>
      </c>
      <c r="Q4124" s="32" t="str">
        <f>IF($P4124="","",$B4124/$P4124-1)</f>
        <v/>
      </c>
    </row>
    <row r="4125">
      <c r="A4125" s="11" t="n"/>
      <c r="B4125" s="29" t="n"/>
      <c r="K4125" s="30" t="str">
        <f>IF($A4125="","",EDATE($A4125,12*$E$4))</f>
        <v/>
      </c>
      <c r="L4125" s="19" t="str">
        <f>IF($K4125="","",IF($K4125&gt;MAX($A$8:$A$5007),"",IFERROR(MATCH($K4125,$A$8:$A$5007,1),"")))</f>
        <v/>
      </c>
      <c r="M4125" s="30" t="str">
        <f>IF($L4125="","",INDEX($A$8:$A$5007,$L4125))</f>
        <v/>
      </c>
      <c r="N4125" s="31" t="str">
        <f>IF($L4125="","",INDEX($B$8:$B$5007,$L4125))</f>
        <v/>
      </c>
      <c r="O4125" s="32" t="str">
        <f>IF($M4125="","",IF($K4125-$M4125&gt;7,"",IF($M4125&lt;=$A4125,"",IF(OR($B4125&lt;=0,$N4125&lt;=0),"",($N4125/$B4125)^(365/($M4125-$A4125))-1))))</f>
        <v/>
      </c>
      <c r="P4125" s="31" t="str">
        <f>IF($B4125="","",IF($P4124="",$B4125,MAX($P4124,$B4125)))</f>
        <v/>
      </c>
      <c r="Q4125" s="32" t="str">
        <f>IF($P4125="","",$B4125/$P4125-1)</f>
        <v/>
      </c>
    </row>
    <row r="4126">
      <c r="A4126" s="11" t="n"/>
      <c r="B4126" s="29" t="n"/>
      <c r="K4126" s="30" t="str">
        <f>IF($A4126="","",EDATE($A4126,12*$E$4))</f>
        <v/>
      </c>
      <c r="L4126" s="19" t="str">
        <f>IF($K4126="","",IF($K4126&gt;MAX($A$8:$A$5007),"",IFERROR(MATCH($K4126,$A$8:$A$5007,1),"")))</f>
        <v/>
      </c>
      <c r="M4126" s="30" t="str">
        <f>IF($L4126="","",INDEX($A$8:$A$5007,$L4126))</f>
        <v/>
      </c>
      <c r="N4126" s="31" t="str">
        <f>IF($L4126="","",INDEX($B$8:$B$5007,$L4126))</f>
        <v/>
      </c>
      <c r="O4126" s="32" t="str">
        <f>IF($M4126="","",IF($K4126-$M4126&gt;7,"",IF($M4126&lt;=$A4126,"",IF(OR($B4126&lt;=0,$N4126&lt;=0),"",($N4126/$B4126)^(365/($M4126-$A4126))-1))))</f>
        <v/>
      </c>
      <c r="P4126" s="31" t="str">
        <f>IF($B4126="","",IF($P4125="",$B4126,MAX($P4125,$B4126)))</f>
        <v/>
      </c>
      <c r="Q4126" s="32" t="str">
        <f>IF($P4126="","",$B4126/$P4126-1)</f>
        <v/>
      </c>
    </row>
    <row r="4127">
      <c r="A4127" s="11" t="n"/>
      <c r="B4127" s="29" t="n"/>
      <c r="K4127" s="30" t="str">
        <f>IF($A4127="","",EDATE($A4127,12*$E$4))</f>
        <v/>
      </c>
      <c r="L4127" s="19" t="str">
        <f>IF($K4127="","",IF($K4127&gt;MAX($A$8:$A$5007),"",IFERROR(MATCH($K4127,$A$8:$A$5007,1),"")))</f>
        <v/>
      </c>
      <c r="M4127" s="30" t="str">
        <f>IF($L4127="","",INDEX($A$8:$A$5007,$L4127))</f>
        <v/>
      </c>
      <c r="N4127" s="31" t="str">
        <f>IF($L4127="","",INDEX($B$8:$B$5007,$L4127))</f>
        <v/>
      </c>
      <c r="O4127" s="32" t="str">
        <f>IF($M4127="","",IF($K4127-$M4127&gt;7,"",IF($M4127&lt;=$A4127,"",IF(OR($B4127&lt;=0,$N4127&lt;=0),"",($N4127/$B4127)^(365/($M4127-$A4127))-1))))</f>
        <v/>
      </c>
      <c r="P4127" s="31" t="str">
        <f>IF($B4127="","",IF($P4126="",$B4127,MAX($P4126,$B4127)))</f>
        <v/>
      </c>
      <c r="Q4127" s="32" t="str">
        <f>IF($P4127="","",$B4127/$P4127-1)</f>
        <v/>
      </c>
    </row>
    <row r="4128">
      <c r="A4128" s="11" t="n"/>
      <c r="B4128" s="29" t="n"/>
      <c r="K4128" s="30" t="str">
        <f>IF($A4128="","",EDATE($A4128,12*$E$4))</f>
        <v/>
      </c>
      <c r="L4128" s="19" t="str">
        <f>IF($K4128="","",IF($K4128&gt;MAX($A$8:$A$5007),"",IFERROR(MATCH($K4128,$A$8:$A$5007,1),"")))</f>
        <v/>
      </c>
      <c r="M4128" s="30" t="str">
        <f>IF($L4128="","",INDEX($A$8:$A$5007,$L4128))</f>
        <v/>
      </c>
      <c r="N4128" s="31" t="str">
        <f>IF($L4128="","",INDEX($B$8:$B$5007,$L4128))</f>
        <v/>
      </c>
      <c r="O4128" s="32" t="str">
        <f>IF($M4128="","",IF($K4128-$M4128&gt;7,"",IF($M4128&lt;=$A4128,"",IF(OR($B4128&lt;=0,$N4128&lt;=0),"",($N4128/$B4128)^(365/($M4128-$A4128))-1))))</f>
        <v/>
      </c>
      <c r="P4128" s="31" t="str">
        <f>IF($B4128="","",IF($P4127="",$B4128,MAX($P4127,$B4128)))</f>
        <v/>
      </c>
      <c r="Q4128" s="32" t="str">
        <f>IF($P4128="","",$B4128/$P4128-1)</f>
        <v/>
      </c>
    </row>
    <row r="4129">
      <c r="A4129" s="11" t="n"/>
      <c r="B4129" s="29" t="n"/>
      <c r="K4129" s="30" t="str">
        <f>IF($A4129="","",EDATE($A4129,12*$E$4))</f>
        <v/>
      </c>
      <c r="L4129" s="19" t="str">
        <f>IF($K4129="","",IF($K4129&gt;MAX($A$8:$A$5007),"",IFERROR(MATCH($K4129,$A$8:$A$5007,1),"")))</f>
        <v/>
      </c>
      <c r="M4129" s="30" t="str">
        <f>IF($L4129="","",INDEX($A$8:$A$5007,$L4129))</f>
        <v/>
      </c>
      <c r="N4129" s="31" t="str">
        <f>IF($L4129="","",INDEX($B$8:$B$5007,$L4129))</f>
        <v/>
      </c>
      <c r="O4129" s="32" t="str">
        <f>IF($M4129="","",IF($K4129-$M4129&gt;7,"",IF($M4129&lt;=$A4129,"",IF(OR($B4129&lt;=0,$N4129&lt;=0),"",($N4129/$B4129)^(365/($M4129-$A4129))-1))))</f>
        <v/>
      </c>
      <c r="P4129" s="31" t="str">
        <f>IF($B4129="","",IF($P4128="",$B4129,MAX($P4128,$B4129)))</f>
        <v/>
      </c>
      <c r="Q4129" s="32" t="str">
        <f>IF($P4129="","",$B4129/$P4129-1)</f>
        <v/>
      </c>
    </row>
    <row r="4130">
      <c r="A4130" s="11" t="n"/>
      <c r="B4130" s="29" t="n"/>
      <c r="K4130" s="30" t="str">
        <f>IF($A4130="","",EDATE($A4130,12*$E$4))</f>
        <v/>
      </c>
      <c r="L4130" s="19" t="str">
        <f>IF($K4130="","",IF($K4130&gt;MAX($A$8:$A$5007),"",IFERROR(MATCH($K4130,$A$8:$A$5007,1),"")))</f>
        <v/>
      </c>
      <c r="M4130" s="30" t="str">
        <f>IF($L4130="","",INDEX($A$8:$A$5007,$L4130))</f>
        <v/>
      </c>
      <c r="N4130" s="31" t="str">
        <f>IF($L4130="","",INDEX($B$8:$B$5007,$L4130))</f>
        <v/>
      </c>
      <c r="O4130" s="32" t="str">
        <f>IF($M4130="","",IF($K4130-$M4130&gt;7,"",IF($M4130&lt;=$A4130,"",IF(OR($B4130&lt;=0,$N4130&lt;=0),"",($N4130/$B4130)^(365/($M4130-$A4130))-1))))</f>
        <v/>
      </c>
      <c r="P4130" s="31" t="str">
        <f>IF($B4130="","",IF($P4129="",$B4130,MAX($P4129,$B4130)))</f>
        <v/>
      </c>
      <c r="Q4130" s="32" t="str">
        <f>IF($P4130="","",$B4130/$P4130-1)</f>
        <v/>
      </c>
    </row>
    <row r="4131">
      <c r="A4131" s="11" t="n"/>
      <c r="B4131" s="29" t="n"/>
      <c r="K4131" s="30" t="str">
        <f>IF($A4131="","",EDATE($A4131,12*$E$4))</f>
        <v/>
      </c>
      <c r="L4131" s="19" t="str">
        <f>IF($K4131="","",IF($K4131&gt;MAX($A$8:$A$5007),"",IFERROR(MATCH($K4131,$A$8:$A$5007,1),"")))</f>
        <v/>
      </c>
      <c r="M4131" s="30" t="str">
        <f>IF($L4131="","",INDEX($A$8:$A$5007,$L4131))</f>
        <v/>
      </c>
      <c r="N4131" s="31" t="str">
        <f>IF($L4131="","",INDEX($B$8:$B$5007,$L4131))</f>
        <v/>
      </c>
      <c r="O4131" s="32" t="str">
        <f>IF($M4131="","",IF($K4131-$M4131&gt;7,"",IF($M4131&lt;=$A4131,"",IF(OR($B4131&lt;=0,$N4131&lt;=0),"",($N4131/$B4131)^(365/($M4131-$A4131))-1))))</f>
        <v/>
      </c>
      <c r="P4131" s="31" t="str">
        <f>IF($B4131="","",IF($P4130="",$B4131,MAX($P4130,$B4131)))</f>
        <v/>
      </c>
      <c r="Q4131" s="32" t="str">
        <f>IF($P4131="","",$B4131/$P4131-1)</f>
        <v/>
      </c>
    </row>
    <row r="4132">
      <c r="A4132" s="11" t="n"/>
      <c r="B4132" s="29" t="n"/>
      <c r="K4132" s="30" t="str">
        <f>IF($A4132="","",EDATE($A4132,12*$E$4))</f>
        <v/>
      </c>
      <c r="L4132" s="19" t="str">
        <f>IF($K4132="","",IF($K4132&gt;MAX($A$8:$A$5007),"",IFERROR(MATCH($K4132,$A$8:$A$5007,1),"")))</f>
        <v/>
      </c>
      <c r="M4132" s="30" t="str">
        <f>IF($L4132="","",INDEX($A$8:$A$5007,$L4132))</f>
        <v/>
      </c>
      <c r="N4132" s="31" t="str">
        <f>IF($L4132="","",INDEX($B$8:$B$5007,$L4132))</f>
        <v/>
      </c>
      <c r="O4132" s="32" t="str">
        <f>IF($M4132="","",IF($K4132-$M4132&gt;7,"",IF($M4132&lt;=$A4132,"",IF(OR($B4132&lt;=0,$N4132&lt;=0),"",($N4132/$B4132)^(365/($M4132-$A4132))-1))))</f>
        <v/>
      </c>
      <c r="P4132" s="31" t="str">
        <f>IF($B4132="","",IF($P4131="",$B4132,MAX($P4131,$B4132)))</f>
        <v/>
      </c>
      <c r="Q4132" s="32" t="str">
        <f>IF($P4132="","",$B4132/$P4132-1)</f>
        <v/>
      </c>
    </row>
    <row r="4133">
      <c r="A4133" s="11" t="n"/>
      <c r="B4133" s="29" t="n"/>
      <c r="K4133" s="30" t="str">
        <f>IF($A4133="","",EDATE($A4133,12*$E$4))</f>
        <v/>
      </c>
      <c r="L4133" s="19" t="str">
        <f>IF($K4133="","",IF($K4133&gt;MAX($A$8:$A$5007),"",IFERROR(MATCH($K4133,$A$8:$A$5007,1),"")))</f>
        <v/>
      </c>
      <c r="M4133" s="30" t="str">
        <f>IF($L4133="","",INDEX($A$8:$A$5007,$L4133))</f>
        <v/>
      </c>
      <c r="N4133" s="31" t="str">
        <f>IF($L4133="","",INDEX($B$8:$B$5007,$L4133))</f>
        <v/>
      </c>
      <c r="O4133" s="32" t="str">
        <f>IF($M4133="","",IF($K4133-$M4133&gt;7,"",IF($M4133&lt;=$A4133,"",IF(OR($B4133&lt;=0,$N4133&lt;=0),"",($N4133/$B4133)^(365/($M4133-$A4133))-1))))</f>
        <v/>
      </c>
      <c r="P4133" s="31" t="str">
        <f>IF($B4133="","",IF($P4132="",$B4133,MAX($P4132,$B4133)))</f>
        <v/>
      </c>
      <c r="Q4133" s="32" t="str">
        <f>IF($P4133="","",$B4133/$P4133-1)</f>
        <v/>
      </c>
    </row>
    <row r="4134">
      <c r="A4134" s="11" t="n"/>
      <c r="B4134" s="29" t="n"/>
      <c r="K4134" s="30" t="str">
        <f>IF($A4134="","",EDATE($A4134,12*$E$4))</f>
        <v/>
      </c>
      <c r="L4134" s="19" t="str">
        <f>IF($K4134="","",IF($K4134&gt;MAX($A$8:$A$5007),"",IFERROR(MATCH($K4134,$A$8:$A$5007,1),"")))</f>
        <v/>
      </c>
      <c r="M4134" s="30" t="str">
        <f>IF($L4134="","",INDEX($A$8:$A$5007,$L4134))</f>
        <v/>
      </c>
      <c r="N4134" s="31" t="str">
        <f>IF($L4134="","",INDEX($B$8:$B$5007,$L4134))</f>
        <v/>
      </c>
      <c r="O4134" s="32" t="str">
        <f>IF($M4134="","",IF($K4134-$M4134&gt;7,"",IF($M4134&lt;=$A4134,"",IF(OR($B4134&lt;=0,$N4134&lt;=0),"",($N4134/$B4134)^(365/($M4134-$A4134))-1))))</f>
        <v/>
      </c>
      <c r="P4134" s="31" t="str">
        <f>IF($B4134="","",IF($P4133="",$B4134,MAX($P4133,$B4134)))</f>
        <v/>
      </c>
      <c r="Q4134" s="32" t="str">
        <f>IF($P4134="","",$B4134/$P4134-1)</f>
        <v/>
      </c>
    </row>
    <row r="4135">
      <c r="A4135" s="11" t="n"/>
      <c r="B4135" s="29" t="n"/>
      <c r="K4135" s="30" t="str">
        <f>IF($A4135="","",EDATE($A4135,12*$E$4))</f>
        <v/>
      </c>
      <c r="L4135" s="19" t="str">
        <f>IF($K4135="","",IF($K4135&gt;MAX($A$8:$A$5007),"",IFERROR(MATCH($K4135,$A$8:$A$5007,1),"")))</f>
        <v/>
      </c>
      <c r="M4135" s="30" t="str">
        <f>IF($L4135="","",INDEX($A$8:$A$5007,$L4135))</f>
        <v/>
      </c>
      <c r="N4135" s="31" t="str">
        <f>IF($L4135="","",INDEX($B$8:$B$5007,$L4135))</f>
        <v/>
      </c>
      <c r="O4135" s="32" t="str">
        <f>IF($M4135="","",IF($K4135-$M4135&gt;7,"",IF($M4135&lt;=$A4135,"",IF(OR($B4135&lt;=0,$N4135&lt;=0),"",($N4135/$B4135)^(365/($M4135-$A4135))-1))))</f>
        <v/>
      </c>
      <c r="P4135" s="31" t="str">
        <f>IF($B4135="","",IF($P4134="",$B4135,MAX($P4134,$B4135)))</f>
        <v/>
      </c>
      <c r="Q4135" s="32" t="str">
        <f>IF($P4135="","",$B4135/$P4135-1)</f>
        <v/>
      </c>
    </row>
    <row r="4136">
      <c r="A4136" s="11" t="n"/>
      <c r="B4136" s="29" t="n"/>
      <c r="K4136" s="30" t="str">
        <f>IF($A4136="","",EDATE($A4136,12*$E$4))</f>
        <v/>
      </c>
      <c r="L4136" s="19" t="str">
        <f>IF($K4136="","",IF($K4136&gt;MAX($A$8:$A$5007),"",IFERROR(MATCH($K4136,$A$8:$A$5007,1),"")))</f>
        <v/>
      </c>
      <c r="M4136" s="30" t="str">
        <f>IF($L4136="","",INDEX($A$8:$A$5007,$L4136))</f>
        <v/>
      </c>
      <c r="N4136" s="31" t="str">
        <f>IF($L4136="","",INDEX($B$8:$B$5007,$L4136))</f>
        <v/>
      </c>
      <c r="O4136" s="32" t="str">
        <f>IF($M4136="","",IF($K4136-$M4136&gt;7,"",IF($M4136&lt;=$A4136,"",IF(OR($B4136&lt;=0,$N4136&lt;=0),"",($N4136/$B4136)^(365/($M4136-$A4136))-1))))</f>
        <v/>
      </c>
      <c r="P4136" s="31" t="str">
        <f>IF($B4136="","",IF($P4135="",$B4136,MAX($P4135,$B4136)))</f>
        <v/>
      </c>
      <c r="Q4136" s="32" t="str">
        <f>IF($P4136="","",$B4136/$P4136-1)</f>
        <v/>
      </c>
    </row>
    <row r="4137">
      <c r="A4137" s="11" t="n"/>
      <c r="B4137" s="29" t="n"/>
      <c r="K4137" s="30" t="str">
        <f>IF($A4137="","",EDATE($A4137,12*$E$4))</f>
        <v/>
      </c>
      <c r="L4137" s="19" t="str">
        <f>IF($K4137="","",IF($K4137&gt;MAX($A$8:$A$5007),"",IFERROR(MATCH($K4137,$A$8:$A$5007,1),"")))</f>
        <v/>
      </c>
      <c r="M4137" s="30" t="str">
        <f>IF($L4137="","",INDEX($A$8:$A$5007,$L4137))</f>
        <v/>
      </c>
      <c r="N4137" s="31" t="str">
        <f>IF($L4137="","",INDEX($B$8:$B$5007,$L4137))</f>
        <v/>
      </c>
      <c r="O4137" s="32" t="str">
        <f>IF($M4137="","",IF($K4137-$M4137&gt;7,"",IF($M4137&lt;=$A4137,"",IF(OR($B4137&lt;=0,$N4137&lt;=0),"",($N4137/$B4137)^(365/($M4137-$A4137))-1))))</f>
        <v/>
      </c>
      <c r="P4137" s="31" t="str">
        <f>IF($B4137="","",IF($P4136="",$B4137,MAX($P4136,$B4137)))</f>
        <v/>
      </c>
      <c r="Q4137" s="32" t="str">
        <f>IF($P4137="","",$B4137/$P4137-1)</f>
        <v/>
      </c>
    </row>
    <row r="4138">
      <c r="A4138" s="11" t="n"/>
      <c r="B4138" s="29" t="n"/>
      <c r="K4138" s="30" t="str">
        <f>IF($A4138="","",EDATE($A4138,12*$E$4))</f>
        <v/>
      </c>
      <c r="L4138" s="19" t="str">
        <f>IF($K4138="","",IF($K4138&gt;MAX($A$8:$A$5007),"",IFERROR(MATCH($K4138,$A$8:$A$5007,1),"")))</f>
        <v/>
      </c>
      <c r="M4138" s="30" t="str">
        <f>IF($L4138="","",INDEX($A$8:$A$5007,$L4138))</f>
        <v/>
      </c>
      <c r="N4138" s="31" t="str">
        <f>IF($L4138="","",INDEX($B$8:$B$5007,$L4138))</f>
        <v/>
      </c>
      <c r="O4138" s="32" t="str">
        <f>IF($M4138="","",IF($K4138-$M4138&gt;7,"",IF($M4138&lt;=$A4138,"",IF(OR($B4138&lt;=0,$N4138&lt;=0),"",($N4138/$B4138)^(365/($M4138-$A4138))-1))))</f>
        <v/>
      </c>
      <c r="P4138" s="31" t="str">
        <f>IF($B4138="","",IF($P4137="",$B4138,MAX($P4137,$B4138)))</f>
        <v/>
      </c>
      <c r="Q4138" s="32" t="str">
        <f>IF($P4138="","",$B4138/$P4138-1)</f>
        <v/>
      </c>
    </row>
    <row r="4139">
      <c r="A4139" s="11" t="n"/>
      <c r="B4139" s="29" t="n"/>
      <c r="K4139" s="30" t="str">
        <f>IF($A4139="","",EDATE($A4139,12*$E$4))</f>
        <v/>
      </c>
      <c r="L4139" s="19" t="str">
        <f>IF($K4139="","",IF($K4139&gt;MAX($A$8:$A$5007),"",IFERROR(MATCH($K4139,$A$8:$A$5007,1),"")))</f>
        <v/>
      </c>
      <c r="M4139" s="30" t="str">
        <f>IF($L4139="","",INDEX($A$8:$A$5007,$L4139))</f>
        <v/>
      </c>
      <c r="N4139" s="31" t="str">
        <f>IF($L4139="","",INDEX($B$8:$B$5007,$L4139))</f>
        <v/>
      </c>
      <c r="O4139" s="32" t="str">
        <f>IF($M4139="","",IF($K4139-$M4139&gt;7,"",IF($M4139&lt;=$A4139,"",IF(OR($B4139&lt;=0,$N4139&lt;=0),"",($N4139/$B4139)^(365/($M4139-$A4139))-1))))</f>
        <v/>
      </c>
      <c r="P4139" s="31" t="str">
        <f>IF($B4139="","",IF($P4138="",$B4139,MAX($P4138,$B4139)))</f>
        <v/>
      </c>
      <c r="Q4139" s="32" t="str">
        <f>IF($P4139="","",$B4139/$P4139-1)</f>
        <v/>
      </c>
    </row>
    <row r="4140">
      <c r="A4140" s="11" t="n"/>
      <c r="B4140" s="29" t="n"/>
      <c r="K4140" s="30" t="str">
        <f>IF($A4140="","",EDATE($A4140,12*$E$4))</f>
        <v/>
      </c>
      <c r="L4140" s="19" t="str">
        <f>IF($K4140="","",IF($K4140&gt;MAX($A$8:$A$5007),"",IFERROR(MATCH($K4140,$A$8:$A$5007,1),"")))</f>
        <v/>
      </c>
      <c r="M4140" s="30" t="str">
        <f>IF($L4140="","",INDEX($A$8:$A$5007,$L4140))</f>
        <v/>
      </c>
      <c r="N4140" s="31" t="str">
        <f>IF($L4140="","",INDEX($B$8:$B$5007,$L4140))</f>
        <v/>
      </c>
      <c r="O4140" s="32" t="str">
        <f>IF($M4140="","",IF($K4140-$M4140&gt;7,"",IF($M4140&lt;=$A4140,"",IF(OR($B4140&lt;=0,$N4140&lt;=0),"",($N4140/$B4140)^(365/($M4140-$A4140))-1))))</f>
        <v/>
      </c>
      <c r="P4140" s="31" t="str">
        <f>IF($B4140="","",IF($P4139="",$B4140,MAX($P4139,$B4140)))</f>
        <v/>
      </c>
      <c r="Q4140" s="32" t="str">
        <f>IF($P4140="","",$B4140/$P4140-1)</f>
        <v/>
      </c>
    </row>
    <row r="4141">
      <c r="A4141" s="11" t="n"/>
      <c r="B4141" s="29" t="n"/>
      <c r="K4141" s="30" t="str">
        <f>IF($A4141="","",EDATE($A4141,12*$E$4))</f>
        <v/>
      </c>
      <c r="L4141" s="19" t="str">
        <f>IF($K4141="","",IF($K4141&gt;MAX($A$8:$A$5007),"",IFERROR(MATCH($K4141,$A$8:$A$5007,1),"")))</f>
        <v/>
      </c>
      <c r="M4141" s="30" t="str">
        <f>IF($L4141="","",INDEX($A$8:$A$5007,$L4141))</f>
        <v/>
      </c>
      <c r="N4141" s="31" t="str">
        <f>IF($L4141="","",INDEX($B$8:$B$5007,$L4141))</f>
        <v/>
      </c>
      <c r="O4141" s="32" t="str">
        <f>IF($M4141="","",IF($K4141-$M4141&gt;7,"",IF($M4141&lt;=$A4141,"",IF(OR($B4141&lt;=0,$N4141&lt;=0),"",($N4141/$B4141)^(365/($M4141-$A4141))-1))))</f>
        <v/>
      </c>
      <c r="P4141" s="31" t="str">
        <f>IF($B4141="","",IF($P4140="",$B4141,MAX($P4140,$B4141)))</f>
        <v/>
      </c>
      <c r="Q4141" s="32" t="str">
        <f>IF($P4141="","",$B4141/$P4141-1)</f>
        <v/>
      </c>
    </row>
    <row r="4142">
      <c r="A4142" s="11" t="n"/>
      <c r="B4142" s="29" t="n"/>
      <c r="K4142" s="30" t="str">
        <f>IF($A4142="","",EDATE($A4142,12*$E$4))</f>
        <v/>
      </c>
      <c r="L4142" s="19" t="str">
        <f>IF($K4142="","",IF($K4142&gt;MAX($A$8:$A$5007),"",IFERROR(MATCH($K4142,$A$8:$A$5007,1),"")))</f>
        <v/>
      </c>
      <c r="M4142" s="30" t="str">
        <f>IF($L4142="","",INDEX($A$8:$A$5007,$L4142))</f>
        <v/>
      </c>
      <c r="N4142" s="31" t="str">
        <f>IF($L4142="","",INDEX($B$8:$B$5007,$L4142))</f>
        <v/>
      </c>
      <c r="O4142" s="32" t="str">
        <f>IF($M4142="","",IF($K4142-$M4142&gt;7,"",IF($M4142&lt;=$A4142,"",IF(OR($B4142&lt;=0,$N4142&lt;=0),"",($N4142/$B4142)^(365/($M4142-$A4142))-1))))</f>
        <v/>
      </c>
      <c r="P4142" s="31" t="str">
        <f>IF($B4142="","",IF($P4141="",$B4142,MAX($P4141,$B4142)))</f>
        <v/>
      </c>
      <c r="Q4142" s="32" t="str">
        <f>IF($P4142="","",$B4142/$P4142-1)</f>
        <v/>
      </c>
    </row>
    <row r="4143">
      <c r="A4143" s="11" t="n"/>
      <c r="B4143" s="29" t="n"/>
      <c r="K4143" s="30" t="str">
        <f>IF($A4143="","",EDATE($A4143,12*$E$4))</f>
        <v/>
      </c>
      <c r="L4143" s="19" t="str">
        <f>IF($K4143="","",IF($K4143&gt;MAX($A$8:$A$5007),"",IFERROR(MATCH($K4143,$A$8:$A$5007,1),"")))</f>
        <v/>
      </c>
      <c r="M4143" s="30" t="str">
        <f>IF($L4143="","",INDEX($A$8:$A$5007,$L4143))</f>
        <v/>
      </c>
      <c r="N4143" s="31" t="str">
        <f>IF($L4143="","",INDEX($B$8:$B$5007,$L4143))</f>
        <v/>
      </c>
      <c r="O4143" s="32" t="str">
        <f>IF($M4143="","",IF($K4143-$M4143&gt;7,"",IF($M4143&lt;=$A4143,"",IF(OR($B4143&lt;=0,$N4143&lt;=0),"",($N4143/$B4143)^(365/($M4143-$A4143))-1))))</f>
        <v/>
      </c>
      <c r="P4143" s="31" t="str">
        <f>IF($B4143="","",IF($P4142="",$B4143,MAX($P4142,$B4143)))</f>
        <v/>
      </c>
      <c r="Q4143" s="32" t="str">
        <f>IF($P4143="","",$B4143/$P4143-1)</f>
        <v/>
      </c>
    </row>
    <row r="4144">
      <c r="A4144" s="11" t="n"/>
      <c r="B4144" s="29" t="n"/>
      <c r="K4144" s="30" t="str">
        <f>IF($A4144="","",EDATE($A4144,12*$E$4))</f>
        <v/>
      </c>
      <c r="L4144" s="19" t="str">
        <f>IF($K4144="","",IF($K4144&gt;MAX($A$8:$A$5007),"",IFERROR(MATCH($K4144,$A$8:$A$5007,1),"")))</f>
        <v/>
      </c>
      <c r="M4144" s="30" t="str">
        <f>IF($L4144="","",INDEX($A$8:$A$5007,$L4144))</f>
        <v/>
      </c>
      <c r="N4144" s="31" t="str">
        <f>IF($L4144="","",INDEX($B$8:$B$5007,$L4144))</f>
        <v/>
      </c>
      <c r="O4144" s="32" t="str">
        <f>IF($M4144="","",IF($K4144-$M4144&gt;7,"",IF($M4144&lt;=$A4144,"",IF(OR($B4144&lt;=0,$N4144&lt;=0),"",($N4144/$B4144)^(365/($M4144-$A4144))-1))))</f>
        <v/>
      </c>
      <c r="P4144" s="31" t="str">
        <f>IF($B4144="","",IF($P4143="",$B4144,MAX($P4143,$B4144)))</f>
        <v/>
      </c>
      <c r="Q4144" s="32" t="str">
        <f>IF($P4144="","",$B4144/$P4144-1)</f>
        <v/>
      </c>
    </row>
    <row r="4145">
      <c r="A4145" s="11" t="n"/>
      <c r="B4145" s="29" t="n"/>
      <c r="K4145" s="30" t="str">
        <f>IF($A4145="","",EDATE($A4145,12*$E$4))</f>
        <v/>
      </c>
      <c r="L4145" s="19" t="str">
        <f>IF($K4145="","",IF($K4145&gt;MAX($A$8:$A$5007),"",IFERROR(MATCH($K4145,$A$8:$A$5007,1),"")))</f>
        <v/>
      </c>
      <c r="M4145" s="30" t="str">
        <f>IF($L4145="","",INDEX($A$8:$A$5007,$L4145))</f>
        <v/>
      </c>
      <c r="N4145" s="31" t="str">
        <f>IF($L4145="","",INDEX($B$8:$B$5007,$L4145))</f>
        <v/>
      </c>
      <c r="O4145" s="32" t="str">
        <f>IF($M4145="","",IF($K4145-$M4145&gt;7,"",IF($M4145&lt;=$A4145,"",IF(OR($B4145&lt;=0,$N4145&lt;=0),"",($N4145/$B4145)^(365/($M4145-$A4145))-1))))</f>
        <v/>
      </c>
      <c r="P4145" s="31" t="str">
        <f>IF($B4145="","",IF($P4144="",$B4145,MAX($P4144,$B4145)))</f>
        <v/>
      </c>
      <c r="Q4145" s="32" t="str">
        <f>IF($P4145="","",$B4145/$P4145-1)</f>
        <v/>
      </c>
    </row>
    <row r="4146">
      <c r="A4146" s="11" t="n"/>
      <c r="B4146" s="29" t="n"/>
      <c r="K4146" s="30" t="str">
        <f>IF($A4146="","",EDATE($A4146,12*$E$4))</f>
        <v/>
      </c>
      <c r="L4146" s="19" t="str">
        <f>IF($K4146="","",IF($K4146&gt;MAX($A$8:$A$5007),"",IFERROR(MATCH($K4146,$A$8:$A$5007,1),"")))</f>
        <v/>
      </c>
      <c r="M4146" s="30" t="str">
        <f>IF($L4146="","",INDEX($A$8:$A$5007,$L4146))</f>
        <v/>
      </c>
      <c r="N4146" s="31" t="str">
        <f>IF($L4146="","",INDEX($B$8:$B$5007,$L4146))</f>
        <v/>
      </c>
      <c r="O4146" s="32" t="str">
        <f>IF($M4146="","",IF($K4146-$M4146&gt;7,"",IF($M4146&lt;=$A4146,"",IF(OR($B4146&lt;=0,$N4146&lt;=0),"",($N4146/$B4146)^(365/($M4146-$A4146))-1))))</f>
        <v/>
      </c>
      <c r="P4146" s="31" t="str">
        <f>IF($B4146="","",IF($P4145="",$B4146,MAX($P4145,$B4146)))</f>
        <v/>
      </c>
      <c r="Q4146" s="32" t="str">
        <f>IF($P4146="","",$B4146/$P4146-1)</f>
        <v/>
      </c>
    </row>
    <row r="4147">
      <c r="A4147" s="11" t="n"/>
      <c r="B4147" s="29" t="n"/>
      <c r="K4147" s="30" t="str">
        <f>IF($A4147="","",EDATE($A4147,12*$E$4))</f>
        <v/>
      </c>
      <c r="L4147" s="19" t="str">
        <f>IF($K4147="","",IF($K4147&gt;MAX($A$8:$A$5007),"",IFERROR(MATCH($K4147,$A$8:$A$5007,1),"")))</f>
        <v/>
      </c>
      <c r="M4147" s="30" t="str">
        <f>IF($L4147="","",INDEX($A$8:$A$5007,$L4147))</f>
        <v/>
      </c>
      <c r="N4147" s="31" t="str">
        <f>IF($L4147="","",INDEX($B$8:$B$5007,$L4147))</f>
        <v/>
      </c>
      <c r="O4147" s="32" t="str">
        <f>IF($M4147="","",IF($K4147-$M4147&gt;7,"",IF($M4147&lt;=$A4147,"",IF(OR($B4147&lt;=0,$N4147&lt;=0),"",($N4147/$B4147)^(365/($M4147-$A4147))-1))))</f>
        <v/>
      </c>
      <c r="P4147" s="31" t="str">
        <f>IF($B4147="","",IF($P4146="",$B4147,MAX($P4146,$B4147)))</f>
        <v/>
      </c>
      <c r="Q4147" s="32" t="str">
        <f>IF($P4147="","",$B4147/$P4147-1)</f>
        <v/>
      </c>
    </row>
    <row r="4148">
      <c r="A4148" s="11" t="n"/>
      <c r="B4148" s="29" t="n"/>
      <c r="K4148" s="30" t="str">
        <f>IF($A4148="","",EDATE($A4148,12*$E$4))</f>
        <v/>
      </c>
      <c r="L4148" s="19" t="str">
        <f>IF($K4148="","",IF($K4148&gt;MAX($A$8:$A$5007),"",IFERROR(MATCH($K4148,$A$8:$A$5007,1),"")))</f>
        <v/>
      </c>
      <c r="M4148" s="30" t="str">
        <f>IF($L4148="","",INDEX($A$8:$A$5007,$L4148))</f>
        <v/>
      </c>
      <c r="N4148" s="31" t="str">
        <f>IF($L4148="","",INDEX($B$8:$B$5007,$L4148))</f>
        <v/>
      </c>
      <c r="O4148" s="32" t="str">
        <f>IF($M4148="","",IF($K4148-$M4148&gt;7,"",IF($M4148&lt;=$A4148,"",IF(OR($B4148&lt;=0,$N4148&lt;=0),"",($N4148/$B4148)^(365/($M4148-$A4148))-1))))</f>
        <v/>
      </c>
      <c r="P4148" s="31" t="str">
        <f>IF($B4148="","",IF($P4147="",$B4148,MAX($P4147,$B4148)))</f>
        <v/>
      </c>
      <c r="Q4148" s="32" t="str">
        <f>IF($P4148="","",$B4148/$P4148-1)</f>
        <v/>
      </c>
    </row>
    <row r="4149">
      <c r="A4149" s="11" t="n"/>
      <c r="B4149" s="29" t="n"/>
      <c r="K4149" s="30" t="str">
        <f>IF($A4149="","",EDATE($A4149,12*$E$4))</f>
        <v/>
      </c>
      <c r="L4149" s="19" t="str">
        <f>IF($K4149="","",IF($K4149&gt;MAX($A$8:$A$5007),"",IFERROR(MATCH($K4149,$A$8:$A$5007,1),"")))</f>
        <v/>
      </c>
      <c r="M4149" s="30" t="str">
        <f>IF($L4149="","",INDEX($A$8:$A$5007,$L4149))</f>
        <v/>
      </c>
      <c r="N4149" s="31" t="str">
        <f>IF($L4149="","",INDEX($B$8:$B$5007,$L4149))</f>
        <v/>
      </c>
      <c r="O4149" s="32" t="str">
        <f>IF($M4149="","",IF($K4149-$M4149&gt;7,"",IF($M4149&lt;=$A4149,"",IF(OR($B4149&lt;=0,$N4149&lt;=0),"",($N4149/$B4149)^(365/($M4149-$A4149))-1))))</f>
        <v/>
      </c>
      <c r="P4149" s="31" t="str">
        <f>IF($B4149="","",IF($P4148="",$B4149,MAX($P4148,$B4149)))</f>
        <v/>
      </c>
      <c r="Q4149" s="32" t="str">
        <f>IF($P4149="","",$B4149/$P4149-1)</f>
        <v/>
      </c>
    </row>
    <row r="4150">
      <c r="A4150" s="11" t="n"/>
      <c r="B4150" s="29" t="n"/>
      <c r="K4150" s="30" t="str">
        <f>IF($A4150="","",EDATE($A4150,12*$E$4))</f>
        <v/>
      </c>
      <c r="L4150" s="19" t="str">
        <f>IF($K4150="","",IF($K4150&gt;MAX($A$8:$A$5007),"",IFERROR(MATCH($K4150,$A$8:$A$5007,1),"")))</f>
        <v/>
      </c>
      <c r="M4150" s="30" t="str">
        <f>IF($L4150="","",INDEX($A$8:$A$5007,$L4150))</f>
        <v/>
      </c>
      <c r="N4150" s="31" t="str">
        <f>IF($L4150="","",INDEX($B$8:$B$5007,$L4150))</f>
        <v/>
      </c>
      <c r="O4150" s="32" t="str">
        <f>IF($M4150="","",IF($K4150-$M4150&gt;7,"",IF($M4150&lt;=$A4150,"",IF(OR($B4150&lt;=0,$N4150&lt;=0),"",($N4150/$B4150)^(365/($M4150-$A4150))-1))))</f>
        <v/>
      </c>
      <c r="P4150" s="31" t="str">
        <f>IF($B4150="","",IF($P4149="",$B4150,MAX($P4149,$B4150)))</f>
        <v/>
      </c>
      <c r="Q4150" s="32" t="str">
        <f>IF($P4150="","",$B4150/$P4150-1)</f>
        <v/>
      </c>
    </row>
    <row r="4151">
      <c r="A4151" s="11" t="n"/>
      <c r="B4151" s="29" t="n"/>
      <c r="K4151" s="30" t="str">
        <f>IF($A4151="","",EDATE($A4151,12*$E$4))</f>
        <v/>
      </c>
      <c r="L4151" s="19" t="str">
        <f>IF($K4151="","",IF($K4151&gt;MAX($A$8:$A$5007),"",IFERROR(MATCH($K4151,$A$8:$A$5007,1),"")))</f>
        <v/>
      </c>
      <c r="M4151" s="30" t="str">
        <f>IF($L4151="","",INDEX($A$8:$A$5007,$L4151))</f>
        <v/>
      </c>
      <c r="N4151" s="31" t="str">
        <f>IF($L4151="","",INDEX($B$8:$B$5007,$L4151))</f>
        <v/>
      </c>
      <c r="O4151" s="32" t="str">
        <f>IF($M4151="","",IF($K4151-$M4151&gt;7,"",IF($M4151&lt;=$A4151,"",IF(OR($B4151&lt;=0,$N4151&lt;=0),"",($N4151/$B4151)^(365/($M4151-$A4151))-1))))</f>
        <v/>
      </c>
      <c r="P4151" s="31" t="str">
        <f>IF($B4151="","",IF($P4150="",$B4151,MAX($P4150,$B4151)))</f>
        <v/>
      </c>
      <c r="Q4151" s="32" t="str">
        <f>IF($P4151="","",$B4151/$P4151-1)</f>
        <v/>
      </c>
    </row>
    <row r="4152">
      <c r="A4152" s="11" t="n"/>
      <c r="B4152" s="29" t="n"/>
      <c r="K4152" s="30" t="str">
        <f>IF($A4152="","",EDATE($A4152,12*$E$4))</f>
        <v/>
      </c>
      <c r="L4152" s="19" t="str">
        <f>IF($K4152="","",IF($K4152&gt;MAX($A$8:$A$5007),"",IFERROR(MATCH($K4152,$A$8:$A$5007,1),"")))</f>
        <v/>
      </c>
      <c r="M4152" s="30" t="str">
        <f>IF($L4152="","",INDEX($A$8:$A$5007,$L4152))</f>
        <v/>
      </c>
      <c r="N4152" s="31" t="str">
        <f>IF($L4152="","",INDEX($B$8:$B$5007,$L4152))</f>
        <v/>
      </c>
      <c r="O4152" s="32" t="str">
        <f>IF($M4152="","",IF($K4152-$M4152&gt;7,"",IF($M4152&lt;=$A4152,"",IF(OR($B4152&lt;=0,$N4152&lt;=0),"",($N4152/$B4152)^(365/($M4152-$A4152))-1))))</f>
        <v/>
      </c>
      <c r="P4152" s="31" t="str">
        <f>IF($B4152="","",IF($P4151="",$B4152,MAX($P4151,$B4152)))</f>
        <v/>
      </c>
      <c r="Q4152" s="32" t="str">
        <f>IF($P4152="","",$B4152/$P4152-1)</f>
        <v/>
      </c>
    </row>
    <row r="4153">
      <c r="A4153" s="11" t="n"/>
      <c r="B4153" s="29" t="n"/>
      <c r="K4153" s="30" t="str">
        <f>IF($A4153="","",EDATE($A4153,12*$E$4))</f>
        <v/>
      </c>
      <c r="L4153" s="19" t="str">
        <f>IF($K4153="","",IF($K4153&gt;MAX($A$8:$A$5007),"",IFERROR(MATCH($K4153,$A$8:$A$5007,1),"")))</f>
        <v/>
      </c>
      <c r="M4153" s="30" t="str">
        <f>IF($L4153="","",INDEX($A$8:$A$5007,$L4153))</f>
        <v/>
      </c>
      <c r="N4153" s="31" t="str">
        <f>IF($L4153="","",INDEX($B$8:$B$5007,$L4153))</f>
        <v/>
      </c>
      <c r="O4153" s="32" t="str">
        <f>IF($M4153="","",IF($K4153-$M4153&gt;7,"",IF($M4153&lt;=$A4153,"",IF(OR($B4153&lt;=0,$N4153&lt;=0),"",($N4153/$B4153)^(365/($M4153-$A4153))-1))))</f>
        <v/>
      </c>
      <c r="P4153" s="31" t="str">
        <f>IF($B4153="","",IF($P4152="",$B4153,MAX($P4152,$B4153)))</f>
        <v/>
      </c>
      <c r="Q4153" s="32" t="str">
        <f>IF($P4153="","",$B4153/$P4153-1)</f>
        <v/>
      </c>
    </row>
    <row r="4154">
      <c r="A4154" s="11" t="n"/>
      <c r="B4154" s="29" t="n"/>
      <c r="K4154" s="30" t="str">
        <f>IF($A4154="","",EDATE($A4154,12*$E$4))</f>
        <v/>
      </c>
      <c r="L4154" s="19" t="str">
        <f>IF($K4154="","",IF($K4154&gt;MAX($A$8:$A$5007),"",IFERROR(MATCH($K4154,$A$8:$A$5007,1),"")))</f>
        <v/>
      </c>
      <c r="M4154" s="30" t="str">
        <f>IF($L4154="","",INDEX($A$8:$A$5007,$L4154))</f>
        <v/>
      </c>
      <c r="N4154" s="31" t="str">
        <f>IF($L4154="","",INDEX($B$8:$B$5007,$L4154))</f>
        <v/>
      </c>
      <c r="O4154" s="32" t="str">
        <f>IF($M4154="","",IF($K4154-$M4154&gt;7,"",IF($M4154&lt;=$A4154,"",IF(OR($B4154&lt;=0,$N4154&lt;=0),"",($N4154/$B4154)^(365/($M4154-$A4154))-1))))</f>
        <v/>
      </c>
      <c r="P4154" s="31" t="str">
        <f>IF($B4154="","",IF($P4153="",$B4154,MAX($P4153,$B4154)))</f>
        <v/>
      </c>
      <c r="Q4154" s="32" t="str">
        <f>IF($P4154="","",$B4154/$P4154-1)</f>
        <v/>
      </c>
    </row>
    <row r="4155">
      <c r="A4155" s="11" t="n"/>
      <c r="B4155" s="29" t="n"/>
      <c r="K4155" s="30" t="str">
        <f>IF($A4155="","",EDATE($A4155,12*$E$4))</f>
        <v/>
      </c>
      <c r="L4155" s="19" t="str">
        <f>IF($K4155="","",IF($K4155&gt;MAX($A$8:$A$5007),"",IFERROR(MATCH($K4155,$A$8:$A$5007,1),"")))</f>
        <v/>
      </c>
      <c r="M4155" s="30" t="str">
        <f>IF($L4155="","",INDEX($A$8:$A$5007,$L4155))</f>
        <v/>
      </c>
      <c r="N4155" s="31" t="str">
        <f>IF($L4155="","",INDEX($B$8:$B$5007,$L4155))</f>
        <v/>
      </c>
      <c r="O4155" s="32" t="str">
        <f>IF($M4155="","",IF($K4155-$M4155&gt;7,"",IF($M4155&lt;=$A4155,"",IF(OR($B4155&lt;=0,$N4155&lt;=0),"",($N4155/$B4155)^(365/($M4155-$A4155))-1))))</f>
        <v/>
      </c>
      <c r="P4155" s="31" t="str">
        <f>IF($B4155="","",IF($P4154="",$B4155,MAX($P4154,$B4155)))</f>
        <v/>
      </c>
      <c r="Q4155" s="32" t="str">
        <f>IF($P4155="","",$B4155/$P4155-1)</f>
        <v/>
      </c>
    </row>
    <row r="4156">
      <c r="A4156" s="11" t="n"/>
      <c r="B4156" s="29" t="n"/>
      <c r="K4156" s="30" t="str">
        <f>IF($A4156="","",EDATE($A4156,12*$E$4))</f>
        <v/>
      </c>
      <c r="L4156" s="19" t="str">
        <f>IF($K4156="","",IF($K4156&gt;MAX($A$8:$A$5007),"",IFERROR(MATCH($K4156,$A$8:$A$5007,1),"")))</f>
        <v/>
      </c>
      <c r="M4156" s="30" t="str">
        <f>IF($L4156="","",INDEX($A$8:$A$5007,$L4156))</f>
        <v/>
      </c>
      <c r="N4156" s="31" t="str">
        <f>IF($L4156="","",INDEX($B$8:$B$5007,$L4156))</f>
        <v/>
      </c>
      <c r="O4156" s="32" t="str">
        <f>IF($M4156="","",IF($K4156-$M4156&gt;7,"",IF($M4156&lt;=$A4156,"",IF(OR($B4156&lt;=0,$N4156&lt;=0),"",($N4156/$B4156)^(365/($M4156-$A4156))-1))))</f>
        <v/>
      </c>
      <c r="P4156" s="31" t="str">
        <f>IF($B4156="","",IF($P4155="",$B4156,MAX($P4155,$B4156)))</f>
        <v/>
      </c>
      <c r="Q4156" s="32" t="str">
        <f>IF($P4156="","",$B4156/$P4156-1)</f>
        <v/>
      </c>
    </row>
    <row r="4157">
      <c r="A4157" s="11" t="n"/>
      <c r="B4157" s="29" t="n"/>
      <c r="K4157" s="30" t="str">
        <f>IF($A4157="","",EDATE($A4157,12*$E$4))</f>
        <v/>
      </c>
      <c r="L4157" s="19" t="str">
        <f>IF($K4157="","",IF($K4157&gt;MAX($A$8:$A$5007),"",IFERROR(MATCH($K4157,$A$8:$A$5007,1),"")))</f>
        <v/>
      </c>
      <c r="M4157" s="30" t="str">
        <f>IF($L4157="","",INDEX($A$8:$A$5007,$L4157))</f>
        <v/>
      </c>
      <c r="N4157" s="31" t="str">
        <f>IF($L4157="","",INDEX($B$8:$B$5007,$L4157))</f>
        <v/>
      </c>
      <c r="O4157" s="32" t="str">
        <f>IF($M4157="","",IF($K4157-$M4157&gt;7,"",IF($M4157&lt;=$A4157,"",IF(OR($B4157&lt;=0,$N4157&lt;=0),"",($N4157/$B4157)^(365/($M4157-$A4157))-1))))</f>
        <v/>
      </c>
      <c r="P4157" s="31" t="str">
        <f>IF($B4157="","",IF($P4156="",$B4157,MAX($P4156,$B4157)))</f>
        <v/>
      </c>
      <c r="Q4157" s="32" t="str">
        <f>IF($P4157="","",$B4157/$P4157-1)</f>
        <v/>
      </c>
    </row>
    <row r="4158">
      <c r="A4158" s="11" t="n"/>
      <c r="B4158" s="29" t="n"/>
      <c r="K4158" s="30" t="str">
        <f>IF($A4158="","",EDATE($A4158,12*$E$4))</f>
        <v/>
      </c>
      <c r="L4158" s="19" t="str">
        <f>IF($K4158="","",IF($K4158&gt;MAX($A$8:$A$5007),"",IFERROR(MATCH($K4158,$A$8:$A$5007,1),"")))</f>
        <v/>
      </c>
      <c r="M4158" s="30" t="str">
        <f>IF($L4158="","",INDEX($A$8:$A$5007,$L4158))</f>
        <v/>
      </c>
      <c r="N4158" s="31" t="str">
        <f>IF($L4158="","",INDEX($B$8:$B$5007,$L4158))</f>
        <v/>
      </c>
      <c r="O4158" s="32" t="str">
        <f>IF($M4158="","",IF($K4158-$M4158&gt;7,"",IF($M4158&lt;=$A4158,"",IF(OR($B4158&lt;=0,$N4158&lt;=0),"",($N4158/$B4158)^(365/($M4158-$A4158))-1))))</f>
        <v/>
      </c>
      <c r="P4158" s="31" t="str">
        <f>IF($B4158="","",IF($P4157="",$B4158,MAX($P4157,$B4158)))</f>
        <v/>
      </c>
      <c r="Q4158" s="32" t="str">
        <f>IF($P4158="","",$B4158/$P4158-1)</f>
        <v/>
      </c>
    </row>
    <row r="4159">
      <c r="A4159" s="11" t="n"/>
      <c r="B4159" s="29" t="n"/>
      <c r="K4159" s="30" t="str">
        <f>IF($A4159="","",EDATE($A4159,12*$E$4))</f>
        <v/>
      </c>
      <c r="L4159" s="19" t="str">
        <f>IF($K4159="","",IF($K4159&gt;MAX($A$8:$A$5007),"",IFERROR(MATCH($K4159,$A$8:$A$5007,1),"")))</f>
        <v/>
      </c>
      <c r="M4159" s="30" t="str">
        <f>IF($L4159="","",INDEX($A$8:$A$5007,$L4159))</f>
        <v/>
      </c>
      <c r="N4159" s="31" t="str">
        <f>IF($L4159="","",INDEX($B$8:$B$5007,$L4159))</f>
        <v/>
      </c>
      <c r="O4159" s="32" t="str">
        <f>IF($M4159="","",IF($K4159-$M4159&gt;7,"",IF($M4159&lt;=$A4159,"",IF(OR($B4159&lt;=0,$N4159&lt;=0),"",($N4159/$B4159)^(365/($M4159-$A4159))-1))))</f>
        <v/>
      </c>
      <c r="P4159" s="31" t="str">
        <f>IF($B4159="","",IF($P4158="",$B4159,MAX($P4158,$B4159)))</f>
        <v/>
      </c>
      <c r="Q4159" s="32" t="str">
        <f>IF($P4159="","",$B4159/$P4159-1)</f>
        <v/>
      </c>
    </row>
    <row r="4160">
      <c r="A4160" s="11" t="n"/>
      <c r="B4160" s="29" t="n"/>
      <c r="K4160" s="30" t="str">
        <f>IF($A4160="","",EDATE($A4160,12*$E$4))</f>
        <v/>
      </c>
      <c r="L4160" s="19" t="str">
        <f>IF($K4160="","",IF($K4160&gt;MAX($A$8:$A$5007),"",IFERROR(MATCH($K4160,$A$8:$A$5007,1),"")))</f>
        <v/>
      </c>
      <c r="M4160" s="30" t="str">
        <f>IF($L4160="","",INDEX($A$8:$A$5007,$L4160))</f>
        <v/>
      </c>
      <c r="N4160" s="31" t="str">
        <f>IF($L4160="","",INDEX($B$8:$B$5007,$L4160))</f>
        <v/>
      </c>
      <c r="O4160" s="32" t="str">
        <f>IF($M4160="","",IF($K4160-$M4160&gt;7,"",IF($M4160&lt;=$A4160,"",IF(OR($B4160&lt;=0,$N4160&lt;=0),"",($N4160/$B4160)^(365/($M4160-$A4160))-1))))</f>
        <v/>
      </c>
      <c r="P4160" s="31" t="str">
        <f>IF($B4160="","",IF($P4159="",$B4160,MAX($P4159,$B4160)))</f>
        <v/>
      </c>
      <c r="Q4160" s="32" t="str">
        <f>IF($P4160="","",$B4160/$P4160-1)</f>
        <v/>
      </c>
    </row>
    <row r="4161">
      <c r="A4161" s="11" t="n"/>
      <c r="B4161" s="29" t="n"/>
      <c r="K4161" s="30" t="str">
        <f>IF($A4161="","",EDATE($A4161,12*$E$4))</f>
        <v/>
      </c>
      <c r="L4161" s="19" t="str">
        <f>IF($K4161="","",IF($K4161&gt;MAX($A$8:$A$5007),"",IFERROR(MATCH($K4161,$A$8:$A$5007,1),"")))</f>
        <v/>
      </c>
      <c r="M4161" s="30" t="str">
        <f>IF($L4161="","",INDEX($A$8:$A$5007,$L4161))</f>
        <v/>
      </c>
      <c r="N4161" s="31" t="str">
        <f>IF($L4161="","",INDEX($B$8:$B$5007,$L4161))</f>
        <v/>
      </c>
      <c r="O4161" s="32" t="str">
        <f>IF($M4161="","",IF($K4161-$M4161&gt;7,"",IF($M4161&lt;=$A4161,"",IF(OR($B4161&lt;=0,$N4161&lt;=0),"",($N4161/$B4161)^(365/($M4161-$A4161))-1))))</f>
        <v/>
      </c>
      <c r="P4161" s="31" t="str">
        <f>IF($B4161="","",IF($P4160="",$B4161,MAX($P4160,$B4161)))</f>
        <v/>
      </c>
      <c r="Q4161" s="32" t="str">
        <f>IF($P4161="","",$B4161/$P4161-1)</f>
        <v/>
      </c>
    </row>
    <row r="4162">
      <c r="A4162" s="11" t="n"/>
      <c r="B4162" s="29" t="n"/>
      <c r="K4162" s="30" t="str">
        <f>IF($A4162="","",EDATE($A4162,12*$E$4))</f>
        <v/>
      </c>
      <c r="L4162" s="19" t="str">
        <f>IF($K4162="","",IF($K4162&gt;MAX($A$8:$A$5007),"",IFERROR(MATCH($K4162,$A$8:$A$5007,1),"")))</f>
        <v/>
      </c>
      <c r="M4162" s="30" t="str">
        <f>IF($L4162="","",INDEX($A$8:$A$5007,$L4162))</f>
        <v/>
      </c>
      <c r="N4162" s="31" t="str">
        <f>IF($L4162="","",INDEX($B$8:$B$5007,$L4162))</f>
        <v/>
      </c>
      <c r="O4162" s="32" t="str">
        <f>IF($M4162="","",IF($K4162-$M4162&gt;7,"",IF($M4162&lt;=$A4162,"",IF(OR($B4162&lt;=0,$N4162&lt;=0),"",($N4162/$B4162)^(365/($M4162-$A4162))-1))))</f>
        <v/>
      </c>
      <c r="P4162" s="31" t="str">
        <f>IF($B4162="","",IF($P4161="",$B4162,MAX($P4161,$B4162)))</f>
        <v/>
      </c>
      <c r="Q4162" s="32" t="str">
        <f>IF($P4162="","",$B4162/$P4162-1)</f>
        <v/>
      </c>
    </row>
    <row r="4163">
      <c r="A4163" s="11" t="n"/>
      <c r="B4163" s="29" t="n"/>
      <c r="K4163" s="30" t="str">
        <f>IF($A4163="","",EDATE($A4163,12*$E$4))</f>
        <v/>
      </c>
      <c r="L4163" s="19" t="str">
        <f>IF($K4163="","",IF($K4163&gt;MAX($A$8:$A$5007),"",IFERROR(MATCH($K4163,$A$8:$A$5007,1),"")))</f>
        <v/>
      </c>
      <c r="M4163" s="30" t="str">
        <f>IF($L4163="","",INDEX($A$8:$A$5007,$L4163))</f>
        <v/>
      </c>
      <c r="N4163" s="31" t="str">
        <f>IF($L4163="","",INDEX($B$8:$B$5007,$L4163))</f>
        <v/>
      </c>
      <c r="O4163" s="32" t="str">
        <f>IF($M4163="","",IF($K4163-$M4163&gt;7,"",IF($M4163&lt;=$A4163,"",IF(OR($B4163&lt;=0,$N4163&lt;=0),"",($N4163/$B4163)^(365/($M4163-$A4163))-1))))</f>
        <v/>
      </c>
      <c r="P4163" s="31" t="str">
        <f>IF($B4163="","",IF($P4162="",$B4163,MAX($P4162,$B4163)))</f>
        <v/>
      </c>
      <c r="Q4163" s="32" t="str">
        <f>IF($P4163="","",$B4163/$P4163-1)</f>
        <v/>
      </c>
    </row>
    <row r="4164">
      <c r="A4164" s="11" t="n"/>
      <c r="B4164" s="29" t="n"/>
      <c r="K4164" s="30" t="str">
        <f>IF($A4164="","",EDATE($A4164,12*$E$4))</f>
        <v/>
      </c>
      <c r="L4164" s="19" t="str">
        <f>IF($K4164="","",IF($K4164&gt;MAX($A$8:$A$5007),"",IFERROR(MATCH($K4164,$A$8:$A$5007,1),"")))</f>
        <v/>
      </c>
      <c r="M4164" s="30" t="str">
        <f>IF($L4164="","",INDEX($A$8:$A$5007,$L4164))</f>
        <v/>
      </c>
      <c r="N4164" s="31" t="str">
        <f>IF($L4164="","",INDEX($B$8:$B$5007,$L4164))</f>
        <v/>
      </c>
      <c r="O4164" s="32" t="str">
        <f>IF($M4164="","",IF($K4164-$M4164&gt;7,"",IF($M4164&lt;=$A4164,"",IF(OR($B4164&lt;=0,$N4164&lt;=0),"",($N4164/$B4164)^(365/($M4164-$A4164))-1))))</f>
        <v/>
      </c>
      <c r="P4164" s="31" t="str">
        <f>IF($B4164="","",IF($P4163="",$B4164,MAX($P4163,$B4164)))</f>
        <v/>
      </c>
      <c r="Q4164" s="32" t="str">
        <f>IF($P4164="","",$B4164/$P4164-1)</f>
        <v/>
      </c>
    </row>
    <row r="4165">
      <c r="A4165" s="11" t="n"/>
      <c r="B4165" s="29" t="n"/>
      <c r="K4165" s="30" t="str">
        <f>IF($A4165="","",EDATE($A4165,12*$E$4))</f>
        <v/>
      </c>
      <c r="L4165" s="19" t="str">
        <f>IF($K4165="","",IF($K4165&gt;MAX($A$8:$A$5007),"",IFERROR(MATCH($K4165,$A$8:$A$5007,1),"")))</f>
        <v/>
      </c>
      <c r="M4165" s="30" t="str">
        <f>IF($L4165="","",INDEX($A$8:$A$5007,$L4165))</f>
        <v/>
      </c>
      <c r="N4165" s="31" t="str">
        <f>IF($L4165="","",INDEX($B$8:$B$5007,$L4165))</f>
        <v/>
      </c>
      <c r="O4165" s="32" t="str">
        <f>IF($M4165="","",IF($K4165-$M4165&gt;7,"",IF($M4165&lt;=$A4165,"",IF(OR($B4165&lt;=0,$N4165&lt;=0),"",($N4165/$B4165)^(365/($M4165-$A4165))-1))))</f>
        <v/>
      </c>
      <c r="P4165" s="31" t="str">
        <f>IF($B4165="","",IF($P4164="",$B4165,MAX($P4164,$B4165)))</f>
        <v/>
      </c>
      <c r="Q4165" s="32" t="str">
        <f>IF($P4165="","",$B4165/$P4165-1)</f>
        <v/>
      </c>
    </row>
    <row r="4166">
      <c r="A4166" s="11" t="n"/>
      <c r="B4166" s="29" t="n"/>
      <c r="K4166" s="30" t="str">
        <f>IF($A4166="","",EDATE($A4166,12*$E$4))</f>
        <v/>
      </c>
      <c r="L4166" s="19" t="str">
        <f>IF($K4166="","",IF($K4166&gt;MAX($A$8:$A$5007),"",IFERROR(MATCH($K4166,$A$8:$A$5007,1),"")))</f>
        <v/>
      </c>
      <c r="M4166" s="30" t="str">
        <f>IF($L4166="","",INDEX($A$8:$A$5007,$L4166))</f>
        <v/>
      </c>
      <c r="N4166" s="31" t="str">
        <f>IF($L4166="","",INDEX($B$8:$B$5007,$L4166))</f>
        <v/>
      </c>
      <c r="O4166" s="32" t="str">
        <f>IF($M4166="","",IF($K4166-$M4166&gt;7,"",IF($M4166&lt;=$A4166,"",IF(OR($B4166&lt;=0,$N4166&lt;=0),"",($N4166/$B4166)^(365/($M4166-$A4166))-1))))</f>
        <v/>
      </c>
      <c r="P4166" s="31" t="str">
        <f>IF($B4166="","",IF($P4165="",$B4166,MAX($P4165,$B4166)))</f>
        <v/>
      </c>
      <c r="Q4166" s="32" t="str">
        <f>IF($P4166="","",$B4166/$P4166-1)</f>
        <v/>
      </c>
    </row>
    <row r="4167">
      <c r="A4167" s="11" t="n"/>
      <c r="B4167" s="29" t="n"/>
      <c r="K4167" s="30" t="str">
        <f>IF($A4167="","",EDATE($A4167,12*$E$4))</f>
        <v/>
      </c>
      <c r="L4167" s="19" t="str">
        <f>IF($K4167="","",IF($K4167&gt;MAX($A$8:$A$5007),"",IFERROR(MATCH($K4167,$A$8:$A$5007,1),"")))</f>
        <v/>
      </c>
      <c r="M4167" s="30" t="str">
        <f>IF($L4167="","",INDEX($A$8:$A$5007,$L4167))</f>
        <v/>
      </c>
      <c r="N4167" s="31" t="str">
        <f>IF($L4167="","",INDEX($B$8:$B$5007,$L4167))</f>
        <v/>
      </c>
      <c r="O4167" s="32" t="str">
        <f>IF($M4167="","",IF($K4167-$M4167&gt;7,"",IF($M4167&lt;=$A4167,"",IF(OR($B4167&lt;=0,$N4167&lt;=0),"",($N4167/$B4167)^(365/($M4167-$A4167))-1))))</f>
        <v/>
      </c>
      <c r="P4167" s="31" t="str">
        <f>IF($B4167="","",IF($P4166="",$B4167,MAX($P4166,$B4167)))</f>
        <v/>
      </c>
      <c r="Q4167" s="32" t="str">
        <f>IF($P4167="","",$B4167/$P4167-1)</f>
        <v/>
      </c>
    </row>
    <row r="4168">
      <c r="A4168" s="11" t="n"/>
      <c r="B4168" s="29" t="n"/>
      <c r="K4168" s="30" t="str">
        <f>IF($A4168="","",EDATE($A4168,12*$E$4))</f>
        <v/>
      </c>
      <c r="L4168" s="19" t="str">
        <f>IF($K4168="","",IF($K4168&gt;MAX($A$8:$A$5007),"",IFERROR(MATCH($K4168,$A$8:$A$5007,1),"")))</f>
        <v/>
      </c>
      <c r="M4168" s="30" t="str">
        <f>IF($L4168="","",INDEX($A$8:$A$5007,$L4168))</f>
        <v/>
      </c>
      <c r="N4168" s="31" t="str">
        <f>IF($L4168="","",INDEX($B$8:$B$5007,$L4168))</f>
        <v/>
      </c>
      <c r="O4168" s="32" t="str">
        <f>IF($M4168="","",IF($K4168-$M4168&gt;7,"",IF($M4168&lt;=$A4168,"",IF(OR($B4168&lt;=0,$N4168&lt;=0),"",($N4168/$B4168)^(365/($M4168-$A4168))-1))))</f>
        <v/>
      </c>
      <c r="P4168" s="31" t="str">
        <f>IF($B4168="","",IF($P4167="",$B4168,MAX($P4167,$B4168)))</f>
        <v/>
      </c>
      <c r="Q4168" s="32" t="str">
        <f>IF($P4168="","",$B4168/$P4168-1)</f>
        <v/>
      </c>
    </row>
    <row r="4169">
      <c r="A4169" s="11" t="n"/>
      <c r="B4169" s="29" t="n"/>
      <c r="K4169" s="30" t="str">
        <f>IF($A4169="","",EDATE($A4169,12*$E$4))</f>
        <v/>
      </c>
      <c r="L4169" s="19" t="str">
        <f>IF($K4169="","",IF($K4169&gt;MAX($A$8:$A$5007),"",IFERROR(MATCH($K4169,$A$8:$A$5007,1),"")))</f>
        <v/>
      </c>
      <c r="M4169" s="30" t="str">
        <f>IF($L4169="","",INDEX($A$8:$A$5007,$L4169))</f>
        <v/>
      </c>
      <c r="N4169" s="31" t="str">
        <f>IF($L4169="","",INDEX($B$8:$B$5007,$L4169))</f>
        <v/>
      </c>
      <c r="O4169" s="32" t="str">
        <f>IF($M4169="","",IF($K4169-$M4169&gt;7,"",IF($M4169&lt;=$A4169,"",IF(OR($B4169&lt;=0,$N4169&lt;=0),"",($N4169/$B4169)^(365/($M4169-$A4169))-1))))</f>
        <v/>
      </c>
      <c r="P4169" s="31" t="str">
        <f>IF($B4169="","",IF($P4168="",$B4169,MAX($P4168,$B4169)))</f>
        <v/>
      </c>
      <c r="Q4169" s="32" t="str">
        <f>IF($P4169="","",$B4169/$P4169-1)</f>
        <v/>
      </c>
    </row>
    <row r="4170">
      <c r="A4170" s="11" t="n"/>
      <c r="B4170" s="29" t="n"/>
      <c r="K4170" s="30" t="str">
        <f>IF($A4170="","",EDATE($A4170,12*$E$4))</f>
        <v/>
      </c>
      <c r="L4170" s="19" t="str">
        <f>IF($K4170="","",IF($K4170&gt;MAX($A$8:$A$5007),"",IFERROR(MATCH($K4170,$A$8:$A$5007,1),"")))</f>
        <v/>
      </c>
      <c r="M4170" s="30" t="str">
        <f>IF($L4170="","",INDEX($A$8:$A$5007,$L4170))</f>
        <v/>
      </c>
      <c r="N4170" s="31" t="str">
        <f>IF($L4170="","",INDEX($B$8:$B$5007,$L4170))</f>
        <v/>
      </c>
      <c r="O4170" s="32" t="str">
        <f>IF($M4170="","",IF($K4170-$M4170&gt;7,"",IF($M4170&lt;=$A4170,"",IF(OR($B4170&lt;=0,$N4170&lt;=0),"",($N4170/$B4170)^(365/($M4170-$A4170))-1))))</f>
        <v/>
      </c>
      <c r="P4170" s="31" t="str">
        <f>IF($B4170="","",IF($P4169="",$B4170,MAX($P4169,$B4170)))</f>
        <v/>
      </c>
      <c r="Q4170" s="32" t="str">
        <f>IF($P4170="","",$B4170/$P4170-1)</f>
        <v/>
      </c>
    </row>
    <row r="4171">
      <c r="A4171" s="11" t="n"/>
      <c r="B4171" s="29" t="n"/>
      <c r="K4171" s="30" t="str">
        <f>IF($A4171="","",EDATE($A4171,12*$E$4))</f>
        <v/>
      </c>
      <c r="L4171" s="19" t="str">
        <f>IF($K4171="","",IF($K4171&gt;MAX($A$8:$A$5007),"",IFERROR(MATCH($K4171,$A$8:$A$5007,1),"")))</f>
        <v/>
      </c>
      <c r="M4171" s="30" t="str">
        <f>IF($L4171="","",INDEX($A$8:$A$5007,$L4171))</f>
        <v/>
      </c>
      <c r="N4171" s="31" t="str">
        <f>IF($L4171="","",INDEX($B$8:$B$5007,$L4171))</f>
        <v/>
      </c>
      <c r="O4171" s="32" t="str">
        <f>IF($M4171="","",IF($K4171-$M4171&gt;7,"",IF($M4171&lt;=$A4171,"",IF(OR($B4171&lt;=0,$N4171&lt;=0),"",($N4171/$B4171)^(365/($M4171-$A4171))-1))))</f>
        <v/>
      </c>
      <c r="P4171" s="31" t="str">
        <f>IF($B4171="","",IF($P4170="",$B4171,MAX($P4170,$B4171)))</f>
        <v/>
      </c>
      <c r="Q4171" s="32" t="str">
        <f>IF($P4171="","",$B4171/$P4171-1)</f>
        <v/>
      </c>
    </row>
    <row r="4172">
      <c r="A4172" s="11" t="n"/>
      <c r="B4172" s="29" t="n"/>
      <c r="K4172" s="30" t="str">
        <f>IF($A4172="","",EDATE($A4172,12*$E$4))</f>
        <v/>
      </c>
      <c r="L4172" s="19" t="str">
        <f>IF($K4172="","",IF($K4172&gt;MAX($A$8:$A$5007),"",IFERROR(MATCH($K4172,$A$8:$A$5007,1),"")))</f>
        <v/>
      </c>
      <c r="M4172" s="30" t="str">
        <f>IF($L4172="","",INDEX($A$8:$A$5007,$L4172))</f>
        <v/>
      </c>
      <c r="N4172" s="31" t="str">
        <f>IF($L4172="","",INDEX($B$8:$B$5007,$L4172))</f>
        <v/>
      </c>
      <c r="O4172" s="32" t="str">
        <f>IF($M4172="","",IF($K4172-$M4172&gt;7,"",IF($M4172&lt;=$A4172,"",IF(OR($B4172&lt;=0,$N4172&lt;=0),"",($N4172/$B4172)^(365/($M4172-$A4172))-1))))</f>
        <v/>
      </c>
      <c r="P4172" s="31" t="str">
        <f>IF($B4172="","",IF($P4171="",$B4172,MAX($P4171,$B4172)))</f>
        <v/>
      </c>
      <c r="Q4172" s="32" t="str">
        <f>IF($P4172="","",$B4172/$P4172-1)</f>
        <v/>
      </c>
    </row>
    <row r="4173">
      <c r="A4173" s="11" t="n"/>
      <c r="B4173" s="29" t="n"/>
      <c r="K4173" s="30" t="str">
        <f>IF($A4173="","",EDATE($A4173,12*$E$4))</f>
        <v/>
      </c>
      <c r="L4173" s="19" t="str">
        <f>IF($K4173="","",IF($K4173&gt;MAX($A$8:$A$5007),"",IFERROR(MATCH($K4173,$A$8:$A$5007,1),"")))</f>
        <v/>
      </c>
      <c r="M4173" s="30" t="str">
        <f>IF($L4173="","",INDEX($A$8:$A$5007,$L4173))</f>
        <v/>
      </c>
      <c r="N4173" s="31" t="str">
        <f>IF($L4173="","",INDEX($B$8:$B$5007,$L4173))</f>
        <v/>
      </c>
      <c r="O4173" s="32" t="str">
        <f>IF($M4173="","",IF($K4173-$M4173&gt;7,"",IF($M4173&lt;=$A4173,"",IF(OR($B4173&lt;=0,$N4173&lt;=0),"",($N4173/$B4173)^(365/($M4173-$A4173))-1))))</f>
        <v/>
      </c>
      <c r="P4173" s="31" t="str">
        <f>IF($B4173="","",IF($P4172="",$B4173,MAX($P4172,$B4173)))</f>
        <v/>
      </c>
      <c r="Q4173" s="32" t="str">
        <f>IF($P4173="","",$B4173/$P4173-1)</f>
        <v/>
      </c>
    </row>
    <row r="4174">
      <c r="A4174" s="11" t="n"/>
      <c r="B4174" s="29" t="n"/>
      <c r="K4174" s="30" t="str">
        <f>IF($A4174="","",EDATE($A4174,12*$E$4))</f>
        <v/>
      </c>
      <c r="L4174" s="19" t="str">
        <f>IF($K4174="","",IF($K4174&gt;MAX($A$8:$A$5007),"",IFERROR(MATCH($K4174,$A$8:$A$5007,1),"")))</f>
        <v/>
      </c>
      <c r="M4174" s="30" t="str">
        <f>IF($L4174="","",INDEX($A$8:$A$5007,$L4174))</f>
        <v/>
      </c>
      <c r="N4174" s="31" t="str">
        <f>IF($L4174="","",INDEX($B$8:$B$5007,$L4174))</f>
        <v/>
      </c>
      <c r="O4174" s="32" t="str">
        <f>IF($M4174="","",IF($K4174-$M4174&gt;7,"",IF($M4174&lt;=$A4174,"",IF(OR($B4174&lt;=0,$N4174&lt;=0),"",($N4174/$B4174)^(365/($M4174-$A4174))-1))))</f>
        <v/>
      </c>
      <c r="P4174" s="31" t="str">
        <f>IF($B4174="","",IF($P4173="",$B4174,MAX($P4173,$B4174)))</f>
        <v/>
      </c>
      <c r="Q4174" s="32" t="str">
        <f>IF($P4174="","",$B4174/$P4174-1)</f>
        <v/>
      </c>
    </row>
    <row r="4175">
      <c r="A4175" s="11" t="n"/>
      <c r="B4175" s="29" t="n"/>
      <c r="K4175" s="30" t="str">
        <f>IF($A4175="","",EDATE($A4175,12*$E$4))</f>
        <v/>
      </c>
      <c r="L4175" s="19" t="str">
        <f>IF($K4175="","",IF($K4175&gt;MAX($A$8:$A$5007),"",IFERROR(MATCH($K4175,$A$8:$A$5007,1),"")))</f>
        <v/>
      </c>
      <c r="M4175" s="30" t="str">
        <f>IF($L4175="","",INDEX($A$8:$A$5007,$L4175))</f>
        <v/>
      </c>
      <c r="N4175" s="31" t="str">
        <f>IF($L4175="","",INDEX($B$8:$B$5007,$L4175))</f>
        <v/>
      </c>
      <c r="O4175" s="32" t="str">
        <f>IF($M4175="","",IF($K4175-$M4175&gt;7,"",IF($M4175&lt;=$A4175,"",IF(OR($B4175&lt;=0,$N4175&lt;=0),"",($N4175/$B4175)^(365/($M4175-$A4175))-1))))</f>
        <v/>
      </c>
      <c r="P4175" s="31" t="str">
        <f>IF($B4175="","",IF($P4174="",$B4175,MAX($P4174,$B4175)))</f>
        <v/>
      </c>
      <c r="Q4175" s="32" t="str">
        <f>IF($P4175="","",$B4175/$P4175-1)</f>
        <v/>
      </c>
    </row>
    <row r="4176">
      <c r="A4176" s="11" t="n"/>
      <c r="B4176" s="29" t="n"/>
      <c r="K4176" s="30" t="str">
        <f>IF($A4176="","",EDATE($A4176,12*$E$4))</f>
        <v/>
      </c>
      <c r="L4176" s="19" t="str">
        <f>IF($K4176="","",IF($K4176&gt;MAX($A$8:$A$5007),"",IFERROR(MATCH($K4176,$A$8:$A$5007,1),"")))</f>
        <v/>
      </c>
      <c r="M4176" s="30" t="str">
        <f>IF($L4176="","",INDEX($A$8:$A$5007,$L4176))</f>
        <v/>
      </c>
      <c r="N4176" s="31" t="str">
        <f>IF($L4176="","",INDEX($B$8:$B$5007,$L4176))</f>
        <v/>
      </c>
      <c r="O4176" s="32" t="str">
        <f>IF($M4176="","",IF($K4176-$M4176&gt;7,"",IF($M4176&lt;=$A4176,"",IF(OR($B4176&lt;=0,$N4176&lt;=0),"",($N4176/$B4176)^(365/($M4176-$A4176))-1))))</f>
        <v/>
      </c>
      <c r="P4176" s="31" t="str">
        <f>IF($B4176="","",IF($P4175="",$B4176,MAX($P4175,$B4176)))</f>
        <v/>
      </c>
      <c r="Q4176" s="32" t="str">
        <f>IF($P4176="","",$B4176/$P4176-1)</f>
        <v/>
      </c>
    </row>
    <row r="4177">
      <c r="A4177" s="11" t="n"/>
      <c r="B4177" s="29" t="n"/>
      <c r="K4177" s="30" t="str">
        <f>IF($A4177="","",EDATE($A4177,12*$E$4))</f>
        <v/>
      </c>
      <c r="L4177" s="19" t="str">
        <f>IF($K4177="","",IF($K4177&gt;MAX($A$8:$A$5007),"",IFERROR(MATCH($K4177,$A$8:$A$5007,1),"")))</f>
        <v/>
      </c>
      <c r="M4177" s="30" t="str">
        <f>IF($L4177="","",INDEX($A$8:$A$5007,$L4177))</f>
        <v/>
      </c>
      <c r="N4177" s="31" t="str">
        <f>IF($L4177="","",INDEX($B$8:$B$5007,$L4177))</f>
        <v/>
      </c>
      <c r="O4177" s="32" t="str">
        <f>IF($M4177="","",IF($K4177-$M4177&gt;7,"",IF($M4177&lt;=$A4177,"",IF(OR($B4177&lt;=0,$N4177&lt;=0),"",($N4177/$B4177)^(365/($M4177-$A4177))-1))))</f>
        <v/>
      </c>
      <c r="P4177" s="31" t="str">
        <f>IF($B4177="","",IF($P4176="",$B4177,MAX($P4176,$B4177)))</f>
        <v/>
      </c>
      <c r="Q4177" s="32" t="str">
        <f>IF($P4177="","",$B4177/$P4177-1)</f>
        <v/>
      </c>
    </row>
    <row r="4178">
      <c r="A4178" s="11" t="n"/>
      <c r="B4178" s="29" t="n"/>
      <c r="K4178" s="30" t="str">
        <f>IF($A4178="","",EDATE($A4178,12*$E$4))</f>
        <v/>
      </c>
      <c r="L4178" s="19" t="str">
        <f>IF($K4178="","",IF($K4178&gt;MAX($A$8:$A$5007),"",IFERROR(MATCH($K4178,$A$8:$A$5007,1),"")))</f>
        <v/>
      </c>
      <c r="M4178" s="30" t="str">
        <f>IF($L4178="","",INDEX($A$8:$A$5007,$L4178))</f>
        <v/>
      </c>
      <c r="N4178" s="31" t="str">
        <f>IF($L4178="","",INDEX($B$8:$B$5007,$L4178))</f>
        <v/>
      </c>
      <c r="O4178" s="32" t="str">
        <f>IF($M4178="","",IF($K4178-$M4178&gt;7,"",IF($M4178&lt;=$A4178,"",IF(OR($B4178&lt;=0,$N4178&lt;=0),"",($N4178/$B4178)^(365/($M4178-$A4178))-1))))</f>
        <v/>
      </c>
      <c r="P4178" s="31" t="str">
        <f>IF($B4178="","",IF($P4177="",$B4178,MAX($P4177,$B4178)))</f>
        <v/>
      </c>
      <c r="Q4178" s="32" t="str">
        <f>IF($P4178="","",$B4178/$P4178-1)</f>
        <v/>
      </c>
    </row>
    <row r="4179">
      <c r="A4179" s="11" t="n"/>
      <c r="B4179" s="29" t="n"/>
      <c r="K4179" s="30" t="str">
        <f>IF($A4179="","",EDATE($A4179,12*$E$4))</f>
        <v/>
      </c>
      <c r="L4179" s="19" t="str">
        <f>IF($K4179="","",IF($K4179&gt;MAX($A$8:$A$5007),"",IFERROR(MATCH($K4179,$A$8:$A$5007,1),"")))</f>
        <v/>
      </c>
      <c r="M4179" s="30" t="str">
        <f>IF($L4179="","",INDEX($A$8:$A$5007,$L4179))</f>
        <v/>
      </c>
      <c r="N4179" s="31" t="str">
        <f>IF($L4179="","",INDEX($B$8:$B$5007,$L4179))</f>
        <v/>
      </c>
      <c r="O4179" s="32" t="str">
        <f>IF($M4179="","",IF($K4179-$M4179&gt;7,"",IF($M4179&lt;=$A4179,"",IF(OR($B4179&lt;=0,$N4179&lt;=0),"",($N4179/$B4179)^(365/($M4179-$A4179))-1))))</f>
        <v/>
      </c>
      <c r="P4179" s="31" t="str">
        <f>IF($B4179="","",IF($P4178="",$B4179,MAX($P4178,$B4179)))</f>
        <v/>
      </c>
      <c r="Q4179" s="32" t="str">
        <f>IF($P4179="","",$B4179/$P4179-1)</f>
        <v/>
      </c>
    </row>
    <row r="4180">
      <c r="A4180" s="11" t="n"/>
      <c r="B4180" s="29" t="n"/>
      <c r="K4180" s="30" t="str">
        <f>IF($A4180="","",EDATE($A4180,12*$E$4))</f>
        <v/>
      </c>
      <c r="L4180" s="19" t="str">
        <f>IF($K4180="","",IF($K4180&gt;MAX($A$8:$A$5007),"",IFERROR(MATCH($K4180,$A$8:$A$5007,1),"")))</f>
        <v/>
      </c>
      <c r="M4180" s="30" t="str">
        <f>IF($L4180="","",INDEX($A$8:$A$5007,$L4180))</f>
        <v/>
      </c>
      <c r="N4180" s="31" t="str">
        <f>IF($L4180="","",INDEX($B$8:$B$5007,$L4180))</f>
        <v/>
      </c>
      <c r="O4180" s="32" t="str">
        <f>IF($M4180="","",IF($K4180-$M4180&gt;7,"",IF($M4180&lt;=$A4180,"",IF(OR($B4180&lt;=0,$N4180&lt;=0),"",($N4180/$B4180)^(365/($M4180-$A4180))-1))))</f>
        <v/>
      </c>
      <c r="P4180" s="31" t="str">
        <f>IF($B4180="","",IF($P4179="",$B4180,MAX($P4179,$B4180)))</f>
        <v/>
      </c>
      <c r="Q4180" s="32" t="str">
        <f>IF($P4180="","",$B4180/$P4180-1)</f>
        <v/>
      </c>
    </row>
    <row r="4181">
      <c r="A4181" s="11" t="n"/>
      <c r="B4181" s="29" t="n"/>
      <c r="K4181" s="30" t="str">
        <f>IF($A4181="","",EDATE($A4181,12*$E$4))</f>
        <v/>
      </c>
      <c r="L4181" s="19" t="str">
        <f>IF($K4181="","",IF($K4181&gt;MAX($A$8:$A$5007),"",IFERROR(MATCH($K4181,$A$8:$A$5007,1),"")))</f>
        <v/>
      </c>
      <c r="M4181" s="30" t="str">
        <f>IF($L4181="","",INDEX($A$8:$A$5007,$L4181))</f>
        <v/>
      </c>
      <c r="N4181" s="31" t="str">
        <f>IF($L4181="","",INDEX($B$8:$B$5007,$L4181))</f>
        <v/>
      </c>
      <c r="O4181" s="32" t="str">
        <f>IF($M4181="","",IF($K4181-$M4181&gt;7,"",IF($M4181&lt;=$A4181,"",IF(OR($B4181&lt;=0,$N4181&lt;=0),"",($N4181/$B4181)^(365/($M4181-$A4181))-1))))</f>
        <v/>
      </c>
      <c r="P4181" s="31" t="str">
        <f>IF($B4181="","",IF($P4180="",$B4181,MAX($P4180,$B4181)))</f>
        <v/>
      </c>
      <c r="Q4181" s="32" t="str">
        <f>IF($P4181="","",$B4181/$P4181-1)</f>
        <v/>
      </c>
    </row>
    <row r="4182">
      <c r="A4182" s="11" t="n"/>
      <c r="B4182" s="29" t="n"/>
      <c r="K4182" s="30" t="str">
        <f>IF($A4182="","",EDATE($A4182,12*$E$4))</f>
        <v/>
      </c>
      <c r="L4182" s="19" t="str">
        <f>IF($K4182="","",IF($K4182&gt;MAX($A$8:$A$5007),"",IFERROR(MATCH($K4182,$A$8:$A$5007,1),"")))</f>
        <v/>
      </c>
      <c r="M4182" s="30" t="str">
        <f>IF($L4182="","",INDEX($A$8:$A$5007,$L4182))</f>
        <v/>
      </c>
      <c r="N4182" s="31" t="str">
        <f>IF($L4182="","",INDEX($B$8:$B$5007,$L4182))</f>
        <v/>
      </c>
      <c r="O4182" s="32" t="str">
        <f>IF($M4182="","",IF($K4182-$M4182&gt;7,"",IF($M4182&lt;=$A4182,"",IF(OR($B4182&lt;=0,$N4182&lt;=0),"",($N4182/$B4182)^(365/($M4182-$A4182))-1))))</f>
        <v/>
      </c>
      <c r="P4182" s="31" t="str">
        <f>IF($B4182="","",IF($P4181="",$B4182,MAX($P4181,$B4182)))</f>
        <v/>
      </c>
      <c r="Q4182" s="32" t="str">
        <f>IF($P4182="","",$B4182/$P4182-1)</f>
        <v/>
      </c>
    </row>
    <row r="4183">
      <c r="A4183" s="11" t="n"/>
      <c r="B4183" s="29" t="n"/>
      <c r="K4183" s="30" t="str">
        <f>IF($A4183="","",EDATE($A4183,12*$E$4))</f>
        <v/>
      </c>
      <c r="L4183" s="19" t="str">
        <f>IF($K4183="","",IF($K4183&gt;MAX($A$8:$A$5007),"",IFERROR(MATCH($K4183,$A$8:$A$5007,1),"")))</f>
        <v/>
      </c>
      <c r="M4183" s="30" t="str">
        <f>IF($L4183="","",INDEX($A$8:$A$5007,$L4183))</f>
        <v/>
      </c>
      <c r="N4183" s="31" t="str">
        <f>IF($L4183="","",INDEX($B$8:$B$5007,$L4183))</f>
        <v/>
      </c>
      <c r="O4183" s="32" t="str">
        <f>IF($M4183="","",IF($K4183-$M4183&gt;7,"",IF($M4183&lt;=$A4183,"",IF(OR($B4183&lt;=0,$N4183&lt;=0),"",($N4183/$B4183)^(365/($M4183-$A4183))-1))))</f>
        <v/>
      </c>
      <c r="P4183" s="31" t="str">
        <f>IF($B4183="","",IF($P4182="",$B4183,MAX($P4182,$B4183)))</f>
        <v/>
      </c>
      <c r="Q4183" s="32" t="str">
        <f>IF($P4183="","",$B4183/$P4183-1)</f>
        <v/>
      </c>
    </row>
    <row r="4184">
      <c r="A4184" s="11" t="n"/>
      <c r="B4184" s="29" t="n"/>
      <c r="K4184" s="30" t="str">
        <f>IF($A4184="","",EDATE($A4184,12*$E$4))</f>
        <v/>
      </c>
      <c r="L4184" s="19" t="str">
        <f>IF($K4184="","",IF($K4184&gt;MAX($A$8:$A$5007),"",IFERROR(MATCH($K4184,$A$8:$A$5007,1),"")))</f>
        <v/>
      </c>
      <c r="M4184" s="30" t="str">
        <f>IF($L4184="","",INDEX($A$8:$A$5007,$L4184))</f>
        <v/>
      </c>
      <c r="N4184" s="31" t="str">
        <f>IF($L4184="","",INDEX($B$8:$B$5007,$L4184))</f>
        <v/>
      </c>
      <c r="O4184" s="32" t="str">
        <f>IF($M4184="","",IF($K4184-$M4184&gt;7,"",IF($M4184&lt;=$A4184,"",IF(OR($B4184&lt;=0,$N4184&lt;=0),"",($N4184/$B4184)^(365/($M4184-$A4184))-1))))</f>
        <v/>
      </c>
      <c r="P4184" s="31" t="str">
        <f>IF($B4184="","",IF($P4183="",$B4184,MAX($P4183,$B4184)))</f>
        <v/>
      </c>
      <c r="Q4184" s="32" t="str">
        <f>IF($P4184="","",$B4184/$P4184-1)</f>
        <v/>
      </c>
    </row>
    <row r="4185">
      <c r="A4185" s="11" t="n"/>
      <c r="B4185" s="29" t="n"/>
      <c r="K4185" s="30" t="str">
        <f>IF($A4185="","",EDATE($A4185,12*$E$4))</f>
        <v/>
      </c>
      <c r="L4185" s="19" t="str">
        <f>IF($K4185="","",IF($K4185&gt;MAX($A$8:$A$5007),"",IFERROR(MATCH($K4185,$A$8:$A$5007,1),"")))</f>
        <v/>
      </c>
      <c r="M4185" s="30" t="str">
        <f>IF($L4185="","",INDEX($A$8:$A$5007,$L4185))</f>
        <v/>
      </c>
      <c r="N4185" s="31" t="str">
        <f>IF($L4185="","",INDEX($B$8:$B$5007,$L4185))</f>
        <v/>
      </c>
      <c r="O4185" s="32" t="str">
        <f>IF($M4185="","",IF($K4185-$M4185&gt;7,"",IF($M4185&lt;=$A4185,"",IF(OR($B4185&lt;=0,$N4185&lt;=0),"",($N4185/$B4185)^(365/($M4185-$A4185))-1))))</f>
        <v/>
      </c>
      <c r="P4185" s="31" t="str">
        <f>IF($B4185="","",IF($P4184="",$B4185,MAX($P4184,$B4185)))</f>
        <v/>
      </c>
      <c r="Q4185" s="32" t="str">
        <f>IF($P4185="","",$B4185/$P4185-1)</f>
        <v/>
      </c>
    </row>
    <row r="4186">
      <c r="A4186" s="11" t="n"/>
      <c r="B4186" s="29" t="n"/>
      <c r="K4186" s="30" t="str">
        <f>IF($A4186="","",EDATE($A4186,12*$E$4))</f>
        <v/>
      </c>
      <c r="L4186" s="19" t="str">
        <f>IF($K4186="","",IF($K4186&gt;MAX($A$8:$A$5007),"",IFERROR(MATCH($K4186,$A$8:$A$5007,1),"")))</f>
        <v/>
      </c>
      <c r="M4186" s="30" t="str">
        <f>IF($L4186="","",INDEX($A$8:$A$5007,$L4186))</f>
        <v/>
      </c>
      <c r="N4186" s="31" t="str">
        <f>IF($L4186="","",INDEX($B$8:$B$5007,$L4186))</f>
        <v/>
      </c>
      <c r="O4186" s="32" t="str">
        <f>IF($M4186="","",IF($K4186-$M4186&gt;7,"",IF($M4186&lt;=$A4186,"",IF(OR($B4186&lt;=0,$N4186&lt;=0),"",($N4186/$B4186)^(365/($M4186-$A4186))-1))))</f>
        <v/>
      </c>
      <c r="P4186" s="31" t="str">
        <f>IF($B4186="","",IF($P4185="",$B4186,MAX($P4185,$B4186)))</f>
        <v/>
      </c>
      <c r="Q4186" s="32" t="str">
        <f>IF($P4186="","",$B4186/$P4186-1)</f>
        <v/>
      </c>
    </row>
    <row r="4187">
      <c r="A4187" s="11" t="n"/>
      <c r="B4187" s="29" t="n"/>
      <c r="K4187" s="30" t="str">
        <f>IF($A4187="","",EDATE($A4187,12*$E$4))</f>
        <v/>
      </c>
      <c r="L4187" s="19" t="str">
        <f>IF($K4187="","",IF($K4187&gt;MAX($A$8:$A$5007),"",IFERROR(MATCH($K4187,$A$8:$A$5007,1),"")))</f>
        <v/>
      </c>
      <c r="M4187" s="30" t="str">
        <f>IF($L4187="","",INDEX($A$8:$A$5007,$L4187))</f>
        <v/>
      </c>
      <c r="N4187" s="31" t="str">
        <f>IF($L4187="","",INDEX($B$8:$B$5007,$L4187))</f>
        <v/>
      </c>
      <c r="O4187" s="32" t="str">
        <f>IF($M4187="","",IF($K4187-$M4187&gt;7,"",IF($M4187&lt;=$A4187,"",IF(OR($B4187&lt;=0,$N4187&lt;=0),"",($N4187/$B4187)^(365/($M4187-$A4187))-1))))</f>
        <v/>
      </c>
      <c r="P4187" s="31" t="str">
        <f>IF($B4187="","",IF($P4186="",$B4187,MAX($P4186,$B4187)))</f>
        <v/>
      </c>
      <c r="Q4187" s="32" t="str">
        <f>IF($P4187="","",$B4187/$P4187-1)</f>
        <v/>
      </c>
    </row>
    <row r="4188">
      <c r="A4188" s="11" t="n"/>
      <c r="B4188" s="29" t="n"/>
      <c r="K4188" s="30" t="str">
        <f>IF($A4188="","",EDATE($A4188,12*$E$4))</f>
        <v/>
      </c>
      <c r="L4188" s="19" t="str">
        <f>IF($K4188="","",IF($K4188&gt;MAX($A$8:$A$5007),"",IFERROR(MATCH($K4188,$A$8:$A$5007,1),"")))</f>
        <v/>
      </c>
      <c r="M4188" s="30" t="str">
        <f>IF($L4188="","",INDEX($A$8:$A$5007,$L4188))</f>
        <v/>
      </c>
      <c r="N4188" s="31" t="str">
        <f>IF($L4188="","",INDEX($B$8:$B$5007,$L4188))</f>
        <v/>
      </c>
      <c r="O4188" s="32" t="str">
        <f>IF($M4188="","",IF($K4188-$M4188&gt;7,"",IF($M4188&lt;=$A4188,"",IF(OR($B4188&lt;=0,$N4188&lt;=0),"",($N4188/$B4188)^(365/($M4188-$A4188))-1))))</f>
        <v/>
      </c>
      <c r="P4188" s="31" t="str">
        <f>IF($B4188="","",IF($P4187="",$B4188,MAX($P4187,$B4188)))</f>
        <v/>
      </c>
      <c r="Q4188" s="32" t="str">
        <f>IF($P4188="","",$B4188/$P4188-1)</f>
        <v/>
      </c>
    </row>
    <row r="4189">
      <c r="A4189" s="11" t="n"/>
      <c r="B4189" s="29" t="n"/>
      <c r="K4189" s="30" t="str">
        <f>IF($A4189="","",EDATE($A4189,12*$E$4))</f>
        <v/>
      </c>
      <c r="L4189" s="19" t="str">
        <f>IF($K4189="","",IF($K4189&gt;MAX($A$8:$A$5007),"",IFERROR(MATCH($K4189,$A$8:$A$5007,1),"")))</f>
        <v/>
      </c>
      <c r="M4189" s="30" t="str">
        <f>IF($L4189="","",INDEX($A$8:$A$5007,$L4189))</f>
        <v/>
      </c>
      <c r="N4189" s="31" t="str">
        <f>IF($L4189="","",INDEX($B$8:$B$5007,$L4189))</f>
        <v/>
      </c>
      <c r="O4189" s="32" t="str">
        <f>IF($M4189="","",IF($K4189-$M4189&gt;7,"",IF($M4189&lt;=$A4189,"",IF(OR($B4189&lt;=0,$N4189&lt;=0),"",($N4189/$B4189)^(365/($M4189-$A4189))-1))))</f>
        <v/>
      </c>
      <c r="P4189" s="31" t="str">
        <f>IF($B4189="","",IF($P4188="",$B4189,MAX($P4188,$B4189)))</f>
        <v/>
      </c>
      <c r="Q4189" s="32" t="str">
        <f>IF($P4189="","",$B4189/$P4189-1)</f>
        <v/>
      </c>
    </row>
    <row r="4190">
      <c r="A4190" s="11" t="n"/>
      <c r="B4190" s="29" t="n"/>
      <c r="K4190" s="30" t="str">
        <f>IF($A4190="","",EDATE($A4190,12*$E$4))</f>
        <v/>
      </c>
      <c r="L4190" s="19" t="str">
        <f>IF($K4190="","",IF($K4190&gt;MAX($A$8:$A$5007),"",IFERROR(MATCH($K4190,$A$8:$A$5007,1),"")))</f>
        <v/>
      </c>
      <c r="M4190" s="30" t="str">
        <f>IF($L4190="","",INDEX($A$8:$A$5007,$L4190))</f>
        <v/>
      </c>
      <c r="N4190" s="31" t="str">
        <f>IF($L4190="","",INDEX($B$8:$B$5007,$L4190))</f>
        <v/>
      </c>
      <c r="O4190" s="32" t="str">
        <f>IF($M4190="","",IF($K4190-$M4190&gt;7,"",IF($M4190&lt;=$A4190,"",IF(OR($B4190&lt;=0,$N4190&lt;=0),"",($N4190/$B4190)^(365/($M4190-$A4190))-1))))</f>
        <v/>
      </c>
      <c r="P4190" s="31" t="str">
        <f>IF($B4190="","",IF($P4189="",$B4190,MAX($P4189,$B4190)))</f>
        <v/>
      </c>
      <c r="Q4190" s="32" t="str">
        <f>IF($P4190="","",$B4190/$P4190-1)</f>
        <v/>
      </c>
    </row>
    <row r="4191">
      <c r="A4191" s="11" t="n"/>
      <c r="B4191" s="29" t="n"/>
      <c r="K4191" s="30" t="str">
        <f>IF($A4191="","",EDATE($A4191,12*$E$4))</f>
        <v/>
      </c>
      <c r="L4191" s="19" t="str">
        <f>IF($K4191="","",IF($K4191&gt;MAX($A$8:$A$5007),"",IFERROR(MATCH($K4191,$A$8:$A$5007,1),"")))</f>
        <v/>
      </c>
      <c r="M4191" s="30" t="str">
        <f>IF($L4191="","",INDEX($A$8:$A$5007,$L4191))</f>
        <v/>
      </c>
      <c r="N4191" s="31" t="str">
        <f>IF($L4191="","",INDEX($B$8:$B$5007,$L4191))</f>
        <v/>
      </c>
      <c r="O4191" s="32" t="str">
        <f>IF($M4191="","",IF($K4191-$M4191&gt;7,"",IF($M4191&lt;=$A4191,"",IF(OR($B4191&lt;=0,$N4191&lt;=0),"",($N4191/$B4191)^(365/($M4191-$A4191))-1))))</f>
        <v/>
      </c>
      <c r="P4191" s="31" t="str">
        <f>IF($B4191="","",IF($P4190="",$B4191,MAX($P4190,$B4191)))</f>
        <v/>
      </c>
      <c r="Q4191" s="32" t="str">
        <f>IF($P4191="","",$B4191/$P4191-1)</f>
        <v/>
      </c>
    </row>
    <row r="4192">
      <c r="A4192" s="11" t="n"/>
      <c r="B4192" s="29" t="n"/>
      <c r="K4192" s="30" t="str">
        <f>IF($A4192="","",EDATE($A4192,12*$E$4))</f>
        <v/>
      </c>
      <c r="L4192" s="19" t="str">
        <f>IF($K4192="","",IF($K4192&gt;MAX($A$8:$A$5007),"",IFERROR(MATCH($K4192,$A$8:$A$5007,1),"")))</f>
        <v/>
      </c>
      <c r="M4192" s="30" t="str">
        <f>IF($L4192="","",INDEX($A$8:$A$5007,$L4192))</f>
        <v/>
      </c>
      <c r="N4192" s="31" t="str">
        <f>IF($L4192="","",INDEX($B$8:$B$5007,$L4192))</f>
        <v/>
      </c>
      <c r="O4192" s="32" t="str">
        <f>IF($M4192="","",IF($K4192-$M4192&gt;7,"",IF($M4192&lt;=$A4192,"",IF(OR($B4192&lt;=0,$N4192&lt;=0),"",($N4192/$B4192)^(365/($M4192-$A4192))-1))))</f>
        <v/>
      </c>
      <c r="P4192" s="31" t="str">
        <f>IF($B4192="","",IF($P4191="",$B4192,MAX($P4191,$B4192)))</f>
        <v/>
      </c>
      <c r="Q4192" s="32" t="str">
        <f>IF($P4192="","",$B4192/$P4192-1)</f>
        <v/>
      </c>
    </row>
    <row r="4193">
      <c r="A4193" s="11" t="n"/>
      <c r="B4193" s="29" t="n"/>
      <c r="K4193" s="30" t="str">
        <f>IF($A4193="","",EDATE($A4193,12*$E$4))</f>
        <v/>
      </c>
      <c r="L4193" s="19" t="str">
        <f>IF($K4193="","",IF($K4193&gt;MAX($A$8:$A$5007),"",IFERROR(MATCH($K4193,$A$8:$A$5007,1),"")))</f>
        <v/>
      </c>
      <c r="M4193" s="30" t="str">
        <f>IF($L4193="","",INDEX($A$8:$A$5007,$L4193))</f>
        <v/>
      </c>
      <c r="N4193" s="31" t="str">
        <f>IF($L4193="","",INDEX($B$8:$B$5007,$L4193))</f>
        <v/>
      </c>
      <c r="O4193" s="32" t="str">
        <f>IF($M4193="","",IF($K4193-$M4193&gt;7,"",IF($M4193&lt;=$A4193,"",IF(OR($B4193&lt;=0,$N4193&lt;=0),"",($N4193/$B4193)^(365/($M4193-$A4193))-1))))</f>
        <v/>
      </c>
      <c r="P4193" s="31" t="str">
        <f>IF($B4193="","",IF($P4192="",$B4193,MAX($P4192,$B4193)))</f>
        <v/>
      </c>
      <c r="Q4193" s="32" t="str">
        <f>IF($P4193="","",$B4193/$P4193-1)</f>
        <v/>
      </c>
    </row>
    <row r="4194">
      <c r="A4194" s="11" t="n"/>
      <c r="B4194" s="29" t="n"/>
      <c r="K4194" s="30" t="str">
        <f>IF($A4194="","",EDATE($A4194,12*$E$4))</f>
        <v/>
      </c>
      <c r="L4194" s="19" t="str">
        <f>IF($K4194="","",IF($K4194&gt;MAX($A$8:$A$5007),"",IFERROR(MATCH($K4194,$A$8:$A$5007,1),"")))</f>
        <v/>
      </c>
      <c r="M4194" s="30" t="str">
        <f>IF($L4194="","",INDEX($A$8:$A$5007,$L4194))</f>
        <v/>
      </c>
      <c r="N4194" s="31" t="str">
        <f>IF($L4194="","",INDEX($B$8:$B$5007,$L4194))</f>
        <v/>
      </c>
      <c r="O4194" s="32" t="str">
        <f>IF($M4194="","",IF($K4194-$M4194&gt;7,"",IF($M4194&lt;=$A4194,"",IF(OR($B4194&lt;=0,$N4194&lt;=0),"",($N4194/$B4194)^(365/($M4194-$A4194))-1))))</f>
        <v/>
      </c>
      <c r="P4194" s="31" t="str">
        <f>IF($B4194="","",IF($P4193="",$B4194,MAX($P4193,$B4194)))</f>
        <v/>
      </c>
      <c r="Q4194" s="32" t="str">
        <f>IF($P4194="","",$B4194/$P4194-1)</f>
        <v/>
      </c>
    </row>
    <row r="4195">
      <c r="A4195" s="11" t="n"/>
      <c r="B4195" s="29" t="n"/>
      <c r="K4195" s="30" t="str">
        <f>IF($A4195="","",EDATE($A4195,12*$E$4))</f>
        <v/>
      </c>
      <c r="L4195" s="19" t="str">
        <f>IF($K4195="","",IF($K4195&gt;MAX($A$8:$A$5007),"",IFERROR(MATCH($K4195,$A$8:$A$5007,1),"")))</f>
        <v/>
      </c>
      <c r="M4195" s="30" t="str">
        <f>IF($L4195="","",INDEX($A$8:$A$5007,$L4195))</f>
        <v/>
      </c>
      <c r="N4195" s="31" t="str">
        <f>IF($L4195="","",INDEX($B$8:$B$5007,$L4195))</f>
        <v/>
      </c>
      <c r="O4195" s="32" t="str">
        <f>IF($M4195="","",IF($K4195-$M4195&gt;7,"",IF($M4195&lt;=$A4195,"",IF(OR($B4195&lt;=0,$N4195&lt;=0),"",($N4195/$B4195)^(365/($M4195-$A4195))-1))))</f>
        <v/>
      </c>
      <c r="P4195" s="31" t="str">
        <f>IF($B4195="","",IF($P4194="",$B4195,MAX($P4194,$B4195)))</f>
        <v/>
      </c>
      <c r="Q4195" s="32" t="str">
        <f>IF($P4195="","",$B4195/$P4195-1)</f>
        <v/>
      </c>
    </row>
    <row r="4196">
      <c r="A4196" s="11" t="n"/>
      <c r="B4196" s="29" t="n"/>
      <c r="K4196" s="30" t="str">
        <f>IF($A4196="","",EDATE($A4196,12*$E$4))</f>
        <v/>
      </c>
      <c r="L4196" s="19" t="str">
        <f>IF($K4196="","",IF($K4196&gt;MAX($A$8:$A$5007),"",IFERROR(MATCH($K4196,$A$8:$A$5007,1),"")))</f>
        <v/>
      </c>
      <c r="M4196" s="30" t="str">
        <f>IF($L4196="","",INDEX($A$8:$A$5007,$L4196))</f>
        <v/>
      </c>
      <c r="N4196" s="31" t="str">
        <f>IF($L4196="","",INDEX($B$8:$B$5007,$L4196))</f>
        <v/>
      </c>
      <c r="O4196" s="32" t="str">
        <f>IF($M4196="","",IF($K4196-$M4196&gt;7,"",IF($M4196&lt;=$A4196,"",IF(OR($B4196&lt;=0,$N4196&lt;=0),"",($N4196/$B4196)^(365/($M4196-$A4196))-1))))</f>
        <v/>
      </c>
      <c r="P4196" s="31" t="str">
        <f>IF($B4196="","",IF($P4195="",$B4196,MAX($P4195,$B4196)))</f>
        <v/>
      </c>
      <c r="Q4196" s="32" t="str">
        <f>IF($P4196="","",$B4196/$P4196-1)</f>
        <v/>
      </c>
    </row>
    <row r="4197">
      <c r="A4197" s="11" t="n"/>
      <c r="B4197" s="29" t="n"/>
      <c r="K4197" s="30" t="str">
        <f>IF($A4197="","",EDATE($A4197,12*$E$4))</f>
        <v/>
      </c>
      <c r="L4197" s="19" t="str">
        <f>IF($K4197="","",IF($K4197&gt;MAX($A$8:$A$5007),"",IFERROR(MATCH($K4197,$A$8:$A$5007,1),"")))</f>
        <v/>
      </c>
      <c r="M4197" s="30" t="str">
        <f>IF($L4197="","",INDEX($A$8:$A$5007,$L4197))</f>
        <v/>
      </c>
      <c r="N4197" s="31" t="str">
        <f>IF($L4197="","",INDEX($B$8:$B$5007,$L4197))</f>
        <v/>
      </c>
      <c r="O4197" s="32" t="str">
        <f>IF($M4197="","",IF($K4197-$M4197&gt;7,"",IF($M4197&lt;=$A4197,"",IF(OR($B4197&lt;=0,$N4197&lt;=0),"",($N4197/$B4197)^(365/($M4197-$A4197))-1))))</f>
        <v/>
      </c>
      <c r="P4197" s="31" t="str">
        <f>IF($B4197="","",IF($P4196="",$B4197,MAX($P4196,$B4197)))</f>
        <v/>
      </c>
      <c r="Q4197" s="32" t="str">
        <f>IF($P4197="","",$B4197/$P4197-1)</f>
        <v/>
      </c>
    </row>
    <row r="4198">
      <c r="A4198" s="11" t="n"/>
      <c r="B4198" s="29" t="n"/>
      <c r="K4198" s="30" t="str">
        <f>IF($A4198="","",EDATE($A4198,12*$E$4))</f>
        <v/>
      </c>
      <c r="L4198" s="19" t="str">
        <f>IF($K4198="","",IF($K4198&gt;MAX($A$8:$A$5007),"",IFERROR(MATCH($K4198,$A$8:$A$5007,1),"")))</f>
        <v/>
      </c>
      <c r="M4198" s="30" t="str">
        <f>IF($L4198="","",INDEX($A$8:$A$5007,$L4198))</f>
        <v/>
      </c>
      <c r="N4198" s="31" t="str">
        <f>IF($L4198="","",INDEX($B$8:$B$5007,$L4198))</f>
        <v/>
      </c>
      <c r="O4198" s="32" t="str">
        <f>IF($M4198="","",IF($K4198-$M4198&gt;7,"",IF($M4198&lt;=$A4198,"",IF(OR($B4198&lt;=0,$N4198&lt;=0),"",($N4198/$B4198)^(365/($M4198-$A4198))-1))))</f>
        <v/>
      </c>
      <c r="P4198" s="31" t="str">
        <f>IF($B4198="","",IF($P4197="",$B4198,MAX($P4197,$B4198)))</f>
        <v/>
      </c>
      <c r="Q4198" s="32" t="str">
        <f>IF($P4198="","",$B4198/$P4198-1)</f>
        <v/>
      </c>
    </row>
    <row r="4199">
      <c r="A4199" s="11" t="n"/>
      <c r="B4199" s="29" t="n"/>
      <c r="K4199" s="30" t="str">
        <f>IF($A4199="","",EDATE($A4199,12*$E$4))</f>
        <v/>
      </c>
      <c r="L4199" s="19" t="str">
        <f>IF($K4199="","",IF($K4199&gt;MAX($A$8:$A$5007),"",IFERROR(MATCH($K4199,$A$8:$A$5007,1),"")))</f>
        <v/>
      </c>
      <c r="M4199" s="30" t="str">
        <f>IF($L4199="","",INDEX($A$8:$A$5007,$L4199))</f>
        <v/>
      </c>
      <c r="N4199" s="31" t="str">
        <f>IF($L4199="","",INDEX($B$8:$B$5007,$L4199))</f>
        <v/>
      </c>
      <c r="O4199" s="32" t="str">
        <f>IF($M4199="","",IF($K4199-$M4199&gt;7,"",IF($M4199&lt;=$A4199,"",IF(OR($B4199&lt;=0,$N4199&lt;=0),"",($N4199/$B4199)^(365/($M4199-$A4199))-1))))</f>
        <v/>
      </c>
      <c r="P4199" s="31" t="str">
        <f>IF($B4199="","",IF($P4198="",$B4199,MAX($P4198,$B4199)))</f>
        <v/>
      </c>
      <c r="Q4199" s="32" t="str">
        <f>IF($P4199="","",$B4199/$P4199-1)</f>
        <v/>
      </c>
    </row>
    <row r="4200">
      <c r="A4200" s="11" t="n"/>
      <c r="B4200" s="29" t="n"/>
      <c r="K4200" s="30" t="str">
        <f>IF($A4200="","",EDATE($A4200,12*$E$4))</f>
        <v/>
      </c>
      <c r="L4200" s="19" t="str">
        <f>IF($K4200="","",IF($K4200&gt;MAX($A$8:$A$5007),"",IFERROR(MATCH($K4200,$A$8:$A$5007,1),"")))</f>
        <v/>
      </c>
      <c r="M4200" s="30" t="str">
        <f>IF($L4200="","",INDEX($A$8:$A$5007,$L4200))</f>
        <v/>
      </c>
      <c r="N4200" s="31" t="str">
        <f>IF($L4200="","",INDEX($B$8:$B$5007,$L4200))</f>
        <v/>
      </c>
      <c r="O4200" s="32" t="str">
        <f>IF($M4200="","",IF($K4200-$M4200&gt;7,"",IF($M4200&lt;=$A4200,"",IF(OR($B4200&lt;=0,$N4200&lt;=0),"",($N4200/$B4200)^(365/($M4200-$A4200))-1))))</f>
        <v/>
      </c>
      <c r="P4200" s="31" t="str">
        <f>IF($B4200="","",IF($P4199="",$B4200,MAX($P4199,$B4200)))</f>
        <v/>
      </c>
      <c r="Q4200" s="32" t="str">
        <f>IF($P4200="","",$B4200/$P4200-1)</f>
        <v/>
      </c>
    </row>
    <row r="4201">
      <c r="A4201" s="11" t="n"/>
      <c r="B4201" s="29" t="n"/>
      <c r="K4201" s="30" t="str">
        <f>IF($A4201="","",EDATE($A4201,12*$E$4))</f>
        <v/>
      </c>
      <c r="L4201" s="19" t="str">
        <f>IF($K4201="","",IF($K4201&gt;MAX($A$8:$A$5007),"",IFERROR(MATCH($K4201,$A$8:$A$5007,1),"")))</f>
        <v/>
      </c>
      <c r="M4201" s="30" t="str">
        <f>IF($L4201="","",INDEX($A$8:$A$5007,$L4201))</f>
        <v/>
      </c>
      <c r="N4201" s="31" t="str">
        <f>IF($L4201="","",INDEX($B$8:$B$5007,$L4201))</f>
        <v/>
      </c>
      <c r="O4201" s="32" t="str">
        <f>IF($M4201="","",IF($K4201-$M4201&gt;7,"",IF($M4201&lt;=$A4201,"",IF(OR($B4201&lt;=0,$N4201&lt;=0),"",($N4201/$B4201)^(365/($M4201-$A4201))-1))))</f>
        <v/>
      </c>
      <c r="P4201" s="31" t="str">
        <f>IF($B4201="","",IF($P4200="",$B4201,MAX($P4200,$B4201)))</f>
        <v/>
      </c>
      <c r="Q4201" s="32" t="str">
        <f>IF($P4201="","",$B4201/$P4201-1)</f>
        <v/>
      </c>
    </row>
    <row r="4202">
      <c r="A4202" s="11" t="n"/>
      <c r="B4202" s="29" t="n"/>
      <c r="K4202" s="30" t="str">
        <f>IF($A4202="","",EDATE($A4202,12*$E$4))</f>
        <v/>
      </c>
      <c r="L4202" s="19" t="str">
        <f>IF($K4202="","",IF($K4202&gt;MAX($A$8:$A$5007),"",IFERROR(MATCH($K4202,$A$8:$A$5007,1),"")))</f>
        <v/>
      </c>
      <c r="M4202" s="30" t="str">
        <f>IF($L4202="","",INDEX($A$8:$A$5007,$L4202))</f>
        <v/>
      </c>
      <c r="N4202" s="31" t="str">
        <f>IF($L4202="","",INDEX($B$8:$B$5007,$L4202))</f>
        <v/>
      </c>
      <c r="O4202" s="32" t="str">
        <f>IF($M4202="","",IF($K4202-$M4202&gt;7,"",IF($M4202&lt;=$A4202,"",IF(OR($B4202&lt;=0,$N4202&lt;=0),"",($N4202/$B4202)^(365/($M4202-$A4202))-1))))</f>
        <v/>
      </c>
      <c r="P4202" s="31" t="str">
        <f>IF($B4202="","",IF($P4201="",$B4202,MAX($P4201,$B4202)))</f>
        <v/>
      </c>
      <c r="Q4202" s="32" t="str">
        <f>IF($P4202="","",$B4202/$P4202-1)</f>
        <v/>
      </c>
    </row>
    <row r="4203">
      <c r="A4203" s="11" t="n"/>
      <c r="B4203" s="29" t="n"/>
      <c r="K4203" s="30" t="str">
        <f>IF($A4203="","",EDATE($A4203,12*$E$4))</f>
        <v/>
      </c>
      <c r="L4203" s="19" t="str">
        <f>IF($K4203="","",IF($K4203&gt;MAX($A$8:$A$5007),"",IFERROR(MATCH($K4203,$A$8:$A$5007,1),"")))</f>
        <v/>
      </c>
      <c r="M4203" s="30" t="str">
        <f>IF($L4203="","",INDEX($A$8:$A$5007,$L4203))</f>
        <v/>
      </c>
      <c r="N4203" s="31" t="str">
        <f>IF($L4203="","",INDEX($B$8:$B$5007,$L4203))</f>
        <v/>
      </c>
      <c r="O4203" s="32" t="str">
        <f>IF($M4203="","",IF($K4203-$M4203&gt;7,"",IF($M4203&lt;=$A4203,"",IF(OR($B4203&lt;=0,$N4203&lt;=0),"",($N4203/$B4203)^(365/($M4203-$A4203))-1))))</f>
        <v/>
      </c>
      <c r="P4203" s="31" t="str">
        <f>IF($B4203="","",IF($P4202="",$B4203,MAX($P4202,$B4203)))</f>
        <v/>
      </c>
      <c r="Q4203" s="32" t="str">
        <f>IF($P4203="","",$B4203/$P4203-1)</f>
        <v/>
      </c>
    </row>
    <row r="4204">
      <c r="A4204" s="11" t="n"/>
      <c r="B4204" s="29" t="n"/>
      <c r="K4204" s="30" t="str">
        <f>IF($A4204="","",EDATE($A4204,12*$E$4))</f>
        <v/>
      </c>
      <c r="L4204" s="19" t="str">
        <f>IF($K4204="","",IF($K4204&gt;MAX($A$8:$A$5007),"",IFERROR(MATCH($K4204,$A$8:$A$5007,1),"")))</f>
        <v/>
      </c>
      <c r="M4204" s="30" t="str">
        <f>IF($L4204="","",INDEX($A$8:$A$5007,$L4204))</f>
        <v/>
      </c>
      <c r="N4204" s="31" t="str">
        <f>IF($L4204="","",INDEX($B$8:$B$5007,$L4204))</f>
        <v/>
      </c>
      <c r="O4204" s="32" t="str">
        <f>IF($M4204="","",IF($K4204-$M4204&gt;7,"",IF($M4204&lt;=$A4204,"",IF(OR($B4204&lt;=0,$N4204&lt;=0),"",($N4204/$B4204)^(365/($M4204-$A4204))-1))))</f>
        <v/>
      </c>
      <c r="P4204" s="31" t="str">
        <f>IF($B4204="","",IF($P4203="",$B4204,MAX($P4203,$B4204)))</f>
        <v/>
      </c>
      <c r="Q4204" s="32" t="str">
        <f>IF($P4204="","",$B4204/$P4204-1)</f>
        <v/>
      </c>
    </row>
    <row r="4205">
      <c r="A4205" s="11" t="n"/>
      <c r="B4205" s="29" t="n"/>
      <c r="K4205" s="30" t="str">
        <f>IF($A4205="","",EDATE($A4205,12*$E$4))</f>
        <v/>
      </c>
      <c r="L4205" s="19" t="str">
        <f>IF($K4205="","",IF($K4205&gt;MAX($A$8:$A$5007),"",IFERROR(MATCH($K4205,$A$8:$A$5007,1),"")))</f>
        <v/>
      </c>
      <c r="M4205" s="30" t="str">
        <f>IF($L4205="","",INDEX($A$8:$A$5007,$L4205))</f>
        <v/>
      </c>
      <c r="N4205" s="31" t="str">
        <f>IF($L4205="","",INDEX($B$8:$B$5007,$L4205))</f>
        <v/>
      </c>
      <c r="O4205" s="32" t="str">
        <f>IF($M4205="","",IF($K4205-$M4205&gt;7,"",IF($M4205&lt;=$A4205,"",IF(OR($B4205&lt;=0,$N4205&lt;=0),"",($N4205/$B4205)^(365/($M4205-$A4205))-1))))</f>
        <v/>
      </c>
      <c r="P4205" s="31" t="str">
        <f>IF($B4205="","",IF($P4204="",$B4205,MAX($P4204,$B4205)))</f>
        <v/>
      </c>
      <c r="Q4205" s="32" t="str">
        <f>IF($P4205="","",$B4205/$P4205-1)</f>
        <v/>
      </c>
    </row>
    <row r="4206">
      <c r="A4206" s="11" t="n"/>
      <c r="B4206" s="29" t="n"/>
      <c r="K4206" s="30" t="str">
        <f>IF($A4206="","",EDATE($A4206,12*$E$4))</f>
        <v/>
      </c>
      <c r="L4206" s="19" t="str">
        <f>IF($K4206="","",IF($K4206&gt;MAX($A$8:$A$5007),"",IFERROR(MATCH($K4206,$A$8:$A$5007,1),"")))</f>
        <v/>
      </c>
      <c r="M4206" s="30" t="str">
        <f>IF($L4206="","",INDEX($A$8:$A$5007,$L4206))</f>
        <v/>
      </c>
      <c r="N4206" s="31" t="str">
        <f>IF($L4206="","",INDEX($B$8:$B$5007,$L4206))</f>
        <v/>
      </c>
      <c r="O4206" s="32" t="str">
        <f>IF($M4206="","",IF($K4206-$M4206&gt;7,"",IF($M4206&lt;=$A4206,"",IF(OR($B4206&lt;=0,$N4206&lt;=0),"",($N4206/$B4206)^(365/($M4206-$A4206))-1))))</f>
        <v/>
      </c>
      <c r="P4206" s="31" t="str">
        <f>IF($B4206="","",IF($P4205="",$B4206,MAX($P4205,$B4206)))</f>
        <v/>
      </c>
      <c r="Q4206" s="32" t="str">
        <f>IF($P4206="","",$B4206/$P4206-1)</f>
        <v/>
      </c>
    </row>
    <row r="4207">
      <c r="A4207" s="11" t="n"/>
      <c r="B4207" s="29" t="n"/>
      <c r="K4207" s="30" t="str">
        <f>IF($A4207="","",EDATE($A4207,12*$E$4))</f>
        <v/>
      </c>
      <c r="L4207" s="19" t="str">
        <f>IF($K4207="","",IF($K4207&gt;MAX($A$8:$A$5007),"",IFERROR(MATCH($K4207,$A$8:$A$5007,1),"")))</f>
        <v/>
      </c>
      <c r="M4207" s="30" t="str">
        <f>IF($L4207="","",INDEX($A$8:$A$5007,$L4207))</f>
        <v/>
      </c>
      <c r="N4207" s="31" t="str">
        <f>IF($L4207="","",INDEX($B$8:$B$5007,$L4207))</f>
        <v/>
      </c>
      <c r="O4207" s="32" t="str">
        <f>IF($M4207="","",IF($K4207-$M4207&gt;7,"",IF($M4207&lt;=$A4207,"",IF(OR($B4207&lt;=0,$N4207&lt;=0),"",($N4207/$B4207)^(365/($M4207-$A4207))-1))))</f>
        <v/>
      </c>
      <c r="P4207" s="31" t="str">
        <f>IF($B4207="","",IF($P4206="",$B4207,MAX($P4206,$B4207)))</f>
        <v/>
      </c>
      <c r="Q4207" s="32" t="str">
        <f>IF($P4207="","",$B4207/$P4207-1)</f>
        <v/>
      </c>
    </row>
    <row r="4208">
      <c r="A4208" s="11" t="n"/>
      <c r="B4208" s="29" t="n"/>
      <c r="K4208" s="30" t="str">
        <f>IF($A4208="","",EDATE($A4208,12*$E$4))</f>
        <v/>
      </c>
      <c r="L4208" s="19" t="str">
        <f>IF($K4208="","",IF($K4208&gt;MAX($A$8:$A$5007),"",IFERROR(MATCH($K4208,$A$8:$A$5007,1),"")))</f>
        <v/>
      </c>
      <c r="M4208" s="30" t="str">
        <f>IF($L4208="","",INDEX($A$8:$A$5007,$L4208))</f>
        <v/>
      </c>
      <c r="N4208" s="31" t="str">
        <f>IF($L4208="","",INDEX($B$8:$B$5007,$L4208))</f>
        <v/>
      </c>
      <c r="O4208" s="32" t="str">
        <f>IF($M4208="","",IF($K4208-$M4208&gt;7,"",IF($M4208&lt;=$A4208,"",IF(OR($B4208&lt;=0,$N4208&lt;=0),"",($N4208/$B4208)^(365/($M4208-$A4208))-1))))</f>
        <v/>
      </c>
      <c r="P4208" s="31" t="str">
        <f>IF($B4208="","",IF($P4207="",$B4208,MAX($P4207,$B4208)))</f>
        <v/>
      </c>
      <c r="Q4208" s="32" t="str">
        <f>IF($P4208="","",$B4208/$P4208-1)</f>
        <v/>
      </c>
    </row>
    <row r="4209">
      <c r="A4209" s="11" t="n"/>
      <c r="B4209" s="29" t="n"/>
      <c r="K4209" s="30" t="str">
        <f>IF($A4209="","",EDATE($A4209,12*$E$4))</f>
        <v/>
      </c>
      <c r="L4209" s="19" t="str">
        <f>IF($K4209="","",IF($K4209&gt;MAX($A$8:$A$5007),"",IFERROR(MATCH($K4209,$A$8:$A$5007,1),"")))</f>
        <v/>
      </c>
      <c r="M4209" s="30" t="str">
        <f>IF($L4209="","",INDEX($A$8:$A$5007,$L4209))</f>
        <v/>
      </c>
      <c r="N4209" s="31" t="str">
        <f>IF($L4209="","",INDEX($B$8:$B$5007,$L4209))</f>
        <v/>
      </c>
      <c r="O4209" s="32" t="str">
        <f>IF($M4209="","",IF($K4209-$M4209&gt;7,"",IF($M4209&lt;=$A4209,"",IF(OR($B4209&lt;=0,$N4209&lt;=0),"",($N4209/$B4209)^(365/($M4209-$A4209))-1))))</f>
        <v/>
      </c>
      <c r="P4209" s="31" t="str">
        <f>IF($B4209="","",IF($P4208="",$B4209,MAX($P4208,$B4209)))</f>
        <v/>
      </c>
      <c r="Q4209" s="32" t="str">
        <f>IF($P4209="","",$B4209/$P4209-1)</f>
        <v/>
      </c>
    </row>
    <row r="4210">
      <c r="A4210" s="11" t="n"/>
      <c r="B4210" s="29" t="n"/>
      <c r="K4210" s="30" t="str">
        <f>IF($A4210="","",EDATE($A4210,12*$E$4))</f>
        <v/>
      </c>
      <c r="L4210" s="19" t="str">
        <f>IF($K4210="","",IF($K4210&gt;MAX($A$8:$A$5007),"",IFERROR(MATCH($K4210,$A$8:$A$5007,1),"")))</f>
        <v/>
      </c>
      <c r="M4210" s="30" t="str">
        <f>IF($L4210="","",INDEX($A$8:$A$5007,$L4210))</f>
        <v/>
      </c>
      <c r="N4210" s="31" t="str">
        <f>IF($L4210="","",INDEX($B$8:$B$5007,$L4210))</f>
        <v/>
      </c>
      <c r="O4210" s="32" t="str">
        <f>IF($M4210="","",IF($K4210-$M4210&gt;7,"",IF($M4210&lt;=$A4210,"",IF(OR($B4210&lt;=0,$N4210&lt;=0),"",($N4210/$B4210)^(365/($M4210-$A4210))-1))))</f>
        <v/>
      </c>
      <c r="P4210" s="31" t="str">
        <f>IF($B4210="","",IF($P4209="",$B4210,MAX($P4209,$B4210)))</f>
        <v/>
      </c>
      <c r="Q4210" s="32" t="str">
        <f>IF($P4210="","",$B4210/$P4210-1)</f>
        <v/>
      </c>
    </row>
    <row r="4211">
      <c r="A4211" s="11" t="n"/>
      <c r="B4211" s="29" t="n"/>
      <c r="K4211" s="30" t="str">
        <f>IF($A4211="","",EDATE($A4211,12*$E$4))</f>
        <v/>
      </c>
      <c r="L4211" s="19" t="str">
        <f>IF($K4211="","",IF($K4211&gt;MAX($A$8:$A$5007),"",IFERROR(MATCH($K4211,$A$8:$A$5007,1),"")))</f>
        <v/>
      </c>
      <c r="M4211" s="30" t="str">
        <f>IF($L4211="","",INDEX($A$8:$A$5007,$L4211))</f>
        <v/>
      </c>
      <c r="N4211" s="31" t="str">
        <f>IF($L4211="","",INDEX($B$8:$B$5007,$L4211))</f>
        <v/>
      </c>
      <c r="O4211" s="32" t="str">
        <f>IF($M4211="","",IF($K4211-$M4211&gt;7,"",IF($M4211&lt;=$A4211,"",IF(OR($B4211&lt;=0,$N4211&lt;=0),"",($N4211/$B4211)^(365/($M4211-$A4211))-1))))</f>
        <v/>
      </c>
      <c r="P4211" s="31" t="str">
        <f>IF($B4211="","",IF($P4210="",$B4211,MAX($P4210,$B4211)))</f>
        <v/>
      </c>
      <c r="Q4211" s="32" t="str">
        <f>IF($P4211="","",$B4211/$P4211-1)</f>
        <v/>
      </c>
    </row>
    <row r="4212">
      <c r="A4212" s="11" t="n"/>
      <c r="B4212" s="29" t="n"/>
      <c r="K4212" s="30" t="str">
        <f>IF($A4212="","",EDATE($A4212,12*$E$4))</f>
        <v/>
      </c>
      <c r="L4212" s="19" t="str">
        <f>IF($K4212="","",IF($K4212&gt;MAX($A$8:$A$5007),"",IFERROR(MATCH($K4212,$A$8:$A$5007,1),"")))</f>
        <v/>
      </c>
      <c r="M4212" s="30" t="str">
        <f>IF($L4212="","",INDEX($A$8:$A$5007,$L4212))</f>
        <v/>
      </c>
      <c r="N4212" s="31" t="str">
        <f>IF($L4212="","",INDEX($B$8:$B$5007,$L4212))</f>
        <v/>
      </c>
      <c r="O4212" s="32" t="str">
        <f>IF($M4212="","",IF($K4212-$M4212&gt;7,"",IF($M4212&lt;=$A4212,"",IF(OR($B4212&lt;=0,$N4212&lt;=0),"",($N4212/$B4212)^(365/($M4212-$A4212))-1))))</f>
        <v/>
      </c>
      <c r="P4212" s="31" t="str">
        <f>IF($B4212="","",IF($P4211="",$B4212,MAX($P4211,$B4212)))</f>
        <v/>
      </c>
      <c r="Q4212" s="32" t="str">
        <f>IF($P4212="","",$B4212/$P4212-1)</f>
        <v/>
      </c>
    </row>
    <row r="4213">
      <c r="A4213" s="11" t="n"/>
      <c r="B4213" s="29" t="n"/>
      <c r="K4213" s="30" t="str">
        <f>IF($A4213="","",EDATE($A4213,12*$E$4))</f>
        <v/>
      </c>
      <c r="L4213" s="19" t="str">
        <f>IF($K4213="","",IF($K4213&gt;MAX($A$8:$A$5007),"",IFERROR(MATCH($K4213,$A$8:$A$5007,1),"")))</f>
        <v/>
      </c>
      <c r="M4213" s="30" t="str">
        <f>IF($L4213="","",INDEX($A$8:$A$5007,$L4213))</f>
        <v/>
      </c>
      <c r="N4213" s="31" t="str">
        <f>IF($L4213="","",INDEX($B$8:$B$5007,$L4213))</f>
        <v/>
      </c>
      <c r="O4213" s="32" t="str">
        <f>IF($M4213="","",IF($K4213-$M4213&gt;7,"",IF($M4213&lt;=$A4213,"",IF(OR($B4213&lt;=0,$N4213&lt;=0),"",($N4213/$B4213)^(365/($M4213-$A4213))-1))))</f>
        <v/>
      </c>
      <c r="P4213" s="31" t="str">
        <f>IF($B4213="","",IF($P4212="",$B4213,MAX($P4212,$B4213)))</f>
        <v/>
      </c>
      <c r="Q4213" s="32" t="str">
        <f>IF($P4213="","",$B4213/$P4213-1)</f>
        <v/>
      </c>
    </row>
    <row r="4214">
      <c r="A4214" s="11" t="n"/>
      <c r="B4214" s="29" t="n"/>
      <c r="K4214" s="30" t="str">
        <f>IF($A4214="","",EDATE($A4214,12*$E$4))</f>
        <v/>
      </c>
      <c r="L4214" s="19" t="str">
        <f>IF($K4214="","",IF($K4214&gt;MAX($A$8:$A$5007),"",IFERROR(MATCH($K4214,$A$8:$A$5007,1),"")))</f>
        <v/>
      </c>
      <c r="M4214" s="30" t="str">
        <f>IF($L4214="","",INDEX($A$8:$A$5007,$L4214))</f>
        <v/>
      </c>
      <c r="N4214" s="31" t="str">
        <f>IF($L4214="","",INDEX($B$8:$B$5007,$L4214))</f>
        <v/>
      </c>
      <c r="O4214" s="32" t="str">
        <f>IF($M4214="","",IF($K4214-$M4214&gt;7,"",IF($M4214&lt;=$A4214,"",IF(OR($B4214&lt;=0,$N4214&lt;=0),"",($N4214/$B4214)^(365/($M4214-$A4214))-1))))</f>
        <v/>
      </c>
      <c r="P4214" s="31" t="str">
        <f>IF($B4214="","",IF($P4213="",$B4214,MAX($P4213,$B4214)))</f>
        <v/>
      </c>
      <c r="Q4214" s="32" t="str">
        <f>IF($P4214="","",$B4214/$P4214-1)</f>
        <v/>
      </c>
    </row>
    <row r="4215">
      <c r="A4215" s="11" t="n"/>
      <c r="B4215" s="29" t="n"/>
      <c r="K4215" s="30" t="str">
        <f>IF($A4215="","",EDATE($A4215,12*$E$4))</f>
        <v/>
      </c>
      <c r="L4215" s="19" t="str">
        <f>IF($K4215="","",IF($K4215&gt;MAX($A$8:$A$5007),"",IFERROR(MATCH($K4215,$A$8:$A$5007,1),"")))</f>
        <v/>
      </c>
      <c r="M4215" s="30" t="str">
        <f>IF($L4215="","",INDEX($A$8:$A$5007,$L4215))</f>
        <v/>
      </c>
      <c r="N4215" s="31" t="str">
        <f>IF($L4215="","",INDEX($B$8:$B$5007,$L4215))</f>
        <v/>
      </c>
      <c r="O4215" s="32" t="str">
        <f>IF($M4215="","",IF($K4215-$M4215&gt;7,"",IF($M4215&lt;=$A4215,"",IF(OR($B4215&lt;=0,$N4215&lt;=0),"",($N4215/$B4215)^(365/($M4215-$A4215))-1))))</f>
        <v/>
      </c>
      <c r="P4215" s="31" t="str">
        <f>IF($B4215="","",IF($P4214="",$B4215,MAX($P4214,$B4215)))</f>
        <v/>
      </c>
      <c r="Q4215" s="32" t="str">
        <f>IF($P4215="","",$B4215/$P4215-1)</f>
        <v/>
      </c>
    </row>
    <row r="4216">
      <c r="A4216" s="11" t="n"/>
      <c r="B4216" s="29" t="n"/>
      <c r="K4216" s="30" t="str">
        <f>IF($A4216="","",EDATE($A4216,12*$E$4))</f>
        <v/>
      </c>
      <c r="L4216" s="19" t="str">
        <f>IF($K4216="","",IF($K4216&gt;MAX($A$8:$A$5007),"",IFERROR(MATCH($K4216,$A$8:$A$5007,1),"")))</f>
        <v/>
      </c>
      <c r="M4216" s="30" t="str">
        <f>IF($L4216="","",INDEX($A$8:$A$5007,$L4216))</f>
        <v/>
      </c>
      <c r="N4216" s="31" t="str">
        <f>IF($L4216="","",INDEX($B$8:$B$5007,$L4216))</f>
        <v/>
      </c>
      <c r="O4216" s="32" t="str">
        <f>IF($M4216="","",IF($K4216-$M4216&gt;7,"",IF($M4216&lt;=$A4216,"",IF(OR($B4216&lt;=0,$N4216&lt;=0),"",($N4216/$B4216)^(365/($M4216-$A4216))-1))))</f>
        <v/>
      </c>
      <c r="P4216" s="31" t="str">
        <f>IF($B4216="","",IF($P4215="",$B4216,MAX($P4215,$B4216)))</f>
        <v/>
      </c>
      <c r="Q4216" s="32" t="str">
        <f>IF($P4216="","",$B4216/$P4216-1)</f>
        <v/>
      </c>
    </row>
    <row r="4217">
      <c r="A4217" s="11" t="n"/>
      <c r="B4217" s="29" t="n"/>
      <c r="K4217" s="30" t="str">
        <f>IF($A4217="","",EDATE($A4217,12*$E$4))</f>
        <v/>
      </c>
      <c r="L4217" s="19" t="str">
        <f>IF($K4217="","",IF($K4217&gt;MAX($A$8:$A$5007),"",IFERROR(MATCH($K4217,$A$8:$A$5007,1),"")))</f>
        <v/>
      </c>
      <c r="M4217" s="30" t="str">
        <f>IF($L4217="","",INDEX($A$8:$A$5007,$L4217))</f>
        <v/>
      </c>
      <c r="N4217" s="31" t="str">
        <f>IF($L4217="","",INDEX($B$8:$B$5007,$L4217))</f>
        <v/>
      </c>
      <c r="O4217" s="32" t="str">
        <f>IF($M4217="","",IF($K4217-$M4217&gt;7,"",IF($M4217&lt;=$A4217,"",IF(OR($B4217&lt;=0,$N4217&lt;=0),"",($N4217/$B4217)^(365/($M4217-$A4217))-1))))</f>
        <v/>
      </c>
      <c r="P4217" s="31" t="str">
        <f>IF($B4217="","",IF($P4216="",$B4217,MAX($P4216,$B4217)))</f>
        <v/>
      </c>
      <c r="Q4217" s="32" t="str">
        <f>IF($P4217="","",$B4217/$P4217-1)</f>
        <v/>
      </c>
    </row>
    <row r="4218">
      <c r="A4218" s="11" t="n"/>
      <c r="B4218" s="29" t="n"/>
      <c r="K4218" s="30" t="str">
        <f>IF($A4218="","",EDATE($A4218,12*$E$4))</f>
        <v/>
      </c>
      <c r="L4218" s="19" t="str">
        <f>IF($K4218="","",IF($K4218&gt;MAX($A$8:$A$5007),"",IFERROR(MATCH($K4218,$A$8:$A$5007,1),"")))</f>
        <v/>
      </c>
      <c r="M4218" s="30" t="str">
        <f>IF($L4218="","",INDEX($A$8:$A$5007,$L4218))</f>
        <v/>
      </c>
      <c r="N4218" s="31" t="str">
        <f>IF($L4218="","",INDEX($B$8:$B$5007,$L4218))</f>
        <v/>
      </c>
      <c r="O4218" s="32" t="str">
        <f>IF($M4218="","",IF($K4218-$M4218&gt;7,"",IF($M4218&lt;=$A4218,"",IF(OR($B4218&lt;=0,$N4218&lt;=0),"",($N4218/$B4218)^(365/($M4218-$A4218))-1))))</f>
        <v/>
      </c>
      <c r="P4218" s="31" t="str">
        <f>IF($B4218="","",IF($P4217="",$B4218,MAX($P4217,$B4218)))</f>
        <v/>
      </c>
      <c r="Q4218" s="32" t="str">
        <f>IF($P4218="","",$B4218/$P4218-1)</f>
        <v/>
      </c>
    </row>
    <row r="4219">
      <c r="A4219" s="11" t="n"/>
      <c r="B4219" s="29" t="n"/>
      <c r="K4219" s="30" t="str">
        <f>IF($A4219="","",EDATE($A4219,12*$E$4))</f>
        <v/>
      </c>
      <c r="L4219" s="19" t="str">
        <f>IF($K4219="","",IF($K4219&gt;MAX($A$8:$A$5007),"",IFERROR(MATCH($K4219,$A$8:$A$5007,1),"")))</f>
        <v/>
      </c>
      <c r="M4219" s="30" t="str">
        <f>IF($L4219="","",INDEX($A$8:$A$5007,$L4219))</f>
        <v/>
      </c>
      <c r="N4219" s="31" t="str">
        <f>IF($L4219="","",INDEX($B$8:$B$5007,$L4219))</f>
        <v/>
      </c>
      <c r="O4219" s="32" t="str">
        <f>IF($M4219="","",IF($K4219-$M4219&gt;7,"",IF($M4219&lt;=$A4219,"",IF(OR($B4219&lt;=0,$N4219&lt;=0),"",($N4219/$B4219)^(365/($M4219-$A4219))-1))))</f>
        <v/>
      </c>
      <c r="P4219" s="31" t="str">
        <f>IF($B4219="","",IF($P4218="",$B4219,MAX($P4218,$B4219)))</f>
        <v/>
      </c>
      <c r="Q4219" s="32" t="str">
        <f>IF($P4219="","",$B4219/$P4219-1)</f>
        <v/>
      </c>
    </row>
    <row r="4220">
      <c r="A4220" s="11" t="n"/>
      <c r="B4220" s="29" t="n"/>
      <c r="K4220" s="30" t="str">
        <f>IF($A4220="","",EDATE($A4220,12*$E$4))</f>
        <v/>
      </c>
      <c r="L4220" s="19" t="str">
        <f>IF($K4220="","",IF($K4220&gt;MAX($A$8:$A$5007),"",IFERROR(MATCH($K4220,$A$8:$A$5007,1),"")))</f>
        <v/>
      </c>
      <c r="M4220" s="30" t="str">
        <f>IF($L4220="","",INDEX($A$8:$A$5007,$L4220))</f>
        <v/>
      </c>
      <c r="N4220" s="31" t="str">
        <f>IF($L4220="","",INDEX($B$8:$B$5007,$L4220))</f>
        <v/>
      </c>
      <c r="O4220" s="32" t="str">
        <f>IF($M4220="","",IF($K4220-$M4220&gt;7,"",IF($M4220&lt;=$A4220,"",IF(OR($B4220&lt;=0,$N4220&lt;=0),"",($N4220/$B4220)^(365/($M4220-$A4220))-1))))</f>
        <v/>
      </c>
      <c r="P4220" s="31" t="str">
        <f>IF($B4220="","",IF($P4219="",$B4220,MAX($P4219,$B4220)))</f>
        <v/>
      </c>
      <c r="Q4220" s="32" t="str">
        <f>IF($P4220="","",$B4220/$P4220-1)</f>
        <v/>
      </c>
    </row>
    <row r="4221">
      <c r="A4221" s="11" t="n"/>
      <c r="B4221" s="29" t="n"/>
      <c r="K4221" s="30" t="str">
        <f>IF($A4221="","",EDATE($A4221,12*$E$4))</f>
        <v/>
      </c>
      <c r="L4221" s="19" t="str">
        <f>IF($K4221="","",IF($K4221&gt;MAX($A$8:$A$5007),"",IFERROR(MATCH($K4221,$A$8:$A$5007,1),"")))</f>
        <v/>
      </c>
      <c r="M4221" s="30" t="str">
        <f>IF($L4221="","",INDEX($A$8:$A$5007,$L4221))</f>
        <v/>
      </c>
      <c r="N4221" s="31" t="str">
        <f>IF($L4221="","",INDEX($B$8:$B$5007,$L4221))</f>
        <v/>
      </c>
      <c r="O4221" s="32" t="str">
        <f>IF($M4221="","",IF($K4221-$M4221&gt;7,"",IF($M4221&lt;=$A4221,"",IF(OR($B4221&lt;=0,$N4221&lt;=0),"",($N4221/$B4221)^(365/($M4221-$A4221))-1))))</f>
        <v/>
      </c>
      <c r="P4221" s="31" t="str">
        <f>IF($B4221="","",IF($P4220="",$B4221,MAX($P4220,$B4221)))</f>
        <v/>
      </c>
      <c r="Q4221" s="32" t="str">
        <f>IF($P4221="","",$B4221/$P4221-1)</f>
        <v/>
      </c>
    </row>
    <row r="4222">
      <c r="A4222" s="11" t="n"/>
      <c r="B4222" s="29" t="n"/>
      <c r="K4222" s="30" t="str">
        <f>IF($A4222="","",EDATE($A4222,12*$E$4))</f>
        <v/>
      </c>
      <c r="L4222" s="19" t="str">
        <f>IF($K4222="","",IF($K4222&gt;MAX($A$8:$A$5007),"",IFERROR(MATCH($K4222,$A$8:$A$5007,1),"")))</f>
        <v/>
      </c>
      <c r="M4222" s="30" t="str">
        <f>IF($L4222="","",INDEX($A$8:$A$5007,$L4222))</f>
        <v/>
      </c>
      <c r="N4222" s="31" t="str">
        <f>IF($L4222="","",INDEX($B$8:$B$5007,$L4222))</f>
        <v/>
      </c>
      <c r="O4222" s="32" t="str">
        <f>IF($M4222="","",IF($K4222-$M4222&gt;7,"",IF($M4222&lt;=$A4222,"",IF(OR($B4222&lt;=0,$N4222&lt;=0),"",($N4222/$B4222)^(365/($M4222-$A4222))-1))))</f>
        <v/>
      </c>
      <c r="P4222" s="31" t="str">
        <f>IF($B4222="","",IF($P4221="",$B4222,MAX($P4221,$B4222)))</f>
        <v/>
      </c>
      <c r="Q4222" s="32" t="str">
        <f>IF($P4222="","",$B4222/$P4222-1)</f>
        <v/>
      </c>
    </row>
    <row r="4223">
      <c r="A4223" s="11" t="n"/>
      <c r="B4223" s="29" t="n"/>
      <c r="K4223" s="30" t="str">
        <f>IF($A4223="","",EDATE($A4223,12*$E$4))</f>
        <v/>
      </c>
      <c r="L4223" s="19" t="str">
        <f>IF($K4223="","",IF($K4223&gt;MAX($A$8:$A$5007),"",IFERROR(MATCH($K4223,$A$8:$A$5007,1),"")))</f>
        <v/>
      </c>
      <c r="M4223" s="30" t="str">
        <f>IF($L4223="","",INDEX($A$8:$A$5007,$L4223))</f>
        <v/>
      </c>
      <c r="N4223" s="31" t="str">
        <f>IF($L4223="","",INDEX($B$8:$B$5007,$L4223))</f>
        <v/>
      </c>
      <c r="O4223" s="32" t="str">
        <f>IF($M4223="","",IF($K4223-$M4223&gt;7,"",IF($M4223&lt;=$A4223,"",IF(OR($B4223&lt;=0,$N4223&lt;=0),"",($N4223/$B4223)^(365/($M4223-$A4223))-1))))</f>
        <v/>
      </c>
      <c r="P4223" s="31" t="str">
        <f>IF($B4223="","",IF($P4222="",$B4223,MAX($P4222,$B4223)))</f>
        <v/>
      </c>
      <c r="Q4223" s="32" t="str">
        <f>IF($P4223="","",$B4223/$P4223-1)</f>
        <v/>
      </c>
    </row>
    <row r="4224">
      <c r="A4224" s="11" t="n"/>
      <c r="B4224" s="29" t="n"/>
      <c r="K4224" s="30" t="str">
        <f>IF($A4224="","",EDATE($A4224,12*$E$4))</f>
        <v/>
      </c>
      <c r="L4224" s="19" t="str">
        <f>IF($K4224="","",IF($K4224&gt;MAX($A$8:$A$5007),"",IFERROR(MATCH($K4224,$A$8:$A$5007,1),"")))</f>
        <v/>
      </c>
      <c r="M4224" s="30" t="str">
        <f>IF($L4224="","",INDEX($A$8:$A$5007,$L4224))</f>
        <v/>
      </c>
      <c r="N4224" s="31" t="str">
        <f>IF($L4224="","",INDEX($B$8:$B$5007,$L4224))</f>
        <v/>
      </c>
      <c r="O4224" s="32" t="str">
        <f>IF($M4224="","",IF($K4224-$M4224&gt;7,"",IF($M4224&lt;=$A4224,"",IF(OR($B4224&lt;=0,$N4224&lt;=0),"",($N4224/$B4224)^(365/($M4224-$A4224))-1))))</f>
        <v/>
      </c>
      <c r="P4224" s="31" t="str">
        <f>IF($B4224="","",IF($P4223="",$B4224,MAX($P4223,$B4224)))</f>
        <v/>
      </c>
      <c r="Q4224" s="32" t="str">
        <f>IF($P4224="","",$B4224/$P4224-1)</f>
        <v/>
      </c>
    </row>
    <row r="4225">
      <c r="A4225" s="11" t="n"/>
      <c r="B4225" s="29" t="n"/>
      <c r="K4225" s="30" t="str">
        <f>IF($A4225="","",EDATE($A4225,12*$E$4))</f>
        <v/>
      </c>
      <c r="L4225" s="19" t="str">
        <f>IF($K4225="","",IF($K4225&gt;MAX($A$8:$A$5007),"",IFERROR(MATCH($K4225,$A$8:$A$5007,1),"")))</f>
        <v/>
      </c>
      <c r="M4225" s="30" t="str">
        <f>IF($L4225="","",INDEX($A$8:$A$5007,$L4225))</f>
        <v/>
      </c>
      <c r="N4225" s="31" t="str">
        <f>IF($L4225="","",INDEX($B$8:$B$5007,$L4225))</f>
        <v/>
      </c>
      <c r="O4225" s="32" t="str">
        <f>IF($M4225="","",IF($K4225-$M4225&gt;7,"",IF($M4225&lt;=$A4225,"",IF(OR($B4225&lt;=0,$N4225&lt;=0),"",($N4225/$B4225)^(365/($M4225-$A4225))-1))))</f>
        <v/>
      </c>
      <c r="P4225" s="31" t="str">
        <f>IF($B4225="","",IF($P4224="",$B4225,MAX($P4224,$B4225)))</f>
        <v/>
      </c>
      <c r="Q4225" s="32" t="str">
        <f>IF($P4225="","",$B4225/$P4225-1)</f>
        <v/>
      </c>
    </row>
    <row r="4226">
      <c r="A4226" s="11" t="n"/>
      <c r="B4226" s="29" t="n"/>
      <c r="K4226" s="30" t="str">
        <f>IF($A4226="","",EDATE($A4226,12*$E$4))</f>
        <v/>
      </c>
      <c r="L4226" s="19" t="str">
        <f>IF($K4226="","",IF($K4226&gt;MAX($A$8:$A$5007),"",IFERROR(MATCH($K4226,$A$8:$A$5007,1),"")))</f>
        <v/>
      </c>
      <c r="M4226" s="30" t="str">
        <f>IF($L4226="","",INDEX($A$8:$A$5007,$L4226))</f>
        <v/>
      </c>
      <c r="N4226" s="31" t="str">
        <f>IF($L4226="","",INDEX($B$8:$B$5007,$L4226))</f>
        <v/>
      </c>
      <c r="O4226" s="32" t="str">
        <f>IF($M4226="","",IF($K4226-$M4226&gt;7,"",IF($M4226&lt;=$A4226,"",IF(OR($B4226&lt;=0,$N4226&lt;=0),"",($N4226/$B4226)^(365/($M4226-$A4226))-1))))</f>
        <v/>
      </c>
      <c r="P4226" s="31" t="str">
        <f>IF($B4226="","",IF($P4225="",$B4226,MAX($P4225,$B4226)))</f>
        <v/>
      </c>
      <c r="Q4226" s="32" t="str">
        <f>IF($P4226="","",$B4226/$P4226-1)</f>
        <v/>
      </c>
    </row>
    <row r="4227">
      <c r="A4227" s="11" t="n"/>
      <c r="B4227" s="29" t="n"/>
      <c r="K4227" s="30" t="str">
        <f>IF($A4227="","",EDATE($A4227,12*$E$4))</f>
        <v/>
      </c>
      <c r="L4227" s="19" t="str">
        <f>IF($K4227="","",IF($K4227&gt;MAX($A$8:$A$5007),"",IFERROR(MATCH($K4227,$A$8:$A$5007,1),"")))</f>
        <v/>
      </c>
      <c r="M4227" s="30" t="str">
        <f>IF($L4227="","",INDEX($A$8:$A$5007,$L4227))</f>
        <v/>
      </c>
      <c r="N4227" s="31" t="str">
        <f>IF($L4227="","",INDEX($B$8:$B$5007,$L4227))</f>
        <v/>
      </c>
      <c r="O4227" s="32" t="str">
        <f>IF($M4227="","",IF($K4227-$M4227&gt;7,"",IF($M4227&lt;=$A4227,"",IF(OR($B4227&lt;=0,$N4227&lt;=0),"",($N4227/$B4227)^(365/($M4227-$A4227))-1))))</f>
        <v/>
      </c>
      <c r="P4227" s="31" t="str">
        <f>IF($B4227="","",IF($P4226="",$B4227,MAX($P4226,$B4227)))</f>
        <v/>
      </c>
      <c r="Q4227" s="32" t="str">
        <f>IF($P4227="","",$B4227/$P4227-1)</f>
        <v/>
      </c>
    </row>
    <row r="4228">
      <c r="A4228" s="11" t="n"/>
      <c r="B4228" s="29" t="n"/>
      <c r="K4228" s="30" t="str">
        <f>IF($A4228="","",EDATE($A4228,12*$E$4))</f>
        <v/>
      </c>
      <c r="L4228" s="19" t="str">
        <f>IF($K4228="","",IF($K4228&gt;MAX($A$8:$A$5007),"",IFERROR(MATCH($K4228,$A$8:$A$5007,1),"")))</f>
        <v/>
      </c>
      <c r="M4228" s="30" t="str">
        <f>IF($L4228="","",INDEX($A$8:$A$5007,$L4228))</f>
        <v/>
      </c>
      <c r="N4228" s="31" t="str">
        <f>IF($L4228="","",INDEX($B$8:$B$5007,$L4228))</f>
        <v/>
      </c>
      <c r="O4228" s="32" t="str">
        <f>IF($M4228="","",IF($K4228-$M4228&gt;7,"",IF($M4228&lt;=$A4228,"",IF(OR($B4228&lt;=0,$N4228&lt;=0),"",($N4228/$B4228)^(365/($M4228-$A4228))-1))))</f>
        <v/>
      </c>
      <c r="P4228" s="31" t="str">
        <f>IF($B4228="","",IF($P4227="",$B4228,MAX($P4227,$B4228)))</f>
        <v/>
      </c>
      <c r="Q4228" s="32" t="str">
        <f>IF($P4228="","",$B4228/$P4228-1)</f>
        <v/>
      </c>
    </row>
    <row r="4229">
      <c r="A4229" s="11" t="n"/>
      <c r="B4229" s="29" t="n"/>
      <c r="K4229" s="30" t="str">
        <f>IF($A4229="","",EDATE($A4229,12*$E$4))</f>
        <v/>
      </c>
      <c r="L4229" s="19" t="str">
        <f>IF($K4229="","",IF($K4229&gt;MAX($A$8:$A$5007),"",IFERROR(MATCH($K4229,$A$8:$A$5007,1),"")))</f>
        <v/>
      </c>
      <c r="M4229" s="30" t="str">
        <f>IF($L4229="","",INDEX($A$8:$A$5007,$L4229))</f>
        <v/>
      </c>
      <c r="N4229" s="31" t="str">
        <f>IF($L4229="","",INDEX($B$8:$B$5007,$L4229))</f>
        <v/>
      </c>
      <c r="O4229" s="32" t="str">
        <f>IF($M4229="","",IF($K4229-$M4229&gt;7,"",IF($M4229&lt;=$A4229,"",IF(OR($B4229&lt;=0,$N4229&lt;=0),"",($N4229/$B4229)^(365/($M4229-$A4229))-1))))</f>
        <v/>
      </c>
      <c r="P4229" s="31" t="str">
        <f>IF($B4229="","",IF($P4228="",$B4229,MAX($P4228,$B4229)))</f>
        <v/>
      </c>
      <c r="Q4229" s="32" t="str">
        <f>IF($P4229="","",$B4229/$P4229-1)</f>
        <v/>
      </c>
    </row>
    <row r="4230">
      <c r="A4230" s="11" t="n"/>
      <c r="B4230" s="29" t="n"/>
      <c r="K4230" s="30" t="str">
        <f>IF($A4230="","",EDATE($A4230,12*$E$4))</f>
        <v/>
      </c>
      <c r="L4230" s="19" t="str">
        <f>IF($K4230="","",IF($K4230&gt;MAX($A$8:$A$5007),"",IFERROR(MATCH($K4230,$A$8:$A$5007,1),"")))</f>
        <v/>
      </c>
      <c r="M4230" s="30" t="str">
        <f>IF($L4230="","",INDEX($A$8:$A$5007,$L4230))</f>
        <v/>
      </c>
      <c r="N4230" s="31" t="str">
        <f>IF($L4230="","",INDEX($B$8:$B$5007,$L4230))</f>
        <v/>
      </c>
      <c r="O4230" s="32" t="str">
        <f>IF($M4230="","",IF($K4230-$M4230&gt;7,"",IF($M4230&lt;=$A4230,"",IF(OR($B4230&lt;=0,$N4230&lt;=0),"",($N4230/$B4230)^(365/($M4230-$A4230))-1))))</f>
        <v/>
      </c>
      <c r="P4230" s="31" t="str">
        <f>IF($B4230="","",IF($P4229="",$B4230,MAX($P4229,$B4230)))</f>
        <v/>
      </c>
      <c r="Q4230" s="32" t="str">
        <f>IF($P4230="","",$B4230/$P4230-1)</f>
        <v/>
      </c>
    </row>
    <row r="4231">
      <c r="A4231" s="11" t="n"/>
      <c r="B4231" s="29" t="n"/>
      <c r="K4231" s="30" t="str">
        <f>IF($A4231="","",EDATE($A4231,12*$E$4))</f>
        <v/>
      </c>
      <c r="L4231" s="19" t="str">
        <f>IF($K4231="","",IF($K4231&gt;MAX($A$8:$A$5007),"",IFERROR(MATCH($K4231,$A$8:$A$5007,1),"")))</f>
        <v/>
      </c>
      <c r="M4231" s="30" t="str">
        <f>IF($L4231="","",INDEX($A$8:$A$5007,$L4231))</f>
        <v/>
      </c>
      <c r="N4231" s="31" t="str">
        <f>IF($L4231="","",INDEX($B$8:$B$5007,$L4231))</f>
        <v/>
      </c>
      <c r="O4231" s="32" t="str">
        <f>IF($M4231="","",IF($K4231-$M4231&gt;7,"",IF($M4231&lt;=$A4231,"",IF(OR($B4231&lt;=0,$N4231&lt;=0),"",($N4231/$B4231)^(365/($M4231-$A4231))-1))))</f>
        <v/>
      </c>
      <c r="P4231" s="31" t="str">
        <f>IF($B4231="","",IF($P4230="",$B4231,MAX($P4230,$B4231)))</f>
        <v/>
      </c>
      <c r="Q4231" s="32" t="str">
        <f>IF($P4231="","",$B4231/$P4231-1)</f>
        <v/>
      </c>
    </row>
    <row r="4232">
      <c r="A4232" s="11" t="n"/>
      <c r="B4232" s="29" t="n"/>
      <c r="K4232" s="30" t="str">
        <f>IF($A4232="","",EDATE($A4232,12*$E$4))</f>
        <v/>
      </c>
      <c r="L4232" s="19" t="str">
        <f>IF($K4232="","",IF($K4232&gt;MAX($A$8:$A$5007),"",IFERROR(MATCH($K4232,$A$8:$A$5007,1),"")))</f>
        <v/>
      </c>
      <c r="M4232" s="30" t="str">
        <f>IF($L4232="","",INDEX($A$8:$A$5007,$L4232))</f>
        <v/>
      </c>
      <c r="N4232" s="31" t="str">
        <f>IF($L4232="","",INDEX($B$8:$B$5007,$L4232))</f>
        <v/>
      </c>
      <c r="O4232" s="32" t="str">
        <f>IF($M4232="","",IF($K4232-$M4232&gt;7,"",IF($M4232&lt;=$A4232,"",IF(OR($B4232&lt;=0,$N4232&lt;=0),"",($N4232/$B4232)^(365/($M4232-$A4232))-1))))</f>
        <v/>
      </c>
      <c r="P4232" s="31" t="str">
        <f>IF($B4232="","",IF($P4231="",$B4232,MAX($P4231,$B4232)))</f>
        <v/>
      </c>
      <c r="Q4232" s="32" t="str">
        <f>IF($P4232="","",$B4232/$P4232-1)</f>
        <v/>
      </c>
    </row>
    <row r="4233">
      <c r="A4233" s="11" t="n"/>
      <c r="B4233" s="29" t="n"/>
      <c r="K4233" s="30" t="str">
        <f>IF($A4233="","",EDATE($A4233,12*$E$4))</f>
        <v/>
      </c>
      <c r="L4233" s="19" t="str">
        <f>IF($K4233="","",IF($K4233&gt;MAX($A$8:$A$5007),"",IFERROR(MATCH($K4233,$A$8:$A$5007,1),"")))</f>
        <v/>
      </c>
      <c r="M4233" s="30" t="str">
        <f>IF($L4233="","",INDEX($A$8:$A$5007,$L4233))</f>
        <v/>
      </c>
      <c r="N4233" s="31" t="str">
        <f>IF($L4233="","",INDEX($B$8:$B$5007,$L4233))</f>
        <v/>
      </c>
      <c r="O4233" s="32" t="str">
        <f>IF($M4233="","",IF($K4233-$M4233&gt;7,"",IF($M4233&lt;=$A4233,"",IF(OR($B4233&lt;=0,$N4233&lt;=0),"",($N4233/$B4233)^(365/($M4233-$A4233))-1))))</f>
        <v/>
      </c>
      <c r="P4233" s="31" t="str">
        <f>IF($B4233="","",IF($P4232="",$B4233,MAX($P4232,$B4233)))</f>
        <v/>
      </c>
      <c r="Q4233" s="32" t="str">
        <f>IF($P4233="","",$B4233/$P4233-1)</f>
        <v/>
      </c>
    </row>
    <row r="4234">
      <c r="A4234" s="11" t="n"/>
      <c r="B4234" s="29" t="n"/>
      <c r="K4234" s="30" t="str">
        <f>IF($A4234="","",EDATE($A4234,12*$E$4))</f>
        <v/>
      </c>
      <c r="L4234" s="19" t="str">
        <f>IF($K4234="","",IF($K4234&gt;MAX($A$8:$A$5007),"",IFERROR(MATCH($K4234,$A$8:$A$5007,1),"")))</f>
        <v/>
      </c>
      <c r="M4234" s="30" t="str">
        <f>IF($L4234="","",INDEX($A$8:$A$5007,$L4234))</f>
        <v/>
      </c>
      <c r="N4234" s="31" t="str">
        <f>IF($L4234="","",INDEX($B$8:$B$5007,$L4234))</f>
        <v/>
      </c>
      <c r="O4234" s="32" t="str">
        <f>IF($M4234="","",IF($K4234-$M4234&gt;7,"",IF($M4234&lt;=$A4234,"",IF(OR($B4234&lt;=0,$N4234&lt;=0),"",($N4234/$B4234)^(365/($M4234-$A4234))-1))))</f>
        <v/>
      </c>
      <c r="P4234" s="31" t="str">
        <f>IF($B4234="","",IF($P4233="",$B4234,MAX($P4233,$B4234)))</f>
        <v/>
      </c>
      <c r="Q4234" s="32" t="str">
        <f>IF($P4234="","",$B4234/$P4234-1)</f>
        <v/>
      </c>
    </row>
    <row r="4235">
      <c r="A4235" s="11" t="n"/>
      <c r="B4235" s="29" t="n"/>
      <c r="K4235" s="30" t="str">
        <f>IF($A4235="","",EDATE($A4235,12*$E$4))</f>
        <v/>
      </c>
      <c r="L4235" s="19" t="str">
        <f>IF($K4235="","",IF($K4235&gt;MAX($A$8:$A$5007),"",IFERROR(MATCH($K4235,$A$8:$A$5007,1),"")))</f>
        <v/>
      </c>
      <c r="M4235" s="30" t="str">
        <f>IF($L4235="","",INDEX($A$8:$A$5007,$L4235))</f>
        <v/>
      </c>
      <c r="N4235" s="31" t="str">
        <f>IF($L4235="","",INDEX($B$8:$B$5007,$L4235))</f>
        <v/>
      </c>
      <c r="O4235" s="32" t="str">
        <f>IF($M4235="","",IF($K4235-$M4235&gt;7,"",IF($M4235&lt;=$A4235,"",IF(OR($B4235&lt;=0,$N4235&lt;=0),"",($N4235/$B4235)^(365/($M4235-$A4235))-1))))</f>
        <v/>
      </c>
      <c r="P4235" s="31" t="str">
        <f>IF($B4235="","",IF($P4234="",$B4235,MAX($P4234,$B4235)))</f>
        <v/>
      </c>
      <c r="Q4235" s="32" t="str">
        <f>IF($P4235="","",$B4235/$P4235-1)</f>
        <v/>
      </c>
    </row>
    <row r="4236">
      <c r="A4236" s="11" t="n"/>
      <c r="B4236" s="29" t="n"/>
      <c r="K4236" s="30" t="str">
        <f>IF($A4236="","",EDATE($A4236,12*$E$4))</f>
        <v/>
      </c>
      <c r="L4236" s="19" t="str">
        <f>IF($K4236="","",IF($K4236&gt;MAX($A$8:$A$5007),"",IFERROR(MATCH($K4236,$A$8:$A$5007,1),"")))</f>
        <v/>
      </c>
      <c r="M4236" s="30" t="str">
        <f>IF($L4236="","",INDEX($A$8:$A$5007,$L4236))</f>
        <v/>
      </c>
      <c r="N4236" s="31" t="str">
        <f>IF($L4236="","",INDEX($B$8:$B$5007,$L4236))</f>
        <v/>
      </c>
      <c r="O4236" s="32" t="str">
        <f>IF($M4236="","",IF($K4236-$M4236&gt;7,"",IF($M4236&lt;=$A4236,"",IF(OR($B4236&lt;=0,$N4236&lt;=0),"",($N4236/$B4236)^(365/($M4236-$A4236))-1))))</f>
        <v/>
      </c>
      <c r="P4236" s="31" t="str">
        <f>IF($B4236="","",IF($P4235="",$B4236,MAX($P4235,$B4236)))</f>
        <v/>
      </c>
      <c r="Q4236" s="32" t="str">
        <f>IF($P4236="","",$B4236/$P4236-1)</f>
        <v/>
      </c>
    </row>
    <row r="4237">
      <c r="A4237" s="11" t="n"/>
      <c r="B4237" s="29" t="n"/>
      <c r="K4237" s="30" t="str">
        <f>IF($A4237="","",EDATE($A4237,12*$E$4))</f>
        <v/>
      </c>
      <c r="L4237" s="19" t="str">
        <f>IF($K4237="","",IF($K4237&gt;MAX($A$8:$A$5007),"",IFERROR(MATCH($K4237,$A$8:$A$5007,1),"")))</f>
        <v/>
      </c>
      <c r="M4237" s="30" t="str">
        <f>IF($L4237="","",INDEX($A$8:$A$5007,$L4237))</f>
        <v/>
      </c>
      <c r="N4237" s="31" t="str">
        <f>IF($L4237="","",INDEX($B$8:$B$5007,$L4237))</f>
        <v/>
      </c>
      <c r="O4237" s="32" t="str">
        <f>IF($M4237="","",IF($K4237-$M4237&gt;7,"",IF($M4237&lt;=$A4237,"",IF(OR($B4237&lt;=0,$N4237&lt;=0),"",($N4237/$B4237)^(365/($M4237-$A4237))-1))))</f>
        <v/>
      </c>
      <c r="P4237" s="31" t="str">
        <f>IF($B4237="","",IF($P4236="",$B4237,MAX($P4236,$B4237)))</f>
        <v/>
      </c>
      <c r="Q4237" s="32" t="str">
        <f>IF($P4237="","",$B4237/$P4237-1)</f>
        <v/>
      </c>
    </row>
    <row r="4238">
      <c r="A4238" s="11" t="n"/>
      <c r="B4238" s="29" t="n"/>
      <c r="K4238" s="30" t="str">
        <f>IF($A4238="","",EDATE($A4238,12*$E$4))</f>
        <v/>
      </c>
      <c r="L4238" s="19" t="str">
        <f>IF($K4238="","",IF($K4238&gt;MAX($A$8:$A$5007),"",IFERROR(MATCH($K4238,$A$8:$A$5007,1),"")))</f>
        <v/>
      </c>
      <c r="M4238" s="30" t="str">
        <f>IF($L4238="","",INDEX($A$8:$A$5007,$L4238))</f>
        <v/>
      </c>
      <c r="N4238" s="31" t="str">
        <f>IF($L4238="","",INDEX($B$8:$B$5007,$L4238))</f>
        <v/>
      </c>
      <c r="O4238" s="32" t="str">
        <f>IF($M4238="","",IF($K4238-$M4238&gt;7,"",IF($M4238&lt;=$A4238,"",IF(OR($B4238&lt;=0,$N4238&lt;=0),"",($N4238/$B4238)^(365/($M4238-$A4238))-1))))</f>
        <v/>
      </c>
      <c r="P4238" s="31" t="str">
        <f>IF($B4238="","",IF($P4237="",$B4238,MAX($P4237,$B4238)))</f>
        <v/>
      </c>
      <c r="Q4238" s="32" t="str">
        <f>IF($P4238="","",$B4238/$P4238-1)</f>
        <v/>
      </c>
    </row>
    <row r="4239">
      <c r="A4239" s="11" t="n"/>
      <c r="B4239" s="29" t="n"/>
      <c r="K4239" s="30" t="str">
        <f>IF($A4239="","",EDATE($A4239,12*$E$4))</f>
        <v/>
      </c>
      <c r="L4239" s="19" t="str">
        <f>IF($K4239="","",IF($K4239&gt;MAX($A$8:$A$5007),"",IFERROR(MATCH($K4239,$A$8:$A$5007,1),"")))</f>
        <v/>
      </c>
      <c r="M4239" s="30" t="str">
        <f>IF($L4239="","",INDEX($A$8:$A$5007,$L4239))</f>
        <v/>
      </c>
      <c r="N4239" s="31" t="str">
        <f>IF($L4239="","",INDEX($B$8:$B$5007,$L4239))</f>
        <v/>
      </c>
      <c r="O4239" s="32" t="str">
        <f>IF($M4239="","",IF($K4239-$M4239&gt;7,"",IF($M4239&lt;=$A4239,"",IF(OR($B4239&lt;=0,$N4239&lt;=0),"",($N4239/$B4239)^(365/($M4239-$A4239))-1))))</f>
        <v/>
      </c>
      <c r="P4239" s="31" t="str">
        <f>IF($B4239="","",IF($P4238="",$B4239,MAX($P4238,$B4239)))</f>
        <v/>
      </c>
      <c r="Q4239" s="32" t="str">
        <f>IF($P4239="","",$B4239/$P4239-1)</f>
        <v/>
      </c>
    </row>
    <row r="4240">
      <c r="A4240" s="11" t="n"/>
      <c r="B4240" s="29" t="n"/>
      <c r="K4240" s="30" t="str">
        <f>IF($A4240="","",EDATE($A4240,12*$E$4))</f>
        <v/>
      </c>
      <c r="L4240" s="19" t="str">
        <f>IF($K4240="","",IF($K4240&gt;MAX($A$8:$A$5007),"",IFERROR(MATCH($K4240,$A$8:$A$5007,1),"")))</f>
        <v/>
      </c>
      <c r="M4240" s="30" t="str">
        <f>IF($L4240="","",INDEX($A$8:$A$5007,$L4240))</f>
        <v/>
      </c>
      <c r="N4240" s="31" t="str">
        <f>IF($L4240="","",INDEX($B$8:$B$5007,$L4240))</f>
        <v/>
      </c>
      <c r="O4240" s="32" t="str">
        <f>IF($M4240="","",IF($K4240-$M4240&gt;7,"",IF($M4240&lt;=$A4240,"",IF(OR($B4240&lt;=0,$N4240&lt;=0),"",($N4240/$B4240)^(365/($M4240-$A4240))-1))))</f>
        <v/>
      </c>
      <c r="P4240" s="31" t="str">
        <f>IF($B4240="","",IF($P4239="",$B4240,MAX($P4239,$B4240)))</f>
        <v/>
      </c>
      <c r="Q4240" s="32" t="str">
        <f>IF($P4240="","",$B4240/$P4240-1)</f>
        <v/>
      </c>
    </row>
    <row r="4241">
      <c r="A4241" s="11" t="n"/>
      <c r="B4241" s="29" t="n"/>
      <c r="K4241" s="30" t="str">
        <f>IF($A4241="","",EDATE($A4241,12*$E$4))</f>
        <v/>
      </c>
      <c r="L4241" s="19" t="str">
        <f>IF($K4241="","",IF($K4241&gt;MAX($A$8:$A$5007),"",IFERROR(MATCH($K4241,$A$8:$A$5007,1),"")))</f>
        <v/>
      </c>
      <c r="M4241" s="30" t="str">
        <f>IF($L4241="","",INDEX($A$8:$A$5007,$L4241))</f>
        <v/>
      </c>
      <c r="N4241" s="31" t="str">
        <f>IF($L4241="","",INDEX($B$8:$B$5007,$L4241))</f>
        <v/>
      </c>
      <c r="O4241" s="32" t="str">
        <f>IF($M4241="","",IF($K4241-$M4241&gt;7,"",IF($M4241&lt;=$A4241,"",IF(OR($B4241&lt;=0,$N4241&lt;=0),"",($N4241/$B4241)^(365/($M4241-$A4241))-1))))</f>
        <v/>
      </c>
      <c r="P4241" s="31" t="str">
        <f>IF($B4241="","",IF($P4240="",$B4241,MAX($P4240,$B4241)))</f>
        <v/>
      </c>
      <c r="Q4241" s="32" t="str">
        <f>IF($P4241="","",$B4241/$P4241-1)</f>
        <v/>
      </c>
    </row>
    <row r="4242">
      <c r="A4242" s="11" t="n"/>
      <c r="B4242" s="29" t="n"/>
      <c r="K4242" s="30" t="str">
        <f>IF($A4242="","",EDATE($A4242,12*$E$4))</f>
        <v/>
      </c>
      <c r="L4242" s="19" t="str">
        <f>IF($K4242="","",IF($K4242&gt;MAX($A$8:$A$5007),"",IFERROR(MATCH($K4242,$A$8:$A$5007,1),"")))</f>
        <v/>
      </c>
      <c r="M4242" s="30" t="str">
        <f>IF($L4242="","",INDEX($A$8:$A$5007,$L4242))</f>
        <v/>
      </c>
      <c r="N4242" s="31" t="str">
        <f>IF($L4242="","",INDEX($B$8:$B$5007,$L4242))</f>
        <v/>
      </c>
      <c r="O4242" s="32" t="str">
        <f>IF($M4242="","",IF($K4242-$M4242&gt;7,"",IF($M4242&lt;=$A4242,"",IF(OR($B4242&lt;=0,$N4242&lt;=0),"",($N4242/$B4242)^(365/($M4242-$A4242))-1))))</f>
        <v/>
      </c>
      <c r="P4242" s="31" t="str">
        <f>IF($B4242="","",IF($P4241="",$B4242,MAX($P4241,$B4242)))</f>
        <v/>
      </c>
      <c r="Q4242" s="32" t="str">
        <f>IF($P4242="","",$B4242/$P4242-1)</f>
        <v/>
      </c>
    </row>
    <row r="4243">
      <c r="A4243" s="11" t="n"/>
      <c r="B4243" s="29" t="n"/>
      <c r="K4243" s="30" t="str">
        <f>IF($A4243="","",EDATE($A4243,12*$E$4))</f>
        <v/>
      </c>
      <c r="L4243" s="19" t="str">
        <f>IF($K4243="","",IF($K4243&gt;MAX($A$8:$A$5007),"",IFERROR(MATCH($K4243,$A$8:$A$5007,1),"")))</f>
        <v/>
      </c>
      <c r="M4243" s="30" t="str">
        <f>IF($L4243="","",INDEX($A$8:$A$5007,$L4243))</f>
        <v/>
      </c>
      <c r="N4243" s="31" t="str">
        <f>IF($L4243="","",INDEX($B$8:$B$5007,$L4243))</f>
        <v/>
      </c>
      <c r="O4243" s="32" t="str">
        <f>IF($M4243="","",IF($K4243-$M4243&gt;7,"",IF($M4243&lt;=$A4243,"",IF(OR($B4243&lt;=0,$N4243&lt;=0),"",($N4243/$B4243)^(365/($M4243-$A4243))-1))))</f>
        <v/>
      </c>
      <c r="P4243" s="31" t="str">
        <f>IF($B4243="","",IF($P4242="",$B4243,MAX($P4242,$B4243)))</f>
        <v/>
      </c>
      <c r="Q4243" s="32" t="str">
        <f>IF($P4243="","",$B4243/$P4243-1)</f>
        <v/>
      </c>
    </row>
    <row r="4244">
      <c r="A4244" s="11" t="n"/>
      <c r="B4244" s="29" t="n"/>
      <c r="K4244" s="30" t="str">
        <f>IF($A4244="","",EDATE($A4244,12*$E$4))</f>
        <v/>
      </c>
      <c r="L4244" s="19" t="str">
        <f>IF($K4244="","",IF($K4244&gt;MAX($A$8:$A$5007),"",IFERROR(MATCH($K4244,$A$8:$A$5007,1),"")))</f>
        <v/>
      </c>
      <c r="M4244" s="30" t="str">
        <f>IF($L4244="","",INDEX($A$8:$A$5007,$L4244))</f>
        <v/>
      </c>
      <c r="N4244" s="31" t="str">
        <f>IF($L4244="","",INDEX($B$8:$B$5007,$L4244))</f>
        <v/>
      </c>
      <c r="O4244" s="32" t="str">
        <f>IF($M4244="","",IF($K4244-$M4244&gt;7,"",IF($M4244&lt;=$A4244,"",IF(OR($B4244&lt;=0,$N4244&lt;=0),"",($N4244/$B4244)^(365/($M4244-$A4244))-1))))</f>
        <v/>
      </c>
      <c r="P4244" s="31" t="str">
        <f>IF($B4244="","",IF($P4243="",$B4244,MAX($P4243,$B4244)))</f>
        <v/>
      </c>
      <c r="Q4244" s="32" t="str">
        <f>IF($P4244="","",$B4244/$P4244-1)</f>
        <v/>
      </c>
    </row>
    <row r="4245">
      <c r="A4245" s="11" t="n"/>
      <c r="B4245" s="29" t="n"/>
      <c r="K4245" s="30" t="str">
        <f>IF($A4245="","",EDATE($A4245,12*$E$4))</f>
        <v/>
      </c>
      <c r="L4245" s="19" t="str">
        <f>IF($K4245="","",IF($K4245&gt;MAX($A$8:$A$5007),"",IFERROR(MATCH($K4245,$A$8:$A$5007,1),"")))</f>
        <v/>
      </c>
      <c r="M4245" s="30" t="str">
        <f>IF($L4245="","",INDEX($A$8:$A$5007,$L4245))</f>
        <v/>
      </c>
      <c r="N4245" s="31" t="str">
        <f>IF($L4245="","",INDEX($B$8:$B$5007,$L4245))</f>
        <v/>
      </c>
      <c r="O4245" s="32" t="str">
        <f>IF($M4245="","",IF($K4245-$M4245&gt;7,"",IF($M4245&lt;=$A4245,"",IF(OR($B4245&lt;=0,$N4245&lt;=0),"",($N4245/$B4245)^(365/($M4245-$A4245))-1))))</f>
        <v/>
      </c>
      <c r="P4245" s="31" t="str">
        <f>IF($B4245="","",IF($P4244="",$B4245,MAX($P4244,$B4245)))</f>
        <v/>
      </c>
      <c r="Q4245" s="32" t="str">
        <f>IF($P4245="","",$B4245/$P4245-1)</f>
        <v/>
      </c>
    </row>
    <row r="4246">
      <c r="A4246" s="11" t="n"/>
      <c r="B4246" s="29" t="n"/>
      <c r="K4246" s="30" t="str">
        <f>IF($A4246="","",EDATE($A4246,12*$E$4))</f>
        <v/>
      </c>
      <c r="L4246" s="19" t="str">
        <f>IF($K4246="","",IF($K4246&gt;MAX($A$8:$A$5007),"",IFERROR(MATCH($K4246,$A$8:$A$5007,1),"")))</f>
        <v/>
      </c>
      <c r="M4246" s="30" t="str">
        <f>IF($L4246="","",INDEX($A$8:$A$5007,$L4246))</f>
        <v/>
      </c>
      <c r="N4246" s="31" t="str">
        <f>IF($L4246="","",INDEX($B$8:$B$5007,$L4246))</f>
        <v/>
      </c>
      <c r="O4246" s="32" t="str">
        <f>IF($M4246="","",IF($K4246-$M4246&gt;7,"",IF($M4246&lt;=$A4246,"",IF(OR($B4246&lt;=0,$N4246&lt;=0),"",($N4246/$B4246)^(365/($M4246-$A4246))-1))))</f>
        <v/>
      </c>
      <c r="P4246" s="31" t="str">
        <f>IF($B4246="","",IF($P4245="",$B4246,MAX($P4245,$B4246)))</f>
        <v/>
      </c>
      <c r="Q4246" s="32" t="str">
        <f>IF($P4246="","",$B4246/$P4246-1)</f>
        <v/>
      </c>
    </row>
    <row r="4247">
      <c r="A4247" s="11" t="n"/>
      <c r="B4247" s="29" t="n"/>
      <c r="K4247" s="30" t="str">
        <f>IF($A4247="","",EDATE($A4247,12*$E$4))</f>
        <v/>
      </c>
      <c r="L4247" s="19" t="str">
        <f>IF($K4247="","",IF($K4247&gt;MAX($A$8:$A$5007),"",IFERROR(MATCH($K4247,$A$8:$A$5007,1),"")))</f>
        <v/>
      </c>
      <c r="M4247" s="30" t="str">
        <f>IF($L4247="","",INDEX($A$8:$A$5007,$L4247))</f>
        <v/>
      </c>
      <c r="N4247" s="31" t="str">
        <f>IF($L4247="","",INDEX($B$8:$B$5007,$L4247))</f>
        <v/>
      </c>
      <c r="O4247" s="32" t="str">
        <f>IF($M4247="","",IF($K4247-$M4247&gt;7,"",IF($M4247&lt;=$A4247,"",IF(OR($B4247&lt;=0,$N4247&lt;=0),"",($N4247/$B4247)^(365/($M4247-$A4247))-1))))</f>
        <v/>
      </c>
      <c r="P4247" s="31" t="str">
        <f>IF($B4247="","",IF($P4246="",$B4247,MAX($P4246,$B4247)))</f>
        <v/>
      </c>
      <c r="Q4247" s="32" t="str">
        <f>IF($P4247="","",$B4247/$P4247-1)</f>
        <v/>
      </c>
    </row>
    <row r="4248">
      <c r="A4248" s="11" t="n"/>
      <c r="B4248" s="29" t="n"/>
      <c r="K4248" s="30" t="str">
        <f>IF($A4248="","",EDATE($A4248,12*$E$4))</f>
        <v/>
      </c>
      <c r="L4248" s="19" t="str">
        <f>IF($K4248="","",IF($K4248&gt;MAX($A$8:$A$5007),"",IFERROR(MATCH($K4248,$A$8:$A$5007,1),"")))</f>
        <v/>
      </c>
      <c r="M4248" s="30" t="str">
        <f>IF($L4248="","",INDEX($A$8:$A$5007,$L4248))</f>
        <v/>
      </c>
      <c r="N4248" s="31" t="str">
        <f>IF($L4248="","",INDEX($B$8:$B$5007,$L4248))</f>
        <v/>
      </c>
      <c r="O4248" s="32" t="str">
        <f>IF($M4248="","",IF($K4248-$M4248&gt;7,"",IF($M4248&lt;=$A4248,"",IF(OR($B4248&lt;=0,$N4248&lt;=0),"",($N4248/$B4248)^(365/($M4248-$A4248))-1))))</f>
        <v/>
      </c>
      <c r="P4248" s="31" t="str">
        <f>IF($B4248="","",IF($P4247="",$B4248,MAX($P4247,$B4248)))</f>
        <v/>
      </c>
      <c r="Q4248" s="32" t="str">
        <f>IF($P4248="","",$B4248/$P4248-1)</f>
        <v/>
      </c>
    </row>
    <row r="4249">
      <c r="A4249" s="11" t="n"/>
      <c r="B4249" s="29" t="n"/>
      <c r="K4249" s="30" t="str">
        <f>IF($A4249="","",EDATE($A4249,12*$E$4))</f>
        <v/>
      </c>
      <c r="L4249" s="19" t="str">
        <f>IF($K4249="","",IF($K4249&gt;MAX($A$8:$A$5007),"",IFERROR(MATCH($K4249,$A$8:$A$5007,1),"")))</f>
        <v/>
      </c>
      <c r="M4249" s="30" t="str">
        <f>IF($L4249="","",INDEX($A$8:$A$5007,$L4249))</f>
        <v/>
      </c>
      <c r="N4249" s="31" t="str">
        <f>IF($L4249="","",INDEX($B$8:$B$5007,$L4249))</f>
        <v/>
      </c>
      <c r="O4249" s="32" t="str">
        <f>IF($M4249="","",IF($K4249-$M4249&gt;7,"",IF($M4249&lt;=$A4249,"",IF(OR($B4249&lt;=0,$N4249&lt;=0),"",($N4249/$B4249)^(365/($M4249-$A4249))-1))))</f>
        <v/>
      </c>
      <c r="P4249" s="31" t="str">
        <f>IF($B4249="","",IF($P4248="",$B4249,MAX($P4248,$B4249)))</f>
        <v/>
      </c>
      <c r="Q4249" s="32" t="str">
        <f>IF($P4249="","",$B4249/$P4249-1)</f>
        <v/>
      </c>
    </row>
    <row r="4250">
      <c r="A4250" s="11" t="n"/>
      <c r="B4250" s="29" t="n"/>
      <c r="K4250" s="30" t="str">
        <f>IF($A4250="","",EDATE($A4250,12*$E$4))</f>
        <v/>
      </c>
      <c r="L4250" s="19" t="str">
        <f>IF($K4250="","",IF($K4250&gt;MAX($A$8:$A$5007),"",IFERROR(MATCH($K4250,$A$8:$A$5007,1),"")))</f>
        <v/>
      </c>
      <c r="M4250" s="30" t="str">
        <f>IF($L4250="","",INDEX($A$8:$A$5007,$L4250))</f>
        <v/>
      </c>
      <c r="N4250" s="31" t="str">
        <f>IF($L4250="","",INDEX($B$8:$B$5007,$L4250))</f>
        <v/>
      </c>
      <c r="O4250" s="32" t="str">
        <f>IF($M4250="","",IF($K4250-$M4250&gt;7,"",IF($M4250&lt;=$A4250,"",IF(OR($B4250&lt;=0,$N4250&lt;=0),"",($N4250/$B4250)^(365/($M4250-$A4250))-1))))</f>
        <v/>
      </c>
      <c r="P4250" s="31" t="str">
        <f>IF($B4250="","",IF($P4249="",$B4250,MAX($P4249,$B4250)))</f>
        <v/>
      </c>
      <c r="Q4250" s="32" t="str">
        <f>IF($P4250="","",$B4250/$P4250-1)</f>
        <v/>
      </c>
    </row>
    <row r="4251">
      <c r="A4251" s="11" t="n"/>
      <c r="B4251" s="29" t="n"/>
      <c r="K4251" s="30" t="str">
        <f>IF($A4251="","",EDATE($A4251,12*$E$4))</f>
        <v/>
      </c>
      <c r="L4251" s="19" t="str">
        <f>IF($K4251="","",IF($K4251&gt;MAX($A$8:$A$5007),"",IFERROR(MATCH($K4251,$A$8:$A$5007,1),"")))</f>
        <v/>
      </c>
      <c r="M4251" s="30" t="str">
        <f>IF($L4251="","",INDEX($A$8:$A$5007,$L4251))</f>
        <v/>
      </c>
      <c r="N4251" s="31" t="str">
        <f>IF($L4251="","",INDEX($B$8:$B$5007,$L4251))</f>
        <v/>
      </c>
      <c r="O4251" s="32" t="str">
        <f>IF($M4251="","",IF($K4251-$M4251&gt;7,"",IF($M4251&lt;=$A4251,"",IF(OR($B4251&lt;=0,$N4251&lt;=0),"",($N4251/$B4251)^(365/($M4251-$A4251))-1))))</f>
        <v/>
      </c>
      <c r="P4251" s="31" t="str">
        <f>IF($B4251="","",IF($P4250="",$B4251,MAX($P4250,$B4251)))</f>
        <v/>
      </c>
      <c r="Q4251" s="32" t="str">
        <f>IF($P4251="","",$B4251/$P4251-1)</f>
        <v/>
      </c>
    </row>
    <row r="4252">
      <c r="A4252" s="11" t="n"/>
      <c r="B4252" s="29" t="n"/>
      <c r="K4252" s="30" t="str">
        <f>IF($A4252="","",EDATE($A4252,12*$E$4))</f>
        <v/>
      </c>
      <c r="L4252" s="19" t="str">
        <f>IF($K4252="","",IF($K4252&gt;MAX($A$8:$A$5007),"",IFERROR(MATCH($K4252,$A$8:$A$5007,1),"")))</f>
        <v/>
      </c>
      <c r="M4252" s="30" t="str">
        <f>IF($L4252="","",INDEX($A$8:$A$5007,$L4252))</f>
        <v/>
      </c>
      <c r="N4252" s="31" t="str">
        <f>IF($L4252="","",INDEX($B$8:$B$5007,$L4252))</f>
        <v/>
      </c>
      <c r="O4252" s="32" t="str">
        <f>IF($M4252="","",IF($K4252-$M4252&gt;7,"",IF($M4252&lt;=$A4252,"",IF(OR($B4252&lt;=0,$N4252&lt;=0),"",($N4252/$B4252)^(365/($M4252-$A4252))-1))))</f>
        <v/>
      </c>
      <c r="P4252" s="31" t="str">
        <f>IF($B4252="","",IF($P4251="",$B4252,MAX($P4251,$B4252)))</f>
        <v/>
      </c>
      <c r="Q4252" s="32" t="str">
        <f>IF($P4252="","",$B4252/$P4252-1)</f>
        <v/>
      </c>
    </row>
    <row r="4253">
      <c r="A4253" s="11" t="n"/>
      <c r="B4253" s="29" t="n"/>
      <c r="K4253" s="30" t="str">
        <f>IF($A4253="","",EDATE($A4253,12*$E$4))</f>
        <v/>
      </c>
      <c r="L4253" s="19" t="str">
        <f>IF($K4253="","",IF($K4253&gt;MAX($A$8:$A$5007),"",IFERROR(MATCH($K4253,$A$8:$A$5007,1),"")))</f>
        <v/>
      </c>
      <c r="M4253" s="30" t="str">
        <f>IF($L4253="","",INDEX($A$8:$A$5007,$L4253))</f>
        <v/>
      </c>
      <c r="N4253" s="31" t="str">
        <f>IF($L4253="","",INDEX($B$8:$B$5007,$L4253))</f>
        <v/>
      </c>
      <c r="O4253" s="32" t="str">
        <f>IF($M4253="","",IF($K4253-$M4253&gt;7,"",IF($M4253&lt;=$A4253,"",IF(OR($B4253&lt;=0,$N4253&lt;=0),"",($N4253/$B4253)^(365/($M4253-$A4253))-1))))</f>
        <v/>
      </c>
      <c r="P4253" s="31" t="str">
        <f>IF($B4253="","",IF($P4252="",$B4253,MAX($P4252,$B4253)))</f>
        <v/>
      </c>
      <c r="Q4253" s="32" t="str">
        <f>IF($P4253="","",$B4253/$P4253-1)</f>
        <v/>
      </c>
    </row>
    <row r="4254">
      <c r="A4254" s="11" t="n"/>
      <c r="B4254" s="29" t="n"/>
      <c r="K4254" s="30" t="str">
        <f>IF($A4254="","",EDATE($A4254,12*$E$4))</f>
        <v/>
      </c>
      <c r="L4254" s="19" t="str">
        <f>IF($K4254="","",IF($K4254&gt;MAX($A$8:$A$5007),"",IFERROR(MATCH($K4254,$A$8:$A$5007,1),"")))</f>
        <v/>
      </c>
      <c r="M4254" s="30" t="str">
        <f>IF($L4254="","",INDEX($A$8:$A$5007,$L4254))</f>
        <v/>
      </c>
      <c r="N4254" s="31" t="str">
        <f>IF($L4254="","",INDEX($B$8:$B$5007,$L4254))</f>
        <v/>
      </c>
      <c r="O4254" s="32" t="str">
        <f>IF($M4254="","",IF($K4254-$M4254&gt;7,"",IF($M4254&lt;=$A4254,"",IF(OR($B4254&lt;=0,$N4254&lt;=0),"",($N4254/$B4254)^(365/($M4254-$A4254))-1))))</f>
        <v/>
      </c>
      <c r="P4254" s="31" t="str">
        <f>IF($B4254="","",IF($P4253="",$B4254,MAX($P4253,$B4254)))</f>
        <v/>
      </c>
      <c r="Q4254" s="32" t="str">
        <f>IF($P4254="","",$B4254/$P4254-1)</f>
        <v/>
      </c>
    </row>
    <row r="4255">
      <c r="A4255" s="11" t="n"/>
      <c r="B4255" s="29" t="n"/>
      <c r="K4255" s="30" t="str">
        <f>IF($A4255="","",EDATE($A4255,12*$E$4))</f>
        <v/>
      </c>
      <c r="L4255" s="19" t="str">
        <f>IF($K4255="","",IF($K4255&gt;MAX($A$8:$A$5007),"",IFERROR(MATCH($K4255,$A$8:$A$5007,1),"")))</f>
        <v/>
      </c>
      <c r="M4255" s="30" t="str">
        <f>IF($L4255="","",INDEX($A$8:$A$5007,$L4255))</f>
        <v/>
      </c>
      <c r="N4255" s="31" t="str">
        <f>IF($L4255="","",INDEX($B$8:$B$5007,$L4255))</f>
        <v/>
      </c>
      <c r="O4255" s="32" t="str">
        <f>IF($M4255="","",IF($K4255-$M4255&gt;7,"",IF($M4255&lt;=$A4255,"",IF(OR($B4255&lt;=0,$N4255&lt;=0),"",($N4255/$B4255)^(365/($M4255-$A4255))-1))))</f>
        <v/>
      </c>
      <c r="P4255" s="31" t="str">
        <f>IF($B4255="","",IF($P4254="",$B4255,MAX($P4254,$B4255)))</f>
        <v/>
      </c>
      <c r="Q4255" s="32" t="str">
        <f>IF($P4255="","",$B4255/$P4255-1)</f>
        <v/>
      </c>
    </row>
    <row r="4256">
      <c r="A4256" s="11" t="n"/>
      <c r="B4256" s="29" t="n"/>
      <c r="K4256" s="30" t="str">
        <f>IF($A4256="","",EDATE($A4256,12*$E$4))</f>
        <v/>
      </c>
      <c r="L4256" s="19" t="str">
        <f>IF($K4256="","",IF($K4256&gt;MAX($A$8:$A$5007),"",IFERROR(MATCH($K4256,$A$8:$A$5007,1),"")))</f>
        <v/>
      </c>
      <c r="M4256" s="30" t="str">
        <f>IF($L4256="","",INDEX($A$8:$A$5007,$L4256))</f>
        <v/>
      </c>
      <c r="N4256" s="31" t="str">
        <f>IF($L4256="","",INDEX($B$8:$B$5007,$L4256))</f>
        <v/>
      </c>
      <c r="O4256" s="32" t="str">
        <f>IF($M4256="","",IF($K4256-$M4256&gt;7,"",IF($M4256&lt;=$A4256,"",IF(OR($B4256&lt;=0,$N4256&lt;=0),"",($N4256/$B4256)^(365/($M4256-$A4256))-1))))</f>
        <v/>
      </c>
      <c r="P4256" s="31" t="str">
        <f>IF($B4256="","",IF($P4255="",$B4256,MAX($P4255,$B4256)))</f>
        <v/>
      </c>
      <c r="Q4256" s="32" t="str">
        <f>IF($P4256="","",$B4256/$P4256-1)</f>
        <v/>
      </c>
    </row>
    <row r="4257">
      <c r="A4257" s="11" t="n"/>
      <c r="B4257" s="29" t="n"/>
      <c r="K4257" s="30" t="str">
        <f>IF($A4257="","",EDATE($A4257,12*$E$4))</f>
        <v/>
      </c>
      <c r="L4257" s="19" t="str">
        <f>IF($K4257="","",IF($K4257&gt;MAX($A$8:$A$5007),"",IFERROR(MATCH($K4257,$A$8:$A$5007,1),"")))</f>
        <v/>
      </c>
      <c r="M4257" s="30" t="str">
        <f>IF($L4257="","",INDEX($A$8:$A$5007,$L4257))</f>
        <v/>
      </c>
      <c r="N4257" s="31" t="str">
        <f>IF($L4257="","",INDEX($B$8:$B$5007,$L4257))</f>
        <v/>
      </c>
      <c r="O4257" s="32" t="str">
        <f>IF($M4257="","",IF($K4257-$M4257&gt;7,"",IF($M4257&lt;=$A4257,"",IF(OR($B4257&lt;=0,$N4257&lt;=0),"",($N4257/$B4257)^(365/($M4257-$A4257))-1))))</f>
        <v/>
      </c>
      <c r="P4257" s="31" t="str">
        <f>IF($B4257="","",IF($P4256="",$B4257,MAX($P4256,$B4257)))</f>
        <v/>
      </c>
      <c r="Q4257" s="32" t="str">
        <f>IF($P4257="","",$B4257/$P4257-1)</f>
        <v/>
      </c>
    </row>
    <row r="4258">
      <c r="A4258" s="11" t="n"/>
      <c r="B4258" s="29" t="n"/>
      <c r="K4258" s="30" t="str">
        <f>IF($A4258="","",EDATE($A4258,12*$E$4))</f>
        <v/>
      </c>
      <c r="L4258" s="19" t="str">
        <f>IF($K4258="","",IF($K4258&gt;MAX($A$8:$A$5007),"",IFERROR(MATCH($K4258,$A$8:$A$5007,1),"")))</f>
        <v/>
      </c>
      <c r="M4258" s="30" t="str">
        <f>IF($L4258="","",INDEX($A$8:$A$5007,$L4258))</f>
        <v/>
      </c>
      <c r="N4258" s="31" t="str">
        <f>IF($L4258="","",INDEX($B$8:$B$5007,$L4258))</f>
        <v/>
      </c>
      <c r="O4258" s="32" t="str">
        <f>IF($M4258="","",IF($K4258-$M4258&gt;7,"",IF($M4258&lt;=$A4258,"",IF(OR($B4258&lt;=0,$N4258&lt;=0),"",($N4258/$B4258)^(365/($M4258-$A4258))-1))))</f>
        <v/>
      </c>
      <c r="P4258" s="31" t="str">
        <f>IF($B4258="","",IF($P4257="",$B4258,MAX($P4257,$B4258)))</f>
        <v/>
      </c>
      <c r="Q4258" s="32" t="str">
        <f>IF($P4258="","",$B4258/$P4258-1)</f>
        <v/>
      </c>
    </row>
    <row r="4259">
      <c r="A4259" s="11" t="n"/>
      <c r="B4259" s="29" t="n"/>
      <c r="K4259" s="30" t="str">
        <f>IF($A4259="","",EDATE($A4259,12*$E$4))</f>
        <v/>
      </c>
      <c r="L4259" s="19" t="str">
        <f>IF($K4259="","",IF($K4259&gt;MAX($A$8:$A$5007),"",IFERROR(MATCH($K4259,$A$8:$A$5007,1),"")))</f>
        <v/>
      </c>
      <c r="M4259" s="30" t="str">
        <f>IF($L4259="","",INDEX($A$8:$A$5007,$L4259))</f>
        <v/>
      </c>
      <c r="N4259" s="31" t="str">
        <f>IF($L4259="","",INDEX($B$8:$B$5007,$L4259))</f>
        <v/>
      </c>
      <c r="O4259" s="32" t="str">
        <f>IF($M4259="","",IF($K4259-$M4259&gt;7,"",IF($M4259&lt;=$A4259,"",IF(OR($B4259&lt;=0,$N4259&lt;=0),"",($N4259/$B4259)^(365/($M4259-$A4259))-1))))</f>
        <v/>
      </c>
      <c r="P4259" s="31" t="str">
        <f>IF($B4259="","",IF($P4258="",$B4259,MAX($P4258,$B4259)))</f>
        <v/>
      </c>
      <c r="Q4259" s="32" t="str">
        <f>IF($P4259="","",$B4259/$P4259-1)</f>
        <v/>
      </c>
    </row>
    <row r="4260">
      <c r="A4260" s="11" t="n"/>
      <c r="B4260" s="29" t="n"/>
      <c r="K4260" s="30" t="str">
        <f>IF($A4260="","",EDATE($A4260,12*$E$4))</f>
        <v/>
      </c>
      <c r="L4260" s="19" t="str">
        <f>IF($K4260="","",IF($K4260&gt;MAX($A$8:$A$5007),"",IFERROR(MATCH($K4260,$A$8:$A$5007,1),"")))</f>
        <v/>
      </c>
      <c r="M4260" s="30" t="str">
        <f>IF($L4260="","",INDEX($A$8:$A$5007,$L4260))</f>
        <v/>
      </c>
      <c r="N4260" s="31" t="str">
        <f>IF($L4260="","",INDEX($B$8:$B$5007,$L4260))</f>
        <v/>
      </c>
      <c r="O4260" s="32" t="str">
        <f>IF($M4260="","",IF($K4260-$M4260&gt;7,"",IF($M4260&lt;=$A4260,"",IF(OR($B4260&lt;=0,$N4260&lt;=0),"",($N4260/$B4260)^(365/($M4260-$A4260))-1))))</f>
        <v/>
      </c>
      <c r="P4260" s="31" t="str">
        <f>IF($B4260="","",IF($P4259="",$B4260,MAX($P4259,$B4260)))</f>
        <v/>
      </c>
      <c r="Q4260" s="32" t="str">
        <f>IF($P4260="","",$B4260/$P4260-1)</f>
        <v/>
      </c>
    </row>
    <row r="4261">
      <c r="A4261" s="11" t="n"/>
      <c r="B4261" s="29" t="n"/>
      <c r="K4261" s="30" t="str">
        <f>IF($A4261="","",EDATE($A4261,12*$E$4))</f>
        <v/>
      </c>
      <c r="L4261" s="19" t="str">
        <f>IF($K4261="","",IF($K4261&gt;MAX($A$8:$A$5007),"",IFERROR(MATCH($K4261,$A$8:$A$5007,1),"")))</f>
        <v/>
      </c>
      <c r="M4261" s="30" t="str">
        <f>IF($L4261="","",INDEX($A$8:$A$5007,$L4261))</f>
        <v/>
      </c>
      <c r="N4261" s="31" t="str">
        <f>IF($L4261="","",INDEX($B$8:$B$5007,$L4261))</f>
        <v/>
      </c>
      <c r="O4261" s="32" t="str">
        <f>IF($M4261="","",IF($K4261-$M4261&gt;7,"",IF($M4261&lt;=$A4261,"",IF(OR($B4261&lt;=0,$N4261&lt;=0),"",($N4261/$B4261)^(365/($M4261-$A4261))-1))))</f>
        <v/>
      </c>
      <c r="P4261" s="31" t="str">
        <f>IF($B4261="","",IF($P4260="",$B4261,MAX($P4260,$B4261)))</f>
        <v/>
      </c>
      <c r="Q4261" s="32" t="str">
        <f>IF($P4261="","",$B4261/$P4261-1)</f>
        <v/>
      </c>
    </row>
    <row r="4262">
      <c r="A4262" s="11" t="n"/>
      <c r="B4262" s="29" t="n"/>
      <c r="K4262" s="30" t="str">
        <f>IF($A4262="","",EDATE($A4262,12*$E$4))</f>
        <v/>
      </c>
      <c r="L4262" s="19" t="str">
        <f>IF($K4262="","",IF($K4262&gt;MAX($A$8:$A$5007),"",IFERROR(MATCH($K4262,$A$8:$A$5007,1),"")))</f>
        <v/>
      </c>
      <c r="M4262" s="30" t="str">
        <f>IF($L4262="","",INDEX($A$8:$A$5007,$L4262))</f>
        <v/>
      </c>
      <c r="N4262" s="31" t="str">
        <f>IF($L4262="","",INDEX($B$8:$B$5007,$L4262))</f>
        <v/>
      </c>
      <c r="O4262" s="32" t="str">
        <f>IF($M4262="","",IF($K4262-$M4262&gt;7,"",IF($M4262&lt;=$A4262,"",IF(OR($B4262&lt;=0,$N4262&lt;=0),"",($N4262/$B4262)^(365/($M4262-$A4262))-1))))</f>
        <v/>
      </c>
      <c r="P4262" s="31" t="str">
        <f>IF($B4262="","",IF($P4261="",$B4262,MAX($P4261,$B4262)))</f>
        <v/>
      </c>
      <c r="Q4262" s="32" t="str">
        <f>IF($P4262="","",$B4262/$P4262-1)</f>
        <v/>
      </c>
    </row>
    <row r="4263">
      <c r="A4263" s="11" t="n"/>
      <c r="B4263" s="29" t="n"/>
      <c r="K4263" s="30" t="str">
        <f>IF($A4263="","",EDATE($A4263,12*$E$4))</f>
        <v/>
      </c>
      <c r="L4263" s="19" t="str">
        <f>IF($K4263="","",IF($K4263&gt;MAX($A$8:$A$5007),"",IFERROR(MATCH($K4263,$A$8:$A$5007,1),"")))</f>
        <v/>
      </c>
      <c r="M4263" s="30" t="str">
        <f>IF($L4263="","",INDEX($A$8:$A$5007,$L4263))</f>
        <v/>
      </c>
      <c r="N4263" s="31" t="str">
        <f>IF($L4263="","",INDEX($B$8:$B$5007,$L4263))</f>
        <v/>
      </c>
      <c r="O4263" s="32" t="str">
        <f>IF($M4263="","",IF($K4263-$M4263&gt;7,"",IF($M4263&lt;=$A4263,"",IF(OR($B4263&lt;=0,$N4263&lt;=0),"",($N4263/$B4263)^(365/($M4263-$A4263))-1))))</f>
        <v/>
      </c>
      <c r="P4263" s="31" t="str">
        <f>IF($B4263="","",IF($P4262="",$B4263,MAX($P4262,$B4263)))</f>
        <v/>
      </c>
      <c r="Q4263" s="32" t="str">
        <f>IF($P4263="","",$B4263/$P4263-1)</f>
        <v/>
      </c>
    </row>
    <row r="4264">
      <c r="A4264" s="11" t="n"/>
      <c r="B4264" s="29" t="n"/>
      <c r="K4264" s="30" t="str">
        <f>IF($A4264="","",EDATE($A4264,12*$E$4))</f>
        <v/>
      </c>
      <c r="L4264" s="19" t="str">
        <f>IF($K4264="","",IF($K4264&gt;MAX($A$8:$A$5007),"",IFERROR(MATCH($K4264,$A$8:$A$5007,1),"")))</f>
        <v/>
      </c>
      <c r="M4264" s="30" t="str">
        <f>IF($L4264="","",INDEX($A$8:$A$5007,$L4264))</f>
        <v/>
      </c>
      <c r="N4264" s="31" t="str">
        <f>IF($L4264="","",INDEX($B$8:$B$5007,$L4264))</f>
        <v/>
      </c>
      <c r="O4264" s="32" t="str">
        <f>IF($M4264="","",IF($K4264-$M4264&gt;7,"",IF($M4264&lt;=$A4264,"",IF(OR($B4264&lt;=0,$N4264&lt;=0),"",($N4264/$B4264)^(365/($M4264-$A4264))-1))))</f>
        <v/>
      </c>
      <c r="P4264" s="31" t="str">
        <f>IF($B4264="","",IF($P4263="",$B4264,MAX($P4263,$B4264)))</f>
        <v/>
      </c>
      <c r="Q4264" s="32" t="str">
        <f>IF($P4264="","",$B4264/$P4264-1)</f>
        <v/>
      </c>
    </row>
    <row r="4265">
      <c r="A4265" s="11" t="n"/>
      <c r="B4265" s="29" t="n"/>
      <c r="K4265" s="30" t="str">
        <f>IF($A4265="","",EDATE($A4265,12*$E$4))</f>
        <v/>
      </c>
      <c r="L4265" s="19" t="str">
        <f>IF($K4265="","",IF($K4265&gt;MAX($A$8:$A$5007),"",IFERROR(MATCH($K4265,$A$8:$A$5007,1),"")))</f>
        <v/>
      </c>
      <c r="M4265" s="30" t="str">
        <f>IF($L4265="","",INDEX($A$8:$A$5007,$L4265))</f>
        <v/>
      </c>
      <c r="N4265" s="31" t="str">
        <f>IF($L4265="","",INDEX($B$8:$B$5007,$L4265))</f>
        <v/>
      </c>
      <c r="O4265" s="32" t="str">
        <f>IF($M4265="","",IF($K4265-$M4265&gt;7,"",IF($M4265&lt;=$A4265,"",IF(OR($B4265&lt;=0,$N4265&lt;=0),"",($N4265/$B4265)^(365/($M4265-$A4265))-1))))</f>
        <v/>
      </c>
      <c r="P4265" s="31" t="str">
        <f>IF($B4265="","",IF($P4264="",$B4265,MAX($P4264,$B4265)))</f>
        <v/>
      </c>
      <c r="Q4265" s="32" t="str">
        <f>IF($P4265="","",$B4265/$P4265-1)</f>
        <v/>
      </c>
    </row>
    <row r="4266">
      <c r="A4266" s="11" t="n"/>
      <c r="B4266" s="29" t="n"/>
      <c r="K4266" s="30" t="str">
        <f>IF($A4266="","",EDATE($A4266,12*$E$4))</f>
        <v/>
      </c>
      <c r="L4266" s="19" t="str">
        <f>IF($K4266="","",IF($K4266&gt;MAX($A$8:$A$5007),"",IFERROR(MATCH($K4266,$A$8:$A$5007,1),"")))</f>
        <v/>
      </c>
      <c r="M4266" s="30" t="str">
        <f>IF($L4266="","",INDEX($A$8:$A$5007,$L4266))</f>
        <v/>
      </c>
      <c r="N4266" s="31" t="str">
        <f>IF($L4266="","",INDEX($B$8:$B$5007,$L4266))</f>
        <v/>
      </c>
      <c r="O4266" s="32" t="str">
        <f>IF($M4266="","",IF($K4266-$M4266&gt;7,"",IF($M4266&lt;=$A4266,"",IF(OR($B4266&lt;=0,$N4266&lt;=0),"",($N4266/$B4266)^(365/($M4266-$A4266))-1))))</f>
        <v/>
      </c>
      <c r="P4266" s="31" t="str">
        <f>IF($B4266="","",IF($P4265="",$B4266,MAX($P4265,$B4266)))</f>
        <v/>
      </c>
      <c r="Q4266" s="32" t="str">
        <f>IF($P4266="","",$B4266/$P4266-1)</f>
        <v/>
      </c>
    </row>
    <row r="4267">
      <c r="A4267" s="11" t="n"/>
      <c r="B4267" s="29" t="n"/>
      <c r="K4267" s="30" t="str">
        <f>IF($A4267="","",EDATE($A4267,12*$E$4))</f>
        <v/>
      </c>
      <c r="L4267" s="19" t="str">
        <f>IF($K4267="","",IF($K4267&gt;MAX($A$8:$A$5007),"",IFERROR(MATCH($K4267,$A$8:$A$5007,1),"")))</f>
        <v/>
      </c>
      <c r="M4267" s="30" t="str">
        <f>IF($L4267="","",INDEX($A$8:$A$5007,$L4267))</f>
        <v/>
      </c>
      <c r="N4267" s="31" t="str">
        <f>IF($L4267="","",INDEX($B$8:$B$5007,$L4267))</f>
        <v/>
      </c>
      <c r="O4267" s="32" t="str">
        <f>IF($M4267="","",IF($K4267-$M4267&gt;7,"",IF($M4267&lt;=$A4267,"",IF(OR($B4267&lt;=0,$N4267&lt;=0),"",($N4267/$B4267)^(365/($M4267-$A4267))-1))))</f>
        <v/>
      </c>
      <c r="P4267" s="31" t="str">
        <f>IF($B4267="","",IF($P4266="",$B4267,MAX($P4266,$B4267)))</f>
        <v/>
      </c>
      <c r="Q4267" s="32" t="str">
        <f>IF($P4267="","",$B4267/$P4267-1)</f>
        <v/>
      </c>
    </row>
    <row r="4268">
      <c r="A4268" s="11" t="n"/>
      <c r="B4268" s="29" t="n"/>
      <c r="K4268" s="30" t="str">
        <f>IF($A4268="","",EDATE($A4268,12*$E$4))</f>
        <v/>
      </c>
      <c r="L4268" s="19" t="str">
        <f>IF($K4268="","",IF($K4268&gt;MAX($A$8:$A$5007),"",IFERROR(MATCH($K4268,$A$8:$A$5007,1),"")))</f>
        <v/>
      </c>
      <c r="M4268" s="30" t="str">
        <f>IF($L4268="","",INDEX($A$8:$A$5007,$L4268))</f>
        <v/>
      </c>
      <c r="N4268" s="31" t="str">
        <f>IF($L4268="","",INDEX($B$8:$B$5007,$L4268))</f>
        <v/>
      </c>
      <c r="O4268" s="32" t="str">
        <f>IF($M4268="","",IF($K4268-$M4268&gt;7,"",IF($M4268&lt;=$A4268,"",IF(OR($B4268&lt;=0,$N4268&lt;=0),"",($N4268/$B4268)^(365/($M4268-$A4268))-1))))</f>
        <v/>
      </c>
      <c r="P4268" s="31" t="str">
        <f>IF($B4268="","",IF($P4267="",$B4268,MAX($P4267,$B4268)))</f>
        <v/>
      </c>
      <c r="Q4268" s="32" t="str">
        <f>IF($P4268="","",$B4268/$P4268-1)</f>
        <v/>
      </c>
    </row>
    <row r="4269">
      <c r="A4269" s="11" t="n"/>
      <c r="B4269" s="29" t="n"/>
      <c r="K4269" s="30" t="str">
        <f>IF($A4269="","",EDATE($A4269,12*$E$4))</f>
        <v/>
      </c>
      <c r="L4269" s="19" t="str">
        <f>IF($K4269="","",IF($K4269&gt;MAX($A$8:$A$5007),"",IFERROR(MATCH($K4269,$A$8:$A$5007,1),"")))</f>
        <v/>
      </c>
      <c r="M4269" s="30" t="str">
        <f>IF($L4269="","",INDEX($A$8:$A$5007,$L4269))</f>
        <v/>
      </c>
      <c r="N4269" s="31" t="str">
        <f>IF($L4269="","",INDEX($B$8:$B$5007,$L4269))</f>
        <v/>
      </c>
      <c r="O4269" s="32" t="str">
        <f>IF($M4269="","",IF($K4269-$M4269&gt;7,"",IF($M4269&lt;=$A4269,"",IF(OR($B4269&lt;=0,$N4269&lt;=0),"",($N4269/$B4269)^(365/($M4269-$A4269))-1))))</f>
        <v/>
      </c>
      <c r="P4269" s="31" t="str">
        <f>IF($B4269="","",IF($P4268="",$B4269,MAX($P4268,$B4269)))</f>
        <v/>
      </c>
      <c r="Q4269" s="32" t="str">
        <f>IF($P4269="","",$B4269/$P4269-1)</f>
        <v/>
      </c>
    </row>
    <row r="4270">
      <c r="A4270" s="11" t="n"/>
      <c r="B4270" s="29" t="n"/>
      <c r="K4270" s="30" t="str">
        <f>IF($A4270="","",EDATE($A4270,12*$E$4))</f>
        <v/>
      </c>
      <c r="L4270" s="19" t="str">
        <f>IF($K4270="","",IF($K4270&gt;MAX($A$8:$A$5007),"",IFERROR(MATCH($K4270,$A$8:$A$5007,1),"")))</f>
        <v/>
      </c>
      <c r="M4270" s="30" t="str">
        <f>IF($L4270="","",INDEX($A$8:$A$5007,$L4270))</f>
        <v/>
      </c>
      <c r="N4270" s="31" t="str">
        <f>IF($L4270="","",INDEX($B$8:$B$5007,$L4270))</f>
        <v/>
      </c>
      <c r="O4270" s="32" t="str">
        <f>IF($M4270="","",IF($K4270-$M4270&gt;7,"",IF($M4270&lt;=$A4270,"",IF(OR($B4270&lt;=0,$N4270&lt;=0),"",($N4270/$B4270)^(365/($M4270-$A4270))-1))))</f>
        <v/>
      </c>
      <c r="P4270" s="31" t="str">
        <f>IF($B4270="","",IF($P4269="",$B4270,MAX($P4269,$B4270)))</f>
        <v/>
      </c>
      <c r="Q4270" s="32" t="str">
        <f>IF($P4270="","",$B4270/$P4270-1)</f>
        <v/>
      </c>
    </row>
    <row r="4271">
      <c r="A4271" s="11" t="n"/>
      <c r="B4271" s="29" t="n"/>
      <c r="K4271" s="30" t="str">
        <f>IF($A4271="","",EDATE($A4271,12*$E$4))</f>
        <v/>
      </c>
      <c r="L4271" s="19" t="str">
        <f>IF($K4271="","",IF($K4271&gt;MAX($A$8:$A$5007),"",IFERROR(MATCH($K4271,$A$8:$A$5007,1),"")))</f>
        <v/>
      </c>
      <c r="M4271" s="30" t="str">
        <f>IF($L4271="","",INDEX($A$8:$A$5007,$L4271))</f>
        <v/>
      </c>
      <c r="N4271" s="31" t="str">
        <f>IF($L4271="","",INDEX($B$8:$B$5007,$L4271))</f>
        <v/>
      </c>
      <c r="O4271" s="32" t="str">
        <f>IF($M4271="","",IF($K4271-$M4271&gt;7,"",IF($M4271&lt;=$A4271,"",IF(OR($B4271&lt;=0,$N4271&lt;=0),"",($N4271/$B4271)^(365/($M4271-$A4271))-1))))</f>
        <v/>
      </c>
      <c r="P4271" s="31" t="str">
        <f>IF($B4271="","",IF($P4270="",$B4271,MAX($P4270,$B4271)))</f>
        <v/>
      </c>
      <c r="Q4271" s="32" t="str">
        <f>IF($P4271="","",$B4271/$P4271-1)</f>
        <v/>
      </c>
    </row>
    <row r="4272">
      <c r="A4272" s="11" t="n"/>
      <c r="B4272" s="29" t="n"/>
      <c r="K4272" s="30" t="str">
        <f>IF($A4272="","",EDATE($A4272,12*$E$4))</f>
        <v/>
      </c>
      <c r="L4272" s="19" t="str">
        <f>IF($K4272="","",IF($K4272&gt;MAX($A$8:$A$5007),"",IFERROR(MATCH($K4272,$A$8:$A$5007,1),"")))</f>
        <v/>
      </c>
      <c r="M4272" s="30" t="str">
        <f>IF($L4272="","",INDEX($A$8:$A$5007,$L4272))</f>
        <v/>
      </c>
      <c r="N4272" s="31" t="str">
        <f>IF($L4272="","",INDEX($B$8:$B$5007,$L4272))</f>
        <v/>
      </c>
      <c r="O4272" s="32" t="str">
        <f>IF($M4272="","",IF($K4272-$M4272&gt;7,"",IF($M4272&lt;=$A4272,"",IF(OR($B4272&lt;=0,$N4272&lt;=0),"",($N4272/$B4272)^(365/($M4272-$A4272))-1))))</f>
        <v/>
      </c>
      <c r="P4272" s="31" t="str">
        <f>IF($B4272="","",IF($P4271="",$B4272,MAX($P4271,$B4272)))</f>
        <v/>
      </c>
      <c r="Q4272" s="32" t="str">
        <f>IF($P4272="","",$B4272/$P4272-1)</f>
        <v/>
      </c>
    </row>
    <row r="4273">
      <c r="A4273" s="11" t="n"/>
      <c r="B4273" s="29" t="n"/>
      <c r="K4273" s="30" t="str">
        <f>IF($A4273="","",EDATE($A4273,12*$E$4))</f>
        <v/>
      </c>
      <c r="L4273" s="19" t="str">
        <f>IF($K4273="","",IF($K4273&gt;MAX($A$8:$A$5007),"",IFERROR(MATCH($K4273,$A$8:$A$5007,1),"")))</f>
        <v/>
      </c>
      <c r="M4273" s="30" t="str">
        <f>IF($L4273="","",INDEX($A$8:$A$5007,$L4273))</f>
        <v/>
      </c>
      <c r="N4273" s="31" t="str">
        <f>IF($L4273="","",INDEX($B$8:$B$5007,$L4273))</f>
        <v/>
      </c>
      <c r="O4273" s="32" t="str">
        <f>IF($M4273="","",IF($K4273-$M4273&gt;7,"",IF($M4273&lt;=$A4273,"",IF(OR($B4273&lt;=0,$N4273&lt;=0),"",($N4273/$B4273)^(365/($M4273-$A4273))-1))))</f>
        <v/>
      </c>
      <c r="P4273" s="31" t="str">
        <f>IF($B4273="","",IF($P4272="",$B4273,MAX($P4272,$B4273)))</f>
        <v/>
      </c>
      <c r="Q4273" s="32" t="str">
        <f>IF($P4273="","",$B4273/$P4273-1)</f>
        <v/>
      </c>
    </row>
    <row r="4274">
      <c r="A4274" s="11" t="n"/>
      <c r="B4274" s="29" t="n"/>
      <c r="K4274" s="30" t="str">
        <f>IF($A4274="","",EDATE($A4274,12*$E$4))</f>
        <v/>
      </c>
      <c r="L4274" s="19" t="str">
        <f>IF($K4274="","",IF($K4274&gt;MAX($A$8:$A$5007),"",IFERROR(MATCH($K4274,$A$8:$A$5007,1),"")))</f>
        <v/>
      </c>
      <c r="M4274" s="30" t="str">
        <f>IF($L4274="","",INDEX($A$8:$A$5007,$L4274))</f>
        <v/>
      </c>
      <c r="N4274" s="31" t="str">
        <f>IF($L4274="","",INDEX($B$8:$B$5007,$L4274))</f>
        <v/>
      </c>
      <c r="O4274" s="32" t="str">
        <f>IF($M4274="","",IF($K4274-$M4274&gt;7,"",IF($M4274&lt;=$A4274,"",IF(OR($B4274&lt;=0,$N4274&lt;=0),"",($N4274/$B4274)^(365/($M4274-$A4274))-1))))</f>
        <v/>
      </c>
      <c r="P4274" s="31" t="str">
        <f>IF($B4274="","",IF($P4273="",$B4274,MAX($P4273,$B4274)))</f>
        <v/>
      </c>
      <c r="Q4274" s="32" t="str">
        <f>IF($P4274="","",$B4274/$P4274-1)</f>
        <v/>
      </c>
    </row>
    <row r="4275">
      <c r="A4275" s="11" t="n"/>
      <c r="B4275" s="29" t="n"/>
      <c r="K4275" s="30" t="str">
        <f>IF($A4275="","",EDATE($A4275,12*$E$4))</f>
        <v/>
      </c>
      <c r="L4275" s="19" t="str">
        <f>IF($K4275="","",IF($K4275&gt;MAX($A$8:$A$5007),"",IFERROR(MATCH($K4275,$A$8:$A$5007,1),"")))</f>
        <v/>
      </c>
      <c r="M4275" s="30" t="str">
        <f>IF($L4275="","",INDEX($A$8:$A$5007,$L4275))</f>
        <v/>
      </c>
      <c r="N4275" s="31" t="str">
        <f>IF($L4275="","",INDEX($B$8:$B$5007,$L4275))</f>
        <v/>
      </c>
      <c r="O4275" s="32" t="str">
        <f>IF($M4275="","",IF($K4275-$M4275&gt;7,"",IF($M4275&lt;=$A4275,"",IF(OR($B4275&lt;=0,$N4275&lt;=0),"",($N4275/$B4275)^(365/($M4275-$A4275))-1))))</f>
        <v/>
      </c>
      <c r="P4275" s="31" t="str">
        <f>IF($B4275="","",IF($P4274="",$B4275,MAX($P4274,$B4275)))</f>
        <v/>
      </c>
      <c r="Q4275" s="32" t="str">
        <f>IF($P4275="","",$B4275/$P4275-1)</f>
        <v/>
      </c>
    </row>
    <row r="4276">
      <c r="A4276" s="11" t="n"/>
      <c r="B4276" s="29" t="n"/>
      <c r="K4276" s="30" t="str">
        <f>IF($A4276="","",EDATE($A4276,12*$E$4))</f>
        <v/>
      </c>
      <c r="L4276" s="19" t="str">
        <f>IF($K4276="","",IF($K4276&gt;MAX($A$8:$A$5007),"",IFERROR(MATCH($K4276,$A$8:$A$5007,1),"")))</f>
        <v/>
      </c>
      <c r="M4276" s="30" t="str">
        <f>IF($L4276="","",INDEX($A$8:$A$5007,$L4276))</f>
        <v/>
      </c>
      <c r="N4276" s="31" t="str">
        <f>IF($L4276="","",INDEX($B$8:$B$5007,$L4276))</f>
        <v/>
      </c>
      <c r="O4276" s="32" t="str">
        <f>IF($M4276="","",IF($K4276-$M4276&gt;7,"",IF($M4276&lt;=$A4276,"",IF(OR($B4276&lt;=0,$N4276&lt;=0),"",($N4276/$B4276)^(365/($M4276-$A4276))-1))))</f>
        <v/>
      </c>
      <c r="P4276" s="31" t="str">
        <f>IF($B4276="","",IF($P4275="",$B4276,MAX($P4275,$B4276)))</f>
        <v/>
      </c>
      <c r="Q4276" s="32" t="str">
        <f>IF($P4276="","",$B4276/$P4276-1)</f>
        <v/>
      </c>
    </row>
    <row r="4277">
      <c r="A4277" s="11" t="n"/>
      <c r="B4277" s="29" t="n"/>
      <c r="K4277" s="30" t="str">
        <f>IF($A4277="","",EDATE($A4277,12*$E$4))</f>
        <v/>
      </c>
      <c r="L4277" s="19" t="str">
        <f>IF($K4277="","",IF($K4277&gt;MAX($A$8:$A$5007),"",IFERROR(MATCH($K4277,$A$8:$A$5007,1),"")))</f>
        <v/>
      </c>
      <c r="M4277" s="30" t="str">
        <f>IF($L4277="","",INDEX($A$8:$A$5007,$L4277))</f>
        <v/>
      </c>
      <c r="N4277" s="31" t="str">
        <f>IF($L4277="","",INDEX($B$8:$B$5007,$L4277))</f>
        <v/>
      </c>
      <c r="O4277" s="32" t="str">
        <f>IF($M4277="","",IF($K4277-$M4277&gt;7,"",IF($M4277&lt;=$A4277,"",IF(OR($B4277&lt;=0,$N4277&lt;=0),"",($N4277/$B4277)^(365/($M4277-$A4277))-1))))</f>
        <v/>
      </c>
      <c r="P4277" s="31" t="str">
        <f>IF($B4277="","",IF($P4276="",$B4277,MAX($P4276,$B4277)))</f>
        <v/>
      </c>
      <c r="Q4277" s="32" t="str">
        <f>IF($P4277="","",$B4277/$P4277-1)</f>
        <v/>
      </c>
    </row>
    <row r="4278">
      <c r="A4278" s="11" t="n"/>
      <c r="B4278" s="29" t="n"/>
      <c r="K4278" s="30" t="str">
        <f>IF($A4278="","",EDATE($A4278,12*$E$4))</f>
        <v/>
      </c>
      <c r="L4278" s="19" t="str">
        <f>IF($K4278="","",IF($K4278&gt;MAX($A$8:$A$5007),"",IFERROR(MATCH($K4278,$A$8:$A$5007,1),"")))</f>
        <v/>
      </c>
      <c r="M4278" s="30" t="str">
        <f>IF($L4278="","",INDEX($A$8:$A$5007,$L4278))</f>
        <v/>
      </c>
      <c r="N4278" s="31" t="str">
        <f>IF($L4278="","",INDEX($B$8:$B$5007,$L4278))</f>
        <v/>
      </c>
      <c r="O4278" s="32" t="str">
        <f>IF($M4278="","",IF($K4278-$M4278&gt;7,"",IF($M4278&lt;=$A4278,"",IF(OR($B4278&lt;=0,$N4278&lt;=0),"",($N4278/$B4278)^(365/($M4278-$A4278))-1))))</f>
        <v/>
      </c>
      <c r="P4278" s="31" t="str">
        <f>IF($B4278="","",IF($P4277="",$B4278,MAX($P4277,$B4278)))</f>
        <v/>
      </c>
      <c r="Q4278" s="32" t="str">
        <f>IF($P4278="","",$B4278/$P4278-1)</f>
        <v/>
      </c>
    </row>
    <row r="4279">
      <c r="A4279" s="11" t="n"/>
      <c r="B4279" s="29" t="n"/>
      <c r="K4279" s="30" t="str">
        <f>IF($A4279="","",EDATE($A4279,12*$E$4))</f>
        <v/>
      </c>
      <c r="L4279" s="19" t="str">
        <f>IF($K4279="","",IF($K4279&gt;MAX($A$8:$A$5007),"",IFERROR(MATCH($K4279,$A$8:$A$5007,1),"")))</f>
        <v/>
      </c>
      <c r="M4279" s="30" t="str">
        <f>IF($L4279="","",INDEX($A$8:$A$5007,$L4279))</f>
        <v/>
      </c>
      <c r="N4279" s="31" t="str">
        <f>IF($L4279="","",INDEX($B$8:$B$5007,$L4279))</f>
        <v/>
      </c>
      <c r="O4279" s="32" t="str">
        <f>IF($M4279="","",IF($K4279-$M4279&gt;7,"",IF($M4279&lt;=$A4279,"",IF(OR($B4279&lt;=0,$N4279&lt;=0),"",($N4279/$B4279)^(365/($M4279-$A4279))-1))))</f>
        <v/>
      </c>
      <c r="P4279" s="31" t="str">
        <f>IF($B4279="","",IF($P4278="",$B4279,MAX($P4278,$B4279)))</f>
        <v/>
      </c>
      <c r="Q4279" s="32" t="str">
        <f>IF($P4279="","",$B4279/$P4279-1)</f>
        <v/>
      </c>
    </row>
    <row r="4280">
      <c r="A4280" s="11" t="n"/>
      <c r="B4280" s="29" t="n"/>
      <c r="K4280" s="30" t="str">
        <f>IF($A4280="","",EDATE($A4280,12*$E$4))</f>
        <v/>
      </c>
      <c r="L4280" s="19" t="str">
        <f>IF($K4280="","",IF($K4280&gt;MAX($A$8:$A$5007),"",IFERROR(MATCH($K4280,$A$8:$A$5007,1),"")))</f>
        <v/>
      </c>
      <c r="M4280" s="30" t="str">
        <f>IF($L4280="","",INDEX($A$8:$A$5007,$L4280))</f>
        <v/>
      </c>
      <c r="N4280" s="31" t="str">
        <f>IF($L4280="","",INDEX($B$8:$B$5007,$L4280))</f>
        <v/>
      </c>
      <c r="O4280" s="32" t="str">
        <f>IF($M4280="","",IF($K4280-$M4280&gt;7,"",IF($M4280&lt;=$A4280,"",IF(OR($B4280&lt;=0,$N4280&lt;=0),"",($N4280/$B4280)^(365/($M4280-$A4280))-1))))</f>
        <v/>
      </c>
      <c r="P4280" s="31" t="str">
        <f>IF($B4280="","",IF($P4279="",$B4280,MAX($P4279,$B4280)))</f>
        <v/>
      </c>
      <c r="Q4280" s="32" t="str">
        <f>IF($P4280="","",$B4280/$P4280-1)</f>
        <v/>
      </c>
    </row>
    <row r="4281">
      <c r="A4281" s="11" t="n"/>
      <c r="B4281" s="29" t="n"/>
      <c r="K4281" s="30" t="str">
        <f>IF($A4281="","",EDATE($A4281,12*$E$4))</f>
        <v/>
      </c>
      <c r="L4281" s="19" t="str">
        <f>IF($K4281="","",IF($K4281&gt;MAX($A$8:$A$5007),"",IFERROR(MATCH($K4281,$A$8:$A$5007,1),"")))</f>
        <v/>
      </c>
      <c r="M4281" s="30" t="str">
        <f>IF($L4281="","",INDEX($A$8:$A$5007,$L4281))</f>
        <v/>
      </c>
      <c r="N4281" s="31" t="str">
        <f>IF($L4281="","",INDEX($B$8:$B$5007,$L4281))</f>
        <v/>
      </c>
      <c r="O4281" s="32" t="str">
        <f>IF($M4281="","",IF($K4281-$M4281&gt;7,"",IF($M4281&lt;=$A4281,"",IF(OR($B4281&lt;=0,$N4281&lt;=0),"",($N4281/$B4281)^(365/($M4281-$A4281))-1))))</f>
        <v/>
      </c>
      <c r="P4281" s="31" t="str">
        <f>IF($B4281="","",IF($P4280="",$B4281,MAX($P4280,$B4281)))</f>
        <v/>
      </c>
      <c r="Q4281" s="32" t="str">
        <f>IF($P4281="","",$B4281/$P4281-1)</f>
        <v/>
      </c>
    </row>
    <row r="4282">
      <c r="A4282" s="11" t="n"/>
      <c r="B4282" s="29" t="n"/>
      <c r="K4282" s="30" t="str">
        <f>IF($A4282="","",EDATE($A4282,12*$E$4))</f>
        <v/>
      </c>
      <c r="L4282" s="19" t="str">
        <f>IF($K4282="","",IF($K4282&gt;MAX($A$8:$A$5007),"",IFERROR(MATCH($K4282,$A$8:$A$5007,1),"")))</f>
        <v/>
      </c>
      <c r="M4282" s="30" t="str">
        <f>IF($L4282="","",INDEX($A$8:$A$5007,$L4282))</f>
        <v/>
      </c>
      <c r="N4282" s="31" t="str">
        <f>IF($L4282="","",INDEX($B$8:$B$5007,$L4282))</f>
        <v/>
      </c>
      <c r="O4282" s="32" t="str">
        <f>IF($M4282="","",IF($K4282-$M4282&gt;7,"",IF($M4282&lt;=$A4282,"",IF(OR($B4282&lt;=0,$N4282&lt;=0),"",($N4282/$B4282)^(365/($M4282-$A4282))-1))))</f>
        <v/>
      </c>
      <c r="P4282" s="31" t="str">
        <f>IF($B4282="","",IF($P4281="",$B4282,MAX($P4281,$B4282)))</f>
        <v/>
      </c>
      <c r="Q4282" s="32" t="str">
        <f>IF($P4282="","",$B4282/$P4282-1)</f>
        <v/>
      </c>
    </row>
    <row r="4283">
      <c r="A4283" s="11" t="n"/>
      <c r="B4283" s="29" t="n"/>
      <c r="K4283" s="30" t="str">
        <f>IF($A4283="","",EDATE($A4283,12*$E$4))</f>
        <v/>
      </c>
      <c r="L4283" s="19" t="str">
        <f>IF($K4283="","",IF($K4283&gt;MAX($A$8:$A$5007),"",IFERROR(MATCH($K4283,$A$8:$A$5007,1),"")))</f>
        <v/>
      </c>
      <c r="M4283" s="30" t="str">
        <f>IF($L4283="","",INDEX($A$8:$A$5007,$L4283))</f>
        <v/>
      </c>
      <c r="N4283" s="31" t="str">
        <f>IF($L4283="","",INDEX($B$8:$B$5007,$L4283))</f>
        <v/>
      </c>
      <c r="O4283" s="32" t="str">
        <f>IF($M4283="","",IF($K4283-$M4283&gt;7,"",IF($M4283&lt;=$A4283,"",IF(OR($B4283&lt;=0,$N4283&lt;=0),"",($N4283/$B4283)^(365/($M4283-$A4283))-1))))</f>
        <v/>
      </c>
      <c r="P4283" s="31" t="str">
        <f>IF($B4283="","",IF($P4282="",$B4283,MAX($P4282,$B4283)))</f>
        <v/>
      </c>
      <c r="Q4283" s="32" t="str">
        <f>IF($P4283="","",$B4283/$P4283-1)</f>
        <v/>
      </c>
    </row>
    <row r="4284">
      <c r="A4284" s="11" t="n"/>
      <c r="B4284" s="29" t="n"/>
      <c r="K4284" s="30" t="str">
        <f>IF($A4284="","",EDATE($A4284,12*$E$4))</f>
        <v/>
      </c>
      <c r="L4284" s="19" t="str">
        <f>IF($K4284="","",IF($K4284&gt;MAX($A$8:$A$5007),"",IFERROR(MATCH($K4284,$A$8:$A$5007,1),"")))</f>
        <v/>
      </c>
      <c r="M4284" s="30" t="str">
        <f>IF($L4284="","",INDEX($A$8:$A$5007,$L4284))</f>
        <v/>
      </c>
      <c r="N4284" s="31" t="str">
        <f>IF($L4284="","",INDEX($B$8:$B$5007,$L4284))</f>
        <v/>
      </c>
      <c r="O4284" s="32" t="str">
        <f>IF($M4284="","",IF($K4284-$M4284&gt;7,"",IF($M4284&lt;=$A4284,"",IF(OR($B4284&lt;=0,$N4284&lt;=0),"",($N4284/$B4284)^(365/($M4284-$A4284))-1))))</f>
        <v/>
      </c>
      <c r="P4284" s="31" t="str">
        <f>IF($B4284="","",IF($P4283="",$B4284,MAX($P4283,$B4284)))</f>
        <v/>
      </c>
      <c r="Q4284" s="32" t="str">
        <f>IF($P4284="","",$B4284/$P4284-1)</f>
        <v/>
      </c>
    </row>
    <row r="4285">
      <c r="A4285" s="11" t="n"/>
      <c r="B4285" s="29" t="n"/>
      <c r="K4285" s="30" t="str">
        <f>IF($A4285="","",EDATE($A4285,12*$E$4))</f>
        <v/>
      </c>
      <c r="L4285" s="19" t="str">
        <f>IF($K4285="","",IF($K4285&gt;MAX($A$8:$A$5007),"",IFERROR(MATCH($K4285,$A$8:$A$5007,1),"")))</f>
        <v/>
      </c>
      <c r="M4285" s="30" t="str">
        <f>IF($L4285="","",INDEX($A$8:$A$5007,$L4285))</f>
        <v/>
      </c>
      <c r="N4285" s="31" t="str">
        <f>IF($L4285="","",INDEX($B$8:$B$5007,$L4285))</f>
        <v/>
      </c>
      <c r="O4285" s="32" t="str">
        <f>IF($M4285="","",IF($K4285-$M4285&gt;7,"",IF($M4285&lt;=$A4285,"",IF(OR($B4285&lt;=0,$N4285&lt;=0),"",($N4285/$B4285)^(365/($M4285-$A4285))-1))))</f>
        <v/>
      </c>
      <c r="P4285" s="31" t="str">
        <f>IF($B4285="","",IF($P4284="",$B4285,MAX($P4284,$B4285)))</f>
        <v/>
      </c>
      <c r="Q4285" s="32" t="str">
        <f>IF($P4285="","",$B4285/$P4285-1)</f>
        <v/>
      </c>
    </row>
    <row r="4286">
      <c r="A4286" s="11" t="n"/>
      <c r="B4286" s="29" t="n"/>
      <c r="K4286" s="30" t="str">
        <f>IF($A4286="","",EDATE($A4286,12*$E$4))</f>
        <v/>
      </c>
      <c r="L4286" s="19" t="str">
        <f>IF($K4286="","",IF($K4286&gt;MAX($A$8:$A$5007),"",IFERROR(MATCH($K4286,$A$8:$A$5007,1),"")))</f>
        <v/>
      </c>
      <c r="M4286" s="30" t="str">
        <f>IF($L4286="","",INDEX($A$8:$A$5007,$L4286))</f>
        <v/>
      </c>
      <c r="N4286" s="31" t="str">
        <f>IF($L4286="","",INDEX($B$8:$B$5007,$L4286))</f>
        <v/>
      </c>
      <c r="O4286" s="32" t="str">
        <f>IF($M4286="","",IF($K4286-$M4286&gt;7,"",IF($M4286&lt;=$A4286,"",IF(OR($B4286&lt;=0,$N4286&lt;=0),"",($N4286/$B4286)^(365/($M4286-$A4286))-1))))</f>
        <v/>
      </c>
      <c r="P4286" s="31" t="str">
        <f>IF($B4286="","",IF($P4285="",$B4286,MAX($P4285,$B4286)))</f>
        <v/>
      </c>
      <c r="Q4286" s="32" t="str">
        <f>IF($P4286="","",$B4286/$P4286-1)</f>
        <v/>
      </c>
    </row>
    <row r="4287">
      <c r="A4287" s="11" t="n"/>
      <c r="B4287" s="29" t="n"/>
      <c r="K4287" s="30" t="str">
        <f>IF($A4287="","",EDATE($A4287,12*$E$4))</f>
        <v/>
      </c>
      <c r="L4287" s="19" t="str">
        <f>IF($K4287="","",IF($K4287&gt;MAX($A$8:$A$5007),"",IFERROR(MATCH($K4287,$A$8:$A$5007,1),"")))</f>
        <v/>
      </c>
      <c r="M4287" s="30" t="str">
        <f>IF($L4287="","",INDEX($A$8:$A$5007,$L4287))</f>
        <v/>
      </c>
      <c r="N4287" s="31" t="str">
        <f>IF($L4287="","",INDEX($B$8:$B$5007,$L4287))</f>
        <v/>
      </c>
      <c r="O4287" s="32" t="str">
        <f>IF($M4287="","",IF($K4287-$M4287&gt;7,"",IF($M4287&lt;=$A4287,"",IF(OR($B4287&lt;=0,$N4287&lt;=0),"",($N4287/$B4287)^(365/($M4287-$A4287))-1))))</f>
        <v/>
      </c>
      <c r="P4287" s="31" t="str">
        <f>IF($B4287="","",IF($P4286="",$B4287,MAX($P4286,$B4287)))</f>
        <v/>
      </c>
      <c r="Q4287" s="32" t="str">
        <f>IF($P4287="","",$B4287/$P4287-1)</f>
        <v/>
      </c>
    </row>
    <row r="4288">
      <c r="A4288" s="11" t="n"/>
      <c r="B4288" s="29" t="n"/>
      <c r="K4288" s="30" t="str">
        <f>IF($A4288="","",EDATE($A4288,12*$E$4))</f>
        <v/>
      </c>
      <c r="L4288" s="19" t="str">
        <f>IF($K4288="","",IF($K4288&gt;MAX($A$8:$A$5007),"",IFERROR(MATCH($K4288,$A$8:$A$5007,1),"")))</f>
        <v/>
      </c>
      <c r="M4288" s="30" t="str">
        <f>IF($L4288="","",INDEX($A$8:$A$5007,$L4288))</f>
        <v/>
      </c>
      <c r="N4288" s="31" t="str">
        <f>IF($L4288="","",INDEX($B$8:$B$5007,$L4288))</f>
        <v/>
      </c>
      <c r="O4288" s="32" t="str">
        <f>IF($M4288="","",IF($K4288-$M4288&gt;7,"",IF($M4288&lt;=$A4288,"",IF(OR($B4288&lt;=0,$N4288&lt;=0),"",($N4288/$B4288)^(365/($M4288-$A4288))-1))))</f>
        <v/>
      </c>
      <c r="P4288" s="31" t="str">
        <f>IF($B4288="","",IF($P4287="",$B4288,MAX($P4287,$B4288)))</f>
        <v/>
      </c>
      <c r="Q4288" s="32" t="str">
        <f>IF($P4288="","",$B4288/$P4288-1)</f>
        <v/>
      </c>
    </row>
    <row r="4289">
      <c r="A4289" s="11" t="n"/>
      <c r="B4289" s="29" t="n"/>
      <c r="K4289" s="30" t="str">
        <f>IF($A4289="","",EDATE($A4289,12*$E$4))</f>
        <v/>
      </c>
      <c r="L4289" s="19" t="str">
        <f>IF($K4289="","",IF($K4289&gt;MAX($A$8:$A$5007),"",IFERROR(MATCH($K4289,$A$8:$A$5007,1),"")))</f>
        <v/>
      </c>
      <c r="M4289" s="30" t="str">
        <f>IF($L4289="","",INDEX($A$8:$A$5007,$L4289))</f>
        <v/>
      </c>
      <c r="N4289" s="31" t="str">
        <f>IF($L4289="","",INDEX($B$8:$B$5007,$L4289))</f>
        <v/>
      </c>
      <c r="O4289" s="32" t="str">
        <f>IF($M4289="","",IF($K4289-$M4289&gt;7,"",IF($M4289&lt;=$A4289,"",IF(OR($B4289&lt;=0,$N4289&lt;=0),"",($N4289/$B4289)^(365/($M4289-$A4289))-1))))</f>
        <v/>
      </c>
      <c r="P4289" s="31" t="str">
        <f>IF($B4289="","",IF($P4288="",$B4289,MAX($P4288,$B4289)))</f>
        <v/>
      </c>
      <c r="Q4289" s="32" t="str">
        <f>IF($P4289="","",$B4289/$P4289-1)</f>
        <v/>
      </c>
    </row>
    <row r="4290">
      <c r="A4290" s="11" t="n"/>
      <c r="B4290" s="29" t="n"/>
      <c r="K4290" s="30" t="str">
        <f>IF($A4290="","",EDATE($A4290,12*$E$4))</f>
        <v/>
      </c>
      <c r="L4290" s="19" t="str">
        <f>IF($K4290="","",IF($K4290&gt;MAX($A$8:$A$5007),"",IFERROR(MATCH($K4290,$A$8:$A$5007,1),"")))</f>
        <v/>
      </c>
      <c r="M4290" s="30" t="str">
        <f>IF($L4290="","",INDEX($A$8:$A$5007,$L4290))</f>
        <v/>
      </c>
      <c r="N4290" s="31" t="str">
        <f>IF($L4290="","",INDEX($B$8:$B$5007,$L4290))</f>
        <v/>
      </c>
      <c r="O4290" s="32" t="str">
        <f>IF($M4290="","",IF($K4290-$M4290&gt;7,"",IF($M4290&lt;=$A4290,"",IF(OR($B4290&lt;=0,$N4290&lt;=0),"",($N4290/$B4290)^(365/($M4290-$A4290))-1))))</f>
        <v/>
      </c>
      <c r="P4290" s="31" t="str">
        <f>IF($B4290="","",IF($P4289="",$B4290,MAX($P4289,$B4290)))</f>
        <v/>
      </c>
      <c r="Q4290" s="32" t="str">
        <f>IF($P4290="","",$B4290/$P4290-1)</f>
        <v/>
      </c>
    </row>
    <row r="4291">
      <c r="A4291" s="11" t="n"/>
      <c r="B4291" s="29" t="n"/>
      <c r="K4291" s="30" t="str">
        <f>IF($A4291="","",EDATE($A4291,12*$E$4))</f>
        <v/>
      </c>
      <c r="L4291" s="19" t="str">
        <f>IF($K4291="","",IF($K4291&gt;MAX($A$8:$A$5007),"",IFERROR(MATCH($K4291,$A$8:$A$5007,1),"")))</f>
        <v/>
      </c>
      <c r="M4291" s="30" t="str">
        <f>IF($L4291="","",INDEX($A$8:$A$5007,$L4291))</f>
        <v/>
      </c>
      <c r="N4291" s="31" t="str">
        <f>IF($L4291="","",INDEX($B$8:$B$5007,$L4291))</f>
        <v/>
      </c>
      <c r="O4291" s="32" t="str">
        <f>IF($M4291="","",IF($K4291-$M4291&gt;7,"",IF($M4291&lt;=$A4291,"",IF(OR($B4291&lt;=0,$N4291&lt;=0),"",($N4291/$B4291)^(365/($M4291-$A4291))-1))))</f>
        <v/>
      </c>
      <c r="P4291" s="31" t="str">
        <f>IF($B4291="","",IF($P4290="",$B4291,MAX($P4290,$B4291)))</f>
        <v/>
      </c>
      <c r="Q4291" s="32" t="str">
        <f>IF($P4291="","",$B4291/$P4291-1)</f>
        <v/>
      </c>
    </row>
    <row r="4292">
      <c r="A4292" s="11" t="n"/>
      <c r="B4292" s="29" t="n"/>
      <c r="K4292" s="30" t="str">
        <f>IF($A4292="","",EDATE($A4292,12*$E$4))</f>
        <v/>
      </c>
      <c r="L4292" s="19" t="str">
        <f>IF($K4292="","",IF($K4292&gt;MAX($A$8:$A$5007),"",IFERROR(MATCH($K4292,$A$8:$A$5007,1),"")))</f>
        <v/>
      </c>
      <c r="M4292" s="30" t="str">
        <f>IF($L4292="","",INDEX($A$8:$A$5007,$L4292))</f>
        <v/>
      </c>
      <c r="N4292" s="31" t="str">
        <f>IF($L4292="","",INDEX($B$8:$B$5007,$L4292))</f>
        <v/>
      </c>
      <c r="O4292" s="32" t="str">
        <f>IF($M4292="","",IF($K4292-$M4292&gt;7,"",IF($M4292&lt;=$A4292,"",IF(OR($B4292&lt;=0,$N4292&lt;=0),"",($N4292/$B4292)^(365/($M4292-$A4292))-1))))</f>
        <v/>
      </c>
      <c r="P4292" s="31" t="str">
        <f>IF($B4292="","",IF($P4291="",$B4292,MAX($P4291,$B4292)))</f>
        <v/>
      </c>
      <c r="Q4292" s="32" t="str">
        <f>IF($P4292="","",$B4292/$P4292-1)</f>
        <v/>
      </c>
    </row>
    <row r="4293">
      <c r="A4293" s="11" t="n"/>
      <c r="B4293" s="29" t="n"/>
      <c r="K4293" s="30" t="str">
        <f>IF($A4293="","",EDATE($A4293,12*$E$4))</f>
        <v/>
      </c>
      <c r="L4293" s="19" t="str">
        <f>IF($K4293="","",IF($K4293&gt;MAX($A$8:$A$5007),"",IFERROR(MATCH($K4293,$A$8:$A$5007,1),"")))</f>
        <v/>
      </c>
      <c r="M4293" s="30" t="str">
        <f>IF($L4293="","",INDEX($A$8:$A$5007,$L4293))</f>
        <v/>
      </c>
      <c r="N4293" s="31" t="str">
        <f>IF($L4293="","",INDEX($B$8:$B$5007,$L4293))</f>
        <v/>
      </c>
      <c r="O4293" s="32" t="str">
        <f>IF($M4293="","",IF($K4293-$M4293&gt;7,"",IF($M4293&lt;=$A4293,"",IF(OR($B4293&lt;=0,$N4293&lt;=0),"",($N4293/$B4293)^(365/($M4293-$A4293))-1))))</f>
        <v/>
      </c>
      <c r="P4293" s="31" t="str">
        <f>IF($B4293="","",IF($P4292="",$B4293,MAX($P4292,$B4293)))</f>
        <v/>
      </c>
      <c r="Q4293" s="32" t="str">
        <f>IF($P4293="","",$B4293/$P4293-1)</f>
        <v/>
      </c>
    </row>
    <row r="4294">
      <c r="A4294" s="11" t="n"/>
      <c r="B4294" s="29" t="n"/>
      <c r="K4294" s="30" t="str">
        <f>IF($A4294="","",EDATE($A4294,12*$E$4))</f>
        <v/>
      </c>
      <c r="L4294" s="19" t="str">
        <f>IF($K4294="","",IF($K4294&gt;MAX($A$8:$A$5007),"",IFERROR(MATCH($K4294,$A$8:$A$5007,1),"")))</f>
        <v/>
      </c>
      <c r="M4294" s="30" t="str">
        <f>IF($L4294="","",INDEX($A$8:$A$5007,$L4294))</f>
        <v/>
      </c>
      <c r="N4294" s="31" t="str">
        <f>IF($L4294="","",INDEX($B$8:$B$5007,$L4294))</f>
        <v/>
      </c>
      <c r="O4294" s="32" t="str">
        <f>IF($M4294="","",IF($K4294-$M4294&gt;7,"",IF($M4294&lt;=$A4294,"",IF(OR($B4294&lt;=0,$N4294&lt;=0),"",($N4294/$B4294)^(365/($M4294-$A4294))-1))))</f>
        <v/>
      </c>
      <c r="P4294" s="31" t="str">
        <f>IF($B4294="","",IF($P4293="",$B4294,MAX($P4293,$B4294)))</f>
        <v/>
      </c>
      <c r="Q4294" s="32" t="str">
        <f>IF($P4294="","",$B4294/$P4294-1)</f>
        <v/>
      </c>
    </row>
    <row r="4295">
      <c r="A4295" s="11" t="n"/>
      <c r="B4295" s="29" t="n"/>
      <c r="K4295" s="30" t="str">
        <f>IF($A4295="","",EDATE($A4295,12*$E$4))</f>
        <v/>
      </c>
      <c r="L4295" s="19" t="str">
        <f>IF($K4295="","",IF($K4295&gt;MAX($A$8:$A$5007),"",IFERROR(MATCH($K4295,$A$8:$A$5007,1),"")))</f>
        <v/>
      </c>
      <c r="M4295" s="30" t="str">
        <f>IF($L4295="","",INDEX($A$8:$A$5007,$L4295))</f>
        <v/>
      </c>
      <c r="N4295" s="31" t="str">
        <f>IF($L4295="","",INDEX($B$8:$B$5007,$L4295))</f>
        <v/>
      </c>
      <c r="O4295" s="32" t="str">
        <f>IF($M4295="","",IF($K4295-$M4295&gt;7,"",IF($M4295&lt;=$A4295,"",IF(OR($B4295&lt;=0,$N4295&lt;=0),"",($N4295/$B4295)^(365/($M4295-$A4295))-1))))</f>
        <v/>
      </c>
      <c r="P4295" s="31" t="str">
        <f>IF($B4295="","",IF($P4294="",$B4295,MAX($P4294,$B4295)))</f>
        <v/>
      </c>
      <c r="Q4295" s="32" t="str">
        <f>IF($P4295="","",$B4295/$P4295-1)</f>
        <v/>
      </c>
    </row>
    <row r="4296">
      <c r="A4296" s="11" t="n"/>
      <c r="B4296" s="29" t="n"/>
      <c r="K4296" s="30" t="str">
        <f>IF($A4296="","",EDATE($A4296,12*$E$4))</f>
        <v/>
      </c>
      <c r="L4296" s="19" t="str">
        <f>IF($K4296="","",IF($K4296&gt;MAX($A$8:$A$5007),"",IFERROR(MATCH($K4296,$A$8:$A$5007,1),"")))</f>
        <v/>
      </c>
      <c r="M4296" s="30" t="str">
        <f>IF($L4296="","",INDEX($A$8:$A$5007,$L4296))</f>
        <v/>
      </c>
      <c r="N4296" s="31" t="str">
        <f>IF($L4296="","",INDEX($B$8:$B$5007,$L4296))</f>
        <v/>
      </c>
      <c r="O4296" s="32" t="str">
        <f>IF($M4296="","",IF($K4296-$M4296&gt;7,"",IF($M4296&lt;=$A4296,"",IF(OR($B4296&lt;=0,$N4296&lt;=0),"",($N4296/$B4296)^(365/($M4296-$A4296))-1))))</f>
        <v/>
      </c>
      <c r="P4296" s="31" t="str">
        <f>IF($B4296="","",IF($P4295="",$B4296,MAX($P4295,$B4296)))</f>
        <v/>
      </c>
      <c r="Q4296" s="32" t="str">
        <f>IF($P4296="","",$B4296/$P4296-1)</f>
        <v/>
      </c>
    </row>
    <row r="4297">
      <c r="A4297" s="11" t="n"/>
      <c r="B4297" s="29" t="n"/>
      <c r="K4297" s="30" t="str">
        <f>IF($A4297="","",EDATE($A4297,12*$E$4))</f>
        <v/>
      </c>
      <c r="L4297" s="19" t="str">
        <f>IF($K4297="","",IF($K4297&gt;MAX($A$8:$A$5007),"",IFERROR(MATCH($K4297,$A$8:$A$5007,1),"")))</f>
        <v/>
      </c>
      <c r="M4297" s="30" t="str">
        <f>IF($L4297="","",INDEX($A$8:$A$5007,$L4297))</f>
        <v/>
      </c>
      <c r="N4297" s="31" t="str">
        <f>IF($L4297="","",INDEX($B$8:$B$5007,$L4297))</f>
        <v/>
      </c>
      <c r="O4297" s="32" t="str">
        <f>IF($M4297="","",IF($K4297-$M4297&gt;7,"",IF($M4297&lt;=$A4297,"",IF(OR($B4297&lt;=0,$N4297&lt;=0),"",($N4297/$B4297)^(365/($M4297-$A4297))-1))))</f>
        <v/>
      </c>
      <c r="P4297" s="31" t="str">
        <f>IF($B4297="","",IF($P4296="",$B4297,MAX($P4296,$B4297)))</f>
        <v/>
      </c>
      <c r="Q4297" s="32" t="str">
        <f>IF($P4297="","",$B4297/$P4297-1)</f>
        <v/>
      </c>
    </row>
    <row r="4298">
      <c r="A4298" s="11" t="n"/>
      <c r="B4298" s="29" t="n"/>
      <c r="K4298" s="30" t="str">
        <f>IF($A4298="","",EDATE($A4298,12*$E$4))</f>
        <v/>
      </c>
      <c r="L4298" s="19" t="str">
        <f>IF($K4298="","",IF($K4298&gt;MAX($A$8:$A$5007),"",IFERROR(MATCH($K4298,$A$8:$A$5007,1),"")))</f>
        <v/>
      </c>
      <c r="M4298" s="30" t="str">
        <f>IF($L4298="","",INDEX($A$8:$A$5007,$L4298))</f>
        <v/>
      </c>
      <c r="N4298" s="31" t="str">
        <f>IF($L4298="","",INDEX($B$8:$B$5007,$L4298))</f>
        <v/>
      </c>
      <c r="O4298" s="32" t="str">
        <f>IF($M4298="","",IF($K4298-$M4298&gt;7,"",IF($M4298&lt;=$A4298,"",IF(OR($B4298&lt;=0,$N4298&lt;=0),"",($N4298/$B4298)^(365/($M4298-$A4298))-1))))</f>
        <v/>
      </c>
      <c r="P4298" s="31" t="str">
        <f>IF($B4298="","",IF($P4297="",$B4298,MAX($P4297,$B4298)))</f>
        <v/>
      </c>
      <c r="Q4298" s="32" t="str">
        <f>IF($P4298="","",$B4298/$P4298-1)</f>
        <v/>
      </c>
    </row>
    <row r="4299">
      <c r="A4299" s="11" t="n"/>
      <c r="B4299" s="29" t="n"/>
      <c r="K4299" s="30" t="str">
        <f>IF($A4299="","",EDATE($A4299,12*$E$4))</f>
        <v/>
      </c>
      <c r="L4299" s="19" t="str">
        <f>IF($K4299="","",IF($K4299&gt;MAX($A$8:$A$5007),"",IFERROR(MATCH($K4299,$A$8:$A$5007,1),"")))</f>
        <v/>
      </c>
      <c r="M4299" s="30" t="str">
        <f>IF($L4299="","",INDEX($A$8:$A$5007,$L4299))</f>
        <v/>
      </c>
      <c r="N4299" s="31" t="str">
        <f>IF($L4299="","",INDEX($B$8:$B$5007,$L4299))</f>
        <v/>
      </c>
      <c r="O4299" s="32" t="str">
        <f>IF($M4299="","",IF($K4299-$M4299&gt;7,"",IF($M4299&lt;=$A4299,"",IF(OR($B4299&lt;=0,$N4299&lt;=0),"",($N4299/$B4299)^(365/($M4299-$A4299))-1))))</f>
        <v/>
      </c>
      <c r="P4299" s="31" t="str">
        <f>IF($B4299="","",IF($P4298="",$B4299,MAX($P4298,$B4299)))</f>
        <v/>
      </c>
      <c r="Q4299" s="32" t="str">
        <f>IF($P4299="","",$B4299/$P4299-1)</f>
        <v/>
      </c>
    </row>
    <row r="4300">
      <c r="A4300" s="11" t="n"/>
      <c r="B4300" s="29" t="n"/>
      <c r="K4300" s="30" t="str">
        <f>IF($A4300="","",EDATE($A4300,12*$E$4))</f>
        <v/>
      </c>
      <c r="L4300" s="19" t="str">
        <f>IF($K4300="","",IF($K4300&gt;MAX($A$8:$A$5007),"",IFERROR(MATCH($K4300,$A$8:$A$5007,1),"")))</f>
        <v/>
      </c>
      <c r="M4300" s="30" t="str">
        <f>IF($L4300="","",INDEX($A$8:$A$5007,$L4300))</f>
        <v/>
      </c>
      <c r="N4300" s="31" t="str">
        <f>IF($L4300="","",INDEX($B$8:$B$5007,$L4300))</f>
        <v/>
      </c>
      <c r="O4300" s="32" t="str">
        <f>IF($M4300="","",IF($K4300-$M4300&gt;7,"",IF($M4300&lt;=$A4300,"",IF(OR($B4300&lt;=0,$N4300&lt;=0),"",($N4300/$B4300)^(365/($M4300-$A4300))-1))))</f>
        <v/>
      </c>
      <c r="P4300" s="31" t="str">
        <f>IF($B4300="","",IF($P4299="",$B4300,MAX($P4299,$B4300)))</f>
        <v/>
      </c>
      <c r="Q4300" s="32" t="str">
        <f>IF($P4300="","",$B4300/$P4300-1)</f>
        <v/>
      </c>
    </row>
    <row r="4301">
      <c r="A4301" s="11" t="n"/>
      <c r="B4301" s="29" t="n"/>
      <c r="K4301" s="30" t="str">
        <f>IF($A4301="","",EDATE($A4301,12*$E$4))</f>
        <v/>
      </c>
      <c r="L4301" s="19" t="str">
        <f>IF($K4301="","",IF($K4301&gt;MAX($A$8:$A$5007),"",IFERROR(MATCH($K4301,$A$8:$A$5007,1),"")))</f>
        <v/>
      </c>
      <c r="M4301" s="30" t="str">
        <f>IF($L4301="","",INDEX($A$8:$A$5007,$L4301))</f>
        <v/>
      </c>
      <c r="N4301" s="31" t="str">
        <f>IF($L4301="","",INDEX($B$8:$B$5007,$L4301))</f>
        <v/>
      </c>
      <c r="O4301" s="32" t="str">
        <f>IF($M4301="","",IF($K4301-$M4301&gt;7,"",IF($M4301&lt;=$A4301,"",IF(OR($B4301&lt;=0,$N4301&lt;=0),"",($N4301/$B4301)^(365/($M4301-$A4301))-1))))</f>
        <v/>
      </c>
      <c r="P4301" s="31" t="str">
        <f>IF($B4301="","",IF($P4300="",$B4301,MAX($P4300,$B4301)))</f>
        <v/>
      </c>
      <c r="Q4301" s="32" t="str">
        <f>IF($P4301="","",$B4301/$P4301-1)</f>
        <v/>
      </c>
    </row>
    <row r="4302">
      <c r="A4302" s="11" t="n"/>
      <c r="B4302" s="29" t="n"/>
      <c r="K4302" s="30" t="str">
        <f>IF($A4302="","",EDATE($A4302,12*$E$4))</f>
        <v/>
      </c>
      <c r="L4302" s="19" t="str">
        <f>IF($K4302="","",IF($K4302&gt;MAX($A$8:$A$5007),"",IFERROR(MATCH($K4302,$A$8:$A$5007,1),"")))</f>
        <v/>
      </c>
      <c r="M4302" s="30" t="str">
        <f>IF($L4302="","",INDEX($A$8:$A$5007,$L4302))</f>
        <v/>
      </c>
      <c r="N4302" s="31" t="str">
        <f>IF($L4302="","",INDEX($B$8:$B$5007,$L4302))</f>
        <v/>
      </c>
      <c r="O4302" s="32" t="str">
        <f>IF($M4302="","",IF($K4302-$M4302&gt;7,"",IF($M4302&lt;=$A4302,"",IF(OR($B4302&lt;=0,$N4302&lt;=0),"",($N4302/$B4302)^(365/($M4302-$A4302))-1))))</f>
        <v/>
      </c>
      <c r="P4302" s="31" t="str">
        <f>IF($B4302="","",IF($P4301="",$B4302,MAX($P4301,$B4302)))</f>
        <v/>
      </c>
      <c r="Q4302" s="32" t="str">
        <f>IF($P4302="","",$B4302/$P4302-1)</f>
        <v/>
      </c>
    </row>
    <row r="4303">
      <c r="A4303" s="11" t="n"/>
      <c r="B4303" s="29" t="n"/>
      <c r="K4303" s="30" t="str">
        <f>IF($A4303="","",EDATE($A4303,12*$E$4))</f>
        <v/>
      </c>
      <c r="L4303" s="19" t="str">
        <f>IF($K4303="","",IF($K4303&gt;MAX($A$8:$A$5007),"",IFERROR(MATCH($K4303,$A$8:$A$5007,1),"")))</f>
        <v/>
      </c>
      <c r="M4303" s="30" t="str">
        <f>IF($L4303="","",INDEX($A$8:$A$5007,$L4303))</f>
        <v/>
      </c>
      <c r="N4303" s="31" t="str">
        <f>IF($L4303="","",INDEX($B$8:$B$5007,$L4303))</f>
        <v/>
      </c>
      <c r="O4303" s="32" t="str">
        <f>IF($M4303="","",IF($K4303-$M4303&gt;7,"",IF($M4303&lt;=$A4303,"",IF(OR($B4303&lt;=0,$N4303&lt;=0),"",($N4303/$B4303)^(365/($M4303-$A4303))-1))))</f>
        <v/>
      </c>
      <c r="P4303" s="31" t="str">
        <f>IF($B4303="","",IF($P4302="",$B4303,MAX($P4302,$B4303)))</f>
        <v/>
      </c>
      <c r="Q4303" s="32" t="str">
        <f>IF($P4303="","",$B4303/$P4303-1)</f>
        <v/>
      </c>
    </row>
    <row r="4304">
      <c r="A4304" s="11" t="n"/>
      <c r="B4304" s="29" t="n"/>
      <c r="K4304" s="30" t="str">
        <f>IF($A4304="","",EDATE($A4304,12*$E$4))</f>
        <v/>
      </c>
      <c r="L4304" s="19" t="str">
        <f>IF($K4304="","",IF($K4304&gt;MAX($A$8:$A$5007),"",IFERROR(MATCH($K4304,$A$8:$A$5007,1),"")))</f>
        <v/>
      </c>
      <c r="M4304" s="30" t="str">
        <f>IF($L4304="","",INDEX($A$8:$A$5007,$L4304))</f>
        <v/>
      </c>
      <c r="N4304" s="31" t="str">
        <f>IF($L4304="","",INDEX($B$8:$B$5007,$L4304))</f>
        <v/>
      </c>
      <c r="O4304" s="32" t="str">
        <f>IF($M4304="","",IF($K4304-$M4304&gt;7,"",IF($M4304&lt;=$A4304,"",IF(OR($B4304&lt;=0,$N4304&lt;=0),"",($N4304/$B4304)^(365/($M4304-$A4304))-1))))</f>
        <v/>
      </c>
      <c r="P4304" s="31" t="str">
        <f>IF($B4304="","",IF($P4303="",$B4304,MAX($P4303,$B4304)))</f>
        <v/>
      </c>
      <c r="Q4304" s="32" t="str">
        <f>IF($P4304="","",$B4304/$P4304-1)</f>
        <v/>
      </c>
    </row>
    <row r="4305">
      <c r="A4305" s="11" t="n"/>
      <c r="B4305" s="29" t="n"/>
      <c r="K4305" s="30" t="str">
        <f>IF($A4305="","",EDATE($A4305,12*$E$4))</f>
        <v/>
      </c>
      <c r="L4305" s="19" t="str">
        <f>IF($K4305="","",IF($K4305&gt;MAX($A$8:$A$5007),"",IFERROR(MATCH($K4305,$A$8:$A$5007,1),"")))</f>
        <v/>
      </c>
      <c r="M4305" s="30" t="str">
        <f>IF($L4305="","",INDEX($A$8:$A$5007,$L4305))</f>
        <v/>
      </c>
      <c r="N4305" s="31" t="str">
        <f>IF($L4305="","",INDEX($B$8:$B$5007,$L4305))</f>
        <v/>
      </c>
      <c r="O4305" s="32" t="str">
        <f>IF($M4305="","",IF($K4305-$M4305&gt;7,"",IF($M4305&lt;=$A4305,"",IF(OR($B4305&lt;=0,$N4305&lt;=0),"",($N4305/$B4305)^(365/($M4305-$A4305))-1))))</f>
        <v/>
      </c>
      <c r="P4305" s="31" t="str">
        <f>IF($B4305="","",IF($P4304="",$B4305,MAX($P4304,$B4305)))</f>
        <v/>
      </c>
      <c r="Q4305" s="32" t="str">
        <f>IF($P4305="","",$B4305/$P4305-1)</f>
        <v/>
      </c>
    </row>
    <row r="4306">
      <c r="A4306" s="11" t="n"/>
      <c r="B4306" s="29" t="n"/>
      <c r="K4306" s="30" t="str">
        <f>IF($A4306="","",EDATE($A4306,12*$E$4))</f>
        <v/>
      </c>
      <c r="L4306" s="19" t="str">
        <f>IF($K4306="","",IF($K4306&gt;MAX($A$8:$A$5007),"",IFERROR(MATCH($K4306,$A$8:$A$5007,1),"")))</f>
        <v/>
      </c>
      <c r="M4306" s="30" t="str">
        <f>IF($L4306="","",INDEX($A$8:$A$5007,$L4306))</f>
        <v/>
      </c>
      <c r="N4306" s="31" t="str">
        <f>IF($L4306="","",INDEX($B$8:$B$5007,$L4306))</f>
        <v/>
      </c>
      <c r="O4306" s="32" t="str">
        <f>IF($M4306="","",IF($K4306-$M4306&gt;7,"",IF($M4306&lt;=$A4306,"",IF(OR($B4306&lt;=0,$N4306&lt;=0),"",($N4306/$B4306)^(365/($M4306-$A4306))-1))))</f>
        <v/>
      </c>
      <c r="P4306" s="31" t="str">
        <f>IF($B4306="","",IF($P4305="",$B4306,MAX($P4305,$B4306)))</f>
        <v/>
      </c>
      <c r="Q4306" s="32" t="str">
        <f>IF($P4306="","",$B4306/$P4306-1)</f>
        <v/>
      </c>
    </row>
    <row r="4307">
      <c r="A4307" s="11" t="n"/>
      <c r="B4307" s="29" t="n"/>
      <c r="K4307" s="30" t="str">
        <f>IF($A4307="","",EDATE($A4307,12*$E$4))</f>
        <v/>
      </c>
      <c r="L4307" s="19" t="str">
        <f>IF($K4307="","",IF($K4307&gt;MAX($A$8:$A$5007),"",IFERROR(MATCH($K4307,$A$8:$A$5007,1),"")))</f>
        <v/>
      </c>
      <c r="M4307" s="30" t="str">
        <f>IF($L4307="","",INDEX($A$8:$A$5007,$L4307))</f>
        <v/>
      </c>
      <c r="N4307" s="31" t="str">
        <f>IF($L4307="","",INDEX($B$8:$B$5007,$L4307))</f>
        <v/>
      </c>
      <c r="O4307" s="32" t="str">
        <f>IF($M4307="","",IF($K4307-$M4307&gt;7,"",IF($M4307&lt;=$A4307,"",IF(OR($B4307&lt;=0,$N4307&lt;=0),"",($N4307/$B4307)^(365/($M4307-$A4307))-1))))</f>
        <v/>
      </c>
      <c r="P4307" s="31" t="str">
        <f>IF($B4307="","",IF($P4306="",$B4307,MAX($P4306,$B4307)))</f>
        <v/>
      </c>
      <c r="Q4307" s="32" t="str">
        <f>IF($P4307="","",$B4307/$P4307-1)</f>
        <v/>
      </c>
    </row>
    <row r="4308">
      <c r="A4308" s="11" t="n"/>
      <c r="B4308" s="29" t="n"/>
      <c r="K4308" s="30" t="str">
        <f>IF($A4308="","",EDATE($A4308,12*$E$4))</f>
        <v/>
      </c>
      <c r="L4308" s="19" t="str">
        <f>IF($K4308="","",IF($K4308&gt;MAX($A$8:$A$5007),"",IFERROR(MATCH($K4308,$A$8:$A$5007,1),"")))</f>
        <v/>
      </c>
      <c r="M4308" s="30" t="str">
        <f>IF($L4308="","",INDEX($A$8:$A$5007,$L4308))</f>
        <v/>
      </c>
      <c r="N4308" s="31" t="str">
        <f>IF($L4308="","",INDEX($B$8:$B$5007,$L4308))</f>
        <v/>
      </c>
      <c r="O4308" s="32" t="str">
        <f>IF($M4308="","",IF($K4308-$M4308&gt;7,"",IF($M4308&lt;=$A4308,"",IF(OR($B4308&lt;=0,$N4308&lt;=0),"",($N4308/$B4308)^(365/($M4308-$A4308))-1))))</f>
        <v/>
      </c>
      <c r="P4308" s="31" t="str">
        <f>IF($B4308="","",IF($P4307="",$B4308,MAX($P4307,$B4308)))</f>
        <v/>
      </c>
      <c r="Q4308" s="32" t="str">
        <f>IF($P4308="","",$B4308/$P4308-1)</f>
        <v/>
      </c>
    </row>
    <row r="4309">
      <c r="A4309" s="11" t="n"/>
      <c r="B4309" s="29" t="n"/>
      <c r="K4309" s="30" t="str">
        <f>IF($A4309="","",EDATE($A4309,12*$E$4))</f>
        <v/>
      </c>
      <c r="L4309" s="19" t="str">
        <f>IF($K4309="","",IF($K4309&gt;MAX($A$8:$A$5007),"",IFERROR(MATCH($K4309,$A$8:$A$5007,1),"")))</f>
        <v/>
      </c>
      <c r="M4309" s="30" t="str">
        <f>IF($L4309="","",INDEX($A$8:$A$5007,$L4309))</f>
        <v/>
      </c>
      <c r="N4309" s="31" t="str">
        <f>IF($L4309="","",INDEX($B$8:$B$5007,$L4309))</f>
        <v/>
      </c>
      <c r="O4309" s="32" t="str">
        <f>IF($M4309="","",IF($K4309-$M4309&gt;7,"",IF($M4309&lt;=$A4309,"",IF(OR($B4309&lt;=0,$N4309&lt;=0),"",($N4309/$B4309)^(365/($M4309-$A4309))-1))))</f>
        <v/>
      </c>
      <c r="P4309" s="31" t="str">
        <f>IF($B4309="","",IF($P4308="",$B4309,MAX($P4308,$B4309)))</f>
        <v/>
      </c>
      <c r="Q4309" s="32" t="str">
        <f>IF($P4309="","",$B4309/$P4309-1)</f>
        <v/>
      </c>
    </row>
    <row r="4310">
      <c r="A4310" s="11" t="n"/>
      <c r="B4310" s="29" t="n"/>
      <c r="K4310" s="30" t="str">
        <f>IF($A4310="","",EDATE($A4310,12*$E$4))</f>
        <v/>
      </c>
      <c r="L4310" s="19" t="str">
        <f>IF($K4310="","",IF($K4310&gt;MAX($A$8:$A$5007),"",IFERROR(MATCH($K4310,$A$8:$A$5007,1),"")))</f>
        <v/>
      </c>
      <c r="M4310" s="30" t="str">
        <f>IF($L4310="","",INDEX($A$8:$A$5007,$L4310))</f>
        <v/>
      </c>
      <c r="N4310" s="31" t="str">
        <f>IF($L4310="","",INDEX($B$8:$B$5007,$L4310))</f>
        <v/>
      </c>
      <c r="O4310" s="32" t="str">
        <f>IF($M4310="","",IF($K4310-$M4310&gt;7,"",IF($M4310&lt;=$A4310,"",IF(OR($B4310&lt;=0,$N4310&lt;=0),"",($N4310/$B4310)^(365/($M4310-$A4310))-1))))</f>
        <v/>
      </c>
      <c r="P4310" s="31" t="str">
        <f>IF($B4310="","",IF($P4309="",$B4310,MAX($P4309,$B4310)))</f>
        <v/>
      </c>
      <c r="Q4310" s="32" t="str">
        <f>IF($P4310="","",$B4310/$P4310-1)</f>
        <v/>
      </c>
    </row>
    <row r="4311">
      <c r="A4311" s="11" t="n"/>
      <c r="B4311" s="29" t="n"/>
      <c r="K4311" s="30" t="str">
        <f>IF($A4311="","",EDATE($A4311,12*$E$4))</f>
        <v/>
      </c>
      <c r="L4311" s="19" t="str">
        <f>IF($K4311="","",IF($K4311&gt;MAX($A$8:$A$5007),"",IFERROR(MATCH($K4311,$A$8:$A$5007,1),"")))</f>
        <v/>
      </c>
      <c r="M4311" s="30" t="str">
        <f>IF($L4311="","",INDEX($A$8:$A$5007,$L4311))</f>
        <v/>
      </c>
      <c r="N4311" s="31" t="str">
        <f>IF($L4311="","",INDEX($B$8:$B$5007,$L4311))</f>
        <v/>
      </c>
      <c r="O4311" s="32" t="str">
        <f>IF($M4311="","",IF($K4311-$M4311&gt;7,"",IF($M4311&lt;=$A4311,"",IF(OR($B4311&lt;=0,$N4311&lt;=0),"",($N4311/$B4311)^(365/($M4311-$A4311))-1))))</f>
        <v/>
      </c>
      <c r="P4311" s="31" t="str">
        <f>IF($B4311="","",IF($P4310="",$B4311,MAX($P4310,$B4311)))</f>
        <v/>
      </c>
      <c r="Q4311" s="32" t="str">
        <f>IF($P4311="","",$B4311/$P4311-1)</f>
        <v/>
      </c>
    </row>
    <row r="4312">
      <c r="A4312" s="11" t="n"/>
      <c r="B4312" s="29" t="n"/>
      <c r="K4312" s="30" t="str">
        <f>IF($A4312="","",EDATE($A4312,12*$E$4))</f>
        <v/>
      </c>
      <c r="L4312" s="19" t="str">
        <f>IF($K4312="","",IF($K4312&gt;MAX($A$8:$A$5007),"",IFERROR(MATCH($K4312,$A$8:$A$5007,1),"")))</f>
        <v/>
      </c>
      <c r="M4312" s="30" t="str">
        <f>IF($L4312="","",INDEX($A$8:$A$5007,$L4312))</f>
        <v/>
      </c>
      <c r="N4312" s="31" t="str">
        <f>IF($L4312="","",INDEX($B$8:$B$5007,$L4312))</f>
        <v/>
      </c>
      <c r="O4312" s="32" t="str">
        <f>IF($M4312="","",IF($K4312-$M4312&gt;7,"",IF($M4312&lt;=$A4312,"",IF(OR($B4312&lt;=0,$N4312&lt;=0),"",($N4312/$B4312)^(365/($M4312-$A4312))-1))))</f>
        <v/>
      </c>
      <c r="P4312" s="31" t="str">
        <f>IF($B4312="","",IF($P4311="",$B4312,MAX($P4311,$B4312)))</f>
        <v/>
      </c>
      <c r="Q4312" s="32" t="str">
        <f>IF($P4312="","",$B4312/$P4312-1)</f>
        <v/>
      </c>
    </row>
    <row r="4313">
      <c r="A4313" s="11" t="n"/>
      <c r="B4313" s="29" t="n"/>
      <c r="K4313" s="30" t="str">
        <f>IF($A4313="","",EDATE($A4313,12*$E$4))</f>
        <v/>
      </c>
      <c r="L4313" s="19" t="str">
        <f>IF($K4313="","",IF($K4313&gt;MAX($A$8:$A$5007),"",IFERROR(MATCH($K4313,$A$8:$A$5007,1),"")))</f>
        <v/>
      </c>
      <c r="M4313" s="30" t="str">
        <f>IF($L4313="","",INDEX($A$8:$A$5007,$L4313))</f>
        <v/>
      </c>
      <c r="N4313" s="31" t="str">
        <f>IF($L4313="","",INDEX($B$8:$B$5007,$L4313))</f>
        <v/>
      </c>
      <c r="O4313" s="32" t="str">
        <f>IF($M4313="","",IF($K4313-$M4313&gt;7,"",IF($M4313&lt;=$A4313,"",IF(OR($B4313&lt;=0,$N4313&lt;=0),"",($N4313/$B4313)^(365/($M4313-$A4313))-1))))</f>
        <v/>
      </c>
      <c r="P4313" s="31" t="str">
        <f>IF($B4313="","",IF($P4312="",$B4313,MAX($P4312,$B4313)))</f>
        <v/>
      </c>
      <c r="Q4313" s="32" t="str">
        <f>IF($P4313="","",$B4313/$P4313-1)</f>
        <v/>
      </c>
    </row>
    <row r="4314">
      <c r="A4314" s="11" t="n"/>
      <c r="B4314" s="29" t="n"/>
      <c r="K4314" s="30" t="str">
        <f>IF($A4314="","",EDATE($A4314,12*$E$4))</f>
        <v/>
      </c>
      <c r="L4314" s="19" t="str">
        <f>IF($K4314="","",IF($K4314&gt;MAX($A$8:$A$5007),"",IFERROR(MATCH($K4314,$A$8:$A$5007,1),"")))</f>
        <v/>
      </c>
      <c r="M4314" s="30" t="str">
        <f>IF($L4314="","",INDEX($A$8:$A$5007,$L4314))</f>
        <v/>
      </c>
      <c r="N4314" s="31" t="str">
        <f>IF($L4314="","",INDEX($B$8:$B$5007,$L4314))</f>
        <v/>
      </c>
      <c r="O4314" s="32" t="str">
        <f>IF($M4314="","",IF($K4314-$M4314&gt;7,"",IF($M4314&lt;=$A4314,"",IF(OR($B4314&lt;=0,$N4314&lt;=0),"",($N4314/$B4314)^(365/($M4314-$A4314))-1))))</f>
        <v/>
      </c>
      <c r="P4314" s="31" t="str">
        <f>IF($B4314="","",IF($P4313="",$B4314,MAX($P4313,$B4314)))</f>
        <v/>
      </c>
      <c r="Q4314" s="32" t="str">
        <f>IF($P4314="","",$B4314/$P4314-1)</f>
        <v/>
      </c>
    </row>
    <row r="4315">
      <c r="A4315" s="11" t="n"/>
      <c r="B4315" s="29" t="n"/>
      <c r="K4315" s="30" t="str">
        <f>IF($A4315="","",EDATE($A4315,12*$E$4))</f>
        <v/>
      </c>
      <c r="L4315" s="19" t="str">
        <f>IF($K4315="","",IF($K4315&gt;MAX($A$8:$A$5007),"",IFERROR(MATCH($K4315,$A$8:$A$5007,1),"")))</f>
        <v/>
      </c>
      <c r="M4315" s="30" t="str">
        <f>IF($L4315="","",INDEX($A$8:$A$5007,$L4315))</f>
        <v/>
      </c>
      <c r="N4315" s="31" t="str">
        <f>IF($L4315="","",INDEX($B$8:$B$5007,$L4315))</f>
        <v/>
      </c>
      <c r="O4315" s="32" t="str">
        <f>IF($M4315="","",IF($K4315-$M4315&gt;7,"",IF($M4315&lt;=$A4315,"",IF(OR($B4315&lt;=0,$N4315&lt;=0),"",($N4315/$B4315)^(365/($M4315-$A4315))-1))))</f>
        <v/>
      </c>
      <c r="P4315" s="31" t="str">
        <f>IF($B4315="","",IF($P4314="",$B4315,MAX($P4314,$B4315)))</f>
        <v/>
      </c>
      <c r="Q4315" s="32" t="str">
        <f>IF($P4315="","",$B4315/$P4315-1)</f>
        <v/>
      </c>
    </row>
    <row r="4316">
      <c r="A4316" s="11" t="n"/>
      <c r="B4316" s="29" t="n"/>
      <c r="K4316" s="30" t="str">
        <f>IF($A4316="","",EDATE($A4316,12*$E$4))</f>
        <v/>
      </c>
      <c r="L4316" s="19" t="str">
        <f>IF($K4316="","",IF($K4316&gt;MAX($A$8:$A$5007),"",IFERROR(MATCH($K4316,$A$8:$A$5007,1),"")))</f>
        <v/>
      </c>
      <c r="M4316" s="30" t="str">
        <f>IF($L4316="","",INDEX($A$8:$A$5007,$L4316))</f>
        <v/>
      </c>
      <c r="N4316" s="31" t="str">
        <f>IF($L4316="","",INDEX($B$8:$B$5007,$L4316))</f>
        <v/>
      </c>
      <c r="O4316" s="32" t="str">
        <f>IF($M4316="","",IF($K4316-$M4316&gt;7,"",IF($M4316&lt;=$A4316,"",IF(OR($B4316&lt;=0,$N4316&lt;=0),"",($N4316/$B4316)^(365/($M4316-$A4316))-1))))</f>
        <v/>
      </c>
      <c r="P4316" s="31" t="str">
        <f>IF($B4316="","",IF($P4315="",$B4316,MAX($P4315,$B4316)))</f>
        <v/>
      </c>
      <c r="Q4316" s="32" t="str">
        <f>IF($P4316="","",$B4316/$P4316-1)</f>
        <v/>
      </c>
    </row>
    <row r="4317">
      <c r="A4317" s="11" t="n"/>
      <c r="B4317" s="29" t="n"/>
      <c r="K4317" s="30" t="str">
        <f>IF($A4317="","",EDATE($A4317,12*$E$4))</f>
        <v/>
      </c>
      <c r="L4317" s="19" t="str">
        <f>IF($K4317="","",IF($K4317&gt;MAX($A$8:$A$5007),"",IFERROR(MATCH($K4317,$A$8:$A$5007,1),"")))</f>
        <v/>
      </c>
      <c r="M4317" s="30" t="str">
        <f>IF($L4317="","",INDEX($A$8:$A$5007,$L4317))</f>
        <v/>
      </c>
      <c r="N4317" s="31" t="str">
        <f>IF($L4317="","",INDEX($B$8:$B$5007,$L4317))</f>
        <v/>
      </c>
      <c r="O4317" s="32" t="str">
        <f>IF($M4317="","",IF($K4317-$M4317&gt;7,"",IF($M4317&lt;=$A4317,"",IF(OR($B4317&lt;=0,$N4317&lt;=0),"",($N4317/$B4317)^(365/($M4317-$A4317))-1))))</f>
        <v/>
      </c>
      <c r="P4317" s="31" t="str">
        <f>IF($B4317="","",IF($P4316="",$B4317,MAX($P4316,$B4317)))</f>
        <v/>
      </c>
      <c r="Q4317" s="32" t="str">
        <f>IF($P4317="","",$B4317/$P4317-1)</f>
        <v/>
      </c>
    </row>
    <row r="4318">
      <c r="A4318" s="11" t="n"/>
      <c r="B4318" s="29" t="n"/>
      <c r="K4318" s="30" t="str">
        <f>IF($A4318="","",EDATE($A4318,12*$E$4))</f>
        <v/>
      </c>
      <c r="L4318" s="19" t="str">
        <f>IF($K4318="","",IF($K4318&gt;MAX($A$8:$A$5007),"",IFERROR(MATCH($K4318,$A$8:$A$5007,1),"")))</f>
        <v/>
      </c>
      <c r="M4318" s="30" t="str">
        <f>IF($L4318="","",INDEX($A$8:$A$5007,$L4318))</f>
        <v/>
      </c>
      <c r="N4318" s="31" t="str">
        <f>IF($L4318="","",INDEX($B$8:$B$5007,$L4318))</f>
        <v/>
      </c>
      <c r="O4318" s="32" t="str">
        <f>IF($M4318="","",IF($K4318-$M4318&gt;7,"",IF($M4318&lt;=$A4318,"",IF(OR($B4318&lt;=0,$N4318&lt;=0),"",($N4318/$B4318)^(365/($M4318-$A4318))-1))))</f>
        <v/>
      </c>
      <c r="P4318" s="31" t="str">
        <f>IF($B4318="","",IF($P4317="",$B4318,MAX($P4317,$B4318)))</f>
        <v/>
      </c>
      <c r="Q4318" s="32" t="str">
        <f>IF($P4318="","",$B4318/$P4318-1)</f>
        <v/>
      </c>
    </row>
    <row r="4319">
      <c r="A4319" s="11" t="n"/>
      <c r="B4319" s="29" t="n"/>
      <c r="K4319" s="30" t="str">
        <f>IF($A4319="","",EDATE($A4319,12*$E$4))</f>
        <v/>
      </c>
      <c r="L4319" s="19" t="str">
        <f>IF($K4319="","",IF($K4319&gt;MAX($A$8:$A$5007),"",IFERROR(MATCH($K4319,$A$8:$A$5007,1),"")))</f>
        <v/>
      </c>
      <c r="M4319" s="30" t="str">
        <f>IF($L4319="","",INDEX($A$8:$A$5007,$L4319))</f>
        <v/>
      </c>
      <c r="N4319" s="31" t="str">
        <f>IF($L4319="","",INDEX($B$8:$B$5007,$L4319))</f>
        <v/>
      </c>
      <c r="O4319" s="32" t="str">
        <f>IF($M4319="","",IF($K4319-$M4319&gt;7,"",IF($M4319&lt;=$A4319,"",IF(OR($B4319&lt;=0,$N4319&lt;=0),"",($N4319/$B4319)^(365/($M4319-$A4319))-1))))</f>
        <v/>
      </c>
      <c r="P4319" s="31" t="str">
        <f>IF($B4319="","",IF($P4318="",$B4319,MAX($P4318,$B4319)))</f>
        <v/>
      </c>
      <c r="Q4319" s="32" t="str">
        <f>IF($P4319="","",$B4319/$P4319-1)</f>
        <v/>
      </c>
    </row>
    <row r="4320">
      <c r="A4320" s="11" t="n"/>
      <c r="B4320" s="29" t="n"/>
      <c r="K4320" s="30" t="str">
        <f>IF($A4320="","",EDATE($A4320,12*$E$4))</f>
        <v/>
      </c>
      <c r="L4320" s="19" t="str">
        <f>IF($K4320="","",IF($K4320&gt;MAX($A$8:$A$5007),"",IFERROR(MATCH($K4320,$A$8:$A$5007,1),"")))</f>
        <v/>
      </c>
      <c r="M4320" s="30" t="str">
        <f>IF($L4320="","",INDEX($A$8:$A$5007,$L4320))</f>
        <v/>
      </c>
      <c r="N4320" s="31" t="str">
        <f>IF($L4320="","",INDEX($B$8:$B$5007,$L4320))</f>
        <v/>
      </c>
      <c r="O4320" s="32" t="str">
        <f>IF($M4320="","",IF($K4320-$M4320&gt;7,"",IF($M4320&lt;=$A4320,"",IF(OR($B4320&lt;=0,$N4320&lt;=0),"",($N4320/$B4320)^(365/($M4320-$A4320))-1))))</f>
        <v/>
      </c>
      <c r="P4320" s="31" t="str">
        <f>IF($B4320="","",IF($P4319="",$B4320,MAX($P4319,$B4320)))</f>
        <v/>
      </c>
      <c r="Q4320" s="32" t="str">
        <f>IF($P4320="","",$B4320/$P4320-1)</f>
        <v/>
      </c>
    </row>
    <row r="4321">
      <c r="A4321" s="11" t="n"/>
      <c r="B4321" s="29" t="n"/>
      <c r="K4321" s="30" t="str">
        <f>IF($A4321="","",EDATE($A4321,12*$E$4))</f>
        <v/>
      </c>
      <c r="L4321" s="19" t="str">
        <f>IF($K4321="","",IF($K4321&gt;MAX($A$8:$A$5007),"",IFERROR(MATCH($K4321,$A$8:$A$5007,1),"")))</f>
        <v/>
      </c>
      <c r="M4321" s="30" t="str">
        <f>IF($L4321="","",INDEX($A$8:$A$5007,$L4321))</f>
        <v/>
      </c>
      <c r="N4321" s="31" t="str">
        <f>IF($L4321="","",INDEX($B$8:$B$5007,$L4321))</f>
        <v/>
      </c>
      <c r="O4321" s="32" t="str">
        <f>IF($M4321="","",IF($K4321-$M4321&gt;7,"",IF($M4321&lt;=$A4321,"",IF(OR($B4321&lt;=0,$N4321&lt;=0),"",($N4321/$B4321)^(365/($M4321-$A4321))-1))))</f>
        <v/>
      </c>
      <c r="P4321" s="31" t="str">
        <f>IF($B4321="","",IF($P4320="",$B4321,MAX($P4320,$B4321)))</f>
        <v/>
      </c>
      <c r="Q4321" s="32" t="str">
        <f>IF($P4321="","",$B4321/$P4321-1)</f>
        <v/>
      </c>
    </row>
    <row r="4322">
      <c r="A4322" s="11" t="n"/>
      <c r="B4322" s="29" t="n"/>
      <c r="K4322" s="30" t="str">
        <f>IF($A4322="","",EDATE($A4322,12*$E$4))</f>
        <v/>
      </c>
      <c r="L4322" s="19" t="str">
        <f>IF($K4322="","",IF($K4322&gt;MAX($A$8:$A$5007),"",IFERROR(MATCH($K4322,$A$8:$A$5007,1),"")))</f>
        <v/>
      </c>
      <c r="M4322" s="30" t="str">
        <f>IF($L4322="","",INDEX($A$8:$A$5007,$L4322))</f>
        <v/>
      </c>
      <c r="N4322" s="31" t="str">
        <f>IF($L4322="","",INDEX($B$8:$B$5007,$L4322))</f>
        <v/>
      </c>
      <c r="O4322" s="32" t="str">
        <f>IF($M4322="","",IF($K4322-$M4322&gt;7,"",IF($M4322&lt;=$A4322,"",IF(OR($B4322&lt;=0,$N4322&lt;=0),"",($N4322/$B4322)^(365/($M4322-$A4322))-1))))</f>
        <v/>
      </c>
      <c r="P4322" s="31" t="str">
        <f>IF($B4322="","",IF($P4321="",$B4322,MAX($P4321,$B4322)))</f>
        <v/>
      </c>
      <c r="Q4322" s="32" t="str">
        <f>IF($P4322="","",$B4322/$P4322-1)</f>
        <v/>
      </c>
    </row>
    <row r="4323">
      <c r="A4323" s="11" t="n"/>
      <c r="B4323" s="29" t="n"/>
      <c r="K4323" s="30" t="str">
        <f>IF($A4323="","",EDATE($A4323,12*$E$4))</f>
        <v/>
      </c>
      <c r="L4323" s="19" t="str">
        <f>IF($K4323="","",IF($K4323&gt;MAX($A$8:$A$5007),"",IFERROR(MATCH($K4323,$A$8:$A$5007,1),"")))</f>
        <v/>
      </c>
      <c r="M4323" s="30" t="str">
        <f>IF($L4323="","",INDEX($A$8:$A$5007,$L4323))</f>
        <v/>
      </c>
      <c r="N4323" s="31" t="str">
        <f>IF($L4323="","",INDEX($B$8:$B$5007,$L4323))</f>
        <v/>
      </c>
      <c r="O4323" s="32" t="str">
        <f>IF($M4323="","",IF($K4323-$M4323&gt;7,"",IF($M4323&lt;=$A4323,"",IF(OR($B4323&lt;=0,$N4323&lt;=0),"",($N4323/$B4323)^(365/($M4323-$A4323))-1))))</f>
        <v/>
      </c>
      <c r="P4323" s="31" t="str">
        <f>IF($B4323="","",IF($P4322="",$B4323,MAX($P4322,$B4323)))</f>
        <v/>
      </c>
      <c r="Q4323" s="32" t="str">
        <f>IF($P4323="","",$B4323/$P4323-1)</f>
        <v/>
      </c>
    </row>
    <row r="4324">
      <c r="A4324" s="11" t="n"/>
      <c r="B4324" s="29" t="n"/>
      <c r="K4324" s="30" t="str">
        <f>IF($A4324="","",EDATE($A4324,12*$E$4))</f>
        <v/>
      </c>
      <c r="L4324" s="19" t="str">
        <f>IF($K4324="","",IF($K4324&gt;MAX($A$8:$A$5007),"",IFERROR(MATCH($K4324,$A$8:$A$5007,1),"")))</f>
        <v/>
      </c>
      <c r="M4324" s="30" t="str">
        <f>IF($L4324="","",INDEX($A$8:$A$5007,$L4324))</f>
        <v/>
      </c>
      <c r="N4324" s="31" t="str">
        <f>IF($L4324="","",INDEX($B$8:$B$5007,$L4324))</f>
        <v/>
      </c>
      <c r="O4324" s="32" t="str">
        <f>IF($M4324="","",IF($K4324-$M4324&gt;7,"",IF($M4324&lt;=$A4324,"",IF(OR($B4324&lt;=0,$N4324&lt;=0),"",($N4324/$B4324)^(365/($M4324-$A4324))-1))))</f>
        <v/>
      </c>
      <c r="P4324" s="31" t="str">
        <f>IF($B4324="","",IF($P4323="",$B4324,MAX($P4323,$B4324)))</f>
        <v/>
      </c>
      <c r="Q4324" s="32" t="str">
        <f>IF($P4324="","",$B4324/$P4324-1)</f>
        <v/>
      </c>
    </row>
    <row r="4325">
      <c r="A4325" s="11" t="n"/>
      <c r="B4325" s="29" t="n"/>
      <c r="K4325" s="30" t="str">
        <f>IF($A4325="","",EDATE($A4325,12*$E$4))</f>
        <v/>
      </c>
      <c r="L4325" s="19" t="str">
        <f>IF($K4325="","",IF($K4325&gt;MAX($A$8:$A$5007),"",IFERROR(MATCH($K4325,$A$8:$A$5007,1),"")))</f>
        <v/>
      </c>
      <c r="M4325" s="30" t="str">
        <f>IF($L4325="","",INDEX($A$8:$A$5007,$L4325))</f>
        <v/>
      </c>
      <c r="N4325" s="31" t="str">
        <f>IF($L4325="","",INDEX($B$8:$B$5007,$L4325))</f>
        <v/>
      </c>
      <c r="O4325" s="32" t="str">
        <f>IF($M4325="","",IF($K4325-$M4325&gt;7,"",IF($M4325&lt;=$A4325,"",IF(OR($B4325&lt;=0,$N4325&lt;=0),"",($N4325/$B4325)^(365/($M4325-$A4325))-1))))</f>
        <v/>
      </c>
      <c r="P4325" s="31" t="str">
        <f>IF($B4325="","",IF($P4324="",$B4325,MAX($P4324,$B4325)))</f>
        <v/>
      </c>
      <c r="Q4325" s="32" t="str">
        <f>IF($P4325="","",$B4325/$P4325-1)</f>
        <v/>
      </c>
    </row>
    <row r="4326">
      <c r="A4326" s="11" t="n"/>
      <c r="B4326" s="29" t="n"/>
      <c r="K4326" s="30" t="str">
        <f>IF($A4326="","",EDATE($A4326,12*$E$4))</f>
        <v/>
      </c>
      <c r="L4326" s="19" t="str">
        <f>IF($K4326="","",IF($K4326&gt;MAX($A$8:$A$5007),"",IFERROR(MATCH($K4326,$A$8:$A$5007,1),"")))</f>
        <v/>
      </c>
      <c r="M4326" s="30" t="str">
        <f>IF($L4326="","",INDEX($A$8:$A$5007,$L4326))</f>
        <v/>
      </c>
      <c r="N4326" s="31" t="str">
        <f>IF($L4326="","",INDEX($B$8:$B$5007,$L4326))</f>
        <v/>
      </c>
      <c r="O4326" s="32" t="str">
        <f>IF($M4326="","",IF($K4326-$M4326&gt;7,"",IF($M4326&lt;=$A4326,"",IF(OR($B4326&lt;=0,$N4326&lt;=0),"",($N4326/$B4326)^(365/($M4326-$A4326))-1))))</f>
        <v/>
      </c>
      <c r="P4326" s="31" t="str">
        <f>IF($B4326="","",IF($P4325="",$B4326,MAX($P4325,$B4326)))</f>
        <v/>
      </c>
      <c r="Q4326" s="32" t="str">
        <f>IF($P4326="","",$B4326/$P4326-1)</f>
        <v/>
      </c>
    </row>
    <row r="4327">
      <c r="A4327" s="11" t="n"/>
      <c r="B4327" s="29" t="n"/>
      <c r="K4327" s="30" t="str">
        <f>IF($A4327="","",EDATE($A4327,12*$E$4))</f>
        <v/>
      </c>
      <c r="L4327" s="19" t="str">
        <f>IF($K4327="","",IF($K4327&gt;MAX($A$8:$A$5007),"",IFERROR(MATCH($K4327,$A$8:$A$5007,1),"")))</f>
        <v/>
      </c>
      <c r="M4327" s="30" t="str">
        <f>IF($L4327="","",INDEX($A$8:$A$5007,$L4327))</f>
        <v/>
      </c>
      <c r="N4327" s="31" t="str">
        <f>IF($L4327="","",INDEX($B$8:$B$5007,$L4327))</f>
        <v/>
      </c>
      <c r="O4327" s="32" t="str">
        <f>IF($M4327="","",IF($K4327-$M4327&gt;7,"",IF($M4327&lt;=$A4327,"",IF(OR($B4327&lt;=0,$N4327&lt;=0),"",($N4327/$B4327)^(365/($M4327-$A4327))-1))))</f>
        <v/>
      </c>
      <c r="P4327" s="31" t="str">
        <f>IF($B4327="","",IF($P4326="",$B4327,MAX($P4326,$B4327)))</f>
        <v/>
      </c>
      <c r="Q4327" s="32" t="str">
        <f>IF($P4327="","",$B4327/$P4327-1)</f>
        <v/>
      </c>
    </row>
    <row r="4328">
      <c r="A4328" s="11" t="n"/>
      <c r="B4328" s="29" t="n"/>
      <c r="K4328" s="30" t="str">
        <f>IF($A4328="","",EDATE($A4328,12*$E$4))</f>
        <v/>
      </c>
      <c r="L4328" s="19" t="str">
        <f>IF($K4328="","",IF($K4328&gt;MAX($A$8:$A$5007),"",IFERROR(MATCH($K4328,$A$8:$A$5007,1),"")))</f>
        <v/>
      </c>
      <c r="M4328" s="30" t="str">
        <f>IF($L4328="","",INDEX($A$8:$A$5007,$L4328))</f>
        <v/>
      </c>
      <c r="N4328" s="31" t="str">
        <f>IF($L4328="","",INDEX($B$8:$B$5007,$L4328))</f>
        <v/>
      </c>
      <c r="O4328" s="32" t="str">
        <f>IF($M4328="","",IF($K4328-$M4328&gt;7,"",IF($M4328&lt;=$A4328,"",IF(OR($B4328&lt;=0,$N4328&lt;=0),"",($N4328/$B4328)^(365/($M4328-$A4328))-1))))</f>
        <v/>
      </c>
      <c r="P4328" s="31" t="str">
        <f>IF($B4328="","",IF($P4327="",$B4328,MAX($P4327,$B4328)))</f>
        <v/>
      </c>
      <c r="Q4328" s="32" t="str">
        <f>IF($P4328="","",$B4328/$P4328-1)</f>
        <v/>
      </c>
    </row>
    <row r="4329">
      <c r="A4329" s="11" t="n"/>
      <c r="B4329" s="29" t="n"/>
      <c r="K4329" s="30" t="str">
        <f>IF($A4329="","",EDATE($A4329,12*$E$4))</f>
        <v/>
      </c>
      <c r="L4329" s="19" t="str">
        <f>IF($K4329="","",IF($K4329&gt;MAX($A$8:$A$5007),"",IFERROR(MATCH($K4329,$A$8:$A$5007,1),"")))</f>
        <v/>
      </c>
      <c r="M4329" s="30" t="str">
        <f>IF($L4329="","",INDEX($A$8:$A$5007,$L4329))</f>
        <v/>
      </c>
      <c r="N4329" s="31" t="str">
        <f>IF($L4329="","",INDEX($B$8:$B$5007,$L4329))</f>
        <v/>
      </c>
      <c r="O4329" s="32" t="str">
        <f>IF($M4329="","",IF($K4329-$M4329&gt;7,"",IF($M4329&lt;=$A4329,"",IF(OR($B4329&lt;=0,$N4329&lt;=0),"",($N4329/$B4329)^(365/($M4329-$A4329))-1))))</f>
        <v/>
      </c>
      <c r="P4329" s="31" t="str">
        <f>IF($B4329="","",IF($P4328="",$B4329,MAX($P4328,$B4329)))</f>
        <v/>
      </c>
      <c r="Q4329" s="32" t="str">
        <f>IF($P4329="","",$B4329/$P4329-1)</f>
        <v/>
      </c>
    </row>
    <row r="4330">
      <c r="A4330" s="11" t="n"/>
      <c r="B4330" s="29" t="n"/>
      <c r="K4330" s="30" t="str">
        <f>IF($A4330="","",EDATE($A4330,12*$E$4))</f>
        <v/>
      </c>
      <c r="L4330" s="19" t="str">
        <f>IF($K4330="","",IF($K4330&gt;MAX($A$8:$A$5007),"",IFERROR(MATCH($K4330,$A$8:$A$5007,1),"")))</f>
        <v/>
      </c>
      <c r="M4330" s="30" t="str">
        <f>IF($L4330="","",INDEX($A$8:$A$5007,$L4330))</f>
        <v/>
      </c>
      <c r="N4330" s="31" t="str">
        <f>IF($L4330="","",INDEX($B$8:$B$5007,$L4330))</f>
        <v/>
      </c>
      <c r="O4330" s="32" t="str">
        <f>IF($M4330="","",IF($K4330-$M4330&gt;7,"",IF($M4330&lt;=$A4330,"",IF(OR($B4330&lt;=0,$N4330&lt;=0),"",($N4330/$B4330)^(365/($M4330-$A4330))-1))))</f>
        <v/>
      </c>
      <c r="P4330" s="31" t="str">
        <f>IF($B4330="","",IF($P4329="",$B4330,MAX($P4329,$B4330)))</f>
        <v/>
      </c>
      <c r="Q4330" s="32" t="str">
        <f>IF($P4330="","",$B4330/$P4330-1)</f>
        <v/>
      </c>
    </row>
    <row r="4331">
      <c r="A4331" s="11" t="n"/>
      <c r="B4331" s="29" t="n"/>
      <c r="K4331" s="30" t="str">
        <f>IF($A4331="","",EDATE($A4331,12*$E$4))</f>
        <v/>
      </c>
      <c r="L4331" s="19" t="str">
        <f>IF($K4331="","",IF($K4331&gt;MAX($A$8:$A$5007),"",IFERROR(MATCH($K4331,$A$8:$A$5007,1),"")))</f>
        <v/>
      </c>
      <c r="M4331" s="30" t="str">
        <f>IF($L4331="","",INDEX($A$8:$A$5007,$L4331))</f>
        <v/>
      </c>
      <c r="N4331" s="31" t="str">
        <f>IF($L4331="","",INDEX($B$8:$B$5007,$L4331))</f>
        <v/>
      </c>
      <c r="O4331" s="32" t="str">
        <f>IF($M4331="","",IF($K4331-$M4331&gt;7,"",IF($M4331&lt;=$A4331,"",IF(OR($B4331&lt;=0,$N4331&lt;=0),"",($N4331/$B4331)^(365/($M4331-$A4331))-1))))</f>
        <v/>
      </c>
      <c r="P4331" s="31" t="str">
        <f>IF($B4331="","",IF($P4330="",$B4331,MAX($P4330,$B4331)))</f>
        <v/>
      </c>
      <c r="Q4331" s="32" t="str">
        <f>IF($P4331="","",$B4331/$P4331-1)</f>
        <v/>
      </c>
    </row>
    <row r="4332">
      <c r="A4332" s="11" t="n"/>
      <c r="B4332" s="29" t="n"/>
      <c r="K4332" s="30" t="str">
        <f>IF($A4332="","",EDATE($A4332,12*$E$4))</f>
        <v/>
      </c>
      <c r="L4332" s="19" t="str">
        <f>IF($K4332="","",IF($K4332&gt;MAX($A$8:$A$5007),"",IFERROR(MATCH($K4332,$A$8:$A$5007,1),"")))</f>
        <v/>
      </c>
      <c r="M4332" s="30" t="str">
        <f>IF($L4332="","",INDEX($A$8:$A$5007,$L4332))</f>
        <v/>
      </c>
      <c r="N4332" s="31" t="str">
        <f>IF($L4332="","",INDEX($B$8:$B$5007,$L4332))</f>
        <v/>
      </c>
      <c r="O4332" s="32" t="str">
        <f>IF($M4332="","",IF($K4332-$M4332&gt;7,"",IF($M4332&lt;=$A4332,"",IF(OR($B4332&lt;=0,$N4332&lt;=0),"",($N4332/$B4332)^(365/($M4332-$A4332))-1))))</f>
        <v/>
      </c>
      <c r="P4332" s="31" t="str">
        <f>IF($B4332="","",IF($P4331="",$B4332,MAX($P4331,$B4332)))</f>
        <v/>
      </c>
      <c r="Q4332" s="32" t="str">
        <f>IF($P4332="","",$B4332/$P4332-1)</f>
        <v/>
      </c>
    </row>
    <row r="4333">
      <c r="A4333" s="11" t="n"/>
      <c r="B4333" s="29" t="n"/>
      <c r="K4333" s="30" t="str">
        <f>IF($A4333="","",EDATE($A4333,12*$E$4))</f>
        <v/>
      </c>
      <c r="L4333" s="19" t="str">
        <f>IF($K4333="","",IF($K4333&gt;MAX($A$8:$A$5007),"",IFERROR(MATCH($K4333,$A$8:$A$5007,1),"")))</f>
        <v/>
      </c>
      <c r="M4333" s="30" t="str">
        <f>IF($L4333="","",INDEX($A$8:$A$5007,$L4333))</f>
        <v/>
      </c>
      <c r="N4333" s="31" t="str">
        <f>IF($L4333="","",INDEX($B$8:$B$5007,$L4333))</f>
        <v/>
      </c>
      <c r="O4333" s="32" t="str">
        <f>IF($M4333="","",IF($K4333-$M4333&gt;7,"",IF($M4333&lt;=$A4333,"",IF(OR($B4333&lt;=0,$N4333&lt;=0),"",($N4333/$B4333)^(365/($M4333-$A4333))-1))))</f>
        <v/>
      </c>
      <c r="P4333" s="31" t="str">
        <f>IF($B4333="","",IF($P4332="",$B4333,MAX($P4332,$B4333)))</f>
        <v/>
      </c>
      <c r="Q4333" s="32" t="str">
        <f>IF($P4333="","",$B4333/$P4333-1)</f>
        <v/>
      </c>
    </row>
    <row r="4334">
      <c r="A4334" s="11" t="n"/>
      <c r="B4334" s="29" t="n"/>
      <c r="K4334" s="30" t="str">
        <f>IF($A4334="","",EDATE($A4334,12*$E$4))</f>
        <v/>
      </c>
      <c r="L4334" s="19" t="str">
        <f>IF($K4334="","",IF($K4334&gt;MAX($A$8:$A$5007),"",IFERROR(MATCH($K4334,$A$8:$A$5007,1),"")))</f>
        <v/>
      </c>
      <c r="M4334" s="30" t="str">
        <f>IF($L4334="","",INDEX($A$8:$A$5007,$L4334))</f>
        <v/>
      </c>
      <c r="N4334" s="31" t="str">
        <f>IF($L4334="","",INDEX($B$8:$B$5007,$L4334))</f>
        <v/>
      </c>
      <c r="O4334" s="32" t="str">
        <f>IF($M4334="","",IF($K4334-$M4334&gt;7,"",IF($M4334&lt;=$A4334,"",IF(OR($B4334&lt;=0,$N4334&lt;=0),"",($N4334/$B4334)^(365/($M4334-$A4334))-1))))</f>
        <v/>
      </c>
      <c r="P4334" s="31" t="str">
        <f>IF($B4334="","",IF($P4333="",$B4334,MAX($P4333,$B4334)))</f>
        <v/>
      </c>
      <c r="Q4334" s="32" t="str">
        <f>IF($P4334="","",$B4334/$P4334-1)</f>
        <v/>
      </c>
    </row>
    <row r="4335">
      <c r="A4335" s="11" t="n"/>
      <c r="B4335" s="29" t="n"/>
      <c r="K4335" s="30" t="str">
        <f>IF($A4335="","",EDATE($A4335,12*$E$4))</f>
        <v/>
      </c>
      <c r="L4335" s="19" t="str">
        <f>IF($K4335="","",IF($K4335&gt;MAX($A$8:$A$5007),"",IFERROR(MATCH($K4335,$A$8:$A$5007,1),"")))</f>
        <v/>
      </c>
      <c r="M4335" s="30" t="str">
        <f>IF($L4335="","",INDEX($A$8:$A$5007,$L4335))</f>
        <v/>
      </c>
      <c r="N4335" s="31" t="str">
        <f>IF($L4335="","",INDEX($B$8:$B$5007,$L4335))</f>
        <v/>
      </c>
      <c r="O4335" s="32" t="str">
        <f>IF($M4335="","",IF($K4335-$M4335&gt;7,"",IF($M4335&lt;=$A4335,"",IF(OR($B4335&lt;=0,$N4335&lt;=0),"",($N4335/$B4335)^(365/($M4335-$A4335))-1))))</f>
        <v/>
      </c>
      <c r="P4335" s="31" t="str">
        <f>IF($B4335="","",IF($P4334="",$B4335,MAX($P4334,$B4335)))</f>
        <v/>
      </c>
      <c r="Q4335" s="32" t="str">
        <f>IF($P4335="","",$B4335/$P4335-1)</f>
        <v/>
      </c>
    </row>
    <row r="4336">
      <c r="A4336" s="11" t="n"/>
      <c r="B4336" s="29" t="n"/>
      <c r="K4336" s="30" t="str">
        <f>IF($A4336="","",EDATE($A4336,12*$E$4))</f>
        <v/>
      </c>
      <c r="L4336" s="19" t="str">
        <f>IF($K4336="","",IF($K4336&gt;MAX($A$8:$A$5007),"",IFERROR(MATCH($K4336,$A$8:$A$5007,1),"")))</f>
        <v/>
      </c>
      <c r="M4336" s="30" t="str">
        <f>IF($L4336="","",INDEX($A$8:$A$5007,$L4336))</f>
        <v/>
      </c>
      <c r="N4336" s="31" t="str">
        <f>IF($L4336="","",INDEX($B$8:$B$5007,$L4336))</f>
        <v/>
      </c>
      <c r="O4336" s="32" t="str">
        <f>IF($M4336="","",IF($K4336-$M4336&gt;7,"",IF($M4336&lt;=$A4336,"",IF(OR($B4336&lt;=0,$N4336&lt;=0),"",($N4336/$B4336)^(365/($M4336-$A4336))-1))))</f>
        <v/>
      </c>
      <c r="P4336" s="31" t="str">
        <f>IF($B4336="","",IF($P4335="",$B4336,MAX($P4335,$B4336)))</f>
        <v/>
      </c>
      <c r="Q4336" s="32" t="str">
        <f>IF($P4336="","",$B4336/$P4336-1)</f>
        <v/>
      </c>
    </row>
    <row r="4337">
      <c r="A4337" s="11" t="n"/>
      <c r="B4337" s="29" t="n"/>
      <c r="K4337" s="30" t="str">
        <f>IF($A4337="","",EDATE($A4337,12*$E$4))</f>
        <v/>
      </c>
      <c r="L4337" s="19" t="str">
        <f>IF($K4337="","",IF($K4337&gt;MAX($A$8:$A$5007),"",IFERROR(MATCH($K4337,$A$8:$A$5007,1),"")))</f>
        <v/>
      </c>
      <c r="M4337" s="30" t="str">
        <f>IF($L4337="","",INDEX($A$8:$A$5007,$L4337))</f>
        <v/>
      </c>
      <c r="N4337" s="31" t="str">
        <f>IF($L4337="","",INDEX($B$8:$B$5007,$L4337))</f>
        <v/>
      </c>
      <c r="O4337" s="32" t="str">
        <f>IF($M4337="","",IF($K4337-$M4337&gt;7,"",IF($M4337&lt;=$A4337,"",IF(OR($B4337&lt;=0,$N4337&lt;=0),"",($N4337/$B4337)^(365/($M4337-$A4337))-1))))</f>
        <v/>
      </c>
      <c r="P4337" s="31" t="str">
        <f>IF($B4337="","",IF($P4336="",$B4337,MAX($P4336,$B4337)))</f>
        <v/>
      </c>
      <c r="Q4337" s="32" t="str">
        <f>IF($P4337="","",$B4337/$P4337-1)</f>
        <v/>
      </c>
    </row>
    <row r="4338">
      <c r="A4338" s="11" t="n"/>
      <c r="B4338" s="29" t="n"/>
      <c r="K4338" s="30" t="str">
        <f>IF($A4338="","",EDATE($A4338,12*$E$4))</f>
        <v/>
      </c>
      <c r="L4338" s="19" t="str">
        <f>IF($K4338="","",IF($K4338&gt;MAX($A$8:$A$5007),"",IFERROR(MATCH($K4338,$A$8:$A$5007,1),"")))</f>
        <v/>
      </c>
      <c r="M4338" s="30" t="str">
        <f>IF($L4338="","",INDEX($A$8:$A$5007,$L4338))</f>
        <v/>
      </c>
      <c r="N4338" s="31" t="str">
        <f>IF($L4338="","",INDEX($B$8:$B$5007,$L4338))</f>
        <v/>
      </c>
      <c r="O4338" s="32" t="str">
        <f>IF($M4338="","",IF($K4338-$M4338&gt;7,"",IF($M4338&lt;=$A4338,"",IF(OR($B4338&lt;=0,$N4338&lt;=0),"",($N4338/$B4338)^(365/($M4338-$A4338))-1))))</f>
        <v/>
      </c>
      <c r="P4338" s="31" t="str">
        <f>IF($B4338="","",IF($P4337="",$B4338,MAX($P4337,$B4338)))</f>
        <v/>
      </c>
      <c r="Q4338" s="32" t="str">
        <f>IF($P4338="","",$B4338/$P4338-1)</f>
        <v/>
      </c>
    </row>
    <row r="4339">
      <c r="A4339" s="11" t="n"/>
      <c r="B4339" s="29" t="n"/>
      <c r="K4339" s="30" t="str">
        <f>IF($A4339="","",EDATE($A4339,12*$E$4))</f>
        <v/>
      </c>
      <c r="L4339" s="19" t="str">
        <f>IF($K4339="","",IF($K4339&gt;MAX($A$8:$A$5007),"",IFERROR(MATCH($K4339,$A$8:$A$5007,1),"")))</f>
        <v/>
      </c>
      <c r="M4339" s="30" t="str">
        <f>IF($L4339="","",INDEX($A$8:$A$5007,$L4339))</f>
        <v/>
      </c>
      <c r="N4339" s="31" t="str">
        <f>IF($L4339="","",INDEX($B$8:$B$5007,$L4339))</f>
        <v/>
      </c>
      <c r="O4339" s="32" t="str">
        <f>IF($M4339="","",IF($K4339-$M4339&gt;7,"",IF($M4339&lt;=$A4339,"",IF(OR($B4339&lt;=0,$N4339&lt;=0),"",($N4339/$B4339)^(365/($M4339-$A4339))-1))))</f>
        <v/>
      </c>
      <c r="P4339" s="31" t="str">
        <f>IF($B4339="","",IF($P4338="",$B4339,MAX($P4338,$B4339)))</f>
        <v/>
      </c>
      <c r="Q4339" s="32" t="str">
        <f>IF($P4339="","",$B4339/$P4339-1)</f>
        <v/>
      </c>
    </row>
    <row r="4340">
      <c r="A4340" s="11" t="n"/>
      <c r="B4340" s="29" t="n"/>
      <c r="K4340" s="30" t="str">
        <f>IF($A4340="","",EDATE($A4340,12*$E$4))</f>
        <v/>
      </c>
      <c r="L4340" s="19" t="str">
        <f>IF($K4340="","",IF($K4340&gt;MAX($A$8:$A$5007),"",IFERROR(MATCH($K4340,$A$8:$A$5007,1),"")))</f>
        <v/>
      </c>
      <c r="M4340" s="30" t="str">
        <f>IF($L4340="","",INDEX($A$8:$A$5007,$L4340))</f>
        <v/>
      </c>
      <c r="N4340" s="31" t="str">
        <f>IF($L4340="","",INDEX($B$8:$B$5007,$L4340))</f>
        <v/>
      </c>
      <c r="O4340" s="32" t="str">
        <f>IF($M4340="","",IF($K4340-$M4340&gt;7,"",IF($M4340&lt;=$A4340,"",IF(OR($B4340&lt;=0,$N4340&lt;=0),"",($N4340/$B4340)^(365/($M4340-$A4340))-1))))</f>
        <v/>
      </c>
      <c r="P4340" s="31" t="str">
        <f>IF($B4340="","",IF($P4339="",$B4340,MAX($P4339,$B4340)))</f>
        <v/>
      </c>
      <c r="Q4340" s="32" t="str">
        <f>IF($P4340="","",$B4340/$P4340-1)</f>
        <v/>
      </c>
    </row>
    <row r="4341">
      <c r="A4341" s="11" t="n"/>
      <c r="B4341" s="29" t="n"/>
      <c r="K4341" s="30" t="str">
        <f>IF($A4341="","",EDATE($A4341,12*$E$4))</f>
        <v/>
      </c>
      <c r="L4341" s="19" t="str">
        <f>IF($K4341="","",IF($K4341&gt;MAX($A$8:$A$5007),"",IFERROR(MATCH($K4341,$A$8:$A$5007,1),"")))</f>
        <v/>
      </c>
      <c r="M4341" s="30" t="str">
        <f>IF($L4341="","",INDEX($A$8:$A$5007,$L4341))</f>
        <v/>
      </c>
      <c r="N4341" s="31" t="str">
        <f>IF($L4341="","",INDEX($B$8:$B$5007,$L4341))</f>
        <v/>
      </c>
      <c r="O4341" s="32" t="str">
        <f>IF($M4341="","",IF($K4341-$M4341&gt;7,"",IF($M4341&lt;=$A4341,"",IF(OR($B4341&lt;=0,$N4341&lt;=0),"",($N4341/$B4341)^(365/($M4341-$A4341))-1))))</f>
        <v/>
      </c>
      <c r="P4341" s="31" t="str">
        <f>IF($B4341="","",IF($P4340="",$B4341,MAX($P4340,$B4341)))</f>
        <v/>
      </c>
      <c r="Q4341" s="32" t="str">
        <f>IF($P4341="","",$B4341/$P4341-1)</f>
        <v/>
      </c>
    </row>
    <row r="4342">
      <c r="A4342" s="11" t="n"/>
      <c r="B4342" s="29" t="n"/>
      <c r="K4342" s="30" t="str">
        <f>IF($A4342="","",EDATE($A4342,12*$E$4))</f>
        <v/>
      </c>
      <c r="L4342" s="19" t="str">
        <f>IF($K4342="","",IF($K4342&gt;MAX($A$8:$A$5007),"",IFERROR(MATCH($K4342,$A$8:$A$5007,1),"")))</f>
        <v/>
      </c>
      <c r="M4342" s="30" t="str">
        <f>IF($L4342="","",INDEX($A$8:$A$5007,$L4342))</f>
        <v/>
      </c>
      <c r="N4342" s="31" t="str">
        <f>IF($L4342="","",INDEX($B$8:$B$5007,$L4342))</f>
        <v/>
      </c>
      <c r="O4342" s="32" t="str">
        <f>IF($M4342="","",IF($K4342-$M4342&gt;7,"",IF($M4342&lt;=$A4342,"",IF(OR($B4342&lt;=0,$N4342&lt;=0),"",($N4342/$B4342)^(365/($M4342-$A4342))-1))))</f>
        <v/>
      </c>
      <c r="P4342" s="31" t="str">
        <f>IF($B4342="","",IF($P4341="",$B4342,MAX($P4341,$B4342)))</f>
        <v/>
      </c>
      <c r="Q4342" s="32" t="str">
        <f>IF($P4342="","",$B4342/$P4342-1)</f>
        <v/>
      </c>
    </row>
    <row r="4343">
      <c r="A4343" s="11" t="n"/>
      <c r="B4343" s="29" t="n"/>
      <c r="K4343" s="30" t="str">
        <f>IF($A4343="","",EDATE($A4343,12*$E$4))</f>
        <v/>
      </c>
      <c r="L4343" s="19" t="str">
        <f>IF($K4343="","",IF($K4343&gt;MAX($A$8:$A$5007),"",IFERROR(MATCH($K4343,$A$8:$A$5007,1),"")))</f>
        <v/>
      </c>
      <c r="M4343" s="30" t="str">
        <f>IF($L4343="","",INDEX($A$8:$A$5007,$L4343))</f>
        <v/>
      </c>
      <c r="N4343" s="31" t="str">
        <f>IF($L4343="","",INDEX($B$8:$B$5007,$L4343))</f>
        <v/>
      </c>
      <c r="O4343" s="32" t="str">
        <f>IF($M4343="","",IF($K4343-$M4343&gt;7,"",IF($M4343&lt;=$A4343,"",IF(OR($B4343&lt;=0,$N4343&lt;=0),"",($N4343/$B4343)^(365/($M4343-$A4343))-1))))</f>
        <v/>
      </c>
      <c r="P4343" s="31" t="str">
        <f>IF($B4343="","",IF($P4342="",$B4343,MAX($P4342,$B4343)))</f>
        <v/>
      </c>
      <c r="Q4343" s="32" t="str">
        <f>IF($P4343="","",$B4343/$P4343-1)</f>
        <v/>
      </c>
    </row>
    <row r="4344">
      <c r="A4344" s="11" t="n"/>
      <c r="B4344" s="29" t="n"/>
      <c r="K4344" s="30" t="str">
        <f>IF($A4344="","",EDATE($A4344,12*$E$4))</f>
        <v/>
      </c>
      <c r="L4344" s="19" t="str">
        <f>IF($K4344="","",IF($K4344&gt;MAX($A$8:$A$5007),"",IFERROR(MATCH($K4344,$A$8:$A$5007,1),"")))</f>
        <v/>
      </c>
      <c r="M4344" s="30" t="str">
        <f>IF($L4344="","",INDEX($A$8:$A$5007,$L4344))</f>
        <v/>
      </c>
      <c r="N4344" s="31" t="str">
        <f>IF($L4344="","",INDEX($B$8:$B$5007,$L4344))</f>
        <v/>
      </c>
      <c r="O4344" s="32" t="str">
        <f>IF($M4344="","",IF($K4344-$M4344&gt;7,"",IF($M4344&lt;=$A4344,"",IF(OR($B4344&lt;=0,$N4344&lt;=0),"",($N4344/$B4344)^(365/($M4344-$A4344))-1))))</f>
        <v/>
      </c>
      <c r="P4344" s="31" t="str">
        <f>IF($B4344="","",IF($P4343="",$B4344,MAX($P4343,$B4344)))</f>
        <v/>
      </c>
      <c r="Q4344" s="32" t="str">
        <f>IF($P4344="","",$B4344/$P4344-1)</f>
        <v/>
      </c>
    </row>
    <row r="4345">
      <c r="A4345" s="11" t="n"/>
      <c r="B4345" s="29" t="n"/>
      <c r="K4345" s="30" t="str">
        <f>IF($A4345="","",EDATE($A4345,12*$E$4))</f>
        <v/>
      </c>
      <c r="L4345" s="19" t="str">
        <f>IF($K4345="","",IF($K4345&gt;MAX($A$8:$A$5007),"",IFERROR(MATCH($K4345,$A$8:$A$5007,1),"")))</f>
        <v/>
      </c>
      <c r="M4345" s="30" t="str">
        <f>IF($L4345="","",INDEX($A$8:$A$5007,$L4345))</f>
        <v/>
      </c>
      <c r="N4345" s="31" t="str">
        <f>IF($L4345="","",INDEX($B$8:$B$5007,$L4345))</f>
        <v/>
      </c>
      <c r="O4345" s="32" t="str">
        <f>IF($M4345="","",IF($K4345-$M4345&gt;7,"",IF($M4345&lt;=$A4345,"",IF(OR($B4345&lt;=0,$N4345&lt;=0),"",($N4345/$B4345)^(365/($M4345-$A4345))-1))))</f>
        <v/>
      </c>
      <c r="P4345" s="31" t="str">
        <f>IF($B4345="","",IF($P4344="",$B4345,MAX($P4344,$B4345)))</f>
        <v/>
      </c>
      <c r="Q4345" s="32" t="str">
        <f>IF($P4345="","",$B4345/$P4345-1)</f>
        <v/>
      </c>
    </row>
    <row r="4346">
      <c r="A4346" s="11" t="n"/>
      <c r="B4346" s="29" t="n"/>
      <c r="K4346" s="30" t="str">
        <f>IF($A4346="","",EDATE($A4346,12*$E$4))</f>
        <v/>
      </c>
      <c r="L4346" s="19" t="str">
        <f>IF($K4346="","",IF($K4346&gt;MAX($A$8:$A$5007),"",IFERROR(MATCH($K4346,$A$8:$A$5007,1),"")))</f>
        <v/>
      </c>
      <c r="M4346" s="30" t="str">
        <f>IF($L4346="","",INDEX($A$8:$A$5007,$L4346))</f>
        <v/>
      </c>
      <c r="N4346" s="31" t="str">
        <f>IF($L4346="","",INDEX($B$8:$B$5007,$L4346))</f>
        <v/>
      </c>
      <c r="O4346" s="32" t="str">
        <f>IF($M4346="","",IF($K4346-$M4346&gt;7,"",IF($M4346&lt;=$A4346,"",IF(OR($B4346&lt;=0,$N4346&lt;=0),"",($N4346/$B4346)^(365/($M4346-$A4346))-1))))</f>
        <v/>
      </c>
      <c r="P4346" s="31" t="str">
        <f>IF($B4346="","",IF($P4345="",$B4346,MAX($P4345,$B4346)))</f>
        <v/>
      </c>
      <c r="Q4346" s="32" t="str">
        <f>IF($P4346="","",$B4346/$P4346-1)</f>
        <v/>
      </c>
    </row>
    <row r="4347">
      <c r="A4347" s="11" t="n"/>
      <c r="B4347" s="29" t="n"/>
      <c r="K4347" s="30" t="str">
        <f>IF($A4347="","",EDATE($A4347,12*$E$4))</f>
        <v/>
      </c>
      <c r="L4347" s="19" t="str">
        <f>IF($K4347="","",IF($K4347&gt;MAX($A$8:$A$5007),"",IFERROR(MATCH($K4347,$A$8:$A$5007,1),"")))</f>
        <v/>
      </c>
      <c r="M4347" s="30" t="str">
        <f>IF($L4347="","",INDEX($A$8:$A$5007,$L4347))</f>
        <v/>
      </c>
      <c r="N4347" s="31" t="str">
        <f>IF($L4347="","",INDEX($B$8:$B$5007,$L4347))</f>
        <v/>
      </c>
      <c r="O4347" s="32" t="str">
        <f>IF($M4347="","",IF($K4347-$M4347&gt;7,"",IF($M4347&lt;=$A4347,"",IF(OR($B4347&lt;=0,$N4347&lt;=0),"",($N4347/$B4347)^(365/($M4347-$A4347))-1))))</f>
        <v/>
      </c>
      <c r="P4347" s="31" t="str">
        <f>IF($B4347="","",IF($P4346="",$B4347,MAX($P4346,$B4347)))</f>
        <v/>
      </c>
      <c r="Q4347" s="32" t="str">
        <f>IF($P4347="","",$B4347/$P4347-1)</f>
        <v/>
      </c>
    </row>
    <row r="4348">
      <c r="A4348" s="11" t="n"/>
      <c r="B4348" s="29" t="n"/>
      <c r="K4348" s="30" t="str">
        <f>IF($A4348="","",EDATE($A4348,12*$E$4))</f>
        <v/>
      </c>
      <c r="L4348" s="19" t="str">
        <f>IF($K4348="","",IF($K4348&gt;MAX($A$8:$A$5007),"",IFERROR(MATCH($K4348,$A$8:$A$5007,1),"")))</f>
        <v/>
      </c>
      <c r="M4348" s="30" t="str">
        <f>IF($L4348="","",INDEX($A$8:$A$5007,$L4348))</f>
        <v/>
      </c>
      <c r="N4348" s="31" t="str">
        <f>IF($L4348="","",INDEX($B$8:$B$5007,$L4348))</f>
        <v/>
      </c>
      <c r="O4348" s="32" t="str">
        <f>IF($M4348="","",IF($K4348-$M4348&gt;7,"",IF($M4348&lt;=$A4348,"",IF(OR($B4348&lt;=0,$N4348&lt;=0),"",($N4348/$B4348)^(365/($M4348-$A4348))-1))))</f>
        <v/>
      </c>
      <c r="P4348" s="31" t="str">
        <f>IF($B4348="","",IF($P4347="",$B4348,MAX($P4347,$B4348)))</f>
        <v/>
      </c>
      <c r="Q4348" s="32" t="str">
        <f>IF($P4348="","",$B4348/$P4348-1)</f>
        <v/>
      </c>
    </row>
    <row r="4349">
      <c r="A4349" s="11" t="n"/>
      <c r="B4349" s="29" t="n"/>
      <c r="K4349" s="30" t="str">
        <f>IF($A4349="","",EDATE($A4349,12*$E$4))</f>
        <v/>
      </c>
      <c r="L4349" s="19" t="str">
        <f>IF($K4349="","",IF($K4349&gt;MAX($A$8:$A$5007),"",IFERROR(MATCH($K4349,$A$8:$A$5007,1),"")))</f>
        <v/>
      </c>
      <c r="M4349" s="30" t="str">
        <f>IF($L4349="","",INDEX($A$8:$A$5007,$L4349))</f>
        <v/>
      </c>
      <c r="N4349" s="31" t="str">
        <f>IF($L4349="","",INDEX($B$8:$B$5007,$L4349))</f>
        <v/>
      </c>
      <c r="O4349" s="32" t="str">
        <f>IF($M4349="","",IF($K4349-$M4349&gt;7,"",IF($M4349&lt;=$A4349,"",IF(OR($B4349&lt;=0,$N4349&lt;=0),"",($N4349/$B4349)^(365/($M4349-$A4349))-1))))</f>
        <v/>
      </c>
      <c r="P4349" s="31" t="str">
        <f>IF($B4349="","",IF($P4348="",$B4349,MAX($P4348,$B4349)))</f>
        <v/>
      </c>
      <c r="Q4349" s="32" t="str">
        <f>IF($P4349="","",$B4349/$P4349-1)</f>
        <v/>
      </c>
    </row>
    <row r="4350">
      <c r="A4350" s="11" t="n"/>
      <c r="B4350" s="29" t="n"/>
      <c r="K4350" s="30" t="str">
        <f>IF($A4350="","",EDATE($A4350,12*$E$4))</f>
        <v/>
      </c>
      <c r="L4350" s="19" t="str">
        <f>IF($K4350="","",IF($K4350&gt;MAX($A$8:$A$5007),"",IFERROR(MATCH($K4350,$A$8:$A$5007,1),"")))</f>
        <v/>
      </c>
      <c r="M4350" s="30" t="str">
        <f>IF($L4350="","",INDEX($A$8:$A$5007,$L4350))</f>
        <v/>
      </c>
      <c r="N4350" s="31" t="str">
        <f>IF($L4350="","",INDEX($B$8:$B$5007,$L4350))</f>
        <v/>
      </c>
      <c r="O4350" s="32" t="str">
        <f>IF($M4350="","",IF($K4350-$M4350&gt;7,"",IF($M4350&lt;=$A4350,"",IF(OR($B4350&lt;=0,$N4350&lt;=0),"",($N4350/$B4350)^(365/($M4350-$A4350))-1))))</f>
        <v/>
      </c>
      <c r="P4350" s="31" t="str">
        <f>IF($B4350="","",IF($P4349="",$B4350,MAX($P4349,$B4350)))</f>
        <v/>
      </c>
      <c r="Q4350" s="32" t="str">
        <f>IF($P4350="","",$B4350/$P4350-1)</f>
        <v/>
      </c>
    </row>
    <row r="4351">
      <c r="A4351" s="11" t="n"/>
      <c r="B4351" s="29" t="n"/>
      <c r="K4351" s="30" t="str">
        <f>IF($A4351="","",EDATE($A4351,12*$E$4))</f>
        <v/>
      </c>
      <c r="L4351" s="19" t="str">
        <f>IF($K4351="","",IF($K4351&gt;MAX($A$8:$A$5007),"",IFERROR(MATCH($K4351,$A$8:$A$5007,1),"")))</f>
        <v/>
      </c>
      <c r="M4351" s="30" t="str">
        <f>IF($L4351="","",INDEX($A$8:$A$5007,$L4351))</f>
        <v/>
      </c>
      <c r="N4351" s="31" t="str">
        <f>IF($L4351="","",INDEX($B$8:$B$5007,$L4351))</f>
        <v/>
      </c>
      <c r="O4351" s="32" t="str">
        <f>IF($M4351="","",IF($K4351-$M4351&gt;7,"",IF($M4351&lt;=$A4351,"",IF(OR($B4351&lt;=0,$N4351&lt;=0),"",($N4351/$B4351)^(365/($M4351-$A4351))-1))))</f>
        <v/>
      </c>
      <c r="P4351" s="31" t="str">
        <f>IF($B4351="","",IF($P4350="",$B4351,MAX($P4350,$B4351)))</f>
        <v/>
      </c>
      <c r="Q4351" s="32" t="str">
        <f>IF($P4351="","",$B4351/$P4351-1)</f>
        <v/>
      </c>
    </row>
    <row r="4352">
      <c r="A4352" s="11" t="n"/>
      <c r="B4352" s="29" t="n"/>
      <c r="K4352" s="30" t="str">
        <f>IF($A4352="","",EDATE($A4352,12*$E$4))</f>
        <v/>
      </c>
      <c r="L4352" s="19" t="str">
        <f>IF($K4352="","",IF($K4352&gt;MAX($A$8:$A$5007),"",IFERROR(MATCH($K4352,$A$8:$A$5007,1),"")))</f>
        <v/>
      </c>
      <c r="M4352" s="30" t="str">
        <f>IF($L4352="","",INDEX($A$8:$A$5007,$L4352))</f>
        <v/>
      </c>
      <c r="N4352" s="31" t="str">
        <f>IF($L4352="","",INDEX($B$8:$B$5007,$L4352))</f>
        <v/>
      </c>
      <c r="O4352" s="32" t="str">
        <f>IF($M4352="","",IF($K4352-$M4352&gt;7,"",IF($M4352&lt;=$A4352,"",IF(OR($B4352&lt;=0,$N4352&lt;=0),"",($N4352/$B4352)^(365/($M4352-$A4352))-1))))</f>
        <v/>
      </c>
      <c r="P4352" s="31" t="str">
        <f>IF($B4352="","",IF($P4351="",$B4352,MAX($P4351,$B4352)))</f>
        <v/>
      </c>
      <c r="Q4352" s="32" t="str">
        <f>IF($P4352="","",$B4352/$P4352-1)</f>
        <v/>
      </c>
    </row>
    <row r="4353">
      <c r="A4353" s="11" t="n"/>
      <c r="B4353" s="29" t="n"/>
      <c r="K4353" s="30" t="str">
        <f>IF($A4353="","",EDATE($A4353,12*$E$4))</f>
        <v/>
      </c>
      <c r="L4353" s="19" t="str">
        <f>IF($K4353="","",IF($K4353&gt;MAX($A$8:$A$5007),"",IFERROR(MATCH($K4353,$A$8:$A$5007,1),"")))</f>
        <v/>
      </c>
      <c r="M4353" s="30" t="str">
        <f>IF($L4353="","",INDEX($A$8:$A$5007,$L4353))</f>
        <v/>
      </c>
      <c r="N4353" s="31" t="str">
        <f>IF($L4353="","",INDEX($B$8:$B$5007,$L4353))</f>
        <v/>
      </c>
      <c r="O4353" s="32" t="str">
        <f>IF($M4353="","",IF($K4353-$M4353&gt;7,"",IF($M4353&lt;=$A4353,"",IF(OR($B4353&lt;=0,$N4353&lt;=0),"",($N4353/$B4353)^(365/($M4353-$A4353))-1))))</f>
        <v/>
      </c>
      <c r="P4353" s="31" t="str">
        <f>IF($B4353="","",IF($P4352="",$B4353,MAX($P4352,$B4353)))</f>
        <v/>
      </c>
      <c r="Q4353" s="32" t="str">
        <f>IF($P4353="","",$B4353/$P4353-1)</f>
        <v/>
      </c>
    </row>
    <row r="4354">
      <c r="A4354" s="11" t="n"/>
      <c r="B4354" s="29" t="n"/>
      <c r="K4354" s="30" t="str">
        <f>IF($A4354="","",EDATE($A4354,12*$E$4))</f>
        <v/>
      </c>
      <c r="L4354" s="19" t="str">
        <f>IF($K4354="","",IF($K4354&gt;MAX($A$8:$A$5007),"",IFERROR(MATCH($K4354,$A$8:$A$5007,1),"")))</f>
        <v/>
      </c>
      <c r="M4354" s="30" t="str">
        <f>IF($L4354="","",INDEX($A$8:$A$5007,$L4354))</f>
        <v/>
      </c>
      <c r="N4354" s="31" t="str">
        <f>IF($L4354="","",INDEX($B$8:$B$5007,$L4354))</f>
        <v/>
      </c>
      <c r="O4354" s="32" t="str">
        <f>IF($M4354="","",IF($K4354-$M4354&gt;7,"",IF($M4354&lt;=$A4354,"",IF(OR($B4354&lt;=0,$N4354&lt;=0),"",($N4354/$B4354)^(365/($M4354-$A4354))-1))))</f>
        <v/>
      </c>
      <c r="P4354" s="31" t="str">
        <f>IF($B4354="","",IF($P4353="",$B4354,MAX($P4353,$B4354)))</f>
        <v/>
      </c>
      <c r="Q4354" s="32" t="str">
        <f>IF($P4354="","",$B4354/$P4354-1)</f>
        <v/>
      </c>
    </row>
    <row r="4355">
      <c r="A4355" s="11" t="n"/>
      <c r="B4355" s="29" t="n"/>
      <c r="K4355" s="30" t="str">
        <f>IF($A4355="","",EDATE($A4355,12*$E$4))</f>
        <v/>
      </c>
      <c r="L4355" s="19" t="str">
        <f>IF($K4355="","",IF($K4355&gt;MAX($A$8:$A$5007),"",IFERROR(MATCH($K4355,$A$8:$A$5007,1),"")))</f>
        <v/>
      </c>
      <c r="M4355" s="30" t="str">
        <f>IF($L4355="","",INDEX($A$8:$A$5007,$L4355))</f>
        <v/>
      </c>
      <c r="N4355" s="31" t="str">
        <f>IF($L4355="","",INDEX($B$8:$B$5007,$L4355))</f>
        <v/>
      </c>
      <c r="O4355" s="32" t="str">
        <f>IF($M4355="","",IF($K4355-$M4355&gt;7,"",IF($M4355&lt;=$A4355,"",IF(OR($B4355&lt;=0,$N4355&lt;=0),"",($N4355/$B4355)^(365/($M4355-$A4355))-1))))</f>
        <v/>
      </c>
      <c r="P4355" s="31" t="str">
        <f>IF($B4355="","",IF($P4354="",$B4355,MAX($P4354,$B4355)))</f>
        <v/>
      </c>
      <c r="Q4355" s="32" t="str">
        <f>IF($P4355="","",$B4355/$P4355-1)</f>
        <v/>
      </c>
    </row>
    <row r="4356">
      <c r="A4356" s="11" t="n"/>
      <c r="B4356" s="29" t="n"/>
      <c r="K4356" s="30" t="str">
        <f>IF($A4356="","",EDATE($A4356,12*$E$4))</f>
        <v/>
      </c>
      <c r="L4356" s="19" t="str">
        <f>IF($K4356="","",IF($K4356&gt;MAX($A$8:$A$5007),"",IFERROR(MATCH($K4356,$A$8:$A$5007,1),"")))</f>
        <v/>
      </c>
      <c r="M4356" s="30" t="str">
        <f>IF($L4356="","",INDEX($A$8:$A$5007,$L4356))</f>
        <v/>
      </c>
      <c r="N4356" s="31" t="str">
        <f>IF($L4356="","",INDEX($B$8:$B$5007,$L4356))</f>
        <v/>
      </c>
      <c r="O4356" s="32" t="str">
        <f>IF($M4356="","",IF($K4356-$M4356&gt;7,"",IF($M4356&lt;=$A4356,"",IF(OR($B4356&lt;=0,$N4356&lt;=0),"",($N4356/$B4356)^(365/($M4356-$A4356))-1))))</f>
        <v/>
      </c>
      <c r="P4356" s="31" t="str">
        <f>IF($B4356="","",IF($P4355="",$B4356,MAX($P4355,$B4356)))</f>
        <v/>
      </c>
      <c r="Q4356" s="32" t="str">
        <f>IF($P4356="","",$B4356/$P4356-1)</f>
        <v/>
      </c>
    </row>
    <row r="4357">
      <c r="A4357" s="11" t="n"/>
      <c r="B4357" s="29" t="n"/>
      <c r="K4357" s="30" t="str">
        <f>IF($A4357="","",EDATE($A4357,12*$E$4))</f>
        <v/>
      </c>
      <c r="L4357" s="19" t="str">
        <f>IF($K4357="","",IF($K4357&gt;MAX($A$8:$A$5007),"",IFERROR(MATCH($K4357,$A$8:$A$5007,1),"")))</f>
        <v/>
      </c>
      <c r="M4357" s="30" t="str">
        <f>IF($L4357="","",INDEX($A$8:$A$5007,$L4357))</f>
        <v/>
      </c>
      <c r="N4357" s="31" t="str">
        <f>IF($L4357="","",INDEX($B$8:$B$5007,$L4357))</f>
        <v/>
      </c>
      <c r="O4357" s="32" t="str">
        <f>IF($M4357="","",IF($K4357-$M4357&gt;7,"",IF($M4357&lt;=$A4357,"",IF(OR($B4357&lt;=0,$N4357&lt;=0),"",($N4357/$B4357)^(365/($M4357-$A4357))-1))))</f>
        <v/>
      </c>
      <c r="P4357" s="31" t="str">
        <f>IF($B4357="","",IF($P4356="",$B4357,MAX($P4356,$B4357)))</f>
        <v/>
      </c>
      <c r="Q4357" s="32" t="str">
        <f>IF($P4357="","",$B4357/$P4357-1)</f>
        <v/>
      </c>
    </row>
    <row r="4358">
      <c r="A4358" s="11" t="n"/>
      <c r="B4358" s="29" t="n"/>
      <c r="K4358" s="30" t="str">
        <f>IF($A4358="","",EDATE($A4358,12*$E$4))</f>
        <v/>
      </c>
      <c r="L4358" s="19" t="str">
        <f>IF($K4358="","",IF($K4358&gt;MAX($A$8:$A$5007),"",IFERROR(MATCH($K4358,$A$8:$A$5007,1),"")))</f>
        <v/>
      </c>
      <c r="M4358" s="30" t="str">
        <f>IF($L4358="","",INDEX($A$8:$A$5007,$L4358))</f>
        <v/>
      </c>
      <c r="N4358" s="31" t="str">
        <f>IF($L4358="","",INDEX($B$8:$B$5007,$L4358))</f>
        <v/>
      </c>
      <c r="O4358" s="32" t="str">
        <f>IF($M4358="","",IF($K4358-$M4358&gt;7,"",IF($M4358&lt;=$A4358,"",IF(OR($B4358&lt;=0,$N4358&lt;=0),"",($N4358/$B4358)^(365/($M4358-$A4358))-1))))</f>
        <v/>
      </c>
      <c r="P4358" s="31" t="str">
        <f>IF($B4358="","",IF($P4357="",$B4358,MAX($P4357,$B4358)))</f>
        <v/>
      </c>
      <c r="Q4358" s="32" t="str">
        <f>IF($P4358="","",$B4358/$P4358-1)</f>
        <v/>
      </c>
    </row>
    <row r="4359">
      <c r="A4359" s="11" t="n"/>
      <c r="B4359" s="29" t="n"/>
      <c r="K4359" s="30" t="str">
        <f>IF($A4359="","",EDATE($A4359,12*$E$4))</f>
        <v/>
      </c>
      <c r="L4359" s="19" t="str">
        <f>IF($K4359="","",IF($K4359&gt;MAX($A$8:$A$5007),"",IFERROR(MATCH($K4359,$A$8:$A$5007,1),"")))</f>
        <v/>
      </c>
      <c r="M4359" s="30" t="str">
        <f>IF($L4359="","",INDEX($A$8:$A$5007,$L4359))</f>
        <v/>
      </c>
      <c r="N4359" s="31" t="str">
        <f>IF($L4359="","",INDEX($B$8:$B$5007,$L4359))</f>
        <v/>
      </c>
      <c r="O4359" s="32" t="str">
        <f>IF($M4359="","",IF($K4359-$M4359&gt;7,"",IF($M4359&lt;=$A4359,"",IF(OR($B4359&lt;=0,$N4359&lt;=0),"",($N4359/$B4359)^(365/($M4359-$A4359))-1))))</f>
        <v/>
      </c>
      <c r="P4359" s="31" t="str">
        <f>IF($B4359="","",IF($P4358="",$B4359,MAX($P4358,$B4359)))</f>
        <v/>
      </c>
      <c r="Q4359" s="32" t="str">
        <f>IF($P4359="","",$B4359/$P4359-1)</f>
        <v/>
      </c>
    </row>
    <row r="4360">
      <c r="A4360" s="11" t="n"/>
      <c r="B4360" s="29" t="n"/>
      <c r="K4360" s="30" t="str">
        <f>IF($A4360="","",EDATE($A4360,12*$E$4))</f>
        <v/>
      </c>
      <c r="L4360" s="19" t="str">
        <f>IF($K4360="","",IF($K4360&gt;MAX($A$8:$A$5007),"",IFERROR(MATCH($K4360,$A$8:$A$5007,1),"")))</f>
        <v/>
      </c>
      <c r="M4360" s="30" t="str">
        <f>IF($L4360="","",INDEX($A$8:$A$5007,$L4360))</f>
        <v/>
      </c>
      <c r="N4360" s="31" t="str">
        <f>IF($L4360="","",INDEX($B$8:$B$5007,$L4360))</f>
        <v/>
      </c>
      <c r="O4360" s="32" t="str">
        <f>IF($M4360="","",IF($K4360-$M4360&gt;7,"",IF($M4360&lt;=$A4360,"",IF(OR($B4360&lt;=0,$N4360&lt;=0),"",($N4360/$B4360)^(365/($M4360-$A4360))-1))))</f>
        <v/>
      </c>
      <c r="P4360" s="31" t="str">
        <f>IF($B4360="","",IF($P4359="",$B4360,MAX($P4359,$B4360)))</f>
        <v/>
      </c>
      <c r="Q4360" s="32" t="str">
        <f>IF($P4360="","",$B4360/$P4360-1)</f>
        <v/>
      </c>
    </row>
    <row r="4361">
      <c r="A4361" s="11" t="n"/>
      <c r="B4361" s="29" t="n"/>
      <c r="K4361" s="30" t="str">
        <f>IF($A4361="","",EDATE($A4361,12*$E$4))</f>
        <v/>
      </c>
      <c r="L4361" s="19" t="str">
        <f>IF($K4361="","",IF($K4361&gt;MAX($A$8:$A$5007),"",IFERROR(MATCH($K4361,$A$8:$A$5007,1),"")))</f>
        <v/>
      </c>
      <c r="M4361" s="30" t="str">
        <f>IF($L4361="","",INDEX($A$8:$A$5007,$L4361))</f>
        <v/>
      </c>
      <c r="N4361" s="31" t="str">
        <f>IF($L4361="","",INDEX($B$8:$B$5007,$L4361))</f>
        <v/>
      </c>
      <c r="O4361" s="32" t="str">
        <f>IF($M4361="","",IF($K4361-$M4361&gt;7,"",IF($M4361&lt;=$A4361,"",IF(OR($B4361&lt;=0,$N4361&lt;=0),"",($N4361/$B4361)^(365/($M4361-$A4361))-1))))</f>
        <v/>
      </c>
      <c r="P4361" s="31" t="str">
        <f>IF($B4361="","",IF($P4360="",$B4361,MAX($P4360,$B4361)))</f>
        <v/>
      </c>
      <c r="Q4361" s="32" t="str">
        <f>IF($P4361="","",$B4361/$P4361-1)</f>
        <v/>
      </c>
    </row>
    <row r="4362">
      <c r="A4362" s="11" t="n"/>
      <c r="B4362" s="29" t="n"/>
      <c r="K4362" s="30" t="str">
        <f>IF($A4362="","",EDATE($A4362,12*$E$4))</f>
        <v/>
      </c>
      <c r="L4362" s="19" t="str">
        <f>IF($K4362="","",IF($K4362&gt;MAX($A$8:$A$5007),"",IFERROR(MATCH($K4362,$A$8:$A$5007,1),"")))</f>
        <v/>
      </c>
      <c r="M4362" s="30" t="str">
        <f>IF($L4362="","",INDEX($A$8:$A$5007,$L4362))</f>
        <v/>
      </c>
      <c r="N4362" s="31" t="str">
        <f>IF($L4362="","",INDEX($B$8:$B$5007,$L4362))</f>
        <v/>
      </c>
      <c r="O4362" s="32" t="str">
        <f>IF($M4362="","",IF($K4362-$M4362&gt;7,"",IF($M4362&lt;=$A4362,"",IF(OR($B4362&lt;=0,$N4362&lt;=0),"",($N4362/$B4362)^(365/($M4362-$A4362))-1))))</f>
        <v/>
      </c>
      <c r="P4362" s="31" t="str">
        <f>IF($B4362="","",IF($P4361="",$B4362,MAX($P4361,$B4362)))</f>
        <v/>
      </c>
      <c r="Q4362" s="32" t="str">
        <f>IF($P4362="","",$B4362/$P4362-1)</f>
        <v/>
      </c>
    </row>
    <row r="4363">
      <c r="A4363" s="11" t="n"/>
      <c r="B4363" s="29" t="n"/>
      <c r="K4363" s="30" t="str">
        <f>IF($A4363="","",EDATE($A4363,12*$E$4))</f>
        <v/>
      </c>
      <c r="L4363" s="19" t="str">
        <f>IF($K4363="","",IF($K4363&gt;MAX($A$8:$A$5007),"",IFERROR(MATCH($K4363,$A$8:$A$5007,1),"")))</f>
        <v/>
      </c>
      <c r="M4363" s="30" t="str">
        <f>IF($L4363="","",INDEX($A$8:$A$5007,$L4363))</f>
        <v/>
      </c>
      <c r="N4363" s="31" t="str">
        <f>IF($L4363="","",INDEX($B$8:$B$5007,$L4363))</f>
        <v/>
      </c>
      <c r="O4363" s="32" t="str">
        <f>IF($M4363="","",IF($K4363-$M4363&gt;7,"",IF($M4363&lt;=$A4363,"",IF(OR($B4363&lt;=0,$N4363&lt;=0),"",($N4363/$B4363)^(365/($M4363-$A4363))-1))))</f>
        <v/>
      </c>
      <c r="P4363" s="31" t="str">
        <f>IF($B4363="","",IF($P4362="",$B4363,MAX($P4362,$B4363)))</f>
        <v/>
      </c>
      <c r="Q4363" s="32" t="str">
        <f>IF($P4363="","",$B4363/$P4363-1)</f>
        <v/>
      </c>
    </row>
    <row r="4364">
      <c r="A4364" s="11" t="n"/>
      <c r="B4364" s="29" t="n"/>
      <c r="K4364" s="30" t="str">
        <f>IF($A4364="","",EDATE($A4364,12*$E$4))</f>
        <v/>
      </c>
      <c r="L4364" s="19" t="str">
        <f>IF($K4364="","",IF($K4364&gt;MAX($A$8:$A$5007),"",IFERROR(MATCH($K4364,$A$8:$A$5007,1),"")))</f>
        <v/>
      </c>
      <c r="M4364" s="30" t="str">
        <f>IF($L4364="","",INDEX($A$8:$A$5007,$L4364))</f>
        <v/>
      </c>
      <c r="N4364" s="31" t="str">
        <f>IF($L4364="","",INDEX($B$8:$B$5007,$L4364))</f>
        <v/>
      </c>
      <c r="O4364" s="32" t="str">
        <f>IF($M4364="","",IF($K4364-$M4364&gt;7,"",IF($M4364&lt;=$A4364,"",IF(OR($B4364&lt;=0,$N4364&lt;=0),"",($N4364/$B4364)^(365/($M4364-$A4364))-1))))</f>
        <v/>
      </c>
      <c r="P4364" s="31" t="str">
        <f>IF($B4364="","",IF($P4363="",$B4364,MAX($P4363,$B4364)))</f>
        <v/>
      </c>
      <c r="Q4364" s="32" t="str">
        <f>IF($P4364="","",$B4364/$P4364-1)</f>
        <v/>
      </c>
    </row>
    <row r="4365">
      <c r="A4365" s="11" t="n"/>
      <c r="B4365" s="29" t="n"/>
      <c r="K4365" s="30" t="str">
        <f>IF($A4365="","",EDATE($A4365,12*$E$4))</f>
        <v/>
      </c>
      <c r="L4365" s="19" t="str">
        <f>IF($K4365="","",IF($K4365&gt;MAX($A$8:$A$5007),"",IFERROR(MATCH($K4365,$A$8:$A$5007,1),"")))</f>
        <v/>
      </c>
      <c r="M4365" s="30" t="str">
        <f>IF($L4365="","",INDEX($A$8:$A$5007,$L4365))</f>
        <v/>
      </c>
      <c r="N4365" s="31" t="str">
        <f>IF($L4365="","",INDEX($B$8:$B$5007,$L4365))</f>
        <v/>
      </c>
      <c r="O4365" s="32" t="str">
        <f>IF($M4365="","",IF($K4365-$M4365&gt;7,"",IF($M4365&lt;=$A4365,"",IF(OR($B4365&lt;=0,$N4365&lt;=0),"",($N4365/$B4365)^(365/($M4365-$A4365))-1))))</f>
        <v/>
      </c>
      <c r="P4365" s="31" t="str">
        <f>IF($B4365="","",IF($P4364="",$B4365,MAX($P4364,$B4365)))</f>
        <v/>
      </c>
      <c r="Q4365" s="32" t="str">
        <f>IF($P4365="","",$B4365/$P4365-1)</f>
        <v/>
      </c>
    </row>
    <row r="4366">
      <c r="A4366" s="11" t="n"/>
      <c r="B4366" s="29" t="n"/>
      <c r="K4366" s="30" t="str">
        <f>IF($A4366="","",EDATE($A4366,12*$E$4))</f>
        <v/>
      </c>
      <c r="L4366" s="19" t="str">
        <f>IF($K4366="","",IF($K4366&gt;MAX($A$8:$A$5007),"",IFERROR(MATCH($K4366,$A$8:$A$5007,1),"")))</f>
        <v/>
      </c>
      <c r="M4366" s="30" t="str">
        <f>IF($L4366="","",INDEX($A$8:$A$5007,$L4366))</f>
        <v/>
      </c>
      <c r="N4366" s="31" t="str">
        <f>IF($L4366="","",INDEX($B$8:$B$5007,$L4366))</f>
        <v/>
      </c>
      <c r="O4366" s="32" t="str">
        <f>IF($M4366="","",IF($K4366-$M4366&gt;7,"",IF($M4366&lt;=$A4366,"",IF(OR($B4366&lt;=0,$N4366&lt;=0),"",($N4366/$B4366)^(365/($M4366-$A4366))-1))))</f>
        <v/>
      </c>
      <c r="P4366" s="31" t="str">
        <f>IF($B4366="","",IF($P4365="",$B4366,MAX($P4365,$B4366)))</f>
        <v/>
      </c>
      <c r="Q4366" s="32" t="str">
        <f>IF($P4366="","",$B4366/$P4366-1)</f>
        <v/>
      </c>
    </row>
    <row r="4367">
      <c r="A4367" s="11" t="n"/>
      <c r="B4367" s="29" t="n"/>
      <c r="K4367" s="30" t="str">
        <f>IF($A4367="","",EDATE($A4367,12*$E$4))</f>
        <v/>
      </c>
      <c r="L4367" s="19" t="str">
        <f>IF($K4367="","",IF($K4367&gt;MAX($A$8:$A$5007),"",IFERROR(MATCH($K4367,$A$8:$A$5007,1),"")))</f>
        <v/>
      </c>
      <c r="M4367" s="30" t="str">
        <f>IF($L4367="","",INDEX($A$8:$A$5007,$L4367))</f>
        <v/>
      </c>
      <c r="N4367" s="31" t="str">
        <f>IF($L4367="","",INDEX($B$8:$B$5007,$L4367))</f>
        <v/>
      </c>
      <c r="O4367" s="32" t="str">
        <f>IF($M4367="","",IF($K4367-$M4367&gt;7,"",IF($M4367&lt;=$A4367,"",IF(OR($B4367&lt;=0,$N4367&lt;=0),"",($N4367/$B4367)^(365/($M4367-$A4367))-1))))</f>
        <v/>
      </c>
      <c r="P4367" s="31" t="str">
        <f>IF($B4367="","",IF($P4366="",$B4367,MAX($P4366,$B4367)))</f>
        <v/>
      </c>
      <c r="Q4367" s="32" t="str">
        <f>IF($P4367="","",$B4367/$P4367-1)</f>
        <v/>
      </c>
    </row>
    <row r="4368">
      <c r="A4368" s="11" t="n"/>
      <c r="B4368" s="29" t="n"/>
      <c r="K4368" s="30" t="str">
        <f>IF($A4368="","",EDATE($A4368,12*$E$4))</f>
        <v/>
      </c>
      <c r="L4368" s="19" t="str">
        <f>IF($K4368="","",IF($K4368&gt;MAX($A$8:$A$5007),"",IFERROR(MATCH($K4368,$A$8:$A$5007,1),"")))</f>
        <v/>
      </c>
      <c r="M4368" s="30" t="str">
        <f>IF($L4368="","",INDEX($A$8:$A$5007,$L4368))</f>
        <v/>
      </c>
      <c r="N4368" s="31" t="str">
        <f>IF($L4368="","",INDEX($B$8:$B$5007,$L4368))</f>
        <v/>
      </c>
      <c r="O4368" s="32" t="str">
        <f>IF($M4368="","",IF($K4368-$M4368&gt;7,"",IF($M4368&lt;=$A4368,"",IF(OR($B4368&lt;=0,$N4368&lt;=0),"",($N4368/$B4368)^(365/($M4368-$A4368))-1))))</f>
        <v/>
      </c>
      <c r="P4368" s="31" t="str">
        <f>IF($B4368="","",IF($P4367="",$B4368,MAX($P4367,$B4368)))</f>
        <v/>
      </c>
      <c r="Q4368" s="32" t="str">
        <f>IF($P4368="","",$B4368/$P4368-1)</f>
        <v/>
      </c>
    </row>
    <row r="4369">
      <c r="A4369" s="11" t="n"/>
      <c r="B4369" s="29" t="n"/>
      <c r="K4369" s="30" t="str">
        <f>IF($A4369="","",EDATE($A4369,12*$E$4))</f>
        <v/>
      </c>
      <c r="L4369" s="19" t="str">
        <f>IF($K4369="","",IF($K4369&gt;MAX($A$8:$A$5007),"",IFERROR(MATCH($K4369,$A$8:$A$5007,1),"")))</f>
        <v/>
      </c>
      <c r="M4369" s="30" t="str">
        <f>IF($L4369="","",INDEX($A$8:$A$5007,$L4369))</f>
        <v/>
      </c>
      <c r="N4369" s="31" t="str">
        <f>IF($L4369="","",INDEX($B$8:$B$5007,$L4369))</f>
        <v/>
      </c>
      <c r="O4369" s="32" t="str">
        <f>IF($M4369="","",IF($K4369-$M4369&gt;7,"",IF($M4369&lt;=$A4369,"",IF(OR($B4369&lt;=0,$N4369&lt;=0),"",($N4369/$B4369)^(365/($M4369-$A4369))-1))))</f>
        <v/>
      </c>
      <c r="P4369" s="31" t="str">
        <f>IF($B4369="","",IF($P4368="",$B4369,MAX($P4368,$B4369)))</f>
        <v/>
      </c>
      <c r="Q4369" s="32" t="str">
        <f>IF($P4369="","",$B4369/$P4369-1)</f>
        <v/>
      </c>
    </row>
    <row r="4370">
      <c r="A4370" s="11" t="n"/>
      <c r="B4370" s="29" t="n"/>
      <c r="K4370" s="30" t="str">
        <f>IF($A4370="","",EDATE($A4370,12*$E$4))</f>
        <v/>
      </c>
      <c r="L4370" s="19" t="str">
        <f>IF($K4370="","",IF($K4370&gt;MAX($A$8:$A$5007),"",IFERROR(MATCH($K4370,$A$8:$A$5007,1),"")))</f>
        <v/>
      </c>
      <c r="M4370" s="30" t="str">
        <f>IF($L4370="","",INDEX($A$8:$A$5007,$L4370))</f>
        <v/>
      </c>
      <c r="N4370" s="31" t="str">
        <f>IF($L4370="","",INDEX($B$8:$B$5007,$L4370))</f>
        <v/>
      </c>
      <c r="O4370" s="32" t="str">
        <f>IF($M4370="","",IF($K4370-$M4370&gt;7,"",IF($M4370&lt;=$A4370,"",IF(OR($B4370&lt;=0,$N4370&lt;=0),"",($N4370/$B4370)^(365/($M4370-$A4370))-1))))</f>
        <v/>
      </c>
      <c r="P4370" s="31" t="str">
        <f>IF($B4370="","",IF($P4369="",$B4370,MAX($P4369,$B4370)))</f>
        <v/>
      </c>
      <c r="Q4370" s="32" t="str">
        <f>IF($P4370="","",$B4370/$P4370-1)</f>
        <v/>
      </c>
    </row>
    <row r="4371">
      <c r="A4371" s="11" t="n"/>
      <c r="B4371" s="29" t="n"/>
      <c r="K4371" s="30" t="str">
        <f>IF($A4371="","",EDATE($A4371,12*$E$4))</f>
        <v/>
      </c>
      <c r="L4371" s="19" t="str">
        <f>IF($K4371="","",IF($K4371&gt;MAX($A$8:$A$5007),"",IFERROR(MATCH($K4371,$A$8:$A$5007,1),"")))</f>
        <v/>
      </c>
      <c r="M4371" s="30" t="str">
        <f>IF($L4371="","",INDEX($A$8:$A$5007,$L4371))</f>
        <v/>
      </c>
      <c r="N4371" s="31" t="str">
        <f>IF($L4371="","",INDEX($B$8:$B$5007,$L4371))</f>
        <v/>
      </c>
      <c r="O4371" s="32" t="str">
        <f>IF($M4371="","",IF($K4371-$M4371&gt;7,"",IF($M4371&lt;=$A4371,"",IF(OR($B4371&lt;=0,$N4371&lt;=0),"",($N4371/$B4371)^(365/($M4371-$A4371))-1))))</f>
        <v/>
      </c>
      <c r="P4371" s="31" t="str">
        <f>IF($B4371="","",IF($P4370="",$B4371,MAX($P4370,$B4371)))</f>
        <v/>
      </c>
      <c r="Q4371" s="32" t="str">
        <f>IF($P4371="","",$B4371/$P4371-1)</f>
        <v/>
      </c>
    </row>
    <row r="4372">
      <c r="A4372" s="11" t="n"/>
      <c r="B4372" s="29" t="n"/>
      <c r="K4372" s="30" t="str">
        <f>IF($A4372="","",EDATE($A4372,12*$E$4))</f>
        <v/>
      </c>
      <c r="L4372" s="19" t="str">
        <f>IF($K4372="","",IF($K4372&gt;MAX($A$8:$A$5007),"",IFERROR(MATCH($K4372,$A$8:$A$5007,1),"")))</f>
        <v/>
      </c>
      <c r="M4372" s="30" t="str">
        <f>IF($L4372="","",INDEX($A$8:$A$5007,$L4372))</f>
        <v/>
      </c>
      <c r="N4372" s="31" t="str">
        <f>IF($L4372="","",INDEX($B$8:$B$5007,$L4372))</f>
        <v/>
      </c>
      <c r="O4372" s="32" t="str">
        <f>IF($M4372="","",IF($K4372-$M4372&gt;7,"",IF($M4372&lt;=$A4372,"",IF(OR($B4372&lt;=0,$N4372&lt;=0),"",($N4372/$B4372)^(365/($M4372-$A4372))-1))))</f>
        <v/>
      </c>
      <c r="P4372" s="31" t="str">
        <f>IF($B4372="","",IF($P4371="",$B4372,MAX($P4371,$B4372)))</f>
        <v/>
      </c>
      <c r="Q4372" s="32" t="str">
        <f>IF($P4372="","",$B4372/$P4372-1)</f>
        <v/>
      </c>
    </row>
    <row r="4373">
      <c r="A4373" s="11" t="n"/>
      <c r="B4373" s="29" t="n"/>
      <c r="K4373" s="30" t="str">
        <f>IF($A4373="","",EDATE($A4373,12*$E$4))</f>
        <v/>
      </c>
      <c r="L4373" s="19" t="str">
        <f>IF($K4373="","",IF($K4373&gt;MAX($A$8:$A$5007),"",IFERROR(MATCH($K4373,$A$8:$A$5007,1),"")))</f>
        <v/>
      </c>
      <c r="M4373" s="30" t="str">
        <f>IF($L4373="","",INDEX($A$8:$A$5007,$L4373))</f>
        <v/>
      </c>
      <c r="N4373" s="31" t="str">
        <f>IF($L4373="","",INDEX($B$8:$B$5007,$L4373))</f>
        <v/>
      </c>
      <c r="O4373" s="32" t="str">
        <f>IF($M4373="","",IF($K4373-$M4373&gt;7,"",IF($M4373&lt;=$A4373,"",IF(OR($B4373&lt;=0,$N4373&lt;=0),"",($N4373/$B4373)^(365/($M4373-$A4373))-1))))</f>
        <v/>
      </c>
      <c r="P4373" s="31" t="str">
        <f>IF($B4373="","",IF($P4372="",$B4373,MAX($P4372,$B4373)))</f>
        <v/>
      </c>
      <c r="Q4373" s="32" t="str">
        <f>IF($P4373="","",$B4373/$P4373-1)</f>
        <v/>
      </c>
    </row>
    <row r="4374">
      <c r="A4374" s="11" t="n"/>
      <c r="B4374" s="29" t="n"/>
      <c r="K4374" s="30" t="str">
        <f>IF($A4374="","",EDATE($A4374,12*$E$4))</f>
        <v/>
      </c>
      <c r="L4374" s="19" t="str">
        <f>IF($K4374="","",IF($K4374&gt;MAX($A$8:$A$5007),"",IFERROR(MATCH($K4374,$A$8:$A$5007,1),"")))</f>
        <v/>
      </c>
      <c r="M4374" s="30" t="str">
        <f>IF($L4374="","",INDEX($A$8:$A$5007,$L4374))</f>
        <v/>
      </c>
      <c r="N4374" s="31" t="str">
        <f>IF($L4374="","",INDEX($B$8:$B$5007,$L4374))</f>
        <v/>
      </c>
      <c r="O4374" s="32" t="str">
        <f>IF($M4374="","",IF($K4374-$M4374&gt;7,"",IF($M4374&lt;=$A4374,"",IF(OR($B4374&lt;=0,$N4374&lt;=0),"",($N4374/$B4374)^(365/($M4374-$A4374))-1))))</f>
        <v/>
      </c>
      <c r="P4374" s="31" t="str">
        <f>IF($B4374="","",IF($P4373="",$B4374,MAX($P4373,$B4374)))</f>
        <v/>
      </c>
      <c r="Q4374" s="32" t="str">
        <f>IF($P4374="","",$B4374/$P4374-1)</f>
        <v/>
      </c>
    </row>
    <row r="4375">
      <c r="A4375" s="11" t="n"/>
      <c r="B4375" s="29" t="n"/>
      <c r="K4375" s="30" t="str">
        <f>IF($A4375="","",EDATE($A4375,12*$E$4))</f>
        <v/>
      </c>
      <c r="L4375" s="19" t="str">
        <f>IF($K4375="","",IF($K4375&gt;MAX($A$8:$A$5007),"",IFERROR(MATCH($K4375,$A$8:$A$5007,1),"")))</f>
        <v/>
      </c>
      <c r="M4375" s="30" t="str">
        <f>IF($L4375="","",INDEX($A$8:$A$5007,$L4375))</f>
        <v/>
      </c>
      <c r="N4375" s="31" t="str">
        <f>IF($L4375="","",INDEX($B$8:$B$5007,$L4375))</f>
        <v/>
      </c>
      <c r="O4375" s="32" t="str">
        <f>IF($M4375="","",IF($K4375-$M4375&gt;7,"",IF($M4375&lt;=$A4375,"",IF(OR($B4375&lt;=0,$N4375&lt;=0),"",($N4375/$B4375)^(365/($M4375-$A4375))-1))))</f>
        <v/>
      </c>
      <c r="P4375" s="31" t="str">
        <f>IF($B4375="","",IF($P4374="",$B4375,MAX($P4374,$B4375)))</f>
        <v/>
      </c>
      <c r="Q4375" s="32" t="str">
        <f>IF($P4375="","",$B4375/$P4375-1)</f>
        <v/>
      </c>
    </row>
    <row r="4376">
      <c r="A4376" s="11" t="n"/>
      <c r="B4376" s="29" t="n"/>
      <c r="K4376" s="30" t="str">
        <f>IF($A4376="","",EDATE($A4376,12*$E$4))</f>
        <v/>
      </c>
      <c r="L4376" s="19" t="str">
        <f>IF($K4376="","",IF($K4376&gt;MAX($A$8:$A$5007),"",IFERROR(MATCH($K4376,$A$8:$A$5007,1),"")))</f>
        <v/>
      </c>
      <c r="M4376" s="30" t="str">
        <f>IF($L4376="","",INDEX($A$8:$A$5007,$L4376))</f>
        <v/>
      </c>
      <c r="N4376" s="31" t="str">
        <f>IF($L4376="","",INDEX($B$8:$B$5007,$L4376))</f>
        <v/>
      </c>
      <c r="O4376" s="32" t="str">
        <f>IF($M4376="","",IF($K4376-$M4376&gt;7,"",IF($M4376&lt;=$A4376,"",IF(OR($B4376&lt;=0,$N4376&lt;=0),"",($N4376/$B4376)^(365/($M4376-$A4376))-1))))</f>
        <v/>
      </c>
      <c r="P4376" s="31" t="str">
        <f>IF($B4376="","",IF($P4375="",$B4376,MAX($P4375,$B4376)))</f>
        <v/>
      </c>
      <c r="Q4376" s="32" t="str">
        <f>IF($P4376="","",$B4376/$P4376-1)</f>
        <v/>
      </c>
    </row>
    <row r="4377">
      <c r="A4377" s="11" t="n"/>
      <c r="B4377" s="29" t="n"/>
      <c r="K4377" s="30" t="str">
        <f>IF($A4377="","",EDATE($A4377,12*$E$4))</f>
        <v/>
      </c>
      <c r="L4377" s="19" t="str">
        <f>IF($K4377="","",IF($K4377&gt;MAX($A$8:$A$5007),"",IFERROR(MATCH($K4377,$A$8:$A$5007,1),"")))</f>
        <v/>
      </c>
      <c r="M4377" s="30" t="str">
        <f>IF($L4377="","",INDEX($A$8:$A$5007,$L4377))</f>
        <v/>
      </c>
      <c r="N4377" s="31" t="str">
        <f>IF($L4377="","",INDEX($B$8:$B$5007,$L4377))</f>
        <v/>
      </c>
      <c r="O4377" s="32" t="str">
        <f>IF($M4377="","",IF($K4377-$M4377&gt;7,"",IF($M4377&lt;=$A4377,"",IF(OR($B4377&lt;=0,$N4377&lt;=0),"",($N4377/$B4377)^(365/($M4377-$A4377))-1))))</f>
        <v/>
      </c>
      <c r="P4377" s="31" t="str">
        <f>IF($B4377="","",IF($P4376="",$B4377,MAX($P4376,$B4377)))</f>
        <v/>
      </c>
      <c r="Q4377" s="32" t="str">
        <f>IF($P4377="","",$B4377/$P4377-1)</f>
        <v/>
      </c>
    </row>
    <row r="4378">
      <c r="A4378" s="11" t="n"/>
      <c r="B4378" s="29" t="n"/>
      <c r="K4378" s="30" t="str">
        <f>IF($A4378="","",EDATE($A4378,12*$E$4))</f>
        <v/>
      </c>
      <c r="L4378" s="19" t="str">
        <f>IF($K4378="","",IF($K4378&gt;MAX($A$8:$A$5007),"",IFERROR(MATCH($K4378,$A$8:$A$5007,1),"")))</f>
        <v/>
      </c>
      <c r="M4378" s="30" t="str">
        <f>IF($L4378="","",INDEX($A$8:$A$5007,$L4378))</f>
        <v/>
      </c>
      <c r="N4378" s="31" t="str">
        <f>IF($L4378="","",INDEX($B$8:$B$5007,$L4378))</f>
        <v/>
      </c>
      <c r="O4378" s="32" t="str">
        <f>IF($M4378="","",IF($K4378-$M4378&gt;7,"",IF($M4378&lt;=$A4378,"",IF(OR($B4378&lt;=0,$N4378&lt;=0),"",($N4378/$B4378)^(365/($M4378-$A4378))-1))))</f>
        <v/>
      </c>
      <c r="P4378" s="31" t="str">
        <f>IF($B4378="","",IF($P4377="",$B4378,MAX($P4377,$B4378)))</f>
        <v/>
      </c>
      <c r="Q4378" s="32" t="str">
        <f>IF($P4378="","",$B4378/$P4378-1)</f>
        <v/>
      </c>
    </row>
    <row r="4379">
      <c r="A4379" s="11" t="n"/>
      <c r="B4379" s="29" t="n"/>
      <c r="K4379" s="30" t="str">
        <f>IF($A4379="","",EDATE($A4379,12*$E$4))</f>
        <v/>
      </c>
      <c r="L4379" s="19" t="str">
        <f>IF($K4379="","",IF($K4379&gt;MAX($A$8:$A$5007),"",IFERROR(MATCH($K4379,$A$8:$A$5007,1),"")))</f>
        <v/>
      </c>
      <c r="M4379" s="30" t="str">
        <f>IF($L4379="","",INDEX($A$8:$A$5007,$L4379))</f>
        <v/>
      </c>
      <c r="N4379" s="31" t="str">
        <f>IF($L4379="","",INDEX($B$8:$B$5007,$L4379))</f>
        <v/>
      </c>
      <c r="O4379" s="32" t="str">
        <f>IF($M4379="","",IF($K4379-$M4379&gt;7,"",IF($M4379&lt;=$A4379,"",IF(OR($B4379&lt;=0,$N4379&lt;=0),"",($N4379/$B4379)^(365/($M4379-$A4379))-1))))</f>
        <v/>
      </c>
      <c r="P4379" s="31" t="str">
        <f>IF($B4379="","",IF($P4378="",$B4379,MAX($P4378,$B4379)))</f>
        <v/>
      </c>
      <c r="Q4379" s="32" t="str">
        <f>IF($P4379="","",$B4379/$P4379-1)</f>
        <v/>
      </c>
    </row>
    <row r="4380">
      <c r="A4380" s="11" t="n"/>
      <c r="B4380" s="29" t="n"/>
      <c r="K4380" s="30" t="str">
        <f>IF($A4380="","",EDATE($A4380,12*$E$4))</f>
        <v/>
      </c>
      <c r="L4380" s="19" t="str">
        <f>IF($K4380="","",IF($K4380&gt;MAX($A$8:$A$5007),"",IFERROR(MATCH($K4380,$A$8:$A$5007,1),"")))</f>
        <v/>
      </c>
      <c r="M4380" s="30" t="str">
        <f>IF($L4380="","",INDEX($A$8:$A$5007,$L4380))</f>
        <v/>
      </c>
      <c r="N4380" s="31" t="str">
        <f>IF($L4380="","",INDEX($B$8:$B$5007,$L4380))</f>
        <v/>
      </c>
      <c r="O4380" s="32" t="str">
        <f>IF($M4380="","",IF($K4380-$M4380&gt;7,"",IF($M4380&lt;=$A4380,"",IF(OR($B4380&lt;=0,$N4380&lt;=0),"",($N4380/$B4380)^(365/($M4380-$A4380))-1))))</f>
        <v/>
      </c>
      <c r="P4380" s="31" t="str">
        <f>IF($B4380="","",IF($P4379="",$B4380,MAX($P4379,$B4380)))</f>
        <v/>
      </c>
      <c r="Q4380" s="32" t="str">
        <f>IF($P4380="","",$B4380/$P4380-1)</f>
        <v/>
      </c>
    </row>
    <row r="4381">
      <c r="A4381" s="11" t="n"/>
      <c r="B4381" s="29" t="n"/>
      <c r="K4381" s="30" t="str">
        <f>IF($A4381="","",EDATE($A4381,12*$E$4))</f>
        <v/>
      </c>
      <c r="L4381" s="19" t="str">
        <f>IF($K4381="","",IF($K4381&gt;MAX($A$8:$A$5007),"",IFERROR(MATCH($K4381,$A$8:$A$5007,1),"")))</f>
        <v/>
      </c>
      <c r="M4381" s="30" t="str">
        <f>IF($L4381="","",INDEX($A$8:$A$5007,$L4381))</f>
        <v/>
      </c>
      <c r="N4381" s="31" t="str">
        <f>IF($L4381="","",INDEX($B$8:$B$5007,$L4381))</f>
        <v/>
      </c>
      <c r="O4381" s="32" t="str">
        <f>IF($M4381="","",IF($K4381-$M4381&gt;7,"",IF($M4381&lt;=$A4381,"",IF(OR($B4381&lt;=0,$N4381&lt;=0),"",($N4381/$B4381)^(365/($M4381-$A4381))-1))))</f>
        <v/>
      </c>
      <c r="P4381" s="31" t="str">
        <f>IF($B4381="","",IF($P4380="",$B4381,MAX($P4380,$B4381)))</f>
        <v/>
      </c>
      <c r="Q4381" s="32" t="str">
        <f>IF($P4381="","",$B4381/$P4381-1)</f>
        <v/>
      </c>
    </row>
    <row r="4382">
      <c r="A4382" s="11" t="n"/>
      <c r="B4382" s="29" t="n"/>
      <c r="K4382" s="30" t="str">
        <f>IF($A4382="","",EDATE($A4382,12*$E$4))</f>
        <v/>
      </c>
      <c r="L4382" s="19" t="str">
        <f>IF($K4382="","",IF($K4382&gt;MAX($A$8:$A$5007),"",IFERROR(MATCH($K4382,$A$8:$A$5007,1),"")))</f>
        <v/>
      </c>
      <c r="M4382" s="30" t="str">
        <f>IF($L4382="","",INDEX($A$8:$A$5007,$L4382))</f>
        <v/>
      </c>
      <c r="N4382" s="31" t="str">
        <f>IF($L4382="","",INDEX($B$8:$B$5007,$L4382))</f>
        <v/>
      </c>
      <c r="O4382" s="32" t="str">
        <f>IF($M4382="","",IF($K4382-$M4382&gt;7,"",IF($M4382&lt;=$A4382,"",IF(OR($B4382&lt;=0,$N4382&lt;=0),"",($N4382/$B4382)^(365/($M4382-$A4382))-1))))</f>
        <v/>
      </c>
      <c r="P4382" s="31" t="str">
        <f>IF($B4382="","",IF($P4381="",$B4382,MAX($P4381,$B4382)))</f>
        <v/>
      </c>
      <c r="Q4382" s="32" t="str">
        <f>IF($P4382="","",$B4382/$P4382-1)</f>
        <v/>
      </c>
    </row>
    <row r="4383">
      <c r="A4383" s="11" t="n"/>
      <c r="B4383" s="29" t="n"/>
      <c r="K4383" s="30" t="str">
        <f>IF($A4383="","",EDATE($A4383,12*$E$4))</f>
        <v/>
      </c>
      <c r="L4383" s="19" t="str">
        <f>IF($K4383="","",IF($K4383&gt;MAX($A$8:$A$5007),"",IFERROR(MATCH($K4383,$A$8:$A$5007,1),"")))</f>
        <v/>
      </c>
      <c r="M4383" s="30" t="str">
        <f>IF($L4383="","",INDEX($A$8:$A$5007,$L4383))</f>
        <v/>
      </c>
      <c r="N4383" s="31" t="str">
        <f>IF($L4383="","",INDEX($B$8:$B$5007,$L4383))</f>
        <v/>
      </c>
      <c r="O4383" s="32" t="str">
        <f>IF($M4383="","",IF($K4383-$M4383&gt;7,"",IF($M4383&lt;=$A4383,"",IF(OR($B4383&lt;=0,$N4383&lt;=0),"",($N4383/$B4383)^(365/($M4383-$A4383))-1))))</f>
        <v/>
      </c>
      <c r="P4383" s="31" t="str">
        <f>IF($B4383="","",IF($P4382="",$B4383,MAX($P4382,$B4383)))</f>
        <v/>
      </c>
      <c r="Q4383" s="32" t="str">
        <f>IF($P4383="","",$B4383/$P4383-1)</f>
        <v/>
      </c>
    </row>
    <row r="4384">
      <c r="A4384" s="11" t="n"/>
      <c r="B4384" s="29" t="n"/>
      <c r="K4384" s="30" t="str">
        <f>IF($A4384="","",EDATE($A4384,12*$E$4))</f>
        <v/>
      </c>
      <c r="L4384" s="19" t="str">
        <f>IF($K4384="","",IF($K4384&gt;MAX($A$8:$A$5007),"",IFERROR(MATCH($K4384,$A$8:$A$5007,1),"")))</f>
        <v/>
      </c>
      <c r="M4384" s="30" t="str">
        <f>IF($L4384="","",INDEX($A$8:$A$5007,$L4384))</f>
        <v/>
      </c>
      <c r="N4384" s="31" t="str">
        <f>IF($L4384="","",INDEX($B$8:$B$5007,$L4384))</f>
        <v/>
      </c>
      <c r="O4384" s="32" t="str">
        <f>IF($M4384="","",IF($K4384-$M4384&gt;7,"",IF($M4384&lt;=$A4384,"",IF(OR($B4384&lt;=0,$N4384&lt;=0),"",($N4384/$B4384)^(365/($M4384-$A4384))-1))))</f>
        <v/>
      </c>
      <c r="P4384" s="31" t="str">
        <f>IF($B4384="","",IF($P4383="",$B4384,MAX($P4383,$B4384)))</f>
        <v/>
      </c>
      <c r="Q4384" s="32" t="str">
        <f>IF($P4384="","",$B4384/$P4384-1)</f>
        <v/>
      </c>
    </row>
    <row r="4385">
      <c r="A4385" s="11" t="n"/>
      <c r="B4385" s="29" t="n"/>
      <c r="K4385" s="30" t="str">
        <f>IF($A4385="","",EDATE($A4385,12*$E$4))</f>
        <v/>
      </c>
      <c r="L4385" s="19" t="str">
        <f>IF($K4385="","",IF($K4385&gt;MAX($A$8:$A$5007),"",IFERROR(MATCH($K4385,$A$8:$A$5007,1),"")))</f>
        <v/>
      </c>
      <c r="M4385" s="30" t="str">
        <f>IF($L4385="","",INDEX($A$8:$A$5007,$L4385))</f>
        <v/>
      </c>
      <c r="N4385" s="31" t="str">
        <f>IF($L4385="","",INDEX($B$8:$B$5007,$L4385))</f>
        <v/>
      </c>
      <c r="O4385" s="32" t="str">
        <f>IF($M4385="","",IF($K4385-$M4385&gt;7,"",IF($M4385&lt;=$A4385,"",IF(OR($B4385&lt;=0,$N4385&lt;=0),"",($N4385/$B4385)^(365/($M4385-$A4385))-1))))</f>
        <v/>
      </c>
      <c r="P4385" s="31" t="str">
        <f>IF($B4385="","",IF($P4384="",$B4385,MAX($P4384,$B4385)))</f>
        <v/>
      </c>
      <c r="Q4385" s="32" t="str">
        <f>IF($P4385="","",$B4385/$P4385-1)</f>
        <v/>
      </c>
    </row>
    <row r="4386">
      <c r="A4386" s="11" t="n"/>
      <c r="B4386" s="29" t="n"/>
      <c r="K4386" s="30" t="str">
        <f>IF($A4386="","",EDATE($A4386,12*$E$4))</f>
        <v/>
      </c>
      <c r="L4386" s="19" t="str">
        <f>IF($K4386="","",IF($K4386&gt;MAX($A$8:$A$5007),"",IFERROR(MATCH($K4386,$A$8:$A$5007,1),"")))</f>
        <v/>
      </c>
      <c r="M4386" s="30" t="str">
        <f>IF($L4386="","",INDEX($A$8:$A$5007,$L4386))</f>
        <v/>
      </c>
      <c r="N4386" s="31" t="str">
        <f>IF($L4386="","",INDEX($B$8:$B$5007,$L4386))</f>
        <v/>
      </c>
      <c r="O4386" s="32" t="str">
        <f>IF($M4386="","",IF($K4386-$M4386&gt;7,"",IF($M4386&lt;=$A4386,"",IF(OR($B4386&lt;=0,$N4386&lt;=0),"",($N4386/$B4386)^(365/($M4386-$A4386))-1))))</f>
        <v/>
      </c>
      <c r="P4386" s="31" t="str">
        <f>IF($B4386="","",IF($P4385="",$B4386,MAX($P4385,$B4386)))</f>
        <v/>
      </c>
      <c r="Q4386" s="32" t="str">
        <f>IF($P4386="","",$B4386/$P4386-1)</f>
        <v/>
      </c>
    </row>
    <row r="4387">
      <c r="A4387" s="11" t="n"/>
      <c r="B4387" s="29" t="n"/>
      <c r="K4387" s="30" t="str">
        <f>IF($A4387="","",EDATE($A4387,12*$E$4))</f>
        <v/>
      </c>
      <c r="L4387" s="19" t="str">
        <f>IF($K4387="","",IF($K4387&gt;MAX($A$8:$A$5007),"",IFERROR(MATCH($K4387,$A$8:$A$5007,1),"")))</f>
        <v/>
      </c>
      <c r="M4387" s="30" t="str">
        <f>IF($L4387="","",INDEX($A$8:$A$5007,$L4387))</f>
        <v/>
      </c>
      <c r="N4387" s="31" t="str">
        <f>IF($L4387="","",INDEX($B$8:$B$5007,$L4387))</f>
        <v/>
      </c>
      <c r="O4387" s="32" t="str">
        <f>IF($M4387="","",IF($K4387-$M4387&gt;7,"",IF($M4387&lt;=$A4387,"",IF(OR($B4387&lt;=0,$N4387&lt;=0),"",($N4387/$B4387)^(365/($M4387-$A4387))-1))))</f>
        <v/>
      </c>
      <c r="P4387" s="31" t="str">
        <f>IF($B4387="","",IF($P4386="",$B4387,MAX($P4386,$B4387)))</f>
        <v/>
      </c>
      <c r="Q4387" s="32" t="str">
        <f>IF($P4387="","",$B4387/$P4387-1)</f>
        <v/>
      </c>
    </row>
    <row r="4388">
      <c r="A4388" s="11" t="n"/>
      <c r="B4388" s="29" t="n"/>
      <c r="K4388" s="30" t="str">
        <f>IF($A4388="","",EDATE($A4388,12*$E$4))</f>
        <v/>
      </c>
      <c r="L4388" s="19" t="str">
        <f>IF($K4388="","",IF($K4388&gt;MAX($A$8:$A$5007),"",IFERROR(MATCH($K4388,$A$8:$A$5007,1),"")))</f>
        <v/>
      </c>
      <c r="M4388" s="30" t="str">
        <f>IF($L4388="","",INDEX($A$8:$A$5007,$L4388))</f>
        <v/>
      </c>
      <c r="N4388" s="31" t="str">
        <f>IF($L4388="","",INDEX($B$8:$B$5007,$L4388))</f>
        <v/>
      </c>
      <c r="O4388" s="32" t="str">
        <f>IF($M4388="","",IF($K4388-$M4388&gt;7,"",IF($M4388&lt;=$A4388,"",IF(OR($B4388&lt;=0,$N4388&lt;=0),"",($N4388/$B4388)^(365/($M4388-$A4388))-1))))</f>
        <v/>
      </c>
      <c r="P4388" s="31" t="str">
        <f>IF($B4388="","",IF($P4387="",$B4388,MAX($P4387,$B4388)))</f>
        <v/>
      </c>
      <c r="Q4388" s="32" t="str">
        <f>IF($P4388="","",$B4388/$P4388-1)</f>
        <v/>
      </c>
    </row>
    <row r="4389">
      <c r="A4389" s="11" t="n"/>
      <c r="B4389" s="29" t="n"/>
      <c r="K4389" s="30" t="str">
        <f>IF($A4389="","",EDATE($A4389,12*$E$4))</f>
        <v/>
      </c>
      <c r="L4389" s="19" t="str">
        <f>IF($K4389="","",IF($K4389&gt;MAX($A$8:$A$5007),"",IFERROR(MATCH($K4389,$A$8:$A$5007,1),"")))</f>
        <v/>
      </c>
      <c r="M4389" s="30" t="str">
        <f>IF($L4389="","",INDEX($A$8:$A$5007,$L4389))</f>
        <v/>
      </c>
      <c r="N4389" s="31" t="str">
        <f>IF($L4389="","",INDEX($B$8:$B$5007,$L4389))</f>
        <v/>
      </c>
      <c r="O4389" s="32" t="str">
        <f>IF($M4389="","",IF($K4389-$M4389&gt;7,"",IF($M4389&lt;=$A4389,"",IF(OR($B4389&lt;=0,$N4389&lt;=0),"",($N4389/$B4389)^(365/($M4389-$A4389))-1))))</f>
        <v/>
      </c>
      <c r="P4389" s="31" t="str">
        <f>IF($B4389="","",IF($P4388="",$B4389,MAX($P4388,$B4389)))</f>
        <v/>
      </c>
      <c r="Q4389" s="32" t="str">
        <f>IF($P4389="","",$B4389/$P4389-1)</f>
        <v/>
      </c>
    </row>
    <row r="4390">
      <c r="A4390" s="11" t="n"/>
      <c r="B4390" s="29" t="n"/>
      <c r="K4390" s="30" t="str">
        <f>IF($A4390="","",EDATE($A4390,12*$E$4))</f>
        <v/>
      </c>
      <c r="L4390" s="19" t="str">
        <f>IF($K4390="","",IF($K4390&gt;MAX($A$8:$A$5007),"",IFERROR(MATCH($K4390,$A$8:$A$5007,1),"")))</f>
        <v/>
      </c>
      <c r="M4390" s="30" t="str">
        <f>IF($L4390="","",INDEX($A$8:$A$5007,$L4390))</f>
        <v/>
      </c>
      <c r="N4390" s="31" t="str">
        <f>IF($L4390="","",INDEX($B$8:$B$5007,$L4390))</f>
        <v/>
      </c>
      <c r="O4390" s="32" t="str">
        <f>IF($M4390="","",IF($K4390-$M4390&gt;7,"",IF($M4390&lt;=$A4390,"",IF(OR($B4390&lt;=0,$N4390&lt;=0),"",($N4390/$B4390)^(365/($M4390-$A4390))-1))))</f>
        <v/>
      </c>
      <c r="P4390" s="31" t="str">
        <f>IF($B4390="","",IF($P4389="",$B4390,MAX($P4389,$B4390)))</f>
        <v/>
      </c>
      <c r="Q4390" s="32" t="str">
        <f>IF($P4390="","",$B4390/$P4390-1)</f>
        <v/>
      </c>
    </row>
    <row r="4391">
      <c r="A4391" s="11" t="n"/>
      <c r="B4391" s="29" t="n"/>
      <c r="K4391" s="30" t="str">
        <f>IF($A4391="","",EDATE($A4391,12*$E$4))</f>
        <v/>
      </c>
      <c r="L4391" s="19" t="str">
        <f>IF($K4391="","",IF($K4391&gt;MAX($A$8:$A$5007),"",IFERROR(MATCH($K4391,$A$8:$A$5007,1),"")))</f>
        <v/>
      </c>
      <c r="M4391" s="30" t="str">
        <f>IF($L4391="","",INDEX($A$8:$A$5007,$L4391))</f>
        <v/>
      </c>
      <c r="N4391" s="31" t="str">
        <f>IF($L4391="","",INDEX($B$8:$B$5007,$L4391))</f>
        <v/>
      </c>
      <c r="O4391" s="32" t="str">
        <f>IF($M4391="","",IF($K4391-$M4391&gt;7,"",IF($M4391&lt;=$A4391,"",IF(OR($B4391&lt;=0,$N4391&lt;=0),"",($N4391/$B4391)^(365/($M4391-$A4391))-1))))</f>
        <v/>
      </c>
      <c r="P4391" s="31" t="str">
        <f>IF($B4391="","",IF($P4390="",$B4391,MAX($P4390,$B4391)))</f>
        <v/>
      </c>
      <c r="Q4391" s="32" t="str">
        <f>IF($P4391="","",$B4391/$P4391-1)</f>
        <v/>
      </c>
    </row>
    <row r="4392">
      <c r="A4392" s="11" t="n"/>
      <c r="B4392" s="29" t="n"/>
      <c r="K4392" s="30" t="str">
        <f>IF($A4392="","",EDATE($A4392,12*$E$4))</f>
        <v/>
      </c>
      <c r="L4392" s="19" t="str">
        <f>IF($K4392="","",IF($K4392&gt;MAX($A$8:$A$5007),"",IFERROR(MATCH($K4392,$A$8:$A$5007,1),"")))</f>
        <v/>
      </c>
      <c r="M4392" s="30" t="str">
        <f>IF($L4392="","",INDEX($A$8:$A$5007,$L4392))</f>
        <v/>
      </c>
      <c r="N4392" s="31" t="str">
        <f>IF($L4392="","",INDEX($B$8:$B$5007,$L4392))</f>
        <v/>
      </c>
      <c r="O4392" s="32" t="str">
        <f>IF($M4392="","",IF($K4392-$M4392&gt;7,"",IF($M4392&lt;=$A4392,"",IF(OR($B4392&lt;=0,$N4392&lt;=0),"",($N4392/$B4392)^(365/($M4392-$A4392))-1))))</f>
        <v/>
      </c>
      <c r="P4392" s="31" t="str">
        <f>IF($B4392="","",IF($P4391="",$B4392,MAX($P4391,$B4392)))</f>
        <v/>
      </c>
      <c r="Q4392" s="32" t="str">
        <f>IF($P4392="","",$B4392/$P4392-1)</f>
        <v/>
      </c>
    </row>
    <row r="4393">
      <c r="A4393" s="11" t="n"/>
      <c r="B4393" s="29" t="n"/>
      <c r="K4393" s="30" t="str">
        <f>IF($A4393="","",EDATE($A4393,12*$E$4))</f>
        <v/>
      </c>
      <c r="L4393" s="19" t="str">
        <f>IF($K4393="","",IF($K4393&gt;MAX($A$8:$A$5007),"",IFERROR(MATCH($K4393,$A$8:$A$5007,1),"")))</f>
        <v/>
      </c>
      <c r="M4393" s="30" t="str">
        <f>IF($L4393="","",INDEX($A$8:$A$5007,$L4393))</f>
        <v/>
      </c>
      <c r="N4393" s="31" t="str">
        <f>IF($L4393="","",INDEX($B$8:$B$5007,$L4393))</f>
        <v/>
      </c>
      <c r="O4393" s="32" t="str">
        <f>IF($M4393="","",IF($K4393-$M4393&gt;7,"",IF($M4393&lt;=$A4393,"",IF(OR($B4393&lt;=0,$N4393&lt;=0),"",($N4393/$B4393)^(365/($M4393-$A4393))-1))))</f>
        <v/>
      </c>
      <c r="P4393" s="31" t="str">
        <f>IF($B4393="","",IF($P4392="",$B4393,MAX($P4392,$B4393)))</f>
        <v/>
      </c>
      <c r="Q4393" s="32" t="str">
        <f>IF($P4393="","",$B4393/$P4393-1)</f>
        <v/>
      </c>
    </row>
    <row r="4394">
      <c r="A4394" s="11" t="n"/>
      <c r="B4394" s="29" t="n"/>
      <c r="K4394" s="30" t="str">
        <f>IF($A4394="","",EDATE($A4394,12*$E$4))</f>
        <v/>
      </c>
      <c r="L4394" s="19" t="str">
        <f>IF($K4394="","",IF($K4394&gt;MAX($A$8:$A$5007),"",IFERROR(MATCH($K4394,$A$8:$A$5007,1),"")))</f>
        <v/>
      </c>
      <c r="M4394" s="30" t="str">
        <f>IF($L4394="","",INDEX($A$8:$A$5007,$L4394))</f>
        <v/>
      </c>
      <c r="N4394" s="31" t="str">
        <f>IF($L4394="","",INDEX($B$8:$B$5007,$L4394))</f>
        <v/>
      </c>
      <c r="O4394" s="32" t="str">
        <f>IF($M4394="","",IF($K4394-$M4394&gt;7,"",IF($M4394&lt;=$A4394,"",IF(OR($B4394&lt;=0,$N4394&lt;=0),"",($N4394/$B4394)^(365/($M4394-$A4394))-1))))</f>
        <v/>
      </c>
      <c r="P4394" s="31" t="str">
        <f>IF($B4394="","",IF($P4393="",$B4394,MAX($P4393,$B4394)))</f>
        <v/>
      </c>
      <c r="Q4394" s="32" t="str">
        <f>IF($P4394="","",$B4394/$P4394-1)</f>
        <v/>
      </c>
    </row>
    <row r="4395">
      <c r="A4395" s="11" t="n"/>
      <c r="B4395" s="29" t="n"/>
      <c r="K4395" s="30" t="str">
        <f>IF($A4395="","",EDATE($A4395,12*$E$4))</f>
        <v/>
      </c>
      <c r="L4395" s="19" t="str">
        <f>IF($K4395="","",IF($K4395&gt;MAX($A$8:$A$5007),"",IFERROR(MATCH($K4395,$A$8:$A$5007,1),"")))</f>
        <v/>
      </c>
      <c r="M4395" s="30" t="str">
        <f>IF($L4395="","",INDEX($A$8:$A$5007,$L4395))</f>
        <v/>
      </c>
      <c r="N4395" s="31" t="str">
        <f>IF($L4395="","",INDEX($B$8:$B$5007,$L4395))</f>
        <v/>
      </c>
      <c r="O4395" s="32" t="str">
        <f>IF($M4395="","",IF($K4395-$M4395&gt;7,"",IF($M4395&lt;=$A4395,"",IF(OR($B4395&lt;=0,$N4395&lt;=0),"",($N4395/$B4395)^(365/($M4395-$A4395))-1))))</f>
        <v/>
      </c>
      <c r="P4395" s="31" t="str">
        <f>IF($B4395="","",IF($P4394="",$B4395,MAX($P4394,$B4395)))</f>
        <v/>
      </c>
      <c r="Q4395" s="32" t="str">
        <f>IF($P4395="","",$B4395/$P4395-1)</f>
        <v/>
      </c>
    </row>
    <row r="4396">
      <c r="A4396" s="11" t="n"/>
      <c r="B4396" s="29" t="n"/>
      <c r="K4396" s="30" t="str">
        <f>IF($A4396="","",EDATE($A4396,12*$E$4))</f>
        <v/>
      </c>
      <c r="L4396" s="19" t="str">
        <f>IF($K4396="","",IF($K4396&gt;MAX($A$8:$A$5007),"",IFERROR(MATCH($K4396,$A$8:$A$5007,1),"")))</f>
        <v/>
      </c>
      <c r="M4396" s="30" t="str">
        <f>IF($L4396="","",INDEX($A$8:$A$5007,$L4396))</f>
        <v/>
      </c>
      <c r="N4396" s="31" t="str">
        <f>IF($L4396="","",INDEX($B$8:$B$5007,$L4396))</f>
        <v/>
      </c>
      <c r="O4396" s="32" t="str">
        <f>IF($M4396="","",IF($K4396-$M4396&gt;7,"",IF($M4396&lt;=$A4396,"",IF(OR($B4396&lt;=0,$N4396&lt;=0),"",($N4396/$B4396)^(365/($M4396-$A4396))-1))))</f>
        <v/>
      </c>
      <c r="P4396" s="31" t="str">
        <f>IF($B4396="","",IF($P4395="",$B4396,MAX($P4395,$B4396)))</f>
        <v/>
      </c>
      <c r="Q4396" s="32" t="str">
        <f>IF($P4396="","",$B4396/$P4396-1)</f>
        <v/>
      </c>
    </row>
    <row r="4397">
      <c r="A4397" s="11" t="n"/>
      <c r="B4397" s="29" t="n"/>
      <c r="K4397" s="30" t="str">
        <f>IF($A4397="","",EDATE($A4397,12*$E$4))</f>
        <v/>
      </c>
      <c r="L4397" s="19" t="str">
        <f>IF($K4397="","",IF($K4397&gt;MAX($A$8:$A$5007),"",IFERROR(MATCH($K4397,$A$8:$A$5007,1),"")))</f>
        <v/>
      </c>
      <c r="M4397" s="30" t="str">
        <f>IF($L4397="","",INDEX($A$8:$A$5007,$L4397))</f>
        <v/>
      </c>
      <c r="N4397" s="31" t="str">
        <f>IF($L4397="","",INDEX($B$8:$B$5007,$L4397))</f>
        <v/>
      </c>
      <c r="O4397" s="32" t="str">
        <f>IF($M4397="","",IF($K4397-$M4397&gt;7,"",IF($M4397&lt;=$A4397,"",IF(OR($B4397&lt;=0,$N4397&lt;=0),"",($N4397/$B4397)^(365/($M4397-$A4397))-1))))</f>
        <v/>
      </c>
      <c r="P4397" s="31" t="str">
        <f>IF($B4397="","",IF($P4396="",$B4397,MAX($P4396,$B4397)))</f>
        <v/>
      </c>
      <c r="Q4397" s="32" t="str">
        <f>IF($P4397="","",$B4397/$P4397-1)</f>
        <v/>
      </c>
    </row>
    <row r="4398">
      <c r="A4398" s="11" t="n"/>
      <c r="B4398" s="29" t="n"/>
      <c r="K4398" s="30" t="str">
        <f>IF($A4398="","",EDATE($A4398,12*$E$4))</f>
        <v/>
      </c>
      <c r="L4398" s="19" t="str">
        <f>IF($K4398="","",IF($K4398&gt;MAX($A$8:$A$5007),"",IFERROR(MATCH($K4398,$A$8:$A$5007,1),"")))</f>
        <v/>
      </c>
      <c r="M4398" s="30" t="str">
        <f>IF($L4398="","",INDEX($A$8:$A$5007,$L4398))</f>
        <v/>
      </c>
      <c r="N4398" s="31" t="str">
        <f>IF($L4398="","",INDEX($B$8:$B$5007,$L4398))</f>
        <v/>
      </c>
      <c r="O4398" s="32" t="str">
        <f>IF($M4398="","",IF($K4398-$M4398&gt;7,"",IF($M4398&lt;=$A4398,"",IF(OR($B4398&lt;=0,$N4398&lt;=0),"",($N4398/$B4398)^(365/($M4398-$A4398))-1))))</f>
        <v/>
      </c>
      <c r="P4398" s="31" t="str">
        <f>IF($B4398="","",IF($P4397="",$B4398,MAX($P4397,$B4398)))</f>
        <v/>
      </c>
      <c r="Q4398" s="32" t="str">
        <f>IF($P4398="","",$B4398/$P4398-1)</f>
        <v/>
      </c>
    </row>
    <row r="4399">
      <c r="A4399" s="11" t="n"/>
      <c r="B4399" s="29" t="n"/>
      <c r="K4399" s="30" t="str">
        <f>IF($A4399="","",EDATE($A4399,12*$E$4))</f>
        <v/>
      </c>
      <c r="L4399" s="19" t="str">
        <f>IF($K4399="","",IF($K4399&gt;MAX($A$8:$A$5007),"",IFERROR(MATCH($K4399,$A$8:$A$5007,1),"")))</f>
        <v/>
      </c>
      <c r="M4399" s="30" t="str">
        <f>IF($L4399="","",INDEX($A$8:$A$5007,$L4399))</f>
        <v/>
      </c>
      <c r="N4399" s="31" t="str">
        <f>IF($L4399="","",INDEX($B$8:$B$5007,$L4399))</f>
        <v/>
      </c>
      <c r="O4399" s="32" t="str">
        <f>IF($M4399="","",IF($K4399-$M4399&gt;7,"",IF($M4399&lt;=$A4399,"",IF(OR($B4399&lt;=0,$N4399&lt;=0),"",($N4399/$B4399)^(365/($M4399-$A4399))-1))))</f>
        <v/>
      </c>
      <c r="P4399" s="31" t="str">
        <f>IF($B4399="","",IF($P4398="",$B4399,MAX($P4398,$B4399)))</f>
        <v/>
      </c>
      <c r="Q4399" s="32" t="str">
        <f>IF($P4399="","",$B4399/$P4399-1)</f>
        <v/>
      </c>
    </row>
    <row r="4400">
      <c r="A4400" s="11" t="n"/>
      <c r="B4400" s="29" t="n"/>
      <c r="K4400" s="30" t="str">
        <f>IF($A4400="","",EDATE($A4400,12*$E$4))</f>
        <v/>
      </c>
      <c r="L4400" s="19" t="str">
        <f>IF($K4400="","",IF($K4400&gt;MAX($A$8:$A$5007),"",IFERROR(MATCH($K4400,$A$8:$A$5007,1),"")))</f>
        <v/>
      </c>
      <c r="M4400" s="30" t="str">
        <f>IF($L4400="","",INDEX($A$8:$A$5007,$L4400))</f>
        <v/>
      </c>
      <c r="N4400" s="31" t="str">
        <f>IF($L4400="","",INDEX($B$8:$B$5007,$L4400))</f>
        <v/>
      </c>
      <c r="O4400" s="32" t="str">
        <f>IF($M4400="","",IF($K4400-$M4400&gt;7,"",IF($M4400&lt;=$A4400,"",IF(OR($B4400&lt;=0,$N4400&lt;=0),"",($N4400/$B4400)^(365/($M4400-$A4400))-1))))</f>
        <v/>
      </c>
      <c r="P4400" s="31" t="str">
        <f>IF($B4400="","",IF($P4399="",$B4400,MAX($P4399,$B4400)))</f>
        <v/>
      </c>
      <c r="Q4400" s="32" t="str">
        <f>IF($P4400="","",$B4400/$P4400-1)</f>
        <v/>
      </c>
    </row>
    <row r="4401">
      <c r="A4401" s="11" t="n"/>
      <c r="B4401" s="29" t="n"/>
      <c r="K4401" s="30" t="str">
        <f>IF($A4401="","",EDATE($A4401,12*$E$4))</f>
        <v/>
      </c>
      <c r="L4401" s="19" t="str">
        <f>IF($K4401="","",IF($K4401&gt;MAX($A$8:$A$5007),"",IFERROR(MATCH($K4401,$A$8:$A$5007,1),"")))</f>
        <v/>
      </c>
      <c r="M4401" s="30" t="str">
        <f>IF($L4401="","",INDEX($A$8:$A$5007,$L4401))</f>
        <v/>
      </c>
      <c r="N4401" s="31" t="str">
        <f>IF($L4401="","",INDEX($B$8:$B$5007,$L4401))</f>
        <v/>
      </c>
      <c r="O4401" s="32" t="str">
        <f>IF($M4401="","",IF($K4401-$M4401&gt;7,"",IF($M4401&lt;=$A4401,"",IF(OR($B4401&lt;=0,$N4401&lt;=0),"",($N4401/$B4401)^(365/($M4401-$A4401))-1))))</f>
        <v/>
      </c>
      <c r="P4401" s="31" t="str">
        <f>IF($B4401="","",IF($P4400="",$B4401,MAX($P4400,$B4401)))</f>
        <v/>
      </c>
      <c r="Q4401" s="32" t="str">
        <f>IF($P4401="","",$B4401/$P4401-1)</f>
        <v/>
      </c>
    </row>
    <row r="4402">
      <c r="A4402" s="11" t="n"/>
      <c r="B4402" s="29" t="n"/>
      <c r="K4402" s="30" t="str">
        <f>IF($A4402="","",EDATE($A4402,12*$E$4))</f>
        <v/>
      </c>
      <c r="L4402" s="19" t="str">
        <f>IF($K4402="","",IF($K4402&gt;MAX($A$8:$A$5007),"",IFERROR(MATCH($K4402,$A$8:$A$5007,1),"")))</f>
        <v/>
      </c>
      <c r="M4402" s="30" t="str">
        <f>IF($L4402="","",INDEX($A$8:$A$5007,$L4402))</f>
        <v/>
      </c>
      <c r="N4402" s="31" t="str">
        <f>IF($L4402="","",INDEX($B$8:$B$5007,$L4402))</f>
        <v/>
      </c>
      <c r="O4402" s="32" t="str">
        <f>IF($M4402="","",IF($K4402-$M4402&gt;7,"",IF($M4402&lt;=$A4402,"",IF(OR($B4402&lt;=0,$N4402&lt;=0),"",($N4402/$B4402)^(365/($M4402-$A4402))-1))))</f>
        <v/>
      </c>
      <c r="P4402" s="31" t="str">
        <f>IF($B4402="","",IF($P4401="",$B4402,MAX($P4401,$B4402)))</f>
        <v/>
      </c>
      <c r="Q4402" s="32" t="str">
        <f>IF($P4402="","",$B4402/$P4402-1)</f>
        <v/>
      </c>
    </row>
    <row r="4403">
      <c r="A4403" s="11" t="n"/>
      <c r="B4403" s="29" t="n"/>
      <c r="K4403" s="30" t="str">
        <f>IF($A4403="","",EDATE($A4403,12*$E$4))</f>
        <v/>
      </c>
      <c r="L4403" s="19" t="str">
        <f>IF($K4403="","",IF($K4403&gt;MAX($A$8:$A$5007),"",IFERROR(MATCH($K4403,$A$8:$A$5007,1),"")))</f>
        <v/>
      </c>
      <c r="M4403" s="30" t="str">
        <f>IF($L4403="","",INDEX($A$8:$A$5007,$L4403))</f>
        <v/>
      </c>
      <c r="N4403" s="31" t="str">
        <f>IF($L4403="","",INDEX($B$8:$B$5007,$L4403))</f>
        <v/>
      </c>
      <c r="O4403" s="32" t="str">
        <f>IF($M4403="","",IF($K4403-$M4403&gt;7,"",IF($M4403&lt;=$A4403,"",IF(OR($B4403&lt;=0,$N4403&lt;=0),"",($N4403/$B4403)^(365/($M4403-$A4403))-1))))</f>
        <v/>
      </c>
      <c r="P4403" s="31" t="str">
        <f>IF($B4403="","",IF($P4402="",$B4403,MAX($P4402,$B4403)))</f>
        <v/>
      </c>
      <c r="Q4403" s="32" t="str">
        <f>IF($P4403="","",$B4403/$P4403-1)</f>
        <v/>
      </c>
    </row>
    <row r="4404">
      <c r="A4404" s="11" t="n"/>
      <c r="B4404" s="29" t="n"/>
      <c r="K4404" s="30" t="str">
        <f>IF($A4404="","",EDATE($A4404,12*$E$4))</f>
        <v/>
      </c>
      <c r="L4404" s="19" t="str">
        <f>IF($K4404="","",IF($K4404&gt;MAX($A$8:$A$5007),"",IFERROR(MATCH($K4404,$A$8:$A$5007,1),"")))</f>
        <v/>
      </c>
      <c r="M4404" s="30" t="str">
        <f>IF($L4404="","",INDEX($A$8:$A$5007,$L4404))</f>
        <v/>
      </c>
      <c r="N4404" s="31" t="str">
        <f>IF($L4404="","",INDEX($B$8:$B$5007,$L4404))</f>
        <v/>
      </c>
      <c r="O4404" s="32" t="str">
        <f>IF($M4404="","",IF($K4404-$M4404&gt;7,"",IF($M4404&lt;=$A4404,"",IF(OR($B4404&lt;=0,$N4404&lt;=0),"",($N4404/$B4404)^(365/($M4404-$A4404))-1))))</f>
        <v/>
      </c>
      <c r="P4404" s="31" t="str">
        <f>IF($B4404="","",IF($P4403="",$B4404,MAX($P4403,$B4404)))</f>
        <v/>
      </c>
      <c r="Q4404" s="32" t="str">
        <f>IF($P4404="","",$B4404/$P4404-1)</f>
        <v/>
      </c>
    </row>
    <row r="4405">
      <c r="A4405" s="11" t="n"/>
      <c r="B4405" s="29" t="n"/>
      <c r="K4405" s="30" t="str">
        <f>IF($A4405="","",EDATE($A4405,12*$E$4))</f>
        <v/>
      </c>
      <c r="L4405" s="19" t="str">
        <f>IF($K4405="","",IF($K4405&gt;MAX($A$8:$A$5007),"",IFERROR(MATCH($K4405,$A$8:$A$5007,1),"")))</f>
        <v/>
      </c>
      <c r="M4405" s="30" t="str">
        <f>IF($L4405="","",INDEX($A$8:$A$5007,$L4405))</f>
        <v/>
      </c>
      <c r="N4405" s="31" t="str">
        <f>IF($L4405="","",INDEX($B$8:$B$5007,$L4405))</f>
        <v/>
      </c>
      <c r="O4405" s="32" t="str">
        <f>IF($M4405="","",IF($K4405-$M4405&gt;7,"",IF($M4405&lt;=$A4405,"",IF(OR($B4405&lt;=0,$N4405&lt;=0),"",($N4405/$B4405)^(365/($M4405-$A4405))-1))))</f>
        <v/>
      </c>
      <c r="P4405" s="31" t="str">
        <f>IF($B4405="","",IF($P4404="",$B4405,MAX($P4404,$B4405)))</f>
        <v/>
      </c>
      <c r="Q4405" s="32" t="str">
        <f>IF($P4405="","",$B4405/$P4405-1)</f>
        <v/>
      </c>
    </row>
    <row r="4406">
      <c r="A4406" s="11" t="n"/>
      <c r="B4406" s="29" t="n"/>
      <c r="K4406" s="30" t="str">
        <f>IF($A4406="","",EDATE($A4406,12*$E$4))</f>
        <v/>
      </c>
      <c r="L4406" s="19" t="str">
        <f>IF($K4406="","",IF($K4406&gt;MAX($A$8:$A$5007),"",IFERROR(MATCH($K4406,$A$8:$A$5007,1),"")))</f>
        <v/>
      </c>
      <c r="M4406" s="30" t="str">
        <f>IF($L4406="","",INDEX($A$8:$A$5007,$L4406))</f>
        <v/>
      </c>
      <c r="N4406" s="31" t="str">
        <f>IF($L4406="","",INDEX($B$8:$B$5007,$L4406))</f>
        <v/>
      </c>
      <c r="O4406" s="32" t="str">
        <f>IF($M4406="","",IF($K4406-$M4406&gt;7,"",IF($M4406&lt;=$A4406,"",IF(OR($B4406&lt;=0,$N4406&lt;=0),"",($N4406/$B4406)^(365/($M4406-$A4406))-1))))</f>
        <v/>
      </c>
      <c r="P4406" s="31" t="str">
        <f>IF($B4406="","",IF($P4405="",$B4406,MAX($P4405,$B4406)))</f>
        <v/>
      </c>
      <c r="Q4406" s="32" t="str">
        <f>IF($P4406="","",$B4406/$P4406-1)</f>
        <v/>
      </c>
    </row>
    <row r="4407">
      <c r="A4407" s="11" t="n"/>
      <c r="B4407" s="29" t="n"/>
      <c r="K4407" s="30" t="str">
        <f>IF($A4407="","",EDATE($A4407,12*$E$4))</f>
        <v/>
      </c>
      <c r="L4407" s="19" t="str">
        <f>IF($K4407="","",IF($K4407&gt;MAX($A$8:$A$5007),"",IFERROR(MATCH($K4407,$A$8:$A$5007,1),"")))</f>
        <v/>
      </c>
      <c r="M4407" s="30" t="str">
        <f>IF($L4407="","",INDEX($A$8:$A$5007,$L4407))</f>
        <v/>
      </c>
      <c r="N4407" s="31" t="str">
        <f>IF($L4407="","",INDEX($B$8:$B$5007,$L4407))</f>
        <v/>
      </c>
      <c r="O4407" s="32" t="str">
        <f>IF($M4407="","",IF($K4407-$M4407&gt;7,"",IF($M4407&lt;=$A4407,"",IF(OR($B4407&lt;=0,$N4407&lt;=0),"",($N4407/$B4407)^(365/($M4407-$A4407))-1))))</f>
        <v/>
      </c>
      <c r="P4407" s="31" t="str">
        <f>IF($B4407="","",IF($P4406="",$B4407,MAX($P4406,$B4407)))</f>
        <v/>
      </c>
      <c r="Q4407" s="32" t="str">
        <f>IF($P4407="","",$B4407/$P4407-1)</f>
        <v/>
      </c>
    </row>
    <row r="4408">
      <c r="A4408" s="11" t="n"/>
      <c r="B4408" s="29" t="n"/>
      <c r="K4408" s="30" t="str">
        <f>IF($A4408="","",EDATE($A4408,12*$E$4))</f>
        <v/>
      </c>
      <c r="L4408" s="19" t="str">
        <f>IF($K4408="","",IF($K4408&gt;MAX($A$8:$A$5007),"",IFERROR(MATCH($K4408,$A$8:$A$5007,1),"")))</f>
        <v/>
      </c>
      <c r="M4408" s="30" t="str">
        <f>IF($L4408="","",INDEX($A$8:$A$5007,$L4408))</f>
        <v/>
      </c>
      <c r="N4408" s="31" t="str">
        <f>IF($L4408="","",INDEX($B$8:$B$5007,$L4408))</f>
        <v/>
      </c>
      <c r="O4408" s="32" t="str">
        <f>IF($M4408="","",IF($K4408-$M4408&gt;7,"",IF($M4408&lt;=$A4408,"",IF(OR($B4408&lt;=0,$N4408&lt;=0),"",($N4408/$B4408)^(365/($M4408-$A4408))-1))))</f>
        <v/>
      </c>
      <c r="P4408" s="31" t="str">
        <f>IF($B4408="","",IF($P4407="",$B4408,MAX($P4407,$B4408)))</f>
        <v/>
      </c>
      <c r="Q4408" s="32" t="str">
        <f>IF($P4408="","",$B4408/$P4408-1)</f>
        <v/>
      </c>
    </row>
    <row r="4409">
      <c r="A4409" s="11" t="n"/>
      <c r="B4409" s="29" t="n"/>
      <c r="K4409" s="30" t="str">
        <f>IF($A4409="","",EDATE($A4409,12*$E$4))</f>
        <v/>
      </c>
      <c r="L4409" s="19" t="str">
        <f>IF($K4409="","",IF($K4409&gt;MAX($A$8:$A$5007),"",IFERROR(MATCH($K4409,$A$8:$A$5007,1),"")))</f>
        <v/>
      </c>
      <c r="M4409" s="30" t="str">
        <f>IF($L4409="","",INDEX($A$8:$A$5007,$L4409))</f>
        <v/>
      </c>
      <c r="N4409" s="31" t="str">
        <f>IF($L4409="","",INDEX($B$8:$B$5007,$L4409))</f>
        <v/>
      </c>
      <c r="O4409" s="32" t="str">
        <f>IF($M4409="","",IF($K4409-$M4409&gt;7,"",IF($M4409&lt;=$A4409,"",IF(OR($B4409&lt;=0,$N4409&lt;=0),"",($N4409/$B4409)^(365/($M4409-$A4409))-1))))</f>
        <v/>
      </c>
      <c r="P4409" s="31" t="str">
        <f>IF($B4409="","",IF($P4408="",$B4409,MAX($P4408,$B4409)))</f>
        <v/>
      </c>
      <c r="Q4409" s="32" t="str">
        <f>IF($P4409="","",$B4409/$P4409-1)</f>
        <v/>
      </c>
    </row>
    <row r="4410">
      <c r="A4410" s="11" t="n"/>
      <c r="B4410" s="29" t="n"/>
      <c r="K4410" s="30" t="str">
        <f>IF($A4410="","",EDATE($A4410,12*$E$4))</f>
        <v/>
      </c>
      <c r="L4410" s="19" t="str">
        <f>IF($K4410="","",IF($K4410&gt;MAX($A$8:$A$5007),"",IFERROR(MATCH($K4410,$A$8:$A$5007,1),"")))</f>
        <v/>
      </c>
      <c r="M4410" s="30" t="str">
        <f>IF($L4410="","",INDEX($A$8:$A$5007,$L4410))</f>
        <v/>
      </c>
      <c r="N4410" s="31" t="str">
        <f>IF($L4410="","",INDEX($B$8:$B$5007,$L4410))</f>
        <v/>
      </c>
      <c r="O4410" s="32" t="str">
        <f>IF($M4410="","",IF($K4410-$M4410&gt;7,"",IF($M4410&lt;=$A4410,"",IF(OR($B4410&lt;=0,$N4410&lt;=0),"",($N4410/$B4410)^(365/($M4410-$A4410))-1))))</f>
        <v/>
      </c>
      <c r="P4410" s="31" t="str">
        <f>IF($B4410="","",IF($P4409="",$B4410,MAX($P4409,$B4410)))</f>
        <v/>
      </c>
      <c r="Q4410" s="32" t="str">
        <f>IF($P4410="","",$B4410/$P4410-1)</f>
        <v/>
      </c>
    </row>
    <row r="4411">
      <c r="A4411" s="11" t="n"/>
      <c r="B4411" s="29" t="n"/>
      <c r="K4411" s="30" t="str">
        <f>IF($A4411="","",EDATE($A4411,12*$E$4))</f>
        <v/>
      </c>
      <c r="L4411" s="19" t="str">
        <f>IF($K4411="","",IF($K4411&gt;MAX($A$8:$A$5007),"",IFERROR(MATCH($K4411,$A$8:$A$5007,1),"")))</f>
        <v/>
      </c>
      <c r="M4411" s="30" t="str">
        <f>IF($L4411="","",INDEX($A$8:$A$5007,$L4411))</f>
        <v/>
      </c>
      <c r="N4411" s="31" t="str">
        <f>IF($L4411="","",INDEX($B$8:$B$5007,$L4411))</f>
        <v/>
      </c>
      <c r="O4411" s="32" t="str">
        <f>IF($M4411="","",IF($K4411-$M4411&gt;7,"",IF($M4411&lt;=$A4411,"",IF(OR($B4411&lt;=0,$N4411&lt;=0),"",($N4411/$B4411)^(365/($M4411-$A4411))-1))))</f>
        <v/>
      </c>
      <c r="P4411" s="31" t="str">
        <f>IF($B4411="","",IF($P4410="",$B4411,MAX($P4410,$B4411)))</f>
        <v/>
      </c>
      <c r="Q4411" s="32" t="str">
        <f>IF($P4411="","",$B4411/$P4411-1)</f>
        <v/>
      </c>
    </row>
    <row r="4412">
      <c r="A4412" s="11" t="n"/>
      <c r="B4412" s="29" t="n"/>
      <c r="K4412" s="30" t="str">
        <f>IF($A4412="","",EDATE($A4412,12*$E$4))</f>
        <v/>
      </c>
      <c r="L4412" s="19" t="str">
        <f>IF($K4412="","",IF($K4412&gt;MAX($A$8:$A$5007),"",IFERROR(MATCH($K4412,$A$8:$A$5007,1),"")))</f>
        <v/>
      </c>
      <c r="M4412" s="30" t="str">
        <f>IF($L4412="","",INDEX($A$8:$A$5007,$L4412))</f>
        <v/>
      </c>
      <c r="N4412" s="31" t="str">
        <f>IF($L4412="","",INDEX($B$8:$B$5007,$L4412))</f>
        <v/>
      </c>
      <c r="O4412" s="32" t="str">
        <f>IF($M4412="","",IF($K4412-$M4412&gt;7,"",IF($M4412&lt;=$A4412,"",IF(OR($B4412&lt;=0,$N4412&lt;=0),"",($N4412/$B4412)^(365/($M4412-$A4412))-1))))</f>
        <v/>
      </c>
      <c r="P4412" s="31" t="str">
        <f>IF($B4412="","",IF($P4411="",$B4412,MAX($P4411,$B4412)))</f>
        <v/>
      </c>
      <c r="Q4412" s="32" t="str">
        <f>IF($P4412="","",$B4412/$P4412-1)</f>
        <v/>
      </c>
    </row>
    <row r="4413">
      <c r="A4413" s="11" t="n"/>
      <c r="B4413" s="29" t="n"/>
      <c r="K4413" s="30" t="str">
        <f>IF($A4413="","",EDATE($A4413,12*$E$4))</f>
        <v/>
      </c>
      <c r="L4413" s="19" t="str">
        <f>IF($K4413="","",IF($K4413&gt;MAX($A$8:$A$5007),"",IFERROR(MATCH($K4413,$A$8:$A$5007,1),"")))</f>
        <v/>
      </c>
      <c r="M4413" s="30" t="str">
        <f>IF($L4413="","",INDEX($A$8:$A$5007,$L4413))</f>
        <v/>
      </c>
      <c r="N4413" s="31" t="str">
        <f>IF($L4413="","",INDEX($B$8:$B$5007,$L4413))</f>
        <v/>
      </c>
      <c r="O4413" s="32" t="str">
        <f>IF($M4413="","",IF($K4413-$M4413&gt;7,"",IF($M4413&lt;=$A4413,"",IF(OR($B4413&lt;=0,$N4413&lt;=0),"",($N4413/$B4413)^(365/($M4413-$A4413))-1))))</f>
        <v/>
      </c>
      <c r="P4413" s="31" t="str">
        <f>IF($B4413="","",IF($P4412="",$B4413,MAX($P4412,$B4413)))</f>
        <v/>
      </c>
      <c r="Q4413" s="32" t="str">
        <f>IF($P4413="","",$B4413/$P4413-1)</f>
        <v/>
      </c>
    </row>
    <row r="4414">
      <c r="A4414" s="11" t="n"/>
      <c r="B4414" s="29" t="n"/>
      <c r="K4414" s="30" t="str">
        <f>IF($A4414="","",EDATE($A4414,12*$E$4))</f>
        <v/>
      </c>
      <c r="L4414" s="19" t="str">
        <f>IF($K4414="","",IF($K4414&gt;MAX($A$8:$A$5007),"",IFERROR(MATCH($K4414,$A$8:$A$5007,1),"")))</f>
        <v/>
      </c>
      <c r="M4414" s="30" t="str">
        <f>IF($L4414="","",INDEX($A$8:$A$5007,$L4414))</f>
        <v/>
      </c>
      <c r="N4414" s="31" t="str">
        <f>IF($L4414="","",INDEX($B$8:$B$5007,$L4414))</f>
        <v/>
      </c>
      <c r="O4414" s="32" t="str">
        <f>IF($M4414="","",IF($K4414-$M4414&gt;7,"",IF($M4414&lt;=$A4414,"",IF(OR($B4414&lt;=0,$N4414&lt;=0),"",($N4414/$B4414)^(365/($M4414-$A4414))-1))))</f>
        <v/>
      </c>
      <c r="P4414" s="31" t="str">
        <f>IF($B4414="","",IF($P4413="",$B4414,MAX($P4413,$B4414)))</f>
        <v/>
      </c>
      <c r="Q4414" s="32" t="str">
        <f>IF($P4414="","",$B4414/$P4414-1)</f>
        <v/>
      </c>
    </row>
    <row r="4415">
      <c r="A4415" s="11" t="n"/>
      <c r="B4415" s="29" t="n"/>
      <c r="K4415" s="30" t="str">
        <f>IF($A4415="","",EDATE($A4415,12*$E$4))</f>
        <v/>
      </c>
      <c r="L4415" s="19" t="str">
        <f>IF($K4415="","",IF($K4415&gt;MAX($A$8:$A$5007),"",IFERROR(MATCH($K4415,$A$8:$A$5007,1),"")))</f>
        <v/>
      </c>
      <c r="M4415" s="30" t="str">
        <f>IF($L4415="","",INDEX($A$8:$A$5007,$L4415))</f>
        <v/>
      </c>
      <c r="N4415" s="31" t="str">
        <f>IF($L4415="","",INDEX($B$8:$B$5007,$L4415))</f>
        <v/>
      </c>
      <c r="O4415" s="32" t="str">
        <f>IF($M4415="","",IF($K4415-$M4415&gt;7,"",IF($M4415&lt;=$A4415,"",IF(OR($B4415&lt;=0,$N4415&lt;=0),"",($N4415/$B4415)^(365/($M4415-$A4415))-1))))</f>
        <v/>
      </c>
      <c r="P4415" s="31" t="str">
        <f>IF($B4415="","",IF($P4414="",$B4415,MAX($P4414,$B4415)))</f>
        <v/>
      </c>
      <c r="Q4415" s="32" t="str">
        <f>IF($P4415="","",$B4415/$P4415-1)</f>
        <v/>
      </c>
    </row>
    <row r="4416">
      <c r="A4416" s="11" t="n"/>
      <c r="B4416" s="29" t="n"/>
      <c r="K4416" s="30" t="str">
        <f>IF($A4416="","",EDATE($A4416,12*$E$4))</f>
        <v/>
      </c>
      <c r="L4416" s="19" t="str">
        <f>IF($K4416="","",IF($K4416&gt;MAX($A$8:$A$5007),"",IFERROR(MATCH($K4416,$A$8:$A$5007,1),"")))</f>
        <v/>
      </c>
      <c r="M4416" s="30" t="str">
        <f>IF($L4416="","",INDEX($A$8:$A$5007,$L4416))</f>
        <v/>
      </c>
      <c r="N4416" s="31" t="str">
        <f>IF($L4416="","",INDEX($B$8:$B$5007,$L4416))</f>
        <v/>
      </c>
      <c r="O4416" s="32" t="str">
        <f>IF($M4416="","",IF($K4416-$M4416&gt;7,"",IF($M4416&lt;=$A4416,"",IF(OR($B4416&lt;=0,$N4416&lt;=0),"",($N4416/$B4416)^(365/($M4416-$A4416))-1))))</f>
        <v/>
      </c>
      <c r="P4416" s="31" t="str">
        <f>IF($B4416="","",IF($P4415="",$B4416,MAX($P4415,$B4416)))</f>
        <v/>
      </c>
      <c r="Q4416" s="32" t="str">
        <f>IF($P4416="","",$B4416/$P4416-1)</f>
        <v/>
      </c>
    </row>
    <row r="4417">
      <c r="A4417" s="11" t="n"/>
      <c r="B4417" s="29" t="n"/>
      <c r="K4417" s="30" t="str">
        <f>IF($A4417="","",EDATE($A4417,12*$E$4))</f>
        <v/>
      </c>
      <c r="L4417" s="19" t="str">
        <f>IF($K4417="","",IF($K4417&gt;MAX($A$8:$A$5007),"",IFERROR(MATCH($K4417,$A$8:$A$5007,1),"")))</f>
        <v/>
      </c>
      <c r="M4417" s="30" t="str">
        <f>IF($L4417="","",INDEX($A$8:$A$5007,$L4417))</f>
        <v/>
      </c>
      <c r="N4417" s="31" t="str">
        <f>IF($L4417="","",INDEX($B$8:$B$5007,$L4417))</f>
        <v/>
      </c>
      <c r="O4417" s="32" t="str">
        <f>IF($M4417="","",IF($K4417-$M4417&gt;7,"",IF($M4417&lt;=$A4417,"",IF(OR($B4417&lt;=0,$N4417&lt;=0),"",($N4417/$B4417)^(365/($M4417-$A4417))-1))))</f>
        <v/>
      </c>
      <c r="P4417" s="31" t="str">
        <f>IF($B4417="","",IF($P4416="",$B4417,MAX($P4416,$B4417)))</f>
        <v/>
      </c>
      <c r="Q4417" s="32" t="str">
        <f>IF($P4417="","",$B4417/$P4417-1)</f>
        <v/>
      </c>
    </row>
    <row r="4418">
      <c r="A4418" s="11" t="n"/>
      <c r="B4418" s="29" t="n"/>
      <c r="K4418" s="30" t="str">
        <f>IF($A4418="","",EDATE($A4418,12*$E$4))</f>
        <v/>
      </c>
      <c r="L4418" s="19" t="str">
        <f>IF($K4418="","",IF($K4418&gt;MAX($A$8:$A$5007),"",IFERROR(MATCH($K4418,$A$8:$A$5007,1),"")))</f>
        <v/>
      </c>
      <c r="M4418" s="30" t="str">
        <f>IF($L4418="","",INDEX($A$8:$A$5007,$L4418))</f>
        <v/>
      </c>
      <c r="N4418" s="31" t="str">
        <f>IF($L4418="","",INDEX($B$8:$B$5007,$L4418))</f>
        <v/>
      </c>
      <c r="O4418" s="32" t="str">
        <f>IF($M4418="","",IF($K4418-$M4418&gt;7,"",IF($M4418&lt;=$A4418,"",IF(OR($B4418&lt;=0,$N4418&lt;=0),"",($N4418/$B4418)^(365/($M4418-$A4418))-1))))</f>
        <v/>
      </c>
      <c r="P4418" s="31" t="str">
        <f>IF($B4418="","",IF($P4417="",$B4418,MAX($P4417,$B4418)))</f>
        <v/>
      </c>
      <c r="Q4418" s="32" t="str">
        <f>IF($P4418="","",$B4418/$P4418-1)</f>
        <v/>
      </c>
    </row>
    <row r="4419">
      <c r="A4419" s="11" t="n"/>
      <c r="B4419" s="29" t="n"/>
      <c r="K4419" s="30" t="str">
        <f>IF($A4419="","",EDATE($A4419,12*$E$4))</f>
        <v/>
      </c>
      <c r="L4419" s="19" t="str">
        <f>IF($K4419="","",IF($K4419&gt;MAX($A$8:$A$5007),"",IFERROR(MATCH($K4419,$A$8:$A$5007,1),"")))</f>
        <v/>
      </c>
      <c r="M4419" s="30" t="str">
        <f>IF($L4419="","",INDEX($A$8:$A$5007,$L4419))</f>
        <v/>
      </c>
      <c r="N4419" s="31" t="str">
        <f>IF($L4419="","",INDEX($B$8:$B$5007,$L4419))</f>
        <v/>
      </c>
      <c r="O4419" s="32" t="str">
        <f>IF($M4419="","",IF($K4419-$M4419&gt;7,"",IF($M4419&lt;=$A4419,"",IF(OR($B4419&lt;=0,$N4419&lt;=0),"",($N4419/$B4419)^(365/($M4419-$A4419))-1))))</f>
        <v/>
      </c>
      <c r="P4419" s="31" t="str">
        <f>IF($B4419="","",IF($P4418="",$B4419,MAX($P4418,$B4419)))</f>
        <v/>
      </c>
      <c r="Q4419" s="32" t="str">
        <f>IF($P4419="","",$B4419/$P4419-1)</f>
        <v/>
      </c>
    </row>
    <row r="4420">
      <c r="A4420" s="11" t="n"/>
      <c r="B4420" s="29" t="n"/>
      <c r="K4420" s="30" t="str">
        <f>IF($A4420="","",EDATE($A4420,12*$E$4))</f>
        <v/>
      </c>
      <c r="L4420" s="19" t="str">
        <f>IF($K4420="","",IF($K4420&gt;MAX($A$8:$A$5007),"",IFERROR(MATCH($K4420,$A$8:$A$5007,1),"")))</f>
        <v/>
      </c>
      <c r="M4420" s="30" t="str">
        <f>IF($L4420="","",INDEX($A$8:$A$5007,$L4420))</f>
        <v/>
      </c>
      <c r="N4420" s="31" t="str">
        <f>IF($L4420="","",INDEX($B$8:$B$5007,$L4420))</f>
        <v/>
      </c>
      <c r="O4420" s="32" t="str">
        <f>IF($M4420="","",IF($K4420-$M4420&gt;7,"",IF($M4420&lt;=$A4420,"",IF(OR($B4420&lt;=0,$N4420&lt;=0),"",($N4420/$B4420)^(365/($M4420-$A4420))-1))))</f>
        <v/>
      </c>
      <c r="P4420" s="31" t="str">
        <f>IF($B4420="","",IF($P4419="",$B4420,MAX($P4419,$B4420)))</f>
        <v/>
      </c>
      <c r="Q4420" s="32" t="str">
        <f>IF($P4420="","",$B4420/$P4420-1)</f>
        <v/>
      </c>
    </row>
    <row r="4421">
      <c r="A4421" s="11" t="n"/>
      <c r="B4421" s="29" t="n"/>
      <c r="K4421" s="30" t="str">
        <f>IF($A4421="","",EDATE($A4421,12*$E$4))</f>
        <v/>
      </c>
      <c r="L4421" s="19" t="str">
        <f>IF($K4421="","",IF($K4421&gt;MAX($A$8:$A$5007),"",IFERROR(MATCH($K4421,$A$8:$A$5007,1),"")))</f>
        <v/>
      </c>
      <c r="M4421" s="30" t="str">
        <f>IF($L4421="","",INDEX($A$8:$A$5007,$L4421))</f>
        <v/>
      </c>
      <c r="N4421" s="31" t="str">
        <f>IF($L4421="","",INDEX($B$8:$B$5007,$L4421))</f>
        <v/>
      </c>
      <c r="O4421" s="32" t="str">
        <f>IF($M4421="","",IF($K4421-$M4421&gt;7,"",IF($M4421&lt;=$A4421,"",IF(OR($B4421&lt;=0,$N4421&lt;=0),"",($N4421/$B4421)^(365/($M4421-$A4421))-1))))</f>
        <v/>
      </c>
      <c r="P4421" s="31" t="str">
        <f>IF($B4421="","",IF($P4420="",$B4421,MAX($P4420,$B4421)))</f>
        <v/>
      </c>
      <c r="Q4421" s="32" t="str">
        <f>IF($P4421="","",$B4421/$P4421-1)</f>
        <v/>
      </c>
    </row>
    <row r="4422">
      <c r="A4422" s="11" t="n"/>
      <c r="B4422" s="29" t="n"/>
      <c r="K4422" s="30" t="str">
        <f>IF($A4422="","",EDATE($A4422,12*$E$4))</f>
        <v/>
      </c>
      <c r="L4422" s="19" t="str">
        <f>IF($K4422="","",IF($K4422&gt;MAX($A$8:$A$5007),"",IFERROR(MATCH($K4422,$A$8:$A$5007,1),"")))</f>
        <v/>
      </c>
      <c r="M4422" s="30" t="str">
        <f>IF($L4422="","",INDEX($A$8:$A$5007,$L4422))</f>
        <v/>
      </c>
      <c r="N4422" s="31" t="str">
        <f>IF($L4422="","",INDEX($B$8:$B$5007,$L4422))</f>
        <v/>
      </c>
      <c r="O4422" s="32" t="str">
        <f>IF($M4422="","",IF($K4422-$M4422&gt;7,"",IF($M4422&lt;=$A4422,"",IF(OR($B4422&lt;=0,$N4422&lt;=0),"",($N4422/$B4422)^(365/($M4422-$A4422))-1))))</f>
        <v/>
      </c>
      <c r="P4422" s="31" t="str">
        <f>IF($B4422="","",IF($P4421="",$B4422,MAX($P4421,$B4422)))</f>
        <v/>
      </c>
      <c r="Q4422" s="32" t="str">
        <f>IF($P4422="","",$B4422/$P4422-1)</f>
        <v/>
      </c>
    </row>
    <row r="4423">
      <c r="A4423" s="11" t="n"/>
      <c r="B4423" s="29" t="n"/>
      <c r="K4423" s="30" t="str">
        <f>IF($A4423="","",EDATE($A4423,12*$E$4))</f>
        <v/>
      </c>
      <c r="L4423" s="19" t="str">
        <f>IF($K4423="","",IF($K4423&gt;MAX($A$8:$A$5007),"",IFERROR(MATCH($K4423,$A$8:$A$5007,1),"")))</f>
        <v/>
      </c>
      <c r="M4423" s="30" t="str">
        <f>IF($L4423="","",INDEX($A$8:$A$5007,$L4423))</f>
        <v/>
      </c>
      <c r="N4423" s="31" t="str">
        <f>IF($L4423="","",INDEX($B$8:$B$5007,$L4423))</f>
        <v/>
      </c>
      <c r="O4423" s="32" t="str">
        <f>IF($M4423="","",IF($K4423-$M4423&gt;7,"",IF($M4423&lt;=$A4423,"",IF(OR($B4423&lt;=0,$N4423&lt;=0),"",($N4423/$B4423)^(365/($M4423-$A4423))-1))))</f>
        <v/>
      </c>
      <c r="P4423" s="31" t="str">
        <f>IF($B4423="","",IF($P4422="",$B4423,MAX($P4422,$B4423)))</f>
        <v/>
      </c>
      <c r="Q4423" s="32" t="str">
        <f>IF($P4423="","",$B4423/$P4423-1)</f>
        <v/>
      </c>
    </row>
    <row r="4424">
      <c r="A4424" s="11" t="n"/>
      <c r="B4424" s="29" t="n"/>
      <c r="K4424" s="30" t="str">
        <f>IF($A4424="","",EDATE($A4424,12*$E$4))</f>
        <v/>
      </c>
      <c r="L4424" s="19" t="str">
        <f>IF($K4424="","",IF($K4424&gt;MAX($A$8:$A$5007),"",IFERROR(MATCH($K4424,$A$8:$A$5007,1),"")))</f>
        <v/>
      </c>
      <c r="M4424" s="30" t="str">
        <f>IF($L4424="","",INDEX($A$8:$A$5007,$L4424))</f>
        <v/>
      </c>
      <c r="N4424" s="31" t="str">
        <f>IF($L4424="","",INDEX($B$8:$B$5007,$L4424))</f>
        <v/>
      </c>
      <c r="O4424" s="32" t="str">
        <f>IF($M4424="","",IF($K4424-$M4424&gt;7,"",IF($M4424&lt;=$A4424,"",IF(OR($B4424&lt;=0,$N4424&lt;=0),"",($N4424/$B4424)^(365/($M4424-$A4424))-1))))</f>
        <v/>
      </c>
      <c r="P4424" s="31" t="str">
        <f>IF($B4424="","",IF($P4423="",$B4424,MAX($P4423,$B4424)))</f>
        <v/>
      </c>
      <c r="Q4424" s="32" t="str">
        <f>IF($P4424="","",$B4424/$P4424-1)</f>
        <v/>
      </c>
    </row>
    <row r="4425">
      <c r="A4425" s="11" t="n"/>
      <c r="B4425" s="29" t="n"/>
      <c r="K4425" s="30" t="str">
        <f>IF($A4425="","",EDATE($A4425,12*$E$4))</f>
        <v/>
      </c>
      <c r="L4425" s="19" t="str">
        <f>IF($K4425="","",IF($K4425&gt;MAX($A$8:$A$5007),"",IFERROR(MATCH($K4425,$A$8:$A$5007,1),"")))</f>
        <v/>
      </c>
      <c r="M4425" s="30" t="str">
        <f>IF($L4425="","",INDEX($A$8:$A$5007,$L4425))</f>
        <v/>
      </c>
      <c r="N4425" s="31" t="str">
        <f>IF($L4425="","",INDEX($B$8:$B$5007,$L4425))</f>
        <v/>
      </c>
      <c r="O4425" s="32" t="str">
        <f>IF($M4425="","",IF($K4425-$M4425&gt;7,"",IF($M4425&lt;=$A4425,"",IF(OR($B4425&lt;=0,$N4425&lt;=0),"",($N4425/$B4425)^(365/($M4425-$A4425))-1))))</f>
        <v/>
      </c>
      <c r="P4425" s="31" t="str">
        <f>IF($B4425="","",IF($P4424="",$B4425,MAX($P4424,$B4425)))</f>
        <v/>
      </c>
      <c r="Q4425" s="32" t="str">
        <f>IF($P4425="","",$B4425/$P4425-1)</f>
        <v/>
      </c>
    </row>
    <row r="4426">
      <c r="A4426" s="11" t="n"/>
      <c r="B4426" s="29" t="n"/>
      <c r="K4426" s="30" t="str">
        <f>IF($A4426="","",EDATE($A4426,12*$E$4))</f>
        <v/>
      </c>
      <c r="L4426" s="19" t="str">
        <f>IF($K4426="","",IF($K4426&gt;MAX($A$8:$A$5007),"",IFERROR(MATCH($K4426,$A$8:$A$5007,1),"")))</f>
        <v/>
      </c>
      <c r="M4426" s="30" t="str">
        <f>IF($L4426="","",INDEX($A$8:$A$5007,$L4426))</f>
        <v/>
      </c>
      <c r="N4426" s="31" t="str">
        <f>IF($L4426="","",INDEX($B$8:$B$5007,$L4426))</f>
        <v/>
      </c>
      <c r="O4426" s="32" t="str">
        <f>IF($M4426="","",IF($K4426-$M4426&gt;7,"",IF($M4426&lt;=$A4426,"",IF(OR($B4426&lt;=0,$N4426&lt;=0),"",($N4426/$B4426)^(365/($M4426-$A4426))-1))))</f>
        <v/>
      </c>
      <c r="P4426" s="31" t="str">
        <f>IF($B4426="","",IF($P4425="",$B4426,MAX($P4425,$B4426)))</f>
        <v/>
      </c>
      <c r="Q4426" s="32" t="str">
        <f>IF($P4426="","",$B4426/$P4426-1)</f>
        <v/>
      </c>
    </row>
    <row r="4427">
      <c r="A4427" s="11" t="n"/>
      <c r="B4427" s="29" t="n"/>
      <c r="K4427" s="30" t="str">
        <f>IF($A4427="","",EDATE($A4427,12*$E$4))</f>
        <v/>
      </c>
      <c r="L4427" s="19" t="str">
        <f>IF($K4427="","",IF($K4427&gt;MAX($A$8:$A$5007),"",IFERROR(MATCH($K4427,$A$8:$A$5007,1),"")))</f>
        <v/>
      </c>
      <c r="M4427" s="30" t="str">
        <f>IF($L4427="","",INDEX($A$8:$A$5007,$L4427))</f>
        <v/>
      </c>
      <c r="N4427" s="31" t="str">
        <f>IF($L4427="","",INDEX($B$8:$B$5007,$L4427))</f>
        <v/>
      </c>
      <c r="O4427" s="32" t="str">
        <f>IF($M4427="","",IF($K4427-$M4427&gt;7,"",IF($M4427&lt;=$A4427,"",IF(OR($B4427&lt;=0,$N4427&lt;=0),"",($N4427/$B4427)^(365/($M4427-$A4427))-1))))</f>
        <v/>
      </c>
      <c r="P4427" s="31" t="str">
        <f>IF($B4427="","",IF($P4426="",$B4427,MAX($P4426,$B4427)))</f>
        <v/>
      </c>
      <c r="Q4427" s="32" t="str">
        <f>IF($P4427="","",$B4427/$P4427-1)</f>
        <v/>
      </c>
    </row>
    <row r="4428">
      <c r="A4428" s="11" t="n"/>
      <c r="B4428" s="29" t="n"/>
      <c r="K4428" s="30" t="str">
        <f>IF($A4428="","",EDATE($A4428,12*$E$4))</f>
        <v/>
      </c>
      <c r="L4428" s="19" t="str">
        <f>IF($K4428="","",IF($K4428&gt;MAX($A$8:$A$5007),"",IFERROR(MATCH($K4428,$A$8:$A$5007,1),"")))</f>
        <v/>
      </c>
      <c r="M4428" s="30" t="str">
        <f>IF($L4428="","",INDEX($A$8:$A$5007,$L4428))</f>
        <v/>
      </c>
      <c r="N4428" s="31" t="str">
        <f>IF($L4428="","",INDEX($B$8:$B$5007,$L4428))</f>
        <v/>
      </c>
      <c r="O4428" s="32" t="str">
        <f>IF($M4428="","",IF($K4428-$M4428&gt;7,"",IF($M4428&lt;=$A4428,"",IF(OR($B4428&lt;=0,$N4428&lt;=0),"",($N4428/$B4428)^(365/($M4428-$A4428))-1))))</f>
        <v/>
      </c>
      <c r="P4428" s="31" t="str">
        <f>IF($B4428="","",IF($P4427="",$B4428,MAX($P4427,$B4428)))</f>
        <v/>
      </c>
      <c r="Q4428" s="32" t="str">
        <f>IF($P4428="","",$B4428/$P4428-1)</f>
        <v/>
      </c>
    </row>
    <row r="4429">
      <c r="A4429" s="11" t="n"/>
      <c r="B4429" s="29" t="n"/>
      <c r="K4429" s="30" t="str">
        <f>IF($A4429="","",EDATE($A4429,12*$E$4))</f>
        <v/>
      </c>
      <c r="L4429" s="19" t="str">
        <f>IF($K4429="","",IF($K4429&gt;MAX($A$8:$A$5007),"",IFERROR(MATCH($K4429,$A$8:$A$5007,1),"")))</f>
        <v/>
      </c>
      <c r="M4429" s="30" t="str">
        <f>IF($L4429="","",INDEX($A$8:$A$5007,$L4429))</f>
        <v/>
      </c>
      <c r="N4429" s="31" t="str">
        <f>IF($L4429="","",INDEX($B$8:$B$5007,$L4429))</f>
        <v/>
      </c>
      <c r="O4429" s="32" t="str">
        <f>IF($M4429="","",IF($K4429-$M4429&gt;7,"",IF($M4429&lt;=$A4429,"",IF(OR($B4429&lt;=0,$N4429&lt;=0),"",($N4429/$B4429)^(365/($M4429-$A4429))-1))))</f>
        <v/>
      </c>
      <c r="P4429" s="31" t="str">
        <f>IF($B4429="","",IF($P4428="",$B4429,MAX($P4428,$B4429)))</f>
        <v/>
      </c>
      <c r="Q4429" s="32" t="str">
        <f>IF($P4429="","",$B4429/$P4429-1)</f>
        <v/>
      </c>
    </row>
    <row r="4430">
      <c r="A4430" s="11" t="n"/>
      <c r="B4430" s="29" t="n"/>
      <c r="K4430" s="30" t="str">
        <f>IF($A4430="","",EDATE($A4430,12*$E$4))</f>
        <v/>
      </c>
      <c r="L4430" s="19" t="str">
        <f>IF($K4430="","",IF($K4430&gt;MAX($A$8:$A$5007),"",IFERROR(MATCH($K4430,$A$8:$A$5007,1),"")))</f>
        <v/>
      </c>
      <c r="M4430" s="30" t="str">
        <f>IF($L4430="","",INDEX($A$8:$A$5007,$L4430))</f>
        <v/>
      </c>
      <c r="N4430" s="31" t="str">
        <f>IF($L4430="","",INDEX($B$8:$B$5007,$L4430))</f>
        <v/>
      </c>
      <c r="O4430" s="32" t="str">
        <f>IF($M4430="","",IF($K4430-$M4430&gt;7,"",IF($M4430&lt;=$A4430,"",IF(OR($B4430&lt;=0,$N4430&lt;=0),"",($N4430/$B4430)^(365/($M4430-$A4430))-1))))</f>
        <v/>
      </c>
      <c r="P4430" s="31" t="str">
        <f>IF($B4430="","",IF($P4429="",$B4430,MAX($P4429,$B4430)))</f>
        <v/>
      </c>
      <c r="Q4430" s="32" t="str">
        <f>IF($P4430="","",$B4430/$P4430-1)</f>
        <v/>
      </c>
    </row>
    <row r="4431">
      <c r="A4431" s="11" t="n"/>
      <c r="B4431" s="29" t="n"/>
      <c r="K4431" s="30" t="str">
        <f>IF($A4431="","",EDATE($A4431,12*$E$4))</f>
        <v/>
      </c>
      <c r="L4431" s="19" t="str">
        <f>IF($K4431="","",IF($K4431&gt;MAX($A$8:$A$5007),"",IFERROR(MATCH($K4431,$A$8:$A$5007,1),"")))</f>
        <v/>
      </c>
      <c r="M4431" s="30" t="str">
        <f>IF($L4431="","",INDEX($A$8:$A$5007,$L4431))</f>
        <v/>
      </c>
      <c r="N4431" s="31" t="str">
        <f>IF($L4431="","",INDEX($B$8:$B$5007,$L4431))</f>
        <v/>
      </c>
      <c r="O4431" s="32" t="str">
        <f>IF($M4431="","",IF($K4431-$M4431&gt;7,"",IF($M4431&lt;=$A4431,"",IF(OR($B4431&lt;=0,$N4431&lt;=0),"",($N4431/$B4431)^(365/($M4431-$A4431))-1))))</f>
        <v/>
      </c>
      <c r="P4431" s="31" t="str">
        <f>IF($B4431="","",IF($P4430="",$B4431,MAX($P4430,$B4431)))</f>
        <v/>
      </c>
      <c r="Q4431" s="32" t="str">
        <f>IF($P4431="","",$B4431/$P4431-1)</f>
        <v/>
      </c>
    </row>
    <row r="4432">
      <c r="A4432" s="11" t="n"/>
      <c r="B4432" s="29" t="n"/>
      <c r="K4432" s="30" t="str">
        <f>IF($A4432="","",EDATE($A4432,12*$E$4))</f>
        <v/>
      </c>
      <c r="L4432" s="19" t="str">
        <f>IF($K4432="","",IF($K4432&gt;MAX($A$8:$A$5007),"",IFERROR(MATCH($K4432,$A$8:$A$5007,1),"")))</f>
        <v/>
      </c>
      <c r="M4432" s="30" t="str">
        <f>IF($L4432="","",INDEX($A$8:$A$5007,$L4432))</f>
        <v/>
      </c>
      <c r="N4432" s="31" t="str">
        <f>IF($L4432="","",INDEX($B$8:$B$5007,$L4432))</f>
        <v/>
      </c>
      <c r="O4432" s="32" t="str">
        <f>IF($M4432="","",IF($K4432-$M4432&gt;7,"",IF($M4432&lt;=$A4432,"",IF(OR($B4432&lt;=0,$N4432&lt;=0),"",($N4432/$B4432)^(365/($M4432-$A4432))-1))))</f>
        <v/>
      </c>
      <c r="P4432" s="31" t="str">
        <f>IF($B4432="","",IF($P4431="",$B4432,MAX($P4431,$B4432)))</f>
        <v/>
      </c>
      <c r="Q4432" s="32" t="str">
        <f>IF($P4432="","",$B4432/$P4432-1)</f>
        <v/>
      </c>
    </row>
    <row r="4433">
      <c r="A4433" s="11" t="n"/>
      <c r="B4433" s="29" t="n"/>
      <c r="K4433" s="30" t="str">
        <f>IF($A4433="","",EDATE($A4433,12*$E$4))</f>
        <v/>
      </c>
      <c r="L4433" s="19" t="str">
        <f>IF($K4433="","",IF($K4433&gt;MAX($A$8:$A$5007),"",IFERROR(MATCH($K4433,$A$8:$A$5007,1),"")))</f>
        <v/>
      </c>
      <c r="M4433" s="30" t="str">
        <f>IF($L4433="","",INDEX($A$8:$A$5007,$L4433))</f>
        <v/>
      </c>
      <c r="N4433" s="31" t="str">
        <f>IF($L4433="","",INDEX($B$8:$B$5007,$L4433))</f>
        <v/>
      </c>
      <c r="O4433" s="32" t="str">
        <f>IF($M4433="","",IF($K4433-$M4433&gt;7,"",IF($M4433&lt;=$A4433,"",IF(OR($B4433&lt;=0,$N4433&lt;=0),"",($N4433/$B4433)^(365/($M4433-$A4433))-1))))</f>
        <v/>
      </c>
      <c r="P4433" s="31" t="str">
        <f>IF($B4433="","",IF($P4432="",$B4433,MAX($P4432,$B4433)))</f>
        <v/>
      </c>
      <c r="Q4433" s="32" t="str">
        <f>IF($P4433="","",$B4433/$P4433-1)</f>
        <v/>
      </c>
    </row>
    <row r="4434">
      <c r="A4434" s="11" t="n"/>
      <c r="B4434" s="29" t="n"/>
      <c r="K4434" s="30" t="str">
        <f>IF($A4434="","",EDATE($A4434,12*$E$4))</f>
        <v/>
      </c>
      <c r="L4434" s="19" t="str">
        <f>IF($K4434="","",IF($K4434&gt;MAX($A$8:$A$5007),"",IFERROR(MATCH($K4434,$A$8:$A$5007,1),"")))</f>
        <v/>
      </c>
      <c r="M4434" s="30" t="str">
        <f>IF($L4434="","",INDEX($A$8:$A$5007,$L4434))</f>
        <v/>
      </c>
      <c r="N4434" s="31" t="str">
        <f>IF($L4434="","",INDEX($B$8:$B$5007,$L4434))</f>
        <v/>
      </c>
      <c r="O4434" s="32" t="str">
        <f>IF($M4434="","",IF($K4434-$M4434&gt;7,"",IF($M4434&lt;=$A4434,"",IF(OR($B4434&lt;=0,$N4434&lt;=0),"",($N4434/$B4434)^(365/($M4434-$A4434))-1))))</f>
        <v/>
      </c>
      <c r="P4434" s="31" t="str">
        <f>IF($B4434="","",IF($P4433="",$B4434,MAX($P4433,$B4434)))</f>
        <v/>
      </c>
      <c r="Q4434" s="32" t="str">
        <f>IF($P4434="","",$B4434/$P4434-1)</f>
        <v/>
      </c>
    </row>
    <row r="4435">
      <c r="A4435" s="11" t="n"/>
      <c r="B4435" s="29" t="n"/>
      <c r="K4435" s="30" t="str">
        <f>IF($A4435="","",EDATE($A4435,12*$E$4))</f>
        <v/>
      </c>
      <c r="L4435" s="19" t="str">
        <f>IF($K4435="","",IF($K4435&gt;MAX($A$8:$A$5007),"",IFERROR(MATCH($K4435,$A$8:$A$5007,1),"")))</f>
        <v/>
      </c>
      <c r="M4435" s="30" t="str">
        <f>IF($L4435="","",INDEX($A$8:$A$5007,$L4435))</f>
        <v/>
      </c>
      <c r="N4435" s="31" t="str">
        <f>IF($L4435="","",INDEX($B$8:$B$5007,$L4435))</f>
        <v/>
      </c>
      <c r="O4435" s="32" t="str">
        <f>IF($M4435="","",IF($K4435-$M4435&gt;7,"",IF($M4435&lt;=$A4435,"",IF(OR($B4435&lt;=0,$N4435&lt;=0),"",($N4435/$B4435)^(365/($M4435-$A4435))-1))))</f>
        <v/>
      </c>
      <c r="P4435" s="31" t="str">
        <f>IF($B4435="","",IF($P4434="",$B4435,MAX($P4434,$B4435)))</f>
        <v/>
      </c>
      <c r="Q4435" s="32" t="str">
        <f>IF($P4435="","",$B4435/$P4435-1)</f>
        <v/>
      </c>
    </row>
    <row r="4436">
      <c r="A4436" s="11" t="n"/>
      <c r="B4436" s="29" t="n"/>
      <c r="K4436" s="30" t="str">
        <f>IF($A4436="","",EDATE($A4436,12*$E$4))</f>
        <v/>
      </c>
      <c r="L4436" s="19" t="str">
        <f>IF($K4436="","",IF($K4436&gt;MAX($A$8:$A$5007),"",IFERROR(MATCH($K4436,$A$8:$A$5007,1),"")))</f>
        <v/>
      </c>
      <c r="M4436" s="30" t="str">
        <f>IF($L4436="","",INDEX($A$8:$A$5007,$L4436))</f>
        <v/>
      </c>
      <c r="N4436" s="31" t="str">
        <f>IF($L4436="","",INDEX($B$8:$B$5007,$L4436))</f>
        <v/>
      </c>
      <c r="O4436" s="32" t="str">
        <f>IF($M4436="","",IF($K4436-$M4436&gt;7,"",IF($M4436&lt;=$A4436,"",IF(OR($B4436&lt;=0,$N4436&lt;=0),"",($N4436/$B4436)^(365/($M4436-$A4436))-1))))</f>
        <v/>
      </c>
      <c r="P4436" s="31" t="str">
        <f>IF($B4436="","",IF($P4435="",$B4436,MAX($P4435,$B4436)))</f>
        <v/>
      </c>
      <c r="Q4436" s="32" t="str">
        <f>IF($P4436="","",$B4436/$P4436-1)</f>
        <v/>
      </c>
    </row>
    <row r="4437">
      <c r="A4437" s="11" t="n"/>
      <c r="B4437" s="29" t="n"/>
      <c r="K4437" s="30" t="str">
        <f>IF($A4437="","",EDATE($A4437,12*$E$4))</f>
        <v/>
      </c>
      <c r="L4437" s="19" t="str">
        <f>IF($K4437="","",IF($K4437&gt;MAX($A$8:$A$5007),"",IFERROR(MATCH($K4437,$A$8:$A$5007,1),"")))</f>
        <v/>
      </c>
      <c r="M4437" s="30" t="str">
        <f>IF($L4437="","",INDEX($A$8:$A$5007,$L4437))</f>
        <v/>
      </c>
      <c r="N4437" s="31" t="str">
        <f>IF($L4437="","",INDEX($B$8:$B$5007,$L4437))</f>
        <v/>
      </c>
      <c r="O4437" s="32" t="str">
        <f>IF($M4437="","",IF($K4437-$M4437&gt;7,"",IF($M4437&lt;=$A4437,"",IF(OR($B4437&lt;=0,$N4437&lt;=0),"",($N4437/$B4437)^(365/($M4437-$A4437))-1))))</f>
        <v/>
      </c>
      <c r="P4437" s="31" t="str">
        <f>IF($B4437="","",IF($P4436="",$B4437,MAX($P4436,$B4437)))</f>
        <v/>
      </c>
      <c r="Q4437" s="32" t="str">
        <f>IF($P4437="","",$B4437/$P4437-1)</f>
        <v/>
      </c>
    </row>
    <row r="4438">
      <c r="A4438" s="11" t="n"/>
      <c r="B4438" s="29" t="n"/>
      <c r="K4438" s="30" t="str">
        <f>IF($A4438="","",EDATE($A4438,12*$E$4))</f>
        <v/>
      </c>
      <c r="L4438" s="19" t="str">
        <f>IF($K4438="","",IF($K4438&gt;MAX($A$8:$A$5007),"",IFERROR(MATCH($K4438,$A$8:$A$5007,1),"")))</f>
        <v/>
      </c>
      <c r="M4438" s="30" t="str">
        <f>IF($L4438="","",INDEX($A$8:$A$5007,$L4438))</f>
        <v/>
      </c>
      <c r="N4438" s="31" t="str">
        <f>IF($L4438="","",INDEX($B$8:$B$5007,$L4438))</f>
        <v/>
      </c>
      <c r="O4438" s="32" t="str">
        <f>IF($M4438="","",IF($K4438-$M4438&gt;7,"",IF($M4438&lt;=$A4438,"",IF(OR($B4438&lt;=0,$N4438&lt;=0),"",($N4438/$B4438)^(365/($M4438-$A4438))-1))))</f>
        <v/>
      </c>
      <c r="P4438" s="31" t="str">
        <f>IF($B4438="","",IF($P4437="",$B4438,MAX($P4437,$B4438)))</f>
        <v/>
      </c>
      <c r="Q4438" s="32" t="str">
        <f>IF($P4438="","",$B4438/$P4438-1)</f>
        <v/>
      </c>
    </row>
    <row r="4439">
      <c r="A4439" s="11" t="n"/>
      <c r="B4439" s="29" t="n"/>
      <c r="K4439" s="30" t="str">
        <f>IF($A4439="","",EDATE($A4439,12*$E$4))</f>
        <v/>
      </c>
      <c r="L4439" s="19" t="str">
        <f>IF($K4439="","",IF($K4439&gt;MAX($A$8:$A$5007),"",IFERROR(MATCH($K4439,$A$8:$A$5007,1),"")))</f>
        <v/>
      </c>
      <c r="M4439" s="30" t="str">
        <f>IF($L4439="","",INDEX($A$8:$A$5007,$L4439))</f>
        <v/>
      </c>
      <c r="N4439" s="31" t="str">
        <f>IF($L4439="","",INDEX($B$8:$B$5007,$L4439))</f>
        <v/>
      </c>
      <c r="O4439" s="32" t="str">
        <f>IF($M4439="","",IF($K4439-$M4439&gt;7,"",IF($M4439&lt;=$A4439,"",IF(OR($B4439&lt;=0,$N4439&lt;=0),"",($N4439/$B4439)^(365/($M4439-$A4439))-1))))</f>
        <v/>
      </c>
      <c r="P4439" s="31" t="str">
        <f>IF($B4439="","",IF($P4438="",$B4439,MAX($P4438,$B4439)))</f>
        <v/>
      </c>
      <c r="Q4439" s="32" t="str">
        <f>IF($P4439="","",$B4439/$P4439-1)</f>
        <v/>
      </c>
    </row>
    <row r="4440">
      <c r="A4440" s="11" t="n"/>
      <c r="B4440" s="29" t="n"/>
      <c r="K4440" s="30" t="str">
        <f>IF($A4440="","",EDATE($A4440,12*$E$4))</f>
        <v/>
      </c>
      <c r="L4440" s="19" t="str">
        <f>IF($K4440="","",IF($K4440&gt;MAX($A$8:$A$5007),"",IFERROR(MATCH($K4440,$A$8:$A$5007,1),"")))</f>
        <v/>
      </c>
      <c r="M4440" s="30" t="str">
        <f>IF($L4440="","",INDEX($A$8:$A$5007,$L4440))</f>
        <v/>
      </c>
      <c r="N4440" s="31" t="str">
        <f>IF($L4440="","",INDEX($B$8:$B$5007,$L4440))</f>
        <v/>
      </c>
      <c r="O4440" s="32" t="str">
        <f>IF($M4440="","",IF($K4440-$M4440&gt;7,"",IF($M4440&lt;=$A4440,"",IF(OR($B4440&lt;=0,$N4440&lt;=0),"",($N4440/$B4440)^(365/($M4440-$A4440))-1))))</f>
        <v/>
      </c>
      <c r="P4440" s="31" t="str">
        <f>IF($B4440="","",IF($P4439="",$B4440,MAX($P4439,$B4440)))</f>
        <v/>
      </c>
      <c r="Q4440" s="32" t="str">
        <f>IF($P4440="","",$B4440/$P4440-1)</f>
        <v/>
      </c>
    </row>
    <row r="4441">
      <c r="A4441" s="11" t="n"/>
      <c r="B4441" s="29" t="n"/>
      <c r="K4441" s="30" t="str">
        <f>IF($A4441="","",EDATE($A4441,12*$E$4))</f>
        <v/>
      </c>
      <c r="L4441" s="19" t="str">
        <f>IF($K4441="","",IF($K4441&gt;MAX($A$8:$A$5007),"",IFERROR(MATCH($K4441,$A$8:$A$5007,1),"")))</f>
        <v/>
      </c>
      <c r="M4441" s="30" t="str">
        <f>IF($L4441="","",INDEX($A$8:$A$5007,$L4441))</f>
        <v/>
      </c>
      <c r="N4441" s="31" t="str">
        <f>IF($L4441="","",INDEX($B$8:$B$5007,$L4441))</f>
        <v/>
      </c>
      <c r="O4441" s="32" t="str">
        <f>IF($M4441="","",IF($K4441-$M4441&gt;7,"",IF($M4441&lt;=$A4441,"",IF(OR($B4441&lt;=0,$N4441&lt;=0),"",($N4441/$B4441)^(365/($M4441-$A4441))-1))))</f>
        <v/>
      </c>
      <c r="P4441" s="31" t="str">
        <f>IF($B4441="","",IF($P4440="",$B4441,MAX($P4440,$B4441)))</f>
        <v/>
      </c>
      <c r="Q4441" s="32" t="str">
        <f>IF($P4441="","",$B4441/$P4441-1)</f>
        <v/>
      </c>
    </row>
    <row r="4442">
      <c r="A4442" s="11" t="n"/>
      <c r="B4442" s="29" t="n"/>
      <c r="K4442" s="30" t="str">
        <f>IF($A4442="","",EDATE($A4442,12*$E$4))</f>
        <v/>
      </c>
      <c r="L4442" s="19" t="str">
        <f>IF($K4442="","",IF($K4442&gt;MAX($A$8:$A$5007),"",IFERROR(MATCH($K4442,$A$8:$A$5007,1),"")))</f>
        <v/>
      </c>
      <c r="M4442" s="30" t="str">
        <f>IF($L4442="","",INDEX($A$8:$A$5007,$L4442))</f>
        <v/>
      </c>
      <c r="N4442" s="31" t="str">
        <f>IF($L4442="","",INDEX($B$8:$B$5007,$L4442))</f>
        <v/>
      </c>
      <c r="O4442" s="32" t="str">
        <f>IF($M4442="","",IF($K4442-$M4442&gt;7,"",IF($M4442&lt;=$A4442,"",IF(OR($B4442&lt;=0,$N4442&lt;=0),"",($N4442/$B4442)^(365/($M4442-$A4442))-1))))</f>
        <v/>
      </c>
      <c r="P4442" s="31" t="str">
        <f>IF($B4442="","",IF($P4441="",$B4442,MAX($P4441,$B4442)))</f>
        <v/>
      </c>
      <c r="Q4442" s="32" t="str">
        <f>IF($P4442="","",$B4442/$P4442-1)</f>
        <v/>
      </c>
    </row>
    <row r="4443">
      <c r="A4443" s="11" t="n"/>
      <c r="B4443" s="29" t="n"/>
      <c r="K4443" s="30" t="str">
        <f>IF($A4443="","",EDATE($A4443,12*$E$4))</f>
        <v/>
      </c>
      <c r="L4443" s="19" t="str">
        <f>IF($K4443="","",IF($K4443&gt;MAX($A$8:$A$5007),"",IFERROR(MATCH($K4443,$A$8:$A$5007,1),"")))</f>
        <v/>
      </c>
      <c r="M4443" s="30" t="str">
        <f>IF($L4443="","",INDEX($A$8:$A$5007,$L4443))</f>
        <v/>
      </c>
      <c r="N4443" s="31" t="str">
        <f>IF($L4443="","",INDEX($B$8:$B$5007,$L4443))</f>
        <v/>
      </c>
      <c r="O4443" s="32" t="str">
        <f>IF($M4443="","",IF($K4443-$M4443&gt;7,"",IF($M4443&lt;=$A4443,"",IF(OR($B4443&lt;=0,$N4443&lt;=0),"",($N4443/$B4443)^(365/($M4443-$A4443))-1))))</f>
        <v/>
      </c>
      <c r="P4443" s="31" t="str">
        <f>IF($B4443="","",IF($P4442="",$B4443,MAX($P4442,$B4443)))</f>
        <v/>
      </c>
      <c r="Q4443" s="32" t="str">
        <f>IF($P4443="","",$B4443/$P4443-1)</f>
        <v/>
      </c>
    </row>
    <row r="4444">
      <c r="A4444" s="11" t="n"/>
      <c r="B4444" s="29" t="n"/>
      <c r="K4444" s="30" t="str">
        <f>IF($A4444="","",EDATE($A4444,12*$E$4))</f>
        <v/>
      </c>
      <c r="L4444" s="19" t="str">
        <f>IF($K4444="","",IF($K4444&gt;MAX($A$8:$A$5007),"",IFERROR(MATCH($K4444,$A$8:$A$5007,1),"")))</f>
        <v/>
      </c>
      <c r="M4444" s="30" t="str">
        <f>IF($L4444="","",INDEX($A$8:$A$5007,$L4444))</f>
        <v/>
      </c>
      <c r="N4444" s="31" t="str">
        <f>IF($L4444="","",INDEX($B$8:$B$5007,$L4444))</f>
        <v/>
      </c>
      <c r="O4444" s="32" t="str">
        <f>IF($M4444="","",IF($K4444-$M4444&gt;7,"",IF($M4444&lt;=$A4444,"",IF(OR($B4444&lt;=0,$N4444&lt;=0),"",($N4444/$B4444)^(365/($M4444-$A4444))-1))))</f>
        <v/>
      </c>
      <c r="P4444" s="31" t="str">
        <f>IF($B4444="","",IF($P4443="",$B4444,MAX($P4443,$B4444)))</f>
        <v/>
      </c>
      <c r="Q4444" s="32" t="str">
        <f>IF($P4444="","",$B4444/$P4444-1)</f>
        <v/>
      </c>
    </row>
    <row r="4445">
      <c r="A4445" s="11" t="n"/>
      <c r="B4445" s="29" t="n"/>
      <c r="K4445" s="30" t="str">
        <f>IF($A4445="","",EDATE($A4445,12*$E$4))</f>
        <v/>
      </c>
      <c r="L4445" s="19" t="str">
        <f>IF($K4445="","",IF($K4445&gt;MAX($A$8:$A$5007),"",IFERROR(MATCH($K4445,$A$8:$A$5007,1),"")))</f>
        <v/>
      </c>
      <c r="M4445" s="30" t="str">
        <f>IF($L4445="","",INDEX($A$8:$A$5007,$L4445))</f>
        <v/>
      </c>
      <c r="N4445" s="31" t="str">
        <f>IF($L4445="","",INDEX($B$8:$B$5007,$L4445))</f>
        <v/>
      </c>
      <c r="O4445" s="32" t="str">
        <f>IF($M4445="","",IF($K4445-$M4445&gt;7,"",IF($M4445&lt;=$A4445,"",IF(OR($B4445&lt;=0,$N4445&lt;=0),"",($N4445/$B4445)^(365/($M4445-$A4445))-1))))</f>
        <v/>
      </c>
      <c r="P4445" s="31" t="str">
        <f>IF($B4445="","",IF($P4444="",$B4445,MAX($P4444,$B4445)))</f>
        <v/>
      </c>
      <c r="Q4445" s="32" t="str">
        <f>IF($P4445="","",$B4445/$P4445-1)</f>
        <v/>
      </c>
    </row>
    <row r="4446">
      <c r="A4446" s="11" t="n"/>
      <c r="B4446" s="29" t="n"/>
      <c r="K4446" s="30" t="str">
        <f>IF($A4446="","",EDATE($A4446,12*$E$4))</f>
        <v/>
      </c>
      <c r="L4446" s="19" t="str">
        <f>IF($K4446="","",IF($K4446&gt;MAX($A$8:$A$5007),"",IFERROR(MATCH($K4446,$A$8:$A$5007,1),"")))</f>
        <v/>
      </c>
      <c r="M4446" s="30" t="str">
        <f>IF($L4446="","",INDEX($A$8:$A$5007,$L4446))</f>
        <v/>
      </c>
      <c r="N4446" s="31" t="str">
        <f>IF($L4446="","",INDEX($B$8:$B$5007,$L4446))</f>
        <v/>
      </c>
      <c r="O4446" s="32" t="str">
        <f>IF($M4446="","",IF($K4446-$M4446&gt;7,"",IF($M4446&lt;=$A4446,"",IF(OR($B4446&lt;=0,$N4446&lt;=0),"",($N4446/$B4446)^(365/($M4446-$A4446))-1))))</f>
        <v/>
      </c>
      <c r="P4446" s="31" t="str">
        <f>IF($B4446="","",IF($P4445="",$B4446,MAX($P4445,$B4446)))</f>
        <v/>
      </c>
      <c r="Q4446" s="32" t="str">
        <f>IF($P4446="","",$B4446/$P4446-1)</f>
        <v/>
      </c>
    </row>
    <row r="4447">
      <c r="A4447" s="11" t="n"/>
      <c r="B4447" s="29" t="n"/>
      <c r="K4447" s="30" t="str">
        <f>IF($A4447="","",EDATE($A4447,12*$E$4))</f>
        <v/>
      </c>
      <c r="L4447" s="19" t="str">
        <f>IF($K4447="","",IF($K4447&gt;MAX($A$8:$A$5007),"",IFERROR(MATCH($K4447,$A$8:$A$5007,1),"")))</f>
        <v/>
      </c>
      <c r="M4447" s="30" t="str">
        <f>IF($L4447="","",INDEX($A$8:$A$5007,$L4447))</f>
        <v/>
      </c>
      <c r="N4447" s="31" t="str">
        <f>IF($L4447="","",INDEX($B$8:$B$5007,$L4447))</f>
        <v/>
      </c>
      <c r="O4447" s="32" t="str">
        <f>IF($M4447="","",IF($K4447-$M4447&gt;7,"",IF($M4447&lt;=$A4447,"",IF(OR($B4447&lt;=0,$N4447&lt;=0),"",($N4447/$B4447)^(365/($M4447-$A4447))-1))))</f>
        <v/>
      </c>
      <c r="P4447" s="31" t="str">
        <f>IF($B4447="","",IF($P4446="",$B4447,MAX($P4446,$B4447)))</f>
        <v/>
      </c>
      <c r="Q4447" s="32" t="str">
        <f>IF($P4447="","",$B4447/$P4447-1)</f>
        <v/>
      </c>
    </row>
    <row r="4448">
      <c r="A4448" s="11" t="n"/>
      <c r="B4448" s="29" t="n"/>
      <c r="K4448" s="30" t="str">
        <f>IF($A4448="","",EDATE($A4448,12*$E$4))</f>
        <v/>
      </c>
      <c r="L4448" s="19" t="str">
        <f>IF($K4448="","",IF($K4448&gt;MAX($A$8:$A$5007),"",IFERROR(MATCH($K4448,$A$8:$A$5007,1),"")))</f>
        <v/>
      </c>
      <c r="M4448" s="30" t="str">
        <f>IF($L4448="","",INDEX($A$8:$A$5007,$L4448))</f>
        <v/>
      </c>
      <c r="N4448" s="31" t="str">
        <f>IF($L4448="","",INDEX($B$8:$B$5007,$L4448))</f>
        <v/>
      </c>
      <c r="O4448" s="32" t="str">
        <f>IF($M4448="","",IF($K4448-$M4448&gt;7,"",IF($M4448&lt;=$A4448,"",IF(OR($B4448&lt;=0,$N4448&lt;=0),"",($N4448/$B4448)^(365/($M4448-$A4448))-1))))</f>
        <v/>
      </c>
      <c r="P4448" s="31" t="str">
        <f>IF($B4448="","",IF($P4447="",$B4448,MAX($P4447,$B4448)))</f>
        <v/>
      </c>
      <c r="Q4448" s="32" t="str">
        <f>IF($P4448="","",$B4448/$P4448-1)</f>
        <v/>
      </c>
    </row>
    <row r="4449">
      <c r="A4449" s="11" t="n"/>
      <c r="B4449" s="29" t="n"/>
      <c r="K4449" s="30" t="str">
        <f>IF($A4449="","",EDATE($A4449,12*$E$4))</f>
        <v/>
      </c>
      <c r="L4449" s="19" t="str">
        <f>IF($K4449="","",IF($K4449&gt;MAX($A$8:$A$5007),"",IFERROR(MATCH($K4449,$A$8:$A$5007,1),"")))</f>
        <v/>
      </c>
      <c r="M4449" s="30" t="str">
        <f>IF($L4449="","",INDEX($A$8:$A$5007,$L4449))</f>
        <v/>
      </c>
      <c r="N4449" s="31" t="str">
        <f>IF($L4449="","",INDEX($B$8:$B$5007,$L4449))</f>
        <v/>
      </c>
      <c r="O4449" s="32" t="str">
        <f>IF($M4449="","",IF($K4449-$M4449&gt;7,"",IF($M4449&lt;=$A4449,"",IF(OR($B4449&lt;=0,$N4449&lt;=0),"",($N4449/$B4449)^(365/($M4449-$A4449))-1))))</f>
        <v/>
      </c>
      <c r="P4449" s="31" t="str">
        <f>IF($B4449="","",IF($P4448="",$B4449,MAX($P4448,$B4449)))</f>
        <v/>
      </c>
      <c r="Q4449" s="32" t="str">
        <f>IF($P4449="","",$B4449/$P4449-1)</f>
        <v/>
      </c>
    </row>
    <row r="4450">
      <c r="A4450" s="11" t="n"/>
      <c r="B4450" s="29" t="n"/>
      <c r="K4450" s="30" t="str">
        <f>IF($A4450="","",EDATE($A4450,12*$E$4))</f>
        <v/>
      </c>
      <c r="L4450" s="19" t="str">
        <f>IF($K4450="","",IF($K4450&gt;MAX($A$8:$A$5007),"",IFERROR(MATCH($K4450,$A$8:$A$5007,1),"")))</f>
        <v/>
      </c>
      <c r="M4450" s="30" t="str">
        <f>IF($L4450="","",INDEX($A$8:$A$5007,$L4450))</f>
        <v/>
      </c>
      <c r="N4450" s="31" t="str">
        <f>IF($L4450="","",INDEX($B$8:$B$5007,$L4450))</f>
        <v/>
      </c>
      <c r="O4450" s="32" t="str">
        <f>IF($M4450="","",IF($K4450-$M4450&gt;7,"",IF($M4450&lt;=$A4450,"",IF(OR($B4450&lt;=0,$N4450&lt;=0),"",($N4450/$B4450)^(365/($M4450-$A4450))-1))))</f>
        <v/>
      </c>
      <c r="P4450" s="31" t="str">
        <f>IF($B4450="","",IF($P4449="",$B4450,MAX($P4449,$B4450)))</f>
        <v/>
      </c>
      <c r="Q4450" s="32" t="str">
        <f>IF($P4450="","",$B4450/$P4450-1)</f>
        <v/>
      </c>
    </row>
    <row r="4451">
      <c r="A4451" s="11" t="n"/>
      <c r="B4451" s="29" t="n"/>
      <c r="K4451" s="30" t="str">
        <f>IF($A4451="","",EDATE($A4451,12*$E$4))</f>
        <v/>
      </c>
      <c r="L4451" s="19" t="str">
        <f>IF($K4451="","",IF($K4451&gt;MAX($A$8:$A$5007),"",IFERROR(MATCH($K4451,$A$8:$A$5007,1),"")))</f>
        <v/>
      </c>
      <c r="M4451" s="30" t="str">
        <f>IF($L4451="","",INDEX($A$8:$A$5007,$L4451))</f>
        <v/>
      </c>
      <c r="N4451" s="31" t="str">
        <f>IF($L4451="","",INDEX($B$8:$B$5007,$L4451))</f>
        <v/>
      </c>
      <c r="O4451" s="32" t="str">
        <f>IF($M4451="","",IF($K4451-$M4451&gt;7,"",IF($M4451&lt;=$A4451,"",IF(OR($B4451&lt;=0,$N4451&lt;=0),"",($N4451/$B4451)^(365/($M4451-$A4451))-1))))</f>
        <v/>
      </c>
      <c r="P4451" s="31" t="str">
        <f>IF($B4451="","",IF($P4450="",$B4451,MAX($P4450,$B4451)))</f>
        <v/>
      </c>
      <c r="Q4451" s="32" t="str">
        <f>IF($P4451="","",$B4451/$P4451-1)</f>
        <v/>
      </c>
    </row>
    <row r="4452">
      <c r="A4452" s="11" t="n"/>
      <c r="B4452" s="29" t="n"/>
      <c r="K4452" s="30" t="str">
        <f>IF($A4452="","",EDATE($A4452,12*$E$4))</f>
        <v/>
      </c>
      <c r="L4452" s="19" t="str">
        <f>IF($K4452="","",IF($K4452&gt;MAX($A$8:$A$5007),"",IFERROR(MATCH($K4452,$A$8:$A$5007,1),"")))</f>
        <v/>
      </c>
      <c r="M4452" s="30" t="str">
        <f>IF($L4452="","",INDEX($A$8:$A$5007,$L4452))</f>
        <v/>
      </c>
      <c r="N4452" s="31" t="str">
        <f>IF($L4452="","",INDEX($B$8:$B$5007,$L4452))</f>
        <v/>
      </c>
      <c r="O4452" s="32" t="str">
        <f>IF($M4452="","",IF($K4452-$M4452&gt;7,"",IF($M4452&lt;=$A4452,"",IF(OR($B4452&lt;=0,$N4452&lt;=0),"",($N4452/$B4452)^(365/($M4452-$A4452))-1))))</f>
        <v/>
      </c>
      <c r="P4452" s="31" t="str">
        <f>IF($B4452="","",IF($P4451="",$B4452,MAX($P4451,$B4452)))</f>
        <v/>
      </c>
      <c r="Q4452" s="32" t="str">
        <f>IF($P4452="","",$B4452/$P4452-1)</f>
        <v/>
      </c>
    </row>
    <row r="4453">
      <c r="A4453" s="11" t="n"/>
      <c r="B4453" s="29" t="n"/>
      <c r="K4453" s="30" t="str">
        <f>IF($A4453="","",EDATE($A4453,12*$E$4))</f>
        <v/>
      </c>
      <c r="L4453" s="19" t="str">
        <f>IF($K4453="","",IF($K4453&gt;MAX($A$8:$A$5007),"",IFERROR(MATCH($K4453,$A$8:$A$5007,1),"")))</f>
        <v/>
      </c>
      <c r="M4453" s="30" t="str">
        <f>IF($L4453="","",INDEX($A$8:$A$5007,$L4453))</f>
        <v/>
      </c>
      <c r="N4453" s="31" t="str">
        <f>IF($L4453="","",INDEX($B$8:$B$5007,$L4453))</f>
        <v/>
      </c>
      <c r="O4453" s="32" t="str">
        <f>IF($M4453="","",IF($K4453-$M4453&gt;7,"",IF($M4453&lt;=$A4453,"",IF(OR($B4453&lt;=0,$N4453&lt;=0),"",($N4453/$B4453)^(365/($M4453-$A4453))-1))))</f>
        <v/>
      </c>
      <c r="P4453" s="31" t="str">
        <f>IF($B4453="","",IF($P4452="",$B4453,MAX($P4452,$B4453)))</f>
        <v/>
      </c>
      <c r="Q4453" s="32" t="str">
        <f>IF($P4453="","",$B4453/$P4453-1)</f>
        <v/>
      </c>
    </row>
    <row r="4454">
      <c r="A4454" s="11" t="n"/>
      <c r="B4454" s="29" t="n"/>
      <c r="K4454" s="30" t="str">
        <f>IF($A4454="","",EDATE($A4454,12*$E$4))</f>
        <v/>
      </c>
      <c r="L4454" s="19" t="str">
        <f>IF($K4454="","",IF($K4454&gt;MAX($A$8:$A$5007),"",IFERROR(MATCH($K4454,$A$8:$A$5007,1),"")))</f>
        <v/>
      </c>
      <c r="M4454" s="30" t="str">
        <f>IF($L4454="","",INDEX($A$8:$A$5007,$L4454))</f>
        <v/>
      </c>
      <c r="N4454" s="31" t="str">
        <f>IF($L4454="","",INDEX($B$8:$B$5007,$L4454))</f>
        <v/>
      </c>
      <c r="O4454" s="32" t="str">
        <f>IF($M4454="","",IF($K4454-$M4454&gt;7,"",IF($M4454&lt;=$A4454,"",IF(OR($B4454&lt;=0,$N4454&lt;=0),"",($N4454/$B4454)^(365/($M4454-$A4454))-1))))</f>
        <v/>
      </c>
      <c r="P4454" s="31" t="str">
        <f>IF($B4454="","",IF($P4453="",$B4454,MAX($P4453,$B4454)))</f>
        <v/>
      </c>
      <c r="Q4454" s="32" t="str">
        <f>IF($P4454="","",$B4454/$P4454-1)</f>
        <v/>
      </c>
    </row>
    <row r="4455">
      <c r="A4455" s="11" t="n"/>
      <c r="B4455" s="29" t="n"/>
      <c r="K4455" s="30" t="str">
        <f>IF($A4455="","",EDATE($A4455,12*$E$4))</f>
        <v/>
      </c>
      <c r="L4455" s="19" t="str">
        <f>IF($K4455="","",IF($K4455&gt;MAX($A$8:$A$5007),"",IFERROR(MATCH($K4455,$A$8:$A$5007,1),"")))</f>
        <v/>
      </c>
      <c r="M4455" s="30" t="str">
        <f>IF($L4455="","",INDEX($A$8:$A$5007,$L4455))</f>
        <v/>
      </c>
      <c r="N4455" s="31" t="str">
        <f>IF($L4455="","",INDEX($B$8:$B$5007,$L4455))</f>
        <v/>
      </c>
      <c r="O4455" s="32" t="str">
        <f>IF($M4455="","",IF($K4455-$M4455&gt;7,"",IF($M4455&lt;=$A4455,"",IF(OR($B4455&lt;=0,$N4455&lt;=0),"",($N4455/$B4455)^(365/($M4455-$A4455))-1))))</f>
        <v/>
      </c>
      <c r="P4455" s="31" t="str">
        <f>IF($B4455="","",IF($P4454="",$B4455,MAX($P4454,$B4455)))</f>
        <v/>
      </c>
      <c r="Q4455" s="32" t="str">
        <f>IF($P4455="","",$B4455/$P4455-1)</f>
        <v/>
      </c>
    </row>
    <row r="4456">
      <c r="A4456" s="11" t="n"/>
      <c r="B4456" s="29" t="n"/>
      <c r="K4456" s="30" t="str">
        <f>IF($A4456="","",EDATE($A4456,12*$E$4))</f>
        <v/>
      </c>
      <c r="L4456" s="19" t="str">
        <f>IF($K4456="","",IF($K4456&gt;MAX($A$8:$A$5007),"",IFERROR(MATCH($K4456,$A$8:$A$5007,1),"")))</f>
        <v/>
      </c>
      <c r="M4456" s="30" t="str">
        <f>IF($L4456="","",INDEX($A$8:$A$5007,$L4456))</f>
        <v/>
      </c>
      <c r="N4456" s="31" t="str">
        <f>IF($L4456="","",INDEX($B$8:$B$5007,$L4456))</f>
        <v/>
      </c>
      <c r="O4456" s="32" t="str">
        <f>IF($M4456="","",IF($K4456-$M4456&gt;7,"",IF($M4456&lt;=$A4456,"",IF(OR($B4456&lt;=0,$N4456&lt;=0),"",($N4456/$B4456)^(365/($M4456-$A4456))-1))))</f>
        <v/>
      </c>
      <c r="P4456" s="31" t="str">
        <f>IF($B4456="","",IF($P4455="",$B4456,MAX($P4455,$B4456)))</f>
        <v/>
      </c>
      <c r="Q4456" s="32" t="str">
        <f>IF($P4456="","",$B4456/$P4456-1)</f>
        <v/>
      </c>
    </row>
    <row r="4457">
      <c r="A4457" s="11" t="n"/>
      <c r="B4457" s="29" t="n"/>
      <c r="K4457" s="30" t="str">
        <f>IF($A4457="","",EDATE($A4457,12*$E$4))</f>
        <v/>
      </c>
      <c r="L4457" s="19" t="str">
        <f>IF($K4457="","",IF($K4457&gt;MAX($A$8:$A$5007),"",IFERROR(MATCH($K4457,$A$8:$A$5007,1),"")))</f>
        <v/>
      </c>
      <c r="M4457" s="30" t="str">
        <f>IF($L4457="","",INDEX($A$8:$A$5007,$L4457))</f>
        <v/>
      </c>
      <c r="N4457" s="31" t="str">
        <f>IF($L4457="","",INDEX($B$8:$B$5007,$L4457))</f>
        <v/>
      </c>
      <c r="O4457" s="32" t="str">
        <f>IF($M4457="","",IF($K4457-$M4457&gt;7,"",IF($M4457&lt;=$A4457,"",IF(OR($B4457&lt;=0,$N4457&lt;=0),"",($N4457/$B4457)^(365/($M4457-$A4457))-1))))</f>
        <v/>
      </c>
      <c r="P4457" s="31" t="str">
        <f>IF($B4457="","",IF($P4456="",$B4457,MAX($P4456,$B4457)))</f>
        <v/>
      </c>
      <c r="Q4457" s="32" t="str">
        <f>IF($P4457="","",$B4457/$P4457-1)</f>
        <v/>
      </c>
    </row>
    <row r="4458">
      <c r="A4458" s="11" t="n"/>
      <c r="B4458" s="29" t="n"/>
      <c r="K4458" s="30" t="str">
        <f>IF($A4458="","",EDATE($A4458,12*$E$4))</f>
        <v/>
      </c>
      <c r="L4458" s="19" t="str">
        <f>IF($K4458="","",IF($K4458&gt;MAX($A$8:$A$5007),"",IFERROR(MATCH($K4458,$A$8:$A$5007,1),"")))</f>
        <v/>
      </c>
      <c r="M4458" s="30" t="str">
        <f>IF($L4458="","",INDEX($A$8:$A$5007,$L4458))</f>
        <v/>
      </c>
      <c r="N4458" s="31" t="str">
        <f>IF($L4458="","",INDEX($B$8:$B$5007,$L4458))</f>
        <v/>
      </c>
      <c r="O4458" s="32" t="str">
        <f>IF($M4458="","",IF($K4458-$M4458&gt;7,"",IF($M4458&lt;=$A4458,"",IF(OR($B4458&lt;=0,$N4458&lt;=0),"",($N4458/$B4458)^(365/($M4458-$A4458))-1))))</f>
        <v/>
      </c>
      <c r="P4458" s="31" t="str">
        <f>IF($B4458="","",IF($P4457="",$B4458,MAX($P4457,$B4458)))</f>
        <v/>
      </c>
      <c r="Q4458" s="32" t="str">
        <f>IF($P4458="","",$B4458/$P4458-1)</f>
        <v/>
      </c>
    </row>
    <row r="4459">
      <c r="A4459" s="11" t="n"/>
      <c r="B4459" s="29" t="n"/>
      <c r="K4459" s="30" t="str">
        <f>IF($A4459="","",EDATE($A4459,12*$E$4))</f>
        <v/>
      </c>
      <c r="L4459" s="19" t="str">
        <f>IF($K4459="","",IF($K4459&gt;MAX($A$8:$A$5007),"",IFERROR(MATCH($K4459,$A$8:$A$5007,1),"")))</f>
        <v/>
      </c>
      <c r="M4459" s="30" t="str">
        <f>IF($L4459="","",INDEX($A$8:$A$5007,$L4459))</f>
        <v/>
      </c>
      <c r="N4459" s="31" t="str">
        <f>IF($L4459="","",INDEX($B$8:$B$5007,$L4459))</f>
        <v/>
      </c>
      <c r="O4459" s="32" t="str">
        <f>IF($M4459="","",IF($K4459-$M4459&gt;7,"",IF($M4459&lt;=$A4459,"",IF(OR($B4459&lt;=0,$N4459&lt;=0),"",($N4459/$B4459)^(365/($M4459-$A4459))-1))))</f>
        <v/>
      </c>
      <c r="P4459" s="31" t="str">
        <f>IF($B4459="","",IF($P4458="",$B4459,MAX($P4458,$B4459)))</f>
        <v/>
      </c>
      <c r="Q4459" s="32" t="str">
        <f>IF($P4459="","",$B4459/$P4459-1)</f>
        <v/>
      </c>
    </row>
    <row r="4460">
      <c r="A4460" s="11" t="n"/>
      <c r="B4460" s="29" t="n"/>
      <c r="K4460" s="30" t="str">
        <f>IF($A4460="","",EDATE($A4460,12*$E$4))</f>
        <v/>
      </c>
      <c r="L4460" s="19" t="str">
        <f>IF($K4460="","",IF($K4460&gt;MAX($A$8:$A$5007),"",IFERROR(MATCH($K4460,$A$8:$A$5007,1),"")))</f>
        <v/>
      </c>
      <c r="M4460" s="30" t="str">
        <f>IF($L4460="","",INDEX($A$8:$A$5007,$L4460))</f>
        <v/>
      </c>
      <c r="N4460" s="31" t="str">
        <f>IF($L4460="","",INDEX($B$8:$B$5007,$L4460))</f>
        <v/>
      </c>
      <c r="O4460" s="32" t="str">
        <f>IF($M4460="","",IF($K4460-$M4460&gt;7,"",IF($M4460&lt;=$A4460,"",IF(OR($B4460&lt;=0,$N4460&lt;=0),"",($N4460/$B4460)^(365/($M4460-$A4460))-1))))</f>
        <v/>
      </c>
      <c r="P4460" s="31" t="str">
        <f>IF($B4460="","",IF($P4459="",$B4460,MAX($P4459,$B4460)))</f>
        <v/>
      </c>
      <c r="Q4460" s="32" t="str">
        <f>IF($P4460="","",$B4460/$P4460-1)</f>
        <v/>
      </c>
    </row>
    <row r="4461">
      <c r="A4461" s="11" t="n"/>
      <c r="B4461" s="29" t="n"/>
      <c r="K4461" s="30" t="str">
        <f>IF($A4461="","",EDATE($A4461,12*$E$4))</f>
        <v/>
      </c>
      <c r="L4461" s="19" t="str">
        <f>IF($K4461="","",IF($K4461&gt;MAX($A$8:$A$5007),"",IFERROR(MATCH($K4461,$A$8:$A$5007,1),"")))</f>
        <v/>
      </c>
      <c r="M4461" s="30" t="str">
        <f>IF($L4461="","",INDEX($A$8:$A$5007,$L4461))</f>
        <v/>
      </c>
      <c r="N4461" s="31" t="str">
        <f>IF($L4461="","",INDEX($B$8:$B$5007,$L4461))</f>
        <v/>
      </c>
      <c r="O4461" s="32" t="str">
        <f>IF($M4461="","",IF($K4461-$M4461&gt;7,"",IF($M4461&lt;=$A4461,"",IF(OR($B4461&lt;=0,$N4461&lt;=0),"",($N4461/$B4461)^(365/($M4461-$A4461))-1))))</f>
        <v/>
      </c>
      <c r="P4461" s="31" t="str">
        <f>IF($B4461="","",IF($P4460="",$B4461,MAX($P4460,$B4461)))</f>
        <v/>
      </c>
      <c r="Q4461" s="32" t="str">
        <f>IF($P4461="","",$B4461/$P4461-1)</f>
        <v/>
      </c>
    </row>
    <row r="4462">
      <c r="A4462" s="11" t="n"/>
      <c r="B4462" s="29" t="n"/>
      <c r="K4462" s="30" t="str">
        <f>IF($A4462="","",EDATE($A4462,12*$E$4))</f>
        <v/>
      </c>
      <c r="L4462" s="19" t="str">
        <f>IF($K4462="","",IF($K4462&gt;MAX($A$8:$A$5007),"",IFERROR(MATCH($K4462,$A$8:$A$5007,1),"")))</f>
        <v/>
      </c>
      <c r="M4462" s="30" t="str">
        <f>IF($L4462="","",INDEX($A$8:$A$5007,$L4462))</f>
        <v/>
      </c>
      <c r="N4462" s="31" t="str">
        <f>IF($L4462="","",INDEX($B$8:$B$5007,$L4462))</f>
        <v/>
      </c>
      <c r="O4462" s="32" t="str">
        <f>IF($M4462="","",IF($K4462-$M4462&gt;7,"",IF($M4462&lt;=$A4462,"",IF(OR($B4462&lt;=0,$N4462&lt;=0),"",($N4462/$B4462)^(365/($M4462-$A4462))-1))))</f>
        <v/>
      </c>
      <c r="P4462" s="31" t="str">
        <f>IF($B4462="","",IF($P4461="",$B4462,MAX($P4461,$B4462)))</f>
        <v/>
      </c>
      <c r="Q4462" s="32" t="str">
        <f>IF($P4462="","",$B4462/$P4462-1)</f>
        <v/>
      </c>
    </row>
    <row r="4463">
      <c r="A4463" s="11" t="n"/>
      <c r="B4463" s="29" t="n"/>
      <c r="K4463" s="30" t="str">
        <f>IF($A4463="","",EDATE($A4463,12*$E$4))</f>
        <v/>
      </c>
      <c r="L4463" s="19" t="str">
        <f>IF($K4463="","",IF($K4463&gt;MAX($A$8:$A$5007),"",IFERROR(MATCH($K4463,$A$8:$A$5007,1),"")))</f>
        <v/>
      </c>
      <c r="M4463" s="30" t="str">
        <f>IF($L4463="","",INDEX($A$8:$A$5007,$L4463))</f>
        <v/>
      </c>
      <c r="N4463" s="31" t="str">
        <f>IF($L4463="","",INDEX($B$8:$B$5007,$L4463))</f>
        <v/>
      </c>
      <c r="O4463" s="32" t="str">
        <f>IF($M4463="","",IF($K4463-$M4463&gt;7,"",IF($M4463&lt;=$A4463,"",IF(OR($B4463&lt;=0,$N4463&lt;=0),"",($N4463/$B4463)^(365/($M4463-$A4463))-1))))</f>
        <v/>
      </c>
      <c r="P4463" s="31" t="str">
        <f>IF($B4463="","",IF($P4462="",$B4463,MAX($P4462,$B4463)))</f>
        <v/>
      </c>
      <c r="Q4463" s="32" t="str">
        <f>IF($P4463="","",$B4463/$P4463-1)</f>
        <v/>
      </c>
    </row>
    <row r="4464">
      <c r="A4464" s="11" t="n"/>
      <c r="B4464" s="29" t="n"/>
      <c r="K4464" s="30" t="str">
        <f>IF($A4464="","",EDATE($A4464,12*$E$4))</f>
        <v/>
      </c>
      <c r="L4464" s="19" t="str">
        <f>IF($K4464="","",IF($K4464&gt;MAX($A$8:$A$5007),"",IFERROR(MATCH($K4464,$A$8:$A$5007,1),"")))</f>
        <v/>
      </c>
      <c r="M4464" s="30" t="str">
        <f>IF($L4464="","",INDEX($A$8:$A$5007,$L4464))</f>
        <v/>
      </c>
      <c r="N4464" s="31" t="str">
        <f>IF($L4464="","",INDEX($B$8:$B$5007,$L4464))</f>
        <v/>
      </c>
      <c r="O4464" s="32" t="str">
        <f>IF($M4464="","",IF($K4464-$M4464&gt;7,"",IF($M4464&lt;=$A4464,"",IF(OR($B4464&lt;=0,$N4464&lt;=0),"",($N4464/$B4464)^(365/($M4464-$A4464))-1))))</f>
        <v/>
      </c>
      <c r="P4464" s="31" t="str">
        <f>IF($B4464="","",IF($P4463="",$B4464,MAX($P4463,$B4464)))</f>
        <v/>
      </c>
      <c r="Q4464" s="32" t="str">
        <f>IF($P4464="","",$B4464/$P4464-1)</f>
        <v/>
      </c>
    </row>
    <row r="4465">
      <c r="A4465" s="11" t="n"/>
      <c r="B4465" s="29" t="n"/>
      <c r="K4465" s="30" t="str">
        <f>IF($A4465="","",EDATE($A4465,12*$E$4))</f>
        <v/>
      </c>
      <c r="L4465" s="19" t="str">
        <f>IF($K4465="","",IF($K4465&gt;MAX($A$8:$A$5007),"",IFERROR(MATCH($K4465,$A$8:$A$5007,1),"")))</f>
        <v/>
      </c>
      <c r="M4465" s="30" t="str">
        <f>IF($L4465="","",INDEX($A$8:$A$5007,$L4465))</f>
        <v/>
      </c>
      <c r="N4465" s="31" t="str">
        <f>IF($L4465="","",INDEX($B$8:$B$5007,$L4465))</f>
        <v/>
      </c>
      <c r="O4465" s="32" t="str">
        <f>IF($M4465="","",IF($K4465-$M4465&gt;7,"",IF($M4465&lt;=$A4465,"",IF(OR($B4465&lt;=0,$N4465&lt;=0),"",($N4465/$B4465)^(365/($M4465-$A4465))-1))))</f>
        <v/>
      </c>
      <c r="P4465" s="31" t="str">
        <f>IF($B4465="","",IF($P4464="",$B4465,MAX($P4464,$B4465)))</f>
        <v/>
      </c>
      <c r="Q4465" s="32" t="str">
        <f>IF($P4465="","",$B4465/$P4465-1)</f>
        <v/>
      </c>
    </row>
    <row r="4466">
      <c r="A4466" s="11" t="n"/>
      <c r="B4466" s="29" t="n"/>
      <c r="K4466" s="30" t="str">
        <f>IF($A4466="","",EDATE($A4466,12*$E$4))</f>
        <v/>
      </c>
      <c r="L4466" s="19" t="str">
        <f>IF($K4466="","",IF($K4466&gt;MAX($A$8:$A$5007),"",IFERROR(MATCH($K4466,$A$8:$A$5007,1),"")))</f>
        <v/>
      </c>
      <c r="M4466" s="30" t="str">
        <f>IF($L4466="","",INDEX($A$8:$A$5007,$L4466))</f>
        <v/>
      </c>
      <c r="N4466" s="31" t="str">
        <f>IF($L4466="","",INDEX($B$8:$B$5007,$L4466))</f>
        <v/>
      </c>
      <c r="O4466" s="32" t="str">
        <f>IF($M4466="","",IF($K4466-$M4466&gt;7,"",IF($M4466&lt;=$A4466,"",IF(OR($B4466&lt;=0,$N4466&lt;=0),"",($N4466/$B4466)^(365/($M4466-$A4466))-1))))</f>
        <v/>
      </c>
      <c r="P4466" s="31" t="str">
        <f>IF($B4466="","",IF($P4465="",$B4466,MAX($P4465,$B4466)))</f>
        <v/>
      </c>
      <c r="Q4466" s="32" t="str">
        <f>IF($P4466="","",$B4466/$P4466-1)</f>
        <v/>
      </c>
    </row>
    <row r="4467">
      <c r="A4467" s="11" t="n"/>
      <c r="B4467" s="29" t="n"/>
      <c r="K4467" s="30" t="str">
        <f>IF($A4467="","",EDATE($A4467,12*$E$4))</f>
        <v/>
      </c>
      <c r="L4467" s="19" t="str">
        <f>IF($K4467="","",IF($K4467&gt;MAX($A$8:$A$5007),"",IFERROR(MATCH($K4467,$A$8:$A$5007,1),"")))</f>
        <v/>
      </c>
      <c r="M4467" s="30" t="str">
        <f>IF($L4467="","",INDEX($A$8:$A$5007,$L4467))</f>
        <v/>
      </c>
      <c r="N4467" s="31" t="str">
        <f>IF($L4467="","",INDEX($B$8:$B$5007,$L4467))</f>
        <v/>
      </c>
      <c r="O4467" s="32" t="str">
        <f>IF($M4467="","",IF($K4467-$M4467&gt;7,"",IF($M4467&lt;=$A4467,"",IF(OR($B4467&lt;=0,$N4467&lt;=0),"",($N4467/$B4467)^(365/($M4467-$A4467))-1))))</f>
        <v/>
      </c>
      <c r="P4467" s="31" t="str">
        <f>IF($B4467="","",IF($P4466="",$B4467,MAX($P4466,$B4467)))</f>
        <v/>
      </c>
      <c r="Q4467" s="32" t="str">
        <f>IF($P4467="","",$B4467/$P4467-1)</f>
        <v/>
      </c>
    </row>
    <row r="4468">
      <c r="A4468" s="11" t="n"/>
      <c r="B4468" s="29" t="n"/>
      <c r="K4468" s="30" t="str">
        <f>IF($A4468="","",EDATE($A4468,12*$E$4))</f>
        <v/>
      </c>
      <c r="L4468" s="19" t="str">
        <f>IF($K4468="","",IF($K4468&gt;MAX($A$8:$A$5007),"",IFERROR(MATCH($K4468,$A$8:$A$5007,1),"")))</f>
        <v/>
      </c>
      <c r="M4468" s="30" t="str">
        <f>IF($L4468="","",INDEX($A$8:$A$5007,$L4468))</f>
        <v/>
      </c>
      <c r="N4468" s="31" t="str">
        <f>IF($L4468="","",INDEX($B$8:$B$5007,$L4468))</f>
        <v/>
      </c>
      <c r="O4468" s="32" t="str">
        <f>IF($M4468="","",IF($K4468-$M4468&gt;7,"",IF($M4468&lt;=$A4468,"",IF(OR($B4468&lt;=0,$N4468&lt;=0),"",($N4468/$B4468)^(365/($M4468-$A4468))-1))))</f>
        <v/>
      </c>
      <c r="P4468" s="31" t="str">
        <f>IF($B4468="","",IF($P4467="",$B4468,MAX($P4467,$B4468)))</f>
        <v/>
      </c>
      <c r="Q4468" s="32" t="str">
        <f>IF($P4468="","",$B4468/$P4468-1)</f>
        <v/>
      </c>
    </row>
    <row r="4469">
      <c r="A4469" s="11" t="n"/>
      <c r="B4469" s="29" t="n"/>
      <c r="K4469" s="30" t="str">
        <f>IF($A4469="","",EDATE($A4469,12*$E$4))</f>
        <v/>
      </c>
      <c r="L4469" s="19" t="str">
        <f>IF($K4469="","",IF($K4469&gt;MAX($A$8:$A$5007),"",IFERROR(MATCH($K4469,$A$8:$A$5007,1),"")))</f>
        <v/>
      </c>
      <c r="M4469" s="30" t="str">
        <f>IF($L4469="","",INDEX($A$8:$A$5007,$L4469))</f>
        <v/>
      </c>
      <c r="N4469" s="31" t="str">
        <f>IF($L4469="","",INDEX($B$8:$B$5007,$L4469))</f>
        <v/>
      </c>
      <c r="O4469" s="32" t="str">
        <f>IF($M4469="","",IF($K4469-$M4469&gt;7,"",IF($M4469&lt;=$A4469,"",IF(OR($B4469&lt;=0,$N4469&lt;=0),"",($N4469/$B4469)^(365/($M4469-$A4469))-1))))</f>
        <v/>
      </c>
      <c r="P4469" s="31" t="str">
        <f>IF($B4469="","",IF($P4468="",$B4469,MAX($P4468,$B4469)))</f>
        <v/>
      </c>
      <c r="Q4469" s="32" t="str">
        <f>IF($P4469="","",$B4469/$P4469-1)</f>
        <v/>
      </c>
    </row>
    <row r="4470">
      <c r="A4470" s="11" t="n"/>
      <c r="B4470" s="29" t="n"/>
      <c r="K4470" s="30" t="str">
        <f>IF($A4470="","",EDATE($A4470,12*$E$4))</f>
        <v/>
      </c>
      <c r="L4470" s="19" t="str">
        <f>IF($K4470="","",IF($K4470&gt;MAX($A$8:$A$5007),"",IFERROR(MATCH($K4470,$A$8:$A$5007,1),"")))</f>
        <v/>
      </c>
      <c r="M4470" s="30" t="str">
        <f>IF($L4470="","",INDEX($A$8:$A$5007,$L4470))</f>
        <v/>
      </c>
      <c r="N4470" s="31" t="str">
        <f>IF($L4470="","",INDEX($B$8:$B$5007,$L4470))</f>
        <v/>
      </c>
      <c r="O4470" s="32" t="str">
        <f>IF($M4470="","",IF($K4470-$M4470&gt;7,"",IF($M4470&lt;=$A4470,"",IF(OR($B4470&lt;=0,$N4470&lt;=0),"",($N4470/$B4470)^(365/($M4470-$A4470))-1))))</f>
        <v/>
      </c>
      <c r="P4470" s="31" t="str">
        <f>IF($B4470="","",IF($P4469="",$B4470,MAX($P4469,$B4470)))</f>
        <v/>
      </c>
      <c r="Q4470" s="32" t="str">
        <f>IF($P4470="","",$B4470/$P4470-1)</f>
        <v/>
      </c>
    </row>
    <row r="4471">
      <c r="A4471" s="11" t="n"/>
      <c r="B4471" s="29" t="n"/>
      <c r="K4471" s="30" t="str">
        <f>IF($A4471="","",EDATE($A4471,12*$E$4))</f>
        <v/>
      </c>
      <c r="L4471" s="19" t="str">
        <f>IF($K4471="","",IF($K4471&gt;MAX($A$8:$A$5007),"",IFERROR(MATCH($K4471,$A$8:$A$5007,1),"")))</f>
        <v/>
      </c>
      <c r="M4471" s="30" t="str">
        <f>IF($L4471="","",INDEX($A$8:$A$5007,$L4471))</f>
        <v/>
      </c>
      <c r="N4471" s="31" t="str">
        <f>IF($L4471="","",INDEX($B$8:$B$5007,$L4471))</f>
        <v/>
      </c>
      <c r="O4471" s="32" t="str">
        <f>IF($M4471="","",IF($K4471-$M4471&gt;7,"",IF($M4471&lt;=$A4471,"",IF(OR($B4471&lt;=0,$N4471&lt;=0),"",($N4471/$B4471)^(365/($M4471-$A4471))-1))))</f>
        <v/>
      </c>
      <c r="P4471" s="31" t="str">
        <f>IF($B4471="","",IF($P4470="",$B4471,MAX($P4470,$B4471)))</f>
        <v/>
      </c>
      <c r="Q4471" s="32" t="str">
        <f>IF($P4471="","",$B4471/$P4471-1)</f>
        <v/>
      </c>
    </row>
    <row r="4472">
      <c r="A4472" s="11" t="n"/>
      <c r="B4472" s="29" t="n"/>
      <c r="K4472" s="30" t="str">
        <f>IF($A4472="","",EDATE($A4472,12*$E$4))</f>
        <v/>
      </c>
      <c r="L4472" s="19" t="str">
        <f>IF($K4472="","",IF($K4472&gt;MAX($A$8:$A$5007),"",IFERROR(MATCH($K4472,$A$8:$A$5007,1),"")))</f>
        <v/>
      </c>
      <c r="M4472" s="30" t="str">
        <f>IF($L4472="","",INDEX($A$8:$A$5007,$L4472))</f>
        <v/>
      </c>
      <c r="N4472" s="31" t="str">
        <f>IF($L4472="","",INDEX($B$8:$B$5007,$L4472))</f>
        <v/>
      </c>
      <c r="O4472" s="32" t="str">
        <f>IF($M4472="","",IF($K4472-$M4472&gt;7,"",IF($M4472&lt;=$A4472,"",IF(OR($B4472&lt;=0,$N4472&lt;=0),"",($N4472/$B4472)^(365/($M4472-$A4472))-1))))</f>
        <v/>
      </c>
      <c r="P4472" s="31" t="str">
        <f>IF($B4472="","",IF($P4471="",$B4472,MAX($P4471,$B4472)))</f>
        <v/>
      </c>
      <c r="Q4472" s="32" t="str">
        <f>IF($P4472="","",$B4472/$P4472-1)</f>
        <v/>
      </c>
    </row>
    <row r="4473">
      <c r="A4473" s="11" t="n"/>
      <c r="B4473" s="29" t="n"/>
      <c r="K4473" s="30" t="str">
        <f>IF($A4473="","",EDATE($A4473,12*$E$4))</f>
        <v/>
      </c>
      <c r="L4473" s="19" t="str">
        <f>IF($K4473="","",IF($K4473&gt;MAX($A$8:$A$5007),"",IFERROR(MATCH($K4473,$A$8:$A$5007,1),"")))</f>
        <v/>
      </c>
      <c r="M4473" s="30" t="str">
        <f>IF($L4473="","",INDEX($A$8:$A$5007,$L4473))</f>
        <v/>
      </c>
      <c r="N4473" s="31" t="str">
        <f>IF($L4473="","",INDEX($B$8:$B$5007,$L4473))</f>
        <v/>
      </c>
      <c r="O4473" s="32" t="str">
        <f>IF($M4473="","",IF($K4473-$M4473&gt;7,"",IF($M4473&lt;=$A4473,"",IF(OR($B4473&lt;=0,$N4473&lt;=0),"",($N4473/$B4473)^(365/($M4473-$A4473))-1))))</f>
        <v/>
      </c>
      <c r="P4473" s="31" t="str">
        <f>IF($B4473="","",IF($P4472="",$B4473,MAX($P4472,$B4473)))</f>
        <v/>
      </c>
      <c r="Q4473" s="32" t="str">
        <f>IF($P4473="","",$B4473/$P4473-1)</f>
        <v/>
      </c>
    </row>
    <row r="4474">
      <c r="A4474" s="11" t="n"/>
      <c r="B4474" s="29" t="n"/>
      <c r="K4474" s="30" t="str">
        <f>IF($A4474="","",EDATE($A4474,12*$E$4))</f>
        <v/>
      </c>
      <c r="L4474" s="19" t="str">
        <f>IF($K4474="","",IF($K4474&gt;MAX($A$8:$A$5007),"",IFERROR(MATCH($K4474,$A$8:$A$5007,1),"")))</f>
        <v/>
      </c>
      <c r="M4474" s="30" t="str">
        <f>IF($L4474="","",INDEX($A$8:$A$5007,$L4474))</f>
        <v/>
      </c>
      <c r="N4474" s="31" t="str">
        <f>IF($L4474="","",INDEX($B$8:$B$5007,$L4474))</f>
        <v/>
      </c>
      <c r="O4474" s="32" t="str">
        <f>IF($M4474="","",IF($K4474-$M4474&gt;7,"",IF($M4474&lt;=$A4474,"",IF(OR($B4474&lt;=0,$N4474&lt;=0),"",($N4474/$B4474)^(365/($M4474-$A4474))-1))))</f>
        <v/>
      </c>
      <c r="P4474" s="31" t="str">
        <f>IF($B4474="","",IF($P4473="",$B4474,MAX($P4473,$B4474)))</f>
        <v/>
      </c>
      <c r="Q4474" s="32" t="str">
        <f>IF($P4474="","",$B4474/$P4474-1)</f>
        <v/>
      </c>
    </row>
    <row r="4475">
      <c r="A4475" s="11" t="n"/>
      <c r="B4475" s="29" t="n"/>
      <c r="K4475" s="30" t="str">
        <f>IF($A4475="","",EDATE($A4475,12*$E$4))</f>
        <v/>
      </c>
      <c r="L4475" s="19" t="str">
        <f>IF($K4475="","",IF($K4475&gt;MAX($A$8:$A$5007),"",IFERROR(MATCH($K4475,$A$8:$A$5007,1),"")))</f>
        <v/>
      </c>
      <c r="M4475" s="30" t="str">
        <f>IF($L4475="","",INDEX($A$8:$A$5007,$L4475))</f>
        <v/>
      </c>
      <c r="N4475" s="31" t="str">
        <f>IF($L4475="","",INDEX($B$8:$B$5007,$L4475))</f>
        <v/>
      </c>
      <c r="O4475" s="32" t="str">
        <f>IF($M4475="","",IF($K4475-$M4475&gt;7,"",IF($M4475&lt;=$A4475,"",IF(OR($B4475&lt;=0,$N4475&lt;=0),"",($N4475/$B4475)^(365/($M4475-$A4475))-1))))</f>
        <v/>
      </c>
      <c r="P4475" s="31" t="str">
        <f>IF($B4475="","",IF($P4474="",$B4475,MAX($P4474,$B4475)))</f>
        <v/>
      </c>
      <c r="Q4475" s="32" t="str">
        <f>IF($P4475="","",$B4475/$P4475-1)</f>
        <v/>
      </c>
    </row>
    <row r="4476">
      <c r="A4476" s="11" t="n"/>
      <c r="B4476" s="29" t="n"/>
      <c r="K4476" s="30" t="str">
        <f>IF($A4476="","",EDATE($A4476,12*$E$4))</f>
        <v/>
      </c>
      <c r="L4476" s="19" t="str">
        <f>IF($K4476="","",IF($K4476&gt;MAX($A$8:$A$5007),"",IFERROR(MATCH($K4476,$A$8:$A$5007,1),"")))</f>
        <v/>
      </c>
      <c r="M4476" s="30" t="str">
        <f>IF($L4476="","",INDEX($A$8:$A$5007,$L4476))</f>
        <v/>
      </c>
      <c r="N4476" s="31" t="str">
        <f>IF($L4476="","",INDEX($B$8:$B$5007,$L4476))</f>
        <v/>
      </c>
      <c r="O4476" s="32" t="str">
        <f>IF($M4476="","",IF($K4476-$M4476&gt;7,"",IF($M4476&lt;=$A4476,"",IF(OR($B4476&lt;=0,$N4476&lt;=0),"",($N4476/$B4476)^(365/($M4476-$A4476))-1))))</f>
        <v/>
      </c>
      <c r="P4476" s="31" t="str">
        <f>IF($B4476="","",IF($P4475="",$B4476,MAX($P4475,$B4476)))</f>
        <v/>
      </c>
      <c r="Q4476" s="32" t="str">
        <f>IF($P4476="","",$B4476/$P4476-1)</f>
        <v/>
      </c>
    </row>
    <row r="4477">
      <c r="A4477" s="11" t="n"/>
      <c r="B4477" s="29" t="n"/>
      <c r="K4477" s="30" t="str">
        <f>IF($A4477="","",EDATE($A4477,12*$E$4))</f>
        <v/>
      </c>
      <c r="L4477" s="19" t="str">
        <f>IF($K4477="","",IF($K4477&gt;MAX($A$8:$A$5007),"",IFERROR(MATCH($K4477,$A$8:$A$5007,1),"")))</f>
        <v/>
      </c>
      <c r="M4477" s="30" t="str">
        <f>IF($L4477="","",INDEX($A$8:$A$5007,$L4477))</f>
        <v/>
      </c>
      <c r="N4477" s="31" t="str">
        <f>IF($L4477="","",INDEX($B$8:$B$5007,$L4477))</f>
        <v/>
      </c>
      <c r="O4477" s="32" t="str">
        <f>IF($M4477="","",IF($K4477-$M4477&gt;7,"",IF($M4477&lt;=$A4477,"",IF(OR($B4477&lt;=0,$N4477&lt;=0),"",($N4477/$B4477)^(365/($M4477-$A4477))-1))))</f>
        <v/>
      </c>
      <c r="P4477" s="31" t="str">
        <f>IF($B4477="","",IF($P4476="",$B4477,MAX($P4476,$B4477)))</f>
        <v/>
      </c>
      <c r="Q4477" s="32" t="str">
        <f>IF($P4477="","",$B4477/$P4477-1)</f>
        <v/>
      </c>
    </row>
    <row r="4478">
      <c r="A4478" s="11" t="n"/>
      <c r="B4478" s="29" t="n"/>
      <c r="K4478" s="30" t="str">
        <f>IF($A4478="","",EDATE($A4478,12*$E$4))</f>
        <v/>
      </c>
      <c r="L4478" s="19" t="str">
        <f>IF($K4478="","",IF($K4478&gt;MAX($A$8:$A$5007),"",IFERROR(MATCH($K4478,$A$8:$A$5007,1),"")))</f>
        <v/>
      </c>
      <c r="M4478" s="30" t="str">
        <f>IF($L4478="","",INDEX($A$8:$A$5007,$L4478))</f>
        <v/>
      </c>
      <c r="N4478" s="31" t="str">
        <f>IF($L4478="","",INDEX($B$8:$B$5007,$L4478))</f>
        <v/>
      </c>
      <c r="O4478" s="32" t="str">
        <f>IF($M4478="","",IF($K4478-$M4478&gt;7,"",IF($M4478&lt;=$A4478,"",IF(OR($B4478&lt;=0,$N4478&lt;=0),"",($N4478/$B4478)^(365/($M4478-$A4478))-1))))</f>
        <v/>
      </c>
      <c r="P4478" s="31" t="str">
        <f>IF($B4478="","",IF($P4477="",$B4478,MAX($P4477,$B4478)))</f>
        <v/>
      </c>
      <c r="Q4478" s="32" t="str">
        <f>IF($P4478="","",$B4478/$P4478-1)</f>
        <v/>
      </c>
    </row>
    <row r="4479">
      <c r="A4479" s="11" t="n"/>
      <c r="B4479" s="29" t="n"/>
      <c r="K4479" s="30" t="str">
        <f>IF($A4479="","",EDATE($A4479,12*$E$4))</f>
        <v/>
      </c>
      <c r="L4479" s="19" t="str">
        <f>IF($K4479="","",IF($K4479&gt;MAX($A$8:$A$5007),"",IFERROR(MATCH($K4479,$A$8:$A$5007,1),"")))</f>
        <v/>
      </c>
      <c r="M4479" s="30" t="str">
        <f>IF($L4479="","",INDEX($A$8:$A$5007,$L4479))</f>
        <v/>
      </c>
      <c r="N4479" s="31" t="str">
        <f>IF($L4479="","",INDEX($B$8:$B$5007,$L4479))</f>
        <v/>
      </c>
      <c r="O4479" s="32" t="str">
        <f>IF($M4479="","",IF($K4479-$M4479&gt;7,"",IF($M4479&lt;=$A4479,"",IF(OR($B4479&lt;=0,$N4479&lt;=0),"",($N4479/$B4479)^(365/($M4479-$A4479))-1))))</f>
        <v/>
      </c>
      <c r="P4479" s="31" t="str">
        <f>IF($B4479="","",IF($P4478="",$B4479,MAX($P4478,$B4479)))</f>
        <v/>
      </c>
      <c r="Q4479" s="32" t="str">
        <f>IF($P4479="","",$B4479/$P4479-1)</f>
        <v/>
      </c>
    </row>
    <row r="4480">
      <c r="A4480" s="11" t="n"/>
      <c r="B4480" s="29" t="n"/>
      <c r="K4480" s="30" t="str">
        <f>IF($A4480="","",EDATE($A4480,12*$E$4))</f>
        <v/>
      </c>
      <c r="L4480" s="19" t="str">
        <f>IF($K4480="","",IF($K4480&gt;MAX($A$8:$A$5007),"",IFERROR(MATCH($K4480,$A$8:$A$5007,1),"")))</f>
        <v/>
      </c>
      <c r="M4480" s="30" t="str">
        <f>IF($L4480="","",INDEX($A$8:$A$5007,$L4480))</f>
        <v/>
      </c>
      <c r="N4480" s="31" t="str">
        <f>IF($L4480="","",INDEX($B$8:$B$5007,$L4480))</f>
        <v/>
      </c>
      <c r="O4480" s="32" t="str">
        <f>IF($M4480="","",IF($K4480-$M4480&gt;7,"",IF($M4480&lt;=$A4480,"",IF(OR($B4480&lt;=0,$N4480&lt;=0),"",($N4480/$B4480)^(365/($M4480-$A4480))-1))))</f>
        <v/>
      </c>
      <c r="P4480" s="31" t="str">
        <f>IF($B4480="","",IF($P4479="",$B4480,MAX($P4479,$B4480)))</f>
        <v/>
      </c>
      <c r="Q4480" s="32" t="str">
        <f>IF($P4480="","",$B4480/$P4480-1)</f>
        <v/>
      </c>
    </row>
    <row r="4481">
      <c r="A4481" s="11" t="n"/>
      <c r="B4481" s="29" t="n"/>
      <c r="K4481" s="30" t="str">
        <f>IF($A4481="","",EDATE($A4481,12*$E$4))</f>
        <v/>
      </c>
      <c r="L4481" s="19" t="str">
        <f>IF($K4481="","",IF($K4481&gt;MAX($A$8:$A$5007),"",IFERROR(MATCH($K4481,$A$8:$A$5007,1),"")))</f>
        <v/>
      </c>
      <c r="M4481" s="30" t="str">
        <f>IF($L4481="","",INDEX($A$8:$A$5007,$L4481))</f>
        <v/>
      </c>
      <c r="N4481" s="31" t="str">
        <f>IF($L4481="","",INDEX($B$8:$B$5007,$L4481))</f>
        <v/>
      </c>
      <c r="O4481" s="32" t="str">
        <f>IF($M4481="","",IF($K4481-$M4481&gt;7,"",IF($M4481&lt;=$A4481,"",IF(OR($B4481&lt;=0,$N4481&lt;=0),"",($N4481/$B4481)^(365/($M4481-$A4481))-1))))</f>
        <v/>
      </c>
      <c r="P4481" s="31" t="str">
        <f>IF($B4481="","",IF($P4480="",$B4481,MAX($P4480,$B4481)))</f>
        <v/>
      </c>
      <c r="Q4481" s="32" t="str">
        <f>IF($P4481="","",$B4481/$P4481-1)</f>
        <v/>
      </c>
    </row>
    <row r="4482">
      <c r="A4482" s="11" t="n"/>
      <c r="B4482" s="29" t="n"/>
      <c r="K4482" s="30" t="str">
        <f>IF($A4482="","",EDATE($A4482,12*$E$4))</f>
        <v/>
      </c>
      <c r="L4482" s="19" t="str">
        <f>IF($K4482="","",IF($K4482&gt;MAX($A$8:$A$5007),"",IFERROR(MATCH($K4482,$A$8:$A$5007,1),"")))</f>
        <v/>
      </c>
      <c r="M4482" s="30" t="str">
        <f>IF($L4482="","",INDEX($A$8:$A$5007,$L4482))</f>
        <v/>
      </c>
      <c r="N4482" s="31" t="str">
        <f>IF($L4482="","",INDEX($B$8:$B$5007,$L4482))</f>
        <v/>
      </c>
      <c r="O4482" s="32" t="str">
        <f>IF($M4482="","",IF($K4482-$M4482&gt;7,"",IF($M4482&lt;=$A4482,"",IF(OR($B4482&lt;=0,$N4482&lt;=0),"",($N4482/$B4482)^(365/($M4482-$A4482))-1))))</f>
        <v/>
      </c>
      <c r="P4482" s="31" t="str">
        <f>IF($B4482="","",IF($P4481="",$B4482,MAX($P4481,$B4482)))</f>
        <v/>
      </c>
      <c r="Q4482" s="32" t="str">
        <f>IF($P4482="","",$B4482/$P4482-1)</f>
        <v/>
      </c>
    </row>
    <row r="4483">
      <c r="A4483" s="11" t="n"/>
      <c r="B4483" s="29" t="n"/>
      <c r="K4483" s="30" t="str">
        <f>IF($A4483="","",EDATE($A4483,12*$E$4))</f>
        <v/>
      </c>
      <c r="L4483" s="19" t="str">
        <f>IF($K4483="","",IF($K4483&gt;MAX($A$8:$A$5007),"",IFERROR(MATCH($K4483,$A$8:$A$5007,1),"")))</f>
        <v/>
      </c>
      <c r="M4483" s="30" t="str">
        <f>IF($L4483="","",INDEX($A$8:$A$5007,$L4483))</f>
        <v/>
      </c>
      <c r="N4483" s="31" t="str">
        <f>IF($L4483="","",INDEX($B$8:$B$5007,$L4483))</f>
        <v/>
      </c>
      <c r="O4483" s="32" t="str">
        <f>IF($M4483="","",IF($K4483-$M4483&gt;7,"",IF($M4483&lt;=$A4483,"",IF(OR($B4483&lt;=0,$N4483&lt;=0),"",($N4483/$B4483)^(365/($M4483-$A4483))-1))))</f>
        <v/>
      </c>
      <c r="P4483" s="31" t="str">
        <f>IF($B4483="","",IF($P4482="",$B4483,MAX($P4482,$B4483)))</f>
        <v/>
      </c>
      <c r="Q4483" s="32" t="str">
        <f>IF($P4483="","",$B4483/$P4483-1)</f>
        <v/>
      </c>
    </row>
    <row r="4484">
      <c r="A4484" s="11" t="n"/>
      <c r="B4484" s="29" t="n"/>
      <c r="K4484" s="30" t="str">
        <f>IF($A4484="","",EDATE($A4484,12*$E$4))</f>
        <v/>
      </c>
      <c r="L4484" s="19" t="str">
        <f>IF($K4484="","",IF($K4484&gt;MAX($A$8:$A$5007),"",IFERROR(MATCH($K4484,$A$8:$A$5007,1),"")))</f>
        <v/>
      </c>
      <c r="M4484" s="30" t="str">
        <f>IF($L4484="","",INDEX($A$8:$A$5007,$L4484))</f>
        <v/>
      </c>
      <c r="N4484" s="31" t="str">
        <f>IF($L4484="","",INDEX($B$8:$B$5007,$L4484))</f>
        <v/>
      </c>
      <c r="O4484" s="32" t="str">
        <f>IF($M4484="","",IF($K4484-$M4484&gt;7,"",IF($M4484&lt;=$A4484,"",IF(OR($B4484&lt;=0,$N4484&lt;=0),"",($N4484/$B4484)^(365/($M4484-$A4484))-1))))</f>
        <v/>
      </c>
      <c r="P4484" s="31" t="str">
        <f>IF($B4484="","",IF($P4483="",$B4484,MAX($P4483,$B4484)))</f>
        <v/>
      </c>
      <c r="Q4484" s="32" t="str">
        <f>IF($P4484="","",$B4484/$P4484-1)</f>
        <v/>
      </c>
    </row>
    <row r="4485">
      <c r="A4485" s="11" t="n"/>
      <c r="B4485" s="29" t="n"/>
      <c r="K4485" s="30" t="str">
        <f>IF($A4485="","",EDATE($A4485,12*$E$4))</f>
        <v/>
      </c>
      <c r="L4485" s="19" t="str">
        <f>IF($K4485="","",IF($K4485&gt;MAX($A$8:$A$5007),"",IFERROR(MATCH($K4485,$A$8:$A$5007,1),"")))</f>
        <v/>
      </c>
      <c r="M4485" s="30" t="str">
        <f>IF($L4485="","",INDEX($A$8:$A$5007,$L4485))</f>
        <v/>
      </c>
      <c r="N4485" s="31" t="str">
        <f>IF($L4485="","",INDEX($B$8:$B$5007,$L4485))</f>
        <v/>
      </c>
      <c r="O4485" s="32" t="str">
        <f>IF($M4485="","",IF($K4485-$M4485&gt;7,"",IF($M4485&lt;=$A4485,"",IF(OR($B4485&lt;=0,$N4485&lt;=0),"",($N4485/$B4485)^(365/($M4485-$A4485))-1))))</f>
        <v/>
      </c>
      <c r="P4485" s="31" t="str">
        <f>IF($B4485="","",IF($P4484="",$B4485,MAX($P4484,$B4485)))</f>
        <v/>
      </c>
      <c r="Q4485" s="32" t="str">
        <f>IF($P4485="","",$B4485/$P4485-1)</f>
        <v/>
      </c>
    </row>
    <row r="4486">
      <c r="A4486" s="11" t="n"/>
      <c r="B4486" s="29" t="n"/>
      <c r="K4486" s="30" t="str">
        <f>IF($A4486="","",EDATE($A4486,12*$E$4))</f>
        <v/>
      </c>
      <c r="L4486" s="19" t="str">
        <f>IF($K4486="","",IF($K4486&gt;MAX($A$8:$A$5007),"",IFERROR(MATCH($K4486,$A$8:$A$5007,1),"")))</f>
        <v/>
      </c>
      <c r="M4486" s="30" t="str">
        <f>IF($L4486="","",INDEX($A$8:$A$5007,$L4486))</f>
        <v/>
      </c>
      <c r="N4486" s="31" t="str">
        <f>IF($L4486="","",INDEX($B$8:$B$5007,$L4486))</f>
        <v/>
      </c>
      <c r="O4486" s="32" t="str">
        <f>IF($M4486="","",IF($K4486-$M4486&gt;7,"",IF($M4486&lt;=$A4486,"",IF(OR($B4486&lt;=0,$N4486&lt;=0),"",($N4486/$B4486)^(365/($M4486-$A4486))-1))))</f>
        <v/>
      </c>
      <c r="P4486" s="31" t="str">
        <f>IF($B4486="","",IF($P4485="",$B4486,MAX($P4485,$B4486)))</f>
        <v/>
      </c>
      <c r="Q4486" s="32" t="str">
        <f>IF($P4486="","",$B4486/$P4486-1)</f>
        <v/>
      </c>
    </row>
    <row r="4487">
      <c r="A4487" s="11" t="n"/>
      <c r="B4487" s="29" t="n"/>
      <c r="K4487" s="30" t="str">
        <f>IF($A4487="","",EDATE($A4487,12*$E$4))</f>
        <v/>
      </c>
      <c r="L4487" s="19" t="str">
        <f>IF($K4487="","",IF($K4487&gt;MAX($A$8:$A$5007),"",IFERROR(MATCH($K4487,$A$8:$A$5007,1),"")))</f>
        <v/>
      </c>
      <c r="M4487" s="30" t="str">
        <f>IF($L4487="","",INDEX($A$8:$A$5007,$L4487))</f>
        <v/>
      </c>
      <c r="N4487" s="31" t="str">
        <f>IF($L4487="","",INDEX($B$8:$B$5007,$L4487))</f>
        <v/>
      </c>
      <c r="O4487" s="32" t="str">
        <f>IF($M4487="","",IF($K4487-$M4487&gt;7,"",IF($M4487&lt;=$A4487,"",IF(OR($B4487&lt;=0,$N4487&lt;=0),"",($N4487/$B4487)^(365/($M4487-$A4487))-1))))</f>
        <v/>
      </c>
      <c r="P4487" s="31" t="str">
        <f>IF($B4487="","",IF($P4486="",$B4487,MAX($P4486,$B4487)))</f>
        <v/>
      </c>
      <c r="Q4487" s="32" t="str">
        <f>IF($P4487="","",$B4487/$P4487-1)</f>
        <v/>
      </c>
    </row>
    <row r="4488">
      <c r="A4488" s="11" t="n"/>
      <c r="B4488" s="29" t="n"/>
      <c r="K4488" s="30" t="str">
        <f>IF($A4488="","",EDATE($A4488,12*$E$4))</f>
        <v/>
      </c>
      <c r="L4488" s="19" t="str">
        <f>IF($K4488="","",IF($K4488&gt;MAX($A$8:$A$5007),"",IFERROR(MATCH($K4488,$A$8:$A$5007,1),"")))</f>
        <v/>
      </c>
      <c r="M4488" s="30" t="str">
        <f>IF($L4488="","",INDEX($A$8:$A$5007,$L4488))</f>
        <v/>
      </c>
      <c r="N4488" s="31" t="str">
        <f>IF($L4488="","",INDEX($B$8:$B$5007,$L4488))</f>
        <v/>
      </c>
      <c r="O4488" s="32" t="str">
        <f>IF($M4488="","",IF($K4488-$M4488&gt;7,"",IF($M4488&lt;=$A4488,"",IF(OR($B4488&lt;=0,$N4488&lt;=0),"",($N4488/$B4488)^(365/($M4488-$A4488))-1))))</f>
        <v/>
      </c>
      <c r="P4488" s="31" t="str">
        <f>IF($B4488="","",IF($P4487="",$B4488,MAX($P4487,$B4488)))</f>
        <v/>
      </c>
      <c r="Q4488" s="32" t="str">
        <f>IF($P4488="","",$B4488/$P4488-1)</f>
        <v/>
      </c>
    </row>
    <row r="4489">
      <c r="A4489" s="11" t="n"/>
      <c r="B4489" s="29" t="n"/>
      <c r="K4489" s="30" t="str">
        <f>IF($A4489="","",EDATE($A4489,12*$E$4))</f>
        <v/>
      </c>
      <c r="L4489" s="19" t="str">
        <f>IF($K4489="","",IF($K4489&gt;MAX($A$8:$A$5007),"",IFERROR(MATCH($K4489,$A$8:$A$5007,1),"")))</f>
        <v/>
      </c>
      <c r="M4489" s="30" t="str">
        <f>IF($L4489="","",INDEX($A$8:$A$5007,$L4489))</f>
        <v/>
      </c>
      <c r="N4489" s="31" t="str">
        <f>IF($L4489="","",INDEX($B$8:$B$5007,$L4489))</f>
        <v/>
      </c>
      <c r="O4489" s="32" t="str">
        <f>IF($M4489="","",IF($K4489-$M4489&gt;7,"",IF($M4489&lt;=$A4489,"",IF(OR($B4489&lt;=0,$N4489&lt;=0),"",($N4489/$B4489)^(365/($M4489-$A4489))-1))))</f>
        <v/>
      </c>
      <c r="P4489" s="31" t="str">
        <f>IF($B4489="","",IF($P4488="",$B4489,MAX($P4488,$B4489)))</f>
        <v/>
      </c>
      <c r="Q4489" s="32" t="str">
        <f>IF($P4489="","",$B4489/$P4489-1)</f>
        <v/>
      </c>
    </row>
    <row r="4490">
      <c r="A4490" s="11" t="n"/>
      <c r="B4490" s="29" t="n"/>
      <c r="K4490" s="30" t="str">
        <f>IF($A4490="","",EDATE($A4490,12*$E$4))</f>
        <v/>
      </c>
      <c r="L4490" s="19" t="str">
        <f>IF($K4490="","",IF($K4490&gt;MAX($A$8:$A$5007),"",IFERROR(MATCH($K4490,$A$8:$A$5007,1),"")))</f>
        <v/>
      </c>
      <c r="M4490" s="30" t="str">
        <f>IF($L4490="","",INDEX($A$8:$A$5007,$L4490))</f>
        <v/>
      </c>
      <c r="N4490" s="31" t="str">
        <f>IF($L4490="","",INDEX($B$8:$B$5007,$L4490))</f>
        <v/>
      </c>
      <c r="O4490" s="32" t="str">
        <f>IF($M4490="","",IF($K4490-$M4490&gt;7,"",IF($M4490&lt;=$A4490,"",IF(OR($B4490&lt;=0,$N4490&lt;=0),"",($N4490/$B4490)^(365/($M4490-$A4490))-1))))</f>
        <v/>
      </c>
      <c r="P4490" s="31" t="str">
        <f>IF($B4490="","",IF($P4489="",$B4490,MAX($P4489,$B4490)))</f>
        <v/>
      </c>
      <c r="Q4490" s="32" t="str">
        <f>IF($P4490="","",$B4490/$P4490-1)</f>
        <v/>
      </c>
    </row>
    <row r="4491">
      <c r="A4491" s="11" t="n"/>
      <c r="B4491" s="29" t="n"/>
      <c r="K4491" s="30" t="str">
        <f>IF($A4491="","",EDATE($A4491,12*$E$4))</f>
        <v/>
      </c>
      <c r="L4491" s="19" t="str">
        <f>IF($K4491="","",IF($K4491&gt;MAX($A$8:$A$5007),"",IFERROR(MATCH($K4491,$A$8:$A$5007,1),"")))</f>
        <v/>
      </c>
      <c r="M4491" s="30" t="str">
        <f>IF($L4491="","",INDEX($A$8:$A$5007,$L4491))</f>
        <v/>
      </c>
      <c r="N4491" s="31" t="str">
        <f>IF($L4491="","",INDEX($B$8:$B$5007,$L4491))</f>
        <v/>
      </c>
      <c r="O4491" s="32" t="str">
        <f>IF($M4491="","",IF($K4491-$M4491&gt;7,"",IF($M4491&lt;=$A4491,"",IF(OR($B4491&lt;=0,$N4491&lt;=0),"",($N4491/$B4491)^(365/($M4491-$A4491))-1))))</f>
        <v/>
      </c>
      <c r="P4491" s="31" t="str">
        <f>IF($B4491="","",IF($P4490="",$B4491,MAX($P4490,$B4491)))</f>
        <v/>
      </c>
      <c r="Q4491" s="32" t="str">
        <f>IF($P4491="","",$B4491/$P4491-1)</f>
        <v/>
      </c>
    </row>
    <row r="4492">
      <c r="A4492" s="11" t="n"/>
      <c r="B4492" s="29" t="n"/>
      <c r="K4492" s="30" t="str">
        <f>IF($A4492="","",EDATE($A4492,12*$E$4))</f>
        <v/>
      </c>
      <c r="L4492" s="19" t="str">
        <f>IF($K4492="","",IF($K4492&gt;MAX($A$8:$A$5007),"",IFERROR(MATCH($K4492,$A$8:$A$5007,1),"")))</f>
        <v/>
      </c>
      <c r="M4492" s="30" t="str">
        <f>IF($L4492="","",INDEX($A$8:$A$5007,$L4492))</f>
        <v/>
      </c>
      <c r="N4492" s="31" t="str">
        <f>IF($L4492="","",INDEX($B$8:$B$5007,$L4492))</f>
        <v/>
      </c>
      <c r="O4492" s="32" t="str">
        <f>IF($M4492="","",IF($K4492-$M4492&gt;7,"",IF($M4492&lt;=$A4492,"",IF(OR($B4492&lt;=0,$N4492&lt;=0),"",($N4492/$B4492)^(365/($M4492-$A4492))-1))))</f>
        <v/>
      </c>
      <c r="P4492" s="31" t="str">
        <f>IF($B4492="","",IF($P4491="",$B4492,MAX($P4491,$B4492)))</f>
        <v/>
      </c>
      <c r="Q4492" s="32" t="str">
        <f>IF($P4492="","",$B4492/$P4492-1)</f>
        <v/>
      </c>
    </row>
    <row r="4493">
      <c r="A4493" s="11" t="n"/>
      <c r="B4493" s="29" t="n"/>
      <c r="K4493" s="30" t="str">
        <f>IF($A4493="","",EDATE($A4493,12*$E$4))</f>
        <v/>
      </c>
      <c r="L4493" s="19" t="str">
        <f>IF($K4493="","",IF($K4493&gt;MAX($A$8:$A$5007),"",IFERROR(MATCH($K4493,$A$8:$A$5007,1),"")))</f>
        <v/>
      </c>
      <c r="M4493" s="30" t="str">
        <f>IF($L4493="","",INDEX($A$8:$A$5007,$L4493))</f>
        <v/>
      </c>
      <c r="N4493" s="31" t="str">
        <f>IF($L4493="","",INDEX($B$8:$B$5007,$L4493))</f>
        <v/>
      </c>
      <c r="O4493" s="32" t="str">
        <f>IF($M4493="","",IF($K4493-$M4493&gt;7,"",IF($M4493&lt;=$A4493,"",IF(OR($B4493&lt;=0,$N4493&lt;=0),"",($N4493/$B4493)^(365/($M4493-$A4493))-1))))</f>
        <v/>
      </c>
      <c r="P4493" s="31" t="str">
        <f>IF($B4493="","",IF($P4492="",$B4493,MAX($P4492,$B4493)))</f>
        <v/>
      </c>
      <c r="Q4493" s="32" t="str">
        <f>IF($P4493="","",$B4493/$P4493-1)</f>
        <v/>
      </c>
    </row>
    <row r="4494">
      <c r="A4494" s="11" t="n"/>
      <c r="B4494" s="29" t="n"/>
      <c r="K4494" s="30" t="str">
        <f>IF($A4494="","",EDATE($A4494,12*$E$4))</f>
        <v/>
      </c>
      <c r="L4494" s="19" t="str">
        <f>IF($K4494="","",IF($K4494&gt;MAX($A$8:$A$5007),"",IFERROR(MATCH($K4494,$A$8:$A$5007,1),"")))</f>
        <v/>
      </c>
      <c r="M4494" s="30" t="str">
        <f>IF($L4494="","",INDEX($A$8:$A$5007,$L4494))</f>
        <v/>
      </c>
      <c r="N4494" s="31" t="str">
        <f>IF($L4494="","",INDEX($B$8:$B$5007,$L4494))</f>
        <v/>
      </c>
      <c r="O4494" s="32" t="str">
        <f>IF($M4494="","",IF($K4494-$M4494&gt;7,"",IF($M4494&lt;=$A4494,"",IF(OR($B4494&lt;=0,$N4494&lt;=0),"",($N4494/$B4494)^(365/($M4494-$A4494))-1))))</f>
        <v/>
      </c>
      <c r="P4494" s="31" t="str">
        <f>IF($B4494="","",IF($P4493="",$B4494,MAX($P4493,$B4494)))</f>
        <v/>
      </c>
      <c r="Q4494" s="32" t="str">
        <f>IF($P4494="","",$B4494/$P4494-1)</f>
        <v/>
      </c>
    </row>
    <row r="4495">
      <c r="A4495" s="11" t="n"/>
      <c r="B4495" s="29" t="n"/>
      <c r="K4495" s="30" t="str">
        <f>IF($A4495="","",EDATE($A4495,12*$E$4))</f>
        <v/>
      </c>
      <c r="L4495" s="19" t="str">
        <f>IF($K4495="","",IF($K4495&gt;MAX($A$8:$A$5007),"",IFERROR(MATCH($K4495,$A$8:$A$5007,1),"")))</f>
        <v/>
      </c>
      <c r="M4495" s="30" t="str">
        <f>IF($L4495="","",INDEX($A$8:$A$5007,$L4495))</f>
        <v/>
      </c>
      <c r="N4495" s="31" t="str">
        <f>IF($L4495="","",INDEX($B$8:$B$5007,$L4495))</f>
        <v/>
      </c>
      <c r="O4495" s="32" t="str">
        <f>IF($M4495="","",IF($K4495-$M4495&gt;7,"",IF($M4495&lt;=$A4495,"",IF(OR($B4495&lt;=0,$N4495&lt;=0),"",($N4495/$B4495)^(365/($M4495-$A4495))-1))))</f>
        <v/>
      </c>
      <c r="P4495" s="31" t="str">
        <f>IF($B4495="","",IF($P4494="",$B4495,MAX($P4494,$B4495)))</f>
        <v/>
      </c>
      <c r="Q4495" s="32" t="str">
        <f>IF($P4495="","",$B4495/$P4495-1)</f>
        <v/>
      </c>
    </row>
    <row r="4496">
      <c r="A4496" s="11" t="n"/>
      <c r="B4496" s="29" t="n"/>
      <c r="K4496" s="30" t="str">
        <f>IF($A4496="","",EDATE($A4496,12*$E$4))</f>
        <v/>
      </c>
      <c r="L4496" s="19" t="str">
        <f>IF($K4496="","",IF($K4496&gt;MAX($A$8:$A$5007),"",IFERROR(MATCH($K4496,$A$8:$A$5007,1),"")))</f>
        <v/>
      </c>
      <c r="M4496" s="30" t="str">
        <f>IF($L4496="","",INDEX($A$8:$A$5007,$L4496))</f>
        <v/>
      </c>
      <c r="N4496" s="31" t="str">
        <f>IF($L4496="","",INDEX($B$8:$B$5007,$L4496))</f>
        <v/>
      </c>
      <c r="O4496" s="32" t="str">
        <f>IF($M4496="","",IF($K4496-$M4496&gt;7,"",IF($M4496&lt;=$A4496,"",IF(OR($B4496&lt;=0,$N4496&lt;=0),"",($N4496/$B4496)^(365/($M4496-$A4496))-1))))</f>
        <v/>
      </c>
      <c r="P4496" s="31" t="str">
        <f>IF($B4496="","",IF($P4495="",$B4496,MAX($P4495,$B4496)))</f>
        <v/>
      </c>
      <c r="Q4496" s="32" t="str">
        <f>IF($P4496="","",$B4496/$P4496-1)</f>
        <v/>
      </c>
    </row>
    <row r="4497">
      <c r="A4497" s="11" t="n"/>
      <c r="B4497" s="29" t="n"/>
      <c r="K4497" s="30" t="str">
        <f>IF($A4497="","",EDATE($A4497,12*$E$4))</f>
        <v/>
      </c>
      <c r="L4497" s="19" t="str">
        <f>IF($K4497="","",IF($K4497&gt;MAX($A$8:$A$5007),"",IFERROR(MATCH($K4497,$A$8:$A$5007,1),"")))</f>
        <v/>
      </c>
      <c r="M4497" s="30" t="str">
        <f>IF($L4497="","",INDEX($A$8:$A$5007,$L4497))</f>
        <v/>
      </c>
      <c r="N4497" s="31" t="str">
        <f>IF($L4497="","",INDEX($B$8:$B$5007,$L4497))</f>
        <v/>
      </c>
      <c r="O4497" s="32" t="str">
        <f>IF($M4497="","",IF($K4497-$M4497&gt;7,"",IF($M4497&lt;=$A4497,"",IF(OR($B4497&lt;=0,$N4497&lt;=0),"",($N4497/$B4497)^(365/($M4497-$A4497))-1))))</f>
        <v/>
      </c>
      <c r="P4497" s="31" t="str">
        <f>IF($B4497="","",IF($P4496="",$B4497,MAX($P4496,$B4497)))</f>
        <v/>
      </c>
      <c r="Q4497" s="32" t="str">
        <f>IF($P4497="","",$B4497/$P4497-1)</f>
        <v/>
      </c>
    </row>
    <row r="4498">
      <c r="A4498" s="11" t="n"/>
      <c r="B4498" s="29" t="n"/>
      <c r="K4498" s="30" t="str">
        <f>IF($A4498="","",EDATE($A4498,12*$E$4))</f>
        <v/>
      </c>
      <c r="L4498" s="19" t="str">
        <f>IF($K4498="","",IF($K4498&gt;MAX($A$8:$A$5007),"",IFERROR(MATCH($K4498,$A$8:$A$5007,1),"")))</f>
        <v/>
      </c>
      <c r="M4498" s="30" t="str">
        <f>IF($L4498="","",INDEX($A$8:$A$5007,$L4498))</f>
        <v/>
      </c>
      <c r="N4498" s="31" t="str">
        <f>IF($L4498="","",INDEX($B$8:$B$5007,$L4498))</f>
        <v/>
      </c>
      <c r="O4498" s="32" t="str">
        <f>IF($M4498="","",IF($K4498-$M4498&gt;7,"",IF($M4498&lt;=$A4498,"",IF(OR($B4498&lt;=0,$N4498&lt;=0),"",($N4498/$B4498)^(365/($M4498-$A4498))-1))))</f>
        <v/>
      </c>
      <c r="P4498" s="31" t="str">
        <f>IF($B4498="","",IF($P4497="",$B4498,MAX($P4497,$B4498)))</f>
        <v/>
      </c>
      <c r="Q4498" s="32" t="str">
        <f>IF($P4498="","",$B4498/$P4498-1)</f>
        <v/>
      </c>
    </row>
    <row r="4499">
      <c r="A4499" s="11" t="n"/>
      <c r="B4499" s="29" t="n"/>
      <c r="K4499" s="30" t="str">
        <f>IF($A4499="","",EDATE($A4499,12*$E$4))</f>
        <v/>
      </c>
      <c r="L4499" s="19" t="str">
        <f>IF($K4499="","",IF($K4499&gt;MAX($A$8:$A$5007),"",IFERROR(MATCH($K4499,$A$8:$A$5007,1),"")))</f>
        <v/>
      </c>
      <c r="M4499" s="30" t="str">
        <f>IF($L4499="","",INDEX($A$8:$A$5007,$L4499))</f>
        <v/>
      </c>
      <c r="N4499" s="31" t="str">
        <f>IF($L4499="","",INDEX($B$8:$B$5007,$L4499))</f>
        <v/>
      </c>
      <c r="O4499" s="32" t="str">
        <f>IF($M4499="","",IF($K4499-$M4499&gt;7,"",IF($M4499&lt;=$A4499,"",IF(OR($B4499&lt;=0,$N4499&lt;=0),"",($N4499/$B4499)^(365/($M4499-$A4499))-1))))</f>
        <v/>
      </c>
      <c r="P4499" s="31" t="str">
        <f>IF($B4499="","",IF($P4498="",$B4499,MAX($P4498,$B4499)))</f>
        <v/>
      </c>
      <c r="Q4499" s="32" t="str">
        <f>IF($P4499="","",$B4499/$P4499-1)</f>
        <v/>
      </c>
    </row>
    <row r="4500">
      <c r="A4500" s="11" t="n"/>
      <c r="B4500" s="29" t="n"/>
      <c r="K4500" s="30" t="str">
        <f>IF($A4500="","",EDATE($A4500,12*$E$4))</f>
        <v/>
      </c>
      <c r="L4500" s="19" t="str">
        <f>IF($K4500="","",IF($K4500&gt;MAX($A$8:$A$5007),"",IFERROR(MATCH($K4500,$A$8:$A$5007,1),"")))</f>
        <v/>
      </c>
      <c r="M4500" s="30" t="str">
        <f>IF($L4500="","",INDEX($A$8:$A$5007,$L4500))</f>
        <v/>
      </c>
      <c r="N4500" s="31" t="str">
        <f>IF($L4500="","",INDEX($B$8:$B$5007,$L4500))</f>
        <v/>
      </c>
      <c r="O4500" s="32" t="str">
        <f>IF($M4500="","",IF($K4500-$M4500&gt;7,"",IF($M4500&lt;=$A4500,"",IF(OR($B4500&lt;=0,$N4500&lt;=0),"",($N4500/$B4500)^(365/($M4500-$A4500))-1))))</f>
        <v/>
      </c>
      <c r="P4500" s="31" t="str">
        <f>IF($B4500="","",IF($P4499="",$B4500,MAX($P4499,$B4500)))</f>
        <v/>
      </c>
      <c r="Q4500" s="32" t="str">
        <f>IF($P4500="","",$B4500/$P4500-1)</f>
        <v/>
      </c>
    </row>
    <row r="4501">
      <c r="A4501" s="11" t="n"/>
      <c r="B4501" s="29" t="n"/>
      <c r="K4501" s="30" t="str">
        <f>IF($A4501="","",EDATE($A4501,12*$E$4))</f>
        <v/>
      </c>
      <c r="L4501" s="19" t="str">
        <f>IF($K4501="","",IF($K4501&gt;MAX($A$8:$A$5007),"",IFERROR(MATCH($K4501,$A$8:$A$5007,1),"")))</f>
        <v/>
      </c>
      <c r="M4501" s="30" t="str">
        <f>IF($L4501="","",INDEX($A$8:$A$5007,$L4501))</f>
        <v/>
      </c>
      <c r="N4501" s="31" t="str">
        <f>IF($L4501="","",INDEX($B$8:$B$5007,$L4501))</f>
        <v/>
      </c>
      <c r="O4501" s="32" t="str">
        <f>IF($M4501="","",IF($K4501-$M4501&gt;7,"",IF($M4501&lt;=$A4501,"",IF(OR($B4501&lt;=0,$N4501&lt;=0),"",($N4501/$B4501)^(365/($M4501-$A4501))-1))))</f>
        <v/>
      </c>
      <c r="P4501" s="31" t="str">
        <f>IF($B4501="","",IF($P4500="",$B4501,MAX($P4500,$B4501)))</f>
        <v/>
      </c>
      <c r="Q4501" s="32" t="str">
        <f>IF($P4501="","",$B4501/$P4501-1)</f>
        <v/>
      </c>
    </row>
    <row r="4502">
      <c r="A4502" s="11" t="n"/>
      <c r="B4502" s="29" t="n"/>
      <c r="K4502" s="30" t="str">
        <f>IF($A4502="","",EDATE($A4502,12*$E$4))</f>
        <v/>
      </c>
      <c r="L4502" s="19" t="str">
        <f>IF($K4502="","",IF($K4502&gt;MAX($A$8:$A$5007),"",IFERROR(MATCH($K4502,$A$8:$A$5007,1),"")))</f>
        <v/>
      </c>
      <c r="M4502" s="30" t="str">
        <f>IF($L4502="","",INDEX($A$8:$A$5007,$L4502))</f>
        <v/>
      </c>
      <c r="N4502" s="31" t="str">
        <f>IF($L4502="","",INDEX($B$8:$B$5007,$L4502))</f>
        <v/>
      </c>
      <c r="O4502" s="32" t="str">
        <f>IF($M4502="","",IF($K4502-$M4502&gt;7,"",IF($M4502&lt;=$A4502,"",IF(OR($B4502&lt;=0,$N4502&lt;=0),"",($N4502/$B4502)^(365/($M4502-$A4502))-1))))</f>
        <v/>
      </c>
      <c r="P4502" s="31" t="str">
        <f>IF($B4502="","",IF($P4501="",$B4502,MAX($P4501,$B4502)))</f>
        <v/>
      </c>
      <c r="Q4502" s="32" t="str">
        <f>IF($P4502="","",$B4502/$P4502-1)</f>
        <v/>
      </c>
    </row>
    <row r="4503">
      <c r="A4503" s="11" t="n"/>
      <c r="B4503" s="29" t="n"/>
      <c r="K4503" s="30" t="str">
        <f>IF($A4503="","",EDATE($A4503,12*$E$4))</f>
        <v/>
      </c>
      <c r="L4503" s="19" t="str">
        <f>IF($K4503="","",IF($K4503&gt;MAX($A$8:$A$5007),"",IFERROR(MATCH($K4503,$A$8:$A$5007,1),"")))</f>
        <v/>
      </c>
      <c r="M4503" s="30" t="str">
        <f>IF($L4503="","",INDEX($A$8:$A$5007,$L4503))</f>
        <v/>
      </c>
      <c r="N4503" s="31" t="str">
        <f>IF($L4503="","",INDEX($B$8:$B$5007,$L4503))</f>
        <v/>
      </c>
      <c r="O4503" s="32" t="str">
        <f>IF($M4503="","",IF($K4503-$M4503&gt;7,"",IF($M4503&lt;=$A4503,"",IF(OR($B4503&lt;=0,$N4503&lt;=0),"",($N4503/$B4503)^(365/($M4503-$A4503))-1))))</f>
        <v/>
      </c>
      <c r="P4503" s="31" t="str">
        <f>IF($B4503="","",IF($P4502="",$B4503,MAX($P4502,$B4503)))</f>
        <v/>
      </c>
      <c r="Q4503" s="32" t="str">
        <f>IF($P4503="","",$B4503/$P4503-1)</f>
        <v/>
      </c>
    </row>
    <row r="4504">
      <c r="A4504" s="11" t="n"/>
      <c r="B4504" s="29" t="n"/>
      <c r="K4504" s="30" t="str">
        <f>IF($A4504="","",EDATE($A4504,12*$E$4))</f>
        <v/>
      </c>
      <c r="L4504" s="19" t="str">
        <f>IF($K4504="","",IF($K4504&gt;MAX($A$8:$A$5007),"",IFERROR(MATCH($K4504,$A$8:$A$5007,1),"")))</f>
        <v/>
      </c>
      <c r="M4504" s="30" t="str">
        <f>IF($L4504="","",INDEX($A$8:$A$5007,$L4504))</f>
        <v/>
      </c>
      <c r="N4504" s="31" t="str">
        <f>IF($L4504="","",INDEX($B$8:$B$5007,$L4504))</f>
        <v/>
      </c>
      <c r="O4504" s="32" t="str">
        <f>IF($M4504="","",IF($K4504-$M4504&gt;7,"",IF($M4504&lt;=$A4504,"",IF(OR($B4504&lt;=0,$N4504&lt;=0),"",($N4504/$B4504)^(365/($M4504-$A4504))-1))))</f>
        <v/>
      </c>
      <c r="P4504" s="31" t="str">
        <f>IF($B4504="","",IF($P4503="",$B4504,MAX($P4503,$B4504)))</f>
        <v/>
      </c>
      <c r="Q4504" s="32" t="str">
        <f>IF($P4504="","",$B4504/$P4504-1)</f>
        <v/>
      </c>
    </row>
    <row r="4505">
      <c r="A4505" s="11" t="n"/>
      <c r="B4505" s="29" t="n"/>
      <c r="K4505" s="30" t="str">
        <f>IF($A4505="","",EDATE($A4505,12*$E$4))</f>
        <v/>
      </c>
      <c r="L4505" s="19" t="str">
        <f>IF($K4505="","",IF($K4505&gt;MAX($A$8:$A$5007),"",IFERROR(MATCH($K4505,$A$8:$A$5007,1),"")))</f>
        <v/>
      </c>
      <c r="M4505" s="30" t="str">
        <f>IF($L4505="","",INDEX($A$8:$A$5007,$L4505))</f>
        <v/>
      </c>
      <c r="N4505" s="31" t="str">
        <f>IF($L4505="","",INDEX($B$8:$B$5007,$L4505))</f>
        <v/>
      </c>
      <c r="O4505" s="32" t="str">
        <f>IF($M4505="","",IF($K4505-$M4505&gt;7,"",IF($M4505&lt;=$A4505,"",IF(OR($B4505&lt;=0,$N4505&lt;=0),"",($N4505/$B4505)^(365/($M4505-$A4505))-1))))</f>
        <v/>
      </c>
      <c r="P4505" s="31" t="str">
        <f>IF($B4505="","",IF($P4504="",$B4505,MAX($P4504,$B4505)))</f>
        <v/>
      </c>
      <c r="Q4505" s="32" t="str">
        <f>IF($P4505="","",$B4505/$P4505-1)</f>
        <v/>
      </c>
    </row>
    <row r="4506">
      <c r="A4506" s="11" t="n"/>
      <c r="B4506" s="29" t="n"/>
      <c r="K4506" s="30" t="str">
        <f>IF($A4506="","",EDATE($A4506,12*$E$4))</f>
        <v/>
      </c>
      <c r="L4506" s="19" t="str">
        <f>IF($K4506="","",IF($K4506&gt;MAX($A$8:$A$5007),"",IFERROR(MATCH($K4506,$A$8:$A$5007,1),"")))</f>
        <v/>
      </c>
      <c r="M4506" s="30" t="str">
        <f>IF($L4506="","",INDEX($A$8:$A$5007,$L4506))</f>
        <v/>
      </c>
      <c r="N4506" s="31" t="str">
        <f>IF($L4506="","",INDEX($B$8:$B$5007,$L4506))</f>
        <v/>
      </c>
      <c r="O4506" s="32" t="str">
        <f>IF($M4506="","",IF($K4506-$M4506&gt;7,"",IF($M4506&lt;=$A4506,"",IF(OR($B4506&lt;=0,$N4506&lt;=0),"",($N4506/$B4506)^(365/($M4506-$A4506))-1))))</f>
        <v/>
      </c>
      <c r="P4506" s="31" t="str">
        <f>IF($B4506="","",IF($P4505="",$B4506,MAX($P4505,$B4506)))</f>
        <v/>
      </c>
      <c r="Q4506" s="32" t="str">
        <f>IF($P4506="","",$B4506/$P4506-1)</f>
        <v/>
      </c>
    </row>
    <row r="4507">
      <c r="A4507" s="11" t="n"/>
      <c r="B4507" s="29" t="n"/>
      <c r="K4507" s="30" t="str">
        <f>IF($A4507="","",EDATE($A4507,12*$E$4))</f>
        <v/>
      </c>
      <c r="L4507" s="19" t="str">
        <f>IF($K4507="","",IF($K4507&gt;MAX($A$8:$A$5007),"",IFERROR(MATCH($K4507,$A$8:$A$5007,1),"")))</f>
        <v/>
      </c>
      <c r="M4507" s="30" t="str">
        <f>IF($L4507="","",INDEX($A$8:$A$5007,$L4507))</f>
        <v/>
      </c>
      <c r="N4507" s="31" t="str">
        <f>IF($L4507="","",INDEX($B$8:$B$5007,$L4507))</f>
        <v/>
      </c>
      <c r="O4507" s="32" t="str">
        <f>IF($M4507="","",IF($K4507-$M4507&gt;7,"",IF($M4507&lt;=$A4507,"",IF(OR($B4507&lt;=0,$N4507&lt;=0),"",($N4507/$B4507)^(365/($M4507-$A4507))-1))))</f>
        <v/>
      </c>
      <c r="P4507" s="31" t="str">
        <f>IF($B4507="","",IF($P4506="",$B4507,MAX($P4506,$B4507)))</f>
        <v/>
      </c>
      <c r="Q4507" s="32" t="str">
        <f>IF($P4507="","",$B4507/$P4507-1)</f>
        <v/>
      </c>
    </row>
    <row r="4508">
      <c r="A4508" s="11" t="n"/>
      <c r="B4508" s="29" t="n"/>
      <c r="K4508" s="30" t="str">
        <f>IF($A4508="","",EDATE($A4508,12*$E$4))</f>
        <v/>
      </c>
      <c r="L4508" s="19" t="str">
        <f>IF($K4508="","",IF($K4508&gt;MAX($A$8:$A$5007),"",IFERROR(MATCH($K4508,$A$8:$A$5007,1),"")))</f>
        <v/>
      </c>
      <c r="M4508" s="30" t="str">
        <f>IF($L4508="","",INDEX($A$8:$A$5007,$L4508))</f>
        <v/>
      </c>
      <c r="N4508" s="31" t="str">
        <f>IF($L4508="","",INDEX($B$8:$B$5007,$L4508))</f>
        <v/>
      </c>
      <c r="O4508" s="32" t="str">
        <f>IF($M4508="","",IF($K4508-$M4508&gt;7,"",IF($M4508&lt;=$A4508,"",IF(OR($B4508&lt;=0,$N4508&lt;=0),"",($N4508/$B4508)^(365/($M4508-$A4508))-1))))</f>
        <v/>
      </c>
      <c r="P4508" s="31" t="str">
        <f>IF($B4508="","",IF($P4507="",$B4508,MAX($P4507,$B4508)))</f>
        <v/>
      </c>
      <c r="Q4508" s="32" t="str">
        <f>IF($P4508="","",$B4508/$P4508-1)</f>
        <v/>
      </c>
    </row>
    <row r="4509">
      <c r="A4509" s="11" t="n"/>
      <c r="B4509" s="29" t="n"/>
      <c r="K4509" s="30" t="str">
        <f>IF($A4509="","",EDATE($A4509,12*$E$4))</f>
        <v/>
      </c>
      <c r="L4509" s="19" t="str">
        <f>IF($K4509="","",IF($K4509&gt;MAX($A$8:$A$5007),"",IFERROR(MATCH($K4509,$A$8:$A$5007,1),"")))</f>
        <v/>
      </c>
      <c r="M4509" s="30" t="str">
        <f>IF($L4509="","",INDEX($A$8:$A$5007,$L4509))</f>
        <v/>
      </c>
      <c r="N4509" s="31" t="str">
        <f>IF($L4509="","",INDEX($B$8:$B$5007,$L4509))</f>
        <v/>
      </c>
      <c r="O4509" s="32" t="str">
        <f>IF($M4509="","",IF($K4509-$M4509&gt;7,"",IF($M4509&lt;=$A4509,"",IF(OR($B4509&lt;=0,$N4509&lt;=0),"",($N4509/$B4509)^(365/($M4509-$A4509))-1))))</f>
        <v/>
      </c>
      <c r="P4509" s="31" t="str">
        <f>IF($B4509="","",IF($P4508="",$B4509,MAX($P4508,$B4509)))</f>
        <v/>
      </c>
      <c r="Q4509" s="32" t="str">
        <f>IF($P4509="","",$B4509/$P4509-1)</f>
        <v/>
      </c>
    </row>
    <row r="4510">
      <c r="A4510" s="11" t="n"/>
      <c r="B4510" s="29" t="n"/>
      <c r="K4510" s="30" t="str">
        <f>IF($A4510="","",EDATE($A4510,12*$E$4))</f>
        <v/>
      </c>
      <c r="L4510" s="19" t="str">
        <f>IF($K4510="","",IF($K4510&gt;MAX($A$8:$A$5007),"",IFERROR(MATCH($K4510,$A$8:$A$5007,1),"")))</f>
        <v/>
      </c>
      <c r="M4510" s="30" t="str">
        <f>IF($L4510="","",INDEX($A$8:$A$5007,$L4510))</f>
        <v/>
      </c>
      <c r="N4510" s="31" t="str">
        <f>IF($L4510="","",INDEX($B$8:$B$5007,$L4510))</f>
        <v/>
      </c>
      <c r="O4510" s="32" t="str">
        <f>IF($M4510="","",IF($K4510-$M4510&gt;7,"",IF($M4510&lt;=$A4510,"",IF(OR($B4510&lt;=0,$N4510&lt;=0),"",($N4510/$B4510)^(365/($M4510-$A4510))-1))))</f>
        <v/>
      </c>
      <c r="P4510" s="31" t="str">
        <f>IF($B4510="","",IF($P4509="",$B4510,MAX($P4509,$B4510)))</f>
        <v/>
      </c>
      <c r="Q4510" s="32" t="str">
        <f>IF($P4510="","",$B4510/$P4510-1)</f>
        <v/>
      </c>
    </row>
    <row r="4511">
      <c r="A4511" s="11" t="n"/>
      <c r="B4511" s="29" t="n"/>
      <c r="K4511" s="30" t="str">
        <f>IF($A4511="","",EDATE($A4511,12*$E$4))</f>
        <v/>
      </c>
      <c r="L4511" s="19" t="str">
        <f>IF($K4511="","",IF($K4511&gt;MAX($A$8:$A$5007),"",IFERROR(MATCH($K4511,$A$8:$A$5007,1),"")))</f>
        <v/>
      </c>
      <c r="M4511" s="30" t="str">
        <f>IF($L4511="","",INDEX($A$8:$A$5007,$L4511))</f>
        <v/>
      </c>
      <c r="N4511" s="31" t="str">
        <f>IF($L4511="","",INDEX($B$8:$B$5007,$L4511))</f>
        <v/>
      </c>
      <c r="O4511" s="32" t="str">
        <f>IF($M4511="","",IF($K4511-$M4511&gt;7,"",IF($M4511&lt;=$A4511,"",IF(OR($B4511&lt;=0,$N4511&lt;=0),"",($N4511/$B4511)^(365/($M4511-$A4511))-1))))</f>
        <v/>
      </c>
      <c r="P4511" s="31" t="str">
        <f>IF($B4511="","",IF($P4510="",$B4511,MAX($P4510,$B4511)))</f>
        <v/>
      </c>
      <c r="Q4511" s="32" t="str">
        <f>IF($P4511="","",$B4511/$P4511-1)</f>
        <v/>
      </c>
    </row>
    <row r="4512">
      <c r="A4512" s="11" t="n"/>
      <c r="B4512" s="29" t="n"/>
      <c r="K4512" s="30" t="str">
        <f>IF($A4512="","",EDATE($A4512,12*$E$4))</f>
        <v/>
      </c>
      <c r="L4512" s="19" t="str">
        <f>IF($K4512="","",IF($K4512&gt;MAX($A$8:$A$5007),"",IFERROR(MATCH($K4512,$A$8:$A$5007,1),"")))</f>
        <v/>
      </c>
      <c r="M4512" s="30" t="str">
        <f>IF($L4512="","",INDEX($A$8:$A$5007,$L4512))</f>
        <v/>
      </c>
      <c r="N4512" s="31" t="str">
        <f>IF($L4512="","",INDEX($B$8:$B$5007,$L4512))</f>
        <v/>
      </c>
      <c r="O4512" s="32" t="str">
        <f>IF($M4512="","",IF($K4512-$M4512&gt;7,"",IF($M4512&lt;=$A4512,"",IF(OR($B4512&lt;=0,$N4512&lt;=0),"",($N4512/$B4512)^(365/($M4512-$A4512))-1))))</f>
        <v/>
      </c>
      <c r="P4512" s="31" t="str">
        <f>IF($B4512="","",IF($P4511="",$B4512,MAX($P4511,$B4512)))</f>
        <v/>
      </c>
      <c r="Q4512" s="32" t="str">
        <f>IF($P4512="","",$B4512/$P4512-1)</f>
        <v/>
      </c>
    </row>
    <row r="4513">
      <c r="A4513" s="11" t="n"/>
      <c r="B4513" s="29" t="n"/>
      <c r="K4513" s="30" t="str">
        <f>IF($A4513="","",EDATE($A4513,12*$E$4))</f>
        <v/>
      </c>
      <c r="L4513" s="19" t="str">
        <f>IF($K4513="","",IF($K4513&gt;MAX($A$8:$A$5007),"",IFERROR(MATCH($K4513,$A$8:$A$5007,1),"")))</f>
        <v/>
      </c>
      <c r="M4513" s="30" t="str">
        <f>IF($L4513="","",INDEX($A$8:$A$5007,$L4513))</f>
        <v/>
      </c>
      <c r="N4513" s="31" t="str">
        <f>IF($L4513="","",INDEX($B$8:$B$5007,$L4513))</f>
        <v/>
      </c>
      <c r="O4513" s="32" t="str">
        <f>IF($M4513="","",IF($K4513-$M4513&gt;7,"",IF($M4513&lt;=$A4513,"",IF(OR($B4513&lt;=0,$N4513&lt;=0),"",($N4513/$B4513)^(365/($M4513-$A4513))-1))))</f>
        <v/>
      </c>
      <c r="P4513" s="31" t="str">
        <f>IF($B4513="","",IF($P4512="",$B4513,MAX($P4512,$B4513)))</f>
        <v/>
      </c>
      <c r="Q4513" s="32" t="str">
        <f>IF($P4513="","",$B4513/$P4513-1)</f>
        <v/>
      </c>
    </row>
    <row r="4514">
      <c r="A4514" s="11" t="n"/>
      <c r="B4514" s="29" t="n"/>
      <c r="K4514" s="30" t="str">
        <f>IF($A4514="","",EDATE($A4514,12*$E$4))</f>
        <v/>
      </c>
      <c r="L4514" s="19" t="str">
        <f>IF($K4514="","",IF($K4514&gt;MAX($A$8:$A$5007),"",IFERROR(MATCH($K4514,$A$8:$A$5007,1),"")))</f>
        <v/>
      </c>
      <c r="M4514" s="30" t="str">
        <f>IF($L4514="","",INDEX($A$8:$A$5007,$L4514))</f>
        <v/>
      </c>
      <c r="N4514" s="31" t="str">
        <f>IF($L4514="","",INDEX($B$8:$B$5007,$L4514))</f>
        <v/>
      </c>
      <c r="O4514" s="32" t="str">
        <f>IF($M4514="","",IF($K4514-$M4514&gt;7,"",IF($M4514&lt;=$A4514,"",IF(OR($B4514&lt;=0,$N4514&lt;=0),"",($N4514/$B4514)^(365/($M4514-$A4514))-1))))</f>
        <v/>
      </c>
      <c r="P4514" s="31" t="str">
        <f>IF($B4514="","",IF($P4513="",$B4514,MAX($P4513,$B4514)))</f>
        <v/>
      </c>
      <c r="Q4514" s="32" t="str">
        <f>IF($P4514="","",$B4514/$P4514-1)</f>
        <v/>
      </c>
    </row>
    <row r="4515">
      <c r="A4515" s="11" t="n"/>
      <c r="B4515" s="29" t="n"/>
      <c r="K4515" s="30" t="str">
        <f>IF($A4515="","",EDATE($A4515,12*$E$4))</f>
        <v/>
      </c>
      <c r="L4515" s="19" t="str">
        <f>IF($K4515="","",IF($K4515&gt;MAX($A$8:$A$5007),"",IFERROR(MATCH($K4515,$A$8:$A$5007,1),"")))</f>
        <v/>
      </c>
      <c r="M4515" s="30" t="str">
        <f>IF($L4515="","",INDEX($A$8:$A$5007,$L4515))</f>
        <v/>
      </c>
      <c r="N4515" s="31" t="str">
        <f>IF($L4515="","",INDEX($B$8:$B$5007,$L4515))</f>
        <v/>
      </c>
      <c r="O4515" s="32" t="str">
        <f>IF($M4515="","",IF($K4515-$M4515&gt;7,"",IF($M4515&lt;=$A4515,"",IF(OR($B4515&lt;=0,$N4515&lt;=0),"",($N4515/$B4515)^(365/($M4515-$A4515))-1))))</f>
        <v/>
      </c>
      <c r="P4515" s="31" t="str">
        <f>IF($B4515="","",IF($P4514="",$B4515,MAX($P4514,$B4515)))</f>
        <v/>
      </c>
      <c r="Q4515" s="32" t="str">
        <f>IF($P4515="","",$B4515/$P4515-1)</f>
        <v/>
      </c>
    </row>
    <row r="4516">
      <c r="A4516" s="11" t="n"/>
      <c r="B4516" s="29" t="n"/>
      <c r="K4516" s="30" t="str">
        <f>IF($A4516="","",EDATE($A4516,12*$E$4))</f>
        <v/>
      </c>
      <c r="L4516" s="19" t="str">
        <f>IF($K4516="","",IF($K4516&gt;MAX($A$8:$A$5007),"",IFERROR(MATCH($K4516,$A$8:$A$5007,1),"")))</f>
        <v/>
      </c>
      <c r="M4516" s="30" t="str">
        <f>IF($L4516="","",INDEX($A$8:$A$5007,$L4516))</f>
        <v/>
      </c>
      <c r="N4516" s="31" t="str">
        <f>IF($L4516="","",INDEX($B$8:$B$5007,$L4516))</f>
        <v/>
      </c>
      <c r="O4516" s="32" t="str">
        <f>IF($M4516="","",IF($K4516-$M4516&gt;7,"",IF($M4516&lt;=$A4516,"",IF(OR($B4516&lt;=0,$N4516&lt;=0),"",($N4516/$B4516)^(365/($M4516-$A4516))-1))))</f>
        <v/>
      </c>
      <c r="P4516" s="31" t="str">
        <f>IF($B4516="","",IF($P4515="",$B4516,MAX($P4515,$B4516)))</f>
        <v/>
      </c>
      <c r="Q4516" s="32" t="str">
        <f>IF($P4516="","",$B4516/$P4516-1)</f>
        <v/>
      </c>
    </row>
    <row r="4517">
      <c r="A4517" s="11" t="n"/>
      <c r="B4517" s="29" t="n"/>
      <c r="K4517" s="30" t="str">
        <f>IF($A4517="","",EDATE($A4517,12*$E$4))</f>
        <v/>
      </c>
      <c r="L4517" s="19" t="str">
        <f>IF($K4517="","",IF($K4517&gt;MAX($A$8:$A$5007),"",IFERROR(MATCH($K4517,$A$8:$A$5007,1),"")))</f>
        <v/>
      </c>
      <c r="M4517" s="30" t="str">
        <f>IF($L4517="","",INDEX($A$8:$A$5007,$L4517))</f>
        <v/>
      </c>
      <c r="N4517" s="31" t="str">
        <f>IF($L4517="","",INDEX($B$8:$B$5007,$L4517))</f>
        <v/>
      </c>
      <c r="O4517" s="32" t="str">
        <f>IF($M4517="","",IF($K4517-$M4517&gt;7,"",IF($M4517&lt;=$A4517,"",IF(OR($B4517&lt;=0,$N4517&lt;=0),"",($N4517/$B4517)^(365/($M4517-$A4517))-1))))</f>
        <v/>
      </c>
      <c r="P4517" s="31" t="str">
        <f>IF($B4517="","",IF($P4516="",$B4517,MAX($P4516,$B4517)))</f>
        <v/>
      </c>
      <c r="Q4517" s="32" t="str">
        <f>IF($P4517="","",$B4517/$P4517-1)</f>
        <v/>
      </c>
    </row>
    <row r="4518">
      <c r="A4518" s="11" t="n"/>
      <c r="B4518" s="29" t="n"/>
      <c r="K4518" s="30" t="str">
        <f>IF($A4518="","",EDATE($A4518,12*$E$4))</f>
        <v/>
      </c>
      <c r="L4518" s="19" t="str">
        <f>IF($K4518="","",IF($K4518&gt;MAX($A$8:$A$5007),"",IFERROR(MATCH($K4518,$A$8:$A$5007,1),"")))</f>
        <v/>
      </c>
      <c r="M4518" s="30" t="str">
        <f>IF($L4518="","",INDEX($A$8:$A$5007,$L4518))</f>
        <v/>
      </c>
      <c r="N4518" s="31" t="str">
        <f>IF($L4518="","",INDEX($B$8:$B$5007,$L4518))</f>
        <v/>
      </c>
      <c r="O4518" s="32" t="str">
        <f>IF($M4518="","",IF($K4518-$M4518&gt;7,"",IF($M4518&lt;=$A4518,"",IF(OR($B4518&lt;=0,$N4518&lt;=0),"",($N4518/$B4518)^(365/($M4518-$A4518))-1))))</f>
        <v/>
      </c>
      <c r="P4518" s="31" t="str">
        <f>IF($B4518="","",IF($P4517="",$B4518,MAX($P4517,$B4518)))</f>
        <v/>
      </c>
      <c r="Q4518" s="32" t="str">
        <f>IF($P4518="","",$B4518/$P4518-1)</f>
        <v/>
      </c>
    </row>
    <row r="4519">
      <c r="A4519" s="11" t="n"/>
      <c r="B4519" s="29" t="n"/>
      <c r="K4519" s="30" t="str">
        <f>IF($A4519="","",EDATE($A4519,12*$E$4))</f>
        <v/>
      </c>
      <c r="L4519" s="19" t="str">
        <f>IF($K4519="","",IF($K4519&gt;MAX($A$8:$A$5007),"",IFERROR(MATCH($K4519,$A$8:$A$5007,1),"")))</f>
        <v/>
      </c>
      <c r="M4519" s="30" t="str">
        <f>IF($L4519="","",INDEX($A$8:$A$5007,$L4519))</f>
        <v/>
      </c>
      <c r="N4519" s="31" t="str">
        <f>IF($L4519="","",INDEX($B$8:$B$5007,$L4519))</f>
        <v/>
      </c>
      <c r="O4519" s="32" t="str">
        <f>IF($M4519="","",IF($K4519-$M4519&gt;7,"",IF($M4519&lt;=$A4519,"",IF(OR($B4519&lt;=0,$N4519&lt;=0),"",($N4519/$B4519)^(365/($M4519-$A4519))-1))))</f>
        <v/>
      </c>
      <c r="P4519" s="31" t="str">
        <f>IF($B4519="","",IF($P4518="",$B4519,MAX($P4518,$B4519)))</f>
        <v/>
      </c>
      <c r="Q4519" s="32" t="str">
        <f>IF($P4519="","",$B4519/$P4519-1)</f>
        <v/>
      </c>
    </row>
    <row r="4520">
      <c r="A4520" s="11" t="n"/>
      <c r="B4520" s="29" t="n"/>
      <c r="K4520" s="30" t="str">
        <f>IF($A4520="","",EDATE($A4520,12*$E$4))</f>
        <v/>
      </c>
      <c r="L4520" s="19" t="str">
        <f>IF($K4520="","",IF($K4520&gt;MAX($A$8:$A$5007),"",IFERROR(MATCH($K4520,$A$8:$A$5007,1),"")))</f>
        <v/>
      </c>
      <c r="M4520" s="30" t="str">
        <f>IF($L4520="","",INDEX($A$8:$A$5007,$L4520))</f>
        <v/>
      </c>
      <c r="N4520" s="31" t="str">
        <f>IF($L4520="","",INDEX($B$8:$B$5007,$L4520))</f>
        <v/>
      </c>
      <c r="O4520" s="32" t="str">
        <f>IF($M4520="","",IF($K4520-$M4520&gt;7,"",IF($M4520&lt;=$A4520,"",IF(OR($B4520&lt;=0,$N4520&lt;=0),"",($N4520/$B4520)^(365/($M4520-$A4520))-1))))</f>
        <v/>
      </c>
      <c r="P4520" s="31" t="str">
        <f>IF($B4520="","",IF($P4519="",$B4520,MAX($P4519,$B4520)))</f>
        <v/>
      </c>
      <c r="Q4520" s="32" t="str">
        <f>IF($P4520="","",$B4520/$P4520-1)</f>
        <v/>
      </c>
    </row>
    <row r="4521">
      <c r="A4521" s="11" t="n"/>
      <c r="B4521" s="29" t="n"/>
      <c r="K4521" s="30" t="str">
        <f>IF($A4521="","",EDATE($A4521,12*$E$4))</f>
        <v/>
      </c>
      <c r="L4521" s="19" t="str">
        <f>IF($K4521="","",IF($K4521&gt;MAX($A$8:$A$5007),"",IFERROR(MATCH($K4521,$A$8:$A$5007,1),"")))</f>
        <v/>
      </c>
      <c r="M4521" s="30" t="str">
        <f>IF($L4521="","",INDEX($A$8:$A$5007,$L4521))</f>
        <v/>
      </c>
      <c r="N4521" s="31" t="str">
        <f>IF($L4521="","",INDEX($B$8:$B$5007,$L4521))</f>
        <v/>
      </c>
      <c r="O4521" s="32" t="str">
        <f>IF($M4521="","",IF($K4521-$M4521&gt;7,"",IF($M4521&lt;=$A4521,"",IF(OR($B4521&lt;=0,$N4521&lt;=0),"",($N4521/$B4521)^(365/($M4521-$A4521))-1))))</f>
        <v/>
      </c>
      <c r="P4521" s="31" t="str">
        <f>IF($B4521="","",IF($P4520="",$B4521,MAX($P4520,$B4521)))</f>
        <v/>
      </c>
      <c r="Q4521" s="32" t="str">
        <f>IF($P4521="","",$B4521/$P4521-1)</f>
        <v/>
      </c>
    </row>
    <row r="4522">
      <c r="A4522" s="11" t="n"/>
      <c r="B4522" s="29" t="n"/>
      <c r="K4522" s="30" t="str">
        <f>IF($A4522="","",EDATE($A4522,12*$E$4))</f>
        <v/>
      </c>
      <c r="L4522" s="19" t="str">
        <f>IF($K4522="","",IF($K4522&gt;MAX($A$8:$A$5007),"",IFERROR(MATCH($K4522,$A$8:$A$5007,1),"")))</f>
        <v/>
      </c>
      <c r="M4522" s="30" t="str">
        <f>IF($L4522="","",INDEX($A$8:$A$5007,$L4522))</f>
        <v/>
      </c>
      <c r="N4522" s="31" t="str">
        <f>IF($L4522="","",INDEX($B$8:$B$5007,$L4522))</f>
        <v/>
      </c>
      <c r="O4522" s="32" t="str">
        <f>IF($M4522="","",IF($K4522-$M4522&gt;7,"",IF($M4522&lt;=$A4522,"",IF(OR($B4522&lt;=0,$N4522&lt;=0),"",($N4522/$B4522)^(365/($M4522-$A4522))-1))))</f>
        <v/>
      </c>
      <c r="P4522" s="31" t="str">
        <f>IF($B4522="","",IF($P4521="",$B4522,MAX($P4521,$B4522)))</f>
        <v/>
      </c>
      <c r="Q4522" s="32" t="str">
        <f>IF($P4522="","",$B4522/$P4522-1)</f>
        <v/>
      </c>
    </row>
    <row r="4523">
      <c r="A4523" s="11" t="n"/>
      <c r="B4523" s="29" t="n"/>
      <c r="K4523" s="30" t="str">
        <f>IF($A4523="","",EDATE($A4523,12*$E$4))</f>
        <v/>
      </c>
      <c r="L4523" s="19" t="str">
        <f>IF($K4523="","",IF($K4523&gt;MAX($A$8:$A$5007),"",IFERROR(MATCH($K4523,$A$8:$A$5007,1),"")))</f>
        <v/>
      </c>
      <c r="M4523" s="30" t="str">
        <f>IF($L4523="","",INDEX($A$8:$A$5007,$L4523))</f>
        <v/>
      </c>
      <c r="N4523" s="31" t="str">
        <f>IF($L4523="","",INDEX($B$8:$B$5007,$L4523))</f>
        <v/>
      </c>
      <c r="O4523" s="32" t="str">
        <f>IF($M4523="","",IF($K4523-$M4523&gt;7,"",IF($M4523&lt;=$A4523,"",IF(OR($B4523&lt;=0,$N4523&lt;=0),"",($N4523/$B4523)^(365/($M4523-$A4523))-1))))</f>
        <v/>
      </c>
      <c r="P4523" s="31" t="str">
        <f>IF($B4523="","",IF($P4522="",$B4523,MAX($P4522,$B4523)))</f>
        <v/>
      </c>
      <c r="Q4523" s="32" t="str">
        <f>IF($P4523="","",$B4523/$P4523-1)</f>
        <v/>
      </c>
    </row>
    <row r="4524">
      <c r="A4524" s="11" t="n"/>
      <c r="B4524" s="29" t="n"/>
      <c r="K4524" s="30" t="str">
        <f>IF($A4524="","",EDATE($A4524,12*$E$4))</f>
        <v/>
      </c>
      <c r="L4524" s="19" t="str">
        <f>IF($K4524="","",IF($K4524&gt;MAX($A$8:$A$5007),"",IFERROR(MATCH($K4524,$A$8:$A$5007,1),"")))</f>
        <v/>
      </c>
      <c r="M4524" s="30" t="str">
        <f>IF($L4524="","",INDEX($A$8:$A$5007,$L4524))</f>
        <v/>
      </c>
      <c r="N4524" s="31" t="str">
        <f>IF($L4524="","",INDEX($B$8:$B$5007,$L4524))</f>
        <v/>
      </c>
      <c r="O4524" s="32" t="str">
        <f>IF($M4524="","",IF($K4524-$M4524&gt;7,"",IF($M4524&lt;=$A4524,"",IF(OR($B4524&lt;=0,$N4524&lt;=0),"",($N4524/$B4524)^(365/($M4524-$A4524))-1))))</f>
        <v/>
      </c>
      <c r="P4524" s="31" t="str">
        <f>IF($B4524="","",IF($P4523="",$B4524,MAX($P4523,$B4524)))</f>
        <v/>
      </c>
      <c r="Q4524" s="32" t="str">
        <f>IF($P4524="","",$B4524/$P4524-1)</f>
        <v/>
      </c>
    </row>
    <row r="4525">
      <c r="A4525" s="11" t="n"/>
      <c r="B4525" s="29" t="n"/>
      <c r="K4525" s="30" t="str">
        <f>IF($A4525="","",EDATE($A4525,12*$E$4))</f>
        <v/>
      </c>
      <c r="L4525" s="19" t="str">
        <f>IF($K4525="","",IF($K4525&gt;MAX($A$8:$A$5007),"",IFERROR(MATCH($K4525,$A$8:$A$5007,1),"")))</f>
        <v/>
      </c>
      <c r="M4525" s="30" t="str">
        <f>IF($L4525="","",INDEX($A$8:$A$5007,$L4525))</f>
        <v/>
      </c>
      <c r="N4525" s="31" t="str">
        <f>IF($L4525="","",INDEX($B$8:$B$5007,$L4525))</f>
        <v/>
      </c>
      <c r="O4525" s="32" t="str">
        <f>IF($M4525="","",IF($K4525-$M4525&gt;7,"",IF($M4525&lt;=$A4525,"",IF(OR($B4525&lt;=0,$N4525&lt;=0),"",($N4525/$B4525)^(365/($M4525-$A4525))-1))))</f>
        <v/>
      </c>
      <c r="P4525" s="31" t="str">
        <f>IF($B4525="","",IF($P4524="",$B4525,MAX($P4524,$B4525)))</f>
        <v/>
      </c>
      <c r="Q4525" s="32" t="str">
        <f>IF($P4525="","",$B4525/$P4525-1)</f>
        <v/>
      </c>
    </row>
    <row r="4526">
      <c r="A4526" s="11" t="n"/>
      <c r="B4526" s="29" t="n"/>
      <c r="K4526" s="30" t="str">
        <f>IF($A4526="","",EDATE($A4526,12*$E$4))</f>
        <v/>
      </c>
      <c r="L4526" s="19" t="str">
        <f>IF($K4526="","",IF($K4526&gt;MAX($A$8:$A$5007),"",IFERROR(MATCH($K4526,$A$8:$A$5007,1),"")))</f>
        <v/>
      </c>
      <c r="M4526" s="30" t="str">
        <f>IF($L4526="","",INDEX($A$8:$A$5007,$L4526))</f>
        <v/>
      </c>
      <c r="N4526" s="31" t="str">
        <f>IF($L4526="","",INDEX($B$8:$B$5007,$L4526))</f>
        <v/>
      </c>
      <c r="O4526" s="32" t="str">
        <f>IF($M4526="","",IF($K4526-$M4526&gt;7,"",IF($M4526&lt;=$A4526,"",IF(OR($B4526&lt;=0,$N4526&lt;=0),"",($N4526/$B4526)^(365/($M4526-$A4526))-1))))</f>
        <v/>
      </c>
      <c r="P4526" s="31" t="str">
        <f>IF($B4526="","",IF($P4525="",$B4526,MAX($P4525,$B4526)))</f>
        <v/>
      </c>
      <c r="Q4526" s="32" t="str">
        <f>IF($P4526="","",$B4526/$P4526-1)</f>
        <v/>
      </c>
    </row>
    <row r="4527">
      <c r="A4527" s="11" t="n"/>
      <c r="B4527" s="29" t="n"/>
      <c r="K4527" s="30" t="str">
        <f>IF($A4527="","",EDATE($A4527,12*$E$4))</f>
        <v/>
      </c>
      <c r="L4527" s="19" t="str">
        <f>IF($K4527="","",IF($K4527&gt;MAX($A$8:$A$5007),"",IFERROR(MATCH($K4527,$A$8:$A$5007,1),"")))</f>
        <v/>
      </c>
      <c r="M4527" s="30" t="str">
        <f>IF($L4527="","",INDEX($A$8:$A$5007,$L4527))</f>
        <v/>
      </c>
      <c r="N4527" s="31" t="str">
        <f>IF($L4527="","",INDEX($B$8:$B$5007,$L4527))</f>
        <v/>
      </c>
      <c r="O4527" s="32" t="str">
        <f>IF($M4527="","",IF($K4527-$M4527&gt;7,"",IF($M4527&lt;=$A4527,"",IF(OR($B4527&lt;=0,$N4527&lt;=0),"",($N4527/$B4527)^(365/($M4527-$A4527))-1))))</f>
        <v/>
      </c>
      <c r="P4527" s="31" t="str">
        <f>IF($B4527="","",IF($P4526="",$B4527,MAX($P4526,$B4527)))</f>
        <v/>
      </c>
      <c r="Q4527" s="32" t="str">
        <f>IF($P4527="","",$B4527/$P4527-1)</f>
        <v/>
      </c>
    </row>
    <row r="4528">
      <c r="A4528" s="11" t="n"/>
      <c r="B4528" s="29" t="n"/>
      <c r="K4528" s="30" t="str">
        <f>IF($A4528="","",EDATE($A4528,12*$E$4))</f>
        <v/>
      </c>
      <c r="L4528" s="19" t="str">
        <f>IF($K4528="","",IF($K4528&gt;MAX($A$8:$A$5007),"",IFERROR(MATCH($K4528,$A$8:$A$5007,1),"")))</f>
        <v/>
      </c>
      <c r="M4528" s="30" t="str">
        <f>IF($L4528="","",INDEX($A$8:$A$5007,$L4528))</f>
        <v/>
      </c>
      <c r="N4528" s="31" t="str">
        <f>IF($L4528="","",INDEX($B$8:$B$5007,$L4528))</f>
        <v/>
      </c>
      <c r="O4528" s="32" t="str">
        <f>IF($M4528="","",IF($K4528-$M4528&gt;7,"",IF($M4528&lt;=$A4528,"",IF(OR($B4528&lt;=0,$N4528&lt;=0),"",($N4528/$B4528)^(365/($M4528-$A4528))-1))))</f>
        <v/>
      </c>
      <c r="P4528" s="31" t="str">
        <f>IF($B4528="","",IF($P4527="",$B4528,MAX($P4527,$B4528)))</f>
        <v/>
      </c>
      <c r="Q4528" s="32" t="str">
        <f>IF($P4528="","",$B4528/$P4528-1)</f>
        <v/>
      </c>
    </row>
    <row r="4529">
      <c r="A4529" s="11" t="n"/>
      <c r="B4529" s="29" t="n"/>
      <c r="K4529" s="30" t="str">
        <f>IF($A4529="","",EDATE($A4529,12*$E$4))</f>
        <v/>
      </c>
      <c r="L4529" s="19" t="str">
        <f>IF($K4529="","",IF($K4529&gt;MAX($A$8:$A$5007),"",IFERROR(MATCH($K4529,$A$8:$A$5007,1),"")))</f>
        <v/>
      </c>
      <c r="M4529" s="30" t="str">
        <f>IF($L4529="","",INDEX($A$8:$A$5007,$L4529))</f>
        <v/>
      </c>
      <c r="N4529" s="31" t="str">
        <f>IF($L4529="","",INDEX($B$8:$B$5007,$L4529))</f>
        <v/>
      </c>
      <c r="O4529" s="32" t="str">
        <f>IF($M4529="","",IF($K4529-$M4529&gt;7,"",IF($M4529&lt;=$A4529,"",IF(OR($B4529&lt;=0,$N4529&lt;=0),"",($N4529/$B4529)^(365/($M4529-$A4529))-1))))</f>
        <v/>
      </c>
      <c r="P4529" s="31" t="str">
        <f>IF($B4529="","",IF($P4528="",$B4529,MAX($P4528,$B4529)))</f>
        <v/>
      </c>
      <c r="Q4529" s="32" t="str">
        <f>IF($P4529="","",$B4529/$P4529-1)</f>
        <v/>
      </c>
    </row>
    <row r="4530">
      <c r="A4530" s="11" t="n"/>
      <c r="B4530" s="29" t="n"/>
      <c r="K4530" s="30" t="str">
        <f>IF($A4530="","",EDATE($A4530,12*$E$4))</f>
        <v/>
      </c>
      <c r="L4530" s="19" t="str">
        <f>IF($K4530="","",IF($K4530&gt;MAX($A$8:$A$5007),"",IFERROR(MATCH($K4530,$A$8:$A$5007,1),"")))</f>
        <v/>
      </c>
      <c r="M4530" s="30" t="str">
        <f>IF($L4530="","",INDEX($A$8:$A$5007,$L4530))</f>
        <v/>
      </c>
      <c r="N4530" s="31" t="str">
        <f>IF($L4530="","",INDEX($B$8:$B$5007,$L4530))</f>
        <v/>
      </c>
      <c r="O4530" s="32" t="str">
        <f>IF($M4530="","",IF($K4530-$M4530&gt;7,"",IF($M4530&lt;=$A4530,"",IF(OR($B4530&lt;=0,$N4530&lt;=0),"",($N4530/$B4530)^(365/($M4530-$A4530))-1))))</f>
        <v/>
      </c>
      <c r="P4530" s="31" t="str">
        <f>IF($B4530="","",IF($P4529="",$B4530,MAX($P4529,$B4530)))</f>
        <v/>
      </c>
      <c r="Q4530" s="32" t="str">
        <f>IF($P4530="","",$B4530/$P4530-1)</f>
        <v/>
      </c>
    </row>
    <row r="4531">
      <c r="A4531" s="11" t="n"/>
      <c r="B4531" s="29" t="n"/>
      <c r="K4531" s="30" t="str">
        <f>IF($A4531="","",EDATE($A4531,12*$E$4))</f>
        <v/>
      </c>
      <c r="L4531" s="19" t="str">
        <f>IF($K4531="","",IF($K4531&gt;MAX($A$8:$A$5007),"",IFERROR(MATCH($K4531,$A$8:$A$5007,1),"")))</f>
        <v/>
      </c>
      <c r="M4531" s="30" t="str">
        <f>IF($L4531="","",INDEX($A$8:$A$5007,$L4531))</f>
        <v/>
      </c>
      <c r="N4531" s="31" t="str">
        <f>IF($L4531="","",INDEX($B$8:$B$5007,$L4531))</f>
        <v/>
      </c>
      <c r="O4531" s="32" t="str">
        <f>IF($M4531="","",IF($K4531-$M4531&gt;7,"",IF($M4531&lt;=$A4531,"",IF(OR($B4531&lt;=0,$N4531&lt;=0),"",($N4531/$B4531)^(365/($M4531-$A4531))-1))))</f>
        <v/>
      </c>
      <c r="P4531" s="31" t="str">
        <f>IF($B4531="","",IF($P4530="",$B4531,MAX($P4530,$B4531)))</f>
        <v/>
      </c>
      <c r="Q4531" s="32" t="str">
        <f>IF($P4531="","",$B4531/$P4531-1)</f>
        <v/>
      </c>
    </row>
    <row r="4532">
      <c r="A4532" s="11" t="n"/>
      <c r="B4532" s="29" t="n"/>
      <c r="K4532" s="30" t="str">
        <f>IF($A4532="","",EDATE($A4532,12*$E$4))</f>
        <v/>
      </c>
      <c r="L4532" s="19" t="str">
        <f>IF($K4532="","",IF($K4532&gt;MAX($A$8:$A$5007),"",IFERROR(MATCH($K4532,$A$8:$A$5007,1),"")))</f>
        <v/>
      </c>
      <c r="M4532" s="30" t="str">
        <f>IF($L4532="","",INDEX($A$8:$A$5007,$L4532))</f>
        <v/>
      </c>
      <c r="N4532" s="31" t="str">
        <f>IF($L4532="","",INDEX($B$8:$B$5007,$L4532))</f>
        <v/>
      </c>
      <c r="O4532" s="32" t="str">
        <f>IF($M4532="","",IF($K4532-$M4532&gt;7,"",IF($M4532&lt;=$A4532,"",IF(OR($B4532&lt;=0,$N4532&lt;=0),"",($N4532/$B4532)^(365/($M4532-$A4532))-1))))</f>
        <v/>
      </c>
      <c r="P4532" s="31" t="str">
        <f>IF($B4532="","",IF($P4531="",$B4532,MAX($P4531,$B4532)))</f>
        <v/>
      </c>
      <c r="Q4532" s="32" t="str">
        <f>IF($P4532="","",$B4532/$P4532-1)</f>
        <v/>
      </c>
    </row>
    <row r="4533">
      <c r="A4533" s="11" t="n"/>
      <c r="B4533" s="29" t="n"/>
      <c r="K4533" s="30" t="str">
        <f>IF($A4533="","",EDATE($A4533,12*$E$4))</f>
        <v/>
      </c>
      <c r="L4533" s="19" t="str">
        <f>IF($K4533="","",IF($K4533&gt;MAX($A$8:$A$5007),"",IFERROR(MATCH($K4533,$A$8:$A$5007,1),"")))</f>
        <v/>
      </c>
      <c r="M4533" s="30" t="str">
        <f>IF($L4533="","",INDEX($A$8:$A$5007,$L4533))</f>
        <v/>
      </c>
      <c r="N4533" s="31" t="str">
        <f>IF($L4533="","",INDEX($B$8:$B$5007,$L4533))</f>
        <v/>
      </c>
      <c r="O4533" s="32" t="str">
        <f>IF($M4533="","",IF($K4533-$M4533&gt;7,"",IF($M4533&lt;=$A4533,"",IF(OR($B4533&lt;=0,$N4533&lt;=0),"",($N4533/$B4533)^(365/($M4533-$A4533))-1))))</f>
        <v/>
      </c>
      <c r="P4533" s="31" t="str">
        <f>IF($B4533="","",IF($P4532="",$B4533,MAX($P4532,$B4533)))</f>
        <v/>
      </c>
      <c r="Q4533" s="32" t="str">
        <f>IF($P4533="","",$B4533/$P4533-1)</f>
        <v/>
      </c>
    </row>
    <row r="4534">
      <c r="A4534" s="11" t="n"/>
      <c r="B4534" s="29" t="n"/>
      <c r="K4534" s="30" t="str">
        <f>IF($A4534="","",EDATE($A4534,12*$E$4))</f>
        <v/>
      </c>
      <c r="L4534" s="19" t="str">
        <f>IF($K4534="","",IF($K4534&gt;MAX($A$8:$A$5007),"",IFERROR(MATCH($K4534,$A$8:$A$5007,1),"")))</f>
        <v/>
      </c>
      <c r="M4534" s="30" t="str">
        <f>IF($L4534="","",INDEX($A$8:$A$5007,$L4534))</f>
        <v/>
      </c>
      <c r="N4534" s="31" t="str">
        <f>IF($L4534="","",INDEX($B$8:$B$5007,$L4534))</f>
        <v/>
      </c>
      <c r="O4534" s="32" t="str">
        <f>IF($M4534="","",IF($K4534-$M4534&gt;7,"",IF($M4534&lt;=$A4534,"",IF(OR($B4534&lt;=0,$N4534&lt;=0),"",($N4534/$B4534)^(365/($M4534-$A4534))-1))))</f>
        <v/>
      </c>
      <c r="P4534" s="31" t="str">
        <f>IF($B4534="","",IF($P4533="",$B4534,MAX($P4533,$B4534)))</f>
        <v/>
      </c>
      <c r="Q4534" s="32" t="str">
        <f>IF($P4534="","",$B4534/$P4534-1)</f>
        <v/>
      </c>
    </row>
    <row r="4535">
      <c r="A4535" s="11" t="n"/>
      <c r="B4535" s="29" t="n"/>
      <c r="K4535" s="30" t="str">
        <f>IF($A4535="","",EDATE($A4535,12*$E$4))</f>
        <v/>
      </c>
      <c r="L4535" s="19" t="str">
        <f>IF($K4535="","",IF($K4535&gt;MAX($A$8:$A$5007),"",IFERROR(MATCH($K4535,$A$8:$A$5007,1),"")))</f>
        <v/>
      </c>
      <c r="M4535" s="30" t="str">
        <f>IF($L4535="","",INDEX($A$8:$A$5007,$L4535))</f>
        <v/>
      </c>
      <c r="N4535" s="31" t="str">
        <f>IF($L4535="","",INDEX($B$8:$B$5007,$L4535))</f>
        <v/>
      </c>
      <c r="O4535" s="32" t="str">
        <f>IF($M4535="","",IF($K4535-$M4535&gt;7,"",IF($M4535&lt;=$A4535,"",IF(OR($B4535&lt;=0,$N4535&lt;=0),"",($N4535/$B4535)^(365/($M4535-$A4535))-1))))</f>
        <v/>
      </c>
      <c r="P4535" s="31" t="str">
        <f>IF($B4535="","",IF($P4534="",$B4535,MAX($P4534,$B4535)))</f>
        <v/>
      </c>
      <c r="Q4535" s="32" t="str">
        <f>IF($P4535="","",$B4535/$P4535-1)</f>
        <v/>
      </c>
    </row>
    <row r="4536">
      <c r="A4536" s="11" t="n"/>
      <c r="B4536" s="29" t="n"/>
      <c r="K4536" s="30" t="str">
        <f>IF($A4536="","",EDATE($A4536,12*$E$4))</f>
        <v/>
      </c>
      <c r="L4536" s="19" t="str">
        <f>IF($K4536="","",IF($K4536&gt;MAX($A$8:$A$5007),"",IFERROR(MATCH($K4536,$A$8:$A$5007,1),"")))</f>
        <v/>
      </c>
      <c r="M4536" s="30" t="str">
        <f>IF($L4536="","",INDEX($A$8:$A$5007,$L4536))</f>
        <v/>
      </c>
      <c r="N4536" s="31" t="str">
        <f>IF($L4536="","",INDEX($B$8:$B$5007,$L4536))</f>
        <v/>
      </c>
      <c r="O4536" s="32" t="str">
        <f>IF($M4536="","",IF($K4536-$M4536&gt;7,"",IF($M4536&lt;=$A4536,"",IF(OR($B4536&lt;=0,$N4536&lt;=0),"",($N4536/$B4536)^(365/($M4536-$A4536))-1))))</f>
        <v/>
      </c>
      <c r="P4536" s="31" t="str">
        <f>IF($B4536="","",IF($P4535="",$B4536,MAX($P4535,$B4536)))</f>
        <v/>
      </c>
      <c r="Q4536" s="32" t="str">
        <f>IF($P4536="","",$B4536/$P4536-1)</f>
        <v/>
      </c>
    </row>
    <row r="4537">
      <c r="A4537" s="11" t="n"/>
      <c r="B4537" s="29" t="n"/>
      <c r="K4537" s="30" t="str">
        <f>IF($A4537="","",EDATE($A4537,12*$E$4))</f>
        <v/>
      </c>
      <c r="L4537" s="19" t="str">
        <f>IF($K4537="","",IF($K4537&gt;MAX($A$8:$A$5007),"",IFERROR(MATCH($K4537,$A$8:$A$5007,1),"")))</f>
        <v/>
      </c>
      <c r="M4537" s="30" t="str">
        <f>IF($L4537="","",INDEX($A$8:$A$5007,$L4537))</f>
        <v/>
      </c>
      <c r="N4537" s="31" t="str">
        <f>IF($L4537="","",INDEX($B$8:$B$5007,$L4537))</f>
        <v/>
      </c>
      <c r="O4537" s="32" t="str">
        <f>IF($M4537="","",IF($K4537-$M4537&gt;7,"",IF($M4537&lt;=$A4537,"",IF(OR($B4537&lt;=0,$N4537&lt;=0),"",($N4537/$B4537)^(365/($M4537-$A4537))-1))))</f>
        <v/>
      </c>
      <c r="P4537" s="31" t="str">
        <f>IF($B4537="","",IF($P4536="",$B4537,MAX($P4536,$B4537)))</f>
        <v/>
      </c>
      <c r="Q4537" s="32" t="str">
        <f>IF($P4537="","",$B4537/$P4537-1)</f>
        <v/>
      </c>
    </row>
    <row r="4538">
      <c r="A4538" s="11" t="n"/>
      <c r="B4538" s="29" t="n"/>
      <c r="K4538" s="30" t="str">
        <f>IF($A4538="","",EDATE($A4538,12*$E$4))</f>
        <v/>
      </c>
      <c r="L4538" s="19" t="str">
        <f>IF($K4538="","",IF($K4538&gt;MAX($A$8:$A$5007),"",IFERROR(MATCH($K4538,$A$8:$A$5007,1),"")))</f>
        <v/>
      </c>
      <c r="M4538" s="30" t="str">
        <f>IF($L4538="","",INDEX($A$8:$A$5007,$L4538))</f>
        <v/>
      </c>
      <c r="N4538" s="31" t="str">
        <f>IF($L4538="","",INDEX($B$8:$B$5007,$L4538))</f>
        <v/>
      </c>
      <c r="O4538" s="32" t="str">
        <f>IF($M4538="","",IF($K4538-$M4538&gt;7,"",IF($M4538&lt;=$A4538,"",IF(OR($B4538&lt;=0,$N4538&lt;=0),"",($N4538/$B4538)^(365/($M4538-$A4538))-1))))</f>
        <v/>
      </c>
      <c r="P4538" s="31" t="str">
        <f>IF($B4538="","",IF($P4537="",$B4538,MAX($P4537,$B4538)))</f>
        <v/>
      </c>
      <c r="Q4538" s="32" t="str">
        <f>IF($P4538="","",$B4538/$P4538-1)</f>
        <v/>
      </c>
    </row>
    <row r="4539">
      <c r="A4539" s="11" t="n"/>
      <c r="B4539" s="29" t="n"/>
      <c r="K4539" s="30" t="str">
        <f>IF($A4539="","",EDATE($A4539,12*$E$4))</f>
        <v/>
      </c>
      <c r="L4539" s="19" t="str">
        <f>IF($K4539="","",IF($K4539&gt;MAX($A$8:$A$5007),"",IFERROR(MATCH($K4539,$A$8:$A$5007,1),"")))</f>
        <v/>
      </c>
      <c r="M4539" s="30" t="str">
        <f>IF($L4539="","",INDEX($A$8:$A$5007,$L4539))</f>
        <v/>
      </c>
      <c r="N4539" s="31" t="str">
        <f>IF($L4539="","",INDEX($B$8:$B$5007,$L4539))</f>
        <v/>
      </c>
      <c r="O4539" s="32" t="str">
        <f>IF($M4539="","",IF($K4539-$M4539&gt;7,"",IF($M4539&lt;=$A4539,"",IF(OR($B4539&lt;=0,$N4539&lt;=0),"",($N4539/$B4539)^(365/($M4539-$A4539))-1))))</f>
        <v/>
      </c>
      <c r="P4539" s="31" t="str">
        <f>IF($B4539="","",IF($P4538="",$B4539,MAX($P4538,$B4539)))</f>
        <v/>
      </c>
      <c r="Q4539" s="32" t="str">
        <f>IF($P4539="","",$B4539/$P4539-1)</f>
        <v/>
      </c>
    </row>
    <row r="4540">
      <c r="A4540" s="11" t="n"/>
      <c r="B4540" s="29" t="n"/>
      <c r="K4540" s="30" t="str">
        <f>IF($A4540="","",EDATE($A4540,12*$E$4))</f>
        <v/>
      </c>
      <c r="L4540" s="19" t="str">
        <f>IF($K4540="","",IF($K4540&gt;MAX($A$8:$A$5007),"",IFERROR(MATCH($K4540,$A$8:$A$5007,1),"")))</f>
        <v/>
      </c>
      <c r="M4540" s="30" t="str">
        <f>IF($L4540="","",INDEX($A$8:$A$5007,$L4540))</f>
        <v/>
      </c>
      <c r="N4540" s="31" t="str">
        <f>IF($L4540="","",INDEX($B$8:$B$5007,$L4540))</f>
        <v/>
      </c>
      <c r="O4540" s="32" t="str">
        <f>IF($M4540="","",IF($K4540-$M4540&gt;7,"",IF($M4540&lt;=$A4540,"",IF(OR($B4540&lt;=0,$N4540&lt;=0),"",($N4540/$B4540)^(365/($M4540-$A4540))-1))))</f>
        <v/>
      </c>
      <c r="P4540" s="31" t="str">
        <f>IF($B4540="","",IF($P4539="",$B4540,MAX($P4539,$B4540)))</f>
        <v/>
      </c>
      <c r="Q4540" s="32" t="str">
        <f>IF($P4540="","",$B4540/$P4540-1)</f>
        <v/>
      </c>
    </row>
    <row r="4541">
      <c r="A4541" s="11" t="n"/>
      <c r="B4541" s="29" t="n"/>
      <c r="K4541" s="30" t="str">
        <f>IF($A4541="","",EDATE($A4541,12*$E$4))</f>
        <v/>
      </c>
      <c r="L4541" s="19" t="str">
        <f>IF($K4541="","",IF($K4541&gt;MAX($A$8:$A$5007),"",IFERROR(MATCH($K4541,$A$8:$A$5007,1),"")))</f>
        <v/>
      </c>
      <c r="M4541" s="30" t="str">
        <f>IF($L4541="","",INDEX($A$8:$A$5007,$L4541))</f>
        <v/>
      </c>
      <c r="N4541" s="31" t="str">
        <f>IF($L4541="","",INDEX($B$8:$B$5007,$L4541))</f>
        <v/>
      </c>
      <c r="O4541" s="32" t="str">
        <f>IF($M4541="","",IF($K4541-$M4541&gt;7,"",IF($M4541&lt;=$A4541,"",IF(OR($B4541&lt;=0,$N4541&lt;=0),"",($N4541/$B4541)^(365/($M4541-$A4541))-1))))</f>
        <v/>
      </c>
      <c r="P4541" s="31" t="str">
        <f>IF($B4541="","",IF($P4540="",$B4541,MAX($P4540,$B4541)))</f>
        <v/>
      </c>
      <c r="Q4541" s="32" t="str">
        <f>IF($P4541="","",$B4541/$P4541-1)</f>
        <v/>
      </c>
    </row>
    <row r="4542">
      <c r="A4542" s="11" t="n"/>
      <c r="B4542" s="29" t="n"/>
      <c r="K4542" s="30" t="str">
        <f>IF($A4542="","",EDATE($A4542,12*$E$4))</f>
        <v/>
      </c>
      <c r="L4542" s="19" t="str">
        <f>IF($K4542="","",IF($K4542&gt;MAX($A$8:$A$5007),"",IFERROR(MATCH($K4542,$A$8:$A$5007,1),"")))</f>
        <v/>
      </c>
      <c r="M4542" s="30" t="str">
        <f>IF($L4542="","",INDEX($A$8:$A$5007,$L4542))</f>
        <v/>
      </c>
      <c r="N4542" s="31" t="str">
        <f>IF($L4542="","",INDEX($B$8:$B$5007,$L4542))</f>
        <v/>
      </c>
      <c r="O4542" s="32" t="str">
        <f>IF($M4542="","",IF($K4542-$M4542&gt;7,"",IF($M4542&lt;=$A4542,"",IF(OR($B4542&lt;=0,$N4542&lt;=0),"",($N4542/$B4542)^(365/($M4542-$A4542))-1))))</f>
        <v/>
      </c>
      <c r="P4542" s="31" t="str">
        <f>IF($B4542="","",IF($P4541="",$B4542,MAX($P4541,$B4542)))</f>
        <v/>
      </c>
      <c r="Q4542" s="32" t="str">
        <f>IF($P4542="","",$B4542/$P4542-1)</f>
        <v/>
      </c>
    </row>
    <row r="4543">
      <c r="A4543" s="11" t="n"/>
      <c r="B4543" s="29" t="n"/>
      <c r="K4543" s="30" t="str">
        <f>IF($A4543="","",EDATE($A4543,12*$E$4))</f>
        <v/>
      </c>
      <c r="L4543" s="19" t="str">
        <f>IF($K4543="","",IF($K4543&gt;MAX($A$8:$A$5007),"",IFERROR(MATCH($K4543,$A$8:$A$5007,1),"")))</f>
        <v/>
      </c>
      <c r="M4543" s="30" t="str">
        <f>IF($L4543="","",INDEX($A$8:$A$5007,$L4543))</f>
        <v/>
      </c>
      <c r="N4543" s="31" t="str">
        <f>IF($L4543="","",INDEX($B$8:$B$5007,$L4543))</f>
        <v/>
      </c>
      <c r="O4543" s="32" t="str">
        <f>IF($M4543="","",IF($K4543-$M4543&gt;7,"",IF($M4543&lt;=$A4543,"",IF(OR($B4543&lt;=0,$N4543&lt;=0),"",($N4543/$B4543)^(365/($M4543-$A4543))-1))))</f>
        <v/>
      </c>
      <c r="P4543" s="31" t="str">
        <f>IF($B4543="","",IF($P4542="",$B4543,MAX($P4542,$B4543)))</f>
        <v/>
      </c>
      <c r="Q4543" s="32" t="str">
        <f>IF($P4543="","",$B4543/$P4543-1)</f>
        <v/>
      </c>
    </row>
    <row r="4544">
      <c r="A4544" s="11" t="n"/>
      <c r="B4544" s="29" t="n"/>
      <c r="K4544" s="30" t="str">
        <f>IF($A4544="","",EDATE($A4544,12*$E$4))</f>
        <v/>
      </c>
      <c r="L4544" s="19" t="str">
        <f>IF($K4544="","",IF($K4544&gt;MAX($A$8:$A$5007),"",IFERROR(MATCH($K4544,$A$8:$A$5007,1),"")))</f>
        <v/>
      </c>
      <c r="M4544" s="30" t="str">
        <f>IF($L4544="","",INDEX($A$8:$A$5007,$L4544))</f>
        <v/>
      </c>
      <c r="N4544" s="31" t="str">
        <f>IF($L4544="","",INDEX($B$8:$B$5007,$L4544))</f>
        <v/>
      </c>
      <c r="O4544" s="32" t="str">
        <f>IF($M4544="","",IF($K4544-$M4544&gt;7,"",IF($M4544&lt;=$A4544,"",IF(OR($B4544&lt;=0,$N4544&lt;=0),"",($N4544/$B4544)^(365/($M4544-$A4544))-1))))</f>
        <v/>
      </c>
      <c r="P4544" s="31" t="str">
        <f>IF($B4544="","",IF($P4543="",$B4544,MAX($P4543,$B4544)))</f>
        <v/>
      </c>
      <c r="Q4544" s="32" t="str">
        <f>IF($P4544="","",$B4544/$P4544-1)</f>
        <v/>
      </c>
    </row>
    <row r="4545">
      <c r="A4545" s="11" t="n"/>
      <c r="B4545" s="29" t="n"/>
      <c r="K4545" s="30" t="str">
        <f>IF($A4545="","",EDATE($A4545,12*$E$4))</f>
        <v/>
      </c>
      <c r="L4545" s="19" t="str">
        <f>IF($K4545="","",IF($K4545&gt;MAX($A$8:$A$5007),"",IFERROR(MATCH($K4545,$A$8:$A$5007,1),"")))</f>
        <v/>
      </c>
      <c r="M4545" s="30" t="str">
        <f>IF($L4545="","",INDEX($A$8:$A$5007,$L4545))</f>
        <v/>
      </c>
      <c r="N4545" s="31" t="str">
        <f>IF($L4545="","",INDEX($B$8:$B$5007,$L4545))</f>
        <v/>
      </c>
      <c r="O4545" s="32" t="str">
        <f>IF($M4545="","",IF($K4545-$M4545&gt;7,"",IF($M4545&lt;=$A4545,"",IF(OR($B4545&lt;=0,$N4545&lt;=0),"",($N4545/$B4545)^(365/($M4545-$A4545))-1))))</f>
        <v/>
      </c>
      <c r="P4545" s="31" t="str">
        <f>IF($B4545="","",IF($P4544="",$B4545,MAX($P4544,$B4545)))</f>
        <v/>
      </c>
      <c r="Q4545" s="32" t="str">
        <f>IF($P4545="","",$B4545/$P4545-1)</f>
        <v/>
      </c>
    </row>
    <row r="4546">
      <c r="A4546" s="11" t="n"/>
      <c r="B4546" s="29" t="n"/>
      <c r="K4546" s="30" t="str">
        <f>IF($A4546="","",EDATE($A4546,12*$E$4))</f>
        <v/>
      </c>
      <c r="L4546" s="19" t="str">
        <f>IF($K4546="","",IF($K4546&gt;MAX($A$8:$A$5007),"",IFERROR(MATCH($K4546,$A$8:$A$5007,1),"")))</f>
        <v/>
      </c>
      <c r="M4546" s="30" t="str">
        <f>IF($L4546="","",INDEX($A$8:$A$5007,$L4546))</f>
        <v/>
      </c>
      <c r="N4546" s="31" t="str">
        <f>IF($L4546="","",INDEX($B$8:$B$5007,$L4546))</f>
        <v/>
      </c>
      <c r="O4546" s="32" t="str">
        <f>IF($M4546="","",IF($K4546-$M4546&gt;7,"",IF($M4546&lt;=$A4546,"",IF(OR($B4546&lt;=0,$N4546&lt;=0),"",($N4546/$B4546)^(365/($M4546-$A4546))-1))))</f>
        <v/>
      </c>
      <c r="P4546" s="31" t="str">
        <f>IF($B4546="","",IF($P4545="",$B4546,MAX($P4545,$B4546)))</f>
        <v/>
      </c>
      <c r="Q4546" s="32" t="str">
        <f>IF($P4546="","",$B4546/$P4546-1)</f>
        <v/>
      </c>
    </row>
    <row r="4547">
      <c r="A4547" s="11" t="n"/>
      <c r="B4547" s="29" t="n"/>
      <c r="K4547" s="30" t="str">
        <f>IF($A4547="","",EDATE($A4547,12*$E$4))</f>
        <v/>
      </c>
      <c r="L4547" s="19" t="str">
        <f>IF($K4547="","",IF($K4547&gt;MAX($A$8:$A$5007),"",IFERROR(MATCH($K4547,$A$8:$A$5007,1),"")))</f>
        <v/>
      </c>
      <c r="M4547" s="30" t="str">
        <f>IF($L4547="","",INDEX($A$8:$A$5007,$L4547))</f>
        <v/>
      </c>
      <c r="N4547" s="31" t="str">
        <f>IF($L4547="","",INDEX($B$8:$B$5007,$L4547))</f>
        <v/>
      </c>
      <c r="O4547" s="32" t="str">
        <f>IF($M4547="","",IF($K4547-$M4547&gt;7,"",IF($M4547&lt;=$A4547,"",IF(OR($B4547&lt;=0,$N4547&lt;=0),"",($N4547/$B4547)^(365/($M4547-$A4547))-1))))</f>
        <v/>
      </c>
      <c r="P4547" s="31" t="str">
        <f>IF($B4547="","",IF($P4546="",$B4547,MAX($P4546,$B4547)))</f>
        <v/>
      </c>
      <c r="Q4547" s="32" t="str">
        <f>IF($P4547="","",$B4547/$P4547-1)</f>
        <v/>
      </c>
    </row>
    <row r="4548">
      <c r="A4548" s="11" t="n"/>
      <c r="B4548" s="29" t="n"/>
      <c r="K4548" s="30" t="str">
        <f>IF($A4548="","",EDATE($A4548,12*$E$4))</f>
        <v/>
      </c>
      <c r="L4548" s="19" t="str">
        <f>IF($K4548="","",IF($K4548&gt;MAX($A$8:$A$5007),"",IFERROR(MATCH($K4548,$A$8:$A$5007,1),"")))</f>
        <v/>
      </c>
      <c r="M4548" s="30" t="str">
        <f>IF($L4548="","",INDEX($A$8:$A$5007,$L4548))</f>
        <v/>
      </c>
      <c r="N4548" s="31" t="str">
        <f>IF($L4548="","",INDEX($B$8:$B$5007,$L4548))</f>
        <v/>
      </c>
      <c r="O4548" s="32" t="str">
        <f>IF($M4548="","",IF($K4548-$M4548&gt;7,"",IF($M4548&lt;=$A4548,"",IF(OR($B4548&lt;=0,$N4548&lt;=0),"",($N4548/$B4548)^(365/($M4548-$A4548))-1))))</f>
        <v/>
      </c>
      <c r="P4548" s="31" t="str">
        <f>IF($B4548="","",IF($P4547="",$B4548,MAX($P4547,$B4548)))</f>
        <v/>
      </c>
      <c r="Q4548" s="32" t="str">
        <f>IF($P4548="","",$B4548/$P4548-1)</f>
        <v/>
      </c>
    </row>
    <row r="4549">
      <c r="A4549" s="11" t="n"/>
      <c r="B4549" s="29" t="n"/>
      <c r="K4549" s="30" t="str">
        <f>IF($A4549="","",EDATE($A4549,12*$E$4))</f>
        <v/>
      </c>
      <c r="L4549" s="19" t="str">
        <f>IF($K4549="","",IF($K4549&gt;MAX($A$8:$A$5007),"",IFERROR(MATCH($K4549,$A$8:$A$5007,1),"")))</f>
        <v/>
      </c>
      <c r="M4549" s="30" t="str">
        <f>IF($L4549="","",INDEX($A$8:$A$5007,$L4549))</f>
        <v/>
      </c>
      <c r="N4549" s="31" t="str">
        <f>IF($L4549="","",INDEX($B$8:$B$5007,$L4549))</f>
        <v/>
      </c>
      <c r="O4549" s="32" t="str">
        <f>IF($M4549="","",IF($K4549-$M4549&gt;7,"",IF($M4549&lt;=$A4549,"",IF(OR($B4549&lt;=0,$N4549&lt;=0),"",($N4549/$B4549)^(365/($M4549-$A4549))-1))))</f>
        <v/>
      </c>
      <c r="P4549" s="31" t="str">
        <f>IF($B4549="","",IF($P4548="",$B4549,MAX($P4548,$B4549)))</f>
        <v/>
      </c>
      <c r="Q4549" s="32" t="str">
        <f>IF($P4549="","",$B4549/$P4549-1)</f>
        <v/>
      </c>
    </row>
    <row r="4550">
      <c r="A4550" s="11" t="n"/>
      <c r="B4550" s="29" t="n"/>
      <c r="K4550" s="30" t="str">
        <f>IF($A4550="","",EDATE($A4550,12*$E$4))</f>
        <v/>
      </c>
      <c r="L4550" s="19" t="str">
        <f>IF($K4550="","",IF($K4550&gt;MAX($A$8:$A$5007),"",IFERROR(MATCH($K4550,$A$8:$A$5007,1),"")))</f>
        <v/>
      </c>
      <c r="M4550" s="30" t="str">
        <f>IF($L4550="","",INDEX($A$8:$A$5007,$L4550))</f>
        <v/>
      </c>
      <c r="N4550" s="31" t="str">
        <f>IF($L4550="","",INDEX($B$8:$B$5007,$L4550))</f>
        <v/>
      </c>
      <c r="O4550" s="32" t="str">
        <f>IF($M4550="","",IF($K4550-$M4550&gt;7,"",IF($M4550&lt;=$A4550,"",IF(OR($B4550&lt;=0,$N4550&lt;=0),"",($N4550/$B4550)^(365/($M4550-$A4550))-1))))</f>
        <v/>
      </c>
      <c r="P4550" s="31" t="str">
        <f>IF($B4550="","",IF($P4549="",$B4550,MAX($P4549,$B4550)))</f>
        <v/>
      </c>
      <c r="Q4550" s="32" t="str">
        <f>IF($P4550="","",$B4550/$P4550-1)</f>
        <v/>
      </c>
    </row>
    <row r="4551">
      <c r="A4551" s="11" t="n"/>
      <c r="B4551" s="29" t="n"/>
      <c r="K4551" s="30" t="str">
        <f>IF($A4551="","",EDATE($A4551,12*$E$4))</f>
        <v/>
      </c>
      <c r="L4551" s="19" t="str">
        <f>IF($K4551="","",IF($K4551&gt;MAX($A$8:$A$5007),"",IFERROR(MATCH($K4551,$A$8:$A$5007,1),"")))</f>
        <v/>
      </c>
      <c r="M4551" s="30" t="str">
        <f>IF($L4551="","",INDEX($A$8:$A$5007,$L4551))</f>
        <v/>
      </c>
      <c r="N4551" s="31" t="str">
        <f>IF($L4551="","",INDEX($B$8:$B$5007,$L4551))</f>
        <v/>
      </c>
      <c r="O4551" s="32" t="str">
        <f>IF($M4551="","",IF($K4551-$M4551&gt;7,"",IF($M4551&lt;=$A4551,"",IF(OR($B4551&lt;=0,$N4551&lt;=0),"",($N4551/$B4551)^(365/($M4551-$A4551))-1))))</f>
        <v/>
      </c>
      <c r="P4551" s="31" t="str">
        <f>IF($B4551="","",IF($P4550="",$B4551,MAX($P4550,$B4551)))</f>
        <v/>
      </c>
      <c r="Q4551" s="32" t="str">
        <f>IF($P4551="","",$B4551/$P4551-1)</f>
        <v/>
      </c>
    </row>
    <row r="4552">
      <c r="A4552" s="11" t="n"/>
      <c r="B4552" s="29" t="n"/>
      <c r="K4552" s="30" t="str">
        <f>IF($A4552="","",EDATE($A4552,12*$E$4))</f>
        <v/>
      </c>
      <c r="L4552" s="19" t="str">
        <f>IF($K4552="","",IF($K4552&gt;MAX($A$8:$A$5007),"",IFERROR(MATCH($K4552,$A$8:$A$5007,1),"")))</f>
        <v/>
      </c>
      <c r="M4552" s="30" t="str">
        <f>IF($L4552="","",INDEX($A$8:$A$5007,$L4552))</f>
        <v/>
      </c>
      <c r="N4552" s="31" t="str">
        <f>IF($L4552="","",INDEX($B$8:$B$5007,$L4552))</f>
        <v/>
      </c>
      <c r="O4552" s="32" t="str">
        <f>IF($M4552="","",IF($K4552-$M4552&gt;7,"",IF($M4552&lt;=$A4552,"",IF(OR($B4552&lt;=0,$N4552&lt;=0),"",($N4552/$B4552)^(365/($M4552-$A4552))-1))))</f>
        <v/>
      </c>
      <c r="P4552" s="31" t="str">
        <f>IF($B4552="","",IF($P4551="",$B4552,MAX($P4551,$B4552)))</f>
        <v/>
      </c>
      <c r="Q4552" s="32" t="str">
        <f>IF($P4552="","",$B4552/$P4552-1)</f>
        <v/>
      </c>
    </row>
    <row r="4553">
      <c r="A4553" s="11" t="n"/>
      <c r="B4553" s="29" t="n"/>
      <c r="K4553" s="30" t="str">
        <f>IF($A4553="","",EDATE($A4553,12*$E$4))</f>
        <v/>
      </c>
      <c r="L4553" s="19" t="str">
        <f>IF($K4553="","",IF($K4553&gt;MAX($A$8:$A$5007),"",IFERROR(MATCH($K4553,$A$8:$A$5007,1),"")))</f>
        <v/>
      </c>
      <c r="M4553" s="30" t="str">
        <f>IF($L4553="","",INDEX($A$8:$A$5007,$L4553))</f>
        <v/>
      </c>
      <c r="N4553" s="31" t="str">
        <f>IF($L4553="","",INDEX($B$8:$B$5007,$L4553))</f>
        <v/>
      </c>
      <c r="O4553" s="32" t="str">
        <f>IF($M4553="","",IF($K4553-$M4553&gt;7,"",IF($M4553&lt;=$A4553,"",IF(OR($B4553&lt;=0,$N4553&lt;=0),"",($N4553/$B4553)^(365/($M4553-$A4553))-1))))</f>
        <v/>
      </c>
      <c r="P4553" s="31" t="str">
        <f>IF($B4553="","",IF($P4552="",$B4553,MAX($P4552,$B4553)))</f>
        <v/>
      </c>
      <c r="Q4553" s="32" t="str">
        <f>IF($P4553="","",$B4553/$P4553-1)</f>
        <v/>
      </c>
    </row>
    <row r="4554">
      <c r="A4554" s="11" t="n"/>
      <c r="B4554" s="29" t="n"/>
      <c r="K4554" s="30" t="str">
        <f>IF($A4554="","",EDATE($A4554,12*$E$4))</f>
        <v/>
      </c>
      <c r="L4554" s="19" t="str">
        <f>IF($K4554="","",IF($K4554&gt;MAX($A$8:$A$5007),"",IFERROR(MATCH($K4554,$A$8:$A$5007,1),"")))</f>
        <v/>
      </c>
      <c r="M4554" s="30" t="str">
        <f>IF($L4554="","",INDEX($A$8:$A$5007,$L4554))</f>
        <v/>
      </c>
      <c r="N4554" s="31" t="str">
        <f>IF($L4554="","",INDEX($B$8:$B$5007,$L4554))</f>
        <v/>
      </c>
      <c r="O4554" s="32" t="str">
        <f>IF($M4554="","",IF($K4554-$M4554&gt;7,"",IF($M4554&lt;=$A4554,"",IF(OR($B4554&lt;=0,$N4554&lt;=0),"",($N4554/$B4554)^(365/($M4554-$A4554))-1))))</f>
        <v/>
      </c>
      <c r="P4554" s="31" t="str">
        <f>IF($B4554="","",IF($P4553="",$B4554,MAX($P4553,$B4554)))</f>
        <v/>
      </c>
      <c r="Q4554" s="32" t="str">
        <f>IF($P4554="","",$B4554/$P4554-1)</f>
        <v/>
      </c>
    </row>
    <row r="4555">
      <c r="A4555" s="11" t="n"/>
      <c r="B4555" s="29" t="n"/>
      <c r="K4555" s="30" t="str">
        <f>IF($A4555="","",EDATE($A4555,12*$E$4))</f>
        <v/>
      </c>
      <c r="L4555" s="19" t="str">
        <f>IF($K4555="","",IF($K4555&gt;MAX($A$8:$A$5007),"",IFERROR(MATCH($K4555,$A$8:$A$5007,1),"")))</f>
        <v/>
      </c>
      <c r="M4555" s="30" t="str">
        <f>IF($L4555="","",INDEX($A$8:$A$5007,$L4555))</f>
        <v/>
      </c>
      <c r="N4555" s="31" t="str">
        <f>IF($L4555="","",INDEX($B$8:$B$5007,$L4555))</f>
        <v/>
      </c>
      <c r="O4555" s="32" t="str">
        <f>IF($M4555="","",IF($K4555-$M4555&gt;7,"",IF($M4555&lt;=$A4555,"",IF(OR($B4555&lt;=0,$N4555&lt;=0),"",($N4555/$B4555)^(365/($M4555-$A4555))-1))))</f>
        <v/>
      </c>
      <c r="P4555" s="31" t="str">
        <f>IF($B4555="","",IF($P4554="",$B4555,MAX($P4554,$B4555)))</f>
        <v/>
      </c>
      <c r="Q4555" s="32" t="str">
        <f>IF($P4555="","",$B4555/$P4555-1)</f>
        <v/>
      </c>
    </row>
    <row r="4556">
      <c r="A4556" s="11" t="n"/>
      <c r="B4556" s="29" t="n"/>
      <c r="K4556" s="30" t="str">
        <f>IF($A4556="","",EDATE($A4556,12*$E$4))</f>
        <v/>
      </c>
      <c r="L4556" s="19" t="str">
        <f>IF($K4556="","",IF($K4556&gt;MAX($A$8:$A$5007),"",IFERROR(MATCH($K4556,$A$8:$A$5007,1),"")))</f>
        <v/>
      </c>
      <c r="M4556" s="30" t="str">
        <f>IF($L4556="","",INDEX($A$8:$A$5007,$L4556))</f>
        <v/>
      </c>
      <c r="N4556" s="31" t="str">
        <f>IF($L4556="","",INDEX($B$8:$B$5007,$L4556))</f>
        <v/>
      </c>
      <c r="O4556" s="32" t="str">
        <f>IF($M4556="","",IF($K4556-$M4556&gt;7,"",IF($M4556&lt;=$A4556,"",IF(OR($B4556&lt;=0,$N4556&lt;=0),"",($N4556/$B4556)^(365/($M4556-$A4556))-1))))</f>
        <v/>
      </c>
      <c r="P4556" s="31" t="str">
        <f>IF($B4556="","",IF($P4555="",$B4556,MAX($P4555,$B4556)))</f>
        <v/>
      </c>
      <c r="Q4556" s="32" t="str">
        <f>IF($P4556="","",$B4556/$P4556-1)</f>
        <v/>
      </c>
    </row>
    <row r="4557">
      <c r="A4557" s="11" t="n"/>
      <c r="B4557" s="29" t="n"/>
      <c r="K4557" s="30" t="str">
        <f>IF($A4557="","",EDATE($A4557,12*$E$4))</f>
        <v/>
      </c>
      <c r="L4557" s="19" t="str">
        <f>IF($K4557="","",IF($K4557&gt;MAX($A$8:$A$5007),"",IFERROR(MATCH($K4557,$A$8:$A$5007,1),"")))</f>
        <v/>
      </c>
      <c r="M4557" s="30" t="str">
        <f>IF($L4557="","",INDEX($A$8:$A$5007,$L4557))</f>
        <v/>
      </c>
      <c r="N4557" s="31" t="str">
        <f>IF($L4557="","",INDEX($B$8:$B$5007,$L4557))</f>
        <v/>
      </c>
      <c r="O4557" s="32" t="str">
        <f>IF($M4557="","",IF($K4557-$M4557&gt;7,"",IF($M4557&lt;=$A4557,"",IF(OR($B4557&lt;=0,$N4557&lt;=0),"",($N4557/$B4557)^(365/($M4557-$A4557))-1))))</f>
        <v/>
      </c>
      <c r="P4557" s="31" t="str">
        <f>IF($B4557="","",IF($P4556="",$B4557,MAX($P4556,$B4557)))</f>
        <v/>
      </c>
      <c r="Q4557" s="32" t="str">
        <f>IF($P4557="","",$B4557/$P4557-1)</f>
        <v/>
      </c>
    </row>
    <row r="4558">
      <c r="A4558" s="11" t="n"/>
      <c r="B4558" s="29" t="n"/>
      <c r="K4558" s="30" t="str">
        <f>IF($A4558="","",EDATE($A4558,12*$E$4))</f>
        <v/>
      </c>
      <c r="L4558" s="19" t="str">
        <f>IF($K4558="","",IF($K4558&gt;MAX($A$8:$A$5007),"",IFERROR(MATCH($K4558,$A$8:$A$5007,1),"")))</f>
        <v/>
      </c>
      <c r="M4558" s="30" t="str">
        <f>IF($L4558="","",INDEX($A$8:$A$5007,$L4558))</f>
        <v/>
      </c>
      <c r="N4558" s="31" t="str">
        <f>IF($L4558="","",INDEX($B$8:$B$5007,$L4558))</f>
        <v/>
      </c>
      <c r="O4558" s="32" t="str">
        <f>IF($M4558="","",IF($K4558-$M4558&gt;7,"",IF($M4558&lt;=$A4558,"",IF(OR($B4558&lt;=0,$N4558&lt;=0),"",($N4558/$B4558)^(365/($M4558-$A4558))-1))))</f>
        <v/>
      </c>
      <c r="P4558" s="31" t="str">
        <f>IF($B4558="","",IF($P4557="",$B4558,MAX($P4557,$B4558)))</f>
        <v/>
      </c>
      <c r="Q4558" s="32" t="str">
        <f>IF($P4558="","",$B4558/$P4558-1)</f>
        <v/>
      </c>
    </row>
    <row r="4559">
      <c r="A4559" s="11" t="n"/>
      <c r="B4559" s="29" t="n"/>
      <c r="K4559" s="30" t="str">
        <f>IF($A4559="","",EDATE($A4559,12*$E$4))</f>
        <v/>
      </c>
      <c r="L4559" s="19" t="str">
        <f>IF($K4559="","",IF($K4559&gt;MAX($A$8:$A$5007),"",IFERROR(MATCH($K4559,$A$8:$A$5007,1),"")))</f>
        <v/>
      </c>
      <c r="M4559" s="30" t="str">
        <f>IF($L4559="","",INDEX($A$8:$A$5007,$L4559))</f>
        <v/>
      </c>
      <c r="N4559" s="31" t="str">
        <f>IF($L4559="","",INDEX($B$8:$B$5007,$L4559))</f>
        <v/>
      </c>
      <c r="O4559" s="32" t="str">
        <f>IF($M4559="","",IF($K4559-$M4559&gt;7,"",IF($M4559&lt;=$A4559,"",IF(OR($B4559&lt;=0,$N4559&lt;=0),"",($N4559/$B4559)^(365/($M4559-$A4559))-1))))</f>
        <v/>
      </c>
      <c r="P4559" s="31" t="str">
        <f>IF($B4559="","",IF($P4558="",$B4559,MAX($P4558,$B4559)))</f>
        <v/>
      </c>
      <c r="Q4559" s="32" t="str">
        <f>IF($P4559="","",$B4559/$P4559-1)</f>
        <v/>
      </c>
    </row>
    <row r="4560">
      <c r="A4560" s="11" t="n"/>
      <c r="B4560" s="29" t="n"/>
      <c r="K4560" s="30" t="str">
        <f>IF($A4560="","",EDATE($A4560,12*$E$4))</f>
        <v/>
      </c>
      <c r="L4560" s="19" t="str">
        <f>IF($K4560="","",IF($K4560&gt;MAX($A$8:$A$5007),"",IFERROR(MATCH($K4560,$A$8:$A$5007,1),"")))</f>
        <v/>
      </c>
      <c r="M4560" s="30" t="str">
        <f>IF($L4560="","",INDEX($A$8:$A$5007,$L4560))</f>
        <v/>
      </c>
      <c r="N4560" s="31" t="str">
        <f>IF($L4560="","",INDEX($B$8:$B$5007,$L4560))</f>
        <v/>
      </c>
      <c r="O4560" s="32" t="str">
        <f>IF($M4560="","",IF($K4560-$M4560&gt;7,"",IF($M4560&lt;=$A4560,"",IF(OR($B4560&lt;=0,$N4560&lt;=0),"",($N4560/$B4560)^(365/($M4560-$A4560))-1))))</f>
        <v/>
      </c>
      <c r="P4560" s="31" t="str">
        <f>IF($B4560="","",IF($P4559="",$B4560,MAX($P4559,$B4560)))</f>
        <v/>
      </c>
      <c r="Q4560" s="32" t="str">
        <f>IF($P4560="","",$B4560/$P4560-1)</f>
        <v/>
      </c>
    </row>
    <row r="4561">
      <c r="A4561" s="11" t="n"/>
      <c r="B4561" s="29" t="n"/>
      <c r="K4561" s="30" t="str">
        <f>IF($A4561="","",EDATE($A4561,12*$E$4))</f>
        <v/>
      </c>
      <c r="L4561" s="19" t="str">
        <f>IF($K4561="","",IF($K4561&gt;MAX($A$8:$A$5007),"",IFERROR(MATCH($K4561,$A$8:$A$5007,1),"")))</f>
        <v/>
      </c>
      <c r="M4561" s="30" t="str">
        <f>IF($L4561="","",INDEX($A$8:$A$5007,$L4561))</f>
        <v/>
      </c>
      <c r="N4561" s="31" t="str">
        <f>IF($L4561="","",INDEX($B$8:$B$5007,$L4561))</f>
        <v/>
      </c>
      <c r="O4561" s="32" t="str">
        <f>IF($M4561="","",IF($K4561-$M4561&gt;7,"",IF($M4561&lt;=$A4561,"",IF(OR($B4561&lt;=0,$N4561&lt;=0),"",($N4561/$B4561)^(365/($M4561-$A4561))-1))))</f>
        <v/>
      </c>
      <c r="P4561" s="31" t="str">
        <f>IF($B4561="","",IF($P4560="",$B4561,MAX($P4560,$B4561)))</f>
        <v/>
      </c>
      <c r="Q4561" s="32" t="str">
        <f>IF($P4561="","",$B4561/$P4561-1)</f>
        <v/>
      </c>
    </row>
    <row r="4562">
      <c r="A4562" s="11" t="n"/>
      <c r="B4562" s="29" t="n"/>
      <c r="K4562" s="30" t="str">
        <f>IF($A4562="","",EDATE($A4562,12*$E$4))</f>
        <v/>
      </c>
      <c r="L4562" s="19" t="str">
        <f>IF($K4562="","",IF($K4562&gt;MAX($A$8:$A$5007),"",IFERROR(MATCH($K4562,$A$8:$A$5007,1),"")))</f>
        <v/>
      </c>
      <c r="M4562" s="30" t="str">
        <f>IF($L4562="","",INDEX($A$8:$A$5007,$L4562))</f>
        <v/>
      </c>
      <c r="N4562" s="31" t="str">
        <f>IF($L4562="","",INDEX($B$8:$B$5007,$L4562))</f>
        <v/>
      </c>
      <c r="O4562" s="32" t="str">
        <f>IF($M4562="","",IF($K4562-$M4562&gt;7,"",IF($M4562&lt;=$A4562,"",IF(OR($B4562&lt;=0,$N4562&lt;=0),"",($N4562/$B4562)^(365/($M4562-$A4562))-1))))</f>
        <v/>
      </c>
      <c r="P4562" s="31" t="str">
        <f>IF($B4562="","",IF($P4561="",$B4562,MAX($P4561,$B4562)))</f>
        <v/>
      </c>
      <c r="Q4562" s="32" t="str">
        <f>IF($P4562="","",$B4562/$P4562-1)</f>
        <v/>
      </c>
    </row>
    <row r="4563">
      <c r="A4563" s="11" t="n"/>
      <c r="B4563" s="29" t="n"/>
      <c r="K4563" s="30" t="str">
        <f>IF($A4563="","",EDATE($A4563,12*$E$4))</f>
        <v/>
      </c>
      <c r="L4563" s="19" t="str">
        <f>IF($K4563="","",IF($K4563&gt;MAX($A$8:$A$5007),"",IFERROR(MATCH($K4563,$A$8:$A$5007,1),"")))</f>
        <v/>
      </c>
      <c r="M4563" s="30" t="str">
        <f>IF($L4563="","",INDEX($A$8:$A$5007,$L4563))</f>
        <v/>
      </c>
      <c r="N4563" s="31" t="str">
        <f>IF($L4563="","",INDEX($B$8:$B$5007,$L4563))</f>
        <v/>
      </c>
      <c r="O4563" s="32" t="str">
        <f>IF($M4563="","",IF($K4563-$M4563&gt;7,"",IF($M4563&lt;=$A4563,"",IF(OR($B4563&lt;=0,$N4563&lt;=0),"",($N4563/$B4563)^(365/($M4563-$A4563))-1))))</f>
        <v/>
      </c>
      <c r="P4563" s="31" t="str">
        <f>IF($B4563="","",IF($P4562="",$B4563,MAX($P4562,$B4563)))</f>
        <v/>
      </c>
      <c r="Q4563" s="32" t="str">
        <f>IF($P4563="","",$B4563/$P4563-1)</f>
        <v/>
      </c>
    </row>
    <row r="4564">
      <c r="A4564" s="11" t="n"/>
      <c r="B4564" s="29" t="n"/>
      <c r="K4564" s="30" t="str">
        <f>IF($A4564="","",EDATE($A4564,12*$E$4))</f>
        <v/>
      </c>
      <c r="L4564" s="19" t="str">
        <f>IF($K4564="","",IF($K4564&gt;MAX($A$8:$A$5007),"",IFERROR(MATCH($K4564,$A$8:$A$5007,1),"")))</f>
        <v/>
      </c>
      <c r="M4564" s="30" t="str">
        <f>IF($L4564="","",INDEX($A$8:$A$5007,$L4564))</f>
        <v/>
      </c>
      <c r="N4564" s="31" t="str">
        <f>IF($L4564="","",INDEX($B$8:$B$5007,$L4564))</f>
        <v/>
      </c>
      <c r="O4564" s="32" t="str">
        <f>IF($M4564="","",IF($K4564-$M4564&gt;7,"",IF($M4564&lt;=$A4564,"",IF(OR($B4564&lt;=0,$N4564&lt;=0),"",($N4564/$B4564)^(365/($M4564-$A4564))-1))))</f>
        <v/>
      </c>
      <c r="P4564" s="31" t="str">
        <f>IF($B4564="","",IF($P4563="",$B4564,MAX($P4563,$B4564)))</f>
        <v/>
      </c>
      <c r="Q4564" s="32" t="str">
        <f>IF($P4564="","",$B4564/$P4564-1)</f>
        <v/>
      </c>
    </row>
    <row r="4565">
      <c r="A4565" s="11" t="n"/>
      <c r="B4565" s="29" t="n"/>
      <c r="K4565" s="30" t="str">
        <f>IF($A4565="","",EDATE($A4565,12*$E$4))</f>
        <v/>
      </c>
      <c r="L4565" s="19" t="str">
        <f>IF($K4565="","",IF($K4565&gt;MAX($A$8:$A$5007),"",IFERROR(MATCH($K4565,$A$8:$A$5007,1),"")))</f>
        <v/>
      </c>
      <c r="M4565" s="30" t="str">
        <f>IF($L4565="","",INDEX($A$8:$A$5007,$L4565))</f>
        <v/>
      </c>
      <c r="N4565" s="31" t="str">
        <f>IF($L4565="","",INDEX($B$8:$B$5007,$L4565))</f>
        <v/>
      </c>
      <c r="O4565" s="32" t="str">
        <f>IF($M4565="","",IF($K4565-$M4565&gt;7,"",IF($M4565&lt;=$A4565,"",IF(OR($B4565&lt;=0,$N4565&lt;=0),"",($N4565/$B4565)^(365/($M4565-$A4565))-1))))</f>
        <v/>
      </c>
      <c r="P4565" s="31" t="str">
        <f>IF($B4565="","",IF($P4564="",$B4565,MAX($P4564,$B4565)))</f>
        <v/>
      </c>
      <c r="Q4565" s="32" t="str">
        <f>IF($P4565="","",$B4565/$P4565-1)</f>
        <v/>
      </c>
    </row>
    <row r="4566">
      <c r="A4566" s="11" t="n"/>
      <c r="B4566" s="29" t="n"/>
      <c r="K4566" s="30" t="str">
        <f>IF($A4566="","",EDATE($A4566,12*$E$4))</f>
        <v/>
      </c>
      <c r="L4566" s="19" t="str">
        <f>IF($K4566="","",IF($K4566&gt;MAX($A$8:$A$5007),"",IFERROR(MATCH($K4566,$A$8:$A$5007,1),"")))</f>
        <v/>
      </c>
      <c r="M4566" s="30" t="str">
        <f>IF($L4566="","",INDEX($A$8:$A$5007,$L4566))</f>
        <v/>
      </c>
      <c r="N4566" s="31" t="str">
        <f>IF($L4566="","",INDEX($B$8:$B$5007,$L4566))</f>
        <v/>
      </c>
      <c r="O4566" s="32" t="str">
        <f>IF($M4566="","",IF($K4566-$M4566&gt;7,"",IF($M4566&lt;=$A4566,"",IF(OR($B4566&lt;=0,$N4566&lt;=0),"",($N4566/$B4566)^(365/($M4566-$A4566))-1))))</f>
        <v/>
      </c>
      <c r="P4566" s="31" t="str">
        <f>IF($B4566="","",IF($P4565="",$B4566,MAX($P4565,$B4566)))</f>
        <v/>
      </c>
      <c r="Q4566" s="32" t="str">
        <f>IF($P4566="","",$B4566/$P4566-1)</f>
        <v/>
      </c>
    </row>
    <row r="4567">
      <c r="A4567" s="11" t="n"/>
      <c r="B4567" s="29" t="n"/>
      <c r="K4567" s="30" t="str">
        <f>IF($A4567="","",EDATE($A4567,12*$E$4))</f>
        <v/>
      </c>
      <c r="L4567" s="19" t="str">
        <f>IF($K4567="","",IF($K4567&gt;MAX($A$8:$A$5007),"",IFERROR(MATCH($K4567,$A$8:$A$5007,1),"")))</f>
        <v/>
      </c>
      <c r="M4567" s="30" t="str">
        <f>IF($L4567="","",INDEX($A$8:$A$5007,$L4567))</f>
        <v/>
      </c>
      <c r="N4567" s="31" t="str">
        <f>IF($L4567="","",INDEX($B$8:$B$5007,$L4567))</f>
        <v/>
      </c>
      <c r="O4567" s="32" t="str">
        <f>IF($M4567="","",IF($K4567-$M4567&gt;7,"",IF($M4567&lt;=$A4567,"",IF(OR($B4567&lt;=0,$N4567&lt;=0),"",($N4567/$B4567)^(365/($M4567-$A4567))-1))))</f>
        <v/>
      </c>
      <c r="P4567" s="31" t="str">
        <f>IF($B4567="","",IF($P4566="",$B4567,MAX($P4566,$B4567)))</f>
        <v/>
      </c>
      <c r="Q4567" s="32" t="str">
        <f>IF($P4567="","",$B4567/$P4567-1)</f>
        <v/>
      </c>
    </row>
    <row r="4568">
      <c r="A4568" s="11" t="n"/>
      <c r="B4568" s="29" t="n"/>
      <c r="K4568" s="30" t="str">
        <f>IF($A4568="","",EDATE($A4568,12*$E$4))</f>
        <v/>
      </c>
      <c r="L4568" s="19" t="str">
        <f>IF($K4568="","",IF($K4568&gt;MAX($A$8:$A$5007),"",IFERROR(MATCH($K4568,$A$8:$A$5007,1),"")))</f>
        <v/>
      </c>
      <c r="M4568" s="30" t="str">
        <f>IF($L4568="","",INDEX($A$8:$A$5007,$L4568))</f>
        <v/>
      </c>
      <c r="N4568" s="31" t="str">
        <f>IF($L4568="","",INDEX($B$8:$B$5007,$L4568))</f>
        <v/>
      </c>
      <c r="O4568" s="32" t="str">
        <f>IF($M4568="","",IF($K4568-$M4568&gt;7,"",IF($M4568&lt;=$A4568,"",IF(OR($B4568&lt;=0,$N4568&lt;=0),"",($N4568/$B4568)^(365/($M4568-$A4568))-1))))</f>
        <v/>
      </c>
      <c r="P4568" s="31" t="str">
        <f>IF($B4568="","",IF($P4567="",$B4568,MAX($P4567,$B4568)))</f>
        <v/>
      </c>
      <c r="Q4568" s="32" t="str">
        <f>IF($P4568="","",$B4568/$P4568-1)</f>
        <v/>
      </c>
    </row>
    <row r="4569">
      <c r="A4569" s="11" t="n"/>
      <c r="B4569" s="29" t="n"/>
      <c r="K4569" s="30" t="str">
        <f>IF($A4569="","",EDATE($A4569,12*$E$4))</f>
        <v/>
      </c>
      <c r="L4569" s="19" t="str">
        <f>IF($K4569="","",IF($K4569&gt;MAX($A$8:$A$5007),"",IFERROR(MATCH($K4569,$A$8:$A$5007,1),"")))</f>
        <v/>
      </c>
      <c r="M4569" s="30" t="str">
        <f>IF($L4569="","",INDEX($A$8:$A$5007,$L4569))</f>
        <v/>
      </c>
      <c r="N4569" s="31" t="str">
        <f>IF($L4569="","",INDEX($B$8:$B$5007,$L4569))</f>
        <v/>
      </c>
      <c r="O4569" s="32" t="str">
        <f>IF($M4569="","",IF($K4569-$M4569&gt;7,"",IF($M4569&lt;=$A4569,"",IF(OR($B4569&lt;=0,$N4569&lt;=0),"",($N4569/$B4569)^(365/($M4569-$A4569))-1))))</f>
        <v/>
      </c>
      <c r="P4569" s="31" t="str">
        <f>IF($B4569="","",IF($P4568="",$B4569,MAX($P4568,$B4569)))</f>
        <v/>
      </c>
      <c r="Q4569" s="32" t="str">
        <f>IF($P4569="","",$B4569/$P4569-1)</f>
        <v/>
      </c>
    </row>
    <row r="4570">
      <c r="A4570" s="11" t="n"/>
      <c r="B4570" s="29" t="n"/>
      <c r="K4570" s="30" t="str">
        <f>IF($A4570="","",EDATE($A4570,12*$E$4))</f>
        <v/>
      </c>
      <c r="L4570" s="19" t="str">
        <f>IF($K4570="","",IF($K4570&gt;MAX($A$8:$A$5007),"",IFERROR(MATCH($K4570,$A$8:$A$5007,1),"")))</f>
        <v/>
      </c>
      <c r="M4570" s="30" t="str">
        <f>IF($L4570="","",INDEX($A$8:$A$5007,$L4570))</f>
        <v/>
      </c>
      <c r="N4570" s="31" t="str">
        <f>IF($L4570="","",INDEX($B$8:$B$5007,$L4570))</f>
        <v/>
      </c>
      <c r="O4570" s="32" t="str">
        <f>IF($M4570="","",IF($K4570-$M4570&gt;7,"",IF($M4570&lt;=$A4570,"",IF(OR($B4570&lt;=0,$N4570&lt;=0),"",($N4570/$B4570)^(365/($M4570-$A4570))-1))))</f>
        <v/>
      </c>
      <c r="P4570" s="31" t="str">
        <f>IF($B4570="","",IF($P4569="",$B4570,MAX($P4569,$B4570)))</f>
        <v/>
      </c>
      <c r="Q4570" s="32" t="str">
        <f>IF($P4570="","",$B4570/$P4570-1)</f>
        <v/>
      </c>
    </row>
    <row r="4571">
      <c r="A4571" s="11" t="n"/>
      <c r="B4571" s="29" t="n"/>
      <c r="K4571" s="30" t="str">
        <f>IF($A4571="","",EDATE($A4571,12*$E$4))</f>
        <v/>
      </c>
      <c r="L4571" s="19" t="str">
        <f>IF($K4571="","",IF($K4571&gt;MAX($A$8:$A$5007),"",IFERROR(MATCH($K4571,$A$8:$A$5007,1),"")))</f>
        <v/>
      </c>
      <c r="M4571" s="30" t="str">
        <f>IF($L4571="","",INDEX($A$8:$A$5007,$L4571))</f>
        <v/>
      </c>
      <c r="N4571" s="31" t="str">
        <f>IF($L4571="","",INDEX($B$8:$B$5007,$L4571))</f>
        <v/>
      </c>
      <c r="O4571" s="32" t="str">
        <f>IF($M4571="","",IF($K4571-$M4571&gt;7,"",IF($M4571&lt;=$A4571,"",IF(OR($B4571&lt;=0,$N4571&lt;=0),"",($N4571/$B4571)^(365/($M4571-$A4571))-1))))</f>
        <v/>
      </c>
      <c r="P4571" s="31" t="str">
        <f>IF($B4571="","",IF($P4570="",$B4571,MAX($P4570,$B4571)))</f>
        <v/>
      </c>
      <c r="Q4571" s="32" t="str">
        <f>IF($P4571="","",$B4571/$P4571-1)</f>
        <v/>
      </c>
    </row>
    <row r="4572">
      <c r="A4572" s="11" t="n"/>
      <c r="B4572" s="29" t="n"/>
      <c r="K4572" s="30" t="str">
        <f>IF($A4572="","",EDATE($A4572,12*$E$4))</f>
        <v/>
      </c>
      <c r="L4572" s="19" t="str">
        <f>IF($K4572="","",IF($K4572&gt;MAX($A$8:$A$5007),"",IFERROR(MATCH($K4572,$A$8:$A$5007,1),"")))</f>
        <v/>
      </c>
      <c r="M4572" s="30" t="str">
        <f>IF($L4572="","",INDEX($A$8:$A$5007,$L4572))</f>
        <v/>
      </c>
      <c r="N4572" s="31" t="str">
        <f>IF($L4572="","",INDEX($B$8:$B$5007,$L4572))</f>
        <v/>
      </c>
      <c r="O4572" s="32" t="str">
        <f>IF($M4572="","",IF($K4572-$M4572&gt;7,"",IF($M4572&lt;=$A4572,"",IF(OR($B4572&lt;=0,$N4572&lt;=0),"",($N4572/$B4572)^(365/($M4572-$A4572))-1))))</f>
        <v/>
      </c>
      <c r="P4572" s="31" t="str">
        <f>IF($B4572="","",IF($P4571="",$B4572,MAX($P4571,$B4572)))</f>
        <v/>
      </c>
      <c r="Q4572" s="32" t="str">
        <f>IF($P4572="","",$B4572/$P4572-1)</f>
        <v/>
      </c>
    </row>
    <row r="4573">
      <c r="A4573" s="11" t="n"/>
      <c r="B4573" s="29" t="n"/>
      <c r="K4573" s="30" t="str">
        <f>IF($A4573="","",EDATE($A4573,12*$E$4))</f>
        <v/>
      </c>
      <c r="L4573" s="19" t="str">
        <f>IF($K4573="","",IF($K4573&gt;MAX($A$8:$A$5007),"",IFERROR(MATCH($K4573,$A$8:$A$5007,1),"")))</f>
        <v/>
      </c>
      <c r="M4573" s="30" t="str">
        <f>IF($L4573="","",INDEX($A$8:$A$5007,$L4573))</f>
        <v/>
      </c>
      <c r="N4573" s="31" t="str">
        <f>IF($L4573="","",INDEX($B$8:$B$5007,$L4573))</f>
        <v/>
      </c>
      <c r="O4573" s="32" t="str">
        <f>IF($M4573="","",IF($K4573-$M4573&gt;7,"",IF($M4573&lt;=$A4573,"",IF(OR($B4573&lt;=0,$N4573&lt;=0),"",($N4573/$B4573)^(365/($M4573-$A4573))-1))))</f>
        <v/>
      </c>
      <c r="P4573" s="31" t="str">
        <f>IF($B4573="","",IF($P4572="",$B4573,MAX($P4572,$B4573)))</f>
        <v/>
      </c>
      <c r="Q4573" s="32" t="str">
        <f>IF($P4573="","",$B4573/$P4573-1)</f>
        <v/>
      </c>
    </row>
    <row r="4574">
      <c r="A4574" s="11" t="n"/>
      <c r="B4574" s="29" t="n"/>
      <c r="K4574" s="30" t="str">
        <f>IF($A4574="","",EDATE($A4574,12*$E$4))</f>
        <v/>
      </c>
      <c r="L4574" s="19" t="str">
        <f>IF($K4574="","",IF($K4574&gt;MAX($A$8:$A$5007),"",IFERROR(MATCH($K4574,$A$8:$A$5007,1),"")))</f>
        <v/>
      </c>
      <c r="M4574" s="30" t="str">
        <f>IF($L4574="","",INDEX($A$8:$A$5007,$L4574))</f>
        <v/>
      </c>
      <c r="N4574" s="31" t="str">
        <f>IF($L4574="","",INDEX($B$8:$B$5007,$L4574))</f>
        <v/>
      </c>
      <c r="O4574" s="32" t="str">
        <f>IF($M4574="","",IF($K4574-$M4574&gt;7,"",IF($M4574&lt;=$A4574,"",IF(OR($B4574&lt;=0,$N4574&lt;=0),"",($N4574/$B4574)^(365/($M4574-$A4574))-1))))</f>
        <v/>
      </c>
      <c r="P4574" s="31" t="str">
        <f>IF($B4574="","",IF($P4573="",$B4574,MAX($P4573,$B4574)))</f>
        <v/>
      </c>
      <c r="Q4574" s="32" t="str">
        <f>IF($P4574="","",$B4574/$P4574-1)</f>
        <v/>
      </c>
    </row>
    <row r="4575">
      <c r="A4575" s="11" t="n"/>
      <c r="B4575" s="29" t="n"/>
      <c r="K4575" s="30" t="str">
        <f>IF($A4575="","",EDATE($A4575,12*$E$4))</f>
        <v/>
      </c>
      <c r="L4575" s="19" t="str">
        <f>IF($K4575="","",IF($K4575&gt;MAX($A$8:$A$5007),"",IFERROR(MATCH($K4575,$A$8:$A$5007,1),"")))</f>
        <v/>
      </c>
      <c r="M4575" s="30" t="str">
        <f>IF($L4575="","",INDEX($A$8:$A$5007,$L4575))</f>
        <v/>
      </c>
      <c r="N4575" s="31" t="str">
        <f>IF($L4575="","",INDEX($B$8:$B$5007,$L4575))</f>
        <v/>
      </c>
      <c r="O4575" s="32" t="str">
        <f>IF($M4575="","",IF($K4575-$M4575&gt;7,"",IF($M4575&lt;=$A4575,"",IF(OR($B4575&lt;=0,$N4575&lt;=0),"",($N4575/$B4575)^(365/($M4575-$A4575))-1))))</f>
        <v/>
      </c>
      <c r="P4575" s="31" t="str">
        <f>IF($B4575="","",IF($P4574="",$B4575,MAX($P4574,$B4575)))</f>
        <v/>
      </c>
      <c r="Q4575" s="32" t="str">
        <f>IF($P4575="","",$B4575/$P4575-1)</f>
        <v/>
      </c>
    </row>
    <row r="4576">
      <c r="A4576" s="11" t="n"/>
      <c r="B4576" s="29" t="n"/>
      <c r="K4576" s="30" t="str">
        <f>IF($A4576="","",EDATE($A4576,12*$E$4))</f>
        <v/>
      </c>
      <c r="L4576" s="19" t="str">
        <f>IF($K4576="","",IF($K4576&gt;MAX($A$8:$A$5007),"",IFERROR(MATCH($K4576,$A$8:$A$5007,1),"")))</f>
        <v/>
      </c>
      <c r="M4576" s="30" t="str">
        <f>IF($L4576="","",INDEX($A$8:$A$5007,$L4576))</f>
        <v/>
      </c>
      <c r="N4576" s="31" t="str">
        <f>IF($L4576="","",INDEX($B$8:$B$5007,$L4576))</f>
        <v/>
      </c>
      <c r="O4576" s="32" t="str">
        <f>IF($M4576="","",IF($K4576-$M4576&gt;7,"",IF($M4576&lt;=$A4576,"",IF(OR($B4576&lt;=0,$N4576&lt;=0),"",($N4576/$B4576)^(365/($M4576-$A4576))-1))))</f>
        <v/>
      </c>
      <c r="P4576" s="31" t="str">
        <f>IF($B4576="","",IF($P4575="",$B4576,MAX($P4575,$B4576)))</f>
        <v/>
      </c>
      <c r="Q4576" s="32" t="str">
        <f>IF($P4576="","",$B4576/$P4576-1)</f>
        <v/>
      </c>
    </row>
    <row r="4577">
      <c r="A4577" s="11" t="n"/>
      <c r="B4577" s="29" t="n"/>
      <c r="K4577" s="30" t="str">
        <f>IF($A4577="","",EDATE($A4577,12*$E$4))</f>
        <v/>
      </c>
      <c r="L4577" s="19" t="str">
        <f>IF($K4577="","",IF($K4577&gt;MAX($A$8:$A$5007),"",IFERROR(MATCH($K4577,$A$8:$A$5007,1),"")))</f>
        <v/>
      </c>
      <c r="M4577" s="30" t="str">
        <f>IF($L4577="","",INDEX($A$8:$A$5007,$L4577))</f>
        <v/>
      </c>
      <c r="N4577" s="31" t="str">
        <f>IF($L4577="","",INDEX($B$8:$B$5007,$L4577))</f>
        <v/>
      </c>
      <c r="O4577" s="32" t="str">
        <f>IF($M4577="","",IF($K4577-$M4577&gt;7,"",IF($M4577&lt;=$A4577,"",IF(OR($B4577&lt;=0,$N4577&lt;=0),"",($N4577/$B4577)^(365/($M4577-$A4577))-1))))</f>
        <v/>
      </c>
      <c r="P4577" s="31" t="str">
        <f>IF($B4577="","",IF($P4576="",$B4577,MAX($P4576,$B4577)))</f>
        <v/>
      </c>
      <c r="Q4577" s="32" t="str">
        <f>IF($P4577="","",$B4577/$P4577-1)</f>
        <v/>
      </c>
    </row>
    <row r="4578">
      <c r="A4578" s="11" t="n"/>
      <c r="B4578" s="29" t="n"/>
      <c r="K4578" s="30" t="str">
        <f>IF($A4578="","",EDATE($A4578,12*$E$4))</f>
        <v/>
      </c>
      <c r="L4578" s="19" t="str">
        <f>IF($K4578="","",IF($K4578&gt;MAX($A$8:$A$5007),"",IFERROR(MATCH($K4578,$A$8:$A$5007,1),"")))</f>
        <v/>
      </c>
      <c r="M4578" s="30" t="str">
        <f>IF($L4578="","",INDEX($A$8:$A$5007,$L4578))</f>
        <v/>
      </c>
      <c r="N4578" s="31" t="str">
        <f>IF($L4578="","",INDEX($B$8:$B$5007,$L4578))</f>
        <v/>
      </c>
      <c r="O4578" s="32" t="str">
        <f>IF($M4578="","",IF($K4578-$M4578&gt;7,"",IF($M4578&lt;=$A4578,"",IF(OR($B4578&lt;=0,$N4578&lt;=0),"",($N4578/$B4578)^(365/($M4578-$A4578))-1))))</f>
        <v/>
      </c>
      <c r="P4578" s="31" t="str">
        <f>IF($B4578="","",IF($P4577="",$B4578,MAX($P4577,$B4578)))</f>
        <v/>
      </c>
      <c r="Q4578" s="32" t="str">
        <f>IF($P4578="","",$B4578/$P4578-1)</f>
        <v/>
      </c>
    </row>
    <row r="4579">
      <c r="A4579" s="11" t="n"/>
      <c r="B4579" s="29" t="n"/>
      <c r="K4579" s="30" t="str">
        <f>IF($A4579="","",EDATE($A4579,12*$E$4))</f>
        <v/>
      </c>
      <c r="L4579" s="19" t="str">
        <f>IF($K4579="","",IF($K4579&gt;MAX($A$8:$A$5007),"",IFERROR(MATCH($K4579,$A$8:$A$5007,1),"")))</f>
        <v/>
      </c>
      <c r="M4579" s="30" t="str">
        <f>IF($L4579="","",INDEX($A$8:$A$5007,$L4579))</f>
        <v/>
      </c>
      <c r="N4579" s="31" t="str">
        <f>IF($L4579="","",INDEX($B$8:$B$5007,$L4579))</f>
        <v/>
      </c>
      <c r="O4579" s="32" t="str">
        <f>IF($M4579="","",IF($K4579-$M4579&gt;7,"",IF($M4579&lt;=$A4579,"",IF(OR($B4579&lt;=0,$N4579&lt;=0),"",($N4579/$B4579)^(365/($M4579-$A4579))-1))))</f>
        <v/>
      </c>
      <c r="P4579" s="31" t="str">
        <f>IF($B4579="","",IF($P4578="",$B4579,MAX($P4578,$B4579)))</f>
        <v/>
      </c>
      <c r="Q4579" s="32" t="str">
        <f>IF($P4579="","",$B4579/$P4579-1)</f>
        <v/>
      </c>
    </row>
    <row r="4580">
      <c r="A4580" s="11" t="n"/>
      <c r="B4580" s="29" t="n"/>
      <c r="K4580" s="30" t="str">
        <f>IF($A4580="","",EDATE($A4580,12*$E$4))</f>
        <v/>
      </c>
      <c r="L4580" s="19" t="str">
        <f>IF($K4580="","",IF($K4580&gt;MAX($A$8:$A$5007),"",IFERROR(MATCH($K4580,$A$8:$A$5007,1),"")))</f>
        <v/>
      </c>
      <c r="M4580" s="30" t="str">
        <f>IF($L4580="","",INDEX($A$8:$A$5007,$L4580))</f>
        <v/>
      </c>
      <c r="N4580" s="31" t="str">
        <f>IF($L4580="","",INDEX($B$8:$B$5007,$L4580))</f>
        <v/>
      </c>
      <c r="O4580" s="32" t="str">
        <f>IF($M4580="","",IF($K4580-$M4580&gt;7,"",IF($M4580&lt;=$A4580,"",IF(OR($B4580&lt;=0,$N4580&lt;=0),"",($N4580/$B4580)^(365/($M4580-$A4580))-1))))</f>
        <v/>
      </c>
      <c r="P4580" s="31" t="str">
        <f>IF($B4580="","",IF($P4579="",$B4580,MAX($P4579,$B4580)))</f>
        <v/>
      </c>
      <c r="Q4580" s="32" t="str">
        <f>IF($P4580="","",$B4580/$P4580-1)</f>
        <v/>
      </c>
    </row>
    <row r="4581">
      <c r="A4581" s="11" t="n"/>
      <c r="B4581" s="29" t="n"/>
      <c r="K4581" s="30" t="str">
        <f>IF($A4581="","",EDATE($A4581,12*$E$4))</f>
        <v/>
      </c>
      <c r="L4581" s="19" t="str">
        <f>IF($K4581="","",IF($K4581&gt;MAX($A$8:$A$5007),"",IFERROR(MATCH($K4581,$A$8:$A$5007,1),"")))</f>
        <v/>
      </c>
      <c r="M4581" s="30" t="str">
        <f>IF($L4581="","",INDEX($A$8:$A$5007,$L4581))</f>
        <v/>
      </c>
      <c r="N4581" s="31" t="str">
        <f>IF($L4581="","",INDEX($B$8:$B$5007,$L4581))</f>
        <v/>
      </c>
      <c r="O4581" s="32" t="str">
        <f>IF($M4581="","",IF($K4581-$M4581&gt;7,"",IF($M4581&lt;=$A4581,"",IF(OR($B4581&lt;=0,$N4581&lt;=0),"",($N4581/$B4581)^(365/($M4581-$A4581))-1))))</f>
        <v/>
      </c>
      <c r="P4581" s="31" t="str">
        <f>IF($B4581="","",IF($P4580="",$B4581,MAX($P4580,$B4581)))</f>
        <v/>
      </c>
      <c r="Q4581" s="32" t="str">
        <f>IF($P4581="","",$B4581/$P4581-1)</f>
        <v/>
      </c>
    </row>
    <row r="4582">
      <c r="A4582" s="11" t="n"/>
      <c r="B4582" s="29" t="n"/>
      <c r="K4582" s="30" t="str">
        <f>IF($A4582="","",EDATE($A4582,12*$E$4))</f>
        <v/>
      </c>
      <c r="L4582" s="19" t="str">
        <f>IF($K4582="","",IF($K4582&gt;MAX($A$8:$A$5007),"",IFERROR(MATCH($K4582,$A$8:$A$5007,1),"")))</f>
        <v/>
      </c>
      <c r="M4582" s="30" t="str">
        <f>IF($L4582="","",INDEX($A$8:$A$5007,$L4582))</f>
        <v/>
      </c>
      <c r="N4582" s="31" t="str">
        <f>IF($L4582="","",INDEX($B$8:$B$5007,$L4582))</f>
        <v/>
      </c>
      <c r="O4582" s="32" t="str">
        <f>IF($M4582="","",IF($K4582-$M4582&gt;7,"",IF($M4582&lt;=$A4582,"",IF(OR($B4582&lt;=0,$N4582&lt;=0),"",($N4582/$B4582)^(365/($M4582-$A4582))-1))))</f>
        <v/>
      </c>
      <c r="P4582" s="31" t="str">
        <f>IF($B4582="","",IF($P4581="",$B4582,MAX($P4581,$B4582)))</f>
        <v/>
      </c>
      <c r="Q4582" s="32" t="str">
        <f>IF($P4582="","",$B4582/$P4582-1)</f>
        <v/>
      </c>
    </row>
    <row r="4583">
      <c r="A4583" s="11" t="n"/>
      <c r="B4583" s="29" t="n"/>
      <c r="K4583" s="30" t="str">
        <f>IF($A4583="","",EDATE($A4583,12*$E$4))</f>
        <v/>
      </c>
      <c r="L4583" s="19" t="str">
        <f>IF($K4583="","",IF($K4583&gt;MAX($A$8:$A$5007),"",IFERROR(MATCH($K4583,$A$8:$A$5007,1),"")))</f>
        <v/>
      </c>
      <c r="M4583" s="30" t="str">
        <f>IF($L4583="","",INDEX($A$8:$A$5007,$L4583))</f>
        <v/>
      </c>
      <c r="N4583" s="31" t="str">
        <f>IF($L4583="","",INDEX($B$8:$B$5007,$L4583))</f>
        <v/>
      </c>
      <c r="O4583" s="32" t="str">
        <f>IF($M4583="","",IF($K4583-$M4583&gt;7,"",IF($M4583&lt;=$A4583,"",IF(OR($B4583&lt;=0,$N4583&lt;=0),"",($N4583/$B4583)^(365/($M4583-$A4583))-1))))</f>
        <v/>
      </c>
      <c r="P4583" s="31" t="str">
        <f>IF($B4583="","",IF($P4582="",$B4583,MAX($P4582,$B4583)))</f>
        <v/>
      </c>
      <c r="Q4583" s="32" t="str">
        <f>IF($P4583="","",$B4583/$P4583-1)</f>
        <v/>
      </c>
    </row>
    <row r="4584">
      <c r="A4584" s="11" t="n"/>
      <c r="B4584" s="29" t="n"/>
      <c r="K4584" s="30" t="str">
        <f>IF($A4584="","",EDATE($A4584,12*$E$4))</f>
        <v/>
      </c>
      <c r="L4584" s="19" t="str">
        <f>IF($K4584="","",IF($K4584&gt;MAX($A$8:$A$5007),"",IFERROR(MATCH($K4584,$A$8:$A$5007,1),"")))</f>
        <v/>
      </c>
      <c r="M4584" s="30" t="str">
        <f>IF($L4584="","",INDEX($A$8:$A$5007,$L4584))</f>
        <v/>
      </c>
      <c r="N4584" s="31" t="str">
        <f>IF($L4584="","",INDEX($B$8:$B$5007,$L4584))</f>
        <v/>
      </c>
      <c r="O4584" s="32" t="str">
        <f>IF($M4584="","",IF($K4584-$M4584&gt;7,"",IF($M4584&lt;=$A4584,"",IF(OR($B4584&lt;=0,$N4584&lt;=0),"",($N4584/$B4584)^(365/($M4584-$A4584))-1))))</f>
        <v/>
      </c>
      <c r="P4584" s="31" t="str">
        <f>IF($B4584="","",IF($P4583="",$B4584,MAX($P4583,$B4584)))</f>
        <v/>
      </c>
      <c r="Q4584" s="32" t="str">
        <f>IF($P4584="","",$B4584/$P4584-1)</f>
        <v/>
      </c>
    </row>
    <row r="4585">
      <c r="A4585" s="11" t="n"/>
      <c r="B4585" s="29" t="n"/>
      <c r="K4585" s="30" t="str">
        <f>IF($A4585="","",EDATE($A4585,12*$E$4))</f>
        <v/>
      </c>
      <c r="L4585" s="19" t="str">
        <f>IF($K4585="","",IF($K4585&gt;MAX($A$8:$A$5007),"",IFERROR(MATCH($K4585,$A$8:$A$5007,1),"")))</f>
        <v/>
      </c>
      <c r="M4585" s="30" t="str">
        <f>IF($L4585="","",INDEX($A$8:$A$5007,$L4585))</f>
        <v/>
      </c>
      <c r="N4585" s="31" t="str">
        <f>IF($L4585="","",INDEX($B$8:$B$5007,$L4585))</f>
        <v/>
      </c>
      <c r="O4585" s="32" t="str">
        <f>IF($M4585="","",IF($K4585-$M4585&gt;7,"",IF($M4585&lt;=$A4585,"",IF(OR($B4585&lt;=0,$N4585&lt;=0),"",($N4585/$B4585)^(365/($M4585-$A4585))-1))))</f>
        <v/>
      </c>
      <c r="P4585" s="31" t="str">
        <f>IF($B4585="","",IF($P4584="",$B4585,MAX($P4584,$B4585)))</f>
        <v/>
      </c>
      <c r="Q4585" s="32" t="str">
        <f>IF($P4585="","",$B4585/$P4585-1)</f>
        <v/>
      </c>
    </row>
    <row r="4586">
      <c r="A4586" s="11" t="n"/>
      <c r="B4586" s="29" t="n"/>
      <c r="K4586" s="30" t="str">
        <f>IF($A4586="","",EDATE($A4586,12*$E$4))</f>
        <v/>
      </c>
      <c r="L4586" s="19" t="str">
        <f>IF($K4586="","",IF($K4586&gt;MAX($A$8:$A$5007),"",IFERROR(MATCH($K4586,$A$8:$A$5007,1),"")))</f>
        <v/>
      </c>
      <c r="M4586" s="30" t="str">
        <f>IF($L4586="","",INDEX($A$8:$A$5007,$L4586))</f>
        <v/>
      </c>
      <c r="N4586" s="31" t="str">
        <f>IF($L4586="","",INDEX($B$8:$B$5007,$L4586))</f>
        <v/>
      </c>
      <c r="O4586" s="32" t="str">
        <f>IF($M4586="","",IF($K4586-$M4586&gt;7,"",IF($M4586&lt;=$A4586,"",IF(OR($B4586&lt;=0,$N4586&lt;=0),"",($N4586/$B4586)^(365/($M4586-$A4586))-1))))</f>
        <v/>
      </c>
      <c r="P4586" s="31" t="str">
        <f>IF($B4586="","",IF($P4585="",$B4586,MAX($P4585,$B4586)))</f>
        <v/>
      </c>
      <c r="Q4586" s="32" t="str">
        <f>IF($P4586="","",$B4586/$P4586-1)</f>
        <v/>
      </c>
    </row>
    <row r="4587">
      <c r="A4587" s="11" t="n"/>
      <c r="B4587" s="29" t="n"/>
      <c r="K4587" s="30" t="str">
        <f>IF($A4587="","",EDATE($A4587,12*$E$4))</f>
        <v/>
      </c>
      <c r="L4587" s="19" t="str">
        <f>IF($K4587="","",IF($K4587&gt;MAX($A$8:$A$5007),"",IFERROR(MATCH($K4587,$A$8:$A$5007,1),"")))</f>
        <v/>
      </c>
      <c r="M4587" s="30" t="str">
        <f>IF($L4587="","",INDEX($A$8:$A$5007,$L4587))</f>
        <v/>
      </c>
      <c r="N4587" s="31" t="str">
        <f>IF($L4587="","",INDEX($B$8:$B$5007,$L4587))</f>
        <v/>
      </c>
      <c r="O4587" s="32" t="str">
        <f>IF($M4587="","",IF($K4587-$M4587&gt;7,"",IF($M4587&lt;=$A4587,"",IF(OR($B4587&lt;=0,$N4587&lt;=0),"",($N4587/$B4587)^(365/($M4587-$A4587))-1))))</f>
        <v/>
      </c>
      <c r="P4587" s="31" t="str">
        <f>IF($B4587="","",IF($P4586="",$B4587,MAX($P4586,$B4587)))</f>
        <v/>
      </c>
      <c r="Q4587" s="32" t="str">
        <f>IF($P4587="","",$B4587/$P4587-1)</f>
        <v/>
      </c>
    </row>
    <row r="4588">
      <c r="A4588" s="11" t="n"/>
      <c r="B4588" s="29" t="n"/>
      <c r="K4588" s="30" t="str">
        <f>IF($A4588="","",EDATE($A4588,12*$E$4))</f>
        <v/>
      </c>
      <c r="L4588" s="19" t="str">
        <f>IF($K4588="","",IF($K4588&gt;MAX($A$8:$A$5007),"",IFERROR(MATCH($K4588,$A$8:$A$5007,1),"")))</f>
        <v/>
      </c>
      <c r="M4588" s="30" t="str">
        <f>IF($L4588="","",INDEX($A$8:$A$5007,$L4588))</f>
        <v/>
      </c>
      <c r="N4588" s="31" t="str">
        <f>IF($L4588="","",INDEX($B$8:$B$5007,$L4588))</f>
        <v/>
      </c>
      <c r="O4588" s="32" t="str">
        <f>IF($M4588="","",IF($K4588-$M4588&gt;7,"",IF($M4588&lt;=$A4588,"",IF(OR($B4588&lt;=0,$N4588&lt;=0),"",($N4588/$B4588)^(365/($M4588-$A4588))-1))))</f>
        <v/>
      </c>
      <c r="P4588" s="31" t="str">
        <f>IF($B4588="","",IF($P4587="",$B4588,MAX($P4587,$B4588)))</f>
        <v/>
      </c>
      <c r="Q4588" s="32" t="str">
        <f>IF($P4588="","",$B4588/$P4588-1)</f>
        <v/>
      </c>
    </row>
    <row r="4589">
      <c r="A4589" s="11" t="n"/>
      <c r="B4589" s="29" t="n"/>
      <c r="K4589" s="30" t="str">
        <f>IF($A4589="","",EDATE($A4589,12*$E$4))</f>
        <v/>
      </c>
      <c r="L4589" s="19" t="str">
        <f>IF($K4589="","",IF($K4589&gt;MAX($A$8:$A$5007),"",IFERROR(MATCH($K4589,$A$8:$A$5007,1),"")))</f>
        <v/>
      </c>
      <c r="M4589" s="30" t="str">
        <f>IF($L4589="","",INDEX($A$8:$A$5007,$L4589))</f>
        <v/>
      </c>
      <c r="N4589" s="31" t="str">
        <f>IF($L4589="","",INDEX($B$8:$B$5007,$L4589))</f>
        <v/>
      </c>
      <c r="O4589" s="32" t="str">
        <f>IF($M4589="","",IF($K4589-$M4589&gt;7,"",IF($M4589&lt;=$A4589,"",IF(OR($B4589&lt;=0,$N4589&lt;=0),"",($N4589/$B4589)^(365/($M4589-$A4589))-1))))</f>
        <v/>
      </c>
      <c r="P4589" s="31" t="str">
        <f>IF($B4589="","",IF($P4588="",$B4589,MAX($P4588,$B4589)))</f>
        <v/>
      </c>
      <c r="Q4589" s="32" t="str">
        <f>IF($P4589="","",$B4589/$P4589-1)</f>
        <v/>
      </c>
    </row>
    <row r="4590">
      <c r="A4590" s="11" t="n"/>
      <c r="B4590" s="29" t="n"/>
      <c r="K4590" s="30" t="str">
        <f>IF($A4590="","",EDATE($A4590,12*$E$4))</f>
        <v/>
      </c>
      <c r="L4590" s="19" t="str">
        <f>IF($K4590="","",IF($K4590&gt;MAX($A$8:$A$5007),"",IFERROR(MATCH($K4590,$A$8:$A$5007,1),"")))</f>
        <v/>
      </c>
      <c r="M4590" s="30" t="str">
        <f>IF($L4590="","",INDEX($A$8:$A$5007,$L4590))</f>
        <v/>
      </c>
      <c r="N4590" s="31" t="str">
        <f>IF($L4590="","",INDEX($B$8:$B$5007,$L4590))</f>
        <v/>
      </c>
      <c r="O4590" s="32" t="str">
        <f>IF($M4590="","",IF($K4590-$M4590&gt;7,"",IF($M4590&lt;=$A4590,"",IF(OR($B4590&lt;=0,$N4590&lt;=0),"",($N4590/$B4590)^(365/($M4590-$A4590))-1))))</f>
        <v/>
      </c>
      <c r="P4590" s="31" t="str">
        <f>IF($B4590="","",IF($P4589="",$B4590,MAX($P4589,$B4590)))</f>
        <v/>
      </c>
      <c r="Q4590" s="32" t="str">
        <f>IF($P4590="","",$B4590/$P4590-1)</f>
        <v/>
      </c>
    </row>
    <row r="4591">
      <c r="A4591" s="11" t="n"/>
      <c r="B4591" s="29" t="n"/>
      <c r="K4591" s="30" t="str">
        <f>IF($A4591="","",EDATE($A4591,12*$E$4))</f>
        <v/>
      </c>
      <c r="L4591" s="19" t="str">
        <f>IF($K4591="","",IF($K4591&gt;MAX($A$8:$A$5007),"",IFERROR(MATCH($K4591,$A$8:$A$5007,1),"")))</f>
        <v/>
      </c>
      <c r="M4591" s="30" t="str">
        <f>IF($L4591="","",INDEX($A$8:$A$5007,$L4591))</f>
        <v/>
      </c>
      <c r="N4591" s="31" t="str">
        <f>IF($L4591="","",INDEX($B$8:$B$5007,$L4591))</f>
        <v/>
      </c>
      <c r="O4591" s="32" t="str">
        <f>IF($M4591="","",IF($K4591-$M4591&gt;7,"",IF($M4591&lt;=$A4591,"",IF(OR($B4591&lt;=0,$N4591&lt;=0),"",($N4591/$B4591)^(365/($M4591-$A4591))-1))))</f>
        <v/>
      </c>
      <c r="P4591" s="31" t="str">
        <f>IF($B4591="","",IF($P4590="",$B4591,MAX($P4590,$B4591)))</f>
        <v/>
      </c>
      <c r="Q4591" s="32" t="str">
        <f>IF($P4591="","",$B4591/$P4591-1)</f>
        <v/>
      </c>
    </row>
    <row r="4592">
      <c r="A4592" s="11" t="n"/>
      <c r="B4592" s="29" t="n"/>
      <c r="K4592" s="30" t="str">
        <f>IF($A4592="","",EDATE($A4592,12*$E$4))</f>
        <v/>
      </c>
      <c r="L4592" s="19" t="str">
        <f>IF($K4592="","",IF($K4592&gt;MAX($A$8:$A$5007),"",IFERROR(MATCH($K4592,$A$8:$A$5007,1),"")))</f>
        <v/>
      </c>
      <c r="M4592" s="30" t="str">
        <f>IF($L4592="","",INDEX($A$8:$A$5007,$L4592))</f>
        <v/>
      </c>
      <c r="N4592" s="31" t="str">
        <f>IF($L4592="","",INDEX($B$8:$B$5007,$L4592))</f>
        <v/>
      </c>
      <c r="O4592" s="32" t="str">
        <f>IF($M4592="","",IF($K4592-$M4592&gt;7,"",IF($M4592&lt;=$A4592,"",IF(OR($B4592&lt;=0,$N4592&lt;=0),"",($N4592/$B4592)^(365/($M4592-$A4592))-1))))</f>
        <v/>
      </c>
      <c r="P4592" s="31" t="str">
        <f>IF($B4592="","",IF($P4591="",$B4592,MAX($P4591,$B4592)))</f>
        <v/>
      </c>
      <c r="Q4592" s="32" t="str">
        <f>IF($P4592="","",$B4592/$P4592-1)</f>
        <v/>
      </c>
    </row>
    <row r="4593">
      <c r="A4593" s="11" t="n"/>
      <c r="B4593" s="29" t="n"/>
      <c r="K4593" s="30" t="str">
        <f>IF($A4593="","",EDATE($A4593,12*$E$4))</f>
        <v/>
      </c>
      <c r="L4593" s="19" t="str">
        <f>IF($K4593="","",IF($K4593&gt;MAX($A$8:$A$5007),"",IFERROR(MATCH($K4593,$A$8:$A$5007,1),"")))</f>
        <v/>
      </c>
      <c r="M4593" s="30" t="str">
        <f>IF($L4593="","",INDEX($A$8:$A$5007,$L4593))</f>
        <v/>
      </c>
      <c r="N4593" s="31" t="str">
        <f>IF($L4593="","",INDEX($B$8:$B$5007,$L4593))</f>
        <v/>
      </c>
      <c r="O4593" s="32" t="str">
        <f>IF($M4593="","",IF($K4593-$M4593&gt;7,"",IF($M4593&lt;=$A4593,"",IF(OR($B4593&lt;=0,$N4593&lt;=0),"",($N4593/$B4593)^(365/($M4593-$A4593))-1))))</f>
        <v/>
      </c>
      <c r="P4593" s="31" t="str">
        <f>IF($B4593="","",IF($P4592="",$B4593,MAX($P4592,$B4593)))</f>
        <v/>
      </c>
      <c r="Q4593" s="32" t="str">
        <f>IF($P4593="","",$B4593/$P4593-1)</f>
        <v/>
      </c>
    </row>
    <row r="4594">
      <c r="A4594" s="11" t="n"/>
      <c r="B4594" s="29" t="n"/>
      <c r="K4594" s="30" t="str">
        <f>IF($A4594="","",EDATE($A4594,12*$E$4))</f>
        <v/>
      </c>
      <c r="L4594" s="19" t="str">
        <f>IF($K4594="","",IF($K4594&gt;MAX($A$8:$A$5007),"",IFERROR(MATCH($K4594,$A$8:$A$5007,1),"")))</f>
        <v/>
      </c>
      <c r="M4594" s="30" t="str">
        <f>IF($L4594="","",INDEX($A$8:$A$5007,$L4594))</f>
        <v/>
      </c>
      <c r="N4594" s="31" t="str">
        <f>IF($L4594="","",INDEX($B$8:$B$5007,$L4594))</f>
        <v/>
      </c>
      <c r="O4594" s="32" t="str">
        <f>IF($M4594="","",IF($K4594-$M4594&gt;7,"",IF($M4594&lt;=$A4594,"",IF(OR($B4594&lt;=0,$N4594&lt;=0),"",($N4594/$B4594)^(365/($M4594-$A4594))-1))))</f>
        <v/>
      </c>
      <c r="P4594" s="31" t="str">
        <f>IF($B4594="","",IF($P4593="",$B4594,MAX($P4593,$B4594)))</f>
        <v/>
      </c>
      <c r="Q4594" s="32" t="str">
        <f>IF($P4594="","",$B4594/$P4594-1)</f>
        <v/>
      </c>
    </row>
    <row r="4595">
      <c r="A4595" s="11" t="n"/>
      <c r="B4595" s="29" t="n"/>
      <c r="K4595" s="30" t="str">
        <f>IF($A4595="","",EDATE($A4595,12*$E$4))</f>
        <v/>
      </c>
      <c r="L4595" s="19" t="str">
        <f>IF($K4595="","",IF($K4595&gt;MAX($A$8:$A$5007),"",IFERROR(MATCH($K4595,$A$8:$A$5007,1),"")))</f>
        <v/>
      </c>
      <c r="M4595" s="30" t="str">
        <f>IF($L4595="","",INDEX($A$8:$A$5007,$L4595))</f>
        <v/>
      </c>
      <c r="N4595" s="31" t="str">
        <f>IF($L4595="","",INDEX($B$8:$B$5007,$L4595))</f>
        <v/>
      </c>
      <c r="O4595" s="32" t="str">
        <f>IF($M4595="","",IF($K4595-$M4595&gt;7,"",IF($M4595&lt;=$A4595,"",IF(OR($B4595&lt;=0,$N4595&lt;=0),"",($N4595/$B4595)^(365/($M4595-$A4595))-1))))</f>
        <v/>
      </c>
      <c r="P4595" s="31" t="str">
        <f>IF($B4595="","",IF($P4594="",$B4595,MAX($P4594,$B4595)))</f>
        <v/>
      </c>
      <c r="Q4595" s="32" t="str">
        <f>IF($P4595="","",$B4595/$P4595-1)</f>
        <v/>
      </c>
    </row>
    <row r="4596">
      <c r="A4596" s="11" t="n"/>
      <c r="B4596" s="29" t="n"/>
      <c r="K4596" s="30" t="str">
        <f>IF($A4596="","",EDATE($A4596,12*$E$4))</f>
        <v/>
      </c>
      <c r="L4596" s="19" t="str">
        <f>IF($K4596="","",IF($K4596&gt;MAX($A$8:$A$5007),"",IFERROR(MATCH($K4596,$A$8:$A$5007,1),"")))</f>
        <v/>
      </c>
      <c r="M4596" s="30" t="str">
        <f>IF($L4596="","",INDEX($A$8:$A$5007,$L4596))</f>
        <v/>
      </c>
      <c r="N4596" s="31" t="str">
        <f>IF($L4596="","",INDEX($B$8:$B$5007,$L4596))</f>
        <v/>
      </c>
      <c r="O4596" s="32" t="str">
        <f>IF($M4596="","",IF($K4596-$M4596&gt;7,"",IF($M4596&lt;=$A4596,"",IF(OR($B4596&lt;=0,$N4596&lt;=0),"",($N4596/$B4596)^(365/($M4596-$A4596))-1))))</f>
        <v/>
      </c>
      <c r="P4596" s="31" t="str">
        <f>IF($B4596="","",IF($P4595="",$B4596,MAX($P4595,$B4596)))</f>
        <v/>
      </c>
      <c r="Q4596" s="32" t="str">
        <f>IF($P4596="","",$B4596/$P4596-1)</f>
        <v/>
      </c>
    </row>
    <row r="4597">
      <c r="A4597" s="11" t="n"/>
      <c r="B4597" s="29" t="n"/>
      <c r="K4597" s="30" t="str">
        <f>IF($A4597="","",EDATE($A4597,12*$E$4))</f>
        <v/>
      </c>
      <c r="L4597" s="19" t="str">
        <f>IF($K4597="","",IF($K4597&gt;MAX($A$8:$A$5007),"",IFERROR(MATCH($K4597,$A$8:$A$5007,1),"")))</f>
        <v/>
      </c>
      <c r="M4597" s="30" t="str">
        <f>IF($L4597="","",INDEX($A$8:$A$5007,$L4597))</f>
        <v/>
      </c>
      <c r="N4597" s="31" t="str">
        <f>IF($L4597="","",INDEX($B$8:$B$5007,$L4597))</f>
        <v/>
      </c>
      <c r="O4597" s="32" t="str">
        <f>IF($M4597="","",IF($K4597-$M4597&gt;7,"",IF($M4597&lt;=$A4597,"",IF(OR($B4597&lt;=0,$N4597&lt;=0),"",($N4597/$B4597)^(365/($M4597-$A4597))-1))))</f>
        <v/>
      </c>
      <c r="P4597" s="31" t="str">
        <f>IF($B4597="","",IF($P4596="",$B4597,MAX($P4596,$B4597)))</f>
        <v/>
      </c>
      <c r="Q4597" s="32" t="str">
        <f>IF($P4597="","",$B4597/$P4597-1)</f>
        <v/>
      </c>
    </row>
    <row r="4598">
      <c r="A4598" s="11" t="n"/>
      <c r="B4598" s="29" t="n"/>
      <c r="K4598" s="30" t="str">
        <f>IF($A4598="","",EDATE($A4598,12*$E$4))</f>
        <v/>
      </c>
      <c r="L4598" s="19" t="str">
        <f>IF($K4598="","",IF($K4598&gt;MAX($A$8:$A$5007),"",IFERROR(MATCH($K4598,$A$8:$A$5007,1),"")))</f>
        <v/>
      </c>
      <c r="M4598" s="30" t="str">
        <f>IF($L4598="","",INDEX($A$8:$A$5007,$L4598))</f>
        <v/>
      </c>
      <c r="N4598" s="31" t="str">
        <f>IF($L4598="","",INDEX($B$8:$B$5007,$L4598))</f>
        <v/>
      </c>
      <c r="O4598" s="32" t="str">
        <f>IF($M4598="","",IF($K4598-$M4598&gt;7,"",IF($M4598&lt;=$A4598,"",IF(OR($B4598&lt;=0,$N4598&lt;=0),"",($N4598/$B4598)^(365/($M4598-$A4598))-1))))</f>
        <v/>
      </c>
      <c r="P4598" s="31" t="str">
        <f>IF($B4598="","",IF($P4597="",$B4598,MAX($P4597,$B4598)))</f>
        <v/>
      </c>
      <c r="Q4598" s="32" t="str">
        <f>IF($P4598="","",$B4598/$P4598-1)</f>
        <v/>
      </c>
    </row>
    <row r="4599">
      <c r="A4599" s="11" t="n"/>
      <c r="B4599" s="29" t="n"/>
      <c r="K4599" s="30" t="str">
        <f>IF($A4599="","",EDATE($A4599,12*$E$4))</f>
        <v/>
      </c>
      <c r="L4599" s="19" t="str">
        <f>IF($K4599="","",IF($K4599&gt;MAX($A$8:$A$5007),"",IFERROR(MATCH($K4599,$A$8:$A$5007,1),"")))</f>
        <v/>
      </c>
      <c r="M4599" s="30" t="str">
        <f>IF($L4599="","",INDEX($A$8:$A$5007,$L4599))</f>
        <v/>
      </c>
      <c r="N4599" s="31" t="str">
        <f>IF($L4599="","",INDEX($B$8:$B$5007,$L4599))</f>
        <v/>
      </c>
      <c r="O4599" s="32" t="str">
        <f>IF($M4599="","",IF($K4599-$M4599&gt;7,"",IF($M4599&lt;=$A4599,"",IF(OR($B4599&lt;=0,$N4599&lt;=0),"",($N4599/$B4599)^(365/($M4599-$A4599))-1))))</f>
        <v/>
      </c>
      <c r="P4599" s="31" t="str">
        <f>IF($B4599="","",IF($P4598="",$B4599,MAX($P4598,$B4599)))</f>
        <v/>
      </c>
      <c r="Q4599" s="32" t="str">
        <f>IF($P4599="","",$B4599/$P4599-1)</f>
        <v/>
      </c>
    </row>
    <row r="4600">
      <c r="A4600" s="11" t="n"/>
      <c r="B4600" s="29" t="n"/>
      <c r="K4600" s="30" t="str">
        <f>IF($A4600="","",EDATE($A4600,12*$E$4))</f>
        <v/>
      </c>
      <c r="L4600" s="19" t="str">
        <f>IF($K4600="","",IF($K4600&gt;MAX($A$8:$A$5007),"",IFERROR(MATCH($K4600,$A$8:$A$5007,1),"")))</f>
        <v/>
      </c>
      <c r="M4600" s="30" t="str">
        <f>IF($L4600="","",INDEX($A$8:$A$5007,$L4600))</f>
        <v/>
      </c>
      <c r="N4600" s="31" t="str">
        <f>IF($L4600="","",INDEX($B$8:$B$5007,$L4600))</f>
        <v/>
      </c>
      <c r="O4600" s="32" t="str">
        <f>IF($M4600="","",IF($K4600-$M4600&gt;7,"",IF($M4600&lt;=$A4600,"",IF(OR($B4600&lt;=0,$N4600&lt;=0),"",($N4600/$B4600)^(365/($M4600-$A4600))-1))))</f>
        <v/>
      </c>
      <c r="P4600" s="31" t="str">
        <f>IF($B4600="","",IF($P4599="",$B4600,MAX($P4599,$B4600)))</f>
        <v/>
      </c>
      <c r="Q4600" s="32" t="str">
        <f>IF($P4600="","",$B4600/$P4600-1)</f>
        <v/>
      </c>
    </row>
    <row r="4601">
      <c r="A4601" s="11" t="n"/>
      <c r="B4601" s="29" t="n"/>
      <c r="K4601" s="30" t="str">
        <f>IF($A4601="","",EDATE($A4601,12*$E$4))</f>
        <v/>
      </c>
      <c r="L4601" s="19" t="str">
        <f>IF($K4601="","",IF($K4601&gt;MAX($A$8:$A$5007),"",IFERROR(MATCH($K4601,$A$8:$A$5007,1),"")))</f>
        <v/>
      </c>
      <c r="M4601" s="30" t="str">
        <f>IF($L4601="","",INDEX($A$8:$A$5007,$L4601))</f>
        <v/>
      </c>
      <c r="N4601" s="31" t="str">
        <f>IF($L4601="","",INDEX($B$8:$B$5007,$L4601))</f>
        <v/>
      </c>
      <c r="O4601" s="32" t="str">
        <f>IF($M4601="","",IF($K4601-$M4601&gt;7,"",IF($M4601&lt;=$A4601,"",IF(OR($B4601&lt;=0,$N4601&lt;=0),"",($N4601/$B4601)^(365/($M4601-$A4601))-1))))</f>
        <v/>
      </c>
      <c r="P4601" s="31" t="str">
        <f>IF($B4601="","",IF($P4600="",$B4601,MAX($P4600,$B4601)))</f>
        <v/>
      </c>
      <c r="Q4601" s="32" t="str">
        <f>IF($P4601="","",$B4601/$P4601-1)</f>
        <v/>
      </c>
    </row>
    <row r="4602">
      <c r="A4602" s="11" t="n"/>
      <c r="B4602" s="29" t="n"/>
      <c r="K4602" s="30" t="str">
        <f>IF($A4602="","",EDATE($A4602,12*$E$4))</f>
        <v/>
      </c>
      <c r="L4602" s="19" t="str">
        <f>IF($K4602="","",IF($K4602&gt;MAX($A$8:$A$5007),"",IFERROR(MATCH($K4602,$A$8:$A$5007,1),"")))</f>
        <v/>
      </c>
      <c r="M4602" s="30" t="str">
        <f>IF($L4602="","",INDEX($A$8:$A$5007,$L4602))</f>
        <v/>
      </c>
      <c r="N4602" s="31" t="str">
        <f>IF($L4602="","",INDEX($B$8:$B$5007,$L4602))</f>
        <v/>
      </c>
      <c r="O4602" s="32" t="str">
        <f>IF($M4602="","",IF($K4602-$M4602&gt;7,"",IF($M4602&lt;=$A4602,"",IF(OR($B4602&lt;=0,$N4602&lt;=0),"",($N4602/$B4602)^(365/($M4602-$A4602))-1))))</f>
        <v/>
      </c>
      <c r="P4602" s="31" t="str">
        <f>IF($B4602="","",IF($P4601="",$B4602,MAX($P4601,$B4602)))</f>
        <v/>
      </c>
      <c r="Q4602" s="32" t="str">
        <f>IF($P4602="","",$B4602/$P4602-1)</f>
        <v/>
      </c>
    </row>
    <row r="4603">
      <c r="A4603" s="11" t="n"/>
      <c r="B4603" s="29" t="n"/>
      <c r="K4603" s="30" t="str">
        <f>IF($A4603="","",EDATE($A4603,12*$E$4))</f>
        <v/>
      </c>
      <c r="L4603" s="19" t="str">
        <f>IF($K4603="","",IF($K4603&gt;MAX($A$8:$A$5007),"",IFERROR(MATCH($K4603,$A$8:$A$5007,1),"")))</f>
        <v/>
      </c>
      <c r="M4603" s="30" t="str">
        <f>IF($L4603="","",INDEX($A$8:$A$5007,$L4603))</f>
        <v/>
      </c>
      <c r="N4603" s="31" t="str">
        <f>IF($L4603="","",INDEX($B$8:$B$5007,$L4603))</f>
        <v/>
      </c>
      <c r="O4603" s="32" t="str">
        <f>IF($M4603="","",IF($K4603-$M4603&gt;7,"",IF($M4603&lt;=$A4603,"",IF(OR($B4603&lt;=0,$N4603&lt;=0),"",($N4603/$B4603)^(365/($M4603-$A4603))-1))))</f>
        <v/>
      </c>
      <c r="P4603" s="31" t="str">
        <f>IF($B4603="","",IF($P4602="",$B4603,MAX($P4602,$B4603)))</f>
        <v/>
      </c>
      <c r="Q4603" s="32" t="str">
        <f>IF($P4603="","",$B4603/$P4603-1)</f>
        <v/>
      </c>
    </row>
    <row r="4604">
      <c r="A4604" s="11" t="n"/>
      <c r="B4604" s="29" t="n"/>
      <c r="K4604" s="30" t="str">
        <f>IF($A4604="","",EDATE($A4604,12*$E$4))</f>
        <v/>
      </c>
      <c r="L4604" s="19" t="str">
        <f>IF($K4604="","",IF($K4604&gt;MAX($A$8:$A$5007),"",IFERROR(MATCH($K4604,$A$8:$A$5007,1),"")))</f>
        <v/>
      </c>
      <c r="M4604" s="30" t="str">
        <f>IF($L4604="","",INDEX($A$8:$A$5007,$L4604))</f>
        <v/>
      </c>
      <c r="N4604" s="31" t="str">
        <f>IF($L4604="","",INDEX($B$8:$B$5007,$L4604))</f>
        <v/>
      </c>
      <c r="O4604" s="32" t="str">
        <f>IF($M4604="","",IF($K4604-$M4604&gt;7,"",IF($M4604&lt;=$A4604,"",IF(OR($B4604&lt;=0,$N4604&lt;=0),"",($N4604/$B4604)^(365/($M4604-$A4604))-1))))</f>
        <v/>
      </c>
      <c r="P4604" s="31" t="str">
        <f>IF($B4604="","",IF($P4603="",$B4604,MAX($P4603,$B4604)))</f>
        <v/>
      </c>
      <c r="Q4604" s="32" t="str">
        <f>IF($P4604="","",$B4604/$P4604-1)</f>
        <v/>
      </c>
    </row>
    <row r="4605">
      <c r="A4605" s="11" t="n"/>
      <c r="B4605" s="29" t="n"/>
      <c r="K4605" s="30" t="str">
        <f>IF($A4605="","",EDATE($A4605,12*$E$4))</f>
        <v/>
      </c>
      <c r="L4605" s="19" t="str">
        <f>IF($K4605="","",IF($K4605&gt;MAX($A$8:$A$5007),"",IFERROR(MATCH($K4605,$A$8:$A$5007,1),"")))</f>
        <v/>
      </c>
      <c r="M4605" s="30" t="str">
        <f>IF($L4605="","",INDEX($A$8:$A$5007,$L4605))</f>
        <v/>
      </c>
      <c r="N4605" s="31" t="str">
        <f>IF($L4605="","",INDEX($B$8:$B$5007,$L4605))</f>
        <v/>
      </c>
      <c r="O4605" s="32" t="str">
        <f>IF($M4605="","",IF($K4605-$M4605&gt;7,"",IF($M4605&lt;=$A4605,"",IF(OR($B4605&lt;=0,$N4605&lt;=0),"",($N4605/$B4605)^(365/($M4605-$A4605))-1))))</f>
        <v/>
      </c>
      <c r="P4605" s="31" t="str">
        <f>IF($B4605="","",IF($P4604="",$B4605,MAX($P4604,$B4605)))</f>
        <v/>
      </c>
      <c r="Q4605" s="32" t="str">
        <f>IF($P4605="","",$B4605/$P4605-1)</f>
        <v/>
      </c>
    </row>
    <row r="4606">
      <c r="A4606" s="11" t="n"/>
      <c r="B4606" s="29" t="n"/>
      <c r="K4606" s="30" t="str">
        <f>IF($A4606="","",EDATE($A4606,12*$E$4))</f>
        <v/>
      </c>
      <c r="L4606" s="19" t="str">
        <f>IF($K4606="","",IF($K4606&gt;MAX($A$8:$A$5007),"",IFERROR(MATCH($K4606,$A$8:$A$5007,1),"")))</f>
        <v/>
      </c>
      <c r="M4606" s="30" t="str">
        <f>IF($L4606="","",INDEX($A$8:$A$5007,$L4606))</f>
        <v/>
      </c>
      <c r="N4606" s="31" t="str">
        <f>IF($L4606="","",INDEX($B$8:$B$5007,$L4606))</f>
        <v/>
      </c>
      <c r="O4606" s="32" t="str">
        <f>IF($M4606="","",IF($K4606-$M4606&gt;7,"",IF($M4606&lt;=$A4606,"",IF(OR($B4606&lt;=0,$N4606&lt;=0),"",($N4606/$B4606)^(365/($M4606-$A4606))-1))))</f>
        <v/>
      </c>
      <c r="P4606" s="31" t="str">
        <f>IF($B4606="","",IF($P4605="",$B4606,MAX($P4605,$B4606)))</f>
        <v/>
      </c>
      <c r="Q4606" s="32" t="str">
        <f>IF($P4606="","",$B4606/$P4606-1)</f>
        <v/>
      </c>
    </row>
    <row r="4607">
      <c r="A4607" s="11" t="n"/>
      <c r="B4607" s="29" t="n"/>
      <c r="K4607" s="30" t="str">
        <f>IF($A4607="","",EDATE($A4607,12*$E$4))</f>
        <v/>
      </c>
      <c r="L4607" s="19" t="str">
        <f>IF($K4607="","",IF($K4607&gt;MAX($A$8:$A$5007),"",IFERROR(MATCH($K4607,$A$8:$A$5007,1),"")))</f>
        <v/>
      </c>
      <c r="M4607" s="30" t="str">
        <f>IF($L4607="","",INDEX($A$8:$A$5007,$L4607))</f>
        <v/>
      </c>
      <c r="N4607" s="31" t="str">
        <f>IF($L4607="","",INDEX($B$8:$B$5007,$L4607))</f>
        <v/>
      </c>
      <c r="O4607" s="32" t="str">
        <f>IF($M4607="","",IF($K4607-$M4607&gt;7,"",IF($M4607&lt;=$A4607,"",IF(OR($B4607&lt;=0,$N4607&lt;=0),"",($N4607/$B4607)^(365/($M4607-$A4607))-1))))</f>
        <v/>
      </c>
      <c r="P4607" s="31" t="str">
        <f>IF($B4607="","",IF($P4606="",$B4607,MAX($P4606,$B4607)))</f>
        <v/>
      </c>
      <c r="Q4607" s="32" t="str">
        <f>IF($P4607="","",$B4607/$P4607-1)</f>
        <v/>
      </c>
    </row>
    <row r="4608">
      <c r="A4608" s="11" t="n"/>
      <c r="B4608" s="29" t="n"/>
      <c r="K4608" s="30" t="str">
        <f>IF($A4608="","",EDATE($A4608,12*$E$4))</f>
        <v/>
      </c>
      <c r="L4608" s="19" t="str">
        <f>IF($K4608="","",IF($K4608&gt;MAX($A$8:$A$5007),"",IFERROR(MATCH($K4608,$A$8:$A$5007,1),"")))</f>
        <v/>
      </c>
      <c r="M4608" s="30" t="str">
        <f>IF($L4608="","",INDEX($A$8:$A$5007,$L4608))</f>
        <v/>
      </c>
      <c r="N4608" s="31" t="str">
        <f>IF($L4608="","",INDEX($B$8:$B$5007,$L4608))</f>
        <v/>
      </c>
      <c r="O4608" s="32" t="str">
        <f>IF($M4608="","",IF($K4608-$M4608&gt;7,"",IF($M4608&lt;=$A4608,"",IF(OR($B4608&lt;=0,$N4608&lt;=0),"",($N4608/$B4608)^(365/($M4608-$A4608))-1))))</f>
        <v/>
      </c>
      <c r="P4608" s="31" t="str">
        <f>IF($B4608="","",IF($P4607="",$B4608,MAX($P4607,$B4608)))</f>
        <v/>
      </c>
      <c r="Q4608" s="32" t="str">
        <f>IF($P4608="","",$B4608/$P4608-1)</f>
        <v/>
      </c>
    </row>
    <row r="4609">
      <c r="A4609" s="11" t="n"/>
      <c r="B4609" s="29" t="n"/>
      <c r="K4609" s="30" t="str">
        <f>IF($A4609="","",EDATE($A4609,12*$E$4))</f>
        <v/>
      </c>
      <c r="L4609" s="19" t="str">
        <f>IF($K4609="","",IF($K4609&gt;MAX($A$8:$A$5007),"",IFERROR(MATCH($K4609,$A$8:$A$5007,1),"")))</f>
        <v/>
      </c>
      <c r="M4609" s="30" t="str">
        <f>IF($L4609="","",INDEX($A$8:$A$5007,$L4609))</f>
        <v/>
      </c>
      <c r="N4609" s="31" t="str">
        <f>IF($L4609="","",INDEX($B$8:$B$5007,$L4609))</f>
        <v/>
      </c>
      <c r="O4609" s="32" t="str">
        <f>IF($M4609="","",IF($K4609-$M4609&gt;7,"",IF($M4609&lt;=$A4609,"",IF(OR($B4609&lt;=0,$N4609&lt;=0),"",($N4609/$B4609)^(365/($M4609-$A4609))-1))))</f>
        <v/>
      </c>
      <c r="P4609" s="31" t="str">
        <f>IF($B4609="","",IF($P4608="",$B4609,MAX($P4608,$B4609)))</f>
        <v/>
      </c>
      <c r="Q4609" s="32" t="str">
        <f>IF($P4609="","",$B4609/$P4609-1)</f>
        <v/>
      </c>
    </row>
    <row r="4610">
      <c r="A4610" s="11" t="n"/>
      <c r="B4610" s="29" t="n"/>
      <c r="K4610" s="30" t="str">
        <f>IF($A4610="","",EDATE($A4610,12*$E$4))</f>
        <v/>
      </c>
      <c r="L4610" s="19" t="str">
        <f>IF($K4610="","",IF($K4610&gt;MAX($A$8:$A$5007),"",IFERROR(MATCH($K4610,$A$8:$A$5007,1),"")))</f>
        <v/>
      </c>
      <c r="M4610" s="30" t="str">
        <f>IF($L4610="","",INDEX($A$8:$A$5007,$L4610))</f>
        <v/>
      </c>
      <c r="N4610" s="31" t="str">
        <f>IF($L4610="","",INDEX($B$8:$B$5007,$L4610))</f>
        <v/>
      </c>
      <c r="O4610" s="32" t="str">
        <f>IF($M4610="","",IF($K4610-$M4610&gt;7,"",IF($M4610&lt;=$A4610,"",IF(OR($B4610&lt;=0,$N4610&lt;=0),"",($N4610/$B4610)^(365/($M4610-$A4610))-1))))</f>
        <v/>
      </c>
      <c r="P4610" s="31" t="str">
        <f>IF($B4610="","",IF($P4609="",$B4610,MAX($P4609,$B4610)))</f>
        <v/>
      </c>
      <c r="Q4610" s="32" t="str">
        <f>IF($P4610="","",$B4610/$P4610-1)</f>
        <v/>
      </c>
    </row>
    <row r="4611">
      <c r="A4611" s="11" t="n"/>
      <c r="B4611" s="29" t="n"/>
      <c r="K4611" s="30" t="str">
        <f>IF($A4611="","",EDATE($A4611,12*$E$4))</f>
        <v/>
      </c>
      <c r="L4611" s="19" t="str">
        <f>IF($K4611="","",IF($K4611&gt;MAX($A$8:$A$5007),"",IFERROR(MATCH($K4611,$A$8:$A$5007,1),"")))</f>
        <v/>
      </c>
      <c r="M4611" s="30" t="str">
        <f>IF($L4611="","",INDEX($A$8:$A$5007,$L4611))</f>
        <v/>
      </c>
      <c r="N4611" s="31" t="str">
        <f>IF($L4611="","",INDEX($B$8:$B$5007,$L4611))</f>
        <v/>
      </c>
      <c r="O4611" s="32" t="str">
        <f>IF($M4611="","",IF($K4611-$M4611&gt;7,"",IF($M4611&lt;=$A4611,"",IF(OR($B4611&lt;=0,$N4611&lt;=0),"",($N4611/$B4611)^(365/($M4611-$A4611))-1))))</f>
        <v/>
      </c>
      <c r="P4611" s="31" t="str">
        <f>IF($B4611="","",IF($P4610="",$B4611,MAX($P4610,$B4611)))</f>
        <v/>
      </c>
      <c r="Q4611" s="32" t="str">
        <f>IF($P4611="","",$B4611/$P4611-1)</f>
        <v/>
      </c>
    </row>
    <row r="4612">
      <c r="A4612" s="11" t="n"/>
      <c r="B4612" s="29" t="n"/>
      <c r="K4612" s="30" t="str">
        <f>IF($A4612="","",EDATE($A4612,12*$E$4))</f>
        <v/>
      </c>
      <c r="L4612" s="19" t="str">
        <f>IF($K4612="","",IF($K4612&gt;MAX($A$8:$A$5007),"",IFERROR(MATCH($K4612,$A$8:$A$5007,1),"")))</f>
        <v/>
      </c>
      <c r="M4612" s="30" t="str">
        <f>IF($L4612="","",INDEX($A$8:$A$5007,$L4612))</f>
        <v/>
      </c>
      <c r="N4612" s="31" t="str">
        <f>IF($L4612="","",INDEX($B$8:$B$5007,$L4612))</f>
        <v/>
      </c>
      <c r="O4612" s="32" t="str">
        <f>IF($M4612="","",IF($K4612-$M4612&gt;7,"",IF($M4612&lt;=$A4612,"",IF(OR($B4612&lt;=0,$N4612&lt;=0),"",($N4612/$B4612)^(365/($M4612-$A4612))-1))))</f>
        <v/>
      </c>
      <c r="P4612" s="31" t="str">
        <f>IF($B4612="","",IF($P4611="",$B4612,MAX($P4611,$B4612)))</f>
        <v/>
      </c>
      <c r="Q4612" s="32" t="str">
        <f>IF($P4612="","",$B4612/$P4612-1)</f>
        <v/>
      </c>
    </row>
    <row r="4613">
      <c r="A4613" s="11" t="n"/>
      <c r="B4613" s="29" t="n"/>
      <c r="K4613" s="30" t="str">
        <f>IF($A4613="","",EDATE($A4613,12*$E$4))</f>
        <v/>
      </c>
      <c r="L4613" s="19" t="str">
        <f>IF($K4613="","",IF($K4613&gt;MAX($A$8:$A$5007),"",IFERROR(MATCH($K4613,$A$8:$A$5007,1),"")))</f>
        <v/>
      </c>
      <c r="M4613" s="30" t="str">
        <f>IF($L4613="","",INDEX($A$8:$A$5007,$L4613))</f>
        <v/>
      </c>
      <c r="N4613" s="31" t="str">
        <f>IF($L4613="","",INDEX($B$8:$B$5007,$L4613))</f>
        <v/>
      </c>
      <c r="O4613" s="32" t="str">
        <f>IF($M4613="","",IF($K4613-$M4613&gt;7,"",IF($M4613&lt;=$A4613,"",IF(OR($B4613&lt;=0,$N4613&lt;=0),"",($N4613/$B4613)^(365/($M4613-$A4613))-1))))</f>
        <v/>
      </c>
      <c r="P4613" s="31" t="str">
        <f>IF($B4613="","",IF($P4612="",$B4613,MAX($P4612,$B4613)))</f>
        <v/>
      </c>
      <c r="Q4613" s="32" t="str">
        <f>IF($P4613="","",$B4613/$P4613-1)</f>
        <v/>
      </c>
    </row>
    <row r="4614">
      <c r="A4614" s="11" t="n"/>
      <c r="B4614" s="29" t="n"/>
      <c r="K4614" s="30" t="str">
        <f>IF($A4614="","",EDATE($A4614,12*$E$4))</f>
        <v/>
      </c>
      <c r="L4614" s="19" t="str">
        <f>IF($K4614="","",IF($K4614&gt;MAX($A$8:$A$5007),"",IFERROR(MATCH($K4614,$A$8:$A$5007,1),"")))</f>
        <v/>
      </c>
      <c r="M4614" s="30" t="str">
        <f>IF($L4614="","",INDEX($A$8:$A$5007,$L4614))</f>
        <v/>
      </c>
      <c r="N4614" s="31" t="str">
        <f>IF($L4614="","",INDEX($B$8:$B$5007,$L4614))</f>
        <v/>
      </c>
      <c r="O4614" s="32" t="str">
        <f>IF($M4614="","",IF($K4614-$M4614&gt;7,"",IF($M4614&lt;=$A4614,"",IF(OR($B4614&lt;=0,$N4614&lt;=0),"",($N4614/$B4614)^(365/($M4614-$A4614))-1))))</f>
        <v/>
      </c>
      <c r="P4614" s="31" t="str">
        <f>IF($B4614="","",IF($P4613="",$B4614,MAX($P4613,$B4614)))</f>
        <v/>
      </c>
      <c r="Q4614" s="32" t="str">
        <f>IF($P4614="","",$B4614/$P4614-1)</f>
        <v/>
      </c>
    </row>
    <row r="4615">
      <c r="A4615" s="11" t="n"/>
      <c r="B4615" s="29" t="n"/>
      <c r="K4615" s="30" t="str">
        <f>IF($A4615="","",EDATE($A4615,12*$E$4))</f>
        <v/>
      </c>
      <c r="L4615" s="19" t="str">
        <f>IF($K4615="","",IF($K4615&gt;MAX($A$8:$A$5007),"",IFERROR(MATCH($K4615,$A$8:$A$5007,1),"")))</f>
        <v/>
      </c>
      <c r="M4615" s="30" t="str">
        <f>IF($L4615="","",INDEX($A$8:$A$5007,$L4615))</f>
        <v/>
      </c>
      <c r="N4615" s="31" t="str">
        <f>IF($L4615="","",INDEX($B$8:$B$5007,$L4615))</f>
        <v/>
      </c>
      <c r="O4615" s="32" t="str">
        <f>IF($M4615="","",IF($K4615-$M4615&gt;7,"",IF($M4615&lt;=$A4615,"",IF(OR($B4615&lt;=0,$N4615&lt;=0),"",($N4615/$B4615)^(365/($M4615-$A4615))-1))))</f>
        <v/>
      </c>
      <c r="P4615" s="31" t="str">
        <f>IF($B4615="","",IF($P4614="",$B4615,MAX($P4614,$B4615)))</f>
        <v/>
      </c>
      <c r="Q4615" s="32" t="str">
        <f>IF($P4615="","",$B4615/$P4615-1)</f>
        <v/>
      </c>
    </row>
    <row r="4616">
      <c r="A4616" s="11" t="n"/>
      <c r="B4616" s="29" t="n"/>
      <c r="K4616" s="30" t="str">
        <f>IF($A4616="","",EDATE($A4616,12*$E$4))</f>
        <v/>
      </c>
      <c r="L4616" s="19" t="str">
        <f>IF($K4616="","",IF($K4616&gt;MAX($A$8:$A$5007),"",IFERROR(MATCH($K4616,$A$8:$A$5007,1),"")))</f>
        <v/>
      </c>
      <c r="M4616" s="30" t="str">
        <f>IF($L4616="","",INDEX($A$8:$A$5007,$L4616))</f>
        <v/>
      </c>
      <c r="N4616" s="31" t="str">
        <f>IF($L4616="","",INDEX($B$8:$B$5007,$L4616))</f>
        <v/>
      </c>
      <c r="O4616" s="32" t="str">
        <f>IF($M4616="","",IF($K4616-$M4616&gt;7,"",IF($M4616&lt;=$A4616,"",IF(OR($B4616&lt;=0,$N4616&lt;=0),"",($N4616/$B4616)^(365/($M4616-$A4616))-1))))</f>
        <v/>
      </c>
      <c r="P4616" s="31" t="str">
        <f>IF($B4616="","",IF($P4615="",$B4616,MAX($P4615,$B4616)))</f>
        <v/>
      </c>
      <c r="Q4616" s="32" t="str">
        <f>IF($P4616="","",$B4616/$P4616-1)</f>
        <v/>
      </c>
    </row>
    <row r="4617">
      <c r="A4617" s="11" t="n"/>
      <c r="B4617" s="29" t="n"/>
      <c r="K4617" s="30" t="str">
        <f>IF($A4617="","",EDATE($A4617,12*$E$4))</f>
        <v/>
      </c>
      <c r="L4617" s="19" t="str">
        <f>IF($K4617="","",IF($K4617&gt;MAX($A$8:$A$5007),"",IFERROR(MATCH($K4617,$A$8:$A$5007,1),"")))</f>
        <v/>
      </c>
      <c r="M4617" s="30" t="str">
        <f>IF($L4617="","",INDEX($A$8:$A$5007,$L4617))</f>
        <v/>
      </c>
      <c r="N4617" s="31" t="str">
        <f>IF($L4617="","",INDEX($B$8:$B$5007,$L4617))</f>
        <v/>
      </c>
      <c r="O4617" s="32" t="str">
        <f>IF($M4617="","",IF($K4617-$M4617&gt;7,"",IF($M4617&lt;=$A4617,"",IF(OR($B4617&lt;=0,$N4617&lt;=0),"",($N4617/$B4617)^(365/($M4617-$A4617))-1))))</f>
        <v/>
      </c>
      <c r="P4617" s="31" t="str">
        <f>IF($B4617="","",IF($P4616="",$B4617,MAX($P4616,$B4617)))</f>
        <v/>
      </c>
      <c r="Q4617" s="32" t="str">
        <f>IF($P4617="","",$B4617/$P4617-1)</f>
        <v/>
      </c>
    </row>
    <row r="4618">
      <c r="A4618" s="11" t="n"/>
      <c r="B4618" s="29" t="n"/>
      <c r="K4618" s="30" t="str">
        <f>IF($A4618="","",EDATE($A4618,12*$E$4))</f>
        <v/>
      </c>
      <c r="L4618" s="19" t="str">
        <f>IF($K4618="","",IF($K4618&gt;MAX($A$8:$A$5007),"",IFERROR(MATCH($K4618,$A$8:$A$5007,1),"")))</f>
        <v/>
      </c>
      <c r="M4618" s="30" t="str">
        <f>IF($L4618="","",INDEX($A$8:$A$5007,$L4618))</f>
        <v/>
      </c>
      <c r="N4618" s="31" t="str">
        <f>IF($L4618="","",INDEX($B$8:$B$5007,$L4618))</f>
        <v/>
      </c>
      <c r="O4618" s="32" t="str">
        <f>IF($M4618="","",IF($K4618-$M4618&gt;7,"",IF($M4618&lt;=$A4618,"",IF(OR($B4618&lt;=0,$N4618&lt;=0),"",($N4618/$B4618)^(365/($M4618-$A4618))-1))))</f>
        <v/>
      </c>
      <c r="P4618" s="31" t="str">
        <f>IF($B4618="","",IF($P4617="",$B4618,MAX($P4617,$B4618)))</f>
        <v/>
      </c>
      <c r="Q4618" s="32" t="str">
        <f>IF($P4618="","",$B4618/$P4618-1)</f>
        <v/>
      </c>
    </row>
    <row r="4619">
      <c r="A4619" s="11" t="n"/>
      <c r="B4619" s="29" t="n"/>
      <c r="K4619" s="30" t="str">
        <f>IF($A4619="","",EDATE($A4619,12*$E$4))</f>
        <v/>
      </c>
      <c r="L4619" s="19" t="str">
        <f>IF($K4619="","",IF($K4619&gt;MAX($A$8:$A$5007),"",IFERROR(MATCH($K4619,$A$8:$A$5007,1),"")))</f>
        <v/>
      </c>
      <c r="M4619" s="30" t="str">
        <f>IF($L4619="","",INDEX($A$8:$A$5007,$L4619))</f>
        <v/>
      </c>
      <c r="N4619" s="31" t="str">
        <f>IF($L4619="","",INDEX($B$8:$B$5007,$L4619))</f>
        <v/>
      </c>
      <c r="O4619" s="32" t="str">
        <f>IF($M4619="","",IF($K4619-$M4619&gt;7,"",IF($M4619&lt;=$A4619,"",IF(OR($B4619&lt;=0,$N4619&lt;=0),"",($N4619/$B4619)^(365/($M4619-$A4619))-1))))</f>
        <v/>
      </c>
      <c r="P4619" s="31" t="str">
        <f>IF($B4619="","",IF($P4618="",$B4619,MAX($P4618,$B4619)))</f>
        <v/>
      </c>
      <c r="Q4619" s="32" t="str">
        <f>IF($P4619="","",$B4619/$P4619-1)</f>
        <v/>
      </c>
    </row>
    <row r="4620">
      <c r="A4620" s="11" t="n"/>
      <c r="B4620" s="29" t="n"/>
      <c r="K4620" s="30" t="str">
        <f>IF($A4620="","",EDATE($A4620,12*$E$4))</f>
        <v/>
      </c>
      <c r="L4620" s="19" t="str">
        <f>IF($K4620="","",IF($K4620&gt;MAX($A$8:$A$5007),"",IFERROR(MATCH($K4620,$A$8:$A$5007,1),"")))</f>
        <v/>
      </c>
      <c r="M4620" s="30" t="str">
        <f>IF($L4620="","",INDEX($A$8:$A$5007,$L4620))</f>
        <v/>
      </c>
      <c r="N4620" s="31" t="str">
        <f>IF($L4620="","",INDEX($B$8:$B$5007,$L4620))</f>
        <v/>
      </c>
      <c r="O4620" s="32" t="str">
        <f>IF($M4620="","",IF($K4620-$M4620&gt;7,"",IF($M4620&lt;=$A4620,"",IF(OR($B4620&lt;=0,$N4620&lt;=0),"",($N4620/$B4620)^(365/($M4620-$A4620))-1))))</f>
        <v/>
      </c>
      <c r="P4620" s="31" t="str">
        <f>IF($B4620="","",IF($P4619="",$B4620,MAX($P4619,$B4620)))</f>
        <v/>
      </c>
      <c r="Q4620" s="32" t="str">
        <f>IF($P4620="","",$B4620/$P4620-1)</f>
        <v/>
      </c>
    </row>
    <row r="4621">
      <c r="A4621" s="11" t="n"/>
      <c r="B4621" s="29" t="n"/>
      <c r="K4621" s="30" t="str">
        <f>IF($A4621="","",EDATE($A4621,12*$E$4))</f>
        <v/>
      </c>
      <c r="L4621" s="19" t="str">
        <f>IF($K4621="","",IF($K4621&gt;MAX($A$8:$A$5007),"",IFERROR(MATCH($K4621,$A$8:$A$5007,1),"")))</f>
        <v/>
      </c>
      <c r="M4621" s="30" t="str">
        <f>IF($L4621="","",INDEX($A$8:$A$5007,$L4621))</f>
        <v/>
      </c>
      <c r="N4621" s="31" t="str">
        <f>IF($L4621="","",INDEX($B$8:$B$5007,$L4621))</f>
        <v/>
      </c>
      <c r="O4621" s="32" t="str">
        <f>IF($M4621="","",IF($K4621-$M4621&gt;7,"",IF($M4621&lt;=$A4621,"",IF(OR($B4621&lt;=0,$N4621&lt;=0),"",($N4621/$B4621)^(365/($M4621-$A4621))-1))))</f>
        <v/>
      </c>
      <c r="P4621" s="31" t="str">
        <f>IF($B4621="","",IF($P4620="",$B4621,MAX($P4620,$B4621)))</f>
        <v/>
      </c>
      <c r="Q4621" s="32" t="str">
        <f>IF($P4621="","",$B4621/$P4621-1)</f>
        <v/>
      </c>
    </row>
    <row r="4622">
      <c r="A4622" s="11" t="n"/>
      <c r="B4622" s="29" t="n"/>
      <c r="K4622" s="30" t="str">
        <f>IF($A4622="","",EDATE($A4622,12*$E$4))</f>
        <v/>
      </c>
      <c r="L4622" s="19" t="str">
        <f>IF($K4622="","",IF($K4622&gt;MAX($A$8:$A$5007),"",IFERROR(MATCH($K4622,$A$8:$A$5007,1),"")))</f>
        <v/>
      </c>
      <c r="M4622" s="30" t="str">
        <f>IF($L4622="","",INDEX($A$8:$A$5007,$L4622))</f>
        <v/>
      </c>
      <c r="N4622" s="31" t="str">
        <f>IF($L4622="","",INDEX($B$8:$B$5007,$L4622))</f>
        <v/>
      </c>
      <c r="O4622" s="32" t="str">
        <f>IF($M4622="","",IF($K4622-$M4622&gt;7,"",IF($M4622&lt;=$A4622,"",IF(OR($B4622&lt;=0,$N4622&lt;=0),"",($N4622/$B4622)^(365/($M4622-$A4622))-1))))</f>
        <v/>
      </c>
      <c r="P4622" s="31" t="str">
        <f>IF($B4622="","",IF($P4621="",$B4622,MAX($P4621,$B4622)))</f>
        <v/>
      </c>
      <c r="Q4622" s="32" t="str">
        <f>IF($P4622="","",$B4622/$P4622-1)</f>
        <v/>
      </c>
    </row>
    <row r="4623">
      <c r="A4623" s="11" t="n"/>
      <c r="B4623" s="29" t="n"/>
      <c r="K4623" s="30" t="str">
        <f>IF($A4623="","",EDATE($A4623,12*$E$4))</f>
        <v/>
      </c>
      <c r="L4623" s="19" t="str">
        <f>IF($K4623="","",IF($K4623&gt;MAX($A$8:$A$5007),"",IFERROR(MATCH($K4623,$A$8:$A$5007,1),"")))</f>
        <v/>
      </c>
      <c r="M4623" s="30" t="str">
        <f>IF($L4623="","",INDEX($A$8:$A$5007,$L4623))</f>
        <v/>
      </c>
      <c r="N4623" s="31" t="str">
        <f>IF($L4623="","",INDEX($B$8:$B$5007,$L4623))</f>
        <v/>
      </c>
      <c r="O4623" s="32" t="str">
        <f>IF($M4623="","",IF($K4623-$M4623&gt;7,"",IF($M4623&lt;=$A4623,"",IF(OR($B4623&lt;=0,$N4623&lt;=0),"",($N4623/$B4623)^(365/($M4623-$A4623))-1))))</f>
        <v/>
      </c>
      <c r="P4623" s="31" t="str">
        <f>IF($B4623="","",IF($P4622="",$B4623,MAX($P4622,$B4623)))</f>
        <v/>
      </c>
      <c r="Q4623" s="32" t="str">
        <f>IF($P4623="","",$B4623/$P4623-1)</f>
        <v/>
      </c>
    </row>
    <row r="4624">
      <c r="A4624" s="11" t="n"/>
      <c r="B4624" s="29" t="n"/>
      <c r="K4624" s="30" t="str">
        <f>IF($A4624="","",EDATE($A4624,12*$E$4))</f>
        <v/>
      </c>
      <c r="L4624" s="19" t="str">
        <f>IF($K4624="","",IF($K4624&gt;MAX($A$8:$A$5007),"",IFERROR(MATCH($K4624,$A$8:$A$5007,1),"")))</f>
        <v/>
      </c>
      <c r="M4624" s="30" t="str">
        <f>IF($L4624="","",INDEX($A$8:$A$5007,$L4624))</f>
        <v/>
      </c>
      <c r="N4624" s="31" t="str">
        <f>IF($L4624="","",INDEX($B$8:$B$5007,$L4624))</f>
        <v/>
      </c>
      <c r="O4624" s="32" t="str">
        <f>IF($M4624="","",IF($K4624-$M4624&gt;7,"",IF($M4624&lt;=$A4624,"",IF(OR($B4624&lt;=0,$N4624&lt;=0),"",($N4624/$B4624)^(365/($M4624-$A4624))-1))))</f>
        <v/>
      </c>
      <c r="P4624" s="31" t="str">
        <f>IF($B4624="","",IF($P4623="",$B4624,MAX($P4623,$B4624)))</f>
        <v/>
      </c>
      <c r="Q4624" s="32" t="str">
        <f>IF($P4624="","",$B4624/$P4624-1)</f>
        <v/>
      </c>
    </row>
    <row r="4625">
      <c r="A4625" s="11" t="n"/>
      <c r="B4625" s="29" t="n"/>
      <c r="K4625" s="30" t="str">
        <f>IF($A4625="","",EDATE($A4625,12*$E$4))</f>
        <v/>
      </c>
      <c r="L4625" s="19" t="str">
        <f>IF($K4625="","",IF($K4625&gt;MAX($A$8:$A$5007),"",IFERROR(MATCH($K4625,$A$8:$A$5007,1),"")))</f>
        <v/>
      </c>
      <c r="M4625" s="30" t="str">
        <f>IF($L4625="","",INDEX($A$8:$A$5007,$L4625))</f>
        <v/>
      </c>
      <c r="N4625" s="31" t="str">
        <f>IF($L4625="","",INDEX($B$8:$B$5007,$L4625))</f>
        <v/>
      </c>
      <c r="O4625" s="32" t="str">
        <f>IF($M4625="","",IF($K4625-$M4625&gt;7,"",IF($M4625&lt;=$A4625,"",IF(OR($B4625&lt;=0,$N4625&lt;=0),"",($N4625/$B4625)^(365/($M4625-$A4625))-1))))</f>
        <v/>
      </c>
      <c r="P4625" s="31" t="str">
        <f>IF($B4625="","",IF($P4624="",$B4625,MAX($P4624,$B4625)))</f>
        <v/>
      </c>
      <c r="Q4625" s="32" t="str">
        <f>IF($P4625="","",$B4625/$P4625-1)</f>
        <v/>
      </c>
    </row>
    <row r="4626">
      <c r="A4626" s="11" t="n"/>
      <c r="B4626" s="29" t="n"/>
      <c r="K4626" s="30" t="str">
        <f>IF($A4626="","",EDATE($A4626,12*$E$4))</f>
        <v/>
      </c>
      <c r="L4626" s="19" t="str">
        <f>IF($K4626="","",IF($K4626&gt;MAX($A$8:$A$5007),"",IFERROR(MATCH($K4626,$A$8:$A$5007,1),"")))</f>
        <v/>
      </c>
      <c r="M4626" s="30" t="str">
        <f>IF($L4626="","",INDEX($A$8:$A$5007,$L4626))</f>
        <v/>
      </c>
      <c r="N4626" s="31" t="str">
        <f>IF($L4626="","",INDEX($B$8:$B$5007,$L4626))</f>
        <v/>
      </c>
      <c r="O4626" s="32" t="str">
        <f>IF($M4626="","",IF($K4626-$M4626&gt;7,"",IF($M4626&lt;=$A4626,"",IF(OR($B4626&lt;=0,$N4626&lt;=0),"",($N4626/$B4626)^(365/($M4626-$A4626))-1))))</f>
        <v/>
      </c>
      <c r="P4626" s="31" t="str">
        <f>IF($B4626="","",IF($P4625="",$B4626,MAX($P4625,$B4626)))</f>
        <v/>
      </c>
      <c r="Q4626" s="32" t="str">
        <f>IF($P4626="","",$B4626/$P4626-1)</f>
        <v/>
      </c>
    </row>
    <row r="4627">
      <c r="A4627" s="11" t="n"/>
      <c r="B4627" s="29" t="n"/>
      <c r="K4627" s="30" t="str">
        <f>IF($A4627="","",EDATE($A4627,12*$E$4))</f>
        <v/>
      </c>
      <c r="L4627" s="19" t="str">
        <f>IF($K4627="","",IF($K4627&gt;MAX($A$8:$A$5007),"",IFERROR(MATCH($K4627,$A$8:$A$5007,1),"")))</f>
        <v/>
      </c>
      <c r="M4627" s="30" t="str">
        <f>IF($L4627="","",INDEX($A$8:$A$5007,$L4627))</f>
        <v/>
      </c>
      <c r="N4627" s="31" t="str">
        <f>IF($L4627="","",INDEX($B$8:$B$5007,$L4627))</f>
        <v/>
      </c>
      <c r="O4627" s="32" t="str">
        <f>IF($M4627="","",IF($K4627-$M4627&gt;7,"",IF($M4627&lt;=$A4627,"",IF(OR($B4627&lt;=0,$N4627&lt;=0),"",($N4627/$B4627)^(365/($M4627-$A4627))-1))))</f>
        <v/>
      </c>
      <c r="P4627" s="31" t="str">
        <f>IF($B4627="","",IF($P4626="",$B4627,MAX($P4626,$B4627)))</f>
        <v/>
      </c>
      <c r="Q4627" s="32" t="str">
        <f>IF($P4627="","",$B4627/$P4627-1)</f>
        <v/>
      </c>
    </row>
    <row r="4628">
      <c r="A4628" s="11" t="n"/>
      <c r="B4628" s="29" t="n"/>
      <c r="K4628" s="30" t="str">
        <f>IF($A4628="","",EDATE($A4628,12*$E$4))</f>
        <v/>
      </c>
      <c r="L4628" s="19" t="str">
        <f>IF($K4628="","",IF($K4628&gt;MAX($A$8:$A$5007),"",IFERROR(MATCH($K4628,$A$8:$A$5007,1),"")))</f>
        <v/>
      </c>
      <c r="M4628" s="30" t="str">
        <f>IF($L4628="","",INDEX($A$8:$A$5007,$L4628))</f>
        <v/>
      </c>
      <c r="N4628" s="31" t="str">
        <f>IF($L4628="","",INDEX($B$8:$B$5007,$L4628))</f>
        <v/>
      </c>
      <c r="O4628" s="32" t="str">
        <f>IF($M4628="","",IF($K4628-$M4628&gt;7,"",IF($M4628&lt;=$A4628,"",IF(OR($B4628&lt;=0,$N4628&lt;=0),"",($N4628/$B4628)^(365/($M4628-$A4628))-1))))</f>
        <v/>
      </c>
      <c r="P4628" s="31" t="str">
        <f>IF($B4628="","",IF($P4627="",$B4628,MAX($P4627,$B4628)))</f>
        <v/>
      </c>
      <c r="Q4628" s="32" t="str">
        <f>IF($P4628="","",$B4628/$P4628-1)</f>
        <v/>
      </c>
    </row>
    <row r="4629">
      <c r="A4629" s="11" t="n"/>
      <c r="B4629" s="29" t="n"/>
      <c r="K4629" s="30" t="str">
        <f>IF($A4629="","",EDATE($A4629,12*$E$4))</f>
        <v/>
      </c>
      <c r="L4629" s="19" t="str">
        <f>IF($K4629="","",IF($K4629&gt;MAX($A$8:$A$5007),"",IFERROR(MATCH($K4629,$A$8:$A$5007,1),"")))</f>
        <v/>
      </c>
      <c r="M4629" s="30" t="str">
        <f>IF($L4629="","",INDEX($A$8:$A$5007,$L4629))</f>
        <v/>
      </c>
      <c r="N4629" s="31" t="str">
        <f>IF($L4629="","",INDEX($B$8:$B$5007,$L4629))</f>
        <v/>
      </c>
      <c r="O4629" s="32" t="str">
        <f>IF($M4629="","",IF($K4629-$M4629&gt;7,"",IF($M4629&lt;=$A4629,"",IF(OR($B4629&lt;=0,$N4629&lt;=0),"",($N4629/$B4629)^(365/($M4629-$A4629))-1))))</f>
        <v/>
      </c>
      <c r="P4629" s="31" t="str">
        <f>IF($B4629="","",IF($P4628="",$B4629,MAX($P4628,$B4629)))</f>
        <v/>
      </c>
      <c r="Q4629" s="32" t="str">
        <f>IF($P4629="","",$B4629/$P4629-1)</f>
        <v/>
      </c>
    </row>
    <row r="4630">
      <c r="A4630" s="11" t="n"/>
      <c r="B4630" s="29" t="n"/>
      <c r="K4630" s="30" t="str">
        <f>IF($A4630="","",EDATE($A4630,12*$E$4))</f>
        <v/>
      </c>
      <c r="L4630" s="19" t="str">
        <f>IF($K4630="","",IF($K4630&gt;MAX($A$8:$A$5007),"",IFERROR(MATCH($K4630,$A$8:$A$5007,1),"")))</f>
        <v/>
      </c>
      <c r="M4630" s="30" t="str">
        <f>IF($L4630="","",INDEX($A$8:$A$5007,$L4630))</f>
        <v/>
      </c>
      <c r="N4630" s="31" t="str">
        <f>IF($L4630="","",INDEX($B$8:$B$5007,$L4630))</f>
        <v/>
      </c>
      <c r="O4630" s="32" t="str">
        <f>IF($M4630="","",IF($K4630-$M4630&gt;7,"",IF($M4630&lt;=$A4630,"",IF(OR($B4630&lt;=0,$N4630&lt;=0),"",($N4630/$B4630)^(365/($M4630-$A4630))-1))))</f>
        <v/>
      </c>
      <c r="P4630" s="31" t="str">
        <f>IF($B4630="","",IF($P4629="",$B4630,MAX($P4629,$B4630)))</f>
        <v/>
      </c>
      <c r="Q4630" s="32" t="str">
        <f>IF($P4630="","",$B4630/$P4630-1)</f>
        <v/>
      </c>
    </row>
    <row r="4631">
      <c r="A4631" s="11" t="n"/>
      <c r="B4631" s="29" t="n"/>
      <c r="K4631" s="30" t="str">
        <f>IF($A4631="","",EDATE($A4631,12*$E$4))</f>
        <v/>
      </c>
      <c r="L4631" s="19" t="str">
        <f>IF($K4631="","",IF($K4631&gt;MAX($A$8:$A$5007),"",IFERROR(MATCH($K4631,$A$8:$A$5007,1),"")))</f>
        <v/>
      </c>
      <c r="M4631" s="30" t="str">
        <f>IF($L4631="","",INDEX($A$8:$A$5007,$L4631))</f>
        <v/>
      </c>
      <c r="N4631" s="31" t="str">
        <f>IF($L4631="","",INDEX($B$8:$B$5007,$L4631))</f>
        <v/>
      </c>
      <c r="O4631" s="32" t="str">
        <f>IF($M4631="","",IF($K4631-$M4631&gt;7,"",IF($M4631&lt;=$A4631,"",IF(OR($B4631&lt;=0,$N4631&lt;=0),"",($N4631/$B4631)^(365/($M4631-$A4631))-1))))</f>
        <v/>
      </c>
      <c r="P4631" s="31" t="str">
        <f>IF($B4631="","",IF($P4630="",$B4631,MAX($P4630,$B4631)))</f>
        <v/>
      </c>
      <c r="Q4631" s="32" t="str">
        <f>IF($P4631="","",$B4631/$P4631-1)</f>
        <v/>
      </c>
    </row>
    <row r="4632">
      <c r="A4632" s="11" t="n"/>
      <c r="B4632" s="29" t="n"/>
      <c r="K4632" s="30" t="str">
        <f>IF($A4632="","",EDATE($A4632,12*$E$4))</f>
        <v/>
      </c>
      <c r="L4632" s="19" t="str">
        <f>IF($K4632="","",IF($K4632&gt;MAX($A$8:$A$5007),"",IFERROR(MATCH($K4632,$A$8:$A$5007,1),"")))</f>
        <v/>
      </c>
      <c r="M4632" s="30" t="str">
        <f>IF($L4632="","",INDEX($A$8:$A$5007,$L4632))</f>
        <v/>
      </c>
      <c r="N4632" s="31" t="str">
        <f>IF($L4632="","",INDEX($B$8:$B$5007,$L4632))</f>
        <v/>
      </c>
      <c r="O4632" s="32" t="str">
        <f>IF($M4632="","",IF($K4632-$M4632&gt;7,"",IF($M4632&lt;=$A4632,"",IF(OR($B4632&lt;=0,$N4632&lt;=0),"",($N4632/$B4632)^(365/($M4632-$A4632))-1))))</f>
        <v/>
      </c>
      <c r="P4632" s="31" t="str">
        <f>IF($B4632="","",IF($P4631="",$B4632,MAX($P4631,$B4632)))</f>
        <v/>
      </c>
      <c r="Q4632" s="32" t="str">
        <f>IF($P4632="","",$B4632/$P4632-1)</f>
        <v/>
      </c>
    </row>
    <row r="4633">
      <c r="A4633" s="11" t="n"/>
      <c r="B4633" s="29" t="n"/>
      <c r="K4633" s="30" t="str">
        <f>IF($A4633="","",EDATE($A4633,12*$E$4))</f>
        <v/>
      </c>
      <c r="L4633" s="19" t="str">
        <f>IF($K4633="","",IF($K4633&gt;MAX($A$8:$A$5007),"",IFERROR(MATCH($K4633,$A$8:$A$5007,1),"")))</f>
        <v/>
      </c>
      <c r="M4633" s="30" t="str">
        <f>IF($L4633="","",INDEX($A$8:$A$5007,$L4633))</f>
        <v/>
      </c>
      <c r="N4633" s="31" t="str">
        <f>IF($L4633="","",INDEX($B$8:$B$5007,$L4633))</f>
        <v/>
      </c>
      <c r="O4633" s="32" t="str">
        <f>IF($M4633="","",IF($K4633-$M4633&gt;7,"",IF($M4633&lt;=$A4633,"",IF(OR($B4633&lt;=0,$N4633&lt;=0),"",($N4633/$B4633)^(365/($M4633-$A4633))-1))))</f>
        <v/>
      </c>
      <c r="P4633" s="31" t="str">
        <f>IF($B4633="","",IF($P4632="",$B4633,MAX($P4632,$B4633)))</f>
        <v/>
      </c>
      <c r="Q4633" s="32" t="str">
        <f>IF($P4633="","",$B4633/$P4633-1)</f>
        <v/>
      </c>
    </row>
    <row r="4634">
      <c r="A4634" s="11" t="n"/>
      <c r="B4634" s="29" t="n"/>
      <c r="K4634" s="30" t="str">
        <f>IF($A4634="","",EDATE($A4634,12*$E$4))</f>
        <v/>
      </c>
      <c r="L4634" s="19" t="str">
        <f>IF($K4634="","",IF($K4634&gt;MAX($A$8:$A$5007),"",IFERROR(MATCH($K4634,$A$8:$A$5007,1),"")))</f>
        <v/>
      </c>
      <c r="M4634" s="30" t="str">
        <f>IF($L4634="","",INDEX($A$8:$A$5007,$L4634))</f>
        <v/>
      </c>
      <c r="N4634" s="31" t="str">
        <f>IF($L4634="","",INDEX($B$8:$B$5007,$L4634))</f>
        <v/>
      </c>
      <c r="O4634" s="32" t="str">
        <f>IF($M4634="","",IF($K4634-$M4634&gt;7,"",IF($M4634&lt;=$A4634,"",IF(OR($B4634&lt;=0,$N4634&lt;=0),"",($N4634/$B4634)^(365/($M4634-$A4634))-1))))</f>
        <v/>
      </c>
      <c r="P4634" s="31" t="str">
        <f>IF($B4634="","",IF($P4633="",$B4634,MAX($P4633,$B4634)))</f>
        <v/>
      </c>
      <c r="Q4634" s="32" t="str">
        <f>IF($P4634="","",$B4634/$P4634-1)</f>
        <v/>
      </c>
    </row>
    <row r="4635">
      <c r="A4635" s="11" t="n"/>
      <c r="B4635" s="29" t="n"/>
      <c r="K4635" s="30" t="str">
        <f>IF($A4635="","",EDATE($A4635,12*$E$4))</f>
        <v/>
      </c>
      <c r="L4635" s="19" t="str">
        <f>IF($K4635="","",IF($K4635&gt;MAX($A$8:$A$5007),"",IFERROR(MATCH($K4635,$A$8:$A$5007,1),"")))</f>
        <v/>
      </c>
      <c r="M4635" s="30" t="str">
        <f>IF($L4635="","",INDEX($A$8:$A$5007,$L4635))</f>
        <v/>
      </c>
      <c r="N4635" s="31" t="str">
        <f>IF($L4635="","",INDEX($B$8:$B$5007,$L4635))</f>
        <v/>
      </c>
      <c r="O4635" s="32" t="str">
        <f>IF($M4635="","",IF($K4635-$M4635&gt;7,"",IF($M4635&lt;=$A4635,"",IF(OR($B4635&lt;=0,$N4635&lt;=0),"",($N4635/$B4635)^(365/($M4635-$A4635))-1))))</f>
        <v/>
      </c>
      <c r="P4635" s="31" t="str">
        <f>IF($B4635="","",IF($P4634="",$B4635,MAX($P4634,$B4635)))</f>
        <v/>
      </c>
      <c r="Q4635" s="32" t="str">
        <f>IF($P4635="","",$B4635/$P4635-1)</f>
        <v/>
      </c>
    </row>
    <row r="4636">
      <c r="A4636" s="11" t="n"/>
      <c r="B4636" s="29" t="n"/>
      <c r="K4636" s="30" t="str">
        <f>IF($A4636="","",EDATE($A4636,12*$E$4))</f>
        <v/>
      </c>
      <c r="L4636" s="19" t="str">
        <f>IF($K4636="","",IF($K4636&gt;MAX($A$8:$A$5007),"",IFERROR(MATCH($K4636,$A$8:$A$5007,1),"")))</f>
        <v/>
      </c>
      <c r="M4636" s="30" t="str">
        <f>IF($L4636="","",INDEX($A$8:$A$5007,$L4636))</f>
        <v/>
      </c>
      <c r="N4636" s="31" t="str">
        <f>IF($L4636="","",INDEX($B$8:$B$5007,$L4636))</f>
        <v/>
      </c>
      <c r="O4636" s="32" t="str">
        <f>IF($M4636="","",IF($K4636-$M4636&gt;7,"",IF($M4636&lt;=$A4636,"",IF(OR($B4636&lt;=0,$N4636&lt;=0),"",($N4636/$B4636)^(365/($M4636-$A4636))-1))))</f>
        <v/>
      </c>
      <c r="P4636" s="31" t="str">
        <f>IF($B4636="","",IF($P4635="",$B4636,MAX($P4635,$B4636)))</f>
        <v/>
      </c>
      <c r="Q4636" s="32" t="str">
        <f>IF($P4636="","",$B4636/$P4636-1)</f>
        <v/>
      </c>
    </row>
    <row r="4637">
      <c r="A4637" s="11" t="n"/>
      <c r="B4637" s="29" t="n"/>
      <c r="K4637" s="30" t="str">
        <f>IF($A4637="","",EDATE($A4637,12*$E$4))</f>
        <v/>
      </c>
      <c r="L4637" s="19" t="str">
        <f>IF($K4637="","",IF($K4637&gt;MAX($A$8:$A$5007),"",IFERROR(MATCH($K4637,$A$8:$A$5007,1),"")))</f>
        <v/>
      </c>
      <c r="M4637" s="30" t="str">
        <f>IF($L4637="","",INDEX($A$8:$A$5007,$L4637))</f>
        <v/>
      </c>
      <c r="N4637" s="31" t="str">
        <f>IF($L4637="","",INDEX($B$8:$B$5007,$L4637))</f>
        <v/>
      </c>
      <c r="O4637" s="32" t="str">
        <f>IF($M4637="","",IF($K4637-$M4637&gt;7,"",IF($M4637&lt;=$A4637,"",IF(OR($B4637&lt;=0,$N4637&lt;=0),"",($N4637/$B4637)^(365/($M4637-$A4637))-1))))</f>
        <v/>
      </c>
      <c r="P4637" s="31" t="str">
        <f>IF($B4637="","",IF($P4636="",$B4637,MAX($P4636,$B4637)))</f>
        <v/>
      </c>
      <c r="Q4637" s="32" t="str">
        <f>IF($P4637="","",$B4637/$P4637-1)</f>
        <v/>
      </c>
    </row>
    <row r="4638">
      <c r="A4638" s="11" t="n"/>
      <c r="B4638" s="29" t="n"/>
      <c r="K4638" s="30" t="str">
        <f>IF($A4638="","",EDATE($A4638,12*$E$4))</f>
        <v/>
      </c>
      <c r="L4638" s="19" t="str">
        <f>IF($K4638="","",IF($K4638&gt;MAX($A$8:$A$5007),"",IFERROR(MATCH($K4638,$A$8:$A$5007,1),"")))</f>
        <v/>
      </c>
      <c r="M4638" s="30" t="str">
        <f>IF($L4638="","",INDEX($A$8:$A$5007,$L4638))</f>
        <v/>
      </c>
      <c r="N4638" s="31" t="str">
        <f>IF($L4638="","",INDEX($B$8:$B$5007,$L4638))</f>
        <v/>
      </c>
      <c r="O4638" s="32" t="str">
        <f>IF($M4638="","",IF($K4638-$M4638&gt;7,"",IF($M4638&lt;=$A4638,"",IF(OR($B4638&lt;=0,$N4638&lt;=0),"",($N4638/$B4638)^(365/($M4638-$A4638))-1))))</f>
        <v/>
      </c>
      <c r="P4638" s="31" t="str">
        <f>IF($B4638="","",IF($P4637="",$B4638,MAX($P4637,$B4638)))</f>
        <v/>
      </c>
      <c r="Q4638" s="32" t="str">
        <f>IF($P4638="","",$B4638/$P4638-1)</f>
        <v/>
      </c>
    </row>
    <row r="4639">
      <c r="A4639" s="11" t="n"/>
      <c r="B4639" s="29" t="n"/>
      <c r="K4639" s="30" t="str">
        <f>IF($A4639="","",EDATE($A4639,12*$E$4))</f>
        <v/>
      </c>
      <c r="L4639" s="19" t="str">
        <f>IF($K4639="","",IF($K4639&gt;MAX($A$8:$A$5007),"",IFERROR(MATCH($K4639,$A$8:$A$5007,1),"")))</f>
        <v/>
      </c>
      <c r="M4639" s="30" t="str">
        <f>IF($L4639="","",INDEX($A$8:$A$5007,$L4639))</f>
        <v/>
      </c>
      <c r="N4639" s="31" t="str">
        <f>IF($L4639="","",INDEX($B$8:$B$5007,$L4639))</f>
        <v/>
      </c>
      <c r="O4639" s="32" t="str">
        <f>IF($M4639="","",IF($K4639-$M4639&gt;7,"",IF($M4639&lt;=$A4639,"",IF(OR($B4639&lt;=0,$N4639&lt;=0),"",($N4639/$B4639)^(365/($M4639-$A4639))-1))))</f>
        <v/>
      </c>
      <c r="P4639" s="31" t="str">
        <f>IF($B4639="","",IF($P4638="",$B4639,MAX($P4638,$B4639)))</f>
        <v/>
      </c>
      <c r="Q4639" s="32" t="str">
        <f>IF($P4639="","",$B4639/$P4639-1)</f>
        <v/>
      </c>
    </row>
    <row r="4640">
      <c r="A4640" s="11" t="n"/>
      <c r="B4640" s="29" t="n"/>
      <c r="K4640" s="30" t="str">
        <f>IF($A4640="","",EDATE($A4640,12*$E$4))</f>
        <v/>
      </c>
      <c r="L4640" s="19" t="str">
        <f>IF($K4640="","",IF($K4640&gt;MAX($A$8:$A$5007),"",IFERROR(MATCH($K4640,$A$8:$A$5007,1),"")))</f>
        <v/>
      </c>
      <c r="M4640" s="30" t="str">
        <f>IF($L4640="","",INDEX($A$8:$A$5007,$L4640))</f>
        <v/>
      </c>
      <c r="N4640" s="31" t="str">
        <f>IF($L4640="","",INDEX($B$8:$B$5007,$L4640))</f>
        <v/>
      </c>
      <c r="O4640" s="32" t="str">
        <f>IF($M4640="","",IF($K4640-$M4640&gt;7,"",IF($M4640&lt;=$A4640,"",IF(OR($B4640&lt;=0,$N4640&lt;=0),"",($N4640/$B4640)^(365/($M4640-$A4640))-1))))</f>
        <v/>
      </c>
      <c r="P4640" s="31" t="str">
        <f>IF($B4640="","",IF($P4639="",$B4640,MAX($P4639,$B4640)))</f>
        <v/>
      </c>
      <c r="Q4640" s="32" t="str">
        <f>IF($P4640="","",$B4640/$P4640-1)</f>
        <v/>
      </c>
    </row>
    <row r="4641">
      <c r="A4641" s="11" t="n"/>
      <c r="B4641" s="29" t="n"/>
      <c r="K4641" s="30" t="str">
        <f>IF($A4641="","",EDATE($A4641,12*$E$4))</f>
        <v/>
      </c>
      <c r="L4641" s="19" t="str">
        <f>IF($K4641="","",IF($K4641&gt;MAX($A$8:$A$5007),"",IFERROR(MATCH($K4641,$A$8:$A$5007,1),"")))</f>
        <v/>
      </c>
      <c r="M4641" s="30" t="str">
        <f>IF($L4641="","",INDEX($A$8:$A$5007,$L4641))</f>
        <v/>
      </c>
      <c r="N4641" s="31" t="str">
        <f>IF($L4641="","",INDEX($B$8:$B$5007,$L4641))</f>
        <v/>
      </c>
      <c r="O4641" s="32" t="str">
        <f>IF($M4641="","",IF($K4641-$M4641&gt;7,"",IF($M4641&lt;=$A4641,"",IF(OR($B4641&lt;=0,$N4641&lt;=0),"",($N4641/$B4641)^(365/($M4641-$A4641))-1))))</f>
        <v/>
      </c>
      <c r="P4641" s="31" t="str">
        <f>IF($B4641="","",IF($P4640="",$B4641,MAX($P4640,$B4641)))</f>
        <v/>
      </c>
      <c r="Q4641" s="32" t="str">
        <f>IF($P4641="","",$B4641/$P4641-1)</f>
        <v/>
      </c>
    </row>
    <row r="4642">
      <c r="A4642" s="11" t="n"/>
      <c r="B4642" s="29" t="n"/>
      <c r="K4642" s="30" t="str">
        <f>IF($A4642="","",EDATE($A4642,12*$E$4))</f>
        <v/>
      </c>
      <c r="L4642" s="19" t="str">
        <f>IF($K4642="","",IF($K4642&gt;MAX($A$8:$A$5007),"",IFERROR(MATCH($K4642,$A$8:$A$5007,1),"")))</f>
        <v/>
      </c>
      <c r="M4642" s="30" t="str">
        <f>IF($L4642="","",INDEX($A$8:$A$5007,$L4642))</f>
        <v/>
      </c>
      <c r="N4642" s="31" t="str">
        <f>IF($L4642="","",INDEX($B$8:$B$5007,$L4642))</f>
        <v/>
      </c>
      <c r="O4642" s="32" t="str">
        <f>IF($M4642="","",IF($K4642-$M4642&gt;7,"",IF($M4642&lt;=$A4642,"",IF(OR($B4642&lt;=0,$N4642&lt;=0),"",($N4642/$B4642)^(365/($M4642-$A4642))-1))))</f>
        <v/>
      </c>
      <c r="P4642" s="31" t="str">
        <f>IF($B4642="","",IF($P4641="",$B4642,MAX($P4641,$B4642)))</f>
        <v/>
      </c>
      <c r="Q4642" s="32" t="str">
        <f>IF($P4642="","",$B4642/$P4642-1)</f>
        <v/>
      </c>
    </row>
    <row r="4643">
      <c r="A4643" s="11" t="n"/>
      <c r="B4643" s="29" t="n"/>
      <c r="K4643" s="30" t="str">
        <f>IF($A4643="","",EDATE($A4643,12*$E$4))</f>
        <v/>
      </c>
      <c r="L4643" s="19" t="str">
        <f>IF($K4643="","",IF($K4643&gt;MAX($A$8:$A$5007),"",IFERROR(MATCH($K4643,$A$8:$A$5007,1),"")))</f>
        <v/>
      </c>
      <c r="M4643" s="30" t="str">
        <f>IF($L4643="","",INDEX($A$8:$A$5007,$L4643))</f>
        <v/>
      </c>
      <c r="N4643" s="31" t="str">
        <f>IF($L4643="","",INDEX($B$8:$B$5007,$L4643))</f>
        <v/>
      </c>
      <c r="O4643" s="32" t="str">
        <f>IF($M4643="","",IF($K4643-$M4643&gt;7,"",IF($M4643&lt;=$A4643,"",IF(OR($B4643&lt;=0,$N4643&lt;=0),"",($N4643/$B4643)^(365/($M4643-$A4643))-1))))</f>
        <v/>
      </c>
      <c r="P4643" s="31" t="str">
        <f>IF($B4643="","",IF($P4642="",$B4643,MAX($P4642,$B4643)))</f>
        <v/>
      </c>
      <c r="Q4643" s="32" t="str">
        <f>IF($P4643="","",$B4643/$P4643-1)</f>
        <v/>
      </c>
    </row>
    <row r="4644">
      <c r="A4644" s="11" t="n"/>
      <c r="B4644" s="29" t="n"/>
      <c r="K4644" s="30" t="str">
        <f>IF($A4644="","",EDATE($A4644,12*$E$4))</f>
        <v/>
      </c>
      <c r="L4644" s="19" t="str">
        <f>IF($K4644="","",IF($K4644&gt;MAX($A$8:$A$5007),"",IFERROR(MATCH($K4644,$A$8:$A$5007,1),"")))</f>
        <v/>
      </c>
      <c r="M4644" s="30" t="str">
        <f>IF($L4644="","",INDEX($A$8:$A$5007,$L4644))</f>
        <v/>
      </c>
      <c r="N4644" s="31" t="str">
        <f>IF($L4644="","",INDEX($B$8:$B$5007,$L4644))</f>
        <v/>
      </c>
      <c r="O4644" s="32" t="str">
        <f>IF($M4644="","",IF($K4644-$M4644&gt;7,"",IF($M4644&lt;=$A4644,"",IF(OR($B4644&lt;=0,$N4644&lt;=0),"",($N4644/$B4644)^(365/($M4644-$A4644))-1))))</f>
        <v/>
      </c>
      <c r="P4644" s="31" t="str">
        <f>IF($B4644="","",IF($P4643="",$B4644,MAX($P4643,$B4644)))</f>
        <v/>
      </c>
      <c r="Q4644" s="32" t="str">
        <f>IF($P4644="","",$B4644/$P4644-1)</f>
        <v/>
      </c>
    </row>
    <row r="4645">
      <c r="A4645" s="11" t="n"/>
      <c r="B4645" s="29" t="n"/>
      <c r="K4645" s="30" t="str">
        <f>IF($A4645="","",EDATE($A4645,12*$E$4))</f>
        <v/>
      </c>
      <c r="L4645" s="19" t="str">
        <f>IF($K4645="","",IF($K4645&gt;MAX($A$8:$A$5007),"",IFERROR(MATCH($K4645,$A$8:$A$5007,1),"")))</f>
        <v/>
      </c>
      <c r="M4645" s="30" t="str">
        <f>IF($L4645="","",INDEX($A$8:$A$5007,$L4645))</f>
        <v/>
      </c>
      <c r="N4645" s="31" t="str">
        <f>IF($L4645="","",INDEX($B$8:$B$5007,$L4645))</f>
        <v/>
      </c>
      <c r="O4645" s="32" t="str">
        <f>IF($M4645="","",IF($K4645-$M4645&gt;7,"",IF($M4645&lt;=$A4645,"",IF(OR($B4645&lt;=0,$N4645&lt;=0),"",($N4645/$B4645)^(365/($M4645-$A4645))-1))))</f>
        <v/>
      </c>
      <c r="P4645" s="31" t="str">
        <f>IF($B4645="","",IF($P4644="",$B4645,MAX($P4644,$B4645)))</f>
        <v/>
      </c>
      <c r="Q4645" s="32" t="str">
        <f>IF($P4645="","",$B4645/$P4645-1)</f>
        <v/>
      </c>
    </row>
    <row r="4646">
      <c r="A4646" s="11" t="n"/>
      <c r="B4646" s="29" t="n"/>
      <c r="K4646" s="30" t="str">
        <f>IF($A4646="","",EDATE($A4646,12*$E$4))</f>
        <v/>
      </c>
      <c r="L4646" s="19" t="str">
        <f>IF($K4646="","",IF($K4646&gt;MAX($A$8:$A$5007),"",IFERROR(MATCH($K4646,$A$8:$A$5007,1),"")))</f>
        <v/>
      </c>
      <c r="M4646" s="30" t="str">
        <f>IF($L4646="","",INDEX($A$8:$A$5007,$L4646))</f>
        <v/>
      </c>
      <c r="N4646" s="31" t="str">
        <f>IF($L4646="","",INDEX($B$8:$B$5007,$L4646))</f>
        <v/>
      </c>
      <c r="O4646" s="32" t="str">
        <f>IF($M4646="","",IF($K4646-$M4646&gt;7,"",IF($M4646&lt;=$A4646,"",IF(OR($B4646&lt;=0,$N4646&lt;=0),"",($N4646/$B4646)^(365/($M4646-$A4646))-1))))</f>
        <v/>
      </c>
      <c r="P4646" s="31" t="str">
        <f>IF($B4646="","",IF($P4645="",$B4646,MAX($P4645,$B4646)))</f>
        <v/>
      </c>
      <c r="Q4646" s="32" t="str">
        <f>IF($P4646="","",$B4646/$P4646-1)</f>
        <v/>
      </c>
    </row>
    <row r="4647">
      <c r="A4647" s="11" t="n"/>
      <c r="B4647" s="29" t="n"/>
      <c r="K4647" s="30" t="str">
        <f>IF($A4647="","",EDATE($A4647,12*$E$4))</f>
        <v/>
      </c>
      <c r="L4647" s="19" t="str">
        <f>IF($K4647="","",IF($K4647&gt;MAX($A$8:$A$5007),"",IFERROR(MATCH($K4647,$A$8:$A$5007,1),"")))</f>
        <v/>
      </c>
      <c r="M4647" s="30" t="str">
        <f>IF($L4647="","",INDEX($A$8:$A$5007,$L4647))</f>
        <v/>
      </c>
      <c r="N4647" s="31" t="str">
        <f>IF($L4647="","",INDEX($B$8:$B$5007,$L4647))</f>
        <v/>
      </c>
      <c r="O4647" s="32" t="str">
        <f>IF($M4647="","",IF($K4647-$M4647&gt;7,"",IF($M4647&lt;=$A4647,"",IF(OR($B4647&lt;=0,$N4647&lt;=0),"",($N4647/$B4647)^(365/($M4647-$A4647))-1))))</f>
        <v/>
      </c>
      <c r="P4647" s="31" t="str">
        <f>IF($B4647="","",IF($P4646="",$B4647,MAX($P4646,$B4647)))</f>
        <v/>
      </c>
      <c r="Q4647" s="32" t="str">
        <f>IF($P4647="","",$B4647/$P4647-1)</f>
        <v/>
      </c>
    </row>
    <row r="4648">
      <c r="A4648" s="11" t="n"/>
      <c r="B4648" s="29" t="n"/>
      <c r="K4648" s="30" t="str">
        <f>IF($A4648="","",EDATE($A4648,12*$E$4))</f>
        <v/>
      </c>
      <c r="L4648" s="19" t="str">
        <f>IF($K4648="","",IF($K4648&gt;MAX($A$8:$A$5007),"",IFERROR(MATCH($K4648,$A$8:$A$5007,1),"")))</f>
        <v/>
      </c>
      <c r="M4648" s="30" t="str">
        <f>IF($L4648="","",INDEX($A$8:$A$5007,$L4648))</f>
        <v/>
      </c>
      <c r="N4648" s="31" t="str">
        <f>IF($L4648="","",INDEX($B$8:$B$5007,$L4648))</f>
        <v/>
      </c>
      <c r="O4648" s="32" t="str">
        <f>IF($M4648="","",IF($K4648-$M4648&gt;7,"",IF($M4648&lt;=$A4648,"",IF(OR($B4648&lt;=0,$N4648&lt;=0),"",($N4648/$B4648)^(365/($M4648-$A4648))-1))))</f>
        <v/>
      </c>
      <c r="P4648" s="31" t="str">
        <f>IF($B4648="","",IF($P4647="",$B4648,MAX($P4647,$B4648)))</f>
        <v/>
      </c>
      <c r="Q4648" s="32" t="str">
        <f>IF($P4648="","",$B4648/$P4648-1)</f>
        <v/>
      </c>
    </row>
    <row r="4649">
      <c r="A4649" s="11" t="n"/>
      <c r="B4649" s="29" t="n"/>
      <c r="K4649" s="30" t="str">
        <f>IF($A4649="","",EDATE($A4649,12*$E$4))</f>
        <v/>
      </c>
      <c r="L4649" s="19" t="str">
        <f>IF($K4649="","",IF($K4649&gt;MAX($A$8:$A$5007),"",IFERROR(MATCH($K4649,$A$8:$A$5007,1),"")))</f>
        <v/>
      </c>
      <c r="M4649" s="30" t="str">
        <f>IF($L4649="","",INDEX($A$8:$A$5007,$L4649))</f>
        <v/>
      </c>
      <c r="N4649" s="31" t="str">
        <f>IF($L4649="","",INDEX($B$8:$B$5007,$L4649))</f>
        <v/>
      </c>
      <c r="O4649" s="32" t="str">
        <f>IF($M4649="","",IF($K4649-$M4649&gt;7,"",IF($M4649&lt;=$A4649,"",IF(OR($B4649&lt;=0,$N4649&lt;=0),"",($N4649/$B4649)^(365/($M4649-$A4649))-1))))</f>
        <v/>
      </c>
      <c r="P4649" s="31" t="str">
        <f>IF($B4649="","",IF($P4648="",$B4649,MAX($P4648,$B4649)))</f>
        <v/>
      </c>
      <c r="Q4649" s="32" t="str">
        <f>IF($P4649="","",$B4649/$P4649-1)</f>
        <v/>
      </c>
    </row>
    <row r="4650">
      <c r="A4650" s="11" t="n"/>
      <c r="B4650" s="29" t="n"/>
      <c r="K4650" s="30" t="str">
        <f>IF($A4650="","",EDATE($A4650,12*$E$4))</f>
        <v/>
      </c>
      <c r="L4650" s="19" t="str">
        <f>IF($K4650="","",IF($K4650&gt;MAX($A$8:$A$5007),"",IFERROR(MATCH($K4650,$A$8:$A$5007,1),"")))</f>
        <v/>
      </c>
      <c r="M4650" s="30" t="str">
        <f>IF($L4650="","",INDEX($A$8:$A$5007,$L4650))</f>
        <v/>
      </c>
      <c r="N4650" s="31" t="str">
        <f>IF($L4650="","",INDEX($B$8:$B$5007,$L4650))</f>
        <v/>
      </c>
      <c r="O4650" s="32" t="str">
        <f>IF($M4650="","",IF($K4650-$M4650&gt;7,"",IF($M4650&lt;=$A4650,"",IF(OR($B4650&lt;=0,$N4650&lt;=0),"",($N4650/$B4650)^(365/($M4650-$A4650))-1))))</f>
        <v/>
      </c>
      <c r="P4650" s="31" t="str">
        <f>IF($B4650="","",IF($P4649="",$B4650,MAX($P4649,$B4650)))</f>
        <v/>
      </c>
      <c r="Q4650" s="32" t="str">
        <f>IF($P4650="","",$B4650/$P4650-1)</f>
        <v/>
      </c>
    </row>
    <row r="4651">
      <c r="A4651" s="11" t="n"/>
      <c r="B4651" s="29" t="n"/>
      <c r="K4651" s="30" t="str">
        <f>IF($A4651="","",EDATE($A4651,12*$E$4))</f>
        <v/>
      </c>
      <c r="L4651" s="19" t="str">
        <f>IF($K4651="","",IF($K4651&gt;MAX($A$8:$A$5007),"",IFERROR(MATCH($K4651,$A$8:$A$5007,1),"")))</f>
        <v/>
      </c>
      <c r="M4651" s="30" t="str">
        <f>IF($L4651="","",INDEX($A$8:$A$5007,$L4651))</f>
        <v/>
      </c>
      <c r="N4651" s="31" t="str">
        <f>IF($L4651="","",INDEX($B$8:$B$5007,$L4651))</f>
        <v/>
      </c>
      <c r="O4651" s="32" t="str">
        <f>IF($M4651="","",IF($K4651-$M4651&gt;7,"",IF($M4651&lt;=$A4651,"",IF(OR($B4651&lt;=0,$N4651&lt;=0),"",($N4651/$B4651)^(365/($M4651-$A4651))-1))))</f>
        <v/>
      </c>
      <c r="P4651" s="31" t="str">
        <f>IF($B4651="","",IF($P4650="",$B4651,MAX($P4650,$B4651)))</f>
        <v/>
      </c>
      <c r="Q4651" s="32" t="str">
        <f>IF($P4651="","",$B4651/$P4651-1)</f>
        <v/>
      </c>
    </row>
    <row r="4652">
      <c r="A4652" s="11" t="n"/>
      <c r="B4652" s="29" t="n"/>
      <c r="K4652" s="30" t="str">
        <f>IF($A4652="","",EDATE($A4652,12*$E$4))</f>
        <v/>
      </c>
      <c r="L4652" s="19" t="str">
        <f>IF($K4652="","",IF($K4652&gt;MAX($A$8:$A$5007),"",IFERROR(MATCH($K4652,$A$8:$A$5007,1),"")))</f>
        <v/>
      </c>
      <c r="M4652" s="30" t="str">
        <f>IF($L4652="","",INDEX($A$8:$A$5007,$L4652))</f>
        <v/>
      </c>
      <c r="N4652" s="31" t="str">
        <f>IF($L4652="","",INDEX($B$8:$B$5007,$L4652))</f>
        <v/>
      </c>
      <c r="O4652" s="32" t="str">
        <f>IF($M4652="","",IF($K4652-$M4652&gt;7,"",IF($M4652&lt;=$A4652,"",IF(OR($B4652&lt;=0,$N4652&lt;=0),"",($N4652/$B4652)^(365/($M4652-$A4652))-1))))</f>
        <v/>
      </c>
      <c r="P4652" s="31" t="str">
        <f>IF($B4652="","",IF($P4651="",$B4652,MAX($P4651,$B4652)))</f>
        <v/>
      </c>
      <c r="Q4652" s="32" t="str">
        <f>IF($P4652="","",$B4652/$P4652-1)</f>
        <v/>
      </c>
    </row>
    <row r="4653">
      <c r="A4653" s="11" t="n"/>
      <c r="B4653" s="29" t="n"/>
      <c r="K4653" s="30" t="str">
        <f>IF($A4653="","",EDATE($A4653,12*$E$4))</f>
        <v/>
      </c>
      <c r="L4653" s="19" t="str">
        <f>IF($K4653="","",IF($K4653&gt;MAX($A$8:$A$5007),"",IFERROR(MATCH($K4653,$A$8:$A$5007,1),"")))</f>
        <v/>
      </c>
      <c r="M4653" s="30" t="str">
        <f>IF($L4653="","",INDEX($A$8:$A$5007,$L4653))</f>
        <v/>
      </c>
      <c r="N4653" s="31" t="str">
        <f>IF($L4653="","",INDEX($B$8:$B$5007,$L4653))</f>
        <v/>
      </c>
      <c r="O4653" s="32" t="str">
        <f>IF($M4653="","",IF($K4653-$M4653&gt;7,"",IF($M4653&lt;=$A4653,"",IF(OR($B4653&lt;=0,$N4653&lt;=0),"",($N4653/$B4653)^(365/($M4653-$A4653))-1))))</f>
        <v/>
      </c>
      <c r="P4653" s="31" t="str">
        <f>IF($B4653="","",IF($P4652="",$B4653,MAX($P4652,$B4653)))</f>
        <v/>
      </c>
      <c r="Q4653" s="32" t="str">
        <f>IF($P4653="","",$B4653/$P4653-1)</f>
        <v/>
      </c>
    </row>
    <row r="4654">
      <c r="A4654" s="11" t="n"/>
      <c r="B4654" s="29" t="n"/>
      <c r="K4654" s="30" t="str">
        <f>IF($A4654="","",EDATE($A4654,12*$E$4))</f>
        <v/>
      </c>
      <c r="L4654" s="19" t="str">
        <f>IF($K4654="","",IF($K4654&gt;MAX($A$8:$A$5007),"",IFERROR(MATCH($K4654,$A$8:$A$5007,1),"")))</f>
        <v/>
      </c>
      <c r="M4654" s="30" t="str">
        <f>IF($L4654="","",INDEX($A$8:$A$5007,$L4654))</f>
        <v/>
      </c>
      <c r="N4654" s="31" t="str">
        <f>IF($L4654="","",INDEX($B$8:$B$5007,$L4654))</f>
        <v/>
      </c>
      <c r="O4654" s="32" t="str">
        <f>IF($M4654="","",IF($K4654-$M4654&gt;7,"",IF($M4654&lt;=$A4654,"",IF(OR($B4654&lt;=0,$N4654&lt;=0),"",($N4654/$B4654)^(365/($M4654-$A4654))-1))))</f>
        <v/>
      </c>
      <c r="P4654" s="31" t="str">
        <f>IF($B4654="","",IF($P4653="",$B4654,MAX($P4653,$B4654)))</f>
        <v/>
      </c>
      <c r="Q4654" s="32" t="str">
        <f>IF($P4654="","",$B4654/$P4654-1)</f>
        <v/>
      </c>
    </row>
    <row r="4655">
      <c r="A4655" s="11" t="n"/>
      <c r="B4655" s="29" t="n"/>
      <c r="K4655" s="30" t="str">
        <f>IF($A4655="","",EDATE($A4655,12*$E$4))</f>
        <v/>
      </c>
      <c r="L4655" s="19" t="str">
        <f>IF($K4655="","",IF($K4655&gt;MAX($A$8:$A$5007),"",IFERROR(MATCH($K4655,$A$8:$A$5007,1),"")))</f>
        <v/>
      </c>
      <c r="M4655" s="30" t="str">
        <f>IF($L4655="","",INDEX($A$8:$A$5007,$L4655))</f>
        <v/>
      </c>
      <c r="N4655" s="31" t="str">
        <f>IF($L4655="","",INDEX($B$8:$B$5007,$L4655))</f>
        <v/>
      </c>
      <c r="O4655" s="32" t="str">
        <f>IF($M4655="","",IF($K4655-$M4655&gt;7,"",IF($M4655&lt;=$A4655,"",IF(OR($B4655&lt;=0,$N4655&lt;=0),"",($N4655/$B4655)^(365/($M4655-$A4655))-1))))</f>
        <v/>
      </c>
      <c r="P4655" s="31" t="str">
        <f>IF($B4655="","",IF($P4654="",$B4655,MAX($P4654,$B4655)))</f>
        <v/>
      </c>
      <c r="Q4655" s="32" t="str">
        <f>IF($P4655="","",$B4655/$P4655-1)</f>
        <v/>
      </c>
    </row>
    <row r="4656">
      <c r="A4656" s="11" t="n"/>
      <c r="B4656" s="29" t="n"/>
      <c r="K4656" s="30" t="str">
        <f>IF($A4656="","",EDATE($A4656,12*$E$4))</f>
        <v/>
      </c>
      <c r="L4656" s="19" t="str">
        <f>IF($K4656="","",IF($K4656&gt;MAX($A$8:$A$5007),"",IFERROR(MATCH($K4656,$A$8:$A$5007,1),"")))</f>
        <v/>
      </c>
      <c r="M4656" s="30" t="str">
        <f>IF($L4656="","",INDEX($A$8:$A$5007,$L4656))</f>
        <v/>
      </c>
      <c r="N4656" s="31" t="str">
        <f>IF($L4656="","",INDEX($B$8:$B$5007,$L4656))</f>
        <v/>
      </c>
      <c r="O4656" s="32" t="str">
        <f>IF($M4656="","",IF($K4656-$M4656&gt;7,"",IF($M4656&lt;=$A4656,"",IF(OR($B4656&lt;=0,$N4656&lt;=0),"",($N4656/$B4656)^(365/($M4656-$A4656))-1))))</f>
        <v/>
      </c>
      <c r="P4656" s="31" t="str">
        <f>IF($B4656="","",IF($P4655="",$B4656,MAX($P4655,$B4656)))</f>
        <v/>
      </c>
      <c r="Q4656" s="32" t="str">
        <f>IF($P4656="","",$B4656/$P4656-1)</f>
        <v/>
      </c>
    </row>
    <row r="4657">
      <c r="A4657" s="11" t="n"/>
      <c r="B4657" s="29" t="n"/>
      <c r="K4657" s="30" t="str">
        <f>IF($A4657="","",EDATE($A4657,12*$E$4))</f>
        <v/>
      </c>
      <c r="L4657" s="19" t="str">
        <f>IF($K4657="","",IF($K4657&gt;MAX($A$8:$A$5007),"",IFERROR(MATCH($K4657,$A$8:$A$5007,1),"")))</f>
        <v/>
      </c>
      <c r="M4657" s="30" t="str">
        <f>IF($L4657="","",INDEX($A$8:$A$5007,$L4657))</f>
        <v/>
      </c>
      <c r="N4657" s="31" t="str">
        <f>IF($L4657="","",INDEX($B$8:$B$5007,$L4657))</f>
        <v/>
      </c>
      <c r="O4657" s="32" t="str">
        <f>IF($M4657="","",IF($K4657-$M4657&gt;7,"",IF($M4657&lt;=$A4657,"",IF(OR($B4657&lt;=0,$N4657&lt;=0),"",($N4657/$B4657)^(365/($M4657-$A4657))-1))))</f>
        <v/>
      </c>
      <c r="P4657" s="31" t="str">
        <f>IF($B4657="","",IF($P4656="",$B4657,MAX($P4656,$B4657)))</f>
        <v/>
      </c>
      <c r="Q4657" s="32" t="str">
        <f>IF($P4657="","",$B4657/$P4657-1)</f>
        <v/>
      </c>
    </row>
    <row r="4658">
      <c r="A4658" s="11" t="n"/>
      <c r="B4658" s="29" t="n"/>
      <c r="K4658" s="30" t="str">
        <f>IF($A4658="","",EDATE($A4658,12*$E$4))</f>
        <v/>
      </c>
      <c r="L4658" s="19" t="str">
        <f>IF($K4658="","",IF($K4658&gt;MAX($A$8:$A$5007),"",IFERROR(MATCH($K4658,$A$8:$A$5007,1),"")))</f>
        <v/>
      </c>
      <c r="M4658" s="30" t="str">
        <f>IF($L4658="","",INDEX($A$8:$A$5007,$L4658))</f>
        <v/>
      </c>
      <c r="N4658" s="31" t="str">
        <f>IF($L4658="","",INDEX($B$8:$B$5007,$L4658))</f>
        <v/>
      </c>
      <c r="O4658" s="32" t="str">
        <f>IF($M4658="","",IF($K4658-$M4658&gt;7,"",IF($M4658&lt;=$A4658,"",IF(OR($B4658&lt;=0,$N4658&lt;=0),"",($N4658/$B4658)^(365/($M4658-$A4658))-1))))</f>
        <v/>
      </c>
      <c r="P4658" s="31" t="str">
        <f>IF($B4658="","",IF($P4657="",$B4658,MAX($P4657,$B4658)))</f>
        <v/>
      </c>
      <c r="Q4658" s="32" t="str">
        <f>IF($P4658="","",$B4658/$P4658-1)</f>
        <v/>
      </c>
    </row>
    <row r="4659">
      <c r="A4659" s="11" t="n"/>
      <c r="B4659" s="29" t="n"/>
      <c r="K4659" s="30" t="str">
        <f>IF($A4659="","",EDATE($A4659,12*$E$4))</f>
        <v/>
      </c>
      <c r="L4659" s="19" t="str">
        <f>IF($K4659="","",IF($K4659&gt;MAX($A$8:$A$5007),"",IFERROR(MATCH($K4659,$A$8:$A$5007,1),"")))</f>
        <v/>
      </c>
      <c r="M4659" s="30" t="str">
        <f>IF($L4659="","",INDEX($A$8:$A$5007,$L4659))</f>
        <v/>
      </c>
      <c r="N4659" s="31" t="str">
        <f>IF($L4659="","",INDEX($B$8:$B$5007,$L4659))</f>
        <v/>
      </c>
      <c r="O4659" s="32" t="str">
        <f>IF($M4659="","",IF($K4659-$M4659&gt;7,"",IF($M4659&lt;=$A4659,"",IF(OR($B4659&lt;=0,$N4659&lt;=0),"",($N4659/$B4659)^(365/($M4659-$A4659))-1))))</f>
        <v/>
      </c>
      <c r="P4659" s="31" t="str">
        <f>IF($B4659="","",IF($P4658="",$B4659,MAX($P4658,$B4659)))</f>
        <v/>
      </c>
      <c r="Q4659" s="32" t="str">
        <f>IF($P4659="","",$B4659/$P4659-1)</f>
        <v/>
      </c>
    </row>
    <row r="4660">
      <c r="A4660" s="11" t="n"/>
      <c r="B4660" s="29" t="n"/>
      <c r="K4660" s="30" t="str">
        <f>IF($A4660="","",EDATE($A4660,12*$E$4))</f>
        <v/>
      </c>
      <c r="L4660" s="19" t="str">
        <f>IF($K4660="","",IF($K4660&gt;MAX($A$8:$A$5007),"",IFERROR(MATCH($K4660,$A$8:$A$5007,1),"")))</f>
        <v/>
      </c>
      <c r="M4660" s="30" t="str">
        <f>IF($L4660="","",INDEX($A$8:$A$5007,$L4660))</f>
        <v/>
      </c>
      <c r="N4660" s="31" t="str">
        <f>IF($L4660="","",INDEX($B$8:$B$5007,$L4660))</f>
        <v/>
      </c>
      <c r="O4660" s="32" t="str">
        <f>IF($M4660="","",IF($K4660-$M4660&gt;7,"",IF($M4660&lt;=$A4660,"",IF(OR($B4660&lt;=0,$N4660&lt;=0),"",($N4660/$B4660)^(365/($M4660-$A4660))-1))))</f>
        <v/>
      </c>
      <c r="P4660" s="31" t="str">
        <f>IF($B4660="","",IF($P4659="",$B4660,MAX($P4659,$B4660)))</f>
        <v/>
      </c>
      <c r="Q4660" s="32" t="str">
        <f>IF($P4660="","",$B4660/$P4660-1)</f>
        <v/>
      </c>
    </row>
    <row r="4661">
      <c r="A4661" s="11" t="n"/>
      <c r="B4661" s="29" t="n"/>
      <c r="K4661" s="30" t="str">
        <f>IF($A4661="","",EDATE($A4661,12*$E$4))</f>
        <v/>
      </c>
      <c r="L4661" s="19" t="str">
        <f>IF($K4661="","",IF($K4661&gt;MAX($A$8:$A$5007),"",IFERROR(MATCH($K4661,$A$8:$A$5007,1),"")))</f>
        <v/>
      </c>
      <c r="M4661" s="30" t="str">
        <f>IF($L4661="","",INDEX($A$8:$A$5007,$L4661))</f>
        <v/>
      </c>
      <c r="N4661" s="31" t="str">
        <f>IF($L4661="","",INDEX($B$8:$B$5007,$L4661))</f>
        <v/>
      </c>
      <c r="O4661" s="32" t="str">
        <f>IF($M4661="","",IF($K4661-$M4661&gt;7,"",IF($M4661&lt;=$A4661,"",IF(OR($B4661&lt;=0,$N4661&lt;=0),"",($N4661/$B4661)^(365/($M4661-$A4661))-1))))</f>
        <v/>
      </c>
      <c r="P4661" s="31" t="str">
        <f>IF($B4661="","",IF($P4660="",$B4661,MAX($P4660,$B4661)))</f>
        <v/>
      </c>
      <c r="Q4661" s="32" t="str">
        <f>IF($P4661="","",$B4661/$P4661-1)</f>
        <v/>
      </c>
    </row>
    <row r="4662">
      <c r="A4662" s="11" t="n"/>
      <c r="B4662" s="29" t="n"/>
      <c r="K4662" s="30" t="str">
        <f>IF($A4662="","",EDATE($A4662,12*$E$4))</f>
        <v/>
      </c>
      <c r="L4662" s="19" t="str">
        <f>IF($K4662="","",IF($K4662&gt;MAX($A$8:$A$5007),"",IFERROR(MATCH($K4662,$A$8:$A$5007,1),"")))</f>
        <v/>
      </c>
      <c r="M4662" s="30" t="str">
        <f>IF($L4662="","",INDEX($A$8:$A$5007,$L4662))</f>
        <v/>
      </c>
      <c r="N4662" s="31" t="str">
        <f>IF($L4662="","",INDEX($B$8:$B$5007,$L4662))</f>
        <v/>
      </c>
      <c r="O4662" s="32" t="str">
        <f>IF($M4662="","",IF($K4662-$M4662&gt;7,"",IF($M4662&lt;=$A4662,"",IF(OR($B4662&lt;=0,$N4662&lt;=0),"",($N4662/$B4662)^(365/($M4662-$A4662))-1))))</f>
        <v/>
      </c>
      <c r="P4662" s="31" t="str">
        <f>IF($B4662="","",IF($P4661="",$B4662,MAX($P4661,$B4662)))</f>
        <v/>
      </c>
      <c r="Q4662" s="32" t="str">
        <f>IF($P4662="","",$B4662/$P4662-1)</f>
        <v/>
      </c>
    </row>
    <row r="4663">
      <c r="A4663" s="11" t="n"/>
      <c r="B4663" s="29" t="n"/>
      <c r="K4663" s="30" t="str">
        <f>IF($A4663="","",EDATE($A4663,12*$E$4))</f>
        <v/>
      </c>
      <c r="L4663" s="19" t="str">
        <f>IF($K4663="","",IF($K4663&gt;MAX($A$8:$A$5007),"",IFERROR(MATCH($K4663,$A$8:$A$5007,1),"")))</f>
        <v/>
      </c>
      <c r="M4663" s="30" t="str">
        <f>IF($L4663="","",INDEX($A$8:$A$5007,$L4663))</f>
        <v/>
      </c>
      <c r="N4663" s="31" t="str">
        <f>IF($L4663="","",INDEX($B$8:$B$5007,$L4663))</f>
        <v/>
      </c>
      <c r="O4663" s="32" t="str">
        <f>IF($M4663="","",IF($K4663-$M4663&gt;7,"",IF($M4663&lt;=$A4663,"",IF(OR($B4663&lt;=0,$N4663&lt;=0),"",($N4663/$B4663)^(365/($M4663-$A4663))-1))))</f>
        <v/>
      </c>
      <c r="P4663" s="31" t="str">
        <f>IF($B4663="","",IF($P4662="",$B4663,MAX($P4662,$B4663)))</f>
        <v/>
      </c>
      <c r="Q4663" s="32" t="str">
        <f>IF($P4663="","",$B4663/$P4663-1)</f>
        <v/>
      </c>
    </row>
    <row r="4664">
      <c r="A4664" s="11" t="n"/>
      <c r="B4664" s="29" t="n"/>
      <c r="K4664" s="30" t="str">
        <f>IF($A4664="","",EDATE($A4664,12*$E$4))</f>
        <v/>
      </c>
      <c r="L4664" s="19" t="str">
        <f>IF($K4664="","",IF($K4664&gt;MAX($A$8:$A$5007),"",IFERROR(MATCH($K4664,$A$8:$A$5007,1),"")))</f>
        <v/>
      </c>
      <c r="M4664" s="30" t="str">
        <f>IF($L4664="","",INDEX($A$8:$A$5007,$L4664))</f>
        <v/>
      </c>
      <c r="N4664" s="31" t="str">
        <f>IF($L4664="","",INDEX($B$8:$B$5007,$L4664))</f>
        <v/>
      </c>
      <c r="O4664" s="32" t="str">
        <f>IF($M4664="","",IF($K4664-$M4664&gt;7,"",IF($M4664&lt;=$A4664,"",IF(OR($B4664&lt;=0,$N4664&lt;=0),"",($N4664/$B4664)^(365/($M4664-$A4664))-1))))</f>
        <v/>
      </c>
      <c r="P4664" s="31" t="str">
        <f>IF($B4664="","",IF($P4663="",$B4664,MAX($P4663,$B4664)))</f>
        <v/>
      </c>
      <c r="Q4664" s="32" t="str">
        <f>IF($P4664="","",$B4664/$P4664-1)</f>
        <v/>
      </c>
    </row>
    <row r="4665">
      <c r="A4665" s="11" t="n"/>
      <c r="B4665" s="29" t="n"/>
      <c r="K4665" s="30" t="str">
        <f>IF($A4665="","",EDATE($A4665,12*$E$4))</f>
        <v/>
      </c>
      <c r="L4665" s="19" t="str">
        <f>IF($K4665="","",IF($K4665&gt;MAX($A$8:$A$5007),"",IFERROR(MATCH($K4665,$A$8:$A$5007,1),"")))</f>
        <v/>
      </c>
      <c r="M4665" s="30" t="str">
        <f>IF($L4665="","",INDEX($A$8:$A$5007,$L4665))</f>
        <v/>
      </c>
      <c r="N4665" s="31" t="str">
        <f>IF($L4665="","",INDEX($B$8:$B$5007,$L4665))</f>
        <v/>
      </c>
      <c r="O4665" s="32" t="str">
        <f>IF($M4665="","",IF($K4665-$M4665&gt;7,"",IF($M4665&lt;=$A4665,"",IF(OR($B4665&lt;=0,$N4665&lt;=0),"",($N4665/$B4665)^(365/($M4665-$A4665))-1))))</f>
        <v/>
      </c>
      <c r="P4665" s="31" t="str">
        <f>IF($B4665="","",IF($P4664="",$B4665,MAX($P4664,$B4665)))</f>
        <v/>
      </c>
      <c r="Q4665" s="32" t="str">
        <f>IF($P4665="","",$B4665/$P4665-1)</f>
        <v/>
      </c>
    </row>
    <row r="4666">
      <c r="A4666" s="11" t="n"/>
      <c r="B4666" s="29" t="n"/>
      <c r="K4666" s="30" t="str">
        <f>IF($A4666="","",EDATE($A4666,12*$E$4))</f>
        <v/>
      </c>
      <c r="L4666" s="19" t="str">
        <f>IF($K4666="","",IF($K4666&gt;MAX($A$8:$A$5007),"",IFERROR(MATCH($K4666,$A$8:$A$5007,1),"")))</f>
        <v/>
      </c>
      <c r="M4666" s="30" t="str">
        <f>IF($L4666="","",INDEX($A$8:$A$5007,$L4666))</f>
        <v/>
      </c>
      <c r="N4666" s="31" t="str">
        <f>IF($L4666="","",INDEX($B$8:$B$5007,$L4666))</f>
        <v/>
      </c>
      <c r="O4666" s="32" t="str">
        <f>IF($M4666="","",IF($K4666-$M4666&gt;7,"",IF($M4666&lt;=$A4666,"",IF(OR($B4666&lt;=0,$N4666&lt;=0),"",($N4666/$B4666)^(365/($M4666-$A4666))-1))))</f>
        <v/>
      </c>
      <c r="P4666" s="31" t="str">
        <f>IF($B4666="","",IF($P4665="",$B4666,MAX($P4665,$B4666)))</f>
        <v/>
      </c>
      <c r="Q4666" s="32" t="str">
        <f>IF($P4666="","",$B4666/$P4666-1)</f>
        <v/>
      </c>
    </row>
    <row r="4667">
      <c r="A4667" s="11" t="n"/>
      <c r="B4667" s="29" t="n"/>
      <c r="K4667" s="30" t="str">
        <f>IF($A4667="","",EDATE($A4667,12*$E$4))</f>
        <v/>
      </c>
      <c r="L4667" s="19" t="str">
        <f>IF($K4667="","",IF($K4667&gt;MAX($A$8:$A$5007),"",IFERROR(MATCH($K4667,$A$8:$A$5007,1),"")))</f>
        <v/>
      </c>
      <c r="M4667" s="30" t="str">
        <f>IF($L4667="","",INDEX($A$8:$A$5007,$L4667))</f>
        <v/>
      </c>
      <c r="N4667" s="31" t="str">
        <f>IF($L4667="","",INDEX($B$8:$B$5007,$L4667))</f>
        <v/>
      </c>
      <c r="O4667" s="32" t="str">
        <f>IF($M4667="","",IF($K4667-$M4667&gt;7,"",IF($M4667&lt;=$A4667,"",IF(OR($B4667&lt;=0,$N4667&lt;=0),"",($N4667/$B4667)^(365/($M4667-$A4667))-1))))</f>
        <v/>
      </c>
      <c r="P4667" s="31" t="str">
        <f>IF($B4667="","",IF($P4666="",$B4667,MAX($P4666,$B4667)))</f>
        <v/>
      </c>
      <c r="Q4667" s="32" t="str">
        <f>IF($P4667="","",$B4667/$P4667-1)</f>
        <v/>
      </c>
    </row>
    <row r="4668">
      <c r="A4668" s="11" t="n"/>
      <c r="B4668" s="29" t="n"/>
      <c r="K4668" s="30" t="str">
        <f>IF($A4668="","",EDATE($A4668,12*$E$4))</f>
        <v/>
      </c>
      <c r="L4668" s="19" t="str">
        <f>IF($K4668="","",IF($K4668&gt;MAX($A$8:$A$5007),"",IFERROR(MATCH($K4668,$A$8:$A$5007,1),"")))</f>
        <v/>
      </c>
      <c r="M4668" s="30" t="str">
        <f>IF($L4668="","",INDEX($A$8:$A$5007,$L4668))</f>
        <v/>
      </c>
      <c r="N4668" s="31" t="str">
        <f>IF($L4668="","",INDEX($B$8:$B$5007,$L4668))</f>
        <v/>
      </c>
      <c r="O4668" s="32" t="str">
        <f>IF($M4668="","",IF($K4668-$M4668&gt;7,"",IF($M4668&lt;=$A4668,"",IF(OR($B4668&lt;=0,$N4668&lt;=0),"",($N4668/$B4668)^(365/($M4668-$A4668))-1))))</f>
        <v/>
      </c>
      <c r="P4668" s="31" t="str">
        <f>IF($B4668="","",IF($P4667="",$B4668,MAX($P4667,$B4668)))</f>
        <v/>
      </c>
      <c r="Q4668" s="32" t="str">
        <f>IF($P4668="","",$B4668/$P4668-1)</f>
        <v/>
      </c>
    </row>
    <row r="4669">
      <c r="A4669" s="11" t="n"/>
      <c r="B4669" s="29" t="n"/>
      <c r="K4669" s="30" t="str">
        <f>IF($A4669="","",EDATE($A4669,12*$E$4))</f>
        <v/>
      </c>
      <c r="L4669" s="19" t="str">
        <f>IF($K4669="","",IF($K4669&gt;MAX($A$8:$A$5007),"",IFERROR(MATCH($K4669,$A$8:$A$5007,1),"")))</f>
        <v/>
      </c>
      <c r="M4669" s="30" t="str">
        <f>IF($L4669="","",INDEX($A$8:$A$5007,$L4669))</f>
        <v/>
      </c>
      <c r="N4669" s="31" t="str">
        <f>IF($L4669="","",INDEX($B$8:$B$5007,$L4669))</f>
        <v/>
      </c>
      <c r="O4669" s="32" t="str">
        <f>IF($M4669="","",IF($K4669-$M4669&gt;7,"",IF($M4669&lt;=$A4669,"",IF(OR($B4669&lt;=0,$N4669&lt;=0),"",($N4669/$B4669)^(365/($M4669-$A4669))-1))))</f>
        <v/>
      </c>
      <c r="P4669" s="31" t="str">
        <f>IF($B4669="","",IF($P4668="",$B4669,MAX($P4668,$B4669)))</f>
        <v/>
      </c>
      <c r="Q4669" s="32" t="str">
        <f>IF($P4669="","",$B4669/$P4669-1)</f>
        <v/>
      </c>
    </row>
    <row r="4670">
      <c r="A4670" s="11" t="n"/>
      <c r="B4670" s="29" t="n"/>
      <c r="K4670" s="30" t="str">
        <f>IF($A4670="","",EDATE($A4670,12*$E$4))</f>
        <v/>
      </c>
      <c r="L4670" s="19" t="str">
        <f>IF($K4670="","",IF($K4670&gt;MAX($A$8:$A$5007),"",IFERROR(MATCH($K4670,$A$8:$A$5007,1),"")))</f>
        <v/>
      </c>
      <c r="M4670" s="30" t="str">
        <f>IF($L4670="","",INDEX($A$8:$A$5007,$L4670))</f>
        <v/>
      </c>
      <c r="N4670" s="31" t="str">
        <f>IF($L4670="","",INDEX($B$8:$B$5007,$L4670))</f>
        <v/>
      </c>
      <c r="O4670" s="32" t="str">
        <f>IF($M4670="","",IF($K4670-$M4670&gt;7,"",IF($M4670&lt;=$A4670,"",IF(OR($B4670&lt;=0,$N4670&lt;=0),"",($N4670/$B4670)^(365/($M4670-$A4670))-1))))</f>
        <v/>
      </c>
      <c r="P4670" s="31" t="str">
        <f>IF($B4670="","",IF($P4669="",$B4670,MAX($P4669,$B4670)))</f>
        <v/>
      </c>
      <c r="Q4670" s="32" t="str">
        <f>IF($P4670="","",$B4670/$P4670-1)</f>
        <v/>
      </c>
    </row>
    <row r="4671">
      <c r="A4671" s="11" t="n"/>
      <c r="B4671" s="29" t="n"/>
      <c r="K4671" s="30" t="str">
        <f>IF($A4671="","",EDATE($A4671,12*$E$4))</f>
        <v/>
      </c>
      <c r="L4671" s="19" t="str">
        <f>IF($K4671="","",IF($K4671&gt;MAX($A$8:$A$5007),"",IFERROR(MATCH($K4671,$A$8:$A$5007,1),"")))</f>
        <v/>
      </c>
      <c r="M4671" s="30" t="str">
        <f>IF($L4671="","",INDEX($A$8:$A$5007,$L4671))</f>
        <v/>
      </c>
      <c r="N4671" s="31" t="str">
        <f>IF($L4671="","",INDEX($B$8:$B$5007,$L4671))</f>
        <v/>
      </c>
      <c r="O4671" s="32" t="str">
        <f>IF($M4671="","",IF($K4671-$M4671&gt;7,"",IF($M4671&lt;=$A4671,"",IF(OR($B4671&lt;=0,$N4671&lt;=0),"",($N4671/$B4671)^(365/($M4671-$A4671))-1))))</f>
        <v/>
      </c>
      <c r="P4671" s="31" t="str">
        <f>IF($B4671="","",IF($P4670="",$B4671,MAX($P4670,$B4671)))</f>
        <v/>
      </c>
      <c r="Q4671" s="32" t="str">
        <f>IF($P4671="","",$B4671/$P4671-1)</f>
        <v/>
      </c>
    </row>
    <row r="4672">
      <c r="A4672" s="11" t="n"/>
      <c r="B4672" s="29" t="n"/>
      <c r="K4672" s="30" t="str">
        <f>IF($A4672="","",EDATE($A4672,12*$E$4))</f>
        <v/>
      </c>
      <c r="L4672" s="19" t="str">
        <f>IF($K4672="","",IF($K4672&gt;MAX($A$8:$A$5007),"",IFERROR(MATCH($K4672,$A$8:$A$5007,1),"")))</f>
        <v/>
      </c>
      <c r="M4672" s="30" t="str">
        <f>IF($L4672="","",INDEX($A$8:$A$5007,$L4672))</f>
        <v/>
      </c>
      <c r="N4672" s="31" t="str">
        <f>IF($L4672="","",INDEX($B$8:$B$5007,$L4672))</f>
        <v/>
      </c>
      <c r="O4672" s="32" t="str">
        <f>IF($M4672="","",IF($K4672-$M4672&gt;7,"",IF($M4672&lt;=$A4672,"",IF(OR($B4672&lt;=0,$N4672&lt;=0),"",($N4672/$B4672)^(365/($M4672-$A4672))-1))))</f>
        <v/>
      </c>
      <c r="P4672" s="31" t="str">
        <f>IF($B4672="","",IF($P4671="",$B4672,MAX($P4671,$B4672)))</f>
        <v/>
      </c>
      <c r="Q4672" s="32" t="str">
        <f>IF($P4672="","",$B4672/$P4672-1)</f>
        <v/>
      </c>
    </row>
    <row r="4673">
      <c r="A4673" s="11" t="n"/>
      <c r="B4673" s="29" t="n"/>
      <c r="K4673" s="30" t="str">
        <f>IF($A4673="","",EDATE($A4673,12*$E$4))</f>
        <v/>
      </c>
      <c r="L4673" s="19" t="str">
        <f>IF($K4673="","",IF($K4673&gt;MAX($A$8:$A$5007),"",IFERROR(MATCH($K4673,$A$8:$A$5007,1),"")))</f>
        <v/>
      </c>
      <c r="M4673" s="30" t="str">
        <f>IF($L4673="","",INDEX($A$8:$A$5007,$L4673))</f>
        <v/>
      </c>
      <c r="N4673" s="31" t="str">
        <f>IF($L4673="","",INDEX($B$8:$B$5007,$L4673))</f>
        <v/>
      </c>
      <c r="O4673" s="32" t="str">
        <f>IF($M4673="","",IF($K4673-$M4673&gt;7,"",IF($M4673&lt;=$A4673,"",IF(OR($B4673&lt;=0,$N4673&lt;=0),"",($N4673/$B4673)^(365/($M4673-$A4673))-1))))</f>
        <v/>
      </c>
      <c r="P4673" s="31" t="str">
        <f>IF($B4673="","",IF($P4672="",$B4673,MAX($P4672,$B4673)))</f>
        <v/>
      </c>
      <c r="Q4673" s="32" t="str">
        <f>IF($P4673="","",$B4673/$P4673-1)</f>
        <v/>
      </c>
    </row>
    <row r="4674">
      <c r="A4674" s="11" t="n"/>
      <c r="B4674" s="29" t="n"/>
      <c r="K4674" s="30" t="str">
        <f>IF($A4674="","",EDATE($A4674,12*$E$4))</f>
        <v/>
      </c>
      <c r="L4674" s="19" t="str">
        <f>IF($K4674="","",IF($K4674&gt;MAX($A$8:$A$5007),"",IFERROR(MATCH($K4674,$A$8:$A$5007,1),"")))</f>
        <v/>
      </c>
      <c r="M4674" s="30" t="str">
        <f>IF($L4674="","",INDEX($A$8:$A$5007,$L4674))</f>
        <v/>
      </c>
      <c r="N4674" s="31" t="str">
        <f>IF($L4674="","",INDEX($B$8:$B$5007,$L4674))</f>
        <v/>
      </c>
      <c r="O4674" s="32" t="str">
        <f>IF($M4674="","",IF($K4674-$M4674&gt;7,"",IF($M4674&lt;=$A4674,"",IF(OR($B4674&lt;=0,$N4674&lt;=0),"",($N4674/$B4674)^(365/($M4674-$A4674))-1))))</f>
        <v/>
      </c>
      <c r="P4674" s="31" t="str">
        <f>IF($B4674="","",IF($P4673="",$B4674,MAX($P4673,$B4674)))</f>
        <v/>
      </c>
      <c r="Q4674" s="32" t="str">
        <f>IF($P4674="","",$B4674/$P4674-1)</f>
        <v/>
      </c>
    </row>
    <row r="4675">
      <c r="A4675" s="11" t="n"/>
      <c r="B4675" s="29" t="n"/>
      <c r="K4675" s="30" t="str">
        <f>IF($A4675="","",EDATE($A4675,12*$E$4))</f>
        <v/>
      </c>
      <c r="L4675" s="19" t="str">
        <f>IF($K4675="","",IF($K4675&gt;MAX($A$8:$A$5007),"",IFERROR(MATCH($K4675,$A$8:$A$5007,1),"")))</f>
        <v/>
      </c>
      <c r="M4675" s="30" t="str">
        <f>IF($L4675="","",INDEX($A$8:$A$5007,$L4675))</f>
        <v/>
      </c>
      <c r="N4675" s="31" t="str">
        <f>IF($L4675="","",INDEX($B$8:$B$5007,$L4675))</f>
        <v/>
      </c>
      <c r="O4675" s="32" t="str">
        <f>IF($M4675="","",IF($K4675-$M4675&gt;7,"",IF($M4675&lt;=$A4675,"",IF(OR($B4675&lt;=0,$N4675&lt;=0),"",($N4675/$B4675)^(365/($M4675-$A4675))-1))))</f>
        <v/>
      </c>
      <c r="P4675" s="31" t="str">
        <f>IF($B4675="","",IF($P4674="",$B4675,MAX($P4674,$B4675)))</f>
        <v/>
      </c>
      <c r="Q4675" s="32" t="str">
        <f>IF($P4675="","",$B4675/$P4675-1)</f>
        <v/>
      </c>
    </row>
    <row r="4676">
      <c r="A4676" s="11" t="n"/>
      <c r="B4676" s="29" t="n"/>
      <c r="K4676" s="30" t="str">
        <f>IF($A4676="","",EDATE($A4676,12*$E$4))</f>
        <v/>
      </c>
      <c r="L4676" s="19" t="str">
        <f>IF($K4676="","",IF($K4676&gt;MAX($A$8:$A$5007),"",IFERROR(MATCH($K4676,$A$8:$A$5007,1),"")))</f>
        <v/>
      </c>
      <c r="M4676" s="30" t="str">
        <f>IF($L4676="","",INDEX($A$8:$A$5007,$L4676))</f>
        <v/>
      </c>
      <c r="N4676" s="31" t="str">
        <f>IF($L4676="","",INDEX($B$8:$B$5007,$L4676))</f>
        <v/>
      </c>
      <c r="O4676" s="32" t="str">
        <f>IF($M4676="","",IF($K4676-$M4676&gt;7,"",IF($M4676&lt;=$A4676,"",IF(OR($B4676&lt;=0,$N4676&lt;=0),"",($N4676/$B4676)^(365/($M4676-$A4676))-1))))</f>
        <v/>
      </c>
      <c r="P4676" s="31" t="str">
        <f>IF($B4676="","",IF($P4675="",$B4676,MAX($P4675,$B4676)))</f>
        <v/>
      </c>
      <c r="Q4676" s="32" t="str">
        <f>IF($P4676="","",$B4676/$P4676-1)</f>
        <v/>
      </c>
    </row>
    <row r="4677">
      <c r="A4677" s="11" t="n"/>
      <c r="B4677" s="29" t="n"/>
      <c r="K4677" s="30" t="str">
        <f>IF($A4677="","",EDATE($A4677,12*$E$4))</f>
        <v/>
      </c>
      <c r="L4677" s="19" t="str">
        <f>IF($K4677="","",IF($K4677&gt;MAX($A$8:$A$5007),"",IFERROR(MATCH($K4677,$A$8:$A$5007,1),"")))</f>
        <v/>
      </c>
      <c r="M4677" s="30" t="str">
        <f>IF($L4677="","",INDEX($A$8:$A$5007,$L4677))</f>
        <v/>
      </c>
      <c r="N4677" s="31" t="str">
        <f>IF($L4677="","",INDEX($B$8:$B$5007,$L4677))</f>
        <v/>
      </c>
      <c r="O4677" s="32" t="str">
        <f>IF($M4677="","",IF($K4677-$M4677&gt;7,"",IF($M4677&lt;=$A4677,"",IF(OR($B4677&lt;=0,$N4677&lt;=0),"",($N4677/$B4677)^(365/($M4677-$A4677))-1))))</f>
        <v/>
      </c>
      <c r="P4677" s="31" t="str">
        <f>IF($B4677="","",IF($P4676="",$B4677,MAX($P4676,$B4677)))</f>
        <v/>
      </c>
      <c r="Q4677" s="32" t="str">
        <f>IF($P4677="","",$B4677/$P4677-1)</f>
        <v/>
      </c>
    </row>
    <row r="4678">
      <c r="A4678" s="11" t="n"/>
      <c r="B4678" s="29" t="n"/>
      <c r="K4678" s="30" t="str">
        <f>IF($A4678="","",EDATE($A4678,12*$E$4))</f>
        <v/>
      </c>
      <c r="L4678" s="19" t="str">
        <f>IF($K4678="","",IF($K4678&gt;MAX($A$8:$A$5007),"",IFERROR(MATCH($K4678,$A$8:$A$5007,1),"")))</f>
        <v/>
      </c>
      <c r="M4678" s="30" t="str">
        <f>IF($L4678="","",INDEX($A$8:$A$5007,$L4678))</f>
        <v/>
      </c>
      <c r="N4678" s="31" t="str">
        <f>IF($L4678="","",INDEX($B$8:$B$5007,$L4678))</f>
        <v/>
      </c>
      <c r="O4678" s="32" t="str">
        <f>IF($M4678="","",IF($K4678-$M4678&gt;7,"",IF($M4678&lt;=$A4678,"",IF(OR($B4678&lt;=0,$N4678&lt;=0),"",($N4678/$B4678)^(365/($M4678-$A4678))-1))))</f>
        <v/>
      </c>
      <c r="P4678" s="31" t="str">
        <f>IF($B4678="","",IF($P4677="",$B4678,MAX($P4677,$B4678)))</f>
        <v/>
      </c>
      <c r="Q4678" s="32" t="str">
        <f>IF($P4678="","",$B4678/$P4678-1)</f>
        <v/>
      </c>
    </row>
    <row r="4679">
      <c r="A4679" s="11" t="n"/>
      <c r="B4679" s="29" t="n"/>
      <c r="K4679" s="30" t="str">
        <f>IF($A4679="","",EDATE($A4679,12*$E$4))</f>
        <v/>
      </c>
      <c r="L4679" s="19" t="str">
        <f>IF($K4679="","",IF($K4679&gt;MAX($A$8:$A$5007),"",IFERROR(MATCH($K4679,$A$8:$A$5007,1),"")))</f>
        <v/>
      </c>
      <c r="M4679" s="30" t="str">
        <f>IF($L4679="","",INDEX($A$8:$A$5007,$L4679))</f>
        <v/>
      </c>
      <c r="N4679" s="31" t="str">
        <f>IF($L4679="","",INDEX($B$8:$B$5007,$L4679))</f>
        <v/>
      </c>
      <c r="O4679" s="32" t="str">
        <f>IF($M4679="","",IF($K4679-$M4679&gt;7,"",IF($M4679&lt;=$A4679,"",IF(OR($B4679&lt;=0,$N4679&lt;=0),"",($N4679/$B4679)^(365/($M4679-$A4679))-1))))</f>
        <v/>
      </c>
      <c r="P4679" s="31" t="str">
        <f>IF($B4679="","",IF($P4678="",$B4679,MAX($P4678,$B4679)))</f>
        <v/>
      </c>
      <c r="Q4679" s="32" t="str">
        <f>IF($P4679="","",$B4679/$P4679-1)</f>
        <v/>
      </c>
    </row>
    <row r="4680">
      <c r="A4680" s="11" t="n"/>
      <c r="B4680" s="29" t="n"/>
      <c r="K4680" s="30" t="str">
        <f>IF($A4680="","",EDATE($A4680,12*$E$4))</f>
        <v/>
      </c>
      <c r="L4680" s="19" t="str">
        <f>IF($K4680="","",IF($K4680&gt;MAX($A$8:$A$5007),"",IFERROR(MATCH($K4680,$A$8:$A$5007,1),"")))</f>
        <v/>
      </c>
      <c r="M4680" s="30" t="str">
        <f>IF($L4680="","",INDEX($A$8:$A$5007,$L4680))</f>
        <v/>
      </c>
      <c r="N4680" s="31" t="str">
        <f>IF($L4680="","",INDEX($B$8:$B$5007,$L4680))</f>
        <v/>
      </c>
      <c r="O4680" s="32" t="str">
        <f>IF($M4680="","",IF($K4680-$M4680&gt;7,"",IF($M4680&lt;=$A4680,"",IF(OR($B4680&lt;=0,$N4680&lt;=0),"",($N4680/$B4680)^(365/($M4680-$A4680))-1))))</f>
        <v/>
      </c>
      <c r="P4680" s="31" t="str">
        <f>IF($B4680="","",IF($P4679="",$B4680,MAX($P4679,$B4680)))</f>
        <v/>
      </c>
      <c r="Q4680" s="32" t="str">
        <f>IF($P4680="","",$B4680/$P4680-1)</f>
        <v/>
      </c>
    </row>
    <row r="4681">
      <c r="A4681" s="11" t="n"/>
      <c r="B4681" s="29" t="n"/>
      <c r="K4681" s="30" t="str">
        <f>IF($A4681="","",EDATE($A4681,12*$E$4))</f>
        <v/>
      </c>
      <c r="L4681" s="19" t="str">
        <f>IF($K4681="","",IF($K4681&gt;MAX($A$8:$A$5007),"",IFERROR(MATCH($K4681,$A$8:$A$5007,1),"")))</f>
        <v/>
      </c>
      <c r="M4681" s="30" t="str">
        <f>IF($L4681="","",INDEX($A$8:$A$5007,$L4681))</f>
        <v/>
      </c>
      <c r="N4681" s="31" t="str">
        <f>IF($L4681="","",INDEX($B$8:$B$5007,$L4681))</f>
        <v/>
      </c>
      <c r="O4681" s="32" t="str">
        <f>IF($M4681="","",IF($K4681-$M4681&gt;7,"",IF($M4681&lt;=$A4681,"",IF(OR($B4681&lt;=0,$N4681&lt;=0),"",($N4681/$B4681)^(365/($M4681-$A4681))-1))))</f>
        <v/>
      </c>
      <c r="P4681" s="31" t="str">
        <f>IF($B4681="","",IF($P4680="",$B4681,MAX($P4680,$B4681)))</f>
        <v/>
      </c>
      <c r="Q4681" s="32" t="str">
        <f>IF($P4681="","",$B4681/$P4681-1)</f>
        <v/>
      </c>
    </row>
    <row r="4682">
      <c r="A4682" s="11" t="n"/>
      <c r="B4682" s="29" t="n"/>
      <c r="K4682" s="30" t="str">
        <f>IF($A4682="","",EDATE($A4682,12*$E$4))</f>
        <v/>
      </c>
      <c r="L4682" s="19" t="str">
        <f>IF($K4682="","",IF($K4682&gt;MAX($A$8:$A$5007),"",IFERROR(MATCH($K4682,$A$8:$A$5007,1),"")))</f>
        <v/>
      </c>
      <c r="M4682" s="30" t="str">
        <f>IF($L4682="","",INDEX($A$8:$A$5007,$L4682))</f>
        <v/>
      </c>
      <c r="N4682" s="31" t="str">
        <f>IF($L4682="","",INDEX($B$8:$B$5007,$L4682))</f>
        <v/>
      </c>
      <c r="O4682" s="32" t="str">
        <f>IF($M4682="","",IF($K4682-$M4682&gt;7,"",IF($M4682&lt;=$A4682,"",IF(OR($B4682&lt;=0,$N4682&lt;=0),"",($N4682/$B4682)^(365/($M4682-$A4682))-1))))</f>
        <v/>
      </c>
      <c r="P4682" s="31" t="str">
        <f>IF($B4682="","",IF($P4681="",$B4682,MAX($P4681,$B4682)))</f>
        <v/>
      </c>
      <c r="Q4682" s="32" t="str">
        <f>IF($P4682="","",$B4682/$P4682-1)</f>
        <v/>
      </c>
    </row>
    <row r="4683">
      <c r="A4683" s="11" t="n"/>
      <c r="B4683" s="29" t="n"/>
      <c r="K4683" s="30" t="str">
        <f>IF($A4683="","",EDATE($A4683,12*$E$4))</f>
        <v/>
      </c>
      <c r="L4683" s="19" t="str">
        <f>IF($K4683="","",IF($K4683&gt;MAX($A$8:$A$5007),"",IFERROR(MATCH($K4683,$A$8:$A$5007,1),"")))</f>
        <v/>
      </c>
      <c r="M4683" s="30" t="str">
        <f>IF($L4683="","",INDEX($A$8:$A$5007,$L4683))</f>
        <v/>
      </c>
      <c r="N4683" s="31" t="str">
        <f>IF($L4683="","",INDEX($B$8:$B$5007,$L4683))</f>
        <v/>
      </c>
      <c r="O4683" s="32" t="str">
        <f>IF($M4683="","",IF($K4683-$M4683&gt;7,"",IF($M4683&lt;=$A4683,"",IF(OR($B4683&lt;=0,$N4683&lt;=0),"",($N4683/$B4683)^(365/($M4683-$A4683))-1))))</f>
        <v/>
      </c>
      <c r="P4683" s="31" t="str">
        <f>IF($B4683="","",IF($P4682="",$B4683,MAX($P4682,$B4683)))</f>
        <v/>
      </c>
      <c r="Q4683" s="32" t="str">
        <f>IF($P4683="","",$B4683/$P4683-1)</f>
        <v/>
      </c>
    </row>
    <row r="4684">
      <c r="A4684" s="11" t="n"/>
      <c r="B4684" s="29" t="n"/>
      <c r="K4684" s="30" t="str">
        <f>IF($A4684="","",EDATE($A4684,12*$E$4))</f>
        <v/>
      </c>
      <c r="L4684" s="19" t="str">
        <f>IF($K4684="","",IF($K4684&gt;MAX($A$8:$A$5007),"",IFERROR(MATCH($K4684,$A$8:$A$5007,1),"")))</f>
        <v/>
      </c>
      <c r="M4684" s="30" t="str">
        <f>IF($L4684="","",INDEX($A$8:$A$5007,$L4684))</f>
        <v/>
      </c>
      <c r="N4684" s="31" t="str">
        <f>IF($L4684="","",INDEX($B$8:$B$5007,$L4684))</f>
        <v/>
      </c>
      <c r="O4684" s="32" t="str">
        <f>IF($M4684="","",IF($K4684-$M4684&gt;7,"",IF($M4684&lt;=$A4684,"",IF(OR($B4684&lt;=0,$N4684&lt;=0),"",($N4684/$B4684)^(365/($M4684-$A4684))-1))))</f>
        <v/>
      </c>
      <c r="P4684" s="31" t="str">
        <f>IF($B4684="","",IF($P4683="",$B4684,MAX($P4683,$B4684)))</f>
        <v/>
      </c>
      <c r="Q4684" s="32" t="str">
        <f>IF($P4684="","",$B4684/$P4684-1)</f>
        <v/>
      </c>
    </row>
    <row r="4685">
      <c r="A4685" s="11" t="n"/>
      <c r="B4685" s="29" t="n"/>
      <c r="K4685" s="30" t="str">
        <f>IF($A4685="","",EDATE($A4685,12*$E$4))</f>
        <v/>
      </c>
      <c r="L4685" s="19" t="str">
        <f>IF($K4685="","",IF($K4685&gt;MAX($A$8:$A$5007),"",IFERROR(MATCH($K4685,$A$8:$A$5007,1),"")))</f>
        <v/>
      </c>
      <c r="M4685" s="30" t="str">
        <f>IF($L4685="","",INDEX($A$8:$A$5007,$L4685))</f>
        <v/>
      </c>
      <c r="N4685" s="31" t="str">
        <f>IF($L4685="","",INDEX($B$8:$B$5007,$L4685))</f>
        <v/>
      </c>
      <c r="O4685" s="32" t="str">
        <f>IF($M4685="","",IF($K4685-$M4685&gt;7,"",IF($M4685&lt;=$A4685,"",IF(OR($B4685&lt;=0,$N4685&lt;=0),"",($N4685/$B4685)^(365/($M4685-$A4685))-1))))</f>
        <v/>
      </c>
      <c r="P4685" s="31" t="str">
        <f>IF($B4685="","",IF($P4684="",$B4685,MAX($P4684,$B4685)))</f>
        <v/>
      </c>
      <c r="Q4685" s="32" t="str">
        <f>IF($P4685="","",$B4685/$P4685-1)</f>
        <v/>
      </c>
    </row>
    <row r="4686">
      <c r="A4686" s="11" t="n"/>
      <c r="B4686" s="29" t="n"/>
      <c r="K4686" s="30" t="str">
        <f>IF($A4686="","",EDATE($A4686,12*$E$4))</f>
        <v/>
      </c>
      <c r="L4686" s="19" t="str">
        <f>IF($K4686="","",IF($K4686&gt;MAX($A$8:$A$5007),"",IFERROR(MATCH($K4686,$A$8:$A$5007,1),"")))</f>
        <v/>
      </c>
      <c r="M4686" s="30" t="str">
        <f>IF($L4686="","",INDEX($A$8:$A$5007,$L4686))</f>
        <v/>
      </c>
      <c r="N4686" s="31" t="str">
        <f>IF($L4686="","",INDEX($B$8:$B$5007,$L4686))</f>
        <v/>
      </c>
      <c r="O4686" s="32" t="str">
        <f>IF($M4686="","",IF($K4686-$M4686&gt;7,"",IF($M4686&lt;=$A4686,"",IF(OR($B4686&lt;=0,$N4686&lt;=0),"",($N4686/$B4686)^(365/($M4686-$A4686))-1))))</f>
        <v/>
      </c>
      <c r="P4686" s="31" t="str">
        <f>IF($B4686="","",IF($P4685="",$B4686,MAX($P4685,$B4686)))</f>
        <v/>
      </c>
      <c r="Q4686" s="32" t="str">
        <f>IF($P4686="","",$B4686/$P4686-1)</f>
        <v/>
      </c>
    </row>
    <row r="4687">
      <c r="A4687" s="11" t="n"/>
      <c r="B4687" s="29" t="n"/>
      <c r="K4687" s="30" t="str">
        <f>IF($A4687="","",EDATE($A4687,12*$E$4))</f>
        <v/>
      </c>
      <c r="L4687" s="19" t="str">
        <f>IF($K4687="","",IF($K4687&gt;MAX($A$8:$A$5007),"",IFERROR(MATCH($K4687,$A$8:$A$5007,1),"")))</f>
        <v/>
      </c>
      <c r="M4687" s="30" t="str">
        <f>IF($L4687="","",INDEX($A$8:$A$5007,$L4687))</f>
        <v/>
      </c>
      <c r="N4687" s="31" t="str">
        <f>IF($L4687="","",INDEX($B$8:$B$5007,$L4687))</f>
        <v/>
      </c>
      <c r="O4687" s="32" t="str">
        <f>IF($M4687="","",IF($K4687-$M4687&gt;7,"",IF($M4687&lt;=$A4687,"",IF(OR($B4687&lt;=0,$N4687&lt;=0),"",($N4687/$B4687)^(365/($M4687-$A4687))-1))))</f>
        <v/>
      </c>
      <c r="P4687" s="31" t="str">
        <f>IF($B4687="","",IF($P4686="",$B4687,MAX($P4686,$B4687)))</f>
        <v/>
      </c>
      <c r="Q4687" s="32" t="str">
        <f>IF($P4687="","",$B4687/$P4687-1)</f>
        <v/>
      </c>
    </row>
    <row r="4688">
      <c r="A4688" s="11" t="n"/>
      <c r="B4688" s="29" t="n"/>
      <c r="K4688" s="30" t="str">
        <f>IF($A4688="","",EDATE($A4688,12*$E$4))</f>
        <v/>
      </c>
      <c r="L4688" s="19" t="str">
        <f>IF($K4688="","",IF($K4688&gt;MAX($A$8:$A$5007),"",IFERROR(MATCH($K4688,$A$8:$A$5007,1),"")))</f>
        <v/>
      </c>
      <c r="M4688" s="30" t="str">
        <f>IF($L4688="","",INDEX($A$8:$A$5007,$L4688))</f>
        <v/>
      </c>
      <c r="N4688" s="31" t="str">
        <f>IF($L4688="","",INDEX($B$8:$B$5007,$L4688))</f>
        <v/>
      </c>
      <c r="O4688" s="32" t="str">
        <f>IF($M4688="","",IF($K4688-$M4688&gt;7,"",IF($M4688&lt;=$A4688,"",IF(OR($B4688&lt;=0,$N4688&lt;=0),"",($N4688/$B4688)^(365/($M4688-$A4688))-1))))</f>
        <v/>
      </c>
      <c r="P4688" s="31" t="str">
        <f>IF($B4688="","",IF($P4687="",$B4688,MAX($P4687,$B4688)))</f>
        <v/>
      </c>
      <c r="Q4688" s="32" t="str">
        <f>IF($P4688="","",$B4688/$P4688-1)</f>
        <v/>
      </c>
    </row>
    <row r="4689">
      <c r="A4689" s="11" t="n"/>
      <c r="B4689" s="29" t="n"/>
      <c r="K4689" s="30" t="str">
        <f>IF($A4689="","",EDATE($A4689,12*$E$4))</f>
        <v/>
      </c>
      <c r="L4689" s="19" t="str">
        <f>IF($K4689="","",IF($K4689&gt;MAX($A$8:$A$5007),"",IFERROR(MATCH($K4689,$A$8:$A$5007,1),"")))</f>
        <v/>
      </c>
      <c r="M4689" s="30" t="str">
        <f>IF($L4689="","",INDEX($A$8:$A$5007,$L4689))</f>
        <v/>
      </c>
      <c r="N4689" s="31" t="str">
        <f>IF($L4689="","",INDEX($B$8:$B$5007,$L4689))</f>
        <v/>
      </c>
      <c r="O4689" s="32" t="str">
        <f>IF($M4689="","",IF($K4689-$M4689&gt;7,"",IF($M4689&lt;=$A4689,"",IF(OR($B4689&lt;=0,$N4689&lt;=0),"",($N4689/$B4689)^(365/($M4689-$A4689))-1))))</f>
        <v/>
      </c>
      <c r="P4689" s="31" t="str">
        <f>IF($B4689="","",IF($P4688="",$B4689,MAX($P4688,$B4689)))</f>
        <v/>
      </c>
      <c r="Q4689" s="32" t="str">
        <f>IF($P4689="","",$B4689/$P4689-1)</f>
        <v/>
      </c>
    </row>
    <row r="4690">
      <c r="A4690" s="11" t="n"/>
      <c r="B4690" s="29" t="n"/>
      <c r="K4690" s="30" t="str">
        <f>IF($A4690="","",EDATE($A4690,12*$E$4))</f>
        <v/>
      </c>
      <c r="L4690" s="19" t="str">
        <f>IF($K4690="","",IF($K4690&gt;MAX($A$8:$A$5007),"",IFERROR(MATCH($K4690,$A$8:$A$5007,1),"")))</f>
        <v/>
      </c>
      <c r="M4690" s="30" t="str">
        <f>IF($L4690="","",INDEX($A$8:$A$5007,$L4690))</f>
        <v/>
      </c>
      <c r="N4690" s="31" t="str">
        <f>IF($L4690="","",INDEX($B$8:$B$5007,$L4690))</f>
        <v/>
      </c>
      <c r="O4690" s="32" t="str">
        <f>IF($M4690="","",IF($K4690-$M4690&gt;7,"",IF($M4690&lt;=$A4690,"",IF(OR($B4690&lt;=0,$N4690&lt;=0),"",($N4690/$B4690)^(365/($M4690-$A4690))-1))))</f>
        <v/>
      </c>
      <c r="P4690" s="31" t="str">
        <f>IF($B4690="","",IF($P4689="",$B4690,MAX($P4689,$B4690)))</f>
        <v/>
      </c>
      <c r="Q4690" s="32" t="str">
        <f>IF($P4690="","",$B4690/$P4690-1)</f>
        <v/>
      </c>
    </row>
    <row r="4691">
      <c r="A4691" s="11" t="n"/>
      <c r="B4691" s="29" t="n"/>
      <c r="K4691" s="30" t="str">
        <f>IF($A4691="","",EDATE($A4691,12*$E$4))</f>
        <v/>
      </c>
      <c r="L4691" s="19" t="str">
        <f>IF($K4691="","",IF($K4691&gt;MAX($A$8:$A$5007),"",IFERROR(MATCH($K4691,$A$8:$A$5007,1),"")))</f>
        <v/>
      </c>
      <c r="M4691" s="30" t="str">
        <f>IF($L4691="","",INDEX($A$8:$A$5007,$L4691))</f>
        <v/>
      </c>
      <c r="N4691" s="31" t="str">
        <f>IF($L4691="","",INDEX($B$8:$B$5007,$L4691))</f>
        <v/>
      </c>
      <c r="O4691" s="32" t="str">
        <f>IF($M4691="","",IF($K4691-$M4691&gt;7,"",IF($M4691&lt;=$A4691,"",IF(OR($B4691&lt;=0,$N4691&lt;=0),"",($N4691/$B4691)^(365/($M4691-$A4691))-1))))</f>
        <v/>
      </c>
      <c r="P4691" s="31" t="str">
        <f>IF($B4691="","",IF($P4690="",$B4691,MAX($P4690,$B4691)))</f>
        <v/>
      </c>
      <c r="Q4691" s="32" t="str">
        <f>IF($P4691="","",$B4691/$P4691-1)</f>
        <v/>
      </c>
    </row>
    <row r="4692">
      <c r="A4692" s="11" t="n"/>
      <c r="B4692" s="29" t="n"/>
      <c r="K4692" s="30" t="str">
        <f>IF($A4692="","",EDATE($A4692,12*$E$4))</f>
        <v/>
      </c>
      <c r="L4692" s="19" t="str">
        <f>IF($K4692="","",IF($K4692&gt;MAX($A$8:$A$5007),"",IFERROR(MATCH($K4692,$A$8:$A$5007,1),"")))</f>
        <v/>
      </c>
      <c r="M4692" s="30" t="str">
        <f>IF($L4692="","",INDEX($A$8:$A$5007,$L4692))</f>
        <v/>
      </c>
      <c r="N4692" s="31" t="str">
        <f>IF($L4692="","",INDEX($B$8:$B$5007,$L4692))</f>
        <v/>
      </c>
      <c r="O4692" s="32" t="str">
        <f>IF($M4692="","",IF($K4692-$M4692&gt;7,"",IF($M4692&lt;=$A4692,"",IF(OR($B4692&lt;=0,$N4692&lt;=0),"",($N4692/$B4692)^(365/($M4692-$A4692))-1))))</f>
        <v/>
      </c>
      <c r="P4692" s="31" t="str">
        <f>IF($B4692="","",IF($P4691="",$B4692,MAX($P4691,$B4692)))</f>
        <v/>
      </c>
      <c r="Q4692" s="32" t="str">
        <f>IF($P4692="","",$B4692/$P4692-1)</f>
        <v/>
      </c>
    </row>
    <row r="4693">
      <c r="A4693" s="11" t="n"/>
      <c r="B4693" s="29" t="n"/>
      <c r="K4693" s="30" t="str">
        <f>IF($A4693="","",EDATE($A4693,12*$E$4))</f>
        <v/>
      </c>
      <c r="L4693" s="19" t="str">
        <f>IF($K4693="","",IF($K4693&gt;MAX($A$8:$A$5007),"",IFERROR(MATCH($K4693,$A$8:$A$5007,1),"")))</f>
        <v/>
      </c>
      <c r="M4693" s="30" t="str">
        <f>IF($L4693="","",INDEX($A$8:$A$5007,$L4693))</f>
        <v/>
      </c>
      <c r="N4693" s="31" t="str">
        <f>IF($L4693="","",INDEX($B$8:$B$5007,$L4693))</f>
        <v/>
      </c>
      <c r="O4693" s="32" t="str">
        <f>IF($M4693="","",IF($K4693-$M4693&gt;7,"",IF($M4693&lt;=$A4693,"",IF(OR($B4693&lt;=0,$N4693&lt;=0),"",($N4693/$B4693)^(365/($M4693-$A4693))-1))))</f>
        <v/>
      </c>
      <c r="P4693" s="31" t="str">
        <f>IF($B4693="","",IF($P4692="",$B4693,MAX($P4692,$B4693)))</f>
        <v/>
      </c>
      <c r="Q4693" s="32" t="str">
        <f>IF($P4693="","",$B4693/$P4693-1)</f>
        <v/>
      </c>
    </row>
    <row r="4694">
      <c r="A4694" s="11" t="n"/>
      <c r="B4694" s="29" t="n"/>
      <c r="K4694" s="30" t="str">
        <f>IF($A4694="","",EDATE($A4694,12*$E$4))</f>
        <v/>
      </c>
      <c r="L4694" s="19" t="str">
        <f>IF($K4694="","",IF($K4694&gt;MAX($A$8:$A$5007),"",IFERROR(MATCH($K4694,$A$8:$A$5007,1),"")))</f>
        <v/>
      </c>
      <c r="M4694" s="30" t="str">
        <f>IF($L4694="","",INDEX($A$8:$A$5007,$L4694))</f>
        <v/>
      </c>
      <c r="N4694" s="31" t="str">
        <f>IF($L4694="","",INDEX($B$8:$B$5007,$L4694))</f>
        <v/>
      </c>
      <c r="O4694" s="32" t="str">
        <f>IF($M4694="","",IF($K4694-$M4694&gt;7,"",IF($M4694&lt;=$A4694,"",IF(OR($B4694&lt;=0,$N4694&lt;=0),"",($N4694/$B4694)^(365/($M4694-$A4694))-1))))</f>
        <v/>
      </c>
      <c r="P4694" s="31" t="str">
        <f>IF($B4694="","",IF($P4693="",$B4694,MAX($P4693,$B4694)))</f>
        <v/>
      </c>
      <c r="Q4694" s="32" t="str">
        <f>IF($P4694="","",$B4694/$P4694-1)</f>
        <v/>
      </c>
    </row>
    <row r="4695">
      <c r="A4695" s="11" t="n"/>
      <c r="B4695" s="29" t="n"/>
      <c r="K4695" s="30" t="str">
        <f>IF($A4695="","",EDATE($A4695,12*$E$4))</f>
        <v/>
      </c>
      <c r="L4695" s="19" t="str">
        <f>IF($K4695="","",IF($K4695&gt;MAX($A$8:$A$5007),"",IFERROR(MATCH($K4695,$A$8:$A$5007,1),"")))</f>
        <v/>
      </c>
      <c r="M4695" s="30" t="str">
        <f>IF($L4695="","",INDEX($A$8:$A$5007,$L4695))</f>
        <v/>
      </c>
      <c r="N4695" s="31" t="str">
        <f>IF($L4695="","",INDEX($B$8:$B$5007,$L4695))</f>
        <v/>
      </c>
      <c r="O4695" s="32" t="str">
        <f>IF($M4695="","",IF($K4695-$M4695&gt;7,"",IF($M4695&lt;=$A4695,"",IF(OR($B4695&lt;=0,$N4695&lt;=0),"",($N4695/$B4695)^(365/($M4695-$A4695))-1))))</f>
        <v/>
      </c>
      <c r="P4695" s="31" t="str">
        <f>IF($B4695="","",IF($P4694="",$B4695,MAX($P4694,$B4695)))</f>
        <v/>
      </c>
      <c r="Q4695" s="32" t="str">
        <f>IF($P4695="","",$B4695/$P4695-1)</f>
        <v/>
      </c>
    </row>
    <row r="4696">
      <c r="A4696" s="11" t="n"/>
      <c r="B4696" s="29" t="n"/>
      <c r="K4696" s="30" t="str">
        <f>IF($A4696="","",EDATE($A4696,12*$E$4))</f>
        <v/>
      </c>
      <c r="L4696" s="19" t="str">
        <f>IF($K4696="","",IF($K4696&gt;MAX($A$8:$A$5007),"",IFERROR(MATCH($K4696,$A$8:$A$5007,1),"")))</f>
        <v/>
      </c>
      <c r="M4696" s="30" t="str">
        <f>IF($L4696="","",INDEX($A$8:$A$5007,$L4696))</f>
        <v/>
      </c>
      <c r="N4696" s="31" t="str">
        <f>IF($L4696="","",INDEX($B$8:$B$5007,$L4696))</f>
        <v/>
      </c>
      <c r="O4696" s="32" t="str">
        <f>IF($M4696="","",IF($K4696-$M4696&gt;7,"",IF($M4696&lt;=$A4696,"",IF(OR($B4696&lt;=0,$N4696&lt;=0),"",($N4696/$B4696)^(365/($M4696-$A4696))-1))))</f>
        <v/>
      </c>
      <c r="P4696" s="31" t="str">
        <f>IF($B4696="","",IF($P4695="",$B4696,MAX($P4695,$B4696)))</f>
        <v/>
      </c>
      <c r="Q4696" s="32" t="str">
        <f>IF($P4696="","",$B4696/$P4696-1)</f>
        <v/>
      </c>
    </row>
    <row r="4697">
      <c r="A4697" s="11" t="n"/>
      <c r="B4697" s="29" t="n"/>
      <c r="K4697" s="30" t="str">
        <f>IF($A4697="","",EDATE($A4697,12*$E$4))</f>
        <v/>
      </c>
      <c r="L4697" s="19" t="str">
        <f>IF($K4697="","",IF($K4697&gt;MAX($A$8:$A$5007),"",IFERROR(MATCH($K4697,$A$8:$A$5007,1),"")))</f>
        <v/>
      </c>
      <c r="M4697" s="30" t="str">
        <f>IF($L4697="","",INDEX($A$8:$A$5007,$L4697))</f>
        <v/>
      </c>
      <c r="N4697" s="31" t="str">
        <f>IF($L4697="","",INDEX($B$8:$B$5007,$L4697))</f>
        <v/>
      </c>
      <c r="O4697" s="32" t="str">
        <f>IF($M4697="","",IF($K4697-$M4697&gt;7,"",IF($M4697&lt;=$A4697,"",IF(OR($B4697&lt;=0,$N4697&lt;=0),"",($N4697/$B4697)^(365/($M4697-$A4697))-1))))</f>
        <v/>
      </c>
      <c r="P4697" s="31" t="str">
        <f>IF($B4697="","",IF($P4696="",$B4697,MAX($P4696,$B4697)))</f>
        <v/>
      </c>
      <c r="Q4697" s="32" t="str">
        <f>IF($P4697="","",$B4697/$P4697-1)</f>
        <v/>
      </c>
    </row>
    <row r="4698">
      <c r="A4698" s="11" t="n"/>
      <c r="B4698" s="29" t="n"/>
      <c r="K4698" s="30" t="str">
        <f>IF($A4698="","",EDATE($A4698,12*$E$4))</f>
        <v/>
      </c>
      <c r="L4698" s="19" t="str">
        <f>IF($K4698="","",IF($K4698&gt;MAX($A$8:$A$5007),"",IFERROR(MATCH($K4698,$A$8:$A$5007,1),"")))</f>
        <v/>
      </c>
      <c r="M4698" s="30" t="str">
        <f>IF($L4698="","",INDEX($A$8:$A$5007,$L4698))</f>
        <v/>
      </c>
      <c r="N4698" s="31" t="str">
        <f>IF($L4698="","",INDEX($B$8:$B$5007,$L4698))</f>
        <v/>
      </c>
      <c r="O4698" s="32" t="str">
        <f>IF($M4698="","",IF($K4698-$M4698&gt;7,"",IF($M4698&lt;=$A4698,"",IF(OR($B4698&lt;=0,$N4698&lt;=0),"",($N4698/$B4698)^(365/($M4698-$A4698))-1))))</f>
        <v/>
      </c>
      <c r="P4698" s="31" t="str">
        <f>IF($B4698="","",IF($P4697="",$B4698,MAX($P4697,$B4698)))</f>
        <v/>
      </c>
      <c r="Q4698" s="32" t="str">
        <f>IF($P4698="","",$B4698/$P4698-1)</f>
        <v/>
      </c>
    </row>
    <row r="4699">
      <c r="A4699" s="11" t="n"/>
      <c r="B4699" s="29" t="n"/>
      <c r="K4699" s="30" t="str">
        <f>IF($A4699="","",EDATE($A4699,12*$E$4))</f>
        <v/>
      </c>
      <c r="L4699" s="19" t="str">
        <f>IF($K4699="","",IF($K4699&gt;MAX($A$8:$A$5007),"",IFERROR(MATCH($K4699,$A$8:$A$5007,1),"")))</f>
        <v/>
      </c>
      <c r="M4699" s="30" t="str">
        <f>IF($L4699="","",INDEX($A$8:$A$5007,$L4699))</f>
        <v/>
      </c>
      <c r="N4699" s="31" t="str">
        <f>IF($L4699="","",INDEX($B$8:$B$5007,$L4699))</f>
        <v/>
      </c>
      <c r="O4699" s="32" t="str">
        <f>IF($M4699="","",IF($K4699-$M4699&gt;7,"",IF($M4699&lt;=$A4699,"",IF(OR($B4699&lt;=0,$N4699&lt;=0),"",($N4699/$B4699)^(365/($M4699-$A4699))-1))))</f>
        <v/>
      </c>
      <c r="P4699" s="31" t="str">
        <f>IF($B4699="","",IF($P4698="",$B4699,MAX($P4698,$B4699)))</f>
        <v/>
      </c>
      <c r="Q4699" s="32" t="str">
        <f>IF($P4699="","",$B4699/$P4699-1)</f>
        <v/>
      </c>
    </row>
    <row r="4700">
      <c r="A4700" s="11" t="n"/>
      <c r="B4700" s="29" t="n"/>
      <c r="K4700" s="30" t="str">
        <f>IF($A4700="","",EDATE($A4700,12*$E$4))</f>
        <v/>
      </c>
      <c r="L4700" s="19" t="str">
        <f>IF($K4700="","",IF($K4700&gt;MAX($A$8:$A$5007),"",IFERROR(MATCH($K4700,$A$8:$A$5007,1),"")))</f>
        <v/>
      </c>
      <c r="M4700" s="30" t="str">
        <f>IF($L4700="","",INDEX($A$8:$A$5007,$L4700))</f>
        <v/>
      </c>
      <c r="N4700" s="31" t="str">
        <f>IF($L4700="","",INDEX($B$8:$B$5007,$L4700))</f>
        <v/>
      </c>
      <c r="O4700" s="32" t="str">
        <f>IF($M4700="","",IF($K4700-$M4700&gt;7,"",IF($M4700&lt;=$A4700,"",IF(OR($B4700&lt;=0,$N4700&lt;=0),"",($N4700/$B4700)^(365/($M4700-$A4700))-1))))</f>
        <v/>
      </c>
      <c r="P4700" s="31" t="str">
        <f>IF($B4700="","",IF($P4699="",$B4700,MAX($P4699,$B4700)))</f>
        <v/>
      </c>
      <c r="Q4700" s="32" t="str">
        <f>IF($P4700="","",$B4700/$P4700-1)</f>
        <v/>
      </c>
    </row>
    <row r="4701">
      <c r="A4701" s="11" t="n"/>
      <c r="B4701" s="29" t="n"/>
      <c r="K4701" s="30" t="str">
        <f>IF($A4701="","",EDATE($A4701,12*$E$4))</f>
        <v/>
      </c>
      <c r="L4701" s="19" t="str">
        <f>IF($K4701="","",IF($K4701&gt;MAX($A$8:$A$5007),"",IFERROR(MATCH($K4701,$A$8:$A$5007,1),"")))</f>
        <v/>
      </c>
      <c r="M4701" s="30" t="str">
        <f>IF($L4701="","",INDEX($A$8:$A$5007,$L4701))</f>
        <v/>
      </c>
      <c r="N4701" s="31" t="str">
        <f>IF($L4701="","",INDEX($B$8:$B$5007,$L4701))</f>
        <v/>
      </c>
      <c r="O4701" s="32" t="str">
        <f>IF($M4701="","",IF($K4701-$M4701&gt;7,"",IF($M4701&lt;=$A4701,"",IF(OR($B4701&lt;=0,$N4701&lt;=0),"",($N4701/$B4701)^(365/($M4701-$A4701))-1))))</f>
        <v/>
      </c>
      <c r="P4701" s="31" t="str">
        <f>IF($B4701="","",IF($P4700="",$B4701,MAX($P4700,$B4701)))</f>
        <v/>
      </c>
      <c r="Q4701" s="32" t="str">
        <f>IF($P4701="","",$B4701/$P4701-1)</f>
        <v/>
      </c>
    </row>
    <row r="4702">
      <c r="A4702" s="11" t="n"/>
      <c r="B4702" s="29" t="n"/>
      <c r="K4702" s="30" t="str">
        <f>IF($A4702="","",EDATE($A4702,12*$E$4))</f>
        <v/>
      </c>
      <c r="L4702" s="19" t="str">
        <f>IF($K4702="","",IF($K4702&gt;MAX($A$8:$A$5007),"",IFERROR(MATCH($K4702,$A$8:$A$5007,1),"")))</f>
        <v/>
      </c>
      <c r="M4702" s="30" t="str">
        <f>IF($L4702="","",INDEX($A$8:$A$5007,$L4702))</f>
        <v/>
      </c>
      <c r="N4702" s="31" t="str">
        <f>IF($L4702="","",INDEX($B$8:$B$5007,$L4702))</f>
        <v/>
      </c>
      <c r="O4702" s="32" t="str">
        <f>IF($M4702="","",IF($K4702-$M4702&gt;7,"",IF($M4702&lt;=$A4702,"",IF(OR($B4702&lt;=0,$N4702&lt;=0),"",($N4702/$B4702)^(365/($M4702-$A4702))-1))))</f>
        <v/>
      </c>
      <c r="P4702" s="31" t="str">
        <f>IF($B4702="","",IF($P4701="",$B4702,MAX($P4701,$B4702)))</f>
        <v/>
      </c>
      <c r="Q4702" s="32" t="str">
        <f>IF($P4702="","",$B4702/$P4702-1)</f>
        <v/>
      </c>
    </row>
    <row r="4703">
      <c r="A4703" s="11" t="n"/>
      <c r="B4703" s="29" t="n"/>
      <c r="K4703" s="30" t="str">
        <f>IF($A4703="","",EDATE($A4703,12*$E$4))</f>
        <v/>
      </c>
      <c r="L4703" s="19" t="str">
        <f>IF($K4703="","",IF($K4703&gt;MAX($A$8:$A$5007),"",IFERROR(MATCH($K4703,$A$8:$A$5007,1),"")))</f>
        <v/>
      </c>
      <c r="M4703" s="30" t="str">
        <f>IF($L4703="","",INDEX($A$8:$A$5007,$L4703))</f>
        <v/>
      </c>
      <c r="N4703" s="31" t="str">
        <f>IF($L4703="","",INDEX($B$8:$B$5007,$L4703))</f>
        <v/>
      </c>
      <c r="O4703" s="32" t="str">
        <f>IF($M4703="","",IF($K4703-$M4703&gt;7,"",IF($M4703&lt;=$A4703,"",IF(OR($B4703&lt;=0,$N4703&lt;=0),"",($N4703/$B4703)^(365/($M4703-$A4703))-1))))</f>
        <v/>
      </c>
      <c r="P4703" s="31" t="str">
        <f>IF($B4703="","",IF($P4702="",$B4703,MAX($P4702,$B4703)))</f>
        <v/>
      </c>
      <c r="Q4703" s="32" t="str">
        <f>IF($P4703="","",$B4703/$P4703-1)</f>
        <v/>
      </c>
    </row>
    <row r="4704">
      <c r="A4704" s="11" t="n"/>
      <c r="B4704" s="29" t="n"/>
      <c r="K4704" s="30" t="str">
        <f>IF($A4704="","",EDATE($A4704,12*$E$4))</f>
        <v/>
      </c>
      <c r="L4704" s="19" t="str">
        <f>IF($K4704="","",IF($K4704&gt;MAX($A$8:$A$5007),"",IFERROR(MATCH($K4704,$A$8:$A$5007,1),"")))</f>
        <v/>
      </c>
      <c r="M4704" s="30" t="str">
        <f>IF($L4704="","",INDEX($A$8:$A$5007,$L4704))</f>
        <v/>
      </c>
      <c r="N4704" s="31" t="str">
        <f>IF($L4704="","",INDEX($B$8:$B$5007,$L4704))</f>
        <v/>
      </c>
      <c r="O4704" s="32" t="str">
        <f>IF($M4704="","",IF($K4704-$M4704&gt;7,"",IF($M4704&lt;=$A4704,"",IF(OR($B4704&lt;=0,$N4704&lt;=0),"",($N4704/$B4704)^(365/($M4704-$A4704))-1))))</f>
        <v/>
      </c>
      <c r="P4704" s="31" t="str">
        <f>IF($B4704="","",IF($P4703="",$B4704,MAX($P4703,$B4704)))</f>
        <v/>
      </c>
      <c r="Q4704" s="32" t="str">
        <f>IF($P4704="","",$B4704/$P4704-1)</f>
        <v/>
      </c>
    </row>
    <row r="4705">
      <c r="A4705" s="11" t="n"/>
      <c r="B4705" s="29" t="n"/>
      <c r="K4705" s="30" t="str">
        <f>IF($A4705="","",EDATE($A4705,12*$E$4))</f>
        <v/>
      </c>
      <c r="L4705" s="19" t="str">
        <f>IF($K4705="","",IF($K4705&gt;MAX($A$8:$A$5007),"",IFERROR(MATCH($K4705,$A$8:$A$5007,1),"")))</f>
        <v/>
      </c>
      <c r="M4705" s="30" t="str">
        <f>IF($L4705="","",INDEX($A$8:$A$5007,$L4705))</f>
        <v/>
      </c>
      <c r="N4705" s="31" t="str">
        <f>IF($L4705="","",INDEX($B$8:$B$5007,$L4705))</f>
        <v/>
      </c>
      <c r="O4705" s="32" t="str">
        <f>IF($M4705="","",IF($K4705-$M4705&gt;7,"",IF($M4705&lt;=$A4705,"",IF(OR($B4705&lt;=0,$N4705&lt;=0),"",($N4705/$B4705)^(365/($M4705-$A4705))-1))))</f>
        <v/>
      </c>
      <c r="P4705" s="31" t="str">
        <f>IF($B4705="","",IF($P4704="",$B4705,MAX($P4704,$B4705)))</f>
        <v/>
      </c>
      <c r="Q4705" s="32" t="str">
        <f>IF($P4705="","",$B4705/$P4705-1)</f>
        <v/>
      </c>
    </row>
    <row r="4706">
      <c r="A4706" s="11" t="n"/>
      <c r="B4706" s="29" t="n"/>
      <c r="K4706" s="30" t="str">
        <f>IF($A4706="","",EDATE($A4706,12*$E$4))</f>
        <v/>
      </c>
      <c r="L4706" s="19" t="str">
        <f>IF($K4706="","",IF($K4706&gt;MAX($A$8:$A$5007),"",IFERROR(MATCH($K4706,$A$8:$A$5007,1),"")))</f>
        <v/>
      </c>
      <c r="M4706" s="30" t="str">
        <f>IF($L4706="","",INDEX($A$8:$A$5007,$L4706))</f>
        <v/>
      </c>
      <c r="N4706" s="31" t="str">
        <f>IF($L4706="","",INDEX($B$8:$B$5007,$L4706))</f>
        <v/>
      </c>
      <c r="O4706" s="32" t="str">
        <f>IF($M4706="","",IF($K4706-$M4706&gt;7,"",IF($M4706&lt;=$A4706,"",IF(OR($B4706&lt;=0,$N4706&lt;=0),"",($N4706/$B4706)^(365/($M4706-$A4706))-1))))</f>
        <v/>
      </c>
      <c r="P4706" s="31" t="str">
        <f>IF($B4706="","",IF($P4705="",$B4706,MAX($P4705,$B4706)))</f>
        <v/>
      </c>
      <c r="Q4706" s="32" t="str">
        <f>IF($P4706="","",$B4706/$P4706-1)</f>
        <v/>
      </c>
    </row>
    <row r="4707">
      <c r="A4707" s="11" t="n"/>
      <c r="B4707" s="29" t="n"/>
      <c r="K4707" s="30" t="str">
        <f>IF($A4707="","",EDATE($A4707,12*$E$4))</f>
        <v/>
      </c>
      <c r="L4707" s="19" t="str">
        <f>IF($K4707="","",IF($K4707&gt;MAX($A$8:$A$5007),"",IFERROR(MATCH($K4707,$A$8:$A$5007,1),"")))</f>
        <v/>
      </c>
      <c r="M4707" s="30" t="str">
        <f>IF($L4707="","",INDEX($A$8:$A$5007,$L4707))</f>
        <v/>
      </c>
      <c r="N4707" s="31" t="str">
        <f>IF($L4707="","",INDEX($B$8:$B$5007,$L4707))</f>
        <v/>
      </c>
      <c r="O4707" s="32" t="str">
        <f>IF($M4707="","",IF($K4707-$M4707&gt;7,"",IF($M4707&lt;=$A4707,"",IF(OR($B4707&lt;=0,$N4707&lt;=0),"",($N4707/$B4707)^(365/($M4707-$A4707))-1))))</f>
        <v/>
      </c>
      <c r="P4707" s="31" t="str">
        <f>IF($B4707="","",IF($P4706="",$B4707,MAX($P4706,$B4707)))</f>
        <v/>
      </c>
      <c r="Q4707" s="32" t="str">
        <f>IF($P4707="","",$B4707/$P4707-1)</f>
        <v/>
      </c>
    </row>
    <row r="4708">
      <c r="A4708" s="11" t="n"/>
      <c r="B4708" s="29" t="n"/>
      <c r="K4708" s="30" t="str">
        <f>IF($A4708="","",EDATE($A4708,12*$E$4))</f>
        <v/>
      </c>
      <c r="L4708" s="19" t="str">
        <f>IF($K4708="","",IF($K4708&gt;MAX($A$8:$A$5007),"",IFERROR(MATCH($K4708,$A$8:$A$5007,1),"")))</f>
        <v/>
      </c>
      <c r="M4708" s="30" t="str">
        <f>IF($L4708="","",INDEX($A$8:$A$5007,$L4708))</f>
        <v/>
      </c>
      <c r="N4708" s="31" t="str">
        <f>IF($L4708="","",INDEX($B$8:$B$5007,$L4708))</f>
        <v/>
      </c>
      <c r="O4708" s="32" t="str">
        <f>IF($M4708="","",IF($K4708-$M4708&gt;7,"",IF($M4708&lt;=$A4708,"",IF(OR($B4708&lt;=0,$N4708&lt;=0),"",($N4708/$B4708)^(365/($M4708-$A4708))-1))))</f>
        <v/>
      </c>
      <c r="P4708" s="31" t="str">
        <f>IF($B4708="","",IF($P4707="",$B4708,MAX($P4707,$B4708)))</f>
        <v/>
      </c>
      <c r="Q4708" s="32" t="str">
        <f>IF($P4708="","",$B4708/$P4708-1)</f>
        <v/>
      </c>
    </row>
    <row r="4709">
      <c r="A4709" s="11" t="n"/>
      <c r="B4709" s="29" t="n"/>
      <c r="K4709" s="30" t="str">
        <f>IF($A4709="","",EDATE($A4709,12*$E$4))</f>
        <v/>
      </c>
      <c r="L4709" s="19" t="str">
        <f>IF($K4709="","",IF($K4709&gt;MAX($A$8:$A$5007),"",IFERROR(MATCH($K4709,$A$8:$A$5007,1),"")))</f>
        <v/>
      </c>
      <c r="M4709" s="30" t="str">
        <f>IF($L4709="","",INDEX($A$8:$A$5007,$L4709))</f>
        <v/>
      </c>
      <c r="N4709" s="31" t="str">
        <f>IF($L4709="","",INDEX($B$8:$B$5007,$L4709))</f>
        <v/>
      </c>
      <c r="O4709" s="32" t="str">
        <f>IF($M4709="","",IF($K4709-$M4709&gt;7,"",IF($M4709&lt;=$A4709,"",IF(OR($B4709&lt;=0,$N4709&lt;=0),"",($N4709/$B4709)^(365/($M4709-$A4709))-1))))</f>
        <v/>
      </c>
      <c r="P4709" s="31" t="str">
        <f>IF($B4709="","",IF($P4708="",$B4709,MAX($P4708,$B4709)))</f>
        <v/>
      </c>
      <c r="Q4709" s="32" t="str">
        <f>IF($P4709="","",$B4709/$P4709-1)</f>
        <v/>
      </c>
    </row>
    <row r="4710">
      <c r="A4710" s="11" t="n"/>
      <c r="B4710" s="29" t="n"/>
      <c r="K4710" s="30" t="str">
        <f>IF($A4710="","",EDATE($A4710,12*$E$4))</f>
        <v/>
      </c>
      <c r="L4710" s="19" t="str">
        <f>IF($K4710="","",IF($K4710&gt;MAX($A$8:$A$5007),"",IFERROR(MATCH($K4710,$A$8:$A$5007,1),"")))</f>
        <v/>
      </c>
      <c r="M4710" s="30" t="str">
        <f>IF($L4710="","",INDEX($A$8:$A$5007,$L4710))</f>
        <v/>
      </c>
      <c r="N4710" s="31" t="str">
        <f>IF($L4710="","",INDEX($B$8:$B$5007,$L4710))</f>
        <v/>
      </c>
      <c r="O4710" s="32" t="str">
        <f>IF($M4710="","",IF($K4710-$M4710&gt;7,"",IF($M4710&lt;=$A4710,"",IF(OR($B4710&lt;=0,$N4710&lt;=0),"",($N4710/$B4710)^(365/($M4710-$A4710))-1))))</f>
        <v/>
      </c>
      <c r="P4710" s="31" t="str">
        <f>IF($B4710="","",IF($P4709="",$B4710,MAX($P4709,$B4710)))</f>
        <v/>
      </c>
      <c r="Q4710" s="32" t="str">
        <f>IF($P4710="","",$B4710/$P4710-1)</f>
        <v/>
      </c>
    </row>
    <row r="4711">
      <c r="A4711" s="11" t="n"/>
      <c r="B4711" s="29" t="n"/>
      <c r="K4711" s="30" t="str">
        <f>IF($A4711="","",EDATE($A4711,12*$E$4))</f>
        <v/>
      </c>
      <c r="L4711" s="19" t="str">
        <f>IF($K4711="","",IF($K4711&gt;MAX($A$8:$A$5007),"",IFERROR(MATCH($K4711,$A$8:$A$5007,1),"")))</f>
        <v/>
      </c>
      <c r="M4711" s="30" t="str">
        <f>IF($L4711="","",INDEX($A$8:$A$5007,$L4711))</f>
        <v/>
      </c>
      <c r="N4711" s="31" t="str">
        <f>IF($L4711="","",INDEX($B$8:$B$5007,$L4711))</f>
        <v/>
      </c>
      <c r="O4711" s="32" t="str">
        <f>IF($M4711="","",IF($K4711-$M4711&gt;7,"",IF($M4711&lt;=$A4711,"",IF(OR($B4711&lt;=0,$N4711&lt;=0),"",($N4711/$B4711)^(365/($M4711-$A4711))-1))))</f>
        <v/>
      </c>
      <c r="P4711" s="31" t="str">
        <f>IF($B4711="","",IF($P4710="",$B4711,MAX($P4710,$B4711)))</f>
        <v/>
      </c>
      <c r="Q4711" s="32" t="str">
        <f>IF($P4711="","",$B4711/$P4711-1)</f>
        <v/>
      </c>
    </row>
    <row r="4712">
      <c r="A4712" s="11" t="n"/>
      <c r="B4712" s="29" t="n"/>
      <c r="K4712" s="30" t="str">
        <f>IF($A4712="","",EDATE($A4712,12*$E$4))</f>
        <v/>
      </c>
      <c r="L4712" s="19" t="str">
        <f>IF($K4712="","",IF($K4712&gt;MAX($A$8:$A$5007),"",IFERROR(MATCH($K4712,$A$8:$A$5007,1),"")))</f>
        <v/>
      </c>
      <c r="M4712" s="30" t="str">
        <f>IF($L4712="","",INDEX($A$8:$A$5007,$L4712))</f>
        <v/>
      </c>
      <c r="N4712" s="31" t="str">
        <f>IF($L4712="","",INDEX($B$8:$B$5007,$L4712))</f>
        <v/>
      </c>
      <c r="O4712" s="32" t="str">
        <f>IF($M4712="","",IF($K4712-$M4712&gt;7,"",IF($M4712&lt;=$A4712,"",IF(OR($B4712&lt;=0,$N4712&lt;=0),"",($N4712/$B4712)^(365/($M4712-$A4712))-1))))</f>
        <v/>
      </c>
      <c r="P4712" s="31" t="str">
        <f>IF($B4712="","",IF($P4711="",$B4712,MAX($P4711,$B4712)))</f>
        <v/>
      </c>
      <c r="Q4712" s="32" t="str">
        <f>IF($P4712="","",$B4712/$P4712-1)</f>
        <v/>
      </c>
    </row>
    <row r="4713">
      <c r="A4713" s="11" t="n"/>
      <c r="B4713" s="29" t="n"/>
      <c r="K4713" s="30" t="str">
        <f>IF($A4713="","",EDATE($A4713,12*$E$4))</f>
        <v/>
      </c>
      <c r="L4713" s="19" t="str">
        <f>IF($K4713="","",IF($K4713&gt;MAX($A$8:$A$5007),"",IFERROR(MATCH($K4713,$A$8:$A$5007,1),"")))</f>
        <v/>
      </c>
      <c r="M4713" s="30" t="str">
        <f>IF($L4713="","",INDEX($A$8:$A$5007,$L4713))</f>
        <v/>
      </c>
      <c r="N4713" s="31" t="str">
        <f>IF($L4713="","",INDEX($B$8:$B$5007,$L4713))</f>
        <v/>
      </c>
      <c r="O4713" s="32" t="str">
        <f>IF($M4713="","",IF($K4713-$M4713&gt;7,"",IF($M4713&lt;=$A4713,"",IF(OR($B4713&lt;=0,$N4713&lt;=0),"",($N4713/$B4713)^(365/($M4713-$A4713))-1))))</f>
        <v/>
      </c>
      <c r="P4713" s="31" t="str">
        <f>IF($B4713="","",IF($P4712="",$B4713,MAX($P4712,$B4713)))</f>
        <v/>
      </c>
      <c r="Q4713" s="32" t="str">
        <f>IF($P4713="","",$B4713/$P4713-1)</f>
        <v/>
      </c>
    </row>
    <row r="4714">
      <c r="A4714" s="11" t="n"/>
      <c r="B4714" s="29" t="n"/>
      <c r="K4714" s="30" t="str">
        <f>IF($A4714="","",EDATE($A4714,12*$E$4))</f>
        <v/>
      </c>
      <c r="L4714" s="19" t="str">
        <f>IF($K4714="","",IF($K4714&gt;MAX($A$8:$A$5007),"",IFERROR(MATCH($K4714,$A$8:$A$5007,1),"")))</f>
        <v/>
      </c>
      <c r="M4714" s="30" t="str">
        <f>IF($L4714="","",INDEX($A$8:$A$5007,$L4714))</f>
        <v/>
      </c>
      <c r="N4714" s="31" t="str">
        <f>IF($L4714="","",INDEX($B$8:$B$5007,$L4714))</f>
        <v/>
      </c>
      <c r="O4714" s="32" t="str">
        <f>IF($M4714="","",IF($K4714-$M4714&gt;7,"",IF($M4714&lt;=$A4714,"",IF(OR($B4714&lt;=0,$N4714&lt;=0),"",($N4714/$B4714)^(365/($M4714-$A4714))-1))))</f>
        <v/>
      </c>
      <c r="P4714" s="31" t="str">
        <f>IF($B4714="","",IF($P4713="",$B4714,MAX($P4713,$B4714)))</f>
        <v/>
      </c>
      <c r="Q4714" s="32" t="str">
        <f>IF($P4714="","",$B4714/$P4714-1)</f>
        <v/>
      </c>
    </row>
    <row r="4715">
      <c r="A4715" s="11" t="n"/>
      <c r="B4715" s="29" t="n"/>
      <c r="K4715" s="30" t="str">
        <f>IF($A4715="","",EDATE($A4715,12*$E$4))</f>
        <v/>
      </c>
      <c r="L4715" s="19" t="str">
        <f>IF($K4715="","",IF($K4715&gt;MAX($A$8:$A$5007),"",IFERROR(MATCH($K4715,$A$8:$A$5007,1),"")))</f>
        <v/>
      </c>
      <c r="M4715" s="30" t="str">
        <f>IF($L4715="","",INDEX($A$8:$A$5007,$L4715))</f>
        <v/>
      </c>
      <c r="N4715" s="31" t="str">
        <f>IF($L4715="","",INDEX($B$8:$B$5007,$L4715))</f>
        <v/>
      </c>
      <c r="O4715" s="32" t="str">
        <f>IF($M4715="","",IF($K4715-$M4715&gt;7,"",IF($M4715&lt;=$A4715,"",IF(OR($B4715&lt;=0,$N4715&lt;=0),"",($N4715/$B4715)^(365/($M4715-$A4715))-1))))</f>
        <v/>
      </c>
      <c r="P4715" s="31" t="str">
        <f>IF($B4715="","",IF($P4714="",$B4715,MAX($P4714,$B4715)))</f>
        <v/>
      </c>
      <c r="Q4715" s="32" t="str">
        <f>IF($P4715="","",$B4715/$P4715-1)</f>
        <v/>
      </c>
    </row>
    <row r="4716">
      <c r="A4716" s="11" t="n"/>
      <c r="B4716" s="29" t="n"/>
      <c r="K4716" s="30" t="str">
        <f>IF($A4716="","",EDATE($A4716,12*$E$4))</f>
        <v/>
      </c>
      <c r="L4716" s="19" t="str">
        <f>IF($K4716="","",IF($K4716&gt;MAX($A$8:$A$5007),"",IFERROR(MATCH($K4716,$A$8:$A$5007,1),"")))</f>
        <v/>
      </c>
      <c r="M4716" s="30" t="str">
        <f>IF($L4716="","",INDEX($A$8:$A$5007,$L4716))</f>
        <v/>
      </c>
      <c r="N4716" s="31" t="str">
        <f>IF($L4716="","",INDEX($B$8:$B$5007,$L4716))</f>
        <v/>
      </c>
      <c r="O4716" s="32" t="str">
        <f>IF($M4716="","",IF($K4716-$M4716&gt;7,"",IF($M4716&lt;=$A4716,"",IF(OR($B4716&lt;=0,$N4716&lt;=0),"",($N4716/$B4716)^(365/($M4716-$A4716))-1))))</f>
        <v/>
      </c>
      <c r="P4716" s="31" t="str">
        <f>IF($B4716="","",IF($P4715="",$B4716,MAX($P4715,$B4716)))</f>
        <v/>
      </c>
      <c r="Q4716" s="32" t="str">
        <f>IF($P4716="","",$B4716/$P4716-1)</f>
        <v/>
      </c>
    </row>
    <row r="4717">
      <c r="A4717" s="11" t="n"/>
      <c r="B4717" s="29" t="n"/>
      <c r="K4717" s="30" t="str">
        <f>IF($A4717="","",EDATE($A4717,12*$E$4))</f>
        <v/>
      </c>
      <c r="L4717" s="19" t="str">
        <f>IF($K4717="","",IF($K4717&gt;MAX($A$8:$A$5007),"",IFERROR(MATCH($K4717,$A$8:$A$5007,1),"")))</f>
        <v/>
      </c>
      <c r="M4717" s="30" t="str">
        <f>IF($L4717="","",INDEX($A$8:$A$5007,$L4717))</f>
        <v/>
      </c>
      <c r="N4717" s="31" t="str">
        <f>IF($L4717="","",INDEX($B$8:$B$5007,$L4717))</f>
        <v/>
      </c>
      <c r="O4717" s="32" t="str">
        <f>IF($M4717="","",IF($K4717-$M4717&gt;7,"",IF($M4717&lt;=$A4717,"",IF(OR($B4717&lt;=0,$N4717&lt;=0),"",($N4717/$B4717)^(365/($M4717-$A4717))-1))))</f>
        <v/>
      </c>
      <c r="P4717" s="31" t="str">
        <f>IF($B4717="","",IF($P4716="",$B4717,MAX($P4716,$B4717)))</f>
        <v/>
      </c>
      <c r="Q4717" s="32" t="str">
        <f>IF($P4717="","",$B4717/$P4717-1)</f>
        <v/>
      </c>
    </row>
    <row r="4718">
      <c r="A4718" s="11" t="n"/>
      <c r="B4718" s="29" t="n"/>
      <c r="K4718" s="30" t="str">
        <f>IF($A4718="","",EDATE($A4718,12*$E$4))</f>
        <v/>
      </c>
      <c r="L4718" s="19" t="str">
        <f>IF($K4718="","",IF($K4718&gt;MAX($A$8:$A$5007),"",IFERROR(MATCH($K4718,$A$8:$A$5007,1),"")))</f>
        <v/>
      </c>
      <c r="M4718" s="30" t="str">
        <f>IF($L4718="","",INDEX($A$8:$A$5007,$L4718))</f>
        <v/>
      </c>
      <c r="N4718" s="31" t="str">
        <f>IF($L4718="","",INDEX($B$8:$B$5007,$L4718))</f>
        <v/>
      </c>
      <c r="O4718" s="32" t="str">
        <f>IF($M4718="","",IF($K4718-$M4718&gt;7,"",IF($M4718&lt;=$A4718,"",IF(OR($B4718&lt;=0,$N4718&lt;=0),"",($N4718/$B4718)^(365/($M4718-$A4718))-1))))</f>
        <v/>
      </c>
      <c r="P4718" s="31" t="str">
        <f>IF($B4718="","",IF($P4717="",$B4718,MAX($P4717,$B4718)))</f>
        <v/>
      </c>
      <c r="Q4718" s="32" t="str">
        <f>IF($P4718="","",$B4718/$P4718-1)</f>
        <v/>
      </c>
    </row>
    <row r="4719">
      <c r="A4719" s="11" t="n"/>
      <c r="B4719" s="29" t="n"/>
      <c r="K4719" s="30" t="str">
        <f>IF($A4719="","",EDATE($A4719,12*$E$4))</f>
        <v/>
      </c>
      <c r="L4719" s="19" t="str">
        <f>IF($K4719="","",IF($K4719&gt;MAX($A$8:$A$5007),"",IFERROR(MATCH($K4719,$A$8:$A$5007,1),"")))</f>
        <v/>
      </c>
      <c r="M4719" s="30" t="str">
        <f>IF($L4719="","",INDEX($A$8:$A$5007,$L4719))</f>
        <v/>
      </c>
      <c r="N4719" s="31" t="str">
        <f>IF($L4719="","",INDEX($B$8:$B$5007,$L4719))</f>
        <v/>
      </c>
      <c r="O4719" s="32" t="str">
        <f>IF($M4719="","",IF($K4719-$M4719&gt;7,"",IF($M4719&lt;=$A4719,"",IF(OR($B4719&lt;=0,$N4719&lt;=0),"",($N4719/$B4719)^(365/($M4719-$A4719))-1))))</f>
        <v/>
      </c>
      <c r="P4719" s="31" t="str">
        <f>IF($B4719="","",IF($P4718="",$B4719,MAX($P4718,$B4719)))</f>
        <v/>
      </c>
      <c r="Q4719" s="32" t="str">
        <f>IF($P4719="","",$B4719/$P4719-1)</f>
        <v/>
      </c>
    </row>
    <row r="4720">
      <c r="A4720" s="11" t="n"/>
      <c r="B4720" s="29" t="n"/>
      <c r="K4720" s="30" t="str">
        <f>IF($A4720="","",EDATE($A4720,12*$E$4))</f>
        <v/>
      </c>
      <c r="L4720" s="19" t="str">
        <f>IF($K4720="","",IF($K4720&gt;MAX($A$8:$A$5007),"",IFERROR(MATCH($K4720,$A$8:$A$5007,1),"")))</f>
        <v/>
      </c>
      <c r="M4720" s="30" t="str">
        <f>IF($L4720="","",INDEX($A$8:$A$5007,$L4720))</f>
        <v/>
      </c>
      <c r="N4720" s="31" t="str">
        <f>IF($L4720="","",INDEX($B$8:$B$5007,$L4720))</f>
        <v/>
      </c>
      <c r="O4720" s="32" t="str">
        <f>IF($M4720="","",IF($K4720-$M4720&gt;7,"",IF($M4720&lt;=$A4720,"",IF(OR($B4720&lt;=0,$N4720&lt;=0),"",($N4720/$B4720)^(365/($M4720-$A4720))-1))))</f>
        <v/>
      </c>
      <c r="P4720" s="31" t="str">
        <f>IF($B4720="","",IF($P4719="",$B4720,MAX($P4719,$B4720)))</f>
        <v/>
      </c>
      <c r="Q4720" s="32" t="str">
        <f>IF($P4720="","",$B4720/$P4720-1)</f>
        <v/>
      </c>
    </row>
    <row r="4721">
      <c r="A4721" s="11" t="n"/>
      <c r="B4721" s="29" t="n"/>
      <c r="K4721" s="30" t="str">
        <f>IF($A4721="","",EDATE($A4721,12*$E$4))</f>
        <v/>
      </c>
      <c r="L4721" s="19" t="str">
        <f>IF($K4721="","",IF($K4721&gt;MAX($A$8:$A$5007),"",IFERROR(MATCH($K4721,$A$8:$A$5007,1),"")))</f>
        <v/>
      </c>
      <c r="M4721" s="30" t="str">
        <f>IF($L4721="","",INDEX($A$8:$A$5007,$L4721))</f>
        <v/>
      </c>
      <c r="N4721" s="31" t="str">
        <f>IF($L4721="","",INDEX($B$8:$B$5007,$L4721))</f>
        <v/>
      </c>
      <c r="O4721" s="32" t="str">
        <f>IF($M4721="","",IF($K4721-$M4721&gt;7,"",IF($M4721&lt;=$A4721,"",IF(OR($B4721&lt;=0,$N4721&lt;=0),"",($N4721/$B4721)^(365/($M4721-$A4721))-1))))</f>
        <v/>
      </c>
      <c r="P4721" s="31" t="str">
        <f>IF($B4721="","",IF($P4720="",$B4721,MAX($P4720,$B4721)))</f>
        <v/>
      </c>
      <c r="Q4721" s="32" t="str">
        <f>IF($P4721="","",$B4721/$P4721-1)</f>
        <v/>
      </c>
    </row>
    <row r="4722">
      <c r="A4722" s="11" t="n"/>
      <c r="B4722" s="29" t="n"/>
      <c r="K4722" s="30" t="str">
        <f>IF($A4722="","",EDATE($A4722,12*$E$4))</f>
        <v/>
      </c>
      <c r="L4722" s="19" t="str">
        <f>IF($K4722="","",IF($K4722&gt;MAX($A$8:$A$5007),"",IFERROR(MATCH($K4722,$A$8:$A$5007,1),"")))</f>
        <v/>
      </c>
      <c r="M4722" s="30" t="str">
        <f>IF($L4722="","",INDEX($A$8:$A$5007,$L4722))</f>
        <v/>
      </c>
      <c r="N4722" s="31" t="str">
        <f>IF($L4722="","",INDEX($B$8:$B$5007,$L4722))</f>
        <v/>
      </c>
      <c r="O4722" s="32" t="str">
        <f>IF($M4722="","",IF($K4722-$M4722&gt;7,"",IF($M4722&lt;=$A4722,"",IF(OR($B4722&lt;=0,$N4722&lt;=0),"",($N4722/$B4722)^(365/($M4722-$A4722))-1))))</f>
        <v/>
      </c>
      <c r="P4722" s="31" t="str">
        <f>IF($B4722="","",IF($P4721="",$B4722,MAX($P4721,$B4722)))</f>
        <v/>
      </c>
      <c r="Q4722" s="32" t="str">
        <f>IF($P4722="","",$B4722/$P4722-1)</f>
        <v/>
      </c>
    </row>
    <row r="4723">
      <c r="A4723" s="11" t="n"/>
      <c r="B4723" s="29" t="n"/>
      <c r="K4723" s="30" t="str">
        <f>IF($A4723="","",EDATE($A4723,12*$E$4))</f>
        <v/>
      </c>
      <c r="L4723" s="19" t="str">
        <f>IF($K4723="","",IF($K4723&gt;MAX($A$8:$A$5007),"",IFERROR(MATCH($K4723,$A$8:$A$5007,1),"")))</f>
        <v/>
      </c>
      <c r="M4723" s="30" t="str">
        <f>IF($L4723="","",INDEX($A$8:$A$5007,$L4723))</f>
        <v/>
      </c>
      <c r="N4723" s="31" t="str">
        <f>IF($L4723="","",INDEX($B$8:$B$5007,$L4723))</f>
        <v/>
      </c>
      <c r="O4723" s="32" t="str">
        <f>IF($M4723="","",IF($K4723-$M4723&gt;7,"",IF($M4723&lt;=$A4723,"",IF(OR($B4723&lt;=0,$N4723&lt;=0),"",($N4723/$B4723)^(365/($M4723-$A4723))-1))))</f>
        <v/>
      </c>
      <c r="P4723" s="31" t="str">
        <f>IF($B4723="","",IF($P4722="",$B4723,MAX($P4722,$B4723)))</f>
        <v/>
      </c>
      <c r="Q4723" s="32" t="str">
        <f>IF($P4723="","",$B4723/$P4723-1)</f>
        <v/>
      </c>
    </row>
    <row r="4724">
      <c r="A4724" s="11" t="n"/>
      <c r="B4724" s="29" t="n"/>
      <c r="K4724" s="30" t="str">
        <f>IF($A4724="","",EDATE($A4724,12*$E$4))</f>
        <v/>
      </c>
      <c r="L4724" s="19" t="str">
        <f>IF($K4724="","",IF($K4724&gt;MAX($A$8:$A$5007),"",IFERROR(MATCH($K4724,$A$8:$A$5007,1),"")))</f>
        <v/>
      </c>
      <c r="M4724" s="30" t="str">
        <f>IF($L4724="","",INDEX($A$8:$A$5007,$L4724))</f>
        <v/>
      </c>
      <c r="N4724" s="31" t="str">
        <f>IF($L4724="","",INDEX($B$8:$B$5007,$L4724))</f>
        <v/>
      </c>
      <c r="O4724" s="32" t="str">
        <f>IF($M4724="","",IF($K4724-$M4724&gt;7,"",IF($M4724&lt;=$A4724,"",IF(OR($B4724&lt;=0,$N4724&lt;=0),"",($N4724/$B4724)^(365/($M4724-$A4724))-1))))</f>
        <v/>
      </c>
      <c r="P4724" s="31" t="str">
        <f>IF($B4724="","",IF($P4723="",$B4724,MAX($P4723,$B4724)))</f>
        <v/>
      </c>
      <c r="Q4724" s="32" t="str">
        <f>IF($P4724="","",$B4724/$P4724-1)</f>
        <v/>
      </c>
    </row>
    <row r="4725">
      <c r="A4725" s="11" t="n"/>
      <c r="B4725" s="29" t="n"/>
      <c r="K4725" s="30" t="str">
        <f>IF($A4725="","",EDATE($A4725,12*$E$4))</f>
        <v/>
      </c>
      <c r="L4725" s="19" t="str">
        <f>IF($K4725="","",IF($K4725&gt;MAX($A$8:$A$5007),"",IFERROR(MATCH($K4725,$A$8:$A$5007,1),"")))</f>
        <v/>
      </c>
      <c r="M4725" s="30" t="str">
        <f>IF($L4725="","",INDEX($A$8:$A$5007,$L4725))</f>
        <v/>
      </c>
      <c r="N4725" s="31" t="str">
        <f>IF($L4725="","",INDEX($B$8:$B$5007,$L4725))</f>
        <v/>
      </c>
      <c r="O4725" s="32" t="str">
        <f>IF($M4725="","",IF($K4725-$M4725&gt;7,"",IF($M4725&lt;=$A4725,"",IF(OR($B4725&lt;=0,$N4725&lt;=0),"",($N4725/$B4725)^(365/($M4725-$A4725))-1))))</f>
        <v/>
      </c>
      <c r="P4725" s="31" t="str">
        <f>IF($B4725="","",IF($P4724="",$B4725,MAX($P4724,$B4725)))</f>
        <v/>
      </c>
      <c r="Q4725" s="32" t="str">
        <f>IF($P4725="","",$B4725/$P4725-1)</f>
        <v/>
      </c>
    </row>
    <row r="4726">
      <c r="A4726" s="11" t="n"/>
      <c r="B4726" s="29" t="n"/>
      <c r="K4726" s="30" t="str">
        <f>IF($A4726="","",EDATE($A4726,12*$E$4))</f>
        <v/>
      </c>
      <c r="L4726" s="19" t="str">
        <f>IF($K4726="","",IF($K4726&gt;MAX($A$8:$A$5007),"",IFERROR(MATCH($K4726,$A$8:$A$5007,1),"")))</f>
        <v/>
      </c>
      <c r="M4726" s="30" t="str">
        <f>IF($L4726="","",INDEX($A$8:$A$5007,$L4726))</f>
        <v/>
      </c>
      <c r="N4726" s="31" t="str">
        <f>IF($L4726="","",INDEX($B$8:$B$5007,$L4726))</f>
        <v/>
      </c>
      <c r="O4726" s="32" t="str">
        <f>IF($M4726="","",IF($K4726-$M4726&gt;7,"",IF($M4726&lt;=$A4726,"",IF(OR($B4726&lt;=0,$N4726&lt;=0),"",($N4726/$B4726)^(365/($M4726-$A4726))-1))))</f>
        <v/>
      </c>
      <c r="P4726" s="31" t="str">
        <f>IF($B4726="","",IF($P4725="",$B4726,MAX($P4725,$B4726)))</f>
        <v/>
      </c>
      <c r="Q4726" s="32" t="str">
        <f>IF($P4726="","",$B4726/$P4726-1)</f>
        <v/>
      </c>
    </row>
    <row r="4727">
      <c r="A4727" s="11" t="n"/>
      <c r="B4727" s="29" t="n"/>
      <c r="K4727" s="30" t="str">
        <f>IF($A4727="","",EDATE($A4727,12*$E$4))</f>
        <v/>
      </c>
      <c r="L4727" s="19" t="str">
        <f>IF($K4727="","",IF($K4727&gt;MAX($A$8:$A$5007),"",IFERROR(MATCH($K4727,$A$8:$A$5007,1),"")))</f>
        <v/>
      </c>
      <c r="M4727" s="30" t="str">
        <f>IF($L4727="","",INDEX($A$8:$A$5007,$L4727))</f>
        <v/>
      </c>
      <c r="N4727" s="31" t="str">
        <f>IF($L4727="","",INDEX($B$8:$B$5007,$L4727))</f>
        <v/>
      </c>
      <c r="O4727" s="32" t="str">
        <f>IF($M4727="","",IF($K4727-$M4727&gt;7,"",IF($M4727&lt;=$A4727,"",IF(OR($B4727&lt;=0,$N4727&lt;=0),"",($N4727/$B4727)^(365/($M4727-$A4727))-1))))</f>
        <v/>
      </c>
      <c r="P4727" s="31" t="str">
        <f>IF($B4727="","",IF($P4726="",$B4727,MAX($P4726,$B4727)))</f>
        <v/>
      </c>
      <c r="Q4727" s="32" t="str">
        <f>IF($P4727="","",$B4727/$P4727-1)</f>
        <v/>
      </c>
    </row>
    <row r="4728">
      <c r="A4728" s="11" t="n"/>
      <c r="B4728" s="29" t="n"/>
      <c r="K4728" s="30" t="str">
        <f>IF($A4728="","",EDATE($A4728,12*$E$4))</f>
        <v/>
      </c>
      <c r="L4728" s="19" t="str">
        <f>IF($K4728="","",IF($K4728&gt;MAX($A$8:$A$5007),"",IFERROR(MATCH($K4728,$A$8:$A$5007,1),"")))</f>
        <v/>
      </c>
      <c r="M4728" s="30" t="str">
        <f>IF($L4728="","",INDEX($A$8:$A$5007,$L4728))</f>
        <v/>
      </c>
      <c r="N4728" s="31" t="str">
        <f>IF($L4728="","",INDEX($B$8:$B$5007,$L4728))</f>
        <v/>
      </c>
      <c r="O4728" s="32" t="str">
        <f>IF($M4728="","",IF($K4728-$M4728&gt;7,"",IF($M4728&lt;=$A4728,"",IF(OR($B4728&lt;=0,$N4728&lt;=0),"",($N4728/$B4728)^(365/($M4728-$A4728))-1))))</f>
        <v/>
      </c>
      <c r="P4728" s="31" t="str">
        <f>IF($B4728="","",IF($P4727="",$B4728,MAX($P4727,$B4728)))</f>
        <v/>
      </c>
      <c r="Q4728" s="32" t="str">
        <f>IF($P4728="","",$B4728/$P4728-1)</f>
        <v/>
      </c>
    </row>
    <row r="4729">
      <c r="A4729" s="11" t="n"/>
      <c r="B4729" s="29" t="n"/>
      <c r="K4729" s="30" t="str">
        <f>IF($A4729="","",EDATE($A4729,12*$E$4))</f>
        <v/>
      </c>
      <c r="L4729" s="19" t="str">
        <f>IF($K4729="","",IF($K4729&gt;MAX($A$8:$A$5007),"",IFERROR(MATCH($K4729,$A$8:$A$5007,1),"")))</f>
        <v/>
      </c>
      <c r="M4729" s="30" t="str">
        <f>IF($L4729="","",INDEX($A$8:$A$5007,$L4729))</f>
        <v/>
      </c>
      <c r="N4729" s="31" t="str">
        <f>IF($L4729="","",INDEX($B$8:$B$5007,$L4729))</f>
        <v/>
      </c>
      <c r="O4729" s="32" t="str">
        <f>IF($M4729="","",IF($K4729-$M4729&gt;7,"",IF($M4729&lt;=$A4729,"",IF(OR($B4729&lt;=0,$N4729&lt;=0),"",($N4729/$B4729)^(365/($M4729-$A4729))-1))))</f>
        <v/>
      </c>
      <c r="P4729" s="31" t="str">
        <f>IF($B4729="","",IF($P4728="",$B4729,MAX($P4728,$B4729)))</f>
        <v/>
      </c>
      <c r="Q4729" s="32" t="str">
        <f>IF($P4729="","",$B4729/$P4729-1)</f>
        <v/>
      </c>
    </row>
    <row r="4730">
      <c r="A4730" s="11" t="n"/>
      <c r="B4730" s="29" t="n"/>
      <c r="K4730" s="30" t="str">
        <f>IF($A4730="","",EDATE($A4730,12*$E$4))</f>
        <v/>
      </c>
      <c r="L4730" s="19" t="str">
        <f>IF($K4730="","",IF($K4730&gt;MAX($A$8:$A$5007),"",IFERROR(MATCH($K4730,$A$8:$A$5007,1),"")))</f>
        <v/>
      </c>
      <c r="M4730" s="30" t="str">
        <f>IF($L4730="","",INDEX($A$8:$A$5007,$L4730))</f>
        <v/>
      </c>
      <c r="N4730" s="31" t="str">
        <f>IF($L4730="","",INDEX($B$8:$B$5007,$L4730))</f>
        <v/>
      </c>
      <c r="O4730" s="32" t="str">
        <f>IF($M4730="","",IF($K4730-$M4730&gt;7,"",IF($M4730&lt;=$A4730,"",IF(OR($B4730&lt;=0,$N4730&lt;=0),"",($N4730/$B4730)^(365/($M4730-$A4730))-1))))</f>
        <v/>
      </c>
      <c r="P4730" s="31" t="str">
        <f>IF($B4730="","",IF($P4729="",$B4730,MAX($P4729,$B4730)))</f>
        <v/>
      </c>
      <c r="Q4730" s="32" t="str">
        <f>IF($P4730="","",$B4730/$P4730-1)</f>
        <v/>
      </c>
    </row>
    <row r="4731">
      <c r="A4731" s="11" t="n"/>
      <c r="B4731" s="29" t="n"/>
      <c r="K4731" s="30" t="str">
        <f>IF($A4731="","",EDATE($A4731,12*$E$4))</f>
        <v/>
      </c>
      <c r="L4731" s="19" t="str">
        <f>IF($K4731="","",IF($K4731&gt;MAX($A$8:$A$5007),"",IFERROR(MATCH($K4731,$A$8:$A$5007,1),"")))</f>
        <v/>
      </c>
      <c r="M4731" s="30" t="str">
        <f>IF($L4731="","",INDEX($A$8:$A$5007,$L4731))</f>
        <v/>
      </c>
      <c r="N4731" s="31" t="str">
        <f>IF($L4731="","",INDEX($B$8:$B$5007,$L4731))</f>
        <v/>
      </c>
      <c r="O4731" s="32" t="str">
        <f>IF($M4731="","",IF($K4731-$M4731&gt;7,"",IF($M4731&lt;=$A4731,"",IF(OR($B4731&lt;=0,$N4731&lt;=0),"",($N4731/$B4731)^(365/($M4731-$A4731))-1))))</f>
        <v/>
      </c>
      <c r="P4731" s="31" t="str">
        <f>IF($B4731="","",IF($P4730="",$B4731,MAX($P4730,$B4731)))</f>
        <v/>
      </c>
      <c r="Q4731" s="32" t="str">
        <f>IF($P4731="","",$B4731/$P4731-1)</f>
        <v/>
      </c>
    </row>
    <row r="4732">
      <c r="A4732" s="11" t="n"/>
      <c r="B4732" s="29" t="n"/>
      <c r="K4732" s="30" t="str">
        <f>IF($A4732="","",EDATE($A4732,12*$E$4))</f>
        <v/>
      </c>
      <c r="L4732" s="19" t="str">
        <f>IF($K4732="","",IF($K4732&gt;MAX($A$8:$A$5007),"",IFERROR(MATCH($K4732,$A$8:$A$5007,1),"")))</f>
        <v/>
      </c>
      <c r="M4732" s="30" t="str">
        <f>IF($L4732="","",INDEX($A$8:$A$5007,$L4732))</f>
        <v/>
      </c>
      <c r="N4732" s="31" t="str">
        <f>IF($L4732="","",INDEX($B$8:$B$5007,$L4732))</f>
        <v/>
      </c>
      <c r="O4732" s="32" t="str">
        <f>IF($M4732="","",IF($K4732-$M4732&gt;7,"",IF($M4732&lt;=$A4732,"",IF(OR($B4732&lt;=0,$N4732&lt;=0),"",($N4732/$B4732)^(365/($M4732-$A4732))-1))))</f>
        <v/>
      </c>
      <c r="P4732" s="31" t="str">
        <f>IF($B4732="","",IF($P4731="",$B4732,MAX($P4731,$B4732)))</f>
        <v/>
      </c>
      <c r="Q4732" s="32" t="str">
        <f>IF($P4732="","",$B4732/$P4732-1)</f>
        <v/>
      </c>
    </row>
    <row r="4733">
      <c r="A4733" s="11" t="n"/>
      <c r="B4733" s="29" t="n"/>
      <c r="K4733" s="30" t="str">
        <f>IF($A4733="","",EDATE($A4733,12*$E$4))</f>
        <v/>
      </c>
      <c r="L4733" s="19" t="str">
        <f>IF($K4733="","",IF($K4733&gt;MAX($A$8:$A$5007),"",IFERROR(MATCH($K4733,$A$8:$A$5007,1),"")))</f>
        <v/>
      </c>
      <c r="M4733" s="30" t="str">
        <f>IF($L4733="","",INDEX($A$8:$A$5007,$L4733))</f>
        <v/>
      </c>
      <c r="N4733" s="31" t="str">
        <f>IF($L4733="","",INDEX($B$8:$B$5007,$L4733))</f>
        <v/>
      </c>
      <c r="O4733" s="32" t="str">
        <f>IF($M4733="","",IF($K4733-$M4733&gt;7,"",IF($M4733&lt;=$A4733,"",IF(OR($B4733&lt;=0,$N4733&lt;=0),"",($N4733/$B4733)^(365/($M4733-$A4733))-1))))</f>
        <v/>
      </c>
      <c r="P4733" s="31" t="str">
        <f>IF($B4733="","",IF($P4732="",$B4733,MAX($P4732,$B4733)))</f>
        <v/>
      </c>
      <c r="Q4733" s="32" t="str">
        <f>IF($P4733="","",$B4733/$P4733-1)</f>
        <v/>
      </c>
    </row>
    <row r="4734">
      <c r="A4734" s="11" t="n"/>
      <c r="B4734" s="29" t="n"/>
      <c r="K4734" s="30" t="str">
        <f>IF($A4734="","",EDATE($A4734,12*$E$4))</f>
        <v/>
      </c>
      <c r="L4734" s="19" t="str">
        <f>IF($K4734="","",IF($K4734&gt;MAX($A$8:$A$5007),"",IFERROR(MATCH($K4734,$A$8:$A$5007,1),"")))</f>
        <v/>
      </c>
      <c r="M4734" s="30" t="str">
        <f>IF($L4734="","",INDEX($A$8:$A$5007,$L4734))</f>
        <v/>
      </c>
      <c r="N4734" s="31" t="str">
        <f>IF($L4734="","",INDEX($B$8:$B$5007,$L4734))</f>
        <v/>
      </c>
      <c r="O4734" s="32" t="str">
        <f>IF($M4734="","",IF($K4734-$M4734&gt;7,"",IF($M4734&lt;=$A4734,"",IF(OR($B4734&lt;=0,$N4734&lt;=0),"",($N4734/$B4734)^(365/($M4734-$A4734))-1))))</f>
        <v/>
      </c>
      <c r="P4734" s="31" t="str">
        <f>IF($B4734="","",IF($P4733="",$B4734,MAX($P4733,$B4734)))</f>
        <v/>
      </c>
      <c r="Q4734" s="32" t="str">
        <f>IF($P4734="","",$B4734/$P4734-1)</f>
        <v/>
      </c>
    </row>
    <row r="4735">
      <c r="A4735" s="11" t="n"/>
      <c r="B4735" s="29" t="n"/>
      <c r="K4735" s="30" t="str">
        <f>IF($A4735="","",EDATE($A4735,12*$E$4))</f>
        <v/>
      </c>
      <c r="L4735" s="19" t="str">
        <f>IF($K4735="","",IF($K4735&gt;MAX($A$8:$A$5007),"",IFERROR(MATCH($K4735,$A$8:$A$5007,1),"")))</f>
        <v/>
      </c>
      <c r="M4735" s="30" t="str">
        <f>IF($L4735="","",INDEX($A$8:$A$5007,$L4735))</f>
        <v/>
      </c>
      <c r="N4735" s="31" t="str">
        <f>IF($L4735="","",INDEX($B$8:$B$5007,$L4735))</f>
        <v/>
      </c>
      <c r="O4735" s="32" t="str">
        <f>IF($M4735="","",IF($K4735-$M4735&gt;7,"",IF($M4735&lt;=$A4735,"",IF(OR($B4735&lt;=0,$N4735&lt;=0),"",($N4735/$B4735)^(365/($M4735-$A4735))-1))))</f>
        <v/>
      </c>
      <c r="P4735" s="31" t="str">
        <f>IF($B4735="","",IF($P4734="",$B4735,MAX($P4734,$B4735)))</f>
        <v/>
      </c>
      <c r="Q4735" s="32" t="str">
        <f>IF($P4735="","",$B4735/$P4735-1)</f>
        <v/>
      </c>
    </row>
    <row r="4736">
      <c r="A4736" s="11" t="n"/>
      <c r="B4736" s="29" t="n"/>
      <c r="K4736" s="30" t="str">
        <f>IF($A4736="","",EDATE($A4736,12*$E$4))</f>
        <v/>
      </c>
      <c r="L4736" s="19" t="str">
        <f>IF($K4736="","",IF($K4736&gt;MAX($A$8:$A$5007),"",IFERROR(MATCH($K4736,$A$8:$A$5007,1),"")))</f>
        <v/>
      </c>
      <c r="M4736" s="30" t="str">
        <f>IF($L4736="","",INDEX($A$8:$A$5007,$L4736))</f>
        <v/>
      </c>
      <c r="N4736" s="31" t="str">
        <f>IF($L4736="","",INDEX($B$8:$B$5007,$L4736))</f>
        <v/>
      </c>
      <c r="O4736" s="32" t="str">
        <f>IF($M4736="","",IF($K4736-$M4736&gt;7,"",IF($M4736&lt;=$A4736,"",IF(OR($B4736&lt;=0,$N4736&lt;=0),"",($N4736/$B4736)^(365/($M4736-$A4736))-1))))</f>
        <v/>
      </c>
      <c r="P4736" s="31" t="str">
        <f>IF($B4736="","",IF($P4735="",$B4736,MAX($P4735,$B4736)))</f>
        <v/>
      </c>
      <c r="Q4736" s="32" t="str">
        <f>IF($P4736="","",$B4736/$P4736-1)</f>
        <v/>
      </c>
    </row>
    <row r="4737">
      <c r="A4737" s="11" t="n"/>
      <c r="B4737" s="29" t="n"/>
      <c r="K4737" s="30" t="str">
        <f>IF($A4737="","",EDATE($A4737,12*$E$4))</f>
        <v/>
      </c>
      <c r="L4737" s="19" t="str">
        <f>IF($K4737="","",IF($K4737&gt;MAX($A$8:$A$5007),"",IFERROR(MATCH($K4737,$A$8:$A$5007,1),"")))</f>
        <v/>
      </c>
      <c r="M4737" s="30" t="str">
        <f>IF($L4737="","",INDEX($A$8:$A$5007,$L4737))</f>
        <v/>
      </c>
      <c r="N4737" s="31" t="str">
        <f>IF($L4737="","",INDEX($B$8:$B$5007,$L4737))</f>
        <v/>
      </c>
      <c r="O4737" s="32" t="str">
        <f>IF($M4737="","",IF($K4737-$M4737&gt;7,"",IF($M4737&lt;=$A4737,"",IF(OR($B4737&lt;=0,$N4737&lt;=0),"",($N4737/$B4737)^(365/($M4737-$A4737))-1))))</f>
        <v/>
      </c>
      <c r="P4737" s="31" t="str">
        <f>IF($B4737="","",IF($P4736="",$B4737,MAX($P4736,$B4737)))</f>
        <v/>
      </c>
      <c r="Q4737" s="32" t="str">
        <f>IF($P4737="","",$B4737/$P4737-1)</f>
        <v/>
      </c>
    </row>
    <row r="4738">
      <c r="A4738" s="11" t="n"/>
      <c r="B4738" s="29" t="n"/>
      <c r="K4738" s="30" t="str">
        <f>IF($A4738="","",EDATE($A4738,12*$E$4))</f>
        <v/>
      </c>
      <c r="L4738" s="19" t="str">
        <f>IF($K4738="","",IF($K4738&gt;MAX($A$8:$A$5007),"",IFERROR(MATCH($K4738,$A$8:$A$5007,1),"")))</f>
        <v/>
      </c>
      <c r="M4738" s="30" t="str">
        <f>IF($L4738="","",INDEX($A$8:$A$5007,$L4738))</f>
        <v/>
      </c>
      <c r="N4738" s="31" t="str">
        <f>IF($L4738="","",INDEX($B$8:$B$5007,$L4738))</f>
        <v/>
      </c>
      <c r="O4738" s="32" t="str">
        <f>IF($M4738="","",IF($K4738-$M4738&gt;7,"",IF($M4738&lt;=$A4738,"",IF(OR($B4738&lt;=0,$N4738&lt;=0),"",($N4738/$B4738)^(365/($M4738-$A4738))-1))))</f>
        <v/>
      </c>
      <c r="P4738" s="31" t="str">
        <f>IF($B4738="","",IF($P4737="",$B4738,MAX($P4737,$B4738)))</f>
        <v/>
      </c>
      <c r="Q4738" s="32" t="str">
        <f>IF($P4738="","",$B4738/$P4738-1)</f>
        <v/>
      </c>
    </row>
    <row r="4739">
      <c r="A4739" s="11" t="n"/>
      <c r="B4739" s="29" t="n"/>
      <c r="K4739" s="30" t="str">
        <f>IF($A4739="","",EDATE($A4739,12*$E$4))</f>
        <v/>
      </c>
      <c r="L4739" s="19" t="str">
        <f>IF($K4739="","",IF($K4739&gt;MAX($A$8:$A$5007),"",IFERROR(MATCH($K4739,$A$8:$A$5007,1),"")))</f>
        <v/>
      </c>
      <c r="M4739" s="30" t="str">
        <f>IF($L4739="","",INDEX($A$8:$A$5007,$L4739))</f>
        <v/>
      </c>
      <c r="N4739" s="31" t="str">
        <f>IF($L4739="","",INDEX($B$8:$B$5007,$L4739))</f>
        <v/>
      </c>
      <c r="O4739" s="32" t="str">
        <f>IF($M4739="","",IF($K4739-$M4739&gt;7,"",IF($M4739&lt;=$A4739,"",IF(OR($B4739&lt;=0,$N4739&lt;=0),"",($N4739/$B4739)^(365/($M4739-$A4739))-1))))</f>
        <v/>
      </c>
      <c r="P4739" s="31" t="str">
        <f>IF($B4739="","",IF($P4738="",$B4739,MAX($P4738,$B4739)))</f>
        <v/>
      </c>
      <c r="Q4739" s="32" t="str">
        <f>IF($P4739="","",$B4739/$P4739-1)</f>
        <v/>
      </c>
    </row>
    <row r="4740">
      <c r="A4740" s="11" t="n"/>
      <c r="B4740" s="29" t="n"/>
      <c r="K4740" s="30" t="str">
        <f>IF($A4740="","",EDATE($A4740,12*$E$4))</f>
        <v/>
      </c>
      <c r="L4740" s="19" t="str">
        <f>IF($K4740="","",IF($K4740&gt;MAX($A$8:$A$5007),"",IFERROR(MATCH($K4740,$A$8:$A$5007,1),"")))</f>
        <v/>
      </c>
      <c r="M4740" s="30" t="str">
        <f>IF($L4740="","",INDEX($A$8:$A$5007,$L4740))</f>
        <v/>
      </c>
      <c r="N4740" s="31" t="str">
        <f>IF($L4740="","",INDEX($B$8:$B$5007,$L4740))</f>
        <v/>
      </c>
      <c r="O4740" s="32" t="str">
        <f>IF($M4740="","",IF($K4740-$M4740&gt;7,"",IF($M4740&lt;=$A4740,"",IF(OR($B4740&lt;=0,$N4740&lt;=0),"",($N4740/$B4740)^(365/($M4740-$A4740))-1))))</f>
        <v/>
      </c>
      <c r="P4740" s="31" t="str">
        <f>IF($B4740="","",IF($P4739="",$B4740,MAX($P4739,$B4740)))</f>
        <v/>
      </c>
      <c r="Q4740" s="32" t="str">
        <f>IF($P4740="","",$B4740/$P4740-1)</f>
        <v/>
      </c>
    </row>
    <row r="4741">
      <c r="A4741" s="11" t="n"/>
      <c r="B4741" s="29" t="n"/>
      <c r="K4741" s="30" t="str">
        <f>IF($A4741="","",EDATE($A4741,12*$E$4))</f>
        <v/>
      </c>
      <c r="L4741" s="19" t="str">
        <f>IF($K4741="","",IF($K4741&gt;MAX($A$8:$A$5007),"",IFERROR(MATCH($K4741,$A$8:$A$5007,1),"")))</f>
        <v/>
      </c>
      <c r="M4741" s="30" t="str">
        <f>IF($L4741="","",INDEX($A$8:$A$5007,$L4741))</f>
        <v/>
      </c>
      <c r="N4741" s="31" t="str">
        <f>IF($L4741="","",INDEX($B$8:$B$5007,$L4741))</f>
        <v/>
      </c>
      <c r="O4741" s="32" t="str">
        <f>IF($M4741="","",IF($K4741-$M4741&gt;7,"",IF($M4741&lt;=$A4741,"",IF(OR($B4741&lt;=0,$N4741&lt;=0),"",($N4741/$B4741)^(365/($M4741-$A4741))-1))))</f>
        <v/>
      </c>
      <c r="P4741" s="31" t="str">
        <f>IF($B4741="","",IF($P4740="",$B4741,MAX($P4740,$B4741)))</f>
        <v/>
      </c>
      <c r="Q4741" s="32" t="str">
        <f>IF($P4741="","",$B4741/$P4741-1)</f>
        <v/>
      </c>
    </row>
    <row r="4742">
      <c r="A4742" s="11" t="n"/>
      <c r="B4742" s="29" t="n"/>
      <c r="K4742" s="30" t="str">
        <f>IF($A4742="","",EDATE($A4742,12*$E$4))</f>
        <v/>
      </c>
      <c r="L4742" s="19" t="str">
        <f>IF($K4742="","",IF($K4742&gt;MAX($A$8:$A$5007),"",IFERROR(MATCH($K4742,$A$8:$A$5007,1),"")))</f>
        <v/>
      </c>
      <c r="M4742" s="30" t="str">
        <f>IF($L4742="","",INDEX($A$8:$A$5007,$L4742))</f>
        <v/>
      </c>
      <c r="N4742" s="31" t="str">
        <f>IF($L4742="","",INDEX($B$8:$B$5007,$L4742))</f>
        <v/>
      </c>
      <c r="O4742" s="32" t="str">
        <f>IF($M4742="","",IF($K4742-$M4742&gt;7,"",IF($M4742&lt;=$A4742,"",IF(OR($B4742&lt;=0,$N4742&lt;=0),"",($N4742/$B4742)^(365/($M4742-$A4742))-1))))</f>
        <v/>
      </c>
      <c r="P4742" s="31" t="str">
        <f>IF($B4742="","",IF($P4741="",$B4742,MAX($P4741,$B4742)))</f>
        <v/>
      </c>
      <c r="Q4742" s="32" t="str">
        <f>IF($P4742="","",$B4742/$P4742-1)</f>
        <v/>
      </c>
    </row>
    <row r="4743">
      <c r="A4743" s="11" t="n"/>
      <c r="B4743" s="29" t="n"/>
      <c r="K4743" s="30" t="str">
        <f>IF($A4743="","",EDATE($A4743,12*$E$4))</f>
        <v/>
      </c>
      <c r="L4743" s="19" t="str">
        <f>IF($K4743="","",IF($K4743&gt;MAX($A$8:$A$5007),"",IFERROR(MATCH($K4743,$A$8:$A$5007,1),"")))</f>
        <v/>
      </c>
      <c r="M4743" s="30" t="str">
        <f>IF($L4743="","",INDEX($A$8:$A$5007,$L4743))</f>
        <v/>
      </c>
      <c r="N4743" s="31" t="str">
        <f>IF($L4743="","",INDEX($B$8:$B$5007,$L4743))</f>
        <v/>
      </c>
      <c r="O4743" s="32" t="str">
        <f>IF($M4743="","",IF($K4743-$M4743&gt;7,"",IF($M4743&lt;=$A4743,"",IF(OR($B4743&lt;=0,$N4743&lt;=0),"",($N4743/$B4743)^(365/($M4743-$A4743))-1))))</f>
        <v/>
      </c>
      <c r="P4743" s="31" t="str">
        <f>IF($B4743="","",IF($P4742="",$B4743,MAX($P4742,$B4743)))</f>
        <v/>
      </c>
      <c r="Q4743" s="32" t="str">
        <f>IF($P4743="","",$B4743/$P4743-1)</f>
        <v/>
      </c>
    </row>
    <row r="4744">
      <c r="A4744" s="11" t="n"/>
      <c r="B4744" s="29" t="n"/>
      <c r="K4744" s="30" t="str">
        <f>IF($A4744="","",EDATE($A4744,12*$E$4))</f>
        <v/>
      </c>
      <c r="L4744" s="19" t="str">
        <f>IF($K4744="","",IF($K4744&gt;MAX($A$8:$A$5007),"",IFERROR(MATCH($K4744,$A$8:$A$5007,1),"")))</f>
        <v/>
      </c>
      <c r="M4744" s="30" t="str">
        <f>IF($L4744="","",INDEX($A$8:$A$5007,$L4744))</f>
        <v/>
      </c>
      <c r="N4744" s="31" t="str">
        <f>IF($L4744="","",INDEX($B$8:$B$5007,$L4744))</f>
        <v/>
      </c>
      <c r="O4744" s="32" t="str">
        <f>IF($M4744="","",IF($K4744-$M4744&gt;7,"",IF($M4744&lt;=$A4744,"",IF(OR($B4744&lt;=0,$N4744&lt;=0),"",($N4744/$B4744)^(365/($M4744-$A4744))-1))))</f>
        <v/>
      </c>
      <c r="P4744" s="31" t="str">
        <f>IF($B4744="","",IF($P4743="",$B4744,MAX($P4743,$B4744)))</f>
        <v/>
      </c>
      <c r="Q4744" s="32" t="str">
        <f>IF($P4744="","",$B4744/$P4744-1)</f>
        <v/>
      </c>
    </row>
    <row r="4745">
      <c r="A4745" s="11" t="n"/>
      <c r="B4745" s="29" t="n"/>
      <c r="K4745" s="30" t="str">
        <f>IF($A4745="","",EDATE($A4745,12*$E$4))</f>
        <v/>
      </c>
      <c r="L4745" s="19" t="str">
        <f>IF($K4745="","",IF($K4745&gt;MAX($A$8:$A$5007),"",IFERROR(MATCH($K4745,$A$8:$A$5007,1),"")))</f>
        <v/>
      </c>
      <c r="M4745" s="30" t="str">
        <f>IF($L4745="","",INDEX($A$8:$A$5007,$L4745))</f>
        <v/>
      </c>
      <c r="N4745" s="31" t="str">
        <f>IF($L4745="","",INDEX($B$8:$B$5007,$L4745))</f>
        <v/>
      </c>
      <c r="O4745" s="32" t="str">
        <f>IF($M4745="","",IF($K4745-$M4745&gt;7,"",IF($M4745&lt;=$A4745,"",IF(OR($B4745&lt;=0,$N4745&lt;=0),"",($N4745/$B4745)^(365/($M4745-$A4745))-1))))</f>
        <v/>
      </c>
      <c r="P4745" s="31" t="str">
        <f>IF($B4745="","",IF($P4744="",$B4745,MAX($P4744,$B4745)))</f>
        <v/>
      </c>
      <c r="Q4745" s="32" t="str">
        <f>IF($P4745="","",$B4745/$P4745-1)</f>
        <v/>
      </c>
    </row>
    <row r="4746">
      <c r="A4746" s="11" t="n"/>
      <c r="B4746" s="29" t="n"/>
      <c r="K4746" s="30" t="str">
        <f>IF($A4746="","",EDATE($A4746,12*$E$4))</f>
        <v/>
      </c>
      <c r="L4746" s="19" t="str">
        <f>IF($K4746="","",IF($K4746&gt;MAX($A$8:$A$5007),"",IFERROR(MATCH($K4746,$A$8:$A$5007,1),"")))</f>
        <v/>
      </c>
      <c r="M4746" s="30" t="str">
        <f>IF($L4746="","",INDEX($A$8:$A$5007,$L4746))</f>
        <v/>
      </c>
      <c r="N4746" s="31" t="str">
        <f>IF($L4746="","",INDEX($B$8:$B$5007,$L4746))</f>
        <v/>
      </c>
      <c r="O4746" s="32" t="str">
        <f>IF($M4746="","",IF($K4746-$M4746&gt;7,"",IF($M4746&lt;=$A4746,"",IF(OR($B4746&lt;=0,$N4746&lt;=0),"",($N4746/$B4746)^(365/($M4746-$A4746))-1))))</f>
        <v/>
      </c>
      <c r="P4746" s="31" t="str">
        <f>IF($B4746="","",IF($P4745="",$B4746,MAX($P4745,$B4746)))</f>
        <v/>
      </c>
      <c r="Q4746" s="32" t="str">
        <f>IF($P4746="","",$B4746/$P4746-1)</f>
        <v/>
      </c>
    </row>
    <row r="4747">
      <c r="A4747" s="11" t="n"/>
      <c r="B4747" s="29" t="n"/>
      <c r="K4747" s="30" t="str">
        <f>IF($A4747="","",EDATE($A4747,12*$E$4))</f>
        <v/>
      </c>
      <c r="L4747" s="19" t="str">
        <f>IF($K4747="","",IF($K4747&gt;MAX($A$8:$A$5007),"",IFERROR(MATCH($K4747,$A$8:$A$5007,1),"")))</f>
        <v/>
      </c>
      <c r="M4747" s="30" t="str">
        <f>IF($L4747="","",INDEX($A$8:$A$5007,$L4747))</f>
        <v/>
      </c>
      <c r="N4747" s="31" t="str">
        <f>IF($L4747="","",INDEX($B$8:$B$5007,$L4747))</f>
        <v/>
      </c>
      <c r="O4747" s="32" t="str">
        <f>IF($M4747="","",IF($K4747-$M4747&gt;7,"",IF($M4747&lt;=$A4747,"",IF(OR($B4747&lt;=0,$N4747&lt;=0),"",($N4747/$B4747)^(365/($M4747-$A4747))-1))))</f>
        <v/>
      </c>
      <c r="P4747" s="31" t="str">
        <f>IF($B4747="","",IF($P4746="",$B4747,MAX($P4746,$B4747)))</f>
        <v/>
      </c>
      <c r="Q4747" s="32" t="str">
        <f>IF($P4747="","",$B4747/$P4747-1)</f>
        <v/>
      </c>
    </row>
    <row r="4748">
      <c r="A4748" s="11" t="n"/>
      <c r="B4748" s="29" t="n"/>
      <c r="K4748" s="30" t="str">
        <f>IF($A4748="","",EDATE($A4748,12*$E$4))</f>
        <v/>
      </c>
      <c r="L4748" s="19" t="str">
        <f>IF($K4748="","",IF($K4748&gt;MAX($A$8:$A$5007),"",IFERROR(MATCH($K4748,$A$8:$A$5007,1),"")))</f>
        <v/>
      </c>
      <c r="M4748" s="30" t="str">
        <f>IF($L4748="","",INDEX($A$8:$A$5007,$L4748))</f>
        <v/>
      </c>
      <c r="N4748" s="31" t="str">
        <f>IF($L4748="","",INDEX($B$8:$B$5007,$L4748))</f>
        <v/>
      </c>
      <c r="O4748" s="32" t="str">
        <f>IF($M4748="","",IF($K4748-$M4748&gt;7,"",IF($M4748&lt;=$A4748,"",IF(OR($B4748&lt;=0,$N4748&lt;=0),"",($N4748/$B4748)^(365/($M4748-$A4748))-1))))</f>
        <v/>
      </c>
      <c r="P4748" s="31" t="str">
        <f>IF($B4748="","",IF($P4747="",$B4748,MAX($P4747,$B4748)))</f>
        <v/>
      </c>
      <c r="Q4748" s="32" t="str">
        <f>IF($P4748="","",$B4748/$P4748-1)</f>
        <v/>
      </c>
    </row>
    <row r="4749">
      <c r="A4749" s="11" t="n"/>
      <c r="B4749" s="29" t="n"/>
      <c r="K4749" s="30" t="str">
        <f>IF($A4749="","",EDATE($A4749,12*$E$4))</f>
        <v/>
      </c>
      <c r="L4749" s="19" t="str">
        <f>IF($K4749="","",IF($K4749&gt;MAX($A$8:$A$5007),"",IFERROR(MATCH($K4749,$A$8:$A$5007,1),"")))</f>
        <v/>
      </c>
      <c r="M4749" s="30" t="str">
        <f>IF($L4749="","",INDEX($A$8:$A$5007,$L4749))</f>
        <v/>
      </c>
      <c r="N4749" s="31" t="str">
        <f>IF($L4749="","",INDEX($B$8:$B$5007,$L4749))</f>
        <v/>
      </c>
      <c r="O4749" s="32" t="str">
        <f>IF($M4749="","",IF($K4749-$M4749&gt;7,"",IF($M4749&lt;=$A4749,"",IF(OR($B4749&lt;=0,$N4749&lt;=0),"",($N4749/$B4749)^(365/($M4749-$A4749))-1))))</f>
        <v/>
      </c>
      <c r="P4749" s="31" t="str">
        <f>IF($B4749="","",IF($P4748="",$B4749,MAX($P4748,$B4749)))</f>
        <v/>
      </c>
      <c r="Q4749" s="32" t="str">
        <f>IF($P4749="","",$B4749/$P4749-1)</f>
        <v/>
      </c>
    </row>
    <row r="4750">
      <c r="A4750" s="11" t="n"/>
      <c r="B4750" s="29" t="n"/>
      <c r="K4750" s="30" t="str">
        <f>IF($A4750="","",EDATE($A4750,12*$E$4))</f>
        <v/>
      </c>
      <c r="L4750" s="19" t="str">
        <f>IF($K4750="","",IF($K4750&gt;MAX($A$8:$A$5007),"",IFERROR(MATCH($K4750,$A$8:$A$5007,1),"")))</f>
        <v/>
      </c>
      <c r="M4750" s="30" t="str">
        <f>IF($L4750="","",INDEX($A$8:$A$5007,$L4750))</f>
        <v/>
      </c>
      <c r="N4750" s="31" t="str">
        <f>IF($L4750="","",INDEX($B$8:$B$5007,$L4750))</f>
        <v/>
      </c>
      <c r="O4750" s="32" t="str">
        <f>IF($M4750="","",IF($K4750-$M4750&gt;7,"",IF($M4750&lt;=$A4750,"",IF(OR($B4750&lt;=0,$N4750&lt;=0),"",($N4750/$B4750)^(365/($M4750-$A4750))-1))))</f>
        <v/>
      </c>
      <c r="P4750" s="31" t="str">
        <f>IF($B4750="","",IF($P4749="",$B4750,MAX($P4749,$B4750)))</f>
        <v/>
      </c>
      <c r="Q4750" s="32" t="str">
        <f>IF($P4750="","",$B4750/$P4750-1)</f>
        <v/>
      </c>
    </row>
    <row r="4751">
      <c r="A4751" s="11" t="n"/>
      <c r="B4751" s="29" t="n"/>
      <c r="K4751" s="30" t="str">
        <f>IF($A4751="","",EDATE($A4751,12*$E$4))</f>
        <v/>
      </c>
      <c r="L4751" s="19" t="str">
        <f>IF($K4751="","",IF($K4751&gt;MAX($A$8:$A$5007),"",IFERROR(MATCH($K4751,$A$8:$A$5007,1),"")))</f>
        <v/>
      </c>
      <c r="M4751" s="30" t="str">
        <f>IF($L4751="","",INDEX($A$8:$A$5007,$L4751))</f>
        <v/>
      </c>
      <c r="N4751" s="31" t="str">
        <f>IF($L4751="","",INDEX($B$8:$B$5007,$L4751))</f>
        <v/>
      </c>
      <c r="O4751" s="32" t="str">
        <f>IF($M4751="","",IF($K4751-$M4751&gt;7,"",IF($M4751&lt;=$A4751,"",IF(OR($B4751&lt;=0,$N4751&lt;=0),"",($N4751/$B4751)^(365/($M4751-$A4751))-1))))</f>
        <v/>
      </c>
      <c r="P4751" s="31" t="str">
        <f>IF($B4751="","",IF($P4750="",$B4751,MAX($P4750,$B4751)))</f>
        <v/>
      </c>
      <c r="Q4751" s="32" t="str">
        <f>IF($P4751="","",$B4751/$P4751-1)</f>
        <v/>
      </c>
    </row>
    <row r="4752">
      <c r="A4752" s="11" t="n"/>
      <c r="B4752" s="29" t="n"/>
      <c r="K4752" s="30" t="str">
        <f>IF($A4752="","",EDATE($A4752,12*$E$4))</f>
        <v/>
      </c>
      <c r="L4752" s="19" t="str">
        <f>IF($K4752="","",IF($K4752&gt;MAX($A$8:$A$5007),"",IFERROR(MATCH($K4752,$A$8:$A$5007,1),"")))</f>
        <v/>
      </c>
      <c r="M4752" s="30" t="str">
        <f>IF($L4752="","",INDEX($A$8:$A$5007,$L4752))</f>
        <v/>
      </c>
      <c r="N4752" s="31" t="str">
        <f>IF($L4752="","",INDEX($B$8:$B$5007,$L4752))</f>
        <v/>
      </c>
      <c r="O4752" s="32" t="str">
        <f>IF($M4752="","",IF($K4752-$M4752&gt;7,"",IF($M4752&lt;=$A4752,"",IF(OR($B4752&lt;=0,$N4752&lt;=0),"",($N4752/$B4752)^(365/($M4752-$A4752))-1))))</f>
        <v/>
      </c>
      <c r="P4752" s="31" t="str">
        <f>IF($B4752="","",IF($P4751="",$B4752,MAX($P4751,$B4752)))</f>
        <v/>
      </c>
      <c r="Q4752" s="32" t="str">
        <f>IF($P4752="","",$B4752/$P4752-1)</f>
        <v/>
      </c>
    </row>
    <row r="4753">
      <c r="A4753" s="11" t="n"/>
      <c r="B4753" s="29" t="n"/>
      <c r="K4753" s="30" t="str">
        <f>IF($A4753="","",EDATE($A4753,12*$E$4))</f>
        <v/>
      </c>
      <c r="L4753" s="19" t="str">
        <f>IF($K4753="","",IF($K4753&gt;MAX($A$8:$A$5007),"",IFERROR(MATCH($K4753,$A$8:$A$5007,1),"")))</f>
        <v/>
      </c>
      <c r="M4753" s="30" t="str">
        <f>IF($L4753="","",INDEX($A$8:$A$5007,$L4753))</f>
        <v/>
      </c>
      <c r="N4753" s="31" t="str">
        <f>IF($L4753="","",INDEX($B$8:$B$5007,$L4753))</f>
        <v/>
      </c>
      <c r="O4753" s="32" t="str">
        <f>IF($M4753="","",IF($K4753-$M4753&gt;7,"",IF($M4753&lt;=$A4753,"",IF(OR($B4753&lt;=0,$N4753&lt;=0),"",($N4753/$B4753)^(365/($M4753-$A4753))-1))))</f>
        <v/>
      </c>
      <c r="P4753" s="31" t="str">
        <f>IF($B4753="","",IF($P4752="",$B4753,MAX($P4752,$B4753)))</f>
        <v/>
      </c>
      <c r="Q4753" s="32" t="str">
        <f>IF($P4753="","",$B4753/$P4753-1)</f>
        <v/>
      </c>
    </row>
    <row r="4754">
      <c r="A4754" s="11" t="n"/>
      <c r="B4754" s="29" t="n"/>
      <c r="K4754" s="30" t="str">
        <f>IF($A4754="","",EDATE($A4754,12*$E$4))</f>
        <v/>
      </c>
      <c r="L4754" s="19" t="str">
        <f>IF($K4754="","",IF($K4754&gt;MAX($A$8:$A$5007),"",IFERROR(MATCH($K4754,$A$8:$A$5007,1),"")))</f>
        <v/>
      </c>
      <c r="M4754" s="30" t="str">
        <f>IF($L4754="","",INDEX($A$8:$A$5007,$L4754))</f>
        <v/>
      </c>
      <c r="N4754" s="31" t="str">
        <f>IF($L4754="","",INDEX($B$8:$B$5007,$L4754))</f>
        <v/>
      </c>
      <c r="O4754" s="32" t="str">
        <f>IF($M4754="","",IF($K4754-$M4754&gt;7,"",IF($M4754&lt;=$A4754,"",IF(OR($B4754&lt;=0,$N4754&lt;=0),"",($N4754/$B4754)^(365/($M4754-$A4754))-1))))</f>
        <v/>
      </c>
      <c r="P4754" s="31" t="str">
        <f>IF($B4754="","",IF($P4753="",$B4754,MAX($P4753,$B4754)))</f>
        <v/>
      </c>
      <c r="Q4754" s="32" t="str">
        <f>IF($P4754="","",$B4754/$P4754-1)</f>
        <v/>
      </c>
    </row>
    <row r="4755">
      <c r="A4755" s="11" t="n"/>
      <c r="B4755" s="29" t="n"/>
      <c r="K4755" s="30" t="str">
        <f>IF($A4755="","",EDATE($A4755,12*$E$4))</f>
        <v/>
      </c>
      <c r="L4755" s="19" t="str">
        <f>IF($K4755="","",IF($K4755&gt;MAX($A$8:$A$5007),"",IFERROR(MATCH($K4755,$A$8:$A$5007,1),"")))</f>
        <v/>
      </c>
      <c r="M4755" s="30" t="str">
        <f>IF($L4755="","",INDEX($A$8:$A$5007,$L4755))</f>
        <v/>
      </c>
      <c r="N4755" s="31" t="str">
        <f>IF($L4755="","",INDEX($B$8:$B$5007,$L4755))</f>
        <v/>
      </c>
      <c r="O4755" s="32" t="str">
        <f>IF($M4755="","",IF($K4755-$M4755&gt;7,"",IF($M4755&lt;=$A4755,"",IF(OR($B4755&lt;=0,$N4755&lt;=0),"",($N4755/$B4755)^(365/($M4755-$A4755))-1))))</f>
        <v/>
      </c>
      <c r="P4755" s="31" t="str">
        <f>IF($B4755="","",IF($P4754="",$B4755,MAX($P4754,$B4755)))</f>
        <v/>
      </c>
      <c r="Q4755" s="32" t="str">
        <f>IF($P4755="","",$B4755/$P4755-1)</f>
        <v/>
      </c>
    </row>
    <row r="4756">
      <c r="A4756" s="11" t="n"/>
      <c r="B4756" s="29" t="n"/>
      <c r="K4756" s="30" t="str">
        <f>IF($A4756="","",EDATE($A4756,12*$E$4))</f>
        <v/>
      </c>
      <c r="L4756" s="19" t="str">
        <f>IF($K4756="","",IF($K4756&gt;MAX($A$8:$A$5007),"",IFERROR(MATCH($K4756,$A$8:$A$5007,1),"")))</f>
        <v/>
      </c>
      <c r="M4756" s="30" t="str">
        <f>IF($L4756="","",INDEX($A$8:$A$5007,$L4756))</f>
        <v/>
      </c>
      <c r="N4756" s="31" t="str">
        <f>IF($L4756="","",INDEX($B$8:$B$5007,$L4756))</f>
        <v/>
      </c>
      <c r="O4756" s="32" t="str">
        <f>IF($M4756="","",IF($K4756-$M4756&gt;7,"",IF($M4756&lt;=$A4756,"",IF(OR($B4756&lt;=0,$N4756&lt;=0),"",($N4756/$B4756)^(365/($M4756-$A4756))-1))))</f>
        <v/>
      </c>
      <c r="P4756" s="31" t="str">
        <f>IF($B4756="","",IF($P4755="",$B4756,MAX($P4755,$B4756)))</f>
        <v/>
      </c>
      <c r="Q4756" s="32" t="str">
        <f>IF($P4756="","",$B4756/$P4756-1)</f>
        <v/>
      </c>
    </row>
    <row r="4757">
      <c r="A4757" s="11" t="n"/>
      <c r="B4757" s="29" t="n"/>
      <c r="K4757" s="30" t="str">
        <f>IF($A4757="","",EDATE($A4757,12*$E$4))</f>
        <v/>
      </c>
      <c r="L4757" s="19" t="str">
        <f>IF($K4757="","",IF($K4757&gt;MAX($A$8:$A$5007),"",IFERROR(MATCH($K4757,$A$8:$A$5007,1),"")))</f>
        <v/>
      </c>
      <c r="M4757" s="30" t="str">
        <f>IF($L4757="","",INDEX($A$8:$A$5007,$L4757))</f>
        <v/>
      </c>
      <c r="N4757" s="31" t="str">
        <f>IF($L4757="","",INDEX($B$8:$B$5007,$L4757))</f>
        <v/>
      </c>
      <c r="O4757" s="32" t="str">
        <f>IF($M4757="","",IF($K4757-$M4757&gt;7,"",IF($M4757&lt;=$A4757,"",IF(OR($B4757&lt;=0,$N4757&lt;=0),"",($N4757/$B4757)^(365/($M4757-$A4757))-1))))</f>
        <v/>
      </c>
      <c r="P4757" s="31" t="str">
        <f>IF($B4757="","",IF($P4756="",$B4757,MAX($P4756,$B4757)))</f>
        <v/>
      </c>
      <c r="Q4757" s="32" t="str">
        <f>IF($P4757="","",$B4757/$P4757-1)</f>
        <v/>
      </c>
    </row>
    <row r="4758">
      <c r="A4758" s="11" t="n"/>
      <c r="B4758" s="29" t="n"/>
      <c r="K4758" s="30" t="str">
        <f>IF($A4758="","",EDATE($A4758,12*$E$4))</f>
        <v/>
      </c>
      <c r="L4758" s="19" t="str">
        <f>IF($K4758="","",IF($K4758&gt;MAX($A$8:$A$5007),"",IFERROR(MATCH($K4758,$A$8:$A$5007,1),"")))</f>
        <v/>
      </c>
      <c r="M4758" s="30" t="str">
        <f>IF($L4758="","",INDEX($A$8:$A$5007,$L4758))</f>
        <v/>
      </c>
      <c r="N4758" s="31" t="str">
        <f>IF($L4758="","",INDEX($B$8:$B$5007,$L4758))</f>
        <v/>
      </c>
      <c r="O4758" s="32" t="str">
        <f>IF($M4758="","",IF($K4758-$M4758&gt;7,"",IF($M4758&lt;=$A4758,"",IF(OR($B4758&lt;=0,$N4758&lt;=0),"",($N4758/$B4758)^(365/($M4758-$A4758))-1))))</f>
        <v/>
      </c>
      <c r="P4758" s="31" t="str">
        <f>IF($B4758="","",IF($P4757="",$B4758,MAX($P4757,$B4758)))</f>
        <v/>
      </c>
      <c r="Q4758" s="32" t="str">
        <f>IF($P4758="","",$B4758/$P4758-1)</f>
        <v/>
      </c>
    </row>
    <row r="4759">
      <c r="A4759" s="11" t="n"/>
      <c r="B4759" s="29" t="n"/>
      <c r="K4759" s="30" t="str">
        <f>IF($A4759="","",EDATE($A4759,12*$E$4))</f>
        <v/>
      </c>
      <c r="L4759" s="19" t="str">
        <f>IF($K4759="","",IF($K4759&gt;MAX($A$8:$A$5007),"",IFERROR(MATCH($K4759,$A$8:$A$5007,1),"")))</f>
        <v/>
      </c>
      <c r="M4759" s="30" t="str">
        <f>IF($L4759="","",INDEX($A$8:$A$5007,$L4759))</f>
        <v/>
      </c>
      <c r="N4759" s="31" t="str">
        <f>IF($L4759="","",INDEX($B$8:$B$5007,$L4759))</f>
        <v/>
      </c>
      <c r="O4759" s="32" t="str">
        <f>IF($M4759="","",IF($K4759-$M4759&gt;7,"",IF($M4759&lt;=$A4759,"",IF(OR($B4759&lt;=0,$N4759&lt;=0),"",($N4759/$B4759)^(365/($M4759-$A4759))-1))))</f>
        <v/>
      </c>
      <c r="P4759" s="31" t="str">
        <f>IF($B4759="","",IF($P4758="",$B4759,MAX($P4758,$B4759)))</f>
        <v/>
      </c>
      <c r="Q4759" s="32" t="str">
        <f>IF($P4759="","",$B4759/$P4759-1)</f>
        <v/>
      </c>
    </row>
    <row r="4760">
      <c r="A4760" s="11" t="n"/>
      <c r="B4760" s="29" t="n"/>
      <c r="K4760" s="30" t="str">
        <f>IF($A4760="","",EDATE($A4760,12*$E$4))</f>
        <v/>
      </c>
      <c r="L4760" s="19" t="str">
        <f>IF($K4760="","",IF($K4760&gt;MAX($A$8:$A$5007),"",IFERROR(MATCH($K4760,$A$8:$A$5007,1),"")))</f>
        <v/>
      </c>
      <c r="M4760" s="30" t="str">
        <f>IF($L4760="","",INDEX($A$8:$A$5007,$L4760))</f>
        <v/>
      </c>
      <c r="N4760" s="31" t="str">
        <f>IF($L4760="","",INDEX($B$8:$B$5007,$L4760))</f>
        <v/>
      </c>
      <c r="O4760" s="32" t="str">
        <f>IF($M4760="","",IF($K4760-$M4760&gt;7,"",IF($M4760&lt;=$A4760,"",IF(OR($B4760&lt;=0,$N4760&lt;=0),"",($N4760/$B4760)^(365/($M4760-$A4760))-1))))</f>
        <v/>
      </c>
      <c r="P4760" s="31" t="str">
        <f>IF($B4760="","",IF($P4759="",$B4760,MAX($P4759,$B4760)))</f>
        <v/>
      </c>
      <c r="Q4760" s="32" t="str">
        <f>IF($P4760="","",$B4760/$P4760-1)</f>
        <v/>
      </c>
    </row>
    <row r="4761">
      <c r="A4761" s="11" t="n"/>
      <c r="B4761" s="29" t="n"/>
      <c r="K4761" s="30" t="str">
        <f>IF($A4761="","",EDATE($A4761,12*$E$4))</f>
        <v/>
      </c>
      <c r="L4761" s="19" t="str">
        <f>IF($K4761="","",IF($K4761&gt;MAX($A$8:$A$5007),"",IFERROR(MATCH($K4761,$A$8:$A$5007,1),"")))</f>
        <v/>
      </c>
      <c r="M4761" s="30" t="str">
        <f>IF($L4761="","",INDEX($A$8:$A$5007,$L4761))</f>
        <v/>
      </c>
      <c r="N4761" s="31" t="str">
        <f>IF($L4761="","",INDEX($B$8:$B$5007,$L4761))</f>
        <v/>
      </c>
      <c r="O4761" s="32" t="str">
        <f>IF($M4761="","",IF($K4761-$M4761&gt;7,"",IF($M4761&lt;=$A4761,"",IF(OR($B4761&lt;=0,$N4761&lt;=0),"",($N4761/$B4761)^(365/($M4761-$A4761))-1))))</f>
        <v/>
      </c>
      <c r="P4761" s="31" t="str">
        <f>IF($B4761="","",IF($P4760="",$B4761,MAX($P4760,$B4761)))</f>
        <v/>
      </c>
      <c r="Q4761" s="32" t="str">
        <f>IF($P4761="","",$B4761/$P4761-1)</f>
        <v/>
      </c>
    </row>
    <row r="4762">
      <c r="A4762" s="11" t="n"/>
      <c r="B4762" s="29" t="n"/>
      <c r="K4762" s="30" t="str">
        <f>IF($A4762="","",EDATE($A4762,12*$E$4))</f>
        <v/>
      </c>
      <c r="L4762" s="19" t="str">
        <f>IF($K4762="","",IF($K4762&gt;MAX($A$8:$A$5007),"",IFERROR(MATCH($K4762,$A$8:$A$5007,1),"")))</f>
        <v/>
      </c>
      <c r="M4762" s="30" t="str">
        <f>IF($L4762="","",INDEX($A$8:$A$5007,$L4762))</f>
        <v/>
      </c>
      <c r="N4762" s="31" t="str">
        <f>IF($L4762="","",INDEX($B$8:$B$5007,$L4762))</f>
        <v/>
      </c>
      <c r="O4762" s="32" t="str">
        <f>IF($M4762="","",IF($K4762-$M4762&gt;7,"",IF($M4762&lt;=$A4762,"",IF(OR($B4762&lt;=0,$N4762&lt;=0),"",($N4762/$B4762)^(365/($M4762-$A4762))-1))))</f>
        <v/>
      </c>
      <c r="P4762" s="31" t="str">
        <f>IF($B4762="","",IF($P4761="",$B4762,MAX($P4761,$B4762)))</f>
        <v/>
      </c>
      <c r="Q4762" s="32" t="str">
        <f>IF($P4762="","",$B4762/$P4762-1)</f>
        <v/>
      </c>
    </row>
    <row r="4763">
      <c r="A4763" s="11" t="n"/>
      <c r="B4763" s="29" t="n"/>
      <c r="K4763" s="30" t="str">
        <f>IF($A4763="","",EDATE($A4763,12*$E$4))</f>
        <v/>
      </c>
      <c r="L4763" s="19" t="str">
        <f>IF($K4763="","",IF($K4763&gt;MAX($A$8:$A$5007),"",IFERROR(MATCH($K4763,$A$8:$A$5007,1),"")))</f>
        <v/>
      </c>
      <c r="M4763" s="30" t="str">
        <f>IF($L4763="","",INDEX($A$8:$A$5007,$L4763))</f>
        <v/>
      </c>
      <c r="N4763" s="31" t="str">
        <f>IF($L4763="","",INDEX($B$8:$B$5007,$L4763))</f>
        <v/>
      </c>
      <c r="O4763" s="32" t="str">
        <f>IF($M4763="","",IF($K4763-$M4763&gt;7,"",IF($M4763&lt;=$A4763,"",IF(OR($B4763&lt;=0,$N4763&lt;=0),"",($N4763/$B4763)^(365/($M4763-$A4763))-1))))</f>
        <v/>
      </c>
      <c r="P4763" s="31" t="str">
        <f>IF($B4763="","",IF($P4762="",$B4763,MAX($P4762,$B4763)))</f>
        <v/>
      </c>
      <c r="Q4763" s="32" t="str">
        <f>IF($P4763="","",$B4763/$P4763-1)</f>
        <v/>
      </c>
    </row>
    <row r="4764">
      <c r="A4764" s="11" t="n"/>
      <c r="B4764" s="29" t="n"/>
      <c r="K4764" s="30" t="str">
        <f>IF($A4764="","",EDATE($A4764,12*$E$4))</f>
        <v/>
      </c>
      <c r="L4764" s="19" t="str">
        <f>IF($K4764="","",IF($K4764&gt;MAX($A$8:$A$5007),"",IFERROR(MATCH($K4764,$A$8:$A$5007,1),"")))</f>
        <v/>
      </c>
      <c r="M4764" s="30" t="str">
        <f>IF($L4764="","",INDEX($A$8:$A$5007,$L4764))</f>
        <v/>
      </c>
      <c r="N4764" s="31" t="str">
        <f>IF($L4764="","",INDEX($B$8:$B$5007,$L4764))</f>
        <v/>
      </c>
      <c r="O4764" s="32" t="str">
        <f>IF($M4764="","",IF($K4764-$M4764&gt;7,"",IF($M4764&lt;=$A4764,"",IF(OR($B4764&lt;=0,$N4764&lt;=0),"",($N4764/$B4764)^(365/($M4764-$A4764))-1))))</f>
        <v/>
      </c>
      <c r="P4764" s="31" t="str">
        <f>IF($B4764="","",IF($P4763="",$B4764,MAX($P4763,$B4764)))</f>
        <v/>
      </c>
      <c r="Q4764" s="32" t="str">
        <f>IF($P4764="","",$B4764/$P4764-1)</f>
        <v/>
      </c>
    </row>
    <row r="4765">
      <c r="A4765" s="11" t="n"/>
      <c r="B4765" s="29" t="n"/>
      <c r="K4765" s="30" t="str">
        <f>IF($A4765="","",EDATE($A4765,12*$E$4))</f>
        <v/>
      </c>
      <c r="L4765" s="19" t="str">
        <f>IF($K4765="","",IF($K4765&gt;MAX($A$8:$A$5007),"",IFERROR(MATCH($K4765,$A$8:$A$5007,1),"")))</f>
        <v/>
      </c>
      <c r="M4765" s="30" t="str">
        <f>IF($L4765="","",INDEX($A$8:$A$5007,$L4765))</f>
        <v/>
      </c>
      <c r="N4765" s="31" t="str">
        <f>IF($L4765="","",INDEX($B$8:$B$5007,$L4765))</f>
        <v/>
      </c>
      <c r="O4765" s="32" t="str">
        <f>IF($M4765="","",IF($K4765-$M4765&gt;7,"",IF($M4765&lt;=$A4765,"",IF(OR($B4765&lt;=0,$N4765&lt;=0),"",($N4765/$B4765)^(365/($M4765-$A4765))-1))))</f>
        <v/>
      </c>
      <c r="P4765" s="31" t="str">
        <f>IF($B4765="","",IF($P4764="",$B4765,MAX($P4764,$B4765)))</f>
        <v/>
      </c>
      <c r="Q4765" s="32" t="str">
        <f>IF($P4765="","",$B4765/$P4765-1)</f>
        <v/>
      </c>
    </row>
    <row r="4766">
      <c r="A4766" s="11" t="n"/>
      <c r="B4766" s="29" t="n"/>
      <c r="K4766" s="30" t="str">
        <f>IF($A4766="","",EDATE($A4766,12*$E$4))</f>
        <v/>
      </c>
      <c r="L4766" s="19" t="str">
        <f>IF($K4766="","",IF($K4766&gt;MAX($A$8:$A$5007),"",IFERROR(MATCH($K4766,$A$8:$A$5007,1),"")))</f>
        <v/>
      </c>
      <c r="M4766" s="30" t="str">
        <f>IF($L4766="","",INDEX($A$8:$A$5007,$L4766))</f>
        <v/>
      </c>
      <c r="N4766" s="31" t="str">
        <f>IF($L4766="","",INDEX($B$8:$B$5007,$L4766))</f>
        <v/>
      </c>
      <c r="O4766" s="32" t="str">
        <f>IF($M4766="","",IF($K4766-$M4766&gt;7,"",IF($M4766&lt;=$A4766,"",IF(OR($B4766&lt;=0,$N4766&lt;=0),"",($N4766/$B4766)^(365/($M4766-$A4766))-1))))</f>
        <v/>
      </c>
      <c r="P4766" s="31" t="str">
        <f>IF($B4766="","",IF($P4765="",$B4766,MAX($P4765,$B4766)))</f>
        <v/>
      </c>
      <c r="Q4766" s="32" t="str">
        <f>IF($P4766="","",$B4766/$P4766-1)</f>
        <v/>
      </c>
    </row>
    <row r="4767">
      <c r="A4767" s="11" t="n"/>
      <c r="B4767" s="29" t="n"/>
      <c r="K4767" s="30" t="str">
        <f>IF($A4767="","",EDATE($A4767,12*$E$4))</f>
        <v/>
      </c>
      <c r="L4767" s="19" t="str">
        <f>IF($K4767="","",IF($K4767&gt;MAX($A$8:$A$5007),"",IFERROR(MATCH($K4767,$A$8:$A$5007,1),"")))</f>
        <v/>
      </c>
      <c r="M4767" s="30" t="str">
        <f>IF($L4767="","",INDEX($A$8:$A$5007,$L4767))</f>
        <v/>
      </c>
      <c r="N4767" s="31" t="str">
        <f>IF($L4767="","",INDEX($B$8:$B$5007,$L4767))</f>
        <v/>
      </c>
      <c r="O4767" s="32" t="str">
        <f>IF($M4767="","",IF($K4767-$M4767&gt;7,"",IF($M4767&lt;=$A4767,"",IF(OR($B4767&lt;=0,$N4767&lt;=0),"",($N4767/$B4767)^(365/($M4767-$A4767))-1))))</f>
        <v/>
      </c>
      <c r="P4767" s="31" t="str">
        <f>IF($B4767="","",IF($P4766="",$B4767,MAX($P4766,$B4767)))</f>
        <v/>
      </c>
      <c r="Q4767" s="32" t="str">
        <f>IF($P4767="","",$B4767/$P4767-1)</f>
        <v/>
      </c>
    </row>
    <row r="4768">
      <c r="A4768" s="11" t="n"/>
      <c r="B4768" s="29" t="n"/>
      <c r="K4768" s="30" t="str">
        <f>IF($A4768="","",EDATE($A4768,12*$E$4))</f>
        <v/>
      </c>
      <c r="L4768" s="19" t="str">
        <f>IF($K4768="","",IF($K4768&gt;MAX($A$8:$A$5007),"",IFERROR(MATCH($K4768,$A$8:$A$5007,1),"")))</f>
        <v/>
      </c>
      <c r="M4768" s="30" t="str">
        <f>IF($L4768="","",INDEX($A$8:$A$5007,$L4768))</f>
        <v/>
      </c>
      <c r="N4768" s="31" t="str">
        <f>IF($L4768="","",INDEX($B$8:$B$5007,$L4768))</f>
        <v/>
      </c>
      <c r="O4768" s="32" t="str">
        <f>IF($M4768="","",IF($K4768-$M4768&gt;7,"",IF($M4768&lt;=$A4768,"",IF(OR($B4768&lt;=0,$N4768&lt;=0),"",($N4768/$B4768)^(365/($M4768-$A4768))-1))))</f>
        <v/>
      </c>
      <c r="P4768" s="31" t="str">
        <f>IF($B4768="","",IF($P4767="",$B4768,MAX($P4767,$B4768)))</f>
        <v/>
      </c>
      <c r="Q4768" s="32" t="str">
        <f>IF($P4768="","",$B4768/$P4768-1)</f>
        <v/>
      </c>
    </row>
    <row r="4769">
      <c r="A4769" s="11" t="n"/>
      <c r="B4769" s="29" t="n"/>
      <c r="K4769" s="30" t="str">
        <f>IF($A4769="","",EDATE($A4769,12*$E$4))</f>
        <v/>
      </c>
      <c r="L4769" s="19" t="str">
        <f>IF($K4769="","",IF($K4769&gt;MAX($A$8:$A$5007),"",IFERROR(MATCH($K4769,$A$8:$A$5007,1),"")))</f>
        <v/>
      </c>
      <c r="M4769" s="30" t="str">
        <f>IF($L4769="","",INDEX($A$8:$A$5007,$L4769))</f>
        <v/>
      </c>
      <c r="N4769" s="31" t="str">
        <f>IF($L4769="","",INDEX($B$8:$B$5007,$L4769))</f>
        <v/>
      </c>
      <c r="O4769" s="32" t="str">
        <f>IF($M4769="","",IF($K4769-$M4769&gt;7,"",IF($M4769&lt;=$A4769,"",IF(OR($B4769&lt;=0,$N4769&lt;=0),"",($N4769/$B4769)^(365/($M4769-$A4769))-1))))</f>
        <v/>
      </c>
      <c r="P4769" s="31" t="str">
        <f>IF($B4769="","",IF($P4768="",$B4769,MAX($P4768,$B4769)))</f>
        <v/>
      </c>
      <c r="Q4769" s="32" t="str">
        <f>IF($P4769="","",$B4769/$P4769-1)</f>
        <v/>
      </c>
    </row>
    <row r="4770">
      <c r="A4770" s="11" t="n"/>
      <c r="B4770" s="29" t="n"/>
      <c r="K4770" s="30" t="str">
        <f>IF($A4770="","",EDATE($A4770,12*$E$4))</f>
        <v/>
      </c>
      <c r="L4770" s="19" t="str">
        <f>IF($K4770="","",IF($K4770&gt;MAX($A$8:$A$5007),"",IFERROR(MATCH($K4770,$A$8:$A$5007,1),"")))</f>
        <v/>
      </c>
      <c r="M4770" s="30" t="str">
        <f>IF($L4770="","",INDEX($A$8:$A$5007,$L4770))</f>
        <v/>
      </c>
      <c r="N4770" s="31" t="str">
        <f>IF($L4770="","",INDEX($B$8:$B$5007,$L4770))</f>
        <v/>
      </c>
      <c r="O4770" s="32" t="str">
        <f>IF($M4770="","",IF($K4770-$M4770&gt;7,"",IF($M4770&lt;=$A4770,"",IF(OR($B4770&lt;=0,$N4770&lt;=0),"",($N4770/$B4770)^(365/($M4770-$A4770))-1))))</f>
        <v/>
      </c>
      <c r="P4770" s="31" t="str">
        <f>IF($B4770="","",IF($P4769="",$B4770,MAX($P4769,$B4770)))</f>
        <v/>
      </c>
      <c r="Q4770" s="32" t="str">
        <f>IF($P4770="","",$B4770/$P4770-1)</f>
        <v/>
      </c>
    </row>
    <row r="4771">
      <c r="A4771" s="11" t="n"/>
      <c r="B4771" s="29" t="n"/>
      <c r="K4771" s="30" t="str">
        <f>IF($A4771="","",EDATE($A4771,12*$E$4))</f>
        <v/>
      </c>
      <c r="L4771" s="19" t="str">
        <f>IF($K4771="","",IF($K4771&gt;MAX($A$8:$A$5007),"",IFERROR(MATCH($K4771,$A$8:$A$5007,1),"")))</f>
        <v/>
      </c>
      <c r="M4771" s="30" t="str">
        <f>IF($L4771="","",INDEX($A$8:$A$5007,$L4771))</f>
        <v/>
      </c>
      <c r="N4771" s="31" t="str">
        <f>IF($L4771="","",INDEX($B$8:$B$5007,$L4771))</f>
        <v/>
      </c>
      <c r="O4771" s="32" t="str">
        <f>IF($M4771="","",IF($K4771-$M4771&gt;7,"",IF($M4771&lt;=$A4771,"",IF(OR($B4771&lt;=0,$N4771&lt;=0),"",($N4771/$B4771)^(365/($M4771-$A4771))-1))))</f>
        <v/>
      </c>
      <c r="P4771" s="31" t="str">
        <f>IF($B4771="","",IF($P4770="",$B4771,MAX($P4770,$B4771)))</f>
        <v/>
      </c>
      <c r="Q4771" s="32" t="str">
        <f>IF($P4771="","",$B4771/$P4771-1)</f>
        <v/>
      </c>
    </row>
    <row r="4772">
      <c r="A4772" s="11" t="n"/>
      <c r="B4772" s="29" t="n"/>
      <c r="K4772" s="30" t="str">
        <f>IF($A4772="","",EDATE($A4772,12*$E$4))</f>
        <v/>
      </c>
      <c r="L4772" s="19" t="str">
        <f>IF($K4772="","",IF($K4772&gt;MAX($A$8:$A$5007),"",IFERROR(MATCH($K4772,$A$8:$A$5007,1),"")))</f>
        <v/>
      </c>
      <c r="M4772" s="30" t="str">
        <f>IF($L4772="","",INDEX($A$8:$A$5007,$L4772))</f>
        <v/>
      </c>
      <c r="N4772" s="31" t="str">
        <f>IF($L4772="","",INDEX($B$8:$B$5007,$L4772))</f>
        <v/>
      </c>
      <c r="O4772" s="32" t="str">
        <f>IF($M4772="","",IF($K4772-$M4772&gt;7,"",IF($M4772&lt;=$A4772,"",IF(OR($B4772&lt;=0,$N4772&lt;=0),"",($N4772/$B4772)^(365/($M4772-$A4772))-1))))</f>
        <v/>
      </c>
      <c r="P4772" s="31" t="str">
        <f>IF($B4772="","",IF($P4771="",$B4772,MAX($P4771,$B4772)))</f>
        <v/>
      </c>
      <c r="Q4772" s="32" t="str">
        <f>IF($P4772="","",$B4772/$P4772-1)</f>
        <v/>
      </c>
    </row>
    <row r="4773">
      <c r="A4773" s="11" t="n"/>
      <c r="B4773" s="29" t="n"/>
      <c r="K4773" s="30" t="str">
        <f>IF($A4773="","",EDATE($A4773,12*$E$4))</f>
        <v/>
      </c>
      <c r="L4773" s="19" t="str">
        <f>IF($K4773="","",IF($K4773&gt;MAX($A$8:$A$5007),"",IFERROR(MATCH($K4773,$A$8:$A$5007,1),"")))</f>
        <v/>
      </c>
      <c r="M4773" s="30" t="str">
        <f>IF($L4773="","",INDEX($A$8:$A$5007,$L4773))</f>
        <v/>
      </c>
      <c r="N4773" s="31" t="str">
        <f>IF($L4773="","",INDEX($B$8:$B$5007,$L4773))</f>
        <v/>
      </c>
      <c r="O4773" s="32" t="str">
        <f>IF($M4773="","",IF($K4773-$M4773&gt;7,"",IF($M4773&lt;=$A4773,"",IF(OR($B4773&lt;=0,$N4773&lt;=0),"",($N4773/$B4773)^(365/($M4773-$A4773))-1))))</f>
        <v/>
      </c>
      <c r="P4773" s="31" t="str">
        <f>IF($B4773="","",IF($P4772="",$B4773,MAX($P4772,$B4773)))</f>
        <v/>
      </c>
      <c r="Q4773" s="32" t="str">
        <f>IF($P4773="","",$B4773/$P4773-1)</f>
        <v/>
      </c>
    </row>
    <row r="4774">
      <c r="A4774" s="11" t="n"/>
      <c r="B4774" s="29" t="n"/>
      <c r="K4774" s="30" t="str">
        <f>IF($A4774="","",EDATE($A4774,12*$E$4))</f>
        <v/>
      </c>
      <c r="L4774" s="19" t="str">
        <f>IF($K4774="","",IF($K4774&gt;MAX($A$8:$A$5007),"",IFERROR(MATCH($K4774,$A$8:$A$5007,1),"")))</f>
        <v/>
      </c>
      <c r="M4774" s="30" t="str">
        <f>IF($L4774="","",INDEX($A$8:$A$5007,$L4774))</f>
        <v/>
      </c>
      <c r="N4774" s="31" t="str">
        <f>IF($L4774="","",INDEX($B$8:$B$5007,$L4774))</f>
        <v/>
      </c>
      <c r="O4774" s="32" t="str">
        <f>IF($M4774="","",IF($K4774-$M4774&gt;7,"",IF($M4774&lt;=$A4774,"",IF(OR($B4774&lt;=0,$N4774&lt;=0),"",($N4774/$B4774)^(365/($M4774-$A4774))-1))))</f>
        <v/>
      </c>
      <c r="P4774" s="31" t="str">
        <f>IF($B4774="","",IF($P4773="",$B4774,MAX($P4773,$B4774)))</f>
        <v/>
      </c>
      <c r="Q4774" s="32" t="str">
        <f>IF($P4774="","",$B4774/$P4774-1)</f>
        <v/>
      </c>
    </row>
    <row r="4775">
      <c r="A4775" s="11" t="n"/>
      <c r="B4775" s="29" t="n"/>
      <c r="K4775" s="30" t="str">
        <f>IF($A4775="","",EDATE($A4775,12*$E$4))</f>
        <v/>
      </c>
      <c r="L4775" s="19" t="str">
        <f>IF($K4775="","",IF($K4775&gt;MAX($A$8:$A$5007),"",IFERROR(MATCH($K4775,$A$8:$A$5007,1),"")))</f>
        <v/>
      </c>
      <c r="M4775" s="30" t="str">
        <f>IF($L4775="","",INDEX($A$8:$A$5007,$L4775))</f>
        <v/>
      </c>
      <c r="N4775" s="31" t="str">
        <f>IF($L4775="","",INDEX($B$8:$B$5007,$L4775))</f>
        <v/>
      </c>
      <c r="O4775" s="32" t="str">
        <f>IF($M4775="","",IF($K4775-$M4775&gt;7,"",IF($M4775&lt;=$A4775,"",IF(OR($B4775&lt;=0,$N4775&lt;=0),"",($N4775/$B4775)^(365/($M4775-$A4775))-1))))</f>
        <v/>
      </c>
      <c r="P4775" s="31" t="str">
        <f>IF($B4775="","",IF($P4774="",$B4775,MAX($P4774,$B4775)))</f>
        <v/>
      </c>
      <c r="Q4775" s="32" t="str">
        <f>IF($P4775="","",$B4775/$P4775-1)</f>
        <v/>
      </c>
    </row>
    <row r="4776">
      <c r="A4776" s="11" t="n"/>
      <c r="B4776" s="29" t="n"/>
      <c r="K4776" s="30" t="str">
        <f>IF($A4776="","",EDATE($A4776,12*$E$4))</f>
        <v/>
      </c>
      <c r="L4776" s="19" t="str">
        <f>IF($K4776="","",IF($K4776&gt;MAX($A$8:$A$5007),"",IFERROR(MATCH($K4776,$A$8:$A$5007,1),"")))</f>
        <v/>
      </c>
      <c r="M4776" s="30" t="str">
        <f>IF($L4776="","",INDEX($A$8:$A$5007,$L4776))</f>
        <v/>
      </c>
      <c r="N4776" s="31" t="str">
        <f>IF($L4776="","",INDEX($B$8:$B$5007,$L4776))</f>
        <v/>
      </c>
      <c r="O4776" s="32" t="str">
        <f>IF($M4776="","",IF($K4776-$M4776&gt;7,"",IF($M4776&lt;=$A4776,"",IF(OR($B4776&lt;=0,$N4776&lt;=0),"",($N4776/$B4776)^(365/($M4776-$A4776))-1))))</f>
        <v/>
      </c>
      <c r="P4776" s="31" t="str">
        <f>IF($B4776="","",IF($P4775="",$B4776,MAX($P4775,$B4776)))</f>
        <v/>
      </c>
      <c r="Q4776" s="32" t="str">
        <f>IF($P4776="","",$B4776/$P4776-1)</f>
        <v/>
      </c>
    </row>
    <row r="4777">
      <c r="A4777" s="11" t="n"/>
      <c r="B4777" s="29" t="n"/>
      <c r="K4777" s="30" t="str">
        <f>IF($A4777="","",EDATE($A4777,12*$E$4))</f>
        <v/>
      </c>
      <c r="L4777" s="19" t="str">
        <f>IF($K4777="","",IF($K4777&gt;MAX($A$8:$A$5007),"",IFERROR(MATCH($K4777,$A$8:$A$5007,1),"")))</f>
        <v/>
      </c>
      <c r="M4777" s="30" t="str">
        <f>IF($L4777="","",INDEX($A$8:$A$5007,$L4777))</f>
        <v/>
      </c>
      <c r="N4777" s="31" t="str">
        <f>IF($L4777="","",INDEX($B$8:$B$5007,$L4777))</f>
        <v/>
      </c>
      <c r="O4777" s="32" t="str">
        <f>IF($M4777="","",IF($K4777-$M4777&gt;7,"",IF($M4777&lt;=$A4777,"",IF(OR($B4777&lt;=0,$N4777&lt;=0),"",($N4777/$B4777)^(365/($M4777-$A4777))-1))))</f>
        <v/>
      </c>
      <c r="P4777" s="31" t="str">
        <f>IF($B4777="","",IF($P4776="",$B4777,MAX($P4776,$B4777)))</f>
        <v/>
      </c>
      <c r="Q4777" s="32" t="str">
        <f>IF($P4777="","",$B4777/$P4777-1)</f>
        <v/>
      </c>
    </row>
    <row r="4778">
      <c r="A4778" s="11" t="n"/>
      <c r="B4778" s="29" t="n"/>
      <c r="K4778" s="30" t="str">
        <f>IF($A4778="","",EDATE($A4778,12*$E$4))</f>
        <v/>
      </c>
      <c r="L4778" s="19" t="str">
        <f>IF($K4778="","",IF($K4778&gt;MAX($A$8:$A$5007),"",IFERROR(MATCH($K4778,$A$8:$A$5007,1),"")))</f>
        <v/>
      </c>
      <c r="M4778" s="30" t="str">
        <f>IF($L4778="","",INDEX($A$8:$A$5007,$L4778))</f>
        <v/>
      </c>
      <c r="N4778" s="31" t="str">
        <f>IF($L4778="","",INDEX($B$8:$B$5007,$L4778))</f>
        <v/>
      </c>
      <c r="O4778" s="32" t="str">
        <f>IF($M4778="","",IF($K4778-$M4778&gt;7,"",IF($M4778&lt;=$A4778,"",IF(OR($B4778&lt;=0,$N4778&lt;=0),"",($N4778/$B4778)^(365/($M4778-$A4778))-1))))</f>
        <v/>
      </c>
      <c r="P4778" s="31" t="str">
        <f>IF($B4778="","",IF($P4777="",$B4778,MAX($P4777,$B4778)))</f>
        <v/>
      </c>
      <c r="Q4778" s="32" t="str">
        <f>IF($P4778="","",$B4778/$P4778-1)</f>
        <v/>
      </c>
    </row>
    <row r="4779">
      <c r="A4779" s="11" t="n"/>
      <c r="B4779" s="29" t="n"/>
      <c r="K4779" s="30" t="str">
        <f>IF($A4779="","",EDATE($A4779,12*$E$4))</f>
        <v/>
      </c>
      <c r="L4779" s="19" t="str">
        <f>IF($K4779="","",IF($K4779&gt;MAX($A$8:$A$5007),"",IFERROR(MATCH($K4779,$A$8:$A$5007,1),"")))</f>
        <v/>
      </c>
      <c r="M4779" s="30" t="str">
        <f>IF($L4779="","",INDEX($A$8:$A$5007,$L4779))</f>
        <v/>
      </c>
      <c r="N4779" s="31" t="str">
        <f>IF($L4779="","",INDEX($B$8:$B$5007,$L4779))</f>
        <v/>
      </c>
      <c r="O4779" s="32" t="str">
        <f>IF($M4779="","",IF($K4779-$M4779&gt;7,"",IF($M4779&lt;=$A4779,"",IF(OR($B4779&lt;=0,$N4779&lt;=0),"",($N4779/$B4779)^(365/($M4779-$A4779))-1))))</f>
        <v/>
      </c>
      <c r="P4779" s="31" t="str">
        <f>IF($B4779="","",IF($P4778="",$B4779,MAX($P4778,$B4779)))</f>
        <v/>
      </c>
      <c r="Q4779" s="32" t="str">
        <f>IF($P4779="","",$B4779/$P4779-1)</f>
        <v/>
      </c>
    </row>
    <row r="4780">
      <c r="A4780" s="11" t="n"/>
      <c r="B4780" s="29" t="n"/>
      <c r="K4780" s="30" t="str">
        <f>IF($A4780="","",EDATE($A4780,12*$E$4))</f>
        <v/>
      </c>
      <c r="L4780" s="19" t="str">
        <f>IF($K4780="","",IF($K4780&gt;MAX($A$8:$A$5007),"",IFERROR(MATCH($K4780,$A$8:$A$5007,1),"")))</f>
        <v/>
      </c>
      <c r="M4780" s="30" t="str">
        <f>IF($L4780="","",INDEX($A$8:$A$5007,$L4780))</f>
        <v/>
      </c>
      <c r="N4780" s="31" t="str">
        <f>IF($L4780="","",INDEX($B$8:$B$5007,$L4780))</f>
        <v/>
      </c>
      <c r="O4780" s="32" t="str">
        <f>IF($M4780="","",IF($K4780-$M4780&gt;7,"",IF($M4780&lt;=$A4780,"",IF(OR($B4780&lt;=0,$N4780&lt;=0),"",($N4780/$B4780)^(365/($M4780-$A4780))-1))))</f>
        <v/>
      </c>
      <c r="P4780" s="31" t="str">
        <f>IF($B4780="","",IF($P4779="",$B4780,MAX($P4779,$B4780)))</f>
        <v/>
      </c>
      <c r="Q4780" s="32" t="str">
        <f>IF($P4780="","",$B4780/$P4780-1)</f>
        <v/>
      </c>
    </row>
    <row r="4781">
      <c r="A4781" s="11" t="n"/>
      <c r="B4781" s="29" t="n"/>
      <c r="K4781" s="30" t="str">
        <f>IF($A4781="","",EDATE($A4781,12*$E$4))</f>
        <v/>
      </c>
      <c r="L4781" s="19" t="str">
        <f>IF($K4781="","",IF($K4781&gt;MAX($A$8:$A$5007),"",IFERROR(MATCH($K4781,$A$8:$A$5007,1),"")))</f>
        <v/>
      </c>
      <c r="M4781" s="30" t="str">
        <f>IF($L4781="","",INDEX($A$8:$A$5007,$L4781))</f>
        <v/>
      </c>
      <c r="N4781" s="31" t="str">
        <f>IF($L4781="","",INDEX($B$8:$B$5007,$L4781))</f>
        <v/>
      </c>
      <c r="O4781" s="32" t="str">
        <f>IF($M4781="","",IF($K4781-$M4781&gt;7,"",IF($M4781&lt;=$A4781,"",IF(OR($B4781&lt;=0,$N4781&lt;=0),"",($N4781/$B4781)^(365/($M4781-$A4781))-1))))</f>
        <v/>
      </c>
      <c r="P4781" s="31" t="str">
        <f>IF($B4781="","",IF($P4780="",$B4781,MAX($P4780,$B4781)))</f>
        <v/>
      </c>
      <c r="Q4781" s="32" t="str">
        <f>IF($P4781="","",$B4781/$P4781-1)</f>
        <v/>
      </c>
    </row>
    <row r="4782">
      <c r="A4782" s="11" t="n"/>
      <c r="B4782" s="29" t="n"/>
      <c r="K4782" s="30" t="str">
        <f>IF($A4782="","",EDATE($A4782,12*$E$4))</f>
        <v/>
      </c>
      <c r="L4782" s="19" t="str">
        <f>IF($K4782="","",IF($K4782&gt;MAX($A$8:$A$5007),"",IFERROR(MATCH($K4782,$A$8:$A$5007,1),"")))</f>
        <v/>
      </c>
      <c r="M4782" s="30" t="str">
        <f>IF($L4782="","",INDEX($A$8:$A$5007,$L4782))</f>
        <v/>
      </c>
      <c r="N4782" s="31" t="str">
        <f>IF($L4782="","",INDEX($B$8:$B$5007,$L4782))</f>
        <v/>
      </c>
      <c r="O4782" s="32" t="str">
        <f>IF($M4782="","",IF($K4782-$M4782&gt;7,"",IF($M4782&lt;=$A4782,"",IF(OR($B4782&lt;=0,$N4782&lt;=0),"",($N4782/$B4782)^(365/($M4782-$A4782))-1))))</f>
        <v/>
      </c>
      <c r="P4782" s="31" t="str">
        <f>IF($B4782="","",IF($P4781="",$B4782,MAX($P4781,$B4782)))</f>
        <v/>
      </c>
      <c r="Q4782" s="32" t="str">
        <f>IF($P4782="","",$B4782/$P4782-1)</f>
        <v/>
      </c>
    </row>
    <row r="4783">
      <c r="A4783" s="11" t="n"/>
      <c r="B4783" s="29" t="n"/>
      <c r="K4783" s="30" t="str">
        <f>IF($A4783="","",EDATE($A4783,12*$E$4))</f>
        <v/>
      </c>
      <c r="L4783" s="19" t="str">
        <f>IF($K4783="","",IF($K4783&gt;MAX($A$8:$A$5007),"",IFERROR(MATCH($K4783,$A$8:$A$5007,1),"")))</f>
        <v/>
      </c>
      <c r="M4783" s="30" t="str">
        <f>IF($L4783="","",INDEX($A$8:$A$5007,$L4783))</f>
        <v/>
      </c>
      <c r="N4783" s="31" t="str">
        <f>IF($L4783="","",INDEX($B$8:$B$5007,$L4783))</f>
        <v/>
      </c>
      <c r="O4783" s="32" t="str">
        <f>IF($M4783="","",IF($K4783-$M4783&gt;7,"",IF($M4783&lt;=$A4783,"",IF(OR($B4783&lt;=0,$N4783&lt;=0),"",($N4783/$B4783)^(365/($M4783-$A4783))-1))))</f>
        <v/>
      </c>
      <c r="P4783" s="31" t="str">
        <f>IF($B4783="","",IF($P4782="",$B4783,MAX($P4782,$B4783)))</f>
        <v/>
      </c>
      <c r="Q4783" s="32" t="str">
        <f>IF($P4783="","",$B4783/$P4783-1)</f>
        <v/>
      </c>
    </row>
    <row r="4784">
      <c r="A4784" s="11" t="n"/>
      <c r="B4784" s="29" t="n"/>
      <c r="K4784" s="30" t="str">
        <f>IF($A4784="","",EDATE($A4784,12*$E$4))</f>
        <v/>
      </c>
      <c r="L4784" s="19" t="str">
        <f>IF($K4784="","",IF($K4784&gt;MAX($A$8:$A$5007),"",IFERROR(MATCH($K4784,$A$8:$A$5007,1),"")))</f>
        <v/>
      </c>
      <c r="M4784" s="30" t="str">
        <f>IF($L4784="","",INDEX($A$8:$A$5007,$L4784))</f>
        <v/>
      </c>
      <c r="N4784" s="31" t="str">
        <f>IF($L4784="","",INDEX($B$8:$B$5007,$L4784))</f>
        <v/>
      </c>
      <c r="O4784" s="32" t="str">
        <f>IF($M4784="","",IF($K4784-$M4784&gt;7,"",IF($M4784&lt;=$A4784,"",IF(OR($B4784&lt;=0,$N4784&lt;=0),"",($N4784/$B4784)^(365/($M4784-$A4784))-1))))</f>
        <v/>
      </c>
      <c r="P4784" s="31" t="str">
        <f>IF($B4784="","",IF($P4783="",$B4784,MAX($P4783,$B4784)))</f>
        <v/>
      </c>
      <c r="Q4784" s="32" t="str">
        <f>IF($P4784="","",$B4784/$P4784-1)</f>
        <v/>
      </c>
    </row>
    <row r="4785">
      <c r="A4785" s="11" t="n"/>
      <c r="B4785" s="29" t="n"/>
      <c r="K4785" s="30" t="str">
        <f>IF($A4785="","",EDATE($A4785,12*$E$4))</f>
        <v/>
      </c>
      <c r="L4785" s="19" t="str">
        <f>IF($K4785="","",IF($K4785&gt;MAX($A$8:$A$5007),"",IFERROR(MATCH($K4785,$A$8:$A$5007,1),"")))</f>
        <v/>
      </c>
      <c r="M4785" s="30" t="str">
        <f>IF($L4785="","",INDEX($A$8:$A$5007,$L4785))</f>
        <v/>
      </c>
      <c r="N4785" s="31" t="str">
        <f>IF($L4785="","",INDEX($B$8:$B$5007,$L4785))</f>
        <v/>
      </c>
      <c r="O4785" s="32" t="str">
        <f>IF($M4785="","",IF($K4785-$M4785&gt;7,"",IF($M4785&lt;=$A4785,"",IF(OR($B4785&lt;=0,$N4785&lt;=0),"",($N4785/$B4785)^(365/($M4785-$A4785))-1))))</f>
        <v/>
      </c>
      <c r="P4785" s="31" t="str">
        <f>IF($B4785="","",IF($P4784="",$B4785,MAX($P4784,$B4785)))</f>
        <v/>
      </c>
      <c r="Q4785" s="32" t="str">
        <f>IF($P4785="","",$B4785/$P4785-1)</f>
        <v/>
      </c>
    </row>
    <row r="4786">
      <c r="A4786" s="11" t="n"/>
      <c r="B4786" s="29" t="n"/>
      <c r="K4786" s="30" t="str">
        <f>IF($A4786="","",EDATE($A4786,12*$E$4))</f>
        <v/>
      </c>
      <c r="L4786" s="19" t="str">
        <f>IF($K4786="","",IF($K4786&gt;MAX($A$8:$A$5007),"",IFERROR(MATCH($K4786,$A$8:$A$5007,1),"")))</f>
        <v/>
      </c>
      <c r="M4786" s="30" t="str">
        <f>IF($L4786="","",INDEX($A$8:$A$5007,$L4786))</f>
        <v/>
      </c>
      <c r="N4786" s="31" t="str">
        <f>IF($L4786="","",INDEX($B$8:$B$5007,$L4786))</f>
        <v/>
      </c>
      <c r="O4786" s="32" t="str">
        <f>IF($M4786="","",IF($K4786-$M4786&gt;7,"",IF($M4786&lt;=$A4786,"",IF(OR($B4786&lt;=0,$N4786&lt;=0),"",($N4786/$B4786)^(365/($M4786-$A4786))-1))))</f>
        <v/>
      </c>
      <c r="P4786" s="31" t="str">
        <f>IF($B4786="","",IF($P4785="",$B4786,MAX($P4785,$B4786)))</f>
        <v/>
      </c>
      <c r="Q4786" s="32" t="str">
        <f>IF($P4786="","",$B4786/$P4786-1)</f>
        <v/>
      </c>
    </row>
    <row r="4787">
      <c r="A4787" s="11" t="n"/>
      <c r="B4787" s="29" t="n"/>
      <c r="K4787" s="30" t="str">
        <f>IF($A4787="","",EDATE($A4787,12*$E$4))</f>
        <v/>
      </c>
      <c r="L4787" s="19" t="str">
        <f>IF($K4787="","",IF($K4787&gt;MAX($A$8:$A$5007),"",IFERROR(MATCH($K4787,$A$8:$A$5007,1),"")))</f>
        <v/>
      </c>
      <c r="M4787" s="30" t="str">
        <f>IF($L4787="","",INDEX($A$8:$A$5007,$L4787))</f>
        <v/>
      </c>
      <c r="N4787" s="31" t="str">
        <f>IF($L4787="","",INDEX($B$8:$B$5007,$L4787))</f>
        <v/>
      </c>
      <c r="O4787" s="32" t="str">
        <f>IF($M4787="","",IF($K4787-$M4787&gt;7,"",IF($M4787&lt;=$A4787,"",IF(OR($B4787&lt;=0,$N4787&lt;=0),"",($N4787/$B4787)^(365/($M4787-$A4787))-1))))</f>
        <v/>
      </c>
      <c r="P4787" s="31" t="str">
        <f>IF($B4787="","",IF($P4786="",$B4787,MAX($P4786,$B4787)))</f>
        <v/>
      </c>
      <c r="Q4787" s="32" t="str">
        <f>IF($P4787="","",$B4787/$P4787-1)</f>
        <v/>
      </c>
    </row>
    <row r="4788">
      <c r="A4788" s="11" t="n"/>
      <c r="B4788" s="29" t="n"/>
      <c r="K4788" s="30" t="str">
        <f>IF($A4788="","",EDATE($A4788,12*$E$4))</f>
        <v/>
      </c>
      <c r="L4788" s="19" t="str">
        <f>IF($K4788="","",IF($K4788&gt;MAX($A$8:$A$5007),"",IFERROR(MATCH($K4788,$A$8:$A$5007,1),"")))</f>
        <v/>
      </c>
      <c r="M4788" s="30" t="str">
        <f>IF($L4788="","",INDEX($A$8:$A$5007,$L4788))</f>
        <v/>
      </c>
      <c r="N4788" s="31" t="str">
        <f>IF($L4788="","",INDEX($B$8:$B$5007,$L4788))</f>
        <v/>
      </c>
      <c r="O4788" s="32" t="str">
        <f>IF($M4788="","",IF($K4788-$M4788&gt;7,"",IF($M4788&lt;=$A4788,"",IF(OR($B4788&lt;=0,$N4788&lt;=0),"",($N4788/$B4788)^(365/($M4788-$A4788))-1))))</f>
        <v/>
      </c>
      <c r="P4788" s="31" t="str">
        <f>IF($B4788="","",IF($P4787="",$B4788,MAX($P4787,$B4788)))</f>
        <v/>
      </c>
      <c r="Q4788" s="32" t="str">
        <f>IF($P4788="","",$B4788/$P4788-1)</f>
        <v/>
      </c>
    </row>
    <row r="4789">
      <c r="A4789" s="11" t="n"/>
      <c r="B4789" s="29" t="n"/>
      <c r="K4789" s="30" t="str">
        <f>IF($A4789="","",EDATE($A4789,12*$E$4))</f>
        <v/>
      </c>
      <c r="L4789" s="19" t="str">
        <f>IF($K4789="","",IF($K4789&gt;MAX($A$8:$A$5007),"",IFERROR(MATCH($K4789,$A$8:$A$5007,1),"")))</f>
        <v/>
      </c>
      <c r="M4789" s="30" t="str">
        <f>IF($L4789="","",INDEX($A$8:$A$5007,$L4789))</f>
        <v/>
      </c>
      <c r="N4789" s="31" t="str">
        <f>IF($L4789="","",INDEX($B$8:$B$5007,$L4789))</f>
        <v/>
      </c>
      <c r="O4789" s="32" t="str">
        <f>IF($M4789="","",IF($K4789-$M4789&gt;7,"",IF($M4789&lt;=$A4789,"",IF(OR($B4789&lt;=0,$N4789&lt;=0),"",($N4789/$B4789)^(365/($M4789-$A4789))-1))))</f>
        <v/>
      </c>
      <c r="P4789" s="31" t="str">
        <f>IF($B4789="","",IF($P4788="",$B4789,MAX($P4788,$B4789)))</f>
        <v/>
      </c>
      <c r="Q4789" s="32" t="str">
        <f>IF($P4789="","",$B4789/$P4789-1)</f>
        <v/>
      </c>
    </row>
    <row r="4790">
      <c r="A4790" s="11" t="n"/>
      <c r="B4790" s="29" t="n"/>
      <c r="K4790" s="30" t="str">
        <f>IF($A4790="","",EDATE($A4790,12*$E$4))</f>
        <v/>
      </c>
      <c r="L4790" s="19" t="str">
        <f>IF($K4790="","",IF($K4790&gt;MAX($A$8:$A$5007),"",IFERROR(MATCH($K4790,$A$8:$A$5007,1),"")))</f>
        <v/>
      </c>
      <c r="M4790" s="30" t="str">
        <f>IF($L4790="","",INDEX($A$8:$A$5007,$L4790))</f>
        <v/>
      </c>
      <c r="N4790" s="31" t="str">
        <f>IF($L4790="","",INDEX($B$8:$B$5007,$L4790))</f>
        <v/>
      </c>
      <c r="O4790" s="32" t="str">
        <f>IF($M4790="","",IF($K4790-$M4790&gt;7,"",IF($M4790&lt;=$A4790,"",IF(OR($B4790&lt;=0,$N4790&lt;=0),"",($N4790/$B4790)^(365/($M4790-$A4790))-1))))</f>
        <v/>
      </c>
      <c r="P4790" s="31" t="str">
        <f>IF($B4790="","",IF($P4789="",$B4790,MAX($P4789,$B4790)))</f>
        <v/>
      </c>
      <c r="Q4790" s="32" t="str">
        <f>IF($P4790="","",$B4790/$P4790-1)</f>
        <v/>
      </c>
    </row>
    <row r="4791">
      <c r="A4791" s="11" t="n"/>
      <c r="B4791" s="29" t="n"/>
      <c r="K4791" s="30" t="str">
        <f>IF($A4791="","",EDATE($A4791,12*$E$4))</f>
        <v/>
      </c>
      <c r="L4791" s="19" t="str">
        <f>IF($K4791="","",IF($K4791&gt;MAX($A$8:$A$5007),"",IFERROR(MATCH($K4791,$A$8:$A$5007,1),"")))</f>
        <v/>
      </c>
      <c r="M4791" s="30" t="str">
        <f>IF($L4791="","",INDEX($A$8:$A$5007,$L4791))</f>
        <v/>
      </c>
      <c r="N4791" s="31" t="str">
        <f>IF($L4791="","",INDEX($B$8:$B$5007,$L4791))</f>
        <v/>
      </c>
      <c r="O4791" s="32" t="str">
        <f>IF($M4791="","",IF($K4791-$M4791&gt;7,"",IF($M4791&lt;=$A4791,"",IF(OR($B4791&lt;=0,$N4791&lt;=0),"",($N4791/$B4791)^(365/($M4791-$A4791))-1))))</f>
        <v/>
      </c>
      <c r="P4791" s="31" t="str">
        <f>IF($B4791="","",IF($P4790="",$B4791,MAX($P4790,$B4791)))</f>
        <v/>
      </c>
      <c r="Q4791" s="32" t="str">
        <f>IF($P4791="","",$B4791/$P4791-1)</f>
        <v/>
      </c>
    </row>
    <row r="4792">
      <c r="A4792" s="11" t="n"/>
      <c r="B4792" s="29" t="n"/>
      <c r="K4792" s="30" t="str">
        <f>IF($A4792="","",EDATE($A4792,12*$E$4))</f>
        <v/>
      </c>
      <c r="L4792" s="19" t="str">
        <f>IF($K4792="","",IF($K4792&gt;MAX($A$8:$A$5007),"",IFERROR(MATCH($K4792,$A$8:$A$5007,1),"")))</f>
        <v/>
      </c>
      <c r="M4792" s="30" t="str">
        <f>IF($L4792="","",INDEX($A$8:$A$5007,$L4792))</f>
        <v/>
      </c>
      <c r="N4792" s="31" t="str">
        <f>IF($L4792="","",INDEX($B$8:$B$5007,$L4792))</f>
        <v/>
      </c>
      <c r="O4792" s="32" t="str">
        <f>IF($M4792="","",IF($K4792-$M4792&gt;7,"",IF($M4792&lt;=$A4792,"",IF(OR($B4792&lt;=0,$N4792&lt;=0),"",($N4792/$B4792)^(365/($M4792-$A4792))-1))))</f>
        <v/>
      </c>
      <c r="P4792" s="31" t="str">
        <f>IF($B4792="","",IF($P4791="",$B4792,MAX($P4791,$B4792)))</f>
        <v/>
      </c>
      <c r="Q4792" s="32" t="str">
        <f>IF($P4792="","",$B4792/$P4792-1)</f>
        <v/>
      </c>
    </row>
    <row r="4793">
      <c r="A4793" s="11" t="n"/>
      <c r="B4793" s="29" t="n"/>
      <c r="K4793" s="30" t="str">
        <f>IF($A4793="","",EDATE($A4793,12*$E$4))</f>
        <v/>
      </c>
      <c r="L4793" s="19" t="str">
        <f>IF($K4793="","",IF($K4793&gt;MAX($A$8:$A$5007),"",IFERROR(MATCH($K4793,$A$8:$A$5007,1),"")))</f>
        <v/>
      </c>
      <c r="M4793" s="30" t="str">
        <f>IF($L4793="","",INDEX($A$8:$A$5007,$L4793))</f>
        <v/>
      </c>
      <c r="N4793" s="31" t="str">
        <f>IF($L4793="","",INDEX($B$8:$B$5007,$L4793))</f>
        <v/>
      </c>
      <c r="O4793" s="32" t="str">
        <f>IF($M4793="","",IF($K4793-$M4793&gt;7,"",IF($M4793&lt;=$A4793,"",IF(OR($B4793&lt;=0,$N4793&lt;=0),"",($N4793/$B4793)^(365/($M4793-$A4793))-1))))</f>
        <v/>
      </c>
      <c r="P4793" s="31" t="str">
        <f>IF($B4793="","",IF($P4792="",$B4793,MAX($P4792,$B4793)))</f>
        <v/>
      </c>
      <c r="Q4793" s="32" t="str">
        <f>IF($P4793="","",$B4793/$P4793-1)</f>
        <v/>
      </c>
    </row>
    <row r="4794">
      <c r="A4794" s="11" t="n"/>
      <c r="B4794" s="29" t="n"/>
      <c r="K4794" s="30" t="str">
        <f>IF($A4794="","",EDATE($A4794,12*$E$4))</f>
        <v/>
      </c>
      <c r="L4794" s="19" t="str">
        <f>IF($K4794="","",IF($K4794&gt;MAX($A$8:$A$5007),"",IFERROR(MATCH($K4794,$A$8:$A$5007,1),"")))</f>
        <v/>
      </c>
      <c r="M4794" s="30" t="str">
        <f>IF($L4794="","",INDEX($A$8:$A$5007,$L4794))</f>
        <v/>
      </c>
      <c r="N4794" s="31" t="str">
        <f>IF($L4794="","",INDEX($B$8:$B$5007,$L4794))</f>
        <v/>
      </c>
      <c r="O4794" s="32" t="str">
        <f>IF($M4794="","",IF($K4794-$M4794&gt;7,"",IF($M4794&lt;=$A4794,"",IF(OR($B4794&lt;=0,$N4794&lt;=0),"",($N4794/$B4794)^(365/($M4794-$A4794))-1))))</f>
        <v/>
      </c>
      <c r="P4794" s="31" t="str">
        <f>IF($B4794="","",IF($P4793="",$B4794,MAX($P4793,$B4794)))</f>
        <v/>
      </c>
      <c r="Q4794" s="32" t="str">
        <f>IF($P4794="","",$B4794/$P4794-1)</f>
        <v/>
      </c>
    </row>
    <row r="4795">
      <c r="A4795" s="11" t="n"/>
      <c r="B4795" s="29" t="n"/>
      <c r="K4795" s="30" t="str">
        <f>IF($A4795="","",EDATE($A4795,12*$E$4))</f>
        <v/>
      </c>
      <c r="L4795" s="19" t="str">
        <f>IF($K4795="","",IF($K4795&gt;MAX($A$8:$A$5007),"",IFERROR(MATCH($K4795,$A$8:$A$5007,1),"")))</f>
        <v/>
      </c>
      <c r="M4795" s="30" t="str">
        <f>IF($L4795="","",INDEX($A$8:$A$5007,$L4795))</f>
        <v/>
      </c>
      <c r="N4795" s="31" t="str">
        <f>IF($L4795="","",INDEX($B$8:$B$5007,$L4795))</f>
        <v/>
      </c>
      <c r="O4795" s="32" t="str">
        <f>IF($M4795="","",IF($K4795-$M4795&gt;7,"",IF($M4795&lt;=$A4795,"",IF(OR($B4795&lt;=0,$N4795&lt;=0),"",($N4795/$B4795)^(365/($M4795-$A4795))-1))))</f>
        <v/>
      </c>
      <c r="P4795" s="31" t="str">
        <f>IF($B4795="","",IF($P4794="",$B4795,MAX($P4794,$B4795)))</f>
        <v/>
      </c>
      <c r="Q4795" s="32" t="str">
        <f>IF($P4795="","",$B4795/$P4795-1)</f>
        <v/>
      </c>
    </row>
    <row r="4796">
      <c r="A4796" s="11" t="n"/>
      <c r="B4796" s="29" t="n"/>
      <c r="K4796" s="30" t="str">
        <f>IF($A4796="","",EDATE($A4796,12*$E$4))</f>
        <v/>
      </c>
      <c r="L4796" s="19" t="str">
        <f>IF($K4796="","",IF($K4796&gt;MAX($A$8:$A$5007),"",IFERROR(MATCH($K4796,$A$8:$A$5007,1),"")))</f>
        <v/>
      </c>
      <c r="M4796" s="30" t="str">
        <f>IF($L4796="","",INDEX($A$8:$A$5007,$L4796))</f>
        <v/>
      </c>
      <c r="N4796" s="31" t="str">
        <f>IF($L4796="","",INDEX($B$8:$B$5007,$L4796))</f>
        <v/>
      </c>
      <c r="O4796" s="32" t="str">
        <f>IF($M4796="","",IF($K4796-$M4796&gt;7,"",IF($M4796&lt;=$A4796,"",IF(OR($B4796&lt;=0,$N4796&lt;=0),"",($N4796/$B4796)^(365/($M4796-$A4796))-1))))</f>
        <v/>
      </c>
      <c r="P4796" s="31" t="str">
        <f>IF($B4796="","",IF($P4795="",$B4796,MAX($P4795,$B4796)))</f>
        <v/>
      </c>
      <c r="Q4796" s="32" t="str">
        <f>IF($P4796="","",$B4796/$P4796-1)</f>
        <v/>
      </c>
    </row>
    <row r="4797">
      <c r="A4797" s="11" t="n"/>
      <c r="B4797" s="29" t="n"/>
      <c r="K4797" s="30" t="str">
        <f>IF($A4797="","",EDATE($A4797,12*$E$4))</f>
        <v/>
      </c>
      <c r="L4797" s="19" t="str">
        <f>IF($K4797="","",IF($K4797&gt;MAX($A$8:$A$5007),"",IFERROR(MATCH($K4797,$A$8:$A$5007,1),"")))</f>
        <v/>
      </c>
      <c r="M4797" s="30" t="str">
        <f>IF($L4797="","",INDEX($A$8:$A$5007,$L4797))</f>
        <v/>
      </c>
      <c r="N4797" s="31" t="str">
        <f>IF($L4797="","",INDEX($B$8:$B$5007,$L4797))</f>
        <v/>
      </c>
      <c r="O4797" s="32" t="str">
        <f>IF($M4797="","",IF($K4797-$M4797&gt;7,"",IF($M4797&lt;=$A4797,"",IF(OR($B4797&lt;=0,$N4797&lt;=0),"",($N4797/$B4797)^(365/($M4797-$A4797))-1))))</f>
        <v/>
      </c>
      <c r="P4797" s="31" t="str">
        <f>IF($B4797="","",IF($P4796="",$B4797,MAX($P4796,$B4797)))</f>
        <v/>
      </c>
      <c r="Q4797" s="32" t="str">
        <f>IF($P4797="","",$B4797/$P4797-1)</f>
        <v/>
      </c>
    </row>
    <row r="4798">
      <c r="A4798" s="11" t="n"/>
      <c r="B4798" s="29" t="n"/>
      <c r="K4798" s="30" t="str">
        <f>IF($A4798="","",EDATE($A4798,12*$E$4))</f>
        <v/>
      </c>
      <c r="L4798" s="19" t="str">
        <f>IF($K4798="","",IF($K4798&gt;MAX($A$8:$A$5007),"",IFERROR(MATCH($K4798,$A$8:$A$5007,1),"")))</f>
        <v/>
      </c>
      <c r="M4798" s="30" t="str">
        <f>IF($L4798="","",INDEX($A$8:$A$5007,$L4798))</f>
        <v/>
      </c>
      <c r="N4798" s="31" t="str">
        <f>IF($L4798="","",INDEX($B$8:$B$5007,$L4798))</f>
        <v/>
      </c>
      <c r="O4798" s="32" t="str">
        <f>IF($M4798="","",IF($K4798-$M4798&gt;7,"",IF($M4798&lt;=$A4798,"",IF(OR($B4798&lt;=0,$N4798&lt;=0),"",($N4798/$B4798)^(365/($M4798-$A4798))-1))))</f>
        <v/>
      </c>
      <c r="P4798" s="31" t="str">
        <f>IF($B4798="","",IF($P4797="",$B4798,MAX($P4797,$B4798)))</f>
        <v/>
      </c>
      <c r="Q4798" s="32" t="str">
        <f>IF($P4798="","",$B4798/$P4798-1)</f>
        <v/>
      </c>
    </row>
    <row r="4799">
      <c r="A4799" s="11" t="n"/>
      <c r="B4799" s="29" t="n"/>
      <c r="K4799" s="30" t="str">
        <f>IF($A4799="","",EDATE($A4799,12*$E$4))</f>
        <v/>
      </c>
      <c r="L4799" s="19" t="str">
        <f>IF($K4799="","",IF($K4799&gt;MAX($A$8:$A$5007),"",IFERROR(MATCH($K4799,$A$8:$A$5007,1),"")))</f>
        <v/>
      </c>
      <c r="M4799" s="30" t="str">
        <f>IF($L4799="","",INDEX($A$8:$A$5007,$L4799))</f>
        <v/>
      </c>
      <c r="N4799" s="31" t="str">
        <f>IF($L4799="","",INDEX($B$8:$B$5007,$L4799))</f>
        <v/>
      </c>
      <c r="O4799" s="32" t="str">
        <f>IF($M4799="","",IF($K4799-$M4799&gt;7,"",IF($M4799&lt;=$A4799,"",IF(OR($B4799&lt;=0,$N4799&lt;=0),"",($N4799/$B4799)^(365/($M4799-$A4799))-1))))</f>
        <v/>
      </c>
      <c r="P4799" s="31" t="str">
        <f>IF($B4799="","",IF($P4798="",$B4799,MAX($P4798,$B4799)))</f>
        <v/>
      </c>
      <c r="Q4799" s="32" t="str">
        <f>IF($P4799="","",$B4799/$P4799-1)</f>
        <v/>
      </c>
    </row>
    <row r="4800">
      <c r="A4800" s="11" t="n"/>
      <c r="B4800" s="29" t="n"/>
      <c r="K4800" s="30" t="str">
        <f>IF($A4800="","",EDATE($A4800,12*$E$4))</f>
        <v/>
      </c>
      <c r="L4800" s="19" t="str">
        <f>IF($K4800="","",IF($K4800&gt;MAX($A$8:$A$5007),"",IFERROR(MATCH($K4800,$A$8:$A$5007,1),"")))</f>
        <v/>
      </c>
      <c r="M4800" s="30" t="str">
        <f>IF($L4800="","",INDEX($A$8:$A$5007,$L4800))</f>
        <v/>
      </c>
      <c r="N4800" s="31" t="str">
        <f>IF($L4800="","",INDEX($B$8:$B$5007,$L4800))</f>
        <v/>
      </c>
      <c r="O4800" s="32" t="str">
        <f>IF($M4800="","",IF($K4800-$M4800&gt;7,"",IF($M4800&lt;=$A4800,"",IF(OR($B4800&lt;=0,$N4800&lt;=0),"",($N4800/$B4800)^(365/($M4800-$A4800))-1))))</f>
        <v/>
      </c>
      <c r="P4800" s="31" t="str">
        <f>IF($B4800="","",IF($P4799="",$B4800,MAX($P4799,$B4800)))</f>
        <v/>
      </c>
      <c r="Q4800" s="32" t="str">
        <f>IF($P4800="","",$B4800/$P4800-1)</f>
        <v/>
      </c>
    </row>
    <row r="4801">
      <c r="A4801" s="11" t="n"/>
      <c r="B4801" s="29" t="n"/>
      <c r="K4801" s="30" t="str">
        <f>IF($A4801="","",EDATE($A4801,12*$E$4))</f>
        <v/>
      </c>
      <c r="L4801" s="19" t="str">
        <f>IF($K4801="","",IF($K4801&gt;MAX($A$8:$A$5007),"",IFERROR(MATCH($K4801,$A$8:$A$5007,1),"")))</f>
        <v/>
      </c>
      <c r="M4801" s="30" t="str">
        <f>IF($L4801="","",INDEX($A$8:$A$5007,$L4801))</f>
        <v/>
      </c>
      <c r="N4801" s="31" t="str">
        <f>IF($L4801="","",INDEX($B$8:$B$5007,$L4801))</f>
        <v/>
      </c>
      <c r="O4801" s="32" t="str">
        <f>IF($M4801="","",IF($K4801-$M4801&gt;7,"",IF($M4801&lt;=$A4801,"",IF(OR($B4801&lt;=0,$N4801&lt;=0),"",($N4801/$B4801)^(365/($M4801-$A4801))-1))))</f>
        <v/>
      </c>
      <c r="P4801" s="31" t="str">
        <f>IF($B4801="","",IF($P4800="",$B4801,MAX($P4800,$B4801)))</f>
        <v/>
      </c>
      <c r="Q4801" s="32" t="str">
        <f>IF($P4801="","",$B4801/$P4801-1)</f>
        <v/>
      </c>
    </row>
    <row r="4802">
      <c r="A4802" s="11" t="n"/>
      <c r="B4802" s="29" t="n"/>
      <c r="K4802" s="30" t="str">
        <f>IF($A4802="","",EDATE($A4802,12*$E$4))</f>
        <v/>
      </c>
      <c r="L4802" s="19" t="str">
        <f>IF($K4802="","",IF($K4802&gt;MAX($A$8:$A$5007),"",IFERROR(MATCH($K4802,$A$8:$A$5007,1),"")))</f>
        <v/>
      </c>
      <c r="M4802" s="30" t="str">
        <f>IF($L4802="","",INDEX($A$8:$A$5007,$L4802))</f>
        <v/>
      </c>
      <c r="N4802" s="31" t="str">
        <f>IF($L4802="","",INDEX($B$8:$B$5007,$L4802))</f>
        <v/>
      </c>
      <c r="O4802" s="32" t="str">
        <f>IF($M4802="","",IF($K4802-$M4802&gt;7,"",IF($M4802&lt;=$A4802,"",IF(OR($B4802&lt;=0,$N4802&lt;=0),"",($N4802/$B4802)^(365/($M4802-$A4802))-1))))</f>
        <v/>
      </c>
      <c r="P4802" s="31" t="str">
        <f>IF($B4802="","",IF($P4801="",$B4802,MAX($P4801,$B4802)))</f>
        <v/>
      </c>
      <c r="Q4802" s="32" t="str">
        <f>IF($P4802="","",$B4802/$P4802-1)</f>
        <v/>
      </c>
    </row>
    <row r="4803">
      <c r="A4803" s="11" t="n"/>
      <c r="B4803" s="29" t="n"/>
      <c r="K4803" s="30" t="str">
        <f>IF($A4803="","",EDATE($A4803,12*$E$4))</f>
        <v/>
      </c>
      <c r="L4803" s="19" t="str">
        <f>IF($K4803="","",IF($K4803&gt;MAX($A$8:$A$5007),"",IFERROR(MATCH($K4803,$A$8:$A$5007,1),"")))</f>
        <v/>
      </c>
      <c r="M4803" s="30" t="str">
        <f>IF($L4803="","",INDEX($A$8:$A$5007,$L4803))</f>
        <v/>
      </c>
      <c r="N4803" s="31" t="str">
        <f>IF($L4803="","",INDEX($B$8:$B$5007,$L4803))</f>
        <v/>
      </c>
      <c r="O4803" s="32" t="str">
        <f>IF($M4803="","",IF($K4803-$M4803&gt;7,"",IF($M4803&lt;=$A4803,"",IF(OR($B4803&lt;=0,$N4803&lt;=0),"",($N4803/$B4803)^(365/($M4803-$A4803))-1))))</f>
        <v/>
      </c>
      <c r="P4803" s="31" t="str">
        <f>IF($B4803="","",IF($P4802="",$B4803,MAX($P4802,$B4803)))</f>
        <v/>
      </c>
      <c r="Q4803" s="32" t="str">
        <f>IF($P4803="","",$B4803/$P4803-1)</f>
        <v/>
      </c>
    </row>
    <row r="4804">
      <c r="A4804" s="11" t="n"/>
      <c r="B4804" s="29" t="n"/>
      <c r="K4804" s="30" t="str">
        <f>IF($A4804="","",EDATE($A4804,12*$E$4))</f>
        <v/>
      </c>
      <c r="L4804" s="19" t="str">
        <f>IF($K4804="","",IF($K4804&gt;MAX($A$8:$A$5007),"",IFERROR(MATCH($K4804,$A$8:$A$5007,1),"")))</f>
        <v/>
      </c>
      <c r="M4804" s="30" t="str">
        <f>IF($L4804="","",INDEX($A$8:$A$5007,$L4804))</f>
        <v/>
      </c>
      <c r="N4804" s="31" t="str">
        <f>IF($L4804="","",INDEX($B$8:$B$5007,$L4804))</f>
        <v/>
      </c>
      <c r="O4804" s="32" t="str">
        <f>IF($M4804="","",IF($K4804-$M4804&gt;7,"",IF($M4804&lt;=$A4804,"",IF(OR($B4804&lt;=0,$N4804&lt;=0),"",($N4804/$B4804)^(365/($M4804-$A4804))-1))))</f>
        <v/>
      </c>
      <c r="P4804" s="31" t="str">
        <f>IF($B4804="","",IF($P4803="",$B4804,MAX($P4803,$B4804)))</f>
        <v/>
      </c>
      <c r="Q4804" s="32" t="str">
        <f>IF($P4804="","",$B4804/$P4804-1)</f>
        <v/>
      </c>
    </row>
    <row r="4805">
      <c r="A4805" s="11" t="n"/>
      <c r="B4805" s="29" t="n"/>
      <c r="K4805" s="30" t="str">
        <f>IF($A4805="","",EDATE($A4805,12*$E$4))</f>
        <v/>
      </c>
      <c r="L4805" s="19" t="str">
        <f>IF($K4805="","",IF($K4805&gt;MAX($A$8:$A$5007),"",IFERROR(MATCH($K4805,$A$8:$A$5007,1),"")))</f>
        <v/>
      </c>
      <c r="M4805" s="30" t="str">
        <f>IF($L4805="","",INDEX($A$8:$A$5007,$L4805))</f>
        <v/>
      </c>
      <c r="N4805" s="31" t="str">
        <f>IF($L4805="","",INDEX($B$8:$B$5007,$L4805))</f>
        <v/>
      </c>
      <c r="O4805" s="32" t="str">
        <f>IF($M4805="","",IF($K4805-$M4805&gt;7,"",IF($M4805&lt;=$A4805,"",IF(OR($B4805&lt;=0,$N4805&lt;=0),"",($N4805/$B4805)^(365/($M4805-$A4805))-1))))</f>
        <v/>
      </c>
      <c r="P4805" s="31" t="str">
        <f>IF($B4805="","",IF($P4804="",$B4805,MAX($P4804,$B4805)))</f>
        <v/>
      </c>
      <c r="Q4805" s="32" t="str">
        <f>IF($P4805="","",$B4805/$P4805-1)</f>
        <v/>
      </c>
    </row>
    <row r="4806">
      <c r="A4806" s="11" t="n"/>
      <c r="B4806" s="29" t="n"/>
      <c r="K4806" s="30" t="str">
        <f>IF($A4806="","",EDATE($A4806,12*$E$4))</f>
        <v/>
      </c>
      <c r="L4806" s="19" t="str">
        <f>IF($K4806="","",IF($K4806&gt;MAX($A$8:$A$5007),"",IFERROR(MATCH($K4806,$A$8:$A$5007,1),"")))</f>
        <v/>
      </c>
      <c r="M4806" s="30" t="str">
        <f>IF($L4806="","",INDEX($A$8:$A$5007,$L4806))</f>
        <v/>
      </c>
      <c r="N4806" s="31" t="str">
        <f>IF($L4806="","",INDEX($B$8:$B$5007,$L4806))</f>
        <v/>
      </c>
      <c r="O4806" s="32" t="str">
        <f>IF($M4806="","",IF($K4806-$M4806&gt;7,"",IF($M4806&lt;=$A4806,"",IF(OR($B4806&lt;=0,$N4806&lt;=0),"",($N4806/$B4806)^(365/($M4806-$A4806))-1))))</f>
        <v/>
      </c>
      <c r="P4806" s="31" t="str">
        <f>IF($B4806="","",IF($P4805="",$B4806,MAX($P4805,$B4806)))</f>
        <v/>
      </c>
      <c r="Q4806" s="32" t="str">
        <f>IF($P4806="","",$B4806/$P4806-1)</f>
        <v/>
      </c>
    </row>
    <row r="4807">
      <c r="A4807" s="11" t="n"/>
      <c r="B4807" s="29" t="n"/>
      <c r="K4807" s="30" t="str">
        <f>IF($A4807="","",EDATE($A4807,12*$E$4))</f>
        <v/>
      </c>
      <c r="L4807" s="19" t="str">
        <f>IF($K4807="","",IF($K4807&gt;MAX($A$8:$A$5007),"",IFERROR(MATCH($K4807,$A$8:$A$5007,1),"")))</f>
        <v/>
      </c>
      <c r="M4807" s="30" t="str">
        <f>IF($L4807="","",INDEX($A$8:$A$5007,$L4807))</f>
        <v/>
      </c>
      <c r="N4807" s="31" t="str">
        <f>IF($L4807="","",INDEX($B$8:$B$5007,$L4807))</f>
        <v/>
      </c>
      <c r="O4807" s="32" t="str">
        <f>IF($M4807="","",IF($K4807-$M4807&gt;7,"",IF($M4807&lt;=$A4807,"",IF(OR($B4807&lt;=0,$N4807&lt;=0),"",($N4807/$B4807)^(365/($M4807-$A4807))-1))))</f>
        <v/>
      </c>
      <c r="P4807" s="31" t="str">
        <f>IF($B4807="","",IF($P4806="",$B4807,MAX($P4806,$B4807)))</f>
        <v/>
      </c>
      <c r="Q4807" s="32" t="str">
        <f>IF($P4807="","",$B4807/$P4807-1)</f>
        <v/>
      </c>
    </row>
    <row r="4808">
      <c r="A4808" s="11" t="n"/>
      <c r="B4808" s="29" t="n"/>
      <c r="K4808" s="30" t="str">
        <f>IF($A4808="","",EDATE($A4808,12*$E$4))</f>
        <v/>
      </c>
      <c r="L4808" s="19" t="str">
        <f>IF($K4808="","",IF($K4808&gt;MAX($A$8:$A$5007),"",IFERROR(MATCH($K4808,$A$8:$A$5007,1),"")))</f>
        <v/>
      </c>
      <c r="M4808" s="30" t="str">
        <f>IF($L4808="","",INDEX($A$8:$A$5007,$L4808))</f>
        <v/>
      </c>
      <c r="N4808" s="31" t="str">
        <f>IF($L4808="","",INDEX($B$8:$B$5007,$L4808))</f>
        <v/>
      </c>
      <c r="O4808" s="32" t="str">
        <f>IF($M4808="","",IF($K4808-$M4808&gt;7,"",IF($M4808&lt;=$A4808,"",IF(OR($B4808&lt;=0,$N4808&lt;=0),"",($N4808/$B4808)^(365/($M4808-$A4808))-1))))</f>
        <v/>
      </c>
      <c r="P4808" s="31" t="str">
        <f>IF($B4808="","",IF($P4807="",$B4808,MAX($P4807,$B4808)))</f>
        <v/>
      </c>
      <c r="Q4808" s="32" t="str">
        <f>IF($P4808="","",$B4808/$P4808-1)</f>
        <v/>
      </c>
    </row>
    <row r="4809">
      <c r="A4809" s="11" t="n"/>
      <c r="B4809" s="29" t="n"/>
      <c r="K4809" s="30" t="str">
        <f>IF($A4809="","",EDATE($A4809,12*$E$4))</f>
        <v/>
      </c>
      <c r="L4809" s="19" t="str">
        <f>IF($K4809="","",IF($K4809&gt;MAX($A$8:$A$5007),"",IFERROR(MATCH($K4809,$A$8:$A$5007,1),"")))</f>
        <v/>
      </c>
      <c r="M4809" s="30" t="str">
        <f>IF($L4809="","",INDEX($A$8:$A$5007,$L4809))</f>
        <v/>
      </c>
      <c r="N4809" s="31" t="str">
        <f>IF($L4809="","",INDEX($B$8:$B$5007,$L4809))</f>
        <v/>
      </c>
      <c r="O4809" s="32" t="str">
        <f>IF($M4809="","",IF($K4809-$M4809&gt;7,"",IF($M4809&lt;=$A4809,"",IF(OR($B4809&lt;=0,$N4809&lt;=0),"",($N4809/$B4809)^(365/($M4809-$A4809))-1))))</f>
        <v/>
      </c>
      <c r="P4809" s="31" t="str">
        <f>IF($B4809="","",IF($P4808="",$B4809,MAX($P4808,$B4809)))</f>
        <v/>
      </c>
      <c r="Q4809" s="32" t="str">
        <f>IF($P4809="","",$B4809/$P4809-1)</f>
        <v/>
      </c>
    </row>
    <row r="4810">
      <c r="A4810" s="11" t="n"/>
      <c r="B4810" s="29" t="n"/>
      <c r="K4810" s="30" t="str">
        <f>IF($A4810="","",EDATE($A4810,12*$E$4))</f>
        <v/>
      </c>
      <c r="L4810" s="19" t="str">
        <f>IF($K4810="","",IF($K4810&gt;MAX($A$8:$A$5007),"",IFERROR(MATCH($K4810,$A$8:$A$5007,1),"")))</f>
        <v/>
      </c>
      <c r="M4810" s="30" t="str">
        <f>IF($L4810="","",INDEX($A$8:$A$5007,$L4810))</f>
        <v/>
      </c>
      <c r="N4810" s="31" t="str">
        <f>IF($L4810="","",INDEX($B$8:$B$5007,$L4810))</f>
        <v/>
      </c>
      <c r="O4810" s="32" t="str">
        <f>IF($M4810="","",IF($K4810-$M4810&gt;7,"",IF($M4810&lt;=$A4810,"",IF(OR($B4810&lt;=0,$N4810&lt;=0),"",($N4810/$B4810)^(365/($M4810-$A4810))-1))))</f>
        <v/>
      </c>
      <c r="P4810" s="31" t="str">
        <f>IF($B4810="","",IF($P4809="",$B4810,MAX($P4809,$B4810)))</f>
        <v/>
      </c>
      <c r="Q4810" s="32" t="str">
        <f>IF($P4810="","",$B4810/$P4810-1)</f>
        <v/>
      </c>
    </row>
    <row r="4811">
      <c r="A4811" s="11" t="n"/>
      <c r="B4811" s="29" t="n"/>
      <c r="K4811" s="30" t="str">
        <f>IF($A4811="","",EDATE($A4811,12*$E$4))</f>
        <v/>
      </c>
      <c r="L4811" s="19" t="str">
        <f>IF($K4811="","",IF($K4811&gt;MAX($A$8:$A$5007),"",IFERROR(MATCH($K4811,$A$8:$A$5007,1),"")))</f>
        <v/>
      </c>
      <c r="M4811" s="30" t="str">
        <f>IF($L4811="","",INDEX($A$8:$A$5007,$L4811))</f>
        <v/>
      </c>
      <c r="N4811" s="31" t="str">
        <f>IF($L4811="","",INDEX($B$8:$B$5007,$L4811))</f>
        <v/>
      </c>
      <c r="O4811" s="32" t="str">
        <f>IF($M4811="","",IF($K4811-$M4811&gt;7,"",IF($M4811&lt;=$A4811,"",IF(OR($B4811&lt;=0,$N4811&lt;=0),"",($N4811/$B4811)^(365/($M4811-$A4811))-1))))</f>
        <v/>
      </c>
      <c r="P4811" s="31" t="str">
        <f>IF($B4811="","",IF($P4810="",$B4811,MAX($P4810,$B4811)))</f>
        <v/>
      </c>
      <c r="Q4811" s="32" t="str">
        <f>IF($P4811="","",$B4811/$P4811-1)</f>
        <v/>
      </c>
    </row>
    <row r="4812">
      <c r="A4812" s="11" t="n"/>
      <c r="B4812" s="29" t="n"/>
      <c r="K4812" s="30" t="str">
        <f>IF($A4812="","",EDATE($A4812,12*$E$4))</f>
        <v/>
      </c>
      <c r="L4812" s="19" t="str">
        <f>IF($K4812="","",IF($K4812&gt;MAX($A$8:$A$5007),"",IFERROR(MATCH($K4812,$A$8:$A$5007,1),"")))</f>
        <v/>
      </c>
      <c r="M4812" s="30" t="str">
        <f>IF($L4812="","",INDEX($A$8:$A$5007,$L4812))</f>
        <v/>
      </c>
      <c r="N4812" s="31" t="str">
        <f>IF($L4812="","",INDEX($B$8:$B$5007,$L4812))</f>
        <v/>
      </c>
      <c r="O4812" s="32" t="str">
        <f>IF($M4812="","",IF($K4812-$M4812&gt;7,"",IF($M4812&lt;=$A4812,"",IF(OR($B4812&lt;=0,$N4812&lt;=0),"",($N4812/$B4812)^(365/($M4812-$A4812))-1))))</f>
        <v/>
      </c>
      <c r="P4812" s="31" t="str">
        <f>IF($B4812="","",IF($P4811="",$B4812,MAX($P4811,$B4812)))</f>
        <v/>
      </c>
      <c r="Q4812" s="32" t="str">
        <f>IF($P4812="","",$B4812/$P4812-1)</f>
        <v/>
      </c>
    </row>
    <row r="4813">
      <c r="A4813" s="11" t="n"/>
      <c r="B4813" s="29" t="n"/>
      <c r="K4813" s="30" t="str">
        <f>IF($A4813="","",EDATE($A4813,12*$E$4))</f>
        <v/>
      </c>
      <c r="L4813" s="19" t="str">
        <f>IF($K4813="","",IF($K4813&gt;MAX($A$8:$A$5007),"",IFERROR(MATCH($K4813,$A$8:$A$5007,1),"")))</f>
        <v/>
      </c>
      <c r="M4813" s="30" t="str">
        <f>IF($L4813="","",INDEX($A$8:$A$5007,$L4813))</f>
        <v/>
      </c>
      <c r="N4813" s="31" t="str">
        <f>IF($L4813="","",INDEX($B$8:$B$5007,$L4813))</f>
        <v/>
      </c>
      <c r="O4813" s="32" t="str">
        <f>IF($M4813="","",IF($K4813-$M4813&gt;7,"",IF($M4813&lt;=$A4813,"",IF(OR($B4813&lt;=0,$N4813&lt;=0),"",($N4813/$B4813)^(365/($M4813-$A4813))-1))))</f>
        <v/>
      </c>
      <c r="P4813" s="31" t="str">
        <f>IF($B4813="","",IF($P4812="",$B4813,MAX($P4812,$B4813)))</f>
        <v/>
      </c>
      <c r="Q4813" s="32" t="str">
        <f>IF($P4813="","",$B4813/$P4813-1)</f>
        <v/>
      </c>
    </row>
    <row r="4814">
      <c r="A4814" s="11" t="n"/>
      <c r="B4814" s="29" t="n"/>
      <c r="K4814" s="30" t="str">
        <f>IF($A4814="","",EDATE($A4814,12*$E$4))</f>
        <v/>
      </c>
      <c r="L4814" s="19" t="str">
        <f>IF($K4814="","",IF($K4814&gt;MAX($A$8:$A$5007),"",IFERROR(MATCH($K4814,$A$8:$A$5007,1),"")))</f>
        <v/>
      </c>
      <c r="M4814" s="30" t="str">
        <f>IF($L4814="","",INDEX($A$8:$A$5007,$L4814))</f>
        <v/>
      </c>
      <c r="N4814" s="31" t="str">
        <f>IF($L4814="","",INDEX($B$8:$B$5007,$L4814))</f>
        <v/>
      </c>
      <c r="O4814" s="32" t="str">
        <f>IF($M4814="","",IF($K4814-$M4814&gt;7,"",IF($M4814&lt;=$A4814,"",IF(OR($B4814&lt;=0,$N4814&lt;=0),"",($N4814/$B4814)^(365/($M4814-$A4814))-1))))</f>
        <v/>
      </c>
      <c r="P4814" s="31" t="str">
        <f>IF($B4814="","",IF($P4813="",$B4814,MAX($P4813,$B4814)))</f>
        <v/>
      </c>
      <c r="Q4814" s="32" t="str">
        <f>IF($P4814="","",$B4814/$P4814-1)</f>
        <v/>
      </c>
    </row>
    <row r="4815">
      <c r="A4815" s="11" t="n"/>
      <c r="B4815" s="29" t="n"/>
      <c r="K4815" s="30" t="str">
        <f>IF($A4815="","",EDATE($A4815,12*$E$4))</f>
        <v/>
      </c>
      <c r="L4815" s="19" t="str">
        <f>IF($K4815="","",IF($K4815&gt;MAX($A$8:$A$5007),"",IFERROR(MATCH($K4815,$A$8:$A$5007,1),"")))</f>
        <v/>
      </c>
      <c r="M4815" s="30" t="str">
        <f>IF($L4815="","",INDEX($A$8:$A$5007,$L4815))</f>
        <v/>
      </c>
      <c r="N4815" s="31" t="str">
        <f>IF($L4815="","",INDEX($B$8:$B$5007,$L4815))</f>
        <v/>
      </c>
      <c r="O4815" s="32" t="str">
        <f>IF($M4815="","",IF($K4815-$M4815&gt;7,"",IF($M4815&lt;=$A4815,"",IF(OR($B4815&lt;=0,$N4815&lt;=0),"",($N4815/$B4815)^(365/($M4815-$A4815))-1))))</f>
        <v/>
      </c>
      <c r="P4815" s="31" t="str">
        <f>IF($B4815="","",IF($P4814="",$B4815,MAX($P4814,$B4815)))</f>
        <v/>
      </c>
      <c r="Q4815" s="32" t="str">
        <f>IF($P4815="","",$B4815/$P4815-1)</f>
        <v/>
      </c>
    </row>
    <row r="4816">
      <c r="A4816" s="11" t="n"/>
      <c r="B4816" s="29" t="n"/>
      <c r="K4816" s="30" t="str">
        <f>IF($A4816="","",EDATE($A4816,12*$E$4))</f>
        <v/>
      </c>
      <c r="L4816" s="19" t="str">
        <f>IF($K4816="","",IF($K4816&gt;MAX($A$8:$A$5007),"",IFERROR(MATCH($K4816,$A$8:$A$5007,1),"")))</f>
        <v/>
      </c>
      <c r="M4816" s="30" t="str">
        <f>IF($L4816="","",INDEX($A$8:$A$5007,$L4816))</f>
        <v/>
      </c>
      <c r="N4816" s="31" t="str">
        <f>IF($L4816="","",INDEX($B$8:$B$5007,$L4816))</f>
        <v/>
      </c>
      <c r="O4816" s="32" t="str">
        <f>IF($M4816="","",IF($K4816-$M4816&gt;7,"",IF($M4816&lt;=$A4816,"",IF(OR($B4816&lt;=0,$N4816&lt;=0),"",($N4816/$B4816)^(365/($M4816-$A4816))-1))))</f>
        <v/>
      </c>
      <c r="P4816" s="31" t="str">
        <f>IF($B4816="","",IF($P4815="",$B4816,MAX($P4815,$B4816)))</f>
        <v/>
      </c>
      <c r="Q4816" s="32" t="str">
        <f>IF($P4816="","",$B4816/$P4816-1)</f>
        <v/>
      </c>
    </row>
    <row r="4817">
      <c r="A4817" s="11" t="n"/>
      <c r="B4817" s="29" t="n"/>
      <c r="K4817" s="30" t="str">
        <f>IF($A4817="","",EDATE($A4817,12*$E$4))</f>
        <v/>
      </c>
      <c r="L4817" s="19" t="str">
        <f>IF($K4817="","",IF($K4817&gt;MAX($A$8:$A$5007),"",IFERROR(MATCH($K4817,$A$8:$A$5007,1),"")))</f>
        <v/>
      </c>
      <c r="M4817" s="30" t="str">
        <f>IF($L4817="","",INDEX($A$8:$A$5007,$L4817))</f>
        <v/>
      </c>
      <c r="N4817" s="31" t="str">
        <f>IF($L4817="","",INDEX($B$8:$B$5007,$L4817))</f>
        <v/>
      </c>
      <c r="O4817" s="32" t="str">
        <f>IF($M4817="","",IF($K4817-$M4817&gt;7,"",IF($M4817&lt;=$A4817,"",IF(OR($B4817&lt;=0,$N4817&lt;=0),"",($N4817/$B4817)^(365/($M4817-$A4817))-1))))</f>
        <v/>
      </c>
      <c r="P4817" s="31" t="str">
        <f>IF($B4817="","",IF($P4816="",$B4817,MAX($P4816,$B4817)))</f>
        <v/>
      </c>
      <c r="Q4817" s="32" t="str">
        <f>IF($P4817="","",$B4817/$P4817-1)</f>
        <v/>
      </c>
    </row>
    <row r="4818">
      <c r="A4818" s="11" t="n"/>
      <c r="B4818" s="29" t="n"/>
      <c r="K4818" s="30" t="str">
        <f>IF($A4818="","",EDATE($A4818,12*$E$4))</f>
        <v/>
      </c>
      <c r="L4818" s="19" t="str">
        <f>IF($K4818="","",IF($K4818&gt;MAX($A$8:$A$5007),"",IFERROR(MATCH($K4818,$A$8:$A$5007,1),"")))</f>
        <v/>
      </c>
      <c r="M4818" s="30" t="str">
        <f>IF($L4818="","",INDEX($A$8:$A$5007,$L4818))</f>
        <v/>
      </c>
      <c r="N4818" s="31" t="str">
        <f>IF($L4818="","",INDEX($B$8:$B$5007,$L4818))</f>
        <v/>
      </c>
      <c r="O4818" s="32" t="str">
        <f>IF($M4818="","",IF($K4818-$M4818&gt;7,"",IF($M4818&lt;=$A4818,"",IF(OR($B4818&lt;=0,$N4818&lt;=0),"",($N4818/$B4818)^(365/($M4818-$A4818))-1))))</f>
        <v/>
      </c>
      <c r="P4818" s="31" t="str">
        <f>IF($B4818="","",IF($P4817="",$B4818,MAX($P4817,$B4818)))</f>
        <v/>
      </c>
      <c r="Q4818" s="32" t="str">
        <f>IF($P4818="","",$B4818/$P4818-1)</f>
        <v/>
      </c>
    </row>
    <row r="4819">
      <c r="A4819" s="11" t="n"/>
      <c r="B4819" s="29" t="n"/>
      <c r="K4819" s="30" t="str">
        <f>IF($A4819="","",EDATE($A4819,12*$E$4))</f>
        <v/>
      </c>
      <c r="L4819" s="19" t="str">
        <f>IF($K4819="","",IF($K4819&gt;MAX($A$8:$A$5007),"",IFERROR(MATCH($K4819,$A$8:$A$5007,1),"")))</f>
        <v/>
      </c>
      <c r="M4819" s="30" t="str">
        <f>IF($L4819="","",INDEX($A$8:$A$5007,$L4819))</f>
        <v/>
      </c>
      <c r="N4819" s="31" t="str">
        <f>IF($L4819="","",INDEX($B$8:$B$5007,$L4819))</f>
        <v/>
      </c>
      <c r="O4819" s="32" t="str">
        <f>IF($M4819="","",IF($K4819-$M4819&gt;7,"",IF($M4819&lt;=$A4819,"",IF(OR($B4819&lt;=0,$N4819&lt;=0),"",($N4819/$B4819)^(365/($M4819-$A4819))-1))))</f>
        <v/>
      </c>
      <c r="P4819" s="31" t="str">
        <f>IF($B4819="","",IF($P4818="",$B4819,MAX($P4818,$B4819)))</f>
        <v/>
      </c>
      <c r="Q4819" s="32" t="str">
        <f>IF($P4819="","",$B4819/$P4819-1)</f>
        <v/>
      </c>
    </row>
    <row r="4820">
      <c r="A4820" s="11" t="n"/>
      <c r="B4820" s="29" t="n"/>
      <c r="K4820" s="30" t="str">
        <f>IF($A4820="","",EDATE($A4820,12*$E$4))</f>
        <v/>
      </c>
      <c r="L4820" s="19" t="str">
        <f>IF($K4820="","",IF($K4820&gt;MAX($A$8:$A$5007),"",IFERROR(MATCH($K4820,$A$8:$A$5007,1),"")))</f>
        <v/>
      </c>
      <c r="M4820" s="30" t="str">
        <f>IF($L4820="","",INDEX($A$8:$A$5007,$L4820))</f>
        <v/>
      </c>
      <c r="N4820" s="31" t="str">
        <f>IF($L4820="","",INDEX($B$8:$B$5007,$L4820))</f>
        <v/>
      </c>
      <c r="O4820" s="32" t="str">
        <f>IF($M4820="","",IF($K4820-$M4820&gt;7,"",IF($M4820&lt;=$A4820,"",IF(OR($B4820&lt;=0,$N4820&lt;=0),"",($N4820/$B4820)^(365/($M4820-$A4820))-1))))</f>
        <v/>
      </c>
      <c r="P4820" s="31" t="str">
        <f>IF($B4820="","",IF($P4819="",$B4820,MAX($P4819,$B4820)))</f>
        <v/>
      </c>
      <c r="Q4820" s="32" t="str">
        <f>IF($P4820="","",$B4820/$P4820-1)</f>
        <v/>
      </c>
    </row>
    <row r="4821">
      <c r="A4821" s="11" t="n"/>
      <c r="B4821" s="29" t="n"/>
      <c r="K4821" s="30" t="str">
        <f>IF($A4821="","",EDATE($A4821,12*$E$4))</f>
        <v/>
      </c>
      <c r="L4821" s="19" t="str">
        <f>IF($K4821="","",IF($K4821&gt;MAX($A$8:$A$5007),"",IFERROR(MATCH($K4821,$A$8:$A$5007,1),"")))</f>
        <v/>
      </c>
      <c r="M4821" s="30" t="str">
        <f>IF($L4821="","",INDEX($A$8:$A$5007,$L4821))</f>
        <v/>
      </c>
      <c r="N4821" s="31" t="str">
        <f>IF($L4821="","",INDEX($B$8:$B$5007,$L4821))</f>
        <v/>
      </c>
      <c r="O4821" s="32" t="str">
        <f>IF($M4821="","",IF($K4821-$M4821&gt;7,"",IF($M4821&lt;=$A4821,"",IF(OR($B4821&lt;=0,$N4821&lt;=0),"",($N4821/$B4821)^(365/($M4821-$A4821))-1))))</f>
        <v/>
      </c>
      <c r="P4821" s="31" t="str">
        <f>IF($B4821="","",IF($P4820="",$B4821,MAX($P4820,$B4821)))</f>
        <v/>
      </c>
      <c r="Q4821" s="32" t="str">
        <f>IF($P4821="","",$B4821/$P4821-1)</f>
        <v/>
      </c>
    </row>
    <row r="4822">
      <c r="A4822" s="11" t="n"/>
      <c r="B4822" s="29" t="n"/>
      <c r="K4822" s="30" t="str">
        <f>IF($A4822="","",EDATE($A4822,12*$E$4))</f>
        <v/>
      </c>
      <c r="L4822" s="19" t="str">
        <f>IF($K4822="","",IF($K4822&gt;MAX($A$8:$A$5007),"",IFERROR(MATCH($K4822,$A$8:$A$5007,1),"")))</f>
        <v/>
      </c>
      <c r="M4822" s="30" t="str">
        <f>IF($L4822="","",INDEX($A$8:$A$5007,$L4822))</f>
        <v/>
      </c>
      <c r="N4822" s="31" t="str">
        <f>IF($L4822="","",INDEX($B$8:$B$5007,$L4822))</f>
        <v/>
      </c>
      <c r="O4822" s="32" t="str">
        <f>IF($M4822="","",IF($K4822-$M4822&gt;7,"",IF($M4822&lt;=$A4822,"",IF(OR($B4822&lt;=0,$N4822&lt;=0),"",($N4822/$B4822)^(365/($M4822-$A4822))-1))))</f>
        <v/>
      </c>
      <c r="P4822" s="31" t="str">
        <f>IF($B4822="","",IF($P4821="",$B4822,MAX($P4821,$B4822)))</f>
        <v/>
      </c>
      <c r="Q4822" s="32" t="str">
        <f>IF($P4822="","",$B4822/$P4822-1)</f>
        <v/>
      </c>
    </row>
    <row r="4823">
      <c r="A4823" s="11" t="n"/>
      <c r="B4823" s="29" t="n"/>
      <c r="K4823" s="30" t="str">
        <f>IF($A4823="","",EDATE($A4823,12*$E$4))</f>
        <v/>
      </c>
      <c r="L4823" s="19" t="str">
        <f>IF($K4823="","",IF($K4823&gt;MAX($A$8:$A$5007),"",IFERROR(MATCH($K4823,$A$8:$A$5007,1),"")))</f>
        <v/>
      </c>
      <c r="M4823" s="30" t="str">
        <f>IF($L4823="","",INDEX($A$8:$A$5007,$L4823))</f>
        <v/>
      </c>
      <c r="N4823" s="31" t="str">
        <f>IF($L4823="","",INDEX($B$8:$B$5007,$L4823))</f>
        <v/>
      </c>
      <c r="O4823" s="32" t="str">
        <f>IF($M4823="","",IF($K4823-$M4823&gt;7,"",IF($M4823&lt;=$A4823,"",IF(OR($B4823&lt;=0,$N4823&lt;=0),"",($N4823/$B4823)^(365/($M4823-$A4823))-1))))</f>
        <v/>
      </c>
      <c r="P4823" s="31" t="str">
        <f>IF($B4823="","",IF($P4822="",$B4823,MAX($P4822,$B4823)))</f>
        <v/>
      </c>
      <c r="Q4823" s="32" t="str">
        <f>IF($P4823="","",$B4823/$P4823-1)</f>
        <v/>
      </c>
    </row>
    <row r="4824">
      <c r="A4824" s="11" t="n"/>
      <c r="B4824" s="29" t="n"/>
      <c r="K4824" s="30" t="str">
        <f>IF($A4824="","",EDATE($A4824,12*$E$4))</f>
        <v/>
      </c>
      <c r="L4824" s="19" t="str">
        <f>IF($K4824="","",IF($K4824&gt;MAX($A$8:$A$5007),"",IFERROR(MATCH($K4824,$A$8:$A$5007,1),"")))</f>
        <v/>
      </c>
      <c r="M4824" s="30" t="str">
        <f>IF($L4824="","",INDEX($A$8:$A$5007,$L4824))</f>
        <v/>
      </c>
      <c r="N4824" s="31" t="str">
        <f>IF($L4824="","",INDEX($B$8:$B$5007,$L4824))</f>
        <v/>
      </c>
      <c r="O4824" s="32" t="str">
        <f>IF($M4824="","",IF($K4824-$M4824&gt;7,"",IF($M4824&lt;=$A4824,"",IF(OR($B4824&lt;=0,$N4824&lt;=0),"",($N4824/$B4824)^(365/($M4824-$A4824))-1))))</f>
        <v/>
      </c>
      <c r="P4824" s="31" t="str">
        <f>IF($B4824="","",IF($P4823="",$B4824,MAX($P4823,$B4824)))</f>
        <v/>
      </c>
      <c r="Q4824" s="32" t="str">
        <f>IF($P4824="","",$B4824/$P4824-1)</f>
        <v/>
      </c>
    </row>
    <row r="4825">
      <c r="A4825" s="11" t="n"/>
      <c r="B4825" s="29" t="n"/>
      <c r="K4825" s="30" t="str">
        <f>IF($A4825="","",EDATE($A4825,12*$E$4))</f>
        <v/>
      </c>
      <c r="L4825" s="19" t="str">
        <f>IF($K4825="","",IF($K4825&gt;MAX($A$8:$A$5007),"",IFERROR(MATCH($K4825,$A$8:$A$5007,1),"")))</f>
        <v/>
      </c>
      <c r="M4825" s="30" t="str">
        <f>IF($L4825="","",INDEX($A$8:$A$5007,$L4825))</f>
        <v/>
      </c>
      <c r="N4825" s="31" t="str">
        <f>IF($L4825="","",INDEX($B$8:$B$5007,$L4825))</f>
        <v/>
      </c>
      <c r="O4825" s="32" t="str">
        <f>IF($M4825="","",IF($K4825-$M4825&gt;7,"",IF($M4825&lt;=$A4825,"",IF(OR($B4825&lt;=0,$N4825&lt;=0),"",($N4825/$B4825)^(365/($M4825-$A4825))-1))))</f>
        <v/>
      </c>
      <c r="P4825" s="31" t="str">
        <f>IF($B4825="","",IF($P4824="",$B4825,MAX($P4824,$B4825)))</f>
        <v/>
      </c>
      <c r="Q4825" s="32" t="str">
        <f>IF($P4825="","",$B4825/$P4825-1)</f>
        <v/>
      </c>
    </row>
    <row r="4826">
      <c r="A4826" s="11" t="n"/>
      <c r="B4826" s="29" t="n"/>
      <c r="K4826" s="30" t="str">
        <f>IF($A4826="","",EDATE($A4826,12*$E$4))</f>
        <v/>
      </c>
      <c r="L4826" s="19" t="str">
        <f>IF($K4826="","",IF($K4826&gt;MAX($A$8:$A$5007),"",IFERROR(MATCH($K4826,$A$8:$A$5007,1),"")))</f>
        <v/>
      </c>
      <c r="M4826" s="30" t="str">
        <f>IF($L4826="","",INDEX($A$8:$A$5007,$L4826))</f>
        <v/>
      </c>
      <c r="N4826" s="31" t="str">
        <f>IF($L4826="","",INDEX($B$8:$B$5007,$L4826))</f>
        <v/>
      </c>
      <c r="O4826" s="32" t="str">
        <f>IF($M4826="","",IF($K4826-$M4826&gt;7,"",IF($M4826&lt;=$A4826,"",IF(OR($B4826&lt;=0,$N4826&lt;=0),"",($N4826/$B4826)^(365/($M4826-$A4826))-1))))</f>
        <v/>
      </c>
      <c r="P4826" s="31" t="str">
        <f>IF($B4826="","",IF($P4825="",$B4826,MAX($P4825,$B4826)))</f>
        <v/>
      </c>
      <c r="Q4826" s="32" t="str">
        <f>IF($P4826="","",$B4826/$P4826-1)</f>
        <v/>
      </c>
    </row>
    <row r="4827">
      <c r="A4827" s="11" t="n"/>
      <c r="B4827" s="29" t="n"/>
      <c r="K4827" s="30" t="str">
        <f>IF($A4827="","",EDATE($A4827,12*$E$4))</f>
        <v/>
      </c>
      <c r="L4827" s="19" t="str">
        <f>IF($K4827="","",IF($K4827&gt;MAX($A$8:$A$5007),"",IFERROR(MATCH($K4827,$A$8:$A$5007,1),"")))</f>
        <v/>
      </c>
      <c r="M4827" s="30" t="str">
        <f>IF($L4827="","",INDEX($A$8:$A$5007,$L4827))</f>
        <v/>
      </c>
      <c r="N4827" s="31" t="str">
        <f>IF($L4827="","",INDEX($B$8:$B$5007,$L4827))</f>
        <v/>
      </c>
      <c r="O4827" s="32" t="str">
        <f>IF($M4827="","",IF($K4827-$M4827&gt;7,"",IF($M4827&lt;=$A4827,"",IF(OR($B4827&lt;=0,$N4827&lt;=0),"",($N4827/$B4827)^(365/($M4827-$A4827))-1))))</f>
        <v/>
      </c>
      <c r="P4827" s="31" t="str">
        <f>IF($B4827="","",IF($P4826="",$B4827,MAX($P4826,$B4827)))</f>
        <v/>
      </c>
      <c r="Q4827" s="32" t="str">
        <f>IF($P4827="","",$B4827/$P4827-1)</f>
        <v/>
      </c>
    </row>
    <row r="4828">
      <c r="A4828" s="11" t="n"/>
      <c r="B4828" s="29" t="n"/>
      <c r="K4828" s="30" t="str">
        <f>IF($A4828="","",EDATE($A4828,12*$E$4))</f>
        <v/>
      </c>
      <c r="L4828" s="19" t="str">
        <f>IF($K4828="","",IF($K4828&gt;MAX($A$8:$A$5007),"",IFERROR(MATCH($K4828,$A$8:$A$5007,1),"")))</f>
        <v/>
      </c>
      <c r="M4828" s="30" t="str">
        <f>IF($L4828="","",INDEX($A$8:$A$5007,$L4828))</f>
        <v/>
      </c>
      <c r="N4828" s="31" t="str">
        <f>IF($L4828="","",INDEX($B$8:$B$5007,$L4828))</f>
        <v/>
      </c>
      <c r="O4828" s="32" t="str">
        <f>IF($M4828="","",IF($K4828-$M4828&gt;7,"",IF($M4828&lt;=$A4828,"",IF(OR($B4828&lt;=0,$N4828&lt;=0),"",($N4828/$B4828)^(365/($M4828-$A4828))-1))))</f>
        <v/>
      </c>
      <c r="P4828" s="31" t="str">
        <f>IF($B4828="","",IF($P4827="",$B4828,MAX($P4827,$B4828)))</f>
        <v/>
      </c>
      <c r="Q4828" s="32" t="str">
        <f>IF($P4828="","",$B4828/$P4828-1)</f>
        <v/>
      </c>
    </row>
    <row r="4829">
      <c r="A4829" s="11" t="n"/>
      <c r="B4829" s="29" t="n"/>
      <c r="K4829" s="30" t="str">
        <f>IF($A4829="","",EDATE($A4829,12*$E$4))</f>
        <v/>
      </c>
      <c r="L4829" s="19" t="str">
        <f>IF($K4829="","",IF($K4829&gt;MAX($A$8:$A$5007),"",IFERROR(MATCH($K4829,$A$8:$A$5007,1),"")))</f>
        <v/>
      </c>
      <c r="M4829" s="30" t="str">
        <f>IF($L4829="","",INDEX($A$8:$A$5007,$L4829))</f>
        <v/>
      </c>
      <c r="N4829" s="31" t="str">
        <f>IF($L4829="","",INDEX($B$8:$B$5007,$L4829))</f>
        <v/>
      </c>
      <c r="O4829" s="32" t="str">
        <f>IF($M4829="","",IF($K4829-$M4829&gt;7,"",IF($M4829&lt;=$A4829,"",IF(OR($B4829&lt;=0,$N4829&lt;=0),"",($N4829/$B4829)^(365/($M4829-$A4829))-1))))</f>
        <v/>
      </c>
      <c r="P4829" s="31" t="str">
        <f>IF($B4829="","",IF($P4828="",$B4829,MAX($P4828,$B4829)))</f>
        <v/>
      </c>
      <c r="Q4829" s="32" t="str">
        <f>IF($P4829="","",$B4829/$P4829-1)</f>
        <v/>
      </c>
    </row>
    <row r="4830">
      <c r="A4830" s="11" t="n"/>
      <c r="B4830" s="29" t="n"/>
      <c r="K4830" s="30" t="str">
        <f>IF($A4830="","",EDATE($A4830,12*$E$4))</f>
        <v/>
      </c>
      <c r="L4830" s="19" t="str">
        <f>IF($K4830="","",IF($K4830&gt;MAX($A$8:$A$5007),"",IFERROR(MATCH($K4830,$A$8:$A$5007,1),"")))</f>
        <v/>
      </c>
      <c r="M4830" s="30" t="str">
        <f>IF($L4830="","",INDEX($A$8:$A$5007,$L4830))</f>
        <v/>
      </c>
      <c r="N4830" s="31" t="str">
        <f>IF($L4830="","",INDEX($B$8:$B$5007,$L4830))</f>
        <v/>
      </c>
      <c r="O4830" s="32" t="str">
        <f>IF($M4830="","",IF($K4830-$M4830&gt;7,"",IF($M4830&lt;=$A4830,"",IF(OR($B4830&lt;=0,$N4830&lt;=0),"",($N4830/$B4830)^(365/($M4830-$A4830))-1))))</f>
        <v/>
      </c>
      <c r="P4830" s="31" t="str">
        <f>IF($B4830="","",IF($P4829="",$B4830,MAX($P4829,$B4830)))</f>
        <v/>
      </c>
      <c r="Q4830" s="32" t="str">
        <f>IF($P4830="","",$B4830/$P4830-1)</f>
        <v/>
      </c>
    </row>
    <row r="4831">
      <c r="A4831" s="11" t="n"/>
      <c r="B4831" s="29" t="n"/>
      <c r="K4831" s="30" t="str">
        <f>IF($A4831="","",EDATE($A4831,12*$E$4))</f>
        <v/>
      </c>
      <c r="L4831" s="19" t="str">
        <f>IF($K4831="","",IF($K4831&gt;MAX($A$8:$A$5007),"",IFERROR(MATCH($K4831,$A$8:$A$5007,1),"")))</f>
        <v/>
      </c>
      <c r="M4831" s="30" t="str">
        <f>IF($L4831="","",INDEX($A$8:$A$5007,$L4831))</f>
        <v/>
      </c>
      <c r="N4831" s="31" t="str">
        <f>IF($L4831="","",INDEX($B$8:$B$5007,$L4831))</f>
        <v/>
      </c>
      <c r="O4831" s="32" t="str">
        <f>IF($M4831="","",IF($K4831-$M4831&gt;7,"",IF($M4831&lt;=$A4831,"",IF(OR($B4831&lt;=0,$N4831&lt;=0),"",($N4831/$B4831)^(365/($M4831-$A4831))-1))))</f>
        <v/>
      </c>
      <c r="P4831" s="31" t="str">
        <f>IF($B4831="","",IF($P4830="",$B4831,MAX($P4830,$B4831)))</f>
        <v/>
      </c>
      <c r="Q4831" s="32" t="str">
        <f>IF($P4831="","",$B4831/$P4831-1)</f>
        <v/>
      </c>
    </row>
    <row r="4832">
      <c r="A4832" s="11" t="n"/>
      <c r="B4832" s="29" t="n"/>
      <c r="K4832" s="30" t="str">
        <f>IF($A4832="","",EDATE($A4832,12*$E$4))</f>
        <v/>
      </c>
      <c r="L4832" s="19" t="str">
        <f>IF($K4832="","",IF($K4832&gt;MAX($A$8:$A$5007),"",IFERROR(MATCH($K4832,$A$8:$A$5007,1),"")))</f>
        <v/>
      </c>
      <c r="M4832" s="30" t="str">
        <f>IF($L4832="","",INDEX($A$8:$A$5007,$L4832))</f>
        <v/>
      </c>
      <c r="N4832" s="31" t="str">
        <f>IF($L4832="","",INDEX($B$8:$B$5007,$L4832))</f>
        <v/>
      </c>
      <c r="O4832" s="32" t="str">
        <f>IF($M4832="","",IF($K4832-$M4832&gt;7,"",IF($M4832&lt;=$A4832,"",IF(OR($B4832&lt;=0,$N4832&lt;=0),"",($N4832/$B4832)^(365/($M4832-$A4832))-1))))</f>
        <v/>
      </c>
      <c r="P4832" s="31" t="str">
        <f>IF($B4832="","",IF($P4831="",$B4832,MAX($P4831,$B4832)))</f>
        <v/>
      </c>
      <c r="Q4832" s="32" t="str">
        <f>IF($P4832="","",$B4832/$P4832-1)</f>
        <v/>
      </c>
    </row>
    <row r="4833">
      <c r="A4833" s="11" t="n"/>
      <c r="B4833" s="29" t="n"/>
      <c r="K4833" s="30" t="str">
        <f>IF($A4833="","",EDATE($A4833,12*$E$4))</f>
        <v/>
      </c>
      <c r="L4833" s="19" t="str">
        <f>IF($K4833="","",IF($K4833&gt;MAX($A$8:$A$5007),"",IFERROR(MATCH($K4833,$A$8:$A$5007,1),"")))</f>
        <v/>
      </c>
      <c r="M4833" s="30" t="str">
        <f>IF($L4833="","",INDEX($A$8:$A$5007,$L4833))</f>
        <v/>
      </c>
      <c r="N4833" s="31" t="str">
        <f>IF($L4833="","",INDEX($B$8:$B$5007,$L4833))</f>
        <v/>
      </c>
      <c r="O4833" s="32" t="str">
        <f>IF($M4833="","",IF($K4833-$M4833&gt;7,"",IF($M4833&lt;=$A4833,"",IF(OR($B4833&lt;=0,$N4833&lt;=0),"",($N4833/$B4833)^(365/($M4833-$A4833))-1))))</f>
        <v/>
      </c>
      <c r="P4833" s="31" t="str">
        <f>IF($B4833="","",IF($P4832="",$B4833,MAX($P4832,$B4833)))</f>
        <v/>
      </c>
      <c r="Q4833" s="32" t="str">
        <f>IF($P4833="","",$B4833/$P4833-1)</f>
        <v/>
      </c>
    </row>
    <row r="4834">
      <c r="A4834" s="11" t="n"/>
      <c r="B4834" s="29" t="n"/>
      <c r="K4834" s="30" t="str">
        <f>IF($A4834="","",EDATE($A4834,12*$E$4))</f>
        <v/>
      </c>
      <c r="L4834" s="19" t="str">
        <f>IF($K4834="","",IF($K4834&gt;MAX($A$8:$A$5007),"",IFERROR(MATCH($K4834,$A$8:$A$5007,1),"")))</f>
        <v/>
      </c>
      <c r="M4834" s="30" t="str">
        <f>IF($L4834="","",INDEX($A$8:$A$5007,$L4834))</f>
        <v/>
      </c>
      <c r="N4834" s="31" t="str">
        <f>IF($L4834="","",INDEX($B$8:$B$5007,$L4834))</f>
        <v/>
      </c>
      <c r="O4834" s="32" t="str">
        <f>IF($M4834="","",IF($K4834-$M4834&gt;7,"",IF($M4834&lt;=$A4834,"",IF(OR($B4834&lt;=0,$N4834&lt;=0),"",($N4834/$B4834)^(365/($M4834-$A4834))-1))))</f>
        <v/>
      </c>
      <c r="P4834" s="31" t="str">
        <f>IF($B4834="","",IF($P4833="",$B4834,MAX($P4833,$B4834)))</f>
        <v/>
      </c>
      <c r="Q4834" s="32" t="str">
        <f>IF($P4834="","",$B4834/$P4834-1)</f>
        <v/>
      </c>
    </row>
    <row r="4835">
      <c r="A4835" s="11" t="n"/>
      <c r="B4835" s="29" t="n"/>
      <c r="K4835" s="30" t="str">
        <f>IF($A4835="","",EDATE($A4835,12*$E$4))</f>
        <v/>
      </c>
      <c r="L4835" s="19" t="str">
        <f>IF($K4835="","",IF($K4835&gt;MAX($A$8:$A$5007),"",IFERROR(MATCH($K4835,$A$8:$A$5007,1),"")))</f>
        <v/>
      </c>
      <c r="M4835" s="30" t="str">
        <f>IF($L4835="","",INDEX($A$8:$A$5007,$L4835))</f>
        <v/>
      </c>
      <c r="N4835" s="31" t="str">
        <f>IF($L4835="","",INDEX($B$8:$B$5007,$L4835))</f>
        <v/>
      </c>
      <c r="O4835" s="32" t="str">
        <f>IF($M4835="","",IF($K4835-$M4835&gt;7,"",IF($M4835&lt;=$A4835,"",IF(OR($B4835&lt;=0,$N4835&lt;=0),"",($N4835/$B4835)^(365/($M4835-$A4835))-1))))</f>
        <v/>
      </c>
      <c r="P4835" s="31" t="str">
        <f>IF($B4835="","",IF($P4834="",$B4835,MAX($P4834,$B4835)))</f>
        <v/>
      </c>
      <c r="Q4835" s="32" t="str">
        <f>IF($P4835="","",$B4835/$P4835-1)</f>
        <v/>
      </c>
    </row>
    <row r="4836">
      <c r="A4836" s="11" t="n"/>
      <c r="B4836" s="29" t="n"/>
      <c r="K4836" s="30" t="str">
        <f>IF($A4836="","",EDATE($A4836,12*$E$4))</f>
        <v/>
      </c>
      <c r="L4836" s="19" t="str">
        <f>IF($K4836="","",IF($K4836&gt;MAX($A$8:$A$5007),"",IFERROR(MATCH($K4836,$A$8:$A$5007,1),"")))</f>
        <v/>
      </c>
      <c r="M4836" s="30" t="str">
        <f>IF($L4836="","",INDEX($A$8:$A$5007,$L4836))</f>
        <v/>
      </c>
      <c r="N4836" s="31" t="str">
        <f>IF($L4836="","",INDEX($B$8:$B$5007,$L4836))</f>
        <v/>
      </c>
      <c r="O4836" s="32" t="str">
        <f>IF($M4836="","",IF($K4836-$M4836&gt;7,"",IF($M4836&lt;=$A4836,"",IF(OR($B4836&lt;=0,$N4836&lt;=0),"",($N4836/$B4836)^(365/($M4836-$A4836))-1))))</f>
        <v/>
      </c>
      <c r="P4836" s="31" t="str">
        <f>IF($B4836="","",IF($P4835="",$B4836,MAX($P4835,$B4836)))</f>
        <v/>
      </c>
      <c r="Q4836" s="32" t="str">
        <f>IF($P4836="","",$B4836/$P4836-1)</f>
        <v/>
      </c>
    </row>
    <row r="4837">
      <c r="A4837" s="11" t="n"/>
      <c r="B4837" s="29" t="n"/>
      <c r="K4837" s="30" t="str">
        <f>IF($A4837="","",EDATE($A4837,12*$E$4))</f>
        <v/>
      </c>
      <c r="L4837" s="19" t="str">
        <f>IF($K4837="","",IF($K4837&gt;MAX($A$8:$A$5007),"",IFERROR(MATCH($K4837,$A$8:$A$5007,1),"")))</f>
        <v/>
      </c>
      <c r="M4837" s="30" t="str">
        <f>IF($L4837="","",INDEX($A$8:$A$5007,$L4837))</f>
        <v/>
      </c>
      <c r="N4837" s="31" t="str">
        <f>IF($L4837="","",INDEX($B$8:$B$5007,$L4837))</f>
        <v/>
      </c>
      <c r="O4837" s="32" t="str">
        <f>IF($M4837="","",IF($K4837-$M4837&gt;7,"",IF($M4837&lt;=$A4837,"",IF(OR($B4837&lt;=0,$N4837&lt;=0),"",($N4837/$B4837)^(365/($M4837-$A4837))-1))))</f>
        <v/>
      </c>
      <c r="P4837" s="31" t="str">
        <f>IF($B4837="","",IF($P4836="",$B4837,MAX($P4836,$B4837)))</f>
        <v/>
      </c>
      <c r="Q4837" s="32" t="str">
        <f>IF($P4837="","",$B4837/$P4837-1)</f>
        <v/>
      </c>
    </row>
    <row r="4838">
      <c r="A4838" s="11" t="n"/>
      <c r="B4838" s="29" t="n"/>
      <c r="K4838" s="30" t="str">
        <f>IF($A4838="","",EDATE($A4838,12*$E$4))</f>
        <v/>
      </c>
      <c r="L4838" s="19" t="str">
        <f>IF($K4838="","",IF($K4838&gt;MAX($A$8:$A$5007),"",IFERROR(MATCH($K4838,$A$8:$A$5007,1),"")))</f>
        <v/>
      </c>
      <c r="M4838" s="30" t="str">
        <f>IF($L4838="","",INDEX($A$8:$A$5007,$L4838))</f>
        <v/>
      </c>
      <c r="N4838" s="31" t="str">
        <f>IF($L4838="","",INDEX($B$8:$B$5007,$L4838))</f>
        <v/>
      </c>
      <c r="O4838" s="32" t="str">
        <f>IF($M4838="","",IF($K4838-$M4838&gt;7,"",IF($M4838&lt;=$A4838,"",IF(OR($B4838&lt;=0,$N4838&lt;=0),"",($N4838/$B4838)^(365/($M4838-$A4838))-1))))</f>
        <v/>
      </c>
      <c r="P4838" s="31" t="str">
        <f>IF($B4838="","",IF($P4837="",$B4838,MAX($P4837,$B4838)))</f>
        <v/>
      </c>
      <c r="Q4838" s="32" t="str">
        <f>IF($P4838="","",$B4838/$P4838-1)</f>
        <v/>
      </c>
    </row>
    <row r="4839">
      <c r="A4839" s="11" t="n"/>
      <c r="B4839" s="29" t="n"/>
      <c r="K4839" s="30" t="str">
        <f>IF($A4839="","",EDATE($A4839,12*$E$4))</f>
        <v/>
      </c>
      <c r="L4839" s="19" t="str">
        <f>IF($K4839="","",IF($K4839&gt;MAX($A$8:$A$5007),"",IFERROR(MATCH($K4839,$A$8:$A$5007,1),"")))</f>
        <v/>
      </c>
      <c r="M4839" s="30" t="str">
        <f>IF($L4839="","",INDEX($A$8:$A$5007,$L4839))</f>
        <v/>
      </c>
      <c r="N4839" s="31" t="str">
        <f>IF($L4839="","",INDEX($B$8:$B$5007,$L4839))</f>
        <v/>
      </c>
      <c r="O4839" s="32" t="str">
        <f>IF($M4839="","",IF($K4839-$M4839&gt;7,"",IF($M4839&lt;=$A4839,"",IF(OR($B4839&lt;=0,$N4839&lt;=0),"",($N4839/$B4839)^(365/($M4839-$A4839))-1))))</f>
        <v/>
      </c>
      <c r="P4839" s="31" t="str">
        <f>IF($B4839="","",IF($P4838="",$B4839,MAX($P4838,$B4839)))</f>
        <v/>
      </c>
      <c r="Q4839" s="32" t="str">
        <f>IF($P4839="","",$B4839/$P4839-1)</f>
        <v/>
      </c>
    </row>
    <row r="4840">
      <c r="A4840" s="11" t="n"/>
      <c r="B4840" s="29" t="n"/>
      <c r="K4840" s="30" t="str">
        <f>IF($A4840="","",EDATE($A4840,12*$E$4))</f>
        <v/>
      </c>
      <c r="L4840" s="19" t="str">
        <f>IF($K4840="","",IF($K4840&gt;MAX($A$8:$A$5007),"",IFERROR(MATCH($K4840,$A$8:$A$5007,1),"")))</f>
        <v/>
      </c>
      <c r="M4840" s="30" t="str">
        <f>IF($L4840="","",INDEX($A$8:$A$5007,$L4840))</f>
        <v/>
      </c>
      <c r="N4840" s="31" t="str">
        <f>IF($L4840="","",INDEX($B$8:$B$5007,$L4840))</f>
        <v/>
      </c>
      <c r="O4840" s="32" t="str">
        <f>IF($M4840="","",IF($K4840-$M4840&gt;7,"",IF($M4840&lt;=$A4840,"",IF(OR($B4840&lt;=0,$N4840&lt;=0),"",($N4840/$B4840)^(365/($M4840-$A4840))-1))))</f>
        <v/>
      </c>
      <c r="P4840" s="31" t="str">
        <f>IF($B4840="","",IF($P4839="",$B4840,MAX($P4839,$B4840)))</f>
        <v/>
      </c>
      <c r="Q4840" s="32" t="str">
        <f>IF($P4840="","",$B4840/$P4840-1)</f>
        <v/>
      </c>
    </row>
    <row r="4841">
      <c r="A4841" s="11" t="n"/>
      <c r="B4841" s="29" t="n"/>
      <c r="K4841" s="30" t="str">
        <f>IF($A4841="","",EDATE($A4841,12*$E$4))</f>
        <v/>
      </c>
      <c r="L4841" s="19" t="str">
        <f>IF($K4841="","",IF($K4841&gt;MAX($A$8:$A$5007),"",IFERROR(MATCH($K4841,$A$8:$A$5007,1),"")))</f>
        <v/>
      </c>
      <c r="M4841" s="30" t="str">
        <f>IF($L4841="","",INDEX($A$8:$A$5007,$L4841))</f>
        <v/>
      </c>
      <c r="N4841" s="31" t="str">
        <f>IF($L4841="","",INDEX($B$8:$B$5007,$L4841))</f>
        <v/>
      </c>
      <c r="O4841" s="32" t="str">
        <f>IF($M4841="","",IF($K4841-$M4841&gt;7,"",IF($M4841&lt;=$A4841,"",IF(OR($B4841&lt;=0,$N4841&lt;=0),"",($N4841/$B4841)^(365/($M4841-$A4841))-1))))</f>
        <v/>
      </c>
      <c r="P4841" s="31" t="str">
        <f>IF($B4841="","",IF($P4840="",$B4841,MAX($P4840,$B4841)))</f>
        <v/>
      </c>
      <c r="Q4841" s="32" t="str">
        <f>IF($P4841="","",$B4841/$P4841-1)</f>
        <v/>
      </c>
    </row>
    <row r="4842">
      <c r="A4842" s="11" t="n"/>
      <c r="B4842" s="29" t="n"/>
      <c r="K4842" s="30" t="str">
        <f>IF($A4842="","",EDATE($A4842,12*$E$4))</f>
        <v/>
      </c>
      <c r="L4842" s="19" t="str">
        <f>IF($K4842="","",IF($K4842&gt;MAX($A$8:$A$5007),"",IFERROR(MATCH($K4842,$A$8:$A$5007,1),"")))</f>
        <v/>
      </c>
      <c r="M4842" s="30" t="str">
        <f>IF($L4842="","",INDEX($A$8:$A$5007,$L4842))</f>
        <v/>
      </c>
      <c r="N4842" s="31" t="str">
        <f>IF($L4842="","",INDEX($B$8:$B$5007,$L4842))</f>
        <v/>
      </c>
      <c r="O4842" s="32" t="str">
        <f>IF($M4842="","",IF($K4842-$M4842&gt;7,"",IF($M4842&lt;=$A4842,"",IF(OR($B4842&lt;=0,$N4842&lt;=0),"",($N4842/$B4842)^(365/($M4842-$A4842))-1))))</f>
        <v/>
      </c>
      <c r="P4842" s="31" t="str">
        <f>IF($B4842="","",IF($P4841="",$B4842,MAX($P4841,$B4842)))</f>
        <v/>
      </c>
      <c r="Q4842" s="32" t="str">
        <f>IF($P4842="","",$B4842/$P4842-1)</f>
        <v/>
      </c>
    </row>
    <row r="4843">
      <c r="A4843" s="11" t="n"/>
      <c r="B4843" s="29" t="n"/>
      <c r="K4843" s="30" t="str">
        <f>IF($A4843="","",EDATE($A4843,12*$E$4))</f>
        <v/>
      </c>
      <c r="L4843" s="19" t="str">
        <f>IF($K4843="","",IF($K4843&gt;MAX($A$8:$A$5007),"",IFERROR(MATCH($K4843,$A$8:$A$5007,1),"")))</f>
        <v/>
      </c>
      <c r="M4843" s="30" t="str">
        <f>IF($L4843="","",INDEX($A$8:$A$5007,$L4843))</f>
        <v/>
      </c>
      <c r="N4843" s="31" t="str">
        <f>IF($L4843="","",INDEX($B$8:$B$5007,$L4843))</f>
        <v/>
      </c>
      <c r="O4843" s="32" t="str">
        <f>IF($M4843="","",IF($K4843-$M4843&gt;7,"",IF($M4843&lt;=$A4843,"",IF(OR($B4843&lt;=0,$N4843&lt;=0),"",($N4843/$B4843)^(365/($M4843-$A4843))-1))))</f>
        <v/>
      </c>
      <c r="P4843" s="31" t="str">
        <f>IF($B4843="","",IF($P4842="",$B4843,MAX($P4842,$B4843)))</f>
        <v/>
      </c>
      <c r="Q4843" s="32" t="str">
        <f>IF($P4843="","",$B4843/$P4843-1)</f>
        <v/>
      </c>
    </row>
    <row r="4844">
      <c r="A4844" s="11" t="n"/>
      <c r="B4844" s="29" t="n"/>
      <c r="K4844" s="30" t="str">
        <f>IF($A4844="","",EDATE($A4844,12*$E$4))</f>
        <v/>
      </c>
      <c r="L4844" s="19" t="str">
        <f>IF($K4844="","",IF($K4844&gt;MAX($A$8:$A$5007),"",IFERROR(MATCH($K4844,$A$8:$A$5007,1),"")))</f>
        <v/>
      </c>
      <c r="M4844" s="30" t="str">
        <f>IF($L4844="","",INDEX($A$8:$A$5007,$L4844))</f>
        <v/>
      </c>
      <c r="N4844" s="31" t="str">
        <f>IF($L4844="","",INDEX($B$8:$B$5007,$L4844))</f>
        <v/>
      </c>
      <c r="O4844" s="32" t="str">
        <f>IF($M4844="","",IF($K4844-$M4844&gt;7,"",IF($M4844&lt;=$A4844,"",IF(OR($B4844&lt;=0,$N4844&lt;=0),"",($N4844/$B4844)^(365/($M4844-$A4844))-1))))</f>
        <v/>
      </c>
      <c r="P4844" s="31" t="str">
        <f>IF($B4844="","",IF($P4843="",$B4844,MAX($P4843,$B4844)))</f>
        <v/>
      </c>
      <c r="Q4844" s="32" t="str">
        <f>IF($P4844="","",$B4844/$P4844-1)</f>
        <v/>
      </c>
    </row>
    <row r="4845">
      <c r="A4845" s="11" t="n"/>
      <c r="B4845" s="29" t="n"/>
      <c r="K4845" s="30" t="str">
        <f>IF($A4845="","",EDATE($A4845,12*$E$4))</f>
        <v/>
      </c>
      <c r="L4845" s="19" t="str">
        <f>IF($K4845="","",IF($K4845&gt;MAX($A$8:$A$5007),"",IFERROR(MATCH($K4845,$A$8:$A$5007,1),"")))</f>
        <v/>
      </c>
      <c r="M4845" s="30" t="str">
        <f>IF($L4845="","",INDEX($A$8:$A$5007,$L4845))</f>
        <v/>
      </c>
      <c r="N4845" s="31" t="str">
        <f>IF($L4845="","",INDEX($B$8:$B$5007,$L4845))</f>
        <v/>
      </c>
      <c r="O4845" s="32" t="str">
        <f>IF($M4845="","",IF($K4845-$M4845&gt;7,"",IF($M4845&lt;=$A4845,"",IF(OR($B4845&lt;=0,$N4845&lt;=0),"",($N4845/$B4845)^(365/($M4845-$A4845))-1))))</f>
        <v/>
      </c>
      <c r="P4845" s="31" t="str">
        <f>IF($B4845="","",IF($P4844="",$B4845,MAX($P4844,$B4845)))</f>
        <v/>
      </c>
      <c r="Q4845" s="32" t="str">
        <f>IF($P4845="","",$B4845/$P4845-1)</f>
        <v/>
      </c>
    </row>
    <row r="4846">
      <c r="A4846" s="11" t="n"/>
      <c r="B4846" s="29" t="n"/>
      <c r="K4846" s="30" t="str">
        <f>IF($A4846="","",EDATE($A4846,12*$E$4))</f>
        <v/>
      </c>
      <c r="L4846" s="19" t="str">
        <f>IF($K4846="","",IF($K4846&gt;MAX($A$8:$A$5007),"",IFERROR(MATCH($K4846,$A$8:$A$5007,1),"")))</f>
        <v/>
      </c>
      <c r="M4846" s="30" t="str">
        <f>IF($L4846="","",INDEX($A$8:$A$5007,$L4846))</f>
        <v/>
      </c>
      <c r="N4846" s="31" t="str">
        <f>IF($L4846="","",INDEX($B$8:$B$5007,$L4846))</f>
        <v/>
      </c>
      <c r="O4846" s="32" t="str">
        <f>IF($M4846="","",IF($K4846-$M4846&gt;7,"",IF($M4846&lt;=$A4846,"",IF(OR($B4846&lt;=0,$N4846&lt;=0),"",($N4846/$B4846)^(365/($M4846-$A4846))-1))))</f>
        <v/>
      </c>
      <c r="P4846" s="31" t="str">
        <f>IF($B4846="","",IF($P4845="",$B4846,MAX($P4845,$B4846)))</f>
        <v/>
      </c>
      <c r="Q4846" s="32" t="str">
        <f>IF($P4846="","",$B4846/$P4846-1)</f>
        <v/>
      </c>
    </row>
    <row r="4847">
      <c r="A4847" s="11" t="n"/>
      <c r="B4847" s="29" t="n"/>
      <c r="K4847" s="30" t="str">
        <f>IF($A4847="","",EDATE($A4847,12*$E$4))</f>
        <v/>
      </c>
      <c r="L4847" s="19" t="str">
        <f>IF($K4847="","",IF($K4847&gt;MAX($A$8:$A$5007),"",IFERROR(MATCH($K4847,$A$8:$A$5007,1),"")))</f>
        <v/>
      </c>
      <c r="M4847" s="30" t="str">
        <f>IF($L4847="","",INDEX($A$8:$A$5007,$L4847))</f>
        <v/>
      </c>
      <c r="N4847" s="31" t="str">
        <f>IF($L4847="","",INDEX($B$8:$B$5007,$L4847))</f>
        <v/>
      </c>
      <c r="O4847" s="32" t="str">
        <f>IF($M4847="","",IF($K4847-$M4847&gt;7,"",IF($M4847&lt;=$A4847,"",IF(OR($B4847&lt;=0,$N4847&lt;=0),"",($N4847/$B4847)^(365/($M4847-$A4847))-1))))</f>
        <v/>
      </c>
      <c r="P4847" s="31" t="str">
        <f>IF($B4847="","",IF($P4846="",$B4847,MAX($P4846,$B4847)))</f>
        <v/>
      </c>
      <c r="Q4847" s="32" t="str">
        <f>IF($P4847="","",$B4847/$P4847-1)</f>
        <v/>
      </c>
    </row>
    <row r="4848">
      <c r="A4848" s="11" t="n"/>
      <c r="B4848" s="29" t="n"/>
      <c r="K4848" s="30" t="str">
        <f>IF($A4848="","",EDATE($A4848,12*$E$4))</f>
        <v/>
      </c>
      <c r="L4848" s="19" t="str">
        <f>IF($K4848="","",IF($K4848&gt;MAX($A$8:$A$5007),"",IFERROR(MATCH($K4848,$A$8:$A$5007,1),"")))</f>
        <v/>
      </c>
      <c r="M4848" s="30" t="str">
        <f>IF($L4848="","",INDEX($A$8:$A$5007,$L4848))</f>
        <v/>
      </c>
      <c r="N4848" s="31" t="str">
        <f>IF($L4848="","",INDEX($B$8:$B$5007,$L4848))</f>
        <v/>
      </c>
      <c r="O4848" s="32" t="str">
        <f>IF($M4848="","",IF($K4848-$M4848&gt;7,"",IF($M4848&lt;=$A4848,"",IF(OR($B4848&lt;=0,$N4848&lt;=0),"",($N4848/$B4848)^(365/($M4848-$A4848))-1))))</f>
        <v/>
      </c>
      <c r="P4848" s="31" t="str">
        <f>IF($B4848="","",IF($P4847="",$B4848,MAX($P4847,$B4848)))</f>
        <v/>
      </c>
      <c r="Q4848" s="32" t="str">
        <f>IF($P4848="","",$B4848/$P4848-1)</f>
        <v/>
      </c>
    </row>
    <row r="4849">
      <c r="A4849" s="11" t="n"/>
      <c r="B4849" s="29" t="n"/>
      <c r="K4849" s="30" t="str">
        <f>IF($A4849="","",EDATE($A4849,12*$E$4))</f>
        <v/>
      </c>
      <c r="L4849" s="19" t="str">
        <f>IF($K4849="","",IF($K4849&gt;MAX($A$8:$A$5007),"",IFERROR(MATCH($K4849,$A$8:$A$5007,1),"")))</f>
        <v/>
      </c>
      <c r="M4849" s="30" t="str">
        <f>IF($L4849="","",INDEX($A$8:$A$5007,$L4849))</f>
        <v/>
      </c>
      <c r="N4849" s="31" t="str">
        <f>IF($L4849="","",INDEX($B$8:$B$5007,$L4849))</f>
        <v/>
      </c>
      <c r="O4849" s="32" t="str">
        <f>IF($M4849="","",IF($K4849-$M4849&gt;7,"",IF($M4849&lt;=$A4849,"",IF(OR($B4849&lt;=0,$N4849&lt;=0),"",($N4849/$B4849)^(365/($M4849-$A4849))-1))))</f>
        <v/>
      </c>
      <c r="P4849" s="31" t="str">
        <f>IF($B4849="","",IF($P4848="",$B4849,MAX($P4848,$B4849)))</f>
        <v/>
      </c>
      <c r="Q4849" s="32" t="str">
        <f>IF($P4849="","",$B4849/$P4849-1)</f>
        <v/>
      </c>
    </row>
    <row r="4850">
      <c r="A4850" s="11" t="n"/>
      <c r="B4850" s="29" t="n"/>
      <c r="K4850" s="30" t="str">
        <f>IF($A4850="","",EDATE($A4850,12*$E$4))</f>
        <v/>
      </c>
      <c r="L4850" s="19" t="str">
        <f>IF($K4850="","",IF($K4850&gt;MAX($A$8:$A$5007),"",IFERROR(MATCH($K4850,$A$8:$A$5007,1),"")))</f>
        <v/>
      </c>
      <c r="M4850" s="30" t="str">
        <f>IF($L4850="","",INDEX($A$8:$A$5007,$L4850))</f>
        <v/>
      </c>
      <c r="N4850" s="31" t="str">
        <f>IF($L4850="","",INDEX($B$8:$B$5007,$L4850))</f>
        <v/>
      </c>
      <c r="O4850" s="32" t="str">
        <f>IF($M4850="","",IF($K4850-$M4850&gt;7,"",IF($M4850&lt;=$A4850,"",IF(OR($B4850&lt;=0,$N4850&lt;=0),"",($N4850/$B4850)^(365/($M4850-$A4850))-1))))</f>
        <v/>
      </c>
      <c r="P4850" s="31" t="str">
        <f>IF($B4850="","",IF($P4849="",$B4850,MAX($P4849,$B4850)))</f>
        <v/>
      </c>
      <c r="Q4850" s="32" t="str">
        <f>IF($P4850="","",$B4850/$P4850-1)</f>
        <v/>
      </c>
    </row>
    <row r="4851">
      <c r="A4851" s="11" t="n"/>
      <c r="B4851" s="29" t="n"/>
      <c r="K4851" s="30" t="str">
        <f>IF($A4851="","",EDATE($A4851,12*$E$4))</f>
        <v/>
      </c>
      <c r="L4851" s="19" t="str">
        <f>IF($K4851="","",IF($K4851&gt;MAX($A$8:$A$5007),"",IFERROR(MATCH($K4851,$A$8:$A$5007,1),"")))</f>
        <v/>
      </c>
      <c r="M4851" s="30" t="str">
        <f>IF($L4851="","",INDEX($A$8:$A$5007,$L4851))</f>
        <v/>
      </c>
      <c r="N4851" s="31" t="str">
        <f>IF($L4851="","",INDEX($B$8:$B$5007,$L4851))</f>
        <v/>
      </c>
      <c r="O4851" s="32" t="str">
        <f>IF($M4851="","",IF($K4851-$M4851&gt;7,"",IF($M4851&lt;=$A4851,"",IF(OR($B4851&lt;=0,$N4851&lt;=0),"",($N4851/$B4851)^(365/($M4851-$A4851))-1))))</f>
        <v/>
      </c>
      <c r="P4851" s="31" t="str">
        <f>IF($B4851="","",IF($P4850="",$B4851,MAX($P4850,$B4851)))</f>
        <v/>
      </c>
      <c r="Q4851" s="32" t="str">
        <f>IF($P4851="","",$B4851/$P4851-1)</f>
        <v/>
      </c>
    </row>
    <row r="4852">
      <c r="A4852" s="11" t="n"/>
      <c r="B4852" s="29" t="n"/>
      <c r="K4852" s="30" t="str">
        <f>IF($A4852="","",EDATE($A4852,12*$E$4))</f>
        <v/>
      </c>
      <c r="L4852" s="19" t="str">
        <f>IF($K4852="","",IF($K4852&gt;MAX($A$8:$A$5007),"",IFERROR(MATCH($K4852,$A$8:$A$5007,1),"")))</f>
        <v/>
      </c>
      <c r="M4852" s="30" t="str">
        <f>IF($L4852="","",INDEX($A$8:$A$5007,$L4852))</f>
        <v/>
      </c>
      <c r="N4852" s="31" t="str">
        <f>IF($L4852="","",INDEX($B$8:$B$5007,$L4852))</f>
        <v/>
      </c>
      <c r="O4852" s="32" t="str">
        <f>IF($M4852="","",IF($K4852-$M4852&gt;7,"",IF($M4852&lt;=$A4852,"",IF(OR($B4852&lt;=0,$N4852&lt;=0),"",($N4852/$B4852)^(365/($M4852-$A4852))-1))))</f>
        <v/>
      </c>
      <c r="P4852" s="31" t="str">
        <f>IF($B4852="","",IF($P4851="",$B4852,MAX($P4851,$B4852)))</f>
        <v/>
      </c>
      <c r="Q4852" s="32" t="str">
        <f>IF($P4852="","",$B4852/$P4852-1)</f>
        <v/>
      </c>
    </row>
    <row r="4853">
      <c r="A4853" s="11" t="n"/>
      <c r="B4853" s="29" t="n"/>
      <c r="K4853" s="30" t="str">
        <f>IF($A4853="","",EDATE($A4853,12*$E$4))</f>
        <v/>
      </c>
      <c r="L4853" s="19" t="str">
        <f>IF($K4853="","",IF($K4853&gt;MAX($A$8:$A$5007),"",IFERROR(MATCH($K4853,$A$8:$A$5007,1),"")))</f>
        <v/>
      </c>
      <c r="M4853" s="30" t="str">
        <f>IF($L4853="","",INDEX($A$8:$A$5007,$L4853))</f>
        <v/>
      </c>
      <c r="N4853" s="31" t="str">
        <f>IF($L4853="","",INDEX($B$8:$B$5007,$L4853))</f>
        <v/>
      </c>
      <c r="O4853" s="32" t="str">
        <f>IF($M4853="","",IF($K4853-$M4853&gt;7,"",IF($M4853&lt;=$A4853,"",IF(OR($B4853&lt;=0,$N4853&lt;=0),"",($N4853/$B4853)^(365/($M4853-$A4853))-1))))</f>
        <v/>
      </c>
      <c r="P4853" s="31" t="str">
        <f>IF($B4853="","",IF($P4852="",$B4853,MAX($P4852,$B4853)))</f>
        <v/>
      </c>
      <c r="Q4853" s="32" t="str">
        <f>IF($P4853="","",$B4853/$P4853-1)</f>
        <v/>
      </c>
    </row>
    <row r="4854">
      <c r="A4854" s="11" t="n"/>
      <c r="B4854" s="29" t="n"/>
      <c r="K4854" s="30" t="str">
        <f>IF($A4854="","",EDATE($A4854,12*$E$4))</f>
        <v/>
      </c>
      <c r="L4854" s="19" t="str">
        <f>IF($K4854="","",IF($K4854&gt;MAX($A$8:$A$5007),"",IFERROR(MATCH($K4854,$A$8:$A$5007,1),"")))</f>
        <v/>
      </c>
      <c r="M4854" s="30" t="str">
        <f>IF($L4854="","",INDEX($A$8:$A$5007,$L4854))</f>
        <v/>
      </c>
      <c r="N4854" s="31" t="str">
        <f>IF($L4854="","",INDEX($B$8:$B$5007,$L4854))</f>
        <v/>
      </c>
      <c r="O4854" s="32" t="str">
        <f>IF($M4854="","",IF($K4854-$M4854&gt;7,"",IF($M4854&lt;=$A4854,"",IF(OR($B4854&lt;=0,$N4854&lt;=0),"",($N4854/$B4854)^(365/($M4854-$A4854))-1))))</f>
        <v/>
      </c>
      <c r="P4854" s="31" t="str">
        <f>IF($B4854="","",IF($P4853="",$B4854,MAX($P4853,$B4854)))</f>
        <v/>
      </c>
      <c r="Q4854" s="32" t="str">
        <f>IF($P4854="","",$B4854/$P4854-1)</f>
        <v/>
      </c>
    </row>
    <row r="4855">
      <c r="A4855" s="11" t="n"/>
      <c r="B4855" s="29" t="n"/>
      <c r="K4855" s="30" t="str">
        <f>IF($A4855="","",EDATE($A4855,12*$E$4))</f>
        <v/>
      </c>
      <c r="L4855" s="19" t="str">
        <f>IF($K4855="","",IF($K4855&gt;MAX($A$8:$A$5007),"",IFERROR(MATCH($K4855,$A$8:$A$5007,1),"")))</f>
        <v/>
      </c>
      <c r="M4855" s="30" t="str">
        <f>IF($L4855="","",INDEX($A$8:$A$5007,$L4855))</f>
        <v/>
      </c>
      <c r="N4855" s="31" t="str">
        <f>IF($L4855="","",INDEX($B$8:$B$5007,$L4855))</f>
        <v/>
      </c>
      <c r="O4855" s="32" t="str">
        <f>IF($M4855="","",IF($K4855-$M4855&gt;7,"",IF($M4855&lt;=$A4855,"",IF(OR($B4855&lt;=0,$N4855&lt;=0),"",($N4855/$B4855)^(365/($M4855-$A4855))-1))))</f>
        <v/>
      </c>
      <c r="P4855" s="31" t="str">
        <f>IF($B4855="","",IF($P4854="",$B4855,MAX($P4854,$B4855)))</f>
        <v/>
      </c>
      <c r="Q4855" s="32" t="str">
        <f>IF($P4855="","",$B4855/$P4855-1)</f>
        <v/>
      </c>
    </row>
    <row r="4856">
      <c r="A4856" s="11" t="n"/>
      <c r="B4856" s="29" t="n"/>
      <c r="K4856" s="30" t="str">
        <f>IF($A4856="","",EDATE($A4856,12*$E$4))</f>
        <v/>
      </c>
      <c r="L4856" s="19" t="str">
        <f>IF($K4856="","",IF($K4856&gt;MAX($A$8:$A$5007),"",IFERROR(MATCH($K4856,$A$8:$A$5007,1),"")))</f>
        <v/>
      </c>
      <c r="M4856" s="30" t="str">
        <f>IF($L4856="","",INDEX($A$8:$A$5007,$L4856))</f>
        <v/>
      </c>
      <c r="N4856" s="31" t="str">
        <f>IF($L4856="","",INDEX($B$8:$B$5007,$L4856))</f>
        <v/>
      </c>
      <c r="O4856" s="32" t="str">
        <f>IF($M4856="","",IF($K4856-$M4856&gt;7,"",IF($M4856&lt;=$A4856,"",IF(OR($B4856&lt;=0,$N4856&lt;=0),"",($N4856/$B4856)^(365/($M4856-$A4856))-1))))</f>
        <v/>
      </c>
      <c r="P4856" s="31" t="str">
        <f>IF($B4856="","",IF($P4855="",$B4856,MAX($P4855,$B4856)))</f>
        <v/>
      </c>
      <c r="Q4856" s="32" t="str">
        <f>IF($P4856="","",$B4856/$P4856-1)</f>
        <v/>
      </c>
    </row>
    <row r="4857">
      <c r="A4857" s="11" t="n"/>
      <c r="B4857" s="29" t="n"/>
      <c r="K4857" s="30" t="str">
        <f>IF($A4857="","",EDATE($A4857,12*$E$4))</f>
        <v/>
      </c>
      <c r="L4857" s="19" t="str">
        <f>IF($K4857="","",IF($K4857&gt;MAX($A$8:$A$5007),"",IFERROR(MATCH($K4857,$A$8:$A$5007,1),"")))</f>
        <v/>
      </c>
      <c r="M4857" s="30" t="str">
        <f>IF($L4857="","",INDEX($A$8:$A$5007,$L4857))</f>
        <v/>
      </c>
      <c r="N4857" s="31" t="str">
        <f>IF($L4857="","",INDEX($B$8:$B$5007,$L4857))</f>
        <v/>
      </c>
      <c r="O4857" s="32" t="str">
        <f>IF($M4857="","",IF($K4857-$M4857&gt;7,"",IF($M4857&lt;=$A4857,"",IF(OR($B4857&lt;=0,$N4857&lt;=0),"",($N4857/$B4857)^(365/($M4857-$A4857))-1))))</f>
        <v/>
      </c>
      <c r="P4857" s="31" t="str">
        <f>IF($B4857="","",IF($P4856="",$B4857,MAX($P4856,$B4857)))</f>
        <v/>
      </c>
      <c r="Q4857" s="32" t="str">
        <f>IF($P4857="","",$B4857/$P4857-1)</f>
        <v/>
      </c>
    </row>
    <row r="4858">
      <c r="A4858" s="11" t="n"/>
      <c r="B4858" s="29" t="n"/>
      <c r="K4858" s="30" t="str">
        <f>IF($A4858="","",EDATE($A4858,12*$E$4))</f>
        <v/>
      </c>
      <c r="L4858" s="19" t="str">
        <f>IF($K4858="","",IF($K4858&gt;MAX($A$8:$A$5007),"",IFERROR(MATCH($K4858,$A$8:$A$5007,1),"")))</f>
        <v/>
      </c>
      <c r="M4858" s="30" t="str">
        <f>IF($L4858="","",INDEX($A$8:$A$5007,$L4858))</f>
        <v/>
      </c>
      <c r="N4858" s="31" t="str">
        <f>IF($L4858="","",INDEX($B$8:$B$5007,$L4858))</f>
        <v/>
      </c>
      <c r="O4858" s="32" t="str">
        <f>IF($M4858="","",IF($K4858-$M4858&gt;7,"",IF($M4858&lt;=$A4858,"",IF(OR($B4858&lt;=0,$N4858&lt;=0),"",($N4858/$B4858)^(365/($M4858-$A4858))-1))))</f>
        <v/>
      </c>
      <c r="P4858" s="31" t="str">
        <f>IF($B4858="","",IF($P4857="",$B4858,MAX($P4857,$B4858)))</f>
        <v/>
      </c>
      <c r="Q4858" s="32" t="str">
        <f>IF($P4858="","",$B4858/$P4858-1)</f>
        <v/>
      </c>
    </row>
    <row r="4859">
      <c r="A4859" s="11" t="n"/>
      <c r="B4859" s="29" t="n"/>
      <c r="K4859" s="30" t="str">
        <f>IF($A4859="","",EDATE($A4859,12*$E$4))</f>
        <v/>
      </c>
      <c r="L4859" s="19" t="str">
        <f>IF($K4859="","",IF($K4859&gt;MAX($A$8:$A$5007),"",IFERROR(MATCH($K4859,$A$8:$A$5007,1),"")))</f>
        <v/>
      </c>
      <c r="M4859" s="30" t="str">
        <f>IF($L4859="","",INDEX($A$8:$A$5007,$L4859))</f>
        <v/>
      </c>
      <c r="N4859" s="31" t="str">
        <f>IF($L4859="","",INDEX($B$8:$B$5007,$L4859))</f>
        <v/>
      </c>
      <c r="O4859" s="32" t="str">
        <f>IF($M4859="","",IF($K4859-$M4859&gt;7,"",IF($M4859&lt;=$A4859,"",IF(OR($B4859&lt;=0,$N4859&lt;=0),"",($N4859/$B4859)^(365/($M4859-$A4859))-1))))</f>
        <v/>
      </c>
      <c r="P4859" s="31" t="str">
        <f>IF($B4859="","",IF($P4858="",$B4859,MAX($P4858,$B4859)))</f>
        <v/>
      </c>
      <c r="Q4859" s="32" t="str">
        <f>IF($P4859="","",$B4859/$P4859-1)</f>
        <v/>
      </c>
    </row>
    <row r="4860">
      <c r="A4860" s="11" t="n"/>
      <c r="B4860" s="29" t="n"/>
      <c r="K4860" s="30" t="str">
        <f>IF($A4860="","",EDATE($A4860,12*$E$4))</f>
        <v/>
      </c>
      <c r="L4860" s="19" t="str">
        <f>IF($K4860="","",IF($K4860&gt;MAX($A$8:$A$5007),"",IFERROR(MATCH($K4860,$A$8:$A$5007,1),"")))</f>
        <v/>
      </c>
      <c r="M4860" s="30" t="str">
        <f>IF($L4860="","",INDEX($A$8:$A$5007,$L4860))</f>
        <v/>
      </c>
      <c r="N4860" s="31" t="str">
        <f>IF($L4860="","",INDEX($B$8:$B$5007,$L4860))</f>
        <v/>
      </c>
      <c r="O4860" s="32" t="str">
        <f>IF($M4860="","",IF($K4860-$M4860&gt;7,"",IF($M4860&lt;=$A4860,"",IF(OR($B4860&lt;=0,$N4860&lt;=0),"",($N4860/$B4860)^(365/($M4860-$A4860))-1))))</f>
        <v/>
      </c>
      <c r="P4860" s="31" t="str">
        <f>IF($B4860="","",IF($P4859="",$B4860,MAX($P4859,$B4860)))</f>
        <v/>
      </c>
      <c r="Q4860" s="32" t="str">
        <f>IF($P4860="","",$B4860/$P4860-1)</f>
        <v/>
      </c>
    </row>
    <row r="4861">
      <c r="A4861" s="11" t="n"/>
      <c r="B4861" s="29" t="n"/>
      <c r="K4861" s="30" t="str">
        <f>IF($A4861="","",EDATE($A4861,12*$E$4))</f>
        <v/>
      </c>
      <c r="L4861" s="19" t="str">
        <f>IF($K4861="","",IF($K4861&gt;MAX($A$8:$A$5007),"",IFERROR(MATCH($K4861,$A$8:$A$5007,1),"")))</f>
        <v/>
      </c>
      <c r="M4861" s="30" t="str">
        <f>IF($L4861="","",INDEX($A$8:$A$5007,$L4861))</f>
        <v/>
      </c>
      <c r="N4861" s="31" t="str">
        <f>IF($L4861="","",INDEX($B$8:$B$5007,$L4861))</f>
        <v/>
      </c>
      <c r="O4861" s="32" t="str">
        <f>IF($M4861="","",IF($K4861-$M4861&gt;7,"",IF($M4861&lt;=$A4861,"",IF(OR($B4861&lt;=0,$N4861&lt;=0),"",($N4861/$B4861)^(365/($M4861-$A4861))-1))))</f>
        <v/>
      </c>
      <c r="P4861" s="31" t="str">
        <f>IF($B4861="","",IF($P4860="",$B4861,MAX($P4860,$B4861)))</f>
        <v/>
      </c>
      <c r="Q4861" s="32" t="str">
        <f>IF($P4861="","",$B4861/$P4861-1)</f>
        <v/>
      </c>
    </row>
    <row r="4862">
      <c r="A4862" s="11" t="n"/>
      <c r="B4862" s="29" t="n"/>
      <c r="K4862" s="30" t="str">
        <f>IF($A4862="","",EDATE($A4862,12*$E$4))</f>
        <v/>
      </c>
      <c r="L4862" s="19" t="str">
        <f>IF($K4862="","",IF($K4862&gt;MAX($A$8:$A$5007),"",IFERROR(MATCH($K4862,$A$8:$A$5007,1),"")))</f>
        <v/>
      </c>
      <c r="M4862" s="30" t="str">
        <f>IF($L4862="","",INDEX($A$8:$A$5007,$L4862))</f>
        <v/>
      </c>
      <c r="N4862" s="31" t="str">
        <f>IF($L4862="","",INDEX($B$8:$B$5007,$L4862))</f>
        <v/>
      </c>
      <c r="O4862" s="32" t="str">
        <f>IF($M4862="","",IF($K4862-$M4862&gt;7,"",IF($M4862&lt;=$A4862,"",IF(OR($B4862&lt;=0,$N4862&lt;=0),"",($N4862/$B4862)^(365/($M4862-$A4862))-1))))</f>
        <v/>
      </c>
      <c r="P4862" s="31" t="str">
        <f>IF($B4862="","",IF($P4861="",$B4862,MAX($P4861,$B4862)))</f>
        <v/>
      </c>
      <c r="Q4862" s="32" t="str">
        <f>IF($P4862="","",$B4862/$P4862-1)</f>
        <v/>
      </c>
    </row>
    <row r="4863">
      <c r="A4863" s="11" t="n"/>
      <c r="B4863" s="29" t="n"/>
      <c r="K4863" s="30" t="str">
        <f>IF($A4863="","",EDATE($A4863,12*$E$4))</f>
        <v/>
      </c>
      <c r="L4863" s="19" t="str">
        <f>IF($K4863="","",IF($K4863&gt;MAX($A$8:$A$5007),"",IFERROR(MATCH($K4863,$A$8:$A$5007,1),"")))</f>
        <v/>
      </c>
      <c r="M4863" s="30" t="str">
        <f>IF($L4863="","",INDEX($A$8:$A$5007,$L4863))</f>
        <v/>
      </c>
      <c r="N4863" s="31" t="str">
        <f>IF($L4863="","",INDEX($B$8:$B$5007,$L4863))</f>
        <v/>
      </c>
      <c r="O4863" s="32" t="str">
        <f>IF($M4863="","",IF($K4863-$M4863&gt;7,"",IF($M4863&lt;=$A4863,"",IF(OR($B4863&lt;=0,$N4863&lt;=0),"",($N4863/$B4863)^(365/($M4863-$A4863))-1))))</f>
        <v/>
      </c>
      <c r="P4863" s="31" t="str">
        <f>IF($B4863="","",IF($P4862="",$B4863,MAX($P4862,$B4863)))</f>
        <v/>
      </c>
      <c r="Q4863" s="32" t="str">
        <f>IF($P4863="","",$B4863/$P4863-1)</f>
        <v/>
      </c>
    </row>
    <row r="4864">
      <c r="A4864" s="11" t="n"/>
      <c r="B4864" s="29" t="n"/>
      <c r="K4864" s="30" t="str">
        <f>IF($A4864="","",EDATE($A4864,12*$E$4))</f>
        <v/>
      </c>
      <c r="L4864" s="19" t="str">
        <f>IF($K4864="","",IF($K4864&gt;MAX($A$8:$A$5007),"",IFERROR(MATCH($K4864,$A$8:$A$5007,1),"")))</f>
        <v/>
      </c>
      <c r="M4864" s="30" t="str">
        <f>IF($L4864="","",INDEX($A$8:$A$5007,$L4864))</f>
        <v/>
      </c>
      <c r="N4864" s="31" t="str">
        <f>IF($L4864="","",INDEX($B$8:$B$5007,$L4864))</f>
        <v/>
      </c>
      <c r="O4864" s="32" t="str">
        <f>IF($M4864="","",IF($K4864-$M4864&gt;7,"",IF($M4864&lt;=$A4864,"",IF(OR($B4864&lt;=0,$N4864&lt;=0),"",($N4864/$B4864)^(365/($M4864-$A4864))-1))))</f>
        <v/>
      </c>
      <c r="P4864" s="31" t="str">
        <f>IF($B4864="","",IF($P4863="",$B4864,MAX($P4863,$B4864)))</f>
        <v/>
      </c>
      <c r="Q4864" s="32" t="str">
        <f>IF($P4864="","",$B4864/$P4864-1)</f>
        <v/>
      </c>
    </row>
    <row r="4865">
      <c r="A4865" s="11" t="n"/>
      <c r="B4865" s="29" t="n"/>
      <c r="K4865" s="30" t="str">
        <f>IF($A4865="","",EDATE($A4865,12*$E$4))</f>
        <v/>
      </c>
      <c r="L4865" s="19" t="str">
        <f>IF($K4865="","",IF($K4865&gt;MAX($A$8:$A$5007),"",IFERROR(MATCH($K4865,$A$8:$A$5007,1),"")))</f>
        <v/>
      </c>
      <c r="M4865" s="30" t="str">
        <f>IF($L4865="","",INDEX($A$8:$A$5007,$L4865))</f>
        <v/>
      </c>
      <c r="N4865" s="31" t="str">
        <f>IF($L4865="","",INDEX($B$8:$B$5007,$L4865))</f>
        <v/>
      </c>
      <c r="O4865" s="32" t="str">
        <f>IF($M4865="","",IF($K4865-$M4865&gt;7,"",IF($M4865&lt;=$A4865,"",IF(OR($B4865&lt;=0,$N4865&lt;=0),"",($N4865/$B4865)^(365/($M4865-$A4865))-1))))</f>
        <v/>
      </c>
      <c r="P4865" s="31" t="str">
        <f>IF($B4865="","",IF($P4864="",$B4865,MAX($P4864,$B4865)))</f>
        <v/>
      </c>
      <c r="Q4865" s="32" t="str">
        <f>IF($P4865="","",$B4865/$P4865-1)</f>
        <v/>
      </c>
    </row>
    <row r="4866">
      <c r="A4866" s="11" t="n"/>
      <c r="B4866" s="29" t="n"/>
      <c r="K4866" s="30" t="str">
        <f>IF($A4866="","",EDATE($A4866,12*$E$4))</f>
        <v/>
      </c>
      <c r="L4866" s="19" t="str">
        <f>IF($K4866="","",IF($K4866&gt;MAX($A$8:$A$5007),"",IFERROR(MATCH($K4866,$A$8:$A$5007,1),"")))</f>
        <v/>
      </c>
      <c r="M4866" s="30" t="str">
        <f>IF($L4866="","",INDEX($A$8:$A$5007,$L4866))</f>
        <v/>
      </c>
      <c r="N4866" s="31" t="str">
        <f>IF($L4866="","",INDEX($B$8:$B$5007,$L4866))</f>
        <v/>
      </c>
      <c r="O4866" s="32" t="str">
        <f>IF($M4866="","",IF($K4866-$M4866&gt;7,"",IF($M4866&lt;=$A4866,"",IF(OR($B4866&lt;=0,$N4866&lt;=0),"",($N4866/$B4866)^(365/($M4866-$A4866))-1))))</f>
        <v/>
      </c>
      <c r="P4866" s="31" t="str">
        <f>IF($B4866="","",IF($P4865="",$B4866,MAX($P4865,$B4866)))</f>
        <v/>
      </c>
      <c r="Q4866" s="32" t="str">
        <f>IF($P4866="","",$B4866/$P4866-1)</f>
        <v/>
      </c>
    </row>
    <row r="4867">
      <c r="A4867" s="11" t="n"/>
      <c r="B4867" s="29" t="n"/>
      <c r="K4867" s="30" t="str">
        <f>IF($A4867="","",EDATE($A4867,12*$E$4))</f>
        <v/>
      </c>
      <c r="L4867" s="19" t="str">
        <f>IF($K4867="","",IF($K4867&gt;MAX($A$8:$A$5007),"",IFERROR(MATCH($K4867,$A$8:$A$5007,1),"")))</f>
        <v/>
      </c>
      <c r="M4867" s="30" t="str">
        <f>IF($L4867="","",INDEX($A$8:$A$5007,$L4867))</f>
        <v/>
      </c>
      <c r="N4867" s="31" t="str">
        <f>IF($L4867="","",INDEX($B$8:$B$5007,$L4867))</f>
        <v/>
      </c>
      <c r="O4867" s="32" t="str">
        <f>IF($M4867="","",IF($K4867-$M4867&gt;7,"",IF($M4867&lt;=$A4867,"",IF(OR($B4867&lt;=0,$N4867&lt;=0),"",($N4867/$B4867)^(365/($M4867-$A4867))-1))))</f>
        <v/>
      </c>
      <c r="P4867" s="31" t="str">
        <f>IF($B4867="","",IF($P4866="",$B4867,MAX($P4866,$B4867)))</f>
        <v/>
      </c>
      <c r="Q4867" s="32" t="str">
        <f>IF($P4867="","",$B4867/$P4867-1)</f>
        <v/>
      </c>
    </row>
    <row r="4868">
      <c r="A4868" s="11" t="n"/>
      <c r="B4868" s="29" t="n"/>
      <c r="K4868" s="30" t="str">
        <f>IF($A4868="","",EDATE($A4868,12*$E$4))</f>
        <v/>
      </c>
      <c r="L4868" s="19" t="str">
        <f>IF($K4868="","",IF($K4868&gt;MAX($A$8:$A$5007),"",IFERROR(MATCH($K4868,$A$8:$A$5007,1),"")))</f>
        <v/>
      </c>
      <c r="M4868" s="30" t="str">
        <f>IF($L4868="","",INDEX($A$8:$A$5007,$L4868))</f>
        <v/>
      </c>
      <c r="N4868" s="31" t="str">
        <f>IF($L4868="","",INDEX($B$8:$B$5007,$L4868))</f>
        <v/>
      </c>
      <c r="O4868" s="32" t="str">
        <f>IF($M4868="","",IF($K4868-$M4868&gt;7,"",IF($M4868&lt;=$A4868,"",IF(OR($B4868&lt;=0,$N4868&lt;=0),"",($N4868/$B4868)^(365/($M4868-$A4868))-1))))</f>
        <v/>
      </c>
      <c r="P4868" s="31" t="str">
        <f>IF($B4868="","",IF($P4867="",$B4868,MAX($P4867,$B4868)))</f>
        <v/>
      </c>
      <c r="Q4868" s="32" t="str">
        <f>IF($P4868="","",$B4868/$P4868-1)</f>
        <v/>
      </c>
    </row>
    <row r="4869">
      <c r="A4869" s="11" t="n"/>
      <c r="B4869" s="29" t="n"/>
      <c r="K4869" s="30" t="str">
        <f>IF($A4869="","",EDATE($A4869,12*$E$4))</f>
        <v/>
      </c>
      <c r="L4869" s="19" t="str">
        <f>IF($K4869="","",IF($K4869&gt;MAX($A$8:$A$5007),"",IFERROR(MATCH($K4869,$A$8:$A$5007,1),"")))</f>
        <v/>
      </c>
      <c r="M4869" s="30" t="str">
        <f>IF($L4869="","",INDEX($A$8:$A$5007,$L4869))</f>
        <v/>
      </c>
      <c r="N4869" s="31" t="str">
        <f>IF($L4869="","",INDEX($B$8:$B$5007,$L4869))</f>
        <v/>
      </c>
      <c r="O4869" s="32" t="str">
        <f>IF($M4869="","",IF($K4869-$M4869&gt;7,"",IF($M4869&lt;=$A4869,"",IF(OR($B4869&lt;=0,$N4869&lt;=0),"",($N4869/$B4869)^(365/($M4869-$A4869))-1))))</f>
        <v/>
      </c>
      <c r="P4869" s="31" t="str">
        <f>IF($B4869="","",IF($P4868="",$B4869,MAX($P4868,$B4869)))</f>
        <v/>
      </c>
      <c r="Q4869" s="32" t="str">
        <f>IF($P4869="","",$B4869/$P4869-1)</f>
        <v/>
      </c>
    </row>
    <row r="4870">
      <c r="A4870" s="11" t="n"/>
      <c r="B4870" s="29" t="n"/>
      <c r="K4870" s="30" t="str">
        <f>IF($A4870="","",EDATE($A4870,12*$E$4))</f>
        <v/>
      </c>
      <c r="L4870" s="19" t="str">
        <f>IF($K4870="","",IF($K4870&gt;MAX($A$8:$A$5007),"",IFERROR(MATCH($K4870,$A$8:$A$5007,1),"")))</f>
        <v/>
      </c>
      <c r="M4870" s="30" t="str">
        <f>IF($L4870="","",INDEX($A$8:$A$5007,$L4870))</f>
        <v/>
      </c>
      <c r="N4870" s="31" t="str">
        <f>IF($L4870="","",INDEX($B$8:$B$5007,$L4870))</f>
        <v/>
      </c>
      <c r="O4870" s="32" t="str">
        <f>IF($M4870="","",IF($K4870-$M4870&gt;7,"",IF($M4870&lt;=$A4870,"",IF(OR($B4870&lt;=0,$N4870&lt;=0),"",($N4870/$B4870)^(365/($M4870-$A4870))-1))))</f>
        <v/>
      </c>
      <c r="P4870" s="31" t="str">
        <f>IF($B4870="","",IF($P4869="",$B4870,MAX($P4869,$B4870)))</f>
        <v/>
      </c>
      <c r="Q4870" s="32" t="str">
        <f>IF($P4870="","",$B4870/$P4870-1)</f>
        <v/>
      </c>
    </row>
    <row r="4871">
      <c r="A4871" s="11" t="n"/>
      <c r="B4871" s="29" t="n"/>
      <c r="K4871" s="30" t="str">
        <f>IF($A4871="","",EDATE($A4871,12*$E$4))</f>
        <v/>
      </c>
      <c r="L4871" s="19" t="str">
        <f>IF($K4871="","",IF($K4871&gt;MAX($A$8:$A$5007),"",IFERROR(MATCH($K4871,$A$8:$A$5007,1),"")))</f>
        <v/>
      </c>
      <c r="M4871" s="30" t="str">
        <f>IF($L4871="","",INDEX($A$8:$A$5007,$L4871))</f>
        <v/>
      </c>
      <c r="N4871" s="31" t="str">
        <f>IF($L4871="","",INDEX($B$8:$B$5007,$L4871))</f>
        <v/>
      </c>
      <c r="O4871" s="32" t="str">
        <f>IF($M4871="","",IF($K4871-$M4871&gt;7,"",IF($M4871&lt;=$A4871,"",IF(OR($B4871&lt;=0,$N4871&lt;=0),"",($N4871/$B4871)^(365/($M4871-$A4871))-1))))</f>
        <v/>
      </c>
      <c r="P4871" s="31" t="str">
        <f>IF($B4871="","",IF($P4870="",$B4871,MAX($P4870,$B4871)))</f>
        <v/>
      </c>
      <c r="Q4871" s="32" t="str">
        <f>IF($P4871="","",$B4871/$P4871-1)</f>
        <v/>
      </c>
    </row>
    <row r="4872">
      <c r="A4872" s="11" t="n"/>
      <c r="B4872" s="29" t="n"/>
      <c r="K4872" s="30" t="str">
        <f>IF($A4872="","",EDATE($A4872,12*$E$4))</f>
        <v/>
      </c>
      <c r="L4872" s="19" t="str">
        <f>IF($K4872="","",IF($K4872&gt;MAX($A$8:$A$5007),"",IFERROR(MATCH($K4872,$A$8:$A$5007,1),"")))</f>
        <v/>
      </c>
      <c r="M4872" s="30" t="str">
        <f>IF($L4872="","",INDEX($A$8:$A$5007,$L4872))</f>
        <v/>
      </c>
      <c r="N4872" s="31" t="str">
        <f>IF($L4872="","",INDEX($B$8:$B$5007,$L4872))</f>
        <v/>
      </c>
      <c r="O4872" s="32" t="str">
        <f>IF($M4872="","",IF($K4872-$M4872&gt;7,"",IF($M4872&lt;=$A4872,"",IF(OR($B4872&lt;=0,$N4872&lt;=0),"",($N4872/$B4872)^(365/($M4872-$A4872))-1))))</f>
        <v/>
      </c>
      <c r="P4872" s="31" t="str">
        <f>IF($B4872="","",IF($P4871="",$B4872,MAX($P4871,$B4872)))</f>
        <v/>
      </c>
      <c r="Q4872" s="32" t="str">
        <f>IF($P4872="","",$B4872/$P4872-1)</f>
        <v/>
      </c>
    </row>
    <row r="4873">
      <c r="A4873" s="11" t="n"/>
      <c r="B4873" s="29" t="n"/>
      <c r="K4873" s="30" t="str">
        <f>IF($A4873="","",EDATE($A4873,12*$E$4))</f>
        <v/>
      </c>
      <c r="L4873" s="19" t="str">
        <f>IF($K4873="","",IF($K4873&gt;MAX($A$8:$A$5007),"",IFERROR(MATCH($K4873,$A$8:$A$5007,1),"")))</f>
        <v/>
      </c>
      <c r="M4873" s="30" t="str">
        <f>IF($L4873="","",INDEX($A$8:$A$5007,$L4873))</f>
        <v/>
      </c>
      <c r="N4873" s="31" t="str">
        <f>IF($L4873="","",INDEX($B$8:$B$5007,$L4873))</f>
        <v/>
      </c>
      <c r="O4873" s="32" t="str">
        <f>IF($M4873="","",IF($K4873-$M4873&gt;7,"",IF($M4873&lt;=$A4873,"",IF(OR($B4873&lt;=0,$N4873&lt;=0),"",($N4873/$B4873)^(365/($M4873-$A4873))-1))))</f>
        <v/>
      </c>
      <c r="P4873" s="31" t="str">
        <f>IF($B4873="","",IF($P4872="",$B4873,MAX($P4872,$B4873)))</f>
        <v/>
      </c>
      <c r="Q4873" s="32" t="str">
        <f>IF($P4873="","",$B4873/$P4873-1)</f>
        <v/>
      </c>
    </row>
    <row r="4874">
      <c r="A4874" s="11" t="n"/>
      <c r="B4874" s="29" t="n"/>
      <c r="K4874" s="30" t="str">
        <f>IF($A4874="","",EDATE($A4874,12*$E$4))</f>
        <v/>
      </c>
      <c r="L4874" s="19" t="str">
        <f>IF($K4874="","",IF($K4874&gt;MAX($A$8:$A$5007),"",IFERROR(MATCH($K4874,$A$8:$A$5007,1),"")))</f>
        <v/>
      </c>
      <c r="M4874" s="30" t="str">
        <f>IF($L4874="","",INDEX($A$8:$A$5007,$L4874))</f>
        <v/>
      </c>
      <c r="N4874" s="31" t="str">
        <f>IF($L4874="","",INDEX($B$8:$B$5007,$L4874))</f>
        <v/>
      </c>
      <c r="O4874" s="32" t="str">
        <f>IF($M4874="","",IF($K4874-$M4874&gt;7,"",IF($M4874&lt;=$A4874,"",IF(OR($B4874&lt;=0,$N4874&lt;=0),"",($N4874/$B4874)^(365/($M4874-$A4874))-1))))</f>
        <v/>
      </c>
      <c r="P4874" s="31" t="str">
        <f>IF($B4874="","",IF($P4873="",$B4874,MAX($P4873,$B4874)))</f>
        <v/>
      </c>
      <c r="Q4874" s="32" t="str">
        <f>IF($P4874="","",$B4874/$P4874-1)</f>
        <v/>
      </c>
    </row>
    <row r="4875">
      <c r="A4875" s="11" t="n"/>
      <c r="B4875" s="29" t="n"/>
      <c r="K4875" s="30" t="str">
        <f>IF($A4875="","",EDATE($A4875,12*$E$4))</f>
        <v/>
      </c>
      <c r="L4875" s="19" t="str">
        <f>IF($K4875="","",IF($K4875&gt;MAX($A$8:$A$5007),"",IFERROR(MATCH($K4875,$A$8:$A$5007,1),"")))</f>
        <v/>
      </c>
      <c r="M4875" s="30" t="str">
        <f>IF($L4875="","",INDEX($A$8:$A$5007,$L4875))</f>
        <v/>
      </c>
      <c r="N4875" s="31" t="str">
        <f>IF($L4875="","",INDEX($B$8:$B$5007,$L4875))</f>
        <v/>
      </c>
      <c r="O4875" s="32" t="str">
        <f>IF($M4875="","",IF($K4875-$M4875&gt;7,"",IF($M4875&lt;=$A4875,"",IF(OR($B4875&lt;=0,$N4875&lt;=0),"",($N4875/$B4875)^(365/($M4875-$A4875))-1))))</f>
        <v/>
      </c>
      <c r="P4875" s="31" t="str">
        <f>IF($B4875="","",IF($P4874="",$B4875,MAX($P4874,$B4875)))</f>
        <v/>
      </c>
      <c r="Q4875" s="32" t="str">
        <f>IF($P4875="","",$B4875/$P4875-1)</f>
        <v/>
      </c>
    </row>
    <row r="4876">
      <c r="A4876" s="11" t="n"/>
      <c r="B4876" s="29" t="n"/>
      <c r="K4876" s="30" t="str">
        <f>IF($A4876="","",EDATE($A4876,12*$E$4))</f>
        <v/>
      </c>
      <c r="L4876" s="19" t="str">
        <f>IF($K4876="","",IF($K4876&gt;MAX($A$8:$A$5007),"",IFERROR(MATCH($K4876,$A$8:$A$5007,1),"")))</f>
        <v/>
      </c>
      <c r="M4876" s="30" t="str">
        <f>IF($L4876="","",INDEX($A$8:$A$5007,$L4876))</f>
        <v/>
      </c>
      <c r="N4876" s="31" t="str">
        <f>IF($L4876="","",INDEX($B$8:$B$5007,$L4876))</f>
        <v/>
      </c>
      <c r="O4876" s="32" t="str">
        <f>IF($M4876="","",IF($K4876-$M4876&gt;7,"",IF($M4876&lt;=$A4876,"",IF(OR($B4876&lt;=0,$N4876&lt;=0),"",($N4876/$B4876)^(365/($M4876-$A4876))-1))))</f>
        <v/>
      </c>
      <c r="P4876" s="31" t="str">
        <f>IF($B4876="","",IF($P4875="",$B4876,MAX($P4875,$B4876)))</f>
        <v/>
      </c>
      <c r="Q4876" s="32" t="str">
        <f>IF($P4876="","",$B4876/$P4876-1)</f>
        <v/>
      </c>
    </row>
    <row r="4877">
      <c r="A4877" s="11" t="n"/>
      <c r="B4877" s="29" t="n"/>
      <c r="K4877" s="30" t="str">
        <f>IF($A4877="","",EDATE($A4877,12*$E$4))</f>
        <v/>
      </c>
      <c r="L4877" s="19" t="str">
        <f>IF($K4877="","",IF($K4877&gt;MAX($A$8:$A$5007),"",IFERROR(MATCH($K4877,$A$8:$A$5007,1),"")))</f>
        <v/>
      </c>
      <c r="M4877" s="30" t="str">
        <f>IF($L4877="","",INDEX($A$8:$A$5007,$L4877))</f>
        <v/>
      </c>
      <c r="N4877" s="31" t="str">
        <f>IF($L4877="","",INDEX($B$8:$B$5007,$L4877))</f>
        <v/>
      </c>
      <c r="O4877" s="32" t="str">
        <f>IF($M4877="","",IF($K4877-$M4877&gt;7,"",IF($M4877&lt;=$A4877,"",IF(OR($B4877&lt;=0,$N4877&lt;=0),"",($N4877/$B4877)^(365/($M4877-$A4877))-1))))</f>
        <v/>
      </c>
      <c r="P4877" s="31" t="str">
        <f>IF($B4877="","",IF($P4876="",$B4877,MAX($P4876,$B4877)))</f>
        <v/>
      </c>
      <c r="Q4877" s="32" t="str">
        <f>IF($P4877="","",$B4877/$P4877-1)</f>
        <v/>
      </c>
    </row>
    <row r="4878">
      <c r="A4878" s="11" t="n"/>
      <c r="B4878" s="29" t="n"/>
      <c r="K4878" s="30" t="str">
        <f>IF($A4878="","",EDATE($A4878,12*$E$4))</f>
        <v/>
      </c>
      <c r="L4878" s="19" t="str">
        <f>IF($K4878="","",IF($K4878&gt;MAX($A$8:$A$5007),"",IFERROR(MATCH($K4878,$A$8:$A$5007,1),"")))</f>
        <v/>
      </c>
      <c r="M4878" s="30" t="str">
        <f>IF($L4878="","",INDEX($A$8:$A$5007,$L4878))</f>
        <v/>
      </c>
      <c r="N4878" s="31" t="str">
        <f>IF($L4878="","",INDEX($B$8:$B$5007,$L4878))</f>
        <v/>
      </c>
      <c r="O4878" s="32" t="str">
        <f>IF($M4878="","",IF($K4878-$M4878&gt;7,"",IF($M4878&lt;=$A4878,"",IF(OR($B4878&lt;=0,$N4878&lt;=0),"",($N4878/$B4878)^(365/($M4878-$A4878))-1))))</f>
        <v/>
      </c>
      <c r="P4878" s="31" t="str">
        <f>IF($B4878="","",IF($P4877="",$B4878,MAX($P4877,$B4878)))</f>
        <v/>
      </c>
      <c r="Q4878" s="32" t="str">
        <f>IF($P4878="","",$B4878/$P4878-1)</f>
        <v/>
      </c>
    </row>
    <row r="4879">
      <c r="A4879" s="11" t="n"/>
      <c r="B4879" s="29" t="n"/>
      <c r="K4879" s="30" t="str">
        <f>IF($A4879="","",EDATE($A4879,12*$E$4))</f>
        <v/>
      </c>
      <c r="L4879" s="19" t="str">
        <f>IF($K4879="","",IF($K4879&gt;MAX($A$8:$A$5007),"",IFERROR(MATCH($K4879,$A$8:$A$5007,1),"")))</f>
        <v/>
      </c>
      <c r="M4879" s="30" t="str">
        <f>IF($L4879="","",INDEX($A$8:$A$5007,$L4879))</f>
        <v/>
      </c>
      <c r="N4879" s="31" t="str">
        <f>IF($L4879="","",INDEX($B$8:$B$5007,$L4879))</f>
        <v/>
      </c>
      <c r="O4879" s="32" t="str">
        <f>IF($M4879="","",IF($K4879-$M4879&gt;7,"",IF($M4879&lt;=$A4879,"",IF(OR($B4879&lt;=0,$N4879&lt;=0),"",($N4879/$B4879)^(365/($M4879-$A4879))-1))))</f>
        <v/>
      </c>
      <c r="P4879" s="31" t="str">
        <f>IF($B4879="","",IF($P4878="",$B4879,MAX($P4878,$B4879)))</f>
        <v/>
      </c>
      <c r="Q4879" s="32" t="str">
        <f>IF($P4879="","",$B4879/$P4879-1)</f>
        <v/>
      </c>
    </row>
    <row r="4880">
      <c r="A4880" s="11" t="n"/>
      <c r="B4880" s="29" t="n"/>
      <c r="K4880" s="30" t="str">
        <f>IF($A4880="","",EDATE($A4880,12*$E$4))</f>
        <v/>
      </c>
      <c r="L4880" s="19" t="str">
        <f>IF($K4880="","",IF($K4880&gt;MAX($A$8:$A$5007),"",IFERROR(MATCH($K4880,$A$8:$A$5007,1),"")))</f>
        <v/>
      </c>
      <c r="M4880" s="30" t="str">
        <f>IF($L4880="","",INDEX($A$8:$A$5007,$L4880))</f>
        <v/>
      </c>
      <c r="N4880" s="31" t="str">
        <f>IF($L4880="","",INDEX($B$8:$B$5007,$L4880))</f>
        <v/>
      </c>
      <c r="O4880" s="32" t="str">
        <f>IF($M4880="","",IF($K4880-$M4880&gt;7,"",IF($M4880&lt;=$A4880,"",IF(OR($B4880&lt;=0,$N4880&lt;=0),"",($N4880/$B4880)^(365/($M4880-$A4880))-1))))</f>
        <v/>
      </c>
      <c r="P4880" s="31" t="str">
        <f>IF($B4880="","",IF($P4879="",$B4880,MAX($P4879,$B4880)))</f>
        <v/>
      </c>
      <c r="Q4880" s="32" t="str">
        <f>IF($P4880="","",$B4880/$P4880-1)</f>
        <v/>
      </c>
    </row>
    <row r="4881">
      <c r="A4881" s="11" t="n"/>
      <c r="B4881" s="29" t="n"/>
      <c r="K4881" s="30" t="str">
        <f>IF($A4881="","",EDATE($A4881,12*$E$4))</f>
        <v/>
      </c>
      <c r="L4881" s="19" t="str">
        <f>IF($K4881="","",IF($K4881&gt;MAX($A$8:$A$5007),"",IFERROR(MATCH($K4881,$A$8:$A$5007,1),"")))</f>
        <v/>
      </c>
      <c r="M4881" s="30" t="str">
        <f>IF($L4881="","",INDEX($A$8:$A$5007,$L4881))</f>
        <v/>
      </c>
      <c r="N4881" s="31" t="str">
        <f>IF($L4881="","",INDEX($B$8:$B$5007,$L4881))</f>
        <v/>
      </c>
      <c r="O4881" s="32" t="str">
        <f>IF($M4881="","",IF($K4881-$M4881&gt;7,"",IF($M4881&lt;=$A4881,"",IF(OR($B4881&lt;=0,$N4881&lt;=0),"",($N4881/$B4881)^(365/($M4881-$A4881))-1))))</f>
        <v/>
      </c>
      <c r="P4881" s="31" t="str">
        <f>IF($B4881="","",IF($P4880="",$B4881,MAX($P4880,$B4881)))</f>
        <v/>
      </c>
      <c r="Q4881" s="32" t="str">
        <f>IF($P4881="","",$B4881/$P4881-1)</f>
        <v/>
      </c>
    </row>
    <row r="4882">
      <c r="A4882" s="11" t="n"/>
      <c r="B4882" s="29" t="n"/>
      <c r="K4882" s="30" t="str">
        <f>IF($A4882="","",EDATE($A4882,12*$E$4))</f>
        <v/>
      </c>
      <c r="L4882" s="19" t="str">
        <f>IF($K4882="","",IF($K4882&gt;MAX($A$8:$A$5007),"",IFERROR(MATCH($K4882,$A$8:$A$5007,1),"")))</f>
        <v/>
      </c>
      <c r="M4882" s="30" t="str">
        <f>IF($L4882="","",INDEX($A$8:$A$5007,$L4882))</f>
        <v/>
      </c>
      <c r="N4882" s="31" t="str">
        <f>IF($L4882="","",INDEX($B$8:$B$5007,$L4882))</f>
        <v/>
      </c>
      <c r="O4882" s="32" t="str">
        <f>IF($M4882="","",IF($K4882-$M4882&gt;7,"",IF($M4882&lt;=$A4882,"",IF(OR($B4882&lt;=0,$N4882&lt;=0),"",($N4882/$B4882)^(365/($M4882-$A4882))-1))))</f>
        <v/>
      </c>
      <c r="P4882" s="31" t="str">
        <f>IF($B4882="","",IF($P4881="",$B4882,MAX($P4881,$B4882)))</f>
        <v/>
      </c>
      <c r="Q4882" s="32" t="str">
        <f>IF($P4882="","",$B4882/$P4882-1)</f>
        <v/>
      </c>
    </row>
    <row r="4883">
      <c r="A4883" s="11" t="n"/>
      <c r="B4883" s="29" t="n"/>
      <c r="K4883" s="30" t="str">
        <f>IF($A4883="","",EDATE($A4883,12*$E$4))</f>
        <v/>
      </c>
      <c r="L4883" s="19" t="str">
        <f>IF($K4883="","",IF($K4883&gt;MAX($A$8:$A$5007),"",IFERROR(MATCH($K4883,$A$8:$A$5007,1),"")))</f>
        <v/>
      </c>
      <c r="M4883" s="30" t="str">
        <f>IF($L4883="","",INDEX($A$8:$A$5007,$L4883))</f>
        <v/>
      </c>
      <c r="N4883" s="31" t="str">
        <f>IF($L4883="","",INDEX($B$8:$B$5007,$L4883))</f>
        <v/>
      </c>
      <c r="O4883" s="32" t="str">
        <f>IF($M4883="","",IF($K4883-$M4883&gt;7,"",IF($M4883&lt;=$A4883,"",IF(OR($B4883&lt;=0,$N4883&lt;=0),"",($N4883/$B4883)^(365/($M4883-$A4883))-1))))</f>
        <v/>
      </c>
      <c r="P4883" s="31" t="str">
        <f>IF($B4883="","",IF($P4882="",$B4883,MAX($P4882,$B4883)))</f>
        <v/>
      </c>
      <c r="Q4883" s="32" t="str">
        <f>IF($P4883="","",$B4883/$P4883-1)</f>
        <v/>
      </c>
    </row>
    <row r="4884">
      <c r="A4884" s="11" t="n"/>
      <c r="B4884" s="29" t="n"/>
      <c r="K4884" s="30" t="str">
        <f>IF($A4884="","",EDATE($A4884,12*$E$4))</f>
        <v/>
      </c>
      <c r="L4884" s="19" t="str">
        <f>IF($K4884="","",IF($K4884&gt;MAX($A$8:$A$5007),"",IFERROR(MATCH($K4884,$A$8:$A$5007,1),"")))</f>
        <v/>
      </c>
      <c r="M4884" s="30" t="str">
        <f>IF($L4884="","",INDEX($A$8:$A$5007,$L4884))</f>
        <v/>
      </c>
      <c r="N4884" s="31" t="str">
        <f>IF($L4884="","",INDEX($B$8:$B$5007,$L4884))</f>
        <v/>
      </c>
      <c r="O4884" s="32" t="str">
        <f>IF($M4884="","",IF($K4884-$M4884&gt;7,"",IF($M4884&lt;=$A4884,"",IF(OR($B4884&lt;=0,$N4884&lt;=0),"",($N4884/$B4884)^(365/($M4884-$A4884))-1))))</f>
        <v/>
      </c>
      <c r="P4884" s="31" t="str">
        <f>IF($B4884="","",IF($P4883="",$B4884,MAX($P4883,$B4884)))</f>
        <v/>
      </c>
      <c r="Q4884" s="32" t="str">
        <f>IF($P4884="","",$B4884/$P4884-1)</f>
        <v/>
      </c>
    </row>
    <row r="4885">
      <c r="A4885" s="11" t="n"/>
      <c r="B4885" s="29" t="n"/>
      <c r="K4885" s="30" t="str">
        <f>IF($A4885="","",EDATE($A4885,12*$E$4))</f>
        <v/>
      </c>
      <c r="L4885" s="19" t="str">
        <f>IF($K4885="","",IF($K4885&gt;MAX($A$8:$A$5007),"",IFERROR(MATCH($K4885,$A$8:$A$5007,1),"")))</f>
        <v/>
      </c>
      <c r="M4885" s="30" t="str">
        <f>IF($L4885="","",INDEX($A$8:$A$5007,$L4885))</f>
        <v/>
      </c>
      <c r="N4885" s="31" t="str">
        <f>IF($L4885="","",INDEX($B$8:$B$5007,$L4885))</f>
        <v/>
      </c>
      <c r="O4885" s="32" t="str">
        <f>IF($M4885="","",IF($K4885-$M4885&gt;7,"",IF($M4885&lt;=$A4885,"",IF(OR($B4885&lt;=0,$N4885&lt;=0),"",($N4885/$B4885)^(365/($M4885-$A4885))-1))))</f>
        <v/>
      </c>
      <c r="P4885" s="31" t="str">
        <f>IF($B4885="","",IF($P4884="",$B4885,MAX($P4884,$B4885)))</f>
        <v/>
      </c>
      <c r="Q4885" s="32" t="str">
        <f>IF($P4885="","",$B4885/$P4885-1)</f>
        <v/>
      </c>
    </row>
    <row r="4886">
      <c r="A4886" s="11" t="n"/>
      <c r="B4886" s="29" t="n"/>
      <c r="K4886" s="30" t="str">
        <f>IF($A4886="","",EDATE($A4886,12*$E$4))</f>
        <v/>
      </c>
      <c r="L4886" s="19" t="str">
        <f>IF($K4886="","",IF($K4886&gt;MAX($A$8:$A$5007),"",IFERROR(MATCH($K4886,$A$8:$A$5007,1),"")))</f>
        <v/>
      </c>
      <c r="M4886" s="30" t="str">
        <f>IF($L4886="","",INDEX($A$8:$A$5007,$L4886))</f>
        <v/>
      </c>
      <c r="N4886" s="31" t="str">
        <f>IF($L4886="","",INDEX($B$8:$B$5007,$L4886))</f>
        <v/>
      </c>
      <c r="O4886" s="32" t="str">
        <f>IF($M4886="","",IF($K4886-$M4886&gt;7,"",IF($M4886&lt;=$A4886,"",IF(OR($B4886&lt;=0,$N4886&lt;=0),"",($N4886/$B4886)^(365/($M4886-$A4886))-1))))</f>
        <v/>
      </c>
      <c r="P4886" s="31" t="str">
        <f>IF($B4886="","",IF($P4885="",$B4886,MAX($P4885,$B4886)))</f>
        <v/>
      </c>
      <c r="Q4886" s="32" t="str">
        <f>IF($P4886="","",$B4886/$P4886-1)</f>
        <v/>
      </c>
    </row>
    <row r="4887">
      <c r="A4887" s="11" t="n"/>
      <c r="B4887" s="29" t="n"/>
      <c r="K4887" s="30" t="str">
        <f>IF($A4887="","",EDATE($A4887,12*$E$4))</f>
        <v/>
      </c>
      <c r="L4887" s="19" t="str">
        <f>IF($K4887="","",IF($K4887&gt;MAX($A$8:$A$5007),"",IFERROR(MATCH($K4887,$A$8:$A$5007,1),"")))</f>
        <v/>
      </c>
      <c r="M4887" s="30" t="str">
        <f>IF($L4887="","",INDEX($A$8:$A$5007,$L4887))</f>
        <v/>
      </c>
      <c r="N4887" s="31" t="str">
        <f>IF($L4887="","",INDEX($B$8:$B$5007,$L4887))</f>
        <v/>
      </c>
      <c r="O4887" s="32" t="str">
        <f>IF($M4887="","",IF($K4887-$M4887&gt;7,"",IF($M4887&lt;=$A4887,"",IF(OR($B4887&lt;=0,$N4887&lt;=0),"",($N4887/$B4887)^(365/($M4887-$A4887))-1))))</f>
        <v/>
      </c>
      <c r="P4887" s="31" t="str">
        <f>IF($B4887="","",IF($P4886="",$B4887,MAX($P4886,$B4887)))</f>
        <v/>
      </c>
      <c r="Q4887" s="32" t="str">
        <f>IF($P4887="","",$B4887/$P4887-1)</f>
        <v/>
      </c>
    </row>
    <row r="4888">
      <c r="A4888" s="11" t="n"/>
      <c r="B4888" s="29" t="n"/>
      <c r="K4888" s="30" t="str">
        <f>IF($A4888="","",EDATE($A4888,12*$E$4))</f>
        <v/>
      </c>
      <c r="L4888" s="19" t="str">
        <f>IF($K4888="","",IF($K4888&gt;MAX($A$8:$A$5007),"",IFERROR(MATCH($K4888,$A$8:$A$5007,1),"")))</f>
        <v/>
      </c>
      <c r="M4888" s="30" t="str">
        <f>IF($L4888="","",INDEX($A$8:$A$5007,$L4888))</f>
        <v/>
      </c>
      <c r="N4888" s="31" t="str">
        <f>IF($L4888="","",INDEX($B$8:$B$5007,$L4888))</f>
        <v/>
      </c>
      <c r="O4888" s="32" t="str">
        <f>IF($M4888="","",IF($K4888-$M4888&gt;7,"",IF($M4888&lt;=$A4888,"",IF(OR($B4888&lt;=0,$N4888&lt;=0),"",($N4888/$B4888)^(365/($M4888-$A4888))-1))))</f>
        <v/>
      </c>
      <c r="P4888" s="31" t="str">
        <f>IF($B4888="","",IF($P4887="",$B4888,MAX($P4887,$B4888)))</f>
        <v/>
      </c>
      <c r="Q4888" s="32" t="str">
        <f>IF($P4888="","",$B4888/$P4888-1)</f>
        <v/>
      </c>
    </row>
    <row r="4889">
      <c r="A4889" s="11" t="n"/>
      <c r="B4889" s="29" t="n"/>
      <c r="K4889" s="30" t="str">
        <f>IF($A4889="","",EDATE($A4889,12*$E$4))</f>
        <v/>
      </c>
      <c r="L4889" s="19" t="str">
        <f>IF($K4889="","",IF($K4889&gt;MAX($A$8:$A$5007),"",IFERROR(MATCH($K4889,$A$8:$A$5007,1),"")))</f>
        <v/>
      </c>
      <c r="M4889" s="30" t="str">
        <f>IF($L4889="","",INDEX($A$8:$A$5007,$L4889))</f>
        <v/>
      </c>
      <c r="N4889" s="31" t="str">
        <f>IF($L4889="","",INDEX($B$8:$B$5007,$L4889))</f>
        <v/>
      </c>
      <c r="O4889" s="32" t="str">
        <f>IF($M4889="","",IF($K4889-$M4889&gt;7,"",IF($M4889&lt;=$A4889,"",IF(OR($B4889&lt;=0,$N4889&lt;=0),"",($N4889/$B4889)^(365/($M4889-$A4889))-1))))</f>
        <v/>
      </c>
      <c r="P4889" s="31" t="str">
        <f>IF($B4889="","",IF($P4888="",$B4889,MAX($P4888,$B4889)))</f>
        <v/>
      </c>
      <c r="Q4889" s="32" t="str">
        <f>IF($P4889="","",$B4889/$P4889-1)</f>
        <v/>
      </c>
    </row>
    <row r="4890">
      <c r="A4890" s="11" t="n"/>
      <c r="B4890" s="29" t="n"/>
      <c r="K4890" s="30" t="str">
        <f>IF($A4890="","",EDATE($A4890,12*$E$4))</f>
        <v/>
      </c>
      <c r="L4890" s="19" t="str">
        <f>IF($K4890="","",IF($K4890&gt;MAX($A$8:$A$5007),"",IFERROR(MATCH($K4890,$A$8:$A$5007,1),"")))</f>
        <v/>
      </c>
      <c r="M4890" s="30" t="str">
        <f>IF($L4890="","",INDEX($A$8:$A$5007,$L4890))</f>
        <v/>
      </c>
      <c r="N4890" s="31" t="str">
        <f>IF($L4890="","",INDEX($B$8:$B$5007,$L4890))</f>
        <v/>
      </c>
      <c r="O4890" s="32" t="str">
        <f>IF($M4890="","",IF($K4890-$M4890&gt;7,"",IF($M4890&lt;=$A4890,"",IF(OR($B4890&lt;=0,$N4890&lt;=0),"",($N4890/$B4890)^(365/($M4890-$A4890))-1))))</f>
        <v/>
      </c>
      <c r="P4890" s="31" t="str">
        <f>IF($B4890="","",IF($P4889="",$B4890,MAX($P4889,$B4890)))</f>
        <v/>
      </c>
      <c r="Q4890" s="32" t="str">
        <f>IF($P4890="","",$B4890/$P4890-1)</f>
        <v/>
      </c>
    </row>
    <row r="4891">
      <c r="A4891" s="11" t="n"/>
      <c r="B4891" s="29" t="n"/>
      <c r="K4891" s="30" t="str">
        <f>IF($A4891="","",EDATE($A4891,12*$E$4))</f>
        <v/>
      </c>
      <c r="L4891" s="19" t="str">
        <f>IF($K4891="","",IF($K4891&gt;MAX($A$8:$A$5007),"",IFERROR(MATCH($K4891,$A$8:$A$5007,1),"")))</f>
        <v/>
      </c>
      <c r="M4891" s="30" t="str">
        <f>IF($L4891="","",INDEX($A$8:$A$5007,$L4891))</f>
        <v/>
      </c>
      <c r="N4891" s="31" t="str">
        <f>IF($L4891="","",INDEX($B$8:$B$5007,$L4891))</f>
        <v/>
      </c>
      <c r="O4891" s="32" t="str">
        <f>IF($M4891="","",IF($K4891-$M4891&gt;7,"",IF($M4891&lt;=$A4891,"",IF(OR($B4891&lt;=0,$N4891&lt;=0),"",($N4891/$B4891)^(365/($M4891-$A4891))-1))))</f>
        <v/>
      </c>
      <c r="P4891" s="31" t="str">
        <f>IF($B4891="","",IF($P4890="",$B4891,MAX($P4890,$B4891)))</f>
        <v/>
      </c>
      <c r="Q4891" s="32" t="str">
        <f>IF($P4891="","",$B4891/$P4891-1)</f>
        <v/>
      </c>
    </row>
    <row r="4892">
      <c r="A4892" s="11" t="n"/>
      <c r="B4892" s="29" t="n"/>
      <c r="K4892" s="30" t="str">
        <f>IF($A4892="","",EDATE($A4892,12*$E$4))</f>
        <v/>
      </c>
      <c r="L4892" s="19" t="str">
        <f>IF($K4892="","",IF($K4892&gt;MAX($A$8:$A$5007),"",IFERROR(MATCH($K4892,$A$8:$A$5007,1),"")))</f>
        <v/>
      </c>
      <c r="M4892" s="30" t="str">
        <f>IF($L4892="","",INDEX($A$8:$A$5007,$L4892))</f>
        <v/>
      </c>
      <c r="N4892" s="31" t="str">
        <f>IF($L4892="","",INDEX($B$8:$B$5007,$L4892))</f>
        <v/>
      </c>
      <c r="O4892" s="32" t="str">
        <f>IF($M4892="","",IF($K4892-$M4892&gt;7,"",IF($M4892&lt;=$A4892,"",IF(OR($B4892&lt;=0,$N4892&lt;=0),"",($N4892/$B4892)^(365/($M4892-$A4892))-1))))</f>
        <v/>
      </c>
      <c r="P4892" s="31" t="str">
        <f>IF($B4892="","",IF($P4891="",$B4892,MAX($P4891,$B4892)))</f>
        <v/>
      </c>
      <c r="Q4892" s="32" t="str">
        <f>IF($P4892="","",$B4892/$P4892-1)</f>
        <v/>
      </c>
    </row>
    <row r="4893">
      <c r="A4893" s="11" t="n"/>
      <c r="B4893" s="29" t="n"/>
      <c r="K4893" s="30" t="str">
        <f>IF($A4893="","",EDATE($A4893,12*$E$4))</f>
        <v/>
      </c>
      <c r="L4893" s="19" t="str">
        <f>IF($K4893="","",IF($K4893&gt;MAX($A$8:$A$5007),"",IFERROR(MATCH($K4893,$A$8:$A$5007,1),"")))</f>
        <v/>
      </c>
      <c r="M4893" s="30" t="str">
        <f>IF($L4893="","",INDEX($A$8:$A$5007,$L4893))</f>
        <v/>
      </c>
      <c r="N4893" s="31" t="str">
        <f>IF($L4893="","",INDEX($B$8:$B$5007,$L4893))</f>
        <v/>
      </c>
      <c r="O4893" s="32" t="str">
        <f>IF($M4893="","",IF($K4893-$M4893&gt;7,"",IF($M4893&lt;=$A4893,"",IF(OR($B4893&lt;=0,$N4893&lt;=0),"",($N4893/$B4893)^(365/($M4893-$A4893))-1))))</f>
        <v/>
      </c>
      <c r="P4893" s="31" t="str">
        <f>IF($B4893="","",IF($P4892="",$B4893,MAX($P4892,$B4893)))</f>
        <v/>
      </c>
      <c r="Q4893" s="32" t="str">
        <f>IF($P4893="","",$B4893/$P4893-1)</f>
        <v/>
      </c>
    </row>
    <row r="4894">
      <c r="A4894" s="11" t="n"/>
      <c r="B4894" s="29" t="n"/>
      <c r="K4894" s="30" t="str">
        <f>IF($A4894="","",EDATE($A4894,12*$E$4))</f>
        <v/>
      </c>
      <c r="L4894" s="19" t="str">
        <f>IF($K4894="","",IF($K4894&gt;MAX($A$8:$A$5007),"",IFERROR(MATCH($K4894,$A$8:$A$5007,1),"")))</f>
        <v/>
      </c>
      <c r="M4894" s="30" t="str">
        <f>IF($L4894="","",INDEX($A$8:$A$5007,$L4894))</f>
        <v/>
      </c>
      <c r="N4894" s="31" t="str">
        <f>IF($L4894="","",INDEX($B$8:$B$5007,$L4894))</f>
        <v/>
      </c>
      <c r="O4894" s="32" t="str">
        <f>IF($M4894="","",IF($K4894-$M4894&gt;7,"",IF($M4894&lt;=$A4894,"",IF(OR($B4894&lt;=0,$N4894&lt;=0),"",($N4894/$B4894)^(365/($M4894-$A4894))-1))))</f>
        <v/>
      </c>
      <c r="P4894" s="31" t="str">
        <f>IF($B4894="","",IF($P4893="",$B4894,MAX($P4893,$B4894)))</f>
        <v/>
      </c>
      <c r="Q4894" s="32" t="str">
        <f>IF($P4894="","",$B4894/$P4894-1)</f>
        <v/>
      </c>
    </row>
    <row r="4895">
      <c r="A4895" s="11" t="n"/>
      <c r="B4895" s="29" t="n"/>
      <c r="K4895" s="30" t="str">
        <f>IF($A4895="","",EDATE($A4895,12*$E$4))</f>
        <v/>
      </c>
      <c r="L4895" s="19" t="str">
        <f>IF($K4895="","",IF($K4895&gt;MAX($A$8:$A$5007),"",IFERROR(MATCH($K4895,$A$8:$A$5007,1),"")))</f>
        <v/>
      </c>
      <c r="M4895" s="30" t="str">
        <f>IF($L4895="","",INDEX($A$8:$A$5007,$L4895))</f>
        <v/>
      </c>
      <c r="N4895" s="31" t="str">
        <f>IF($L4895="","",INDEX($B$8:$B$5007,$L4895))</f>
        <v/>
      </c>
      <c r="O4895" s="32" t="str">
        <f>IF($M4895="","",IF($K4895-$M4895&gt;7,"",IF($M4895&lt;=$A4895,"",IF(OR($B4895&lt;=0,$N4895&lt;=0),"",($N4895/$B4895)^(365/($M4895-$A4895))-1))))</f>
        <v/>
      </c>
      <c r="P4895" s="31" t="str">
        <f>IF($B4895="","",IF($P4894="",$B4895,MAX($P4894,$B4895)))</f>
        <v/>
      </c>
      <c r="Q4895" s="32" t="str">
        <f>IF($P4895="","",$B4895/$P4895-1)</f>
        <v/>
      </c>
    </row>
    <row r="4896">
      <c r="A4896" s="11" t="n"/>
      <c r="B4896" s="29" t="n"/>
      <c r="K4896" s="30" t="str">
        <f>IF($A4896="","",EDATE($A4896,12*$E$4))</f>
        <v/>
      </c>
      <c r="L4896" s="19" t="str">
        <f>IF($K4896="","",IF($K4896&gt;MAX($A$8:$A$5007),"",IFERROR(MATCH($K4896,$A$8:$A$5007,1),"")))</f>
        <v/>
      </c>
      <c r="M4896" s="30" t="str">
        <f>IF($L4896="","",INDEX($A$8:$A$5007,$L4896))</f>
        <v/>
      </c>
      <c r="N4896" s="31" t="str">
        <f>IF($L4896="","",INDEX($B$8:$B$5007,$L4896))</f>
        <v/>
      </c>
      <c r="O4896" s="32" t="str">
        <f>IF($M4896="","",IF($K4896-$M4896&gt;7,"",IF($M4896&lt;=$A4896,"",IF(OR($B4896&lt;=0,$N4896&lt;=0),"",($N4896/$B4896)^(365/($M4896-$A4896))-1))))</f>
        <v/>
      </c>
      <c r="P4896" s="31" t="str">
        <f>IF($B4896="","",IF($P4895="",$B4896,MAX($P4895,$B4896)))</f>
        <v/>
      </c>
      <c r="Q4896" s="32" t="str">
        <f>IF($P4896="","",$B4896/$P4896-1)</f>
        <v/>
      </c>
    </row>
    <row r="4897">
      <c r="A4897" s="11" t="n"/>
      <c r="B4897" s="29" t="n"/>
      <c r="K4897" s="30" t="str">
        <f>IF($A4897="","",EDATE($A4897,12*$E$4))</f>
        <v/>
      </c>
      <c r="L4897" s="19" t="str">
        <f>IF($K4897="","",IF($K4897&gt;MAX($A$8:$A$5007),"",IFERROR(MATCH($K4897,$A$8:$A$5007,1),"")))</f>
        <v/>
      </c>
      <c r="M4897" s="30" t="str">
        <f>IF($L4897="","",INDEX($A$8:$A$5007,$L4897))</f>
        <v/>
      </c>
      <c r="N4897" s="31" t="str">
        <f>IF($L4897="","",INDEX($B$8:$B$5007,$L4897))</f>
        <v/>
      </c>
      <c r="O4897" s="32" t="str">
        <f>IF($M4897="","",IF($K4897-$M4897&gt;7,"",IF($M4897&lt;=$A4897,"",IF(OR($B4897&lt;=0,$N4897&lt;=0),"",($N4897/$B4897)^(365/($M4897-$A4897))-1))))</f>
        <v/>
      </c>
      <c r="P4897" s="31" t="str">
        <f>IF($B4897="","",IF($P4896="",$B4897,MAX($P4896,$B4897)))</f>
        <v/>
      </c>
      <c r="Q4897" s="32" t="str">
        <f>IF($P4897="","",$B4897/$P4897-1)</f>
        <v/>
      </c>
    </row>
    <row r="4898">
      <c r="A4898" s="11" t="n"/>
      <c r="B4898" s="29" t="n"/>
      <c r="K4898" s="30" t="str">
        <f>IF($A4898="","",EDATE($A4898,12*$E$4))</f>
        <v/>
      </c>
      <c r="L4898" s="19" t="str">
        <f>IF($K4898="","",IF($K4898&gt;MAX($A$8:$A$5007),"",IFERROR(MATCH($K4898,$A$8:$A$5007,1),"")))</f>
        <v/>
      </c>
      <c r="M4898" s="30" t="str">
        <f>IF($L4898="","",INDEX($A$8:$A$5007,$L4898))</f>
        <v/>
      </c>
      <c r="N4898" s="31" t="str">
        <f>IF($L4898="","",INDEX($B$8:$B$5007,$L4898))</f>
        <v/>
      </c>
      <c r="O4898" s="32" t="str">
        <f>IF($M4898="","",IF($K4898-$M4898&gt;7,"",IF($M4898&lt;=$A4898,"",IF(OR($B4898&lt;=0,$N4898&lt;=0),"",($N4898/$B4898)^(365/($M4898-$A4898))-1))))</f>
        <v/>
      </c>
      <c r="P4898" s="31" t="str">
        <f>IF($B4898="","",IF($P4897="",$B4898,MAX($P4897,$B4898)))</f>
        <v/>
      </c>
      <c r="Q4898" s="32" t="str">
        <f>IF($P4898="","",$B4898/$P4898-1)</f>
        <v/>
      </c>
    </row>
    <row r="4899">
      <c r="A4899" s="11" t="n"/>
      <c r="B4899" s="29" t="n"/>
      <c r="K4899" s="30" t="str">
        <f>IF($A4899="","",EDATE($A4899,12*$E$4))</f>
        <v/>
      </c>
      <c r="L4899" s="19" t="str">
        <f>IF($K4899="","",IF($K4899&gt;MAX($A$8:$A$5007),"",IFERROR(MATCH($K4899,$A$8:$A$5007,1),"")))</f>
        <v/>
      </c>
      <c r="M4899" s="30" t="str">
        <f>IF($L4899="","",INDEX($A$8:$A$5007,$L4899))</f>
        <v/>
      </c>
      <c r="N4899" s="31" t="str">
        <f>IF($L4899="","",INDEX($B$8:$B$5007,$L4899))</f>
        <v/>
      </c>
      <c r="O4899" s="32" t="str">
        <f>IF($M4899="","",IF($K4899-$M4899&gt;7,"",IF($M4899&lt;=$A4899,"",IF(OR($B4899&lt;=0,$N4899&lt;=0),"",($N4899/$B4899)^(365/($M4899-$A4899))-1))))</f>
        <v/>
      </c>
      <c r="P4899" s="31" t="str">
        <f>IF($B4899="","",IF($P4898="",$B4899,MAX($P4898,$B4899)))</f>
        <v/>
      </c>
      <c r="Q4899" s="32" t="str">
        <f>IF($P4899="","",$B4899/$P4899-1)</f>
        <v/>
      </c>
    </row>
    <row r="4900">
      <c r="A4900" s="11" t="n"/>
      <c r="B4900" s="29" t="n"/>
      <c r="K4900" s="30" t="str">
        <f>IF($A4900="","",EDATE($A4900,12*$E$4))</f>
        <v/>
      </c>
      <c r="L4900" s="19" t="str">
        <f>IF($K4900="","",IF($K4900&gt;MAX($A$8:$A$5007),"",IFERROR(MATCH($K4900,$A$8:$A$5007,1),"")))</f>
        <v/>
      </c>
      <c r="M4900" s="30" t="str">
        <f>IF($L4900="","",INDEX($A$8:$A$5007,$L4900))</f>
        <v/>
      </c>
      <c r="N4900" s="31" t="str">
        <f>IF($L4900="","",INDEX($B$8:$B$5007,$L4900))</f>
        <v/>
      </c>
      <c r="O4900" s="32" t="str">
        <f>IF($M4900="","",IF($K4900-$M4900&gt;7,"",IF($M4900&lt;=$A4900,"",IF(OR($B4900&lt;=0,$N4900&lt;=0),"",($N4900/$B4900)^(365/($M4900-$A4900))-1))))</f>
        <v/>
      </c>
      <c r="P4900" s="31" t="str">
        <f>IF($B4900="","",IF($P4899="",$B4900,MAX($P4899,$B4900)))</f>
        <v/>
      </c>
      <c r="Q4900" s="32" t="str">
        <f>IF($P4900="","",$B4900/$P4900-1)</f>
        <v/>
      </c>
    </row>
    <row r="4901">
      <c r="A4901" s="11" t="n"/>
      <c r="B4901" s="29" t="n"/>
      <c r="K4901" s="30" t="str">
        <f>IF($A4901="","",EDATE($A4901,12*$E$4))</f>
        <v/>
      </c>
      <c r="L4901" s="19" t="str">
        <f>IF($K4901="","",IF($K4901&gt;MAX($A$8:$A$5007),"",IFERROR(MATCH($K4901,$A$8:$A$5007,1),"")))</f>
        <v/>
      </c>
      <c r="M4901" s="30" t="str">
        <f>IF($L4901="","",INDEX($A$8:$A$5007,$L4901))</f>
        <v/>
      </c>
      <c r="N4901" s="31" t="str">
        <f>IF($L4901="","",INDEX($B$8:$B$5007,$L4901))</f>
        <v/>
      </c>
      <c r="O4901" s="32" t="str">
        <f>IF($M4901="","",IF($K4901-$M4901&gt;7,"",IF($M4901&lt;=$A4901,"",IF(OR($B4901&lt;=0,$N4901&lt;=0),"",($N4901/$B4901)^(365/($M4901-$A4901))-1))))</f>
        <v/>
      </c>
      <c r="P4901" s="31" t="str">
        <f>IF($B4901="","",IF($P4900="",$B4901,MAX($P4900,$B4901)))</f>
        <v/>
      </c>
      <c r="Q4901" s="32" t="str">
        <f>IF($P4901="","",$B4901/$P4901-1)</f>
        <v/>
      </c>
    </row>
    <row r="4902">
      <c r="A4902" s="11" t="n"/>
      <c r="B4902" s="29" t="n"/>
      <c r="K4902" s="30" t="str">
        <f>IF($A4902="","",EDATE($A4902,12*$E$4))</f>
        <v/>
      </c>
      <c r="L4902" s="19" t="str">
        <f>IF($K4902="","",IF($K4902&gt;MAX($A$8:$A$5007),"",IFERROR(MATCH($K4902,$A$8:$A$5007,1),"")))</f>
        <v/>
      </c>
      <c r="M4902" s="30" t="str">
        <f>IF($L4902="","",INDEX($A$8:$A$5007,$L4902))</f>
        <v/>
      </c>
      <c r="N4902" s="31" t="str">
        <f>IF($L4902="","",INDEX($B$8:$B$5007,$L4902))</f>
        <v/>
      </c>
      <c r="O4902" s="32" t="str">
        <f>IF($M4902="","",IF($K4902-$M4902&gt;7,"",IF($M4902&lt;=$A4902,"",IF(OR($B4902&lt;=0,$N4902&lt;=0),"",($N4902/$B4902)^(365/($M4902-$A4902))-1))))</f>
        <v/>
      </c>
      <c r="P4902" s="31" t="str">
        <f>IF($B4902="","",IF($P4901="",$B4902,MAX($P4901,$B4902)))</f>
        <v/>
      </c>
      <c r="Q4902" s="32" t="str">
        <f>IF($P4902="","",$B4902/$P4902-1)</f>
        <v/>
      </c>
    </row>
    <row r="4903">
      <c r="A4903" s="11" t="n"/>
      <c r="B4903" s="29" t="n"/>
      <c r="K4903" s="30" t="str">
        <f>IF($A4903="","",EDATE($A4903,12*$E$4))</f>
        <v/>
      </c>
      <c r="L4903" s="19" t="str">
        <f>IF($K4903="","",IF($K4903&gt;MAX($A$8:$A$5007),"",IFERROR(MATCH($K4903,$A$8:$A$5007,1),"")))</f>
        <v/>
      </c>
      <c r="M4903" s="30" t="str">
        <f>IF($L4903="","",INDEX($A$8:$A$5007,$L4903))</f>
        <v/>
      </c>
      <c r="N4903" s="31" t="str">
        <f>IF($L4903="","",INDEX($B$8:$B$5007,$L4903))</f>
        <v/>
      </c>
      <c r="O4903" s="32" t="str">
        <f>IF($M4903="","",IF($K4903-$M4903&gt;7,"",IF($M4903&lt;=$A4903,"",IF(OR($B4903&lt;=0,$N4903&lt;=0),"",($N4903/$B4903)^(365/($M4903-$A4903))-1))))</f>
        <v/>
      </c>
      <c r="P4903" s="31" t="str">
        <f>IF($B4903="","",IF($P4902="",$B4903,MAX($P4902,$B4903)))</f>
        <v/>
      </c>
      <c r="Q4903" s="32" t="str">
        <f>IF($P4903="","",$B4903/$P4903-1)</f>
        <v/>
      </c>
    </row>
    <row r="4904">
      <c r="A4904" s="11" t="n"/>
      <c r="B4904" s="29" t="n"/>
      <c r="K4904" s="30" t="str">
        <f>IF($A4904="","",EDATE($A4904,12*$E$4))</f>
        <v/>
      </c>
      <c r="L4904" s="19" t="str">
        <f>IF($K4904="","",IF($K4904&gt;MAX($A$8:$A$5007),"",IFERROR(MATCH($K4904,$A$8:$A$5007,1),"")))</f>
        <v/>
      </c>
      <c r="M4904" s="30" t="str">
        <f>IF($L4904="","",INDEX($A$8:$A$5007,$L4904))</f>
        <v/>
      </c>
      <c r="N4904" s="31" t="str">
        <f>IF($L4904="","",INDEX($B$8:$B$5007,$L4904))</f>
        <v/>
      </c>
      <c r="O4904" s="32" t="str">
        <f>IF($M4904="","",IF($K4904-$M4904&gt;7,"",IF($M4904&lt;=$A4904,"",IF(OR($B4904&lt;=0,$N4904&lt;=0),"",($N4904/$B4904)^(365/($M4904-$A4904))-1))))</f>
        <v/>
      </c>
      <c r="P4904" s="31" t="str">
        <f>IF($B4904="","",IF($P4903="",$B4904,MAX($P4903,$B4904)))</f>
        <v/>
      </c>
      <c r="Q4904" s="32" t="str">
        <f>IF($P4904="","",$B4904/$P4904-1)</f>
        <v/>
      </c>
    </row>
    <row r="4905">
      <c r="A4905" s="11" t="n"/>
      <c r="B4905" s="29" t="n"/>
      <c r="K4905" s="30" t="str">
        <f>IF($A4905="","",EDATE($A4905,12*$E$4))</f>
        <v/>
      </c>
      <c r="L4905" s="19" t="str">
        <f>IF($K4905="","",IF($K4905&gt;MAX($A$8:$A$5007),"",IFERROR(MATCH($K4905,$A$8:$A$5007,1),"")))</f>
        <v/>
      </c>
      <c r="M4905" s="30" t="str">
        <f>IF($L4905="","",INDEX($A$8:$A$5007,$L4905))</f>
        <v/>
      </c>
      <c r="N4905" s="31" t="str">
        <f>IF($L4905="","",INDEX($B$8:$B$5007,$L4905))</f>
        <v/>
      </c>
      <c r="O4905" s="32" t="str">
        <f>IF($M4905="","",IF($K4905-$M4905&gt;7,"",IF($M4905&lt;=$A4905,"",IF(OR($B4905&lt;=0,$N4905&lt;=0),"",($N4905/$B4905)^(365/($M4905-$A4905))-1))))</f>
        <v/>
      </c>
      <c r="P4905" s="31" t="str">
        <f>IF($B4905="","",IF($P4904="",$B4905,MAX($P4904,$B4905)))</f>
        <v/>
      </c>
      <c r="Q4905" s="32" t="str">
        <f>IF($P4905="","",$B4905/$P4905-1)</f>
        <v/>
      </c>
    </row>
    <row r="4906">
      <c r="A4906" s="11" t="n"/>
      <c r="B4906" s="29" t="n"/>
      <c r="K4906" s="30" t="str">
        <f>IF($A4906="","",EDATE($A4906,12*$E$4))</f>
        <v/>
      </c>
      <c r="L4906" s="19" t="str">
        <f>IF($K4906="","",IF($K4906&gt;MAX($A$8:$A$5007),"",IFERROR(MATCH($K4906,$A$8:$A$5007,1),"")))</f>
        <v/>
      </c>
      <c r="M4906" s="30" t="str">
        <f>IF($L4906="","",INDEX($A$8:$A$5007,$L4906))</f>
        <v/>
      </c>
      <c r="N4906" s="31" t="str">
        <f>IF($L4906="","",INDEX($B$8:$B$5007,$L4906))</f>
        <v/>
      </c>
      <c r="O4906" s="32" t="str">
        <f>IF($M4906="","",IF($K4906-$M4906&gt;7,"",IF($M4906&lt;=$A4906,"",IF(OR($B4906&lt;=0,$N4906&lt;=0),"",($N4906/$B4906)^(365/($M4906-$A4906))-1))))</f>
        <v/>
      </c>
      <c r="P4906" s="31" t="str">
        <f>IF($B4906="","",IF($P4905="",$B4906,MAX($P4905,$B4906)))</f>
        <v/>
      </c>
      <c r="Q4906" s="32" t="str">
        <f>IF($P4906="","",$B4906/$P4906-1)</f>
        <v/>
      </c>
    </row>
    <row r="4907">
      <c r="A4907" s="11" t="n"/>
      <c r="B4907" s="29" t="n"/>
      <c r="K4907" s="30" t="str">
        <f>IF($A4907="","",EDATE($A4907,12*$E$4))</f>
        <v/>
      </c>
      <c r="L4907" s="19" t="str">
        <f>IF($K4907="","",IF($K4907&gt;MAX($A$8:$A$5007),"",IFERROR(MATCH($K4907,$A$8:$A$5007,1),"")))</f>
        <v/>
      </c>
      <c r="M4907" s="30" t="str">
        <f>IF($L4907="","",INDEX($A$8:$A$5007,$L4907))</f>
        <v/>
      </c>
      <c r="N4907" s="31" t="str">
        <f>IF($L4907="","",INDEX($B$8:$B$5007,$L4907))</f>
        <v/>
      </c>
      <c r="O4907" s="32" t="str">
        <f>IF($M4907="","",IF($K4907-$M4907&gt;7,"",IF($M4907&lt;=$A4907,"",IF(OR($B4907&lt;=0,$N4907&lt;=0),"",($N4907/$B4907)^(365/($M4907-$A4907))-1))))</f>
        <v/>
      </c>
      <c r="P4907" s="31" t="str">
        <f>IF($B4907="","",IF($P4906="",$B4907,MAX($P4906,$B4907)))</f>
        <v/>
      </c>
      <c r="Q4907" s="32" t="str">
        <f>IF($P4907="","",$B4907/$P4907-1)</f>
        <v/>
      </c>
    </row>
    <row r="4908">
      <c r="A4908" s="11" t="n"/>
      <c r="B4908" s="29" t="n"/>
      <c r="K4908" s="30" t="str">
        <f>IF($A4908="","",EDATE($A4908,12*$E$4))</f>
        <v/>
      </c>
      <c r="L4908" s="19" t="str">
        <f>IF($K4908="","",IF($K4908&gt;MAX($A$8:$A$5007),"",IFERROR(MATCH($K4908,$A$8:$A$5007,1),"")))</f>
        <v/>
      </c>
      <c r="M4908" s="30" t="str">
        <f>IF($L4908="","",INDEX($A$8:$A$5007,$L4908))</f>
        <v/>
      </c>
      <c r="N4908" s="31" t="str">
        <f>IF($L4908="","",INDEX($B$8:$B$5007,$L4908))</f>
        <v/>
      </c>
      <c r="O4908" s="32" t="str">
        <f>IF($M4908="","",IF($K4908-$M4908&gt;7,"",IF($M4908&lt;=$A4908,"",IF(OR($B4908&lt;=0,$N4908&lt;=0),"",($N4908/$B4908)^(365/($M4908-$A4908))-1))))</f>
        <v/>
      </c>
      <c r="P4908" s="31" t="str">
        <f>IF($B4908="","",IF($P4907="",$B4908,MAX($P4907,$B4908)))</f>
        <v/>
      </c>
      <c r="Q4908" s="32" t="str">
        <f>IF($P4908="","",$B4908/$P4908-1)</f>
        <v/>
      </c>
    </row>
    <row r="4909">
      <c r="A4909" s="11" t="n"/>
      <c r="B4909" s="29" t="n"/>
      <c r="K4909" s="30" t="str">
        <f>IF($A4909="","",EDATE($A4909,12*$E$4))</f>
        <v/>
      </c>
      <c r="L4909" s="19" t="str">
        <f>IF($K4909="","",IF($K4909&gt;MAX($A$8:$A$5007),"",IFERROR(MATCH($K4909,$A$8:$A$5007,1),"")))</f>
        <v/>
      </c>
      <c r="M4909" s="30" t="str">
        <f>IF($L4909="","",INDEX($A$8:$A$5007,$L4909))</f>
        <v/>
      </c>
      <c r="N4909" s="31" t="str">
        <f>IF($L4909="","",INDEX($B$8:$B$5007,$L4909))</f>
        <v/>
      </c>
      <c r="O4909" s="32" t="str">
        <f>IF($M4909="","",IF($K4909-$M4909&gt;7,"",IF($M4909&lt;=$A4909,"",IF(OR($B4909&lt;=0,$N4909&lt;=0),"",($N4909/$B4909)^(365/($M4909-$A4909))-1))))</f>
        <v/>
      </c>
      <c r="P4909" s="31" t="str">
        <f>IF($B4909="","",IF($P4908="",$B4909,MAX($P4908,$B4909)))</f>
        <v/>
      </c>
      <c r="Q4909" s="32" t="str">
        <f>IF($P4909="","",$B4909/$P4909-1)</f>
        <v/>
      </c>
    </row>
    <row r="4910">
      <c r="A4910" s="11" t="n"/>
      <c r="B4910" s="29" t="n"/>
      <c r="K4910" s="30" t="str">
        <f>IF($A4910="","",EDATE($A4910,12*$E$4))</f>
        <v/>
      </c>
      <c r="L4910" s="19" t="str">
        <f>IF($K4910="","",IF($K4910&gt;MAX($A$8:$A$5007),"",IFERROR(MATCH($K4910,$A$8:$A$5007,1),"")))</f>
        <v/>
      </c>
      <c r="M4910" s="30" t="str">
        <f>IF($L4910="","",INDEX($A$8:$A$5007,$L4910))</f>
        <v/>
      </c>
      <c r="N4910" s="31" t="str">
        <f>IF($L4910="","",INDEX($B$8:$B$5007,$L4910))</f>
        <v/>
      </c>
      <c r="O4910" s="32" t="str">
        <f>IF($M4910="","",IF($K4910-$M4910&gt;7,"",IF($M4910&lt;=$A4910,"",IF(OR($B4910&lt;=0,$N4910&lt;=0),"",($N4910/$B4910)^(365/($M4910-$A4910))-1))))</f>
        <v/>
      </c>
      <c r="P4910" s="31" t="str">
        <f>IF($B4910="","",IF($P4909="",$B4910,MAX($P4909,$B4910)))</f>
        <v/>
      </c>
      <c r="Q4910" s="32" t="str">
        <f>IF($P4910="","",$B4910/$P4910-1)</f>
        <v/>
      </c>
    </row>
    <row r="4911">
      <c r="A4911" s="11" t="n"/>
      <c r="B4911" s="29" t="n"/>
      <c r="K4911" s="30" t="str">
        <f>IF($A4911="","",EDATE($A4911,12*$E$4))</f>
        <v/>
      </c>
      <c r="L4911" s="19" t="str">
        <f>IF($K4911="","",IF($K4911&gt;MAX($A$8:$A$5007),"",IFERROR(MATCH($K4911,$A$8:$A$5007,1),"")))</f>
        <v/>
      </c>
      <c r="M4911" s="30" t="str">
        <f>IF($L4911="","",INDEX($A$8:$A$5007,$L4911))</f>
        <v/>
      </c>
      <c r="N4911" s="31" t="str">
        <f>IF($L4911="","",INDEX($B$8:$B$5007,$L4911))</f>
        <v/>
      </c>
      <c r="O4911" s="32" t="str">
        <f>IF($M4911="","",IF($K4911-$M4911&gt;7,"",IF($M4911&lt;=$A4911,"",IF(OR($B4911&lt;=0,$N4911&lt;=0),"",($N4911/$B4911)^(365/($M4911-$A4911))-1))))</f>
        <v/>
      </c>
      <c r="P4911" s="31" t="str">
        <f>IF($B4911="","",IF($P4910="",$B4911,MAX($P4910,$B4911)))</f>
        <v/>
      </c>
      <c r="Q4911" s="32" t="str">
        <f>IF($P4911="","",$B4911/$P4911-1)</f>
        <v/>
      </c>
    </row>
    <row r="4912">
      <c r="A4912" s="11" t="n"/>
      <c r="B4912" s="29" t="n"/>
      <c r="K4912" s="30" t="str">
        <f>IF($A4912="","",EDATE($A4912,12*$E$4))</f>
        <v/>
      </c>
      <c r="L4912" s="19" t="str">
        <f>IF($K4912="","",IF($K4912&gt;MAX($A$8:$A$5007),"",IFERROR(MATCH($K4912,$A$8:$A$5007,1),"")))</f>
        <v/>
      </c>
      <c r="M4912" s="30" t="str">
        <f>IF($L4912="","",INDEX($A$8:$A$5007,$L4912))</f>
        <v/>
      </c>
      <c r="N4912" s="31" t="str">
        <f>IF($L4912="","",INDEX($B$8:$B$5007,$L4912))</f>
        <v/>
      </c>
      <c r="O4912" s="32" t="str">
        <f>IF($M4912="","",IF($K4912-$M4912&gt;7,"",IF($M4912&lt;=$A4912,"",IF(OR($B4912&lt;=0,$N4912&lt;=0),"",($N4912/$B4912)^(365/($M4912-$A4912))-1))))</f>
        <v/>
      </c>
      <c r="P4912" s="31" t="str">
        <f>IF($B4912="","",IF($P4911="",$B4912,MAX($P4911,$B4912)))</f>
        <v/>
      </c>
      <c r="Q4912" s="32" t="str">
        <f>IF($P4912="","",$B4912/$P4912-1)</f>
        <v/>
      </c>
    </row>
    <row r="4913">
      <c r="A4913" s="11" t="n"/>
      <c r="B4913" s="29" t="n"/>
      <c r="K4913" s="30" t="str">
        <f>IF($A4913="","",EDATE($A4913,12*$E$4))</f>
        <v/>
      </c>
      <c r="L4913" s="19" t="str">
        <f>IF($K4913="","",IF($K4913&gt;MAX($A$8:$A$5007),"",IFERROR(MATCH($K4913,$A$8:$A$5007,1),"")))</f>
        <v/>
      </c>
      <c r="M4913" s="30" t="str">
        <f>IF($L4913="","",INDEX($A$8:$A$5007,$L4913))</f>
        <v/>
      </c>
      <c r="N4913" s="31" t="str">
        <f>IF($L4913="","",INDEX($B$8:$B$5007,$L4913))</f>
        <v/>
      </c>
      <c r="O4913" s="32" t="str">
        <f>IF($M4913="","",IF($K4913-$M4913&gt;7,"",IF($M4913&lt;=$A4913,"",IF(OR($B4913&lt;=0,$N4913&lt;=0),"",($N4913/$B4913)^(365/($M4913-$A4913))-1))))</f>
        <v/>
      </c>
      <c r="P4913" s="31" t="str">
        <f>IF($B4913="","",IF($P4912="",$B4913,MAX($P4912,$B4913)))</f>
        <v/>
      </c>
      <c r="Q4913" s="32" t="str">
        <f>IF($P4913="","",$B4913/$P4913-1)</f>
        <v/>
      </c>
    </row>
    <row r="4914">
      <c r="A4914" s="11" t="n"/>
      <c r="B4914" s="29" t="n"/>
      <c r="K4914" s="30" t="str">
        <f>IF($A4914="","",EDATE($A4914,12*$E$4))</f>
        <v/>
      </c>
      <c r="L4914" s="19" t="str">
        <f>IF($K4914="","",IF($K4914&gt;MAX($A$8:$A$5007),"",IFERROR(MATCH($K4914,$A$8:$A$5007,1),"")))</f>
        <v/>
      </c>
      <c r="M4914" s="30" t="str">
        <f>IF($L4914="","",INDEX($A$8:$A$5007,$L4914))</f>
        <v/>
      </c>
      <c r="N4914" s="31" t="str">
        <f>IF($L4914="","",INDEX($B$8:$B$5007,$L4914))</f>
        <v/>
      </c>
      <c r="O4914" s="32" t="str">
        <f>IF($M4914="","",IF($K4914-$M4914&gt;7,"",IF($M4914&lt;=$A4914,"",IF(OR($B4914&lt;=0,$N4914&lt;=0),"",($N4914/$B4914)^(365/($M4914-$A4914))-1))))</f>
        <v/>
      </c>
      <c r="P4914" s="31" t="str">
        <f>IF($B4914="","",IF($P4913="",$B4914,MAX($P4913,$B4914)))</f>
        <v/>
      </c>
      <c r="Q4914" s="32" t="str">
        <f>IF($P4914="","",$B4914/$P4914-1)</f>
        <v/>
      </c>
    </row>
    <row r="4915">
      <c r="A4915" s="11" t="n"/>
      <c r="B4915" s="29" t="n"/>
      <c r="K4915" s="30" t="str">
        <f>IF($A4915="","",EDATE($A4915,12*$E$4))</f>
        <v/>
      </c>
      <c r="L4915" s="19" t="str">
        <f>IF($K4915="","",IF($K4915&gt;MAX($A$8:$A$5007),"",IFERROR(MATCH($K4915,$A$8:$A$5007,1),"")))</f>
        <v/>
      </c>
      <c r="M4915" s="30" t="str">
        <f>IF($L4915="","",INDEX($A$8:$A$5007,$L4915))</f>
        <v/>
      </c>
      <c r="N4915" s="31" t="str">
        <f>IF($L4915="","",INDEX($B$8:$B$5007,$L4915))</f>
        <v/>
      </c>
      <c r="O4915" s="32" t="str">
        <f>IF($M4915="","",IF($K4915-$M4915&gt;7,"",IF($M4915&lt;=$A4915,"",IF(OR($B4915&lt;=0,$N4915&lt;=0),"",($N4915/$B4915)^(365/($M4915-$A4915))-1))))</f>
        <v/>
      </c>
      <c r="P4915" s="31" t="str">
        <f>IF($B4915="","",IF($P4914="",$B4915,MAX($P4914,$B4915)))</f>
        <v/>
      </c>
      <c r="Q4915" s="32" t="str">
        <f>IF($P4915="","",$B4915/$P4915-1)</f>
        <v/>
      </c>
    </row>
    <row r="4916">
      <c r="A4916" s="11" t="n"/>
      <c r="B4916" s="29" t="n"/>
      <c r="K4916" s="30" t="str">
        <f>IF($A4916="","",EDATE($A4916,12*$E$4))</f>
        <v/>
      </c>
      <c r="L4916" s="19" t="str">
        <f>IF($K4916="","",IF($K4916&gt;MAX($A$8:$A$5007),"",IFERROR(MATCH($K4916,$A$8:$A$5007,1),"")))</f>
        <v/>
      </c>
      <c r="M4916" s="30" t="str">
        <f>IF($L4916="","",INDEX($A$8:$A$5007,$L4916))</f>
        <v/>
      </c>
      <c r="N4916" s="31" t="str">
        <f>IF($L4916="","",INDEX($B$8:$B$5007,$L4916))</f>
        <v/>
      </c>
      <c r="O4916" s="32" t="str">
        <f>IF($M4916="","",IF($K4916-$M4916&gt;7,"",IF($M4916&lt;=$A4916,"",IF(OR($B4916&lt;=0,$N4916&lt;=0),"",($N4916/$B4916)^(365/($M4916-$A4916))-1))))</f>
        <v/>
      </c>
      <c r="P4916" s="31" t="str">
        <f>IF($B4916="","",IF($P4915="",$B4916,MAX($P4915,$B4916)))</f>
        <v/>
      </c>
      <c r="Q4916" s="32" t="str">
        <f>IF($P4916="","",$B4916/$P4916-1)</f>
        <v/>
      </c>
    </row>
    <row r="4917">
      <c r="A4917" s="11" t="n"/>
      <c r="B4917" s="29" t="n"/>
      <c r="K4917" s="30" t="str">
        <f>IF($A4917="","",EDATE($A4917,12*$E$4))</f>
        <v/>
      </c>
      <c r="L4917" s="19" t="str">
        <f>IF($K4917="","",IF($K4917&gt;MAX($A$8:$A$5007),"",IFERROR(MATCH($K4917,$A$8:$A$5007,1),"")))</f>
        <v/>
      </c>
      <c r="M4917" s="30" t="str">
        <f>IF($L4917="","",INDEX($A$8:$A$5007,$L4917))</f>
        <v/>
      </c>
      <c r="N4917" s="31" t="str">
        <f>IF($L4917="","",INDEX($B$8:$B$5007,$L4917))</f>
        <v/>
      </c>
      <c r="O4917" s="32" t="str">
        <f>IF($M4917="","",IF($K4917-$M4917&gt;7,"",IF($M4917&lt;=$A4917,"",IF(OR($B4917&lt;=0,$N4917&lt;=0),"",($N4917/$B4917)^(365/($M4917-$A4917))-1))))</f>
        <v/>
      </c>
      <c r="P4917" s="31" t="str">
        <f>IF($B4917="","",IF($P4916="",$B4917,MAX($P4916,$B4917)))</f>
        <v/>
      </c>
      <c r="Q4917" s="32" t="str">
        <f>IF($P4917="","",$B4917/$P4917-1)</f>
        <v/>
      </c>
    </row>
    <row r="4918">
      <c r="A4918" s="11" t="n"/>
      <c r="B4918" s="29" t="n"/>
      <c r="K4918" s="30" t="str">
        <f>IF($A4918="","",EDATE($A4918,12*$E$4))</f>
        <v/>
      </c>
      <c r="L4918" s="19" t="str">
        <f>IF($K4918="","",IF($K4918&gt;MAX($A$8:$A$5007),"",IFERROR(MATCH($K4918,$A$8:$A$5007,1),"")))</f>
        <v/>
      </c>
      <c r="M4918" s="30" t="str">
        <f>IF($L4918="","",INDEX($A$8:$A$5007,$L4918))</f>
        <v/>
      </c>
      <c r="N4918" s="31" t="str">
        <f>IF($L4918="","",INDEX($B$8:$B$5007,$L4918))</f>
        <v/>
      </c>
      <c r="O4918" s="32" t="str">
        <f>IF($M4918="","",IF($K4918-$M4918&gt;7,"",IF($M4918&lt;=$A4918,"",IF(OR($B4918&lt;=0,$N4918&lt;=0),"",($N4918/$B4918)^(365/($M4918-$A4918))-1))))</f>
        <v/>
      </c>
      <c r="P4918" s="31" t="str">
        <f>IF($B4918="","",IF($P4917="",$B4918,MAX($P4917,$B4918)))</f>
        <v/>
      </c>
      <c r="Q4918" s="32" t="str">
        <f>IF($P4918="","",$B4918/$P4918-1)</f>
        <v/>
      </c>
    </row>
    <row r="4919">
      <c r="A4919" s="11" t="n"/>
      <c r="B4919" s="29" t="n"/>
      <c r="K4919" s="30" t="str">
        <f>IF($A4919="","",EDATE($A4919,12*$E$4))</f>
        <v/>
      </c>
      <c r="L4919" s="19" t="str">
        <f>IF($K4919="","",IF($K4919&gt;MAX($A$8:$A$5007),"",IFERROR(MATCH($K4919,$A$8:$A$5007,1),"")))</f>
        <v/>
      </c>
      <c r="M4919" s="30" t="str">
        <f>IF($L4919="","",INDEX($A$8:$A$5007,$L4919))</f>
        <v/>
      </c>
      <c r="N4919" s="31" t="str">
        <f>IF($L4919="","",INDEX($B$8:$B$5007,$L4919))</f>
        <v/>
      </c>
      <c r="O4919" s="32" t="str">
        <f>IF($M4919="","",IF($K4919-$M4919&gt;7,"",IF($M4919&lt;=$A4919,"",IF(OR($B4919&lt;=0,$N4919&lt;=0),"",($N4919/$B4919)^(365/($M4919-$A4919))-1))))</f>
        <v/>
      </c>
      <c r="P4919" s="31" t="str">
        <f>IF($B4919="","",IF($P4918="",$B4919,MAX($P4918,$B4919)))</f>
        <v/>
      </c>
      <c r="Q4919" s="32" t="str">
        <f>IF($P4919="","",$B4919/$P4919-1)</f>
        <v/>
      </c>
    </row>
    <row r="4920">
      <c r="A4920" s="11" t="n"/>
      <c r="B4920" s="29" t="n"/>
      <c r="K4920" s="30" t="str">
        <f>IF($A4920="","",EDATE($A4920,12*$E$4))</f>
        <v/>
      </c>
      <c r="L4920" s="19" t="str">
        <f>IF($K4920="","",IF($K4920&gt;MAX($A$8:$A$5007),"",IFERROR(MATCH($K4920,$A$8:$A$5007,1),"")))</f>
        <v/>
      </c>
      <c r="M4920" s="30" t="str">
        <f>IF($L4920="","",INDEX($A$8:$A$5007,$L4920))</f>
        <v/>
      </c>
      <c r="N4920" s="31" t="str">
        <f>IF($L4920="","",INDEX($B$8:$B$5007,$L4920))</f>
        <v/>
      </c>
      <c r="O4920" s="32" t="str">
        <f>IF($M4920="","",IF($K4920-$M4920&gt;7,"",IF($M4920&lt;=$A4920,"",IF(OR($B4920&lt;=0,$N4920&lt;=0),"",($N4920/$B4920)^(365/($M4920-$A4920))-1))))</f>
        <v/>
      </c>
      <c r="P4920" s="31" t="str">
        <f>IF($B4920="","",IF($P4919="",$B4920,MAX($P4919,$B4920)))</f>
        <v/>
      </c>
      <c r="Q4920" s="32" t="str">
        <f>IF($P4920="","",$B4920/$P4920-1)</f>
        <v/>
      </c>
    </row>
    <row r="4921">
      <c r="A4921" s="11" t="n"/>
      <c r="B4921" s="29" t="n"/>
      <c r="K4921" s="30" t="str">
        <f>IF($A4921="","",EDATE($A4921,12*$E$4))</f>
        <v/>
      </c>
      <c r="L4921" s="19" t="str">
        <f>IF($K4921="","",IF($K4921&gt;MAX($A$8:$A$5007),"",IFERROR(MATCH($K4921,$A$8:$A$5007,1),"")))</f>
        <v/>
      </c>
      <c r="M4921" s="30" t="str">
        <f>IF($L4921="","",INDEX($A$8:$A$5007,$L4921))</f>
        <v/>
      </c>
      <c r="N4921" s="31" t="str">
        <f>IF($L4921="","",INDEX($B$8:$B$5007,$L4921))</f>
        <v/>
      </c>
      <c r="O4921" s="32" t="str">
        <f>IF($M4921="","",IF($K4921-$M4921&gt;7,"",IF($M4921&lt;=$A4921,"",IF(OR($B4921&lt;=0,$N4921&lt;=0),"",($N4921/$B4921)^(365/($M4921-$A4921))-1))))</f>
        <v/>
      </c>
      <c r="P4921" s="31" t="str">
        <f>IF($B4921="","",IF($P4920="",$B4921,MAX($P4920,$B4921)))</f>
        <v/>
      </c>
      <c r="Q4921" s="32" t="str">
        <f>IF($P4921="","",$B4921/$P4921-1)</f>
        <v/>
      </c>
    </row>
    <row r="4922">
      <c r="A4922" s="11" t="n"/>
      <c r="B4922" s="29" t="n"/>
      <c r="K4922" s="30" t="str">
        <f>IF($A4922="","",EDATE($A4922,12*$E$4))</f>
        <v/>
      </c>
      <c r="L4922" s="19" t="str">
        <f>IF($K4922="","",IF($K4922&gt;MAX($A$8:$A$5007),"",IFERROR(MATCH($K4922,$A$8:$A$5007,1),"")))</f>
        <v/>
      </c>
      <c r="M4922" s="30" t="str">
        <f>IF($L4922="","",INDEX($A$8:$A$5007,$L4922))</f>
        <v/>
      </c>
      <c r="N4922" s="31" t="str">
        <f>IF($L4922="","",INDEX($B$8:$B$5007,$L4922))</f>
        <v/>
      </c>
      <c r="O4922" s="32" t="str">
        <f>IF($M4922="","",IF($K4922-$M4922&gt;7,"",IF($M4922&lt;=$A4922,"",IF(OR($B4922&lt;=0,$N4922&lt;=0),"",($N4922/$B4922)^(365/($M4922-$A4922))-1))))</f>
        <v/>
      </c>
      <c r="P4922" s="31" t="str">
        <f>IF($B4922="","",IF($P4921="",$B4922,MAX($P4921,$B4922)))</f>
        <v/>
      </c>
      <c r="Q4922" s="32" t="str">
        <f>IF($P4922="","",$B4922/$P4922-1)</f>
        <v/>
      </c>
    </row>
    <row r="4923">
      <c r="A4923" s="11" t="n"/>
      <c r="B4923" s="29" t="n"/>
      <c r="K4923" s="30" t="str">
        <f>IF($A4923="","",EDATE($A4923,12*$E$4))</f>
        <v/>
      </c>
      <c r="L4923" s="19" t="str">
        <f>IF($K4923="","",IF($K4923&gt;MAX($A$8:$A$5007),"",IFERROR(MATCH($K4923,$A$8:$A$5007,1),"")))</f>
        <v/>
      </c>
      <c r="M4923" s="30" t="str">
        <f>IF($L4923="","",INDEX($A$8:$A$5007,$L4923))</f>
        <v/>
      </c>
      <c r="N4923" s="31" t="str">
        <f>IF($L4923="","",INDEX($B$8:$B$5007,$L4923))</f>
        <v/>
      </c>
      <c r="O4923" s="32" t="str">
        <f>IF($M4923="","",IF($K4923-$M4923&gt;7,"",IF($M4923&lt;=$A4923,"",IF(OR($B4923&lt;=0,$N4923&lt;=0),"",($N4923/$B4923)^(365/($M4923-$A4923))-1))))</f>
        <v/>
      </c>
      <c r="P4923" s="31" t="str">
        <f>IF($B4923="","",IF($P4922="",$B4923,MAX($P4922,$B4923)))</f>
        <v/>
      </c>
      <c r="Q4923" s="32" t="str">
        <f>IF($P4923="","",$B4923/$P4923-1)</f>
        <v/>
      </c>
    </row>
    <row r="4924">
      <c r="A4924" s="11" t="n"/>
      <c r="B4924" s="29" t="n"/>
      <c r="K4924" s="30" t="str">
        <f>IF($A4924="","",EDATE($A4924,12*$E$4))</f>
        <v/>
      </c>
      <c r="L4924" s="19" t="str">
        <f>IF($K4924="","",IF($K4924&gt;MAX($A$8:$A$5007),"",IFERROR(MATCH($K4924,$A$8:$A$5007,1),"")))</f>
        <v/>
      </c>
      <c r="M4924" s="30" t="str">
        <f>IF($L4924="","",INDEX($A$8:$A$5007,$L4924))</f>
        <v/>
      </c>
      <c r="N4924" s="31" t="str">
        <f>IF($L4924="","",INDEX($B$8:$B$5007,$L4924))</f>
        <v/>
      </c>
      <c r="O4924" s="32" t="str">
        <f>IF($M4924="","",IF($K4924-$M4924&gt;7,"",IF($M4924&lt;=$A4924,"",IF(OR($B4924&lt;=0,$N4924&lt;=0),"",($N4924/$B4924)^(365/($M4924-$A4924))-1))))</f>
        <v/>
      </c>
      <c r="P4924" s="31" t="str">
        <f>IF($B4924="","",IF($P4923="",$B4924,MAX($P4923,$B4924)))</f>
        <v/>
      </c>
      <c r="Q4924" s="32" t="str">
        <f>IF($P4924="","",$B4924/$P4924-1)</f>
        <v/>
      </c>
    </row>
    <row r="4925">
      <c r="A4925" s="11" t="n"/>
      <c r="B4925" s="29" t="n"/>
      <c r="K4925" s="30" t="str">
        <f>IF($A4925="","",EDATE($A4925,12*$E$4))</f>
        <v/>
      </c>
      <c r="L4925" s="19" t="str">
        <f>IF($K4925="","",IF($K4925&gt;MAX($A$8:$A$5007),"",IFERROR(MATCH($K4925,$A$8:$A$5007,1),"")))</f>
        <v/>
      </c>
      <c r="M4925" s="30" t="str">
        <f>IF($L4925="","",INDEX($A$8:$A$5007,$L4925))</f>
        <v/>
      </c>
      <c r="N4925" s="31" t="str">
        <f>IF($L4925="","",INDEX($B$8:$B$5007,$L4925))</f>
        <v/>
      </c>
      <c r="O4925" s="32" t="str">
        <f>IF($M4925="","",IF($K4925-$M4925&gt;7,"",IF($M4925&lt;=$A4925,"",IF(OR($B4925&lt;=0,$N4925&lt;=0),"",($N4925/$B4925)^(365/($M4925-$A4925))-1))))</f>
        <v/>
      </c>
      <c r="P4925" s="31" t="str">
        <f>IF($B4925="","",IF($P4924="",$B4925,MAX($P4924,$B4925)))</f>
        <v/>
      </c>
      <c r="Q4925" s="32" t="str">
        <f>IF($P4925="","",$B4925/$P4925-1)</f>
        <v/>
      </c>
    </row>
    <row r="4926">
      <c r="A4926" s="11" t="n"/>
      <c r="B4926" s="29" t="n"/>
      <c r="K4926" s="30" t="str">
        <f>IF($A4926="","",EDATE($A4926,12*$E$4))</f>
        <v/>
      </c>
      <c r="L4926" s="19" t="str">
        <f>IF($K4926="","",IF($K4926&gt;MAX($A$8:$A$5007),"",IFERROR(MATCH($K4926,$A$8:$A$5007,1),"")))</f>
        <v/>
      </c>
      <c r="M4926" s="30" t="str">
        <f>IF($L4926="","",INDEX($A$8:$A$5007,$L4926))</f>
        <v/>
      </c>
      <c r="N4926" s="31" t="str">
        <f>IF($L4926="","",INDEX($B$8:$B$5007,$L4926))</f>
        <v/>
      </c>
      <c r="O4926" s="32" t="str">
        <f>IF($M4926="","",IF($K4926-$M4926&gt;7,"",IF($M4926&lt;=$A4926,"",IF(OR($B4926&lt;=0,$N4926&lt;=0),"",($N4926/$B4926)^(365/($M4926-$A4926))-1))))</f>
        <v/>
      </c>
      <c r="P4926" s="31" t="str">
        <f>IF($B4926="","",IF($P4925="",$B4926,MAX($P4925,$B4926)))</f>
        <v/>
      </c>
      <c r="Q4926" s="32" t="str">
        <f>IF($P4926="","",$B4926/$P4926-1)</f>
        <v/>
      </c>
    </row>
    <row r="4927">
      <c r="A4927" s="11" t="n"/>
      <c r="B4927" s="29" t="n"/>
      <c r="K4927" s="30" t="str">
        <f>IF($A4927="","",EDATE($A4927,12*$E$4))</f>
        <v/>
      </c>
      <c r="L4927" s="19" t="str">
        <f>IF($K4927="","",IF($K4927&gt;MAX($A$8:$A$5007),"",IFERROR(MATCH($K4927,$A$8:$A$5007,1),"")))</f>
        <v/>
      </c>
      <c r="M4927" s="30" t="str">
        <f>IF($L4927="","",INDEX($A$8:$A$5007,$L4927))</f>
        <v/>
      </c>
      <c r="N4927" s="31" t="str">
        <f>IF($L4927="","",INDEX($B$8:$B$5007,$L4927))</f>
        <v/>
      </c>
      <c r="O4927" s="32" t="str">
        <f>IF($M4927="","",IF($K4927-$M4927&gt;7,"",IF($M4927&lt;=$A4927,"",IF(OR($B4927&lt;=0,$N4927&lt;=0),"",($N4927/$B4927)^(365/($M4927-$A4927))-1))))</f>
        <v/>
      </c>
      <c r="P4927" s="31" t="str">
        <f>IF($B4927="","",IF($P4926="",$B4927,MAX($P4926,$B4927)))</f>
        <v/>
      </c>
      <c r="Q4927" s="32" t="str">
        <f>IF($P4927="","",$B4927/$P4927-1)</f>
        <v/>
      </c>
    </row>
    <row r="4928">
      <c r="A4928" s="11" t="n"/>
      <c r="B4928" s="29" t="n"/>
      <c r="K4928" s="30" t="str">
        <f>IF($A4928="","",EDATE($A4928,12*$E$4))</f>
        <v/>
      </c>
      <c r="L4928" s="19" t="str">
        <f>IF($K4928="","",IF($K4928&gt;MAX($A$8:$A$5007),"",IFERROR(MATCH($K4928,$A$8:$A$5007,1),"")))</f>
        <v/>
      </c>
      <c r="M4928" s="30" t="str">
        <f>IF($L4928="","",INDEX($A$8:$A$5007,$L4928))</f>
        <v/>
      </c>
      <c r="N4928" s="31" t="str">
        <f>IF($L4928="","",INDEX($B$8:$B$5007,$L4928))</f>
        <v/>
      </c>
      <c r="O4928" s="32" t="str">
        <f>IF($M4928="","",IF($K4928-$M4928&gt;7,"",IF($M4928&lt;=$A4928,"",IF(OR($B4928&lt;=0,$N4928&lt;=0),"",($N4928/$B4928)^(365/($M4928-$A4928))-1))))</f>
        <v/>
      </c>
      <c r="P4928" s="31" t="str">
        <f>IF($B4928="","",IF($P4927="",$B4928,MAX($P4927,$B4928)))</f>
        <v/>
      </c>
      <c r="Q4928" s="32" t="str">
        <f>IF($P4928="","",$B4928/$P4928-1)</f>
        <v/>
      </c>
    </row>
    <row r="4929">
      <c r="A4929" s="11" t="n"/>
      <c r="B4929" s="29" t="n"/>
      <c r="K4929" s="30" t="str">
        <f>IF($A4929="","",EDATE($A4929,12*$E$4))</f>
        <v/>
      </c>
      <c r="L4929" s="19" t="str">
        <f>IF($K4929="","",IF($K4929&gt;MAX($A$8:$A$5007),"",IFERROR(MATCH($K4929,$A$8:$A$5007,1),"")))</f>
        <v/>
      </c>
      <c r="M4929" s="30" t="str">
        <f>IF($L4929="","",INDEX($A$8:$A$5007,$L4929))</f>
        <v/>
      </c>
      <c r="N4929" s="31" t="str">
        <f>IF($L4929="","",INDEX($B$8:$B$5007,$L4929))</f>
        <v/>
      </c>
      <c r="O4929" s="32" t="str">
        <f>IF($M4929="","",IF($K4929-$M4929&gt;7,"",IF($M4929&lt;=$A4929,"",IF(OR($B4929&lt;=0,$N4929&lt;=0),"",($N4929/$B4929)^(365/($M4929-$A4929))-1))))</f>
        <v/>
      </c>
      <c r="P4929" s="31" t="str">
        <f>IF($B4929="","",IF($P4928="",$B4929,MAX($P4928,$B4929)))</f>
        <v/>
      </c>
      <c r="Q4929" s="32" t="str">
        <f>IF($P4929="","",$B4929/$P4929-1)</f>
        <v/>
      </c>
    </row>
    <row r="4930">
      <c r="A4930" s="11" t="n"/>
      <c r="B4930" s="29" t="n"/>
      <c r="K4930" s="30" t="str">
        <f>IF($A4930="","",EDATE($A4930,12*$E$4))</f>
        <v/>
      </c>
      <c r="L4930" s="19" t="str">
        <f>IF($K4930="","",IF($K4930&gt;MAX($A$8:$A$5007),"",IFERROR(MATCH($K4930,$A$8:$A$5007,1),"")))</f>
        <v/>
      </c>
      <c r="M4930" s="30" t="str">
        <f>IF($L4930="","",INDEX($A$8:$A$5007,$L4930))</f>
        <v/>
      </c>
      <c r="N4930" s="31" t="str">
        <f>IF($L4930="","",INDEX($B$8:$B$5007,$L4930))</f>
        <v/>
      </c>
      <c r="O4930" s="32" t="str">
        <f>IF($M4930="","",IF($K4930-$M4930&gt;7,"",IF($M4930&lt;=$A4930,"",IF(OR($B4930&lt;=0,$N4930&lt;=0),"",($N4930/$B4930)^(365/($M4930-$A4930))-1))))</f>
        <v/>
      </c>
      <c r="P4930" s="31" t="str">
        <f>IF($B4930="","",IF($P4929="",$B4930,MAX($P4929,$B4930)))</f>
        <v/>
      </c>
      <c r="Q4930" s="32" t="str">
        <f>IF($P4930="","",$B4930/$P4930-1)</f>
        <v/>
      </c>
    </row>
    <row r="4931">
      <c r="A4931" s="11" t="n"/>
      <c r="B4931" s="29" t="n"/>
      <c r="K4931" s="30" t="str">
        <f>IF($A4931="","",EDATE($A4931,12*$E$4))</f>
        <v/>
      </c>
      <c r="L4931" s="19" t="str">
        <f>IF($K4931="","",IF($K4931&gt;MAX($A$8:$A$5007),"",IFERROR(MATCH($K4931,$A$8:$A$5007,1),"")))</f>
        <v/>
      </c>
      <c r="M4931" s="30" t="str">
        <f>IF($L4931="","",INDEX($A$8:$A$5007,$L4931))</f>
        <v/>
      </c>
      <c r="N4931" s="31" t="str">
        <f>IF($L4931="","",INDEX($B$8:$B$5007,$L4931))</f>
        <v/>
      </c>
      <c r="O4931" s="32" t="str">
        <f>IF($M4931="","",IF($K4931-$M4931&gt;7,"",IF($M4931&lt;=$A4931,"",IF(OR($B4931&lt;=0,$N4931&lt;=0),"",($N4931/$B4931)^(365/($M4931-$A4931))-1))))</f>
        <v/>
      </c>
      <c r="P4931" s="31" t="str">
        <f>IF($B4931="","",IF($P4930="",$B4931,MAX($P4930,$B4931)))</f>
        <v/>
      </c>
      <c r="Q4931" s="32" t="str">
        <f>IF($P4931="","",$B4931/$P4931-1)</f>
        <v/>
      </c>
    </row>
    <row r="4932">
      <c r="A4932" s="11" t="n"/>
      <c r="B4932" s="29" t="n"/>
      <c r="K4932" s="30" t="str">
        <f>IF($A4932="","",EDATE($A4932,12*$E$4))</f>
        <v/>
      </c>
      <c r="L4932" s="19" t="str">
        <f>IF($K4932="","",IF($K4932&gt;MAX($A$8:$A$5007),"",IFERROR(MATCH($K4932,$A$8:$A$5007,1),"")))</f>
        <v/>
      </c>
      <c r="M4932" s="30" t="str">
        <f>IF($L4932="","",INDEX($A$8:$A$5007,$L4932))</f>
        <v/>
      </c>
      <c r="N4932" s="31" t="str">
        <f>IF($L4932="","",INDEX($B$8:$B$5007,$L4932))</f>
        <v/>
      </c>
      <c r="O4932" s="32" t="str">
        <f>IF($M4932="","",IF($K4932-$M4932&gt;7,"",IF($M4932&lt;=$A4932,"",IF(OR($B4932&lt;=0,$N4932&lt;=0),"",($N4932/$B4932)^(365/($M4932-$A4932))-1))))</f>
        <v/>
      </c>
      <c r="P4932" s="31" t="str">
        <f>IF($B4932="","",IF($P4931="",$B4932,MAX($P4931,$B4932)))</f>
        <v/>
      </c>
      <c r="Q4932" s="32" t="str">
        <f>IF($P4932="","",$B4932/$P4932-1)</f>
        <v/>
      </c>
    </row>
    <row r="4933">
      <c r="A4933" s="11" t="n"/>
      <c r="B4933" s="29" t="n"/>
      <c r="K4933" s="30" t="str">
        <f>IF($A4933="","",EDATE($A4933,12*$E$4))</f>
        <v/>
      </c>
      <c r="L4933" s="19" t="str">
        <f>IF($K4933="","",IF($K4933&gt;MAX($A$8:$A$5007),"",IFERROR(MATCH($K4933,$A$8:$A$5007,1),"")))</f>
        <v/>
      </c>
      <c r="M4933" s="30" t="str">
        <f>IF($L4933="","",INDEX($A$8:$A$5007,$L4933))</f>
        <v/>
      </c>
      <c r="N4933" s="31" t="str">
        <f>IF($L4933="","",INDEX($B$8:$B$5007,$L4933))</f>
        <v/>
      </c>
      <c r="O4933" s="32" t="str">
        <f>IF($M4933="","",IF($K4933-$M4933&gt;7,"",IF($M4933&lt;=$A4933,"",IF(OR($B4933&lt;=0,$N4933&lt;=0),"",($N4933/$B4933)^(365/($M4933-$A4933))-1))))</f>
        <v/>
      </c>
      <c r="P4933" s="31" t="str">
        <f>IF($B4933="","",IF($P4932="",$B4933,MAX($P4932,$B4933)))</f>
        <v/>
      </c>
      <c r="Q4933" s="32" t="str">
        <f>IF($P4933="","",$B4933/$P4933-1)</f>
        <v/>
      </c>
    </row>
    <row r="4934">
      <c r="A4934" s="11" t="n"/>
      <c r="B4934" s="29" t="n"/>
      <c r="K4934" s="30" t="str">
        <f>IF($A4934="","",EDATE($A4934,12*$E$4))</f>
        <v/>
      </c>
      <c r="L4934" s="19" t="str">
        <f>IF($K4934="","",IF($K4934&gt;MAX($A$8:$A$5007),"",IFERROR(MATCH($K4934,$A$8:$A$5007,1),"")))</f>
        <v/>
      </c>
      <c r="M4934" s="30" t="str">
        <f>IF($L4934="","",INDEX($A$8:$A$5007,$L4934))</f>
        <v/>
      </c>
      <c r="N4934" s="31" t="str">
        <f>IF($L4934="","",INDEX($B$8:$B$5007,$L4934))</f>
        <v/>
      </c>
      <c r="O4934" s="32" t="str">
        <f>IF($M4934="","",IF($K4934-$M4934&gt;7,"",IF($M4934&lt;=$A4934,"",IF(OR($B4934&lt;=0,$N4934&lt;=0),"",($N4934/$B4934)^(365/($M4934-$A4934))-1))))</f>
        <v/>
      </c>
      <c r="P4934" s="31" t="str">
        <f>IF($B4934="","",IF($P4933="",$B4934,MAX($P4933,$B4934)))</f>
        <v/>
      </c>
      <c r="Q4934" s="32" t="str">
        <f>IF($P4934="","",$B4934/$P4934-1)</f>
        <v/>
      </c>
    </row>
    <row r="4935">
      <c r="A4935" s="11" t="n"/>
      <c r="B4935" s="29" t="n"/>
      <c r="K4935" s="30" t="str">
        <f>IF($A4935="","",EDATE($A4935,12*$E$4))</f>
        <v/>
      </c>
      <c r="L4935" s="19" t="str">
        <f>IF($K4935="","",IF($K4935&gt;MAX($A$8:$A$5007),"",IFERROR(MATCH($K4935,$A$8:$A$5007,1),"")))</f>
        <v/>
      </c>
      <c r="M4935" s="30" t="str">
        <f>IF($L4935="","",INDEX($A$8:$A$5007,$L4935))</f>
        <v/>
      </c>
      <c r="N4935" s="31" t="str">
        <f>IF($L4935="","",INDEX($B$8:$B$5007,$L4935))</f>
        <v/>
      </c>
      <c r="O4935" s="32" t="str">
        <f>IF($M4935="","",IF($K4935-$M4935&gt;7,"",IF($M4935&lt;=$A4935,"",IF(OR($B4935&lt;=0,$N4935&lt;=0),"",($N4935/$B4935)^(365/($M4935-$A4935))-1))))</f>
        <v/>
      </c>
      <c r="P4935" s="31" t="str">
        <f>IF($B4935="","",IF($P4934="",$B4935,MAX($P4934,$B4935)))</f>
        <v/>
      </c>
      <c r="Q4935" s="32" t="str">
        <f>IF($P4935="","",$B4935/$P4935-1)</f>
        <v/>
      </c>
    </row>
    <row r="4936">
      <c r="A4936" s="11" t="n"/>
      <c r="B4936" s="29" t="n"/>
      <c r="K4936" s="30" t="str">
        <f>IF($A4936="","",EDATE($A4936,12*$E$4))</f>
        <v/>
      </c>
      <c r="L4936" s="19" t="str">
        <f>IF($K4936="","",IF($K4936&gt;MAX($A$8:$A$5007),"",IFERROR(MATCH($K4936,$A$8:$A$5007,1),"")))</f>
        <v/>
      </c>
      <c r="M4936" s="30" t="str">
        <f>IF($L4936="","",INDEX($A$8:$A$5007,$L4936))</f>
        <v/>
      </c>
      <c r="N4936" s="31" t="str">
        <f>IF($L4936="","",INDEX($B$8:$B$5007,$L4936))</f>
        <v/>
      </c>
      <c r="O4936" s="32" t="str">
        <f>IF($M4936="","",IF($K4936-$M4936&gt;7,"",IF($M4936&lt;=$A4936,"",IF(OR($B4936&lt;=0,$N4936&lt;=0),"",($N4936/$B4936)^(365/($M4936-$A4936))-1))))</f>
        <v/>
      </c>
      <c r="P4936" s="31" t="str">
        <f>IF($B4936="","",IF($P4935="",$B4936,MAX($P4935,$B4936)))</f>
        <v/>
      </c>
      <c r="Q4936" s="32" t="str">
        <f>IF($P4936="","",$B4936/$P4936-1)</f>
        <v/>
      </c>
    </row>
    <row r="4937">
      <c r="A4937" s="11" t="n"/>
      <c r="B4937" s="29" t="n"/>
      <c r="K4937" s="30" t="str">
        <f>IF($A4937="","",EDATE($A4937,12*$E$4))</f>
        <v/>
      </c>
      <c r="L4937" s="19" t="str">
        <f>IF($K4937="","",IF($K4937&gt;MAX($A$8:$A$5007),"",IFERROR(MATCH($K4937,$A$8:$A$5007,1),"")))</f>
        <v/>
      </c>
      <c r="M4937" s="30" t="str">
        <f>IF($L4937="","",INDEX($A$8:$A$5007,$L4937))</f>
        <v/>
      </c>
      <c r="N4937" s="31" t="str">
        <f>IF($L4937="","",INDEX($B$8:$B$5007,$L4937))</f>
        <v/>
      </c>
      <c r="O4937" s="32" t="str">
        <f>IF($M4937="","",IF($K4937-$M4937&gt;7,"",IF($M4937&lt;=$A4937,"",IF(OR($B4937&lt;=0,$N4937&lt;=0),"",($N4937/$B4937)^(365/($M4937-$A4937))-1))))</f>
        <v/>
      </c>
      <c r="P4937" s="31" t="str">
        <f>IF($B4937="","",IF($P4936="",$B4937,MAX($P4936,$B4937)))</f>
        <v/>
      </c>
      <c r="Q4937" s="32" t="str">
        <f>IF($P4937="","",$B4937/$P4937-1)</f>
        <v/>
      </c>
    </row>
    <row r="4938">
      <c r="A4938" s="11" t="n"/>
      <c r="B4938" s="29" t="n"/>
      <c r="K4938" s="30" t="str">
        <f>IF($A4938="","",EDATE($A4938,12*$E$4))</f>
        <v/>
      </c>
      <c r="L4938" s="19" t="str">
        <f>IF($K4938="","",IF($K4938&gt;MAX($A$8:$A$5007),"",IFERROR(MATCH($K4938,$A$8:$A$5007,1),"")))</f>
        <v/>
      </c>
      <c r="M4938" s="30" t="str">
        <f>IF($L4938="","",INDEX($A$8:$A$5007,$L4938))</f>
        <v/>
      </c>
      <c r="N4938" s="31" t="str">
        <f>IF($L4938="","",INDEX($B$8:$B$5007,$L4938))</f>
        <v/>
      </c>
      <c r="O4938" s="32" t="str">
        <f>IF($M4938="","",IF($K4938-$M4938&gt;7,"",IF($M4938&lt;=$A4938,"",IF(OR($B4938&lt;=0,$N4938&lt;=0),"",($N4938/$B4938)^(365/($M4938-$A4938))-1))))</f>
        <v/>
      </c>
      <c r="P4938" s="31" t="str">
        <f>IF($B4938="","",IF($P4937="",$B4938,MAX($P4937,$B4938)))</f>
        <v/>
      </c>
      <c r="Q4938" s="32" t="str">
        <f>IF($P4938="","",$B4938/$P4938-1)</f>
        <v/>
      </c>
    </row>
    <row r="4939">
      <c r="A4939" s="11" t="n"/>
      <c r="B4939" s="29" t="n"/>
      <c r="K4939" s="30" t="str">
        <f>IF($A4939="","",EDATE($A4939,12*$E$4))</f>
        <v/>
      </c>
      <c r="L4939" s="19" t="str">
        <f>IF($K4939="","",IF($K4939&gt;MAX($A$8:$A$5007),"",IFERROR(MATCH($K4939,$A$8:$A$5007,1),"")))</f>
        <v/>
      </c>
      <c r="M4939" s="30" t="str">
        <f>IF($L4939="","",INDEX($A$8:$A$5007,$L4939))</f>
        <v/>
      </c>
      <c r="N4939" s="31" t="str">
        <f>IF($L4939="","",INDEX($B$8:$B$5007,$L4939))</f>
        <v/>
      </c>
      <c r="O4939" s="32" t="str">
        <f>IF($M4939="","",IF($K4939-$M4939&gt;7,"",IF($M4939&lt;=$A4939,"",IF(OR($B4939&lt;=0,$N4939&lt;=0),"",($N4939/$B4939)^(365/($M4939-$A4939))-1))))</f>
        <v/>
      </c>
      <c r="P4939" s="31" t="str">
        <f>IF($B4939="","",IF($P4938="",$B4939,MAX($P4938,$B4939)))</f>
        <v/>
      </c>
      <c r="Q4939" s="32" t="str">
        <f>IF($P4939="","",$B4939/$P4939-1)</f>
        <v/>
      </c>
    </row>
    <row r="4940">
      <c r="A4940" s="11" t="n"/>
      <c r="B4940" s="29" t="n"/>
      <c r="K4940" s="30" t="str">
        <f>IF($A4940="","",EDATE($A4940,12*$E$4))</f>
        <v/>
      </c>
      <c r="L4940" s="19" t="str">
        <f>IF($K4940="","",IF($K4940&gt;MAX($A$8:$A$5007),"",IFERROR(MATCH($K4940,$A$8:$A$5007,1),"")))</f>
        <v/>
      </c>
      <c r="M4940" s="30" t="str">
        <f>IF($L4940="","",INDEX($A$8:$A$5007,$L4940))</f>
        <v/>
      </c>
      <c r="N4940" s="31" t="str">
        <f>IF($L4940="","",INDEX($B$8:$B$5007,$L4940))</f>
        <v/>
      </c>
      <c r="O4940" s="32" t="str">
        <f>IF($M4940="","",IF($K4940-$M4940&gt;7,"",IF($M4940&lt;=$A4940,"",IF(OR($B4940&lt;=0,$N4940&lt;=0),"",($N4940/$B4940)^(365/($M4940-$A4940))-1))))</f>
        <v/>
      </c>
      <c r="P4940" s="31" t="str">
        <f>IF($B4940="","",IF($P4939="",$B4940,MAX($P4939,$B4940)))</f>
        <v/>
      </c>
      <c r="Q4940" s="32" t="str">
        <f>IF($P4940="","",$B4940/$P4940-1)</f>
        <v/>
      </c>
    </row>
    <row r="4941">
      <c r="A4941" s="11" t="n"/>
      <c r="B4941" s="29" t="n"/>
      <c r="K4941" s="30" t="str">
        <f>IF($A4941="","",EDATE($A4941,12*$E$4))</f>
        <v/>
      </c>
      <c r="L4941" s="19" t="str">
        <f>IF($K4941="","",IF($K4941&gt;MAX($A$8:$A$5007),"",IFERROR(MATCH($K4941,$A$8:$A$5007,1),"")))</f>
        <v/>
      </c>
      <c r="M4941" s="30" t="str">
        <f>IF($L4941="","",INDEX($A$8:$A$5007,$L4941))</f>
        <v/>
      </c>
      <c r="N4941" s="31" t="str">
        <f>IF($L4941="","",INDEX($B$8:$B$5007,$L4941))</f>
        <v/>
      </c>
      <c r="O4941" s="32" t="str">
        <f>IF($M4941="","",IF($K4941-$M4941&gt;7,"",IF($M4941&lt;=$A4941,"",IF(OR($B4941&lt;=0,$N4941&lt;=0),"",($N4941/$B4941)^(365/($M4941-$A4941))-1))))</f>
        <v/>
      </c>
      <c r="P4941" s="31" t="str">
        <f>IF($B4941="","",IF($P4940="",$B4941,MAX($P4940,$B4941)))</f>
        <v/>
      </c>
      <c r="Q4941" s="32" t="str">
        <f>IF($P4941="","",$B4941/$P4941-1)</f>
        <v/>
      </c>
    </row>
    <row r="4942">
      <c r="A4942" s="11" t="n"/>
      <c r="B4942" s="29" t="n"/>
      <c r="K4942" s="30" t="str">
        <f>IF($A4942="","",EDATE($A4942,12*$E$4))</f>
        <v/>
      </c>
      <c r="L4942" s="19" t="str">
        <f>IF($K4942="","",IF($K4942&gt;MAX($A$8:$A$5007),"",IFERROR(MATCH($K4942,$A$8:$A$5007,1),"")))</f>
        <v/>
      </c>
      <c r="M4942" s="30" t="str">
        <f>IF($L4942="","",INDEX($A$8:$A$5007,$L4942))</f>
        <v/>
      </c>
      <c r="N4942" s="31" t="str">
        <f>IF($L4942="","",INDEX($B$8:$B$5007,$L4942))</f>
        <v/>
      </c>
      <c r="O4942" s="32" t="str">
        <f>IF($M4942="","",IF($K4942-$M4942&gt;7,"",IF($M4942&lt;=$A4942,"",IF(OR($B4942&lt;=0,$N4942&lt;=0),"",($N4942/$B4942)^(365/($M4942-$A4942))-1))))</f>
        <v/>
      </c>
      <c r="P4942" s="31" t="str">
        <f>IF($B4942="","",IF($P4941="",$B4942,MAX($P4941,$B4942)))</f>
        <v/>
      </c>
      <c r="Q4942" s="32" t="str">
        <f>IF($P4942="","",$B4942/$P4942-1)</f>
        <v/>
      </c>
    </row>
    <row r="4943">
      <c r="A4943" s="11" t="n"/>
      <c r="B4943" s="29" t="n"/>
      <c r="K4943" s="30" t="str">
        <f>IF($A4943="","",EDATE($A4943,12*$E$4))</f>
        <v/>
      </c>
      <c r="L4943" s="19" t="str">
        <f>IF($K4943="","",IF($K4943&gt;MAX($A$8:$A$5007),"",IFERROR(MATCH($K4943,$A$8:$A$5007,1),"")))</f>
        <v/>
      </c>
      <c r="M4943" s="30" t="str">
        <f>IF($L4943="","",INDEX($A$8:$A$5007,$L4943))</f>
        <v/>
      </c>
      <c r="N4943" s="31" t="str">
        <f>IF($L4943="","",INDEX($B$8:$B$5007,$L4943))</f>
        <v/>
      </c>
      <c r="O4943" s="32" t="str">
        <f>IF($M4943="","",IF($K4943-$M4943&gt;7,"",IF($M4943&lt;=$A4943,"",IF(OR($B4943&lt;=0,$N4943&lt;=0),"",($N4943/$B4943)^(365/($M4943-$A4943))-1))))</f>
        <v/>
      </c>
      <c r="P4943" s="31" t="str">
        <f>IF($B4943="","",IF($P4942="",$B4943,MAX($P4942,$B4943)))</f>
        <v/>
      </c>
      <c r="Q4943" s="32" t="str">
        <f>IF($P4943="","",$B4943/$P4943-1)</f>
        <v/>
      </c>
    </row>
    <row r="4944">
      <c r="A4944" s="11" t="n"/>
      <c r="B4944" s="29" t="n"/>
      <c r="K4944" s="30" t="str">
        <f>IF($A4944="","",EDATE($A4944,12*$E$4))</f>
        <v/>
      </c>
      <c r="L4944" s="19" t="str">
        <f>IF($K4944="","",IF($K4944&gt;MAX($A$8:$A$5007),"",IFERROR(MATCH($K4944,$A$8:$A$5007,1),"")))</f>
        <v/>
      </c>
      <c r="M4944" s="30" t="str">
        <f>IF($L4944="","",INDEX($A$8:$A$5007,$L4944))</f>
        <v/>
      </c>
      <c r="N4944" s="31" t="str">
        <f>IF($L4944="","",INDEX($B$8:$B$5007,$L4944))</f>
        <v/>
      </c>
      <c r="O4944" s="32" t="str">
        <f>IF($M4944="","",IF($K4944-$M4944&gt;7,"",IF($M4944&lt;=$A4944,"",IF(OR($B4944&lt;=0,$N4944&lt;=0),"",($N4944/$B4944)^(365/($M4944-$A4944))-1))))</f>
        <v/>
      </c>
      <c r="P4944" s="31" t="str">
        <f>IF($B4944="","",IF($P4943="",$B4944,MAX($P4943,$B4944)))</f>
        <v/>
      </c>
      <c r="Q4944" s="32" t="str">
        <f>IF($P4944="","",$B4944/$P4944-1)</f>
        <v/>
      </c>
    </row>
    <row r="4945">
      <c r="A4945" s="11" t="n"/>
      <c r="B4945" s="29" t="n"/>
      <c r="K4945" s="30" t="str">
        <f>IF($A4945="","",EDATE($A4945,12*$E$4))</f>
        <v/>
      </c>
      <c r="L4945" s="19" t="str">
        <f>IF($K4945="","",IF($K4945&gt;MAX($A$8:$A$5007),"",IFERROR(MATCH($K4945,$A$8:$A$5007,1),"")))</f>
        <v/>
      </c>
      <c r="M4945" s="30" t="str">
        <f>IF($L4945="","",INDEX($A$8:$A$5007,$L4945))</f>
        <v/>
      </c>
      <c r="N4945" s="31" t="str">
        <f>IF($L4945="","",INDEX($B$8:$B$5007,$L4945))</f>
        <v/>
      </c>
      <c r="O4945" s="32" t="str">
        <f>IF($M4945="","",IF($K4945-$M4945&gt;7,"",IF($M4945&lt;=$A4945,"",IF(OR($B4945&lt;=0,$N4945&lt;=0),"",($N4945/$B4945)^(365/($M4945-$A4945))-1))))</f>
        <v/>
      </c>
      <c r="P4945" s="31" t="str">
        <f>IF($B4945="","",IF($P4944="",$B4945,MAX($P4944,$B4945)))</f>
        <v/>
      </c>
      <c r="Q4945" s="32" t="str">
        <f>IF($P4945="","",$B4945/$P4945-1)</f>
        <v/>
      </c>
    </row>
    <row r="4946">
      <c r="A4946" s="11" t="n"/>
      <c r="B4946" s="29" t="n"/>
      <c r="K4946" s="30" t="str">
        <f>IF($A4946="","",EDATE($A4946,12*$E$4))</f>
        <v/>
      </c>
      <c r="L4946" s="19" t="str">
        <f>IF($K4946="","",IF($K4946&gt;MAX($A$8:$A$5007),"",IFERROR(MATCH($K4946,$A$8:$A$5007,1),"")))</f>
        <v/>
      </c>
      <c r="M4946" s="30" t="str">
        <f>IF($L4946="","",INDEX($A$8:$A$5007,$L4946))</f>
        <v/>
      </c>
      <c r="N4946" s="31" t="str">
        <f>IF($L4946="","",INDEX($B$8:$B$5007,$L4946))</f>
        <v/>
      </c>
      <c r="O4946" s="32" t="str">
        <f>IF($M4946="","",IF($K4946-$M4946&gt;7,"",IF($M4946&lt;=$A4946,"",IF(OR($B4946&lt;=0,$N4946&lt;=0),"",($N4946/$B4946)^(365/($M4946-$A4946))-1))))</f>
        <v/>
      </c>
      <c r="P4946" s="31" t="str">
        <f>IF($B4946="","",IF($P4945="",$B4946,MAX($P4945,$B4946)))</f>
        <v/>
      </c>
      <c r="Q4946" s="32" t="str">
        <f>IF($P4946="","",$B4946/$P4946-1)</f>
        <v/>
      </c>
    </row>
    <row r="4947">
      <c r="A4947" s="11" t="n"/>
      <c r="B4947" s="29" t="n"/>
      <c r="K4947" s="30" t="str">
        <f>IF($A4947="","",EDATE($A4947,12*$E$4))</f>
        <v/>
      </c>
      <c r="L4947" s="19" t="str">
        <f>IF($K4947="","",IF($K4947&gt;MAX($A$8:$A$5007),"",IFERROR(MATCH($K4947,$A$8:$A$5007,1),"")))</f>
        <v/>
      </c>
      <c r="M4947" s="30" t="str">
        <f>IF($L4947="","",INDEX($A$8:$A$5007,$L4947))</f>
        <v/>
      </c>
      <c r="N4947" s="31" t="str">
        <f>IF($L4947="","",INDEX($B$8:$B$5007,$L4947))</f>
        <v/>
      </c>
      <c r="O4947" s="32" t="str">
        <f>IF($M4947="","",IF($K4947-$M4947&gt;7,"",IF($M4947&lt;=$A4947,"",IF(OR($B4947&lt;=0,$N4947&lt;=0),"",($N4947/$B4947)^(365/($M4947-$A4947))-1))))</f>
        <v/>
      </c>
      <c r="P4947" s="31" t="str">
        <f>IF($B4947="","",IF($P4946="",$B4947,MAX($P4946,$B4947)))</f>
        <v/>
      </c>
      <c r="Q4947" s="32" t="str">
        <f>IF($P4947="","",$B4947/$P4947-1)</f>
        <v/>
      </c>
    </row>
    <row r="4948">
      <c r="A4948" s="11" t="n"/>
      <c r="B4948" s="29" t="n"/>
      <c r="K4948" s="30" t="str">
        <f>IF($A4948="","",EDATE($A4948,12*$E$4))</f>
        <v/>
      </c>
      <c r="L4948" s="19" t="str">
        <f>IF($K4948="","",IF($K4948&gt;MAX($A$8:$A$5007),"",IFERROR(MATCH($K4948,$A$8:$A$5007,1),"")))</f>
        <v/>
      </c>
      <c r="M4948" s="30" t="str">
        <f>IF($L4948="","",INDEX($A$8:$A$5007,$L4948))</f>
        <v/>
      </c>
      <c r="N4948" s="31" t="str">
        <f>IF($L4948="","",INDEX($B$8:$B$5007,$L4948))</f>
        <v/>
      </c>
      <c r="O4948" s="32" t="str">
        <f>IF($M4948="","",IF($K4948-$M4948&gt;7,"",IF($M4948&lt;=$A4948,"",IF(OR($B4948&lt;=0,$N4948&lt;=0),"",($N4948/$B4948)^(365/($M4948-$A4948))-1))))</f>
        <v/>
      </c>
      <c r="P4948" s="31" t="str">
        <f>IF($B4948="","",IF($P4947="",$B4948,MAX($P4947,$B4948)))</f>
        <v/>
      </c>
      <c r="Q4948" s="32" t="str">
        <f>IF($P4948="","",$B4948/$P4948-1)</f>
        <v/>
      </c>
    </row>
    <row r="4949">
      <c r="A4949" s="11" t="n"/>
      <c r="B4949" s="29" t="n"/>
      <c r="K4949" s="30" t="str">
        <f>IF($A4949="","",EDATE($A4949,12*$E$4))</f>
        <v/>
      </c>
      <c r="L4949" s="19" t="str">
        <f>IF($K4949="","",IF($K4949&gt;MAX($A$8:$A$5007),"",IFERROR(MATCH($K4949,$A$8:$A$5007,1),"")))</f>
        <v/>
      </c>
      <c r="M4949" s="30" t="str">
        <f>IF($L4949="","",INDEX($A$8:$A$5007,$L4949))</f>
        <v/>
      </c>
      <c r="N4949" s="31" t="str">
        <f>IF($L4949="","",INDEX($B$8:$B$5007,$L4949))</f>
        <v/>
      </c>
      <c r="O4949" s="32" t="str">
        <f>IF($M4949="","",IF($K4949-$M4949&gt;7,"",IF($M4949&lt;=$A4949,"",IF(OR($B4949&lt;=0,$N4949&lt;=0),"",($N4949/$B4949)^(365/($M4949-$A4949))-1))))</f>
        <v/>
      </c>
      <c r="P4949" s="31" t="str">
        <f>IF($B4949="","",IF($P4948="",$B4949,MAX($P4948,$B4949)))</f>
        <v/>
      </c>
      <c r="Q4949" s="32" t="str">
        <f>IF($P4949="","",$B4949/$P4949-1)</f>
        <v/>
      </c>
    </row>
    <row r="4950">
      <c r="A4950" s="11" t="n"/>
      <c r="B4950" s="29" t="n"/>
      <c r="K4950" s="30" t="str">
        <f>IF($A4950="","",EDATE($A4950,12*$E$4))</f>
        <v/>
      </c>
      <c r="L4950" s="19" t="str">
        <f>IF($K4950="","",IF($K4950&gt;MAX($A$8:$A$5007),"",IFERROR(MATCH($K4950,$A$8:$A$5007,1),"")))</f>
        <v/>
      </c>
      <c r="M4950" s="30" t="str">
        <f>IF($L4950="","",INDEX($A$8:$A$5007,$L4950))</f>
        <v/>
      </c>
      <c r="N4950" s="31" t="str">
        <f>IF($L4950="","",INDEX($B$8:$B$5007,$L4950))</f>
        <v/>
      </c>
      <c r="O4950" s="32" t="str">
        <f>IF($M4950="","",IF($K4950-$M4950&gt;7,"",IF($M4950&lt;=$A4950,"",IF(OR($B4950&lt;=0,$N4950&lt;=0),"",($N4950/$B4950)^(365/($M4950-$A4950))-1))))</f>
        <v/>
      </c>
      <c r="P4950" s="31" t="str">
        <f>IF($B4950="","",IF($P4949="",$B4950,MAX($P4949,$B4950)))</f>
        <v/>
      </c>
      <c r="Q4950" s="32" t="str">
        <f>IF($P4950="","",$B4950/$P4950-1)</f>
        <v/>
      </c>
    </row>
    <row r="4951">
      <c r="A4951" s="11" t="n"/>
      <c r="B4951" s="29" t="n"/>
      <c r="K4951" s="30" t="str">
        <f>IF($A4951="","",EDATE($A4951,12*$E$4))</f>
        <v/>
      </c>
      <c r="L4951" s="19" t="str">
        <f>IF($K4951="","",IF($K4951&gt;MAX($A$8:$A$5007),"",IFERROR(MATCH($K4951,$A$8:$A$5007,1),"")))</f>
        <v/>
      </c>
      <c r="M4951" s="30" t="str">
        <f>IF($L4951="","",INDEX($A$8:$A$5007,$L4951))</f>
        <v/>
      </c>
      <c r="N4951" s="31" t="str">
        <f>IF($L4951="","",INDEX($B$8:$B$5007,$L4951))</f>
        <v/>
      </c>
      <c r="O4951" s="32" t="str">
        <f>IF($M4951="","",IF($K4951-$M4951&gt;7,"",IF($M4951&lt;=$A4951,"",IF(OR($B4951&lt;=0,$N4951&lt;=0),"",($N4951/$B4951)^(365/($M4951-$A4951))-1))))</f>
        <v/>
      </c>
      <c r="P4951" s="31" t="str">
        <f>IF($B4951="","",IF($P4950="",$B4951,MAX($P4950,$B4951)))</f>
        <v/>
      </c>
      <c r="Q4951" s="32" t="str">
        <f>IF($P4951="","",$B4951/$P4951-1)</f>
        <v/>
      </c>
    </row>
    <row r="4952">
      <c r="A4952" s="11" t="n"/>
      <c r="B4952" s="29" t="n"/>
      <c r="K4952" s="30" t="str">
        <f>IF($A4952="","",EDATE($A4952,12*$E$4))</f>
        <v/>
      </c>
      <c r="L4952" s="19" t="str">
        <f>IF($K4952="","",IF($K4952&gt;MAX($A$8:$A$5007),"",IFERROR(MATCH($K4952,$A$8:$A$5007,1),"")))</f>
        <v/>
      </c>
      <c r="M4952" s="30" t="str">
        <f>IF($L4952="","",INDEX($A$8:$A$5007,$L4952))</f>
        <v/>
      </c>
      <c r="N4952" s="31" t="str">
        <f>IF($L4952="","",INDEX($B$8:$B$5007,$L4952))</f>
        <v/>
      </c>
      <c r="O4952" s="32" t="str">
        <f>IF($M4952="","",IF($K4952-$M4952&gt;7,"",IF($M4952&lt;=$A4952,"",IF(OR($B4952&lt;=0,$N4952&lt;=0),"",($N4952/$B4952)^(365/($M4952-$A4952))-1))))</f>
        <v/>
      </c>
      <c r="P4952" s="31" t="str">
        <f>IF($B4952="","",IF($P4951="",$B4952,MAX($P4951,$B4952)))</f>
        <v/>
      </c>
      <c r="Q4952" s="32" t="str">
        <f>IF($P4952="","",$B4952/$P4952-1)</f>
        <v/>
      </c>
    </row>
    <row r="4953">
      <c r="A4953" s="11" t="n"/>
      <c r="B4953" s="29" t="n"/>
      <c r="K4953" s="30" t="str">
        <f>IF($A4953="","",EDATE($A4953,12*$E$4))</f>
        <v/>
      </c>
      <c r="L4953" s="19" t="str">
        <f>IF($K4953="","",IF($K4953&gt;MAX($A$8:$A$5007),"",IFERROR(MATCH($K4953,$A$8:$A$5007,1),"")))</f>
        <v/>
      </c>
      <c r="M4953" s="30" t="str">
        <f>IF($L4953="","",INDEX($A$8:$A$5007,$L4953))</f>
        <v/>
      </c>
      <c r="N4953" s="31" t="str">
        <f>IF($L4953="","",INDEX($B$8:$B$5007,$L4953))</f>
        <v/>
      </c>
      <c r="O4953" s="32" t="str">
        <f>IF($M4953="","",IF($K4953-$M4953&gt;7,"",IF($M4953&lt;=$A4953,"",IF(OR($B4953&lt;=0,$N4953&lt;=0),"",($N4953/$B4953)^(365/($M4953-$A4953))-1))))</f>
        <v/>
      </c>
      <c r="P4953" s="31" t="str">
        <f>IF($B4953="","",IF($P4952="",$B4953,MAX($P4952,$B4953)))</f>
        <v/>
      </c>
      <c r="Q4953" s="32" t="str">
        <f>IF($P4953="","",$B4953/$P4953-1)</f>
        <v/>
      </c>
    </row>
    <row r="4954">
      <c r="A4954" s="11" t="n"/>
      <c r="B4954" s="29" t="n"/>
      <c r="K4954" s="30" t="str">
        <f>IF($A4954="","",EDATE($A4954,12*$E$4))</f>
        <v/>
      </c>
      <c r="L4954" s="19" t="str">
        <f>IF($K4954="","",IF($K4954&gt;MAX($A$8:$A$5007),"",IFERROR(MATCH($K4954,$A$8:$A$5007,1),"")))</f>
        <v/>
      </c>
      <c r="M4954" s="30" t="str">
        <f>IF($L4954="","",INDEX($A$8:$A$5007,$L4954))</f>
        <v/>
      </c>
      <c r="N4954" s="31" t="str">
        <f>IF($L4954="","",INDEX($B$8:$B$5007,$L4954))</f>
        <v/>
      </c>
      <c r="O4954" s="32" t="str">
        <f>IF($M4954="","",IF($K4954-$M4954&gt;7,"",IF($M4954&lt;=$A4954,"",IF(OR($B4954&lt;=0,$N4954&lt;=0),"",($N4954/$B4954)^(365/($M4954-$A4954))-1))))</f>
        <v/>
      </c>
      <c r="P4954" s="31" t="str">
        <f>IF($B4954="","",IF($P4953="",$B4954,MAX($P4953,$B4954)))</f>
        <v/>
      </c>
      <c r="Q4954" s="32" t="str">
        <f>IF($P4954="","",$B4954/$P4954-1)</f>
        <v/>
      </c>
    </row>
    <row r="4955">
      <c r="A4955" s="11" t="n"/>
      <c r="B4955" s="29" t="n"/>
      <c r="K4955" s="30" t="str">
        <f>IF($A4955="","",EDATE($A4955,12*$E$4))</f>
        <v/>
      </c>
      <c r="L4955" s="19" t="str">
        <f>IF($K4955="","",IF($K4955&gt;MAX($A$8:$A$5007),"",IFERROR(MATCH($K4955,$A$8:$A$5007,1),"")))</f>
        <v/>
      </c>
      <c r="M4955" s="30" t="str">
        <f>IF($L4955="","",INDEX($A$8:$A$5007,$L4955))</f>
        <v/>
      </c>
      <c r="N4955" s="31" t="str">
        <f>IF($L4955="","",INDEX($B$8:$B$5007,$L4955))</f>
        <v/>
      </c>
      <c r="O4955" s="32" t="str">
        <f>IF($M4955="","",IF($K4955-$M4955&gt;7,"",IF($M4955&lt;=$A4955,"",IF(OR($B4955&lt;=0,$N4955&lt;=0),"",($N4955/$B4955)^(365/($M4955-$A4955))-1))))</f>
        <v/>
      </c>
      <c r="P4955" s="31" t="str">
        <f>IF($B4955="","",IF($P4954="",$B4955,MAX($P4954,$B4955)))</f>
        <v/>
      </c>
      <c r="Q4955" s="32" t="str">
        <f>IF($P4955="","",$B4955/$P4955-1)</f>
        <v/>
      </c>
    </row>
    <row r="4956">
      <c r="A4956" s="11" t="n"/>
      <c r="B4956" s="29" t="n"/>
      <c r="K4956" s="30" t="str">
        <f>IF($A4956="","",EDATE($A4956,12*$E$4))</f>
        <v/>
      </c>
      <c r="L4956" s="19" t="str">
        <f>IF($K4956="","",IF($K4956&gt;MAX($A$8:$A$5007),"",IFERROR(MATCH($K4956,$A$8:$A$5007,1),"")))</f>
        <v/>
      </c>
      <c r="M4956" s="30" t="str">
        <f>IF($L4956="","",INDEX($A$8:$A$5007,$L4956))</f>
        <v/>
      </c>
      <c r="N4956" s="31" t="str">
        <f>IF($L4956="","",INDEX($B$8:$B$5007,$L4956))</f>
        <v/>
      </c>
      <c r="O4956" s="32" t="str">
        <f>IF($M4956="","",IF($K4956-$M4956&gt;7,"",IF($M4956&lt;=$A4956,"",IF(OR($B4956&lt;=0,$N4956&lt;=0),"",($N4956/$B4956)^(365/($M4956-$A4956))-1))))</f>
        <v/>
      </c>
      <c r="P4956" s="31" t="str">
        <f>IF($B4956="","",IF($P4955="",$B4956,MAX($P4955,$B4956)))</f>
        <v/>
      </c>
      <c r="Q4956" s="32" t="str">
        <f>IF($P4956="","",$B4956/$P4956-1)</f>
        <v/>
      </c>
    </row>
    <row r="4957">
      <c r="A4957" s="11" t="n"/>
      <c r="B4957" s="29" t="n"/>
      <c r="K4957" s="30" t="str">
        <f>IF($A4957="","",EDATE($A4957,12*$E$4))</f>
        <v/>
      </c>
      <c r="L4957" s="19" t="str">
        <f>IF($K4957="","",IF($K4957&gt;MAX($A$8:$A$5007),"",IFERROR(MATCH($K4957,$A$8:$A$5007,1),"")))</f>
        <v/>
      </c>
      <c r="M4957" s="30" t="str">
        <f>IF($L4957="","",INDEX($A$8:$A$5007,$L4957))</f>
        <v/>
      </c>
      <c r="N4957" s="31" t="str">
        <f>IF($L4957="","",INDEX($B$8:$B$5007,$L4957))</f>
        <v/>
      </c>
      <c r="O4957" s="32" t="str">
        <f>IF($M4957="","",IF($K4957-$M4957&gt;7,"",IF($M4957&lt;=$A4957,"",IF(OR($B4957&lt;=0,$N4957&lt;=0),"",($N4957/$B4957)^(365/($M4957-$A4957))-1))))</f>
        <v/>
      </c>
      <c r="P4957" s="31" t="str">
        <f>IF($B4957="","",IF($P4956="",$B4957,MAX($P4956,$B4957)))</f>
        <v/>
      </c>
      <c r="Q4957" s="32" t="str">
        <f>IF($P4957="","",$B4957/$P4957-1)</f>
        <v/>
      </c>
    </row>
    <row r="4958">
      <c r="A4958" s="11" t="n"/>
      <c r="B4958" s="29" t="n"/>
      <c r="K4958" s="30" t="str">
        <f>IF($A4958="","",EDATE($A4958,12*$E$4))</f>
        <v/>
      </c>
      <c r="L4958" s="19" t="str">
        <f>IF($K4958="","",IF($K4958&gt;MAX($A$8:$A$5007),"",IFERROR(MATCH($K4958,$A$8:$A$5007,1),"")))</f>
        <v/>
      </c>
      <c r="M4958" s="30" t="str">
        <f>IF($L4958="","",INDEX($A$8:$A$5007,$L4958))</f>
        <v/>
      </c>
      <c r="N4958" s="31" t="str">
        <f>IF($L4958="","",INDEX($B$8:$B$5007,$L4958))</f>
        <v/>
      </c>
      <c r="O4958" s="32" t="str">
        <f>IF($M4958="","",IF($K4958-$M4958&gt;7,"",IF($M4958&lt;=$A4958,"",IF(OR($B4958&lt;=0,$N4958&lt;=0),"",($N4958/$B4958)^(365/($M4958-$A4958))-1))))</f>
        <v/>
      </c>
      <c r="P4958" s="31" t="str">
        <f>IF($B4958="","",IF($P4957="",$B4958,MAX($P4957,$B4958)))</f>
        <v/>
      </c>
      <c r="Q4958" s="32" t="str">
        <f>IF($P4958="","",$B4958/$P4958-1)</f>
        <v/>
      </c>
    </row>
    <row r="4959">
      <c r="A4959" s="11" t="n"/>
      <c r="B4959" s="29" t="n"/>
      <c r="K4959" s="30" t="str">
        <f>IF($A4959="","",EDATE($A4959,12*$E$4))</f>
        <v/>
      </c>
      <c r="L4959" s="19" t="str">
        <f>IF($K4959="","",IF($K4959&gt;MAX($A$8:$A$5007),"",IFERROR(MATCH($K4959,$A$8:$A$5007,1),"")))</f>
        <v/>
      </c>
      <c r="M4959" s="30" t="str">
        <f>IF($L4959="","",INDEX($A$8:$A$5007,$L4959))</f>
        <v/>
      </c>
      <c r="N4959" s="31" t="str">
        <f>IF($L4959="","",INDEX($B$8:$B$5007,$L4959))</f>
        <v/>
      </c>
      <c r="O4959" s="32" t="str">
        <f>IF($M4959="","",IF($K4959-$M4959&gt;7,"",IF($M4959&lt;=$A4959,"",IF(OR($B4959&lt;=0,$N4959&lt;=0),"",($N4959/$B4959)^(365/($M4959-$A4959))-1))))</f>
        <v/>
      </c>
      <c r="P4959" s="31" t="str">
        <f>IF($B4959="","",IF($P4958="",$B4959,MAX($P4958,$B4959)))</f>
        <v/>
      </c>
      <c r="Q4959" s="32" t="str">
        <f>IF($P4959="","",$B4959/$P4959-1)</f>
        <v/>
      </c>
    </row>
    <row r="4960">
      <c r="A4960" s="11" t="n"/>
      <c r="B4960" s="29" t="n"/>
      <c r="K4960" s="30" t="str">
        <f>IF($A4960="","",EDATE($A4960,12*$E$4))</f>
        <v/>
      </c>
      <c r="L4960" s="19" t="str">
        <f>IF($K4960="","",IF($K4960&gt;MAX($A$8:$A$5007),"",IFERROR(MATCH($K4960,$A$8:$A$5007,1),"")))</f>
        <v/>
      </c>
      <c r="M4960" s="30" t="str">
        <f>IF($L4960="","",INDEX($A$8:$A$5007,$L4960))</f>
        <v/>
      </c>
      <c r="N4960" s="31" t="str">
        <f>IF($L4960="","",INDEX($B$8:$B$5007,$L4960))</f>
        <v/>
      </c>
      <c r="O4960" s="32" t="str">
        <f>IF($M4960="","",IF($K4960-$M4960&gt;7,"",IF($M4960&lt;=$A4960,"",IF(OR($B4960&lt;=0,$N4960&lt;=0),"",($N4960/$B4960)^(365/($M4960-$A4960))-1))))</f>
        <v/>
      </c>
      <c r="P4960" s="31" t="str">
        <f>IF($B4960="","",IF($P4959="",$B4960,MAX($P4959,$B4960)))</f>
        <v/>
      </c>
      <c r="Q4960" s="32" t="str">
        <f>IF($P4960="","",$B4960/$P4960-1)</f>
        <v/>
      </c>
    </row>
    <row r="4961">
      <c r="A4961" s="11" t="n"/>
      <c r="B4961" s="29" t="n"/>
      <c r="K4961" s="30" t="str">
        <f>IF($A4961="","",EDATE($A4961,12*$E$4))</f>
        <v/>
      </c>
      <c r="L4961" s="19" t="str">
        <f>IF($K4961="","",IF($K4961&gt;MAX($A$8:$A$5007),"",IFERROR(MATCH($K4961,$A$8:$A$5007,1),"")))</f>
        <v/>
      </c>
      <c r="M4961" s="30" t="str">
        <f>IF($L4961="","",INDEX($A$8:$A$5007,$L4961))</f>
        <v/>
      </c>
      <c r="N4961" s="31" t="str">
        <f>IF($L4961="","",INDEX($B$8:$B$5007,$L4961))</f>
        <v/>
      </c>
      <c r="O4961" s="32" t="str">
        <f>IF($M4961="","",IF($K4961-$M4961&gt;7,"",IF($M4961&lt;=$A4961,"",IF(OR($B4961&lt;=0,$N4961&lt;=0),"",($N4961/$B4961)^(365/($M4961-$A4961))-1))))</f>
        <v/>
      </c>
      <c r="P4961" s="31" t="str">
        <f>IF($B4961="","",IF($P4960="",$B4961,MAX($P4960,$B4961)))</f>
        <v/>
      </c>
      <c r="Q4961" s="32" t="str">
        <f>IF($P4961="","",$B4961/$P4961-1)</f>
        <v/>
      </c>
    </row>
    <row r="4962">
      <c r="A4962" s="11" t="n"/>
      <c r="B4962" s="29" t="n"/>
      <c r="K4962" s="30" t="str">
        <f>IF($A4962="","",EDATE($A4962,12*$E$4))</f>
        <v/>
      </c>
      <c r="L4962" s="19" t="str">
        <f>IF($K4962="","",IF($K4962&gt;MAX($A$8:$A$5007),"",IFERROR(MATCH($K4962,$A$8:$A$5007,1),"")))</f>
        <v/>
      </c>
      <c r="M4962" s="30" t="str">
        <f>IF($L4962="","",INDEX($A$8:$A$5007,$L4962))</f>
        <v/>
      </c>
      <c r="N4962" s="31" t="str">
        <f>IF($L4962="","",INDEX($B$8:$B$5007,$L4962))</f>
        <v/>
      </c>
      <c r="O4962" s="32" t="str">
        <f>IF($M4962="","",IF($K4962-$M4962&gt;7,"",IF($M4962&lt;=$A4962,"",IF(OR($B4962&lt;=0,$N4962&lt;=0),"",($N4962/$B4962)^(365/($M4962-$A4962))-1))))</f>
        <v/>
      </c>
      <c r="P4962" s="31" t="str">
        <f>IF($B4962="","",IF($P4961="",$B4962,MAX($P4961,$B4962)))</f>
        <v/>
      </c>
      <c r="Q4962" s="32" t="str">
        <f>IF($P4962="","",$B4962/$P4962-1)</f>
        <v/>
      </c>
    </row>
    <row r="4963">
      <c r="A4963" s="11" t="n"/>
      <c r="B4963" s="29" t="n"/>
      <c r="K4963" s="30" t="str">
        <f>IF($A4963="","",EDATE($A4963,12*$E$4))</f>
        <v/>
      </c>
      <c r="L4963" s="19" t="str">
        <f>IF($K4963="","",IF($K4963&gt;MAX($A$8:$A$5007),"",IFERROR(MATCH($K4963,$A$8:$A$5007,1),"")))</f>
        <v/>
      </c>
      <c r="M4963" s="30" t="str">
        <f>IF($L4963="","",INDEX($A$8:$A$5007,$L4963))</f>
        <v/>
      </c>
      <c r="N4963" s="31" t="str">
        <f>IF($L4963="","",INDEX($B$8:$B$5007,$L4963))</f>
        <v/>
      </c>
      <c r="O4963" s="32" t="str">
        <f>IF($M4963="","",IF($K4963-$M4963&gt;7,"",IF($M4963&lt;=$A4963,"",IF(OR($B4963&lt;=0,$N4963&lt;=0),"",($N4963/$B4963)^(365/($M4963-$A4963))-1))))</f>
        <v/>
      </c>
      <c r="P4963" s="31" t="str">
        <f>IF($B4963="","",IF($P4962="",$B4963,MAX($P4962,$B4963)))</f>
        <v/>
      </c>
      <c r="Q4963" s="32" t="str">
        <f>IF($P4963="","",$B4963/$P4963-1)</f>
        <v/>
      </c>
    </row>
    <row r="4964">
      <c r="A4964" s="11" t="n"/>
      <c r="B4964" s="29" t="n"/>
      <c r="K4964" s="30" t="str">
        <f>IF($A4964="","",EDATE($A4964,12*$E$4))</f>
        <v/>
      </c>
      <c r="L4964" s="19" t="str">
        <f>IF($K4964="","",IF($K4964&gt;MAX($A$8:$A$5007),"",IFERROR(MATCH($K4964,$A$8:$A$5007,1),"")))</f>
        <v/>
      </c>
      <c r="M4964" s="30" t="str">
        <f>IF($L4964="","",INDEX($A$8:$A$5007,$L4964))</f>
        <v/>
      </c>
      <c r="N4964" s="31" t="str">
        <f>IF($L4964="","",INDEX($B$8:$B$5007,$L4964))</f>
        <v/>
      </c>
      <c r="O4964" s="32" t="str">
        <f>IF($M4964="","",IF($K4964-$M4964&gt;7,"",IF($M4964&lt;=$A4964,"",IF(OR($B4964&lt;=0,$N4964&lt;=0),"",($N4964/$B4964)^(365/($M4964-$A4964))-1))))</f>
        <v/>
      </c>
      <c r="P4964" s="31" t="str">
        <f>IF($B4964="","",IF($P4963="",$B4964,MAX($P4963,$B4964)))</f>
        <v/>
      </c>
      <c r="Q4964" s="32" t="str">
        <f>IF($P4964="","",$B4964/$P4964-1)</f>
        <v/>
      </c>
    </row>
    <row r="4965">
      <c r="A4965" s="11" t="n"/>
      <c r="B4965" s="29" t="n"/>
      <c r="K4965" s="30" t="str">
        <f>IF($A4965="","",EDATE($A4965,12*$E$4))</f>
        <v/>
      </c>
      <c r="L4965" s="19" t="str">
        <f>IF($K4965="","",IF($K4965&gt;MAX($A$8:$A$5007),"",IFERROR(MATCH($K4965,$A$8:$A$5007,1),"")))</f>
        <v/>
      </c>
      <c r="M4965" s="30" t="str">
        <f>IF($L4965="","",INDEX($A$8:$A$5007,$L4965))</f>
        <v/>
      </c>
      <c r="N4965" s="31" t="str">
        <f>IF($L4965="","",INDEX($B$8:$B$5007,$L4965))</f>
        <v/>
      </c>
      <c r="O4965" s="32" t="str">
        <f>IF($M4965="","",IF($K4965-$M4965&gt;7,"",IF($M4965&lt;=$A4965,"",IF(OR($B4965&lt;=0,$N4965&lt;=0),"",($N4965/$B4965)^(365/($M4965-$A4965))-1))))</f>
        <v/>
      </c>
      <c r="P4965" s="31" t="str">
        <f>IF($B4965="","",IF($P4964="",$B4965,MAX($P4964,$B4965)))</f>
        <v/>
      </c>
      <c r="Q4965" s="32" t="str">
        <f>IF($P4965="","",$B4965/$P4965-1)</f>
        <v/>
      </c>
    </row>
    <row r="4966">
      <c r="A4966" s="11" t="n"/>
      <c r="B4966" s="29" t="n"/>
      <c r="K4966" s="30" t="str">
        <f>IF($A4966="","",EDATE($A4966,12*$E$4))</f>
        <v/>
      </c>
      <c r="L4966" s="19" t="str">
        <f>IF($K4966="","",IF($K4966&gt;MAX($A$8:$A$5007),"",IFERROR(MATCH($K4966,$A$8:$A$5007,1),"")))</f>
        <v/>
      </c>
      <c r="M4966" s="30" t="str">
        <f>IF($L4966="","",INDEX($A$8:$A$5007,$L4966))</f>
        <v/>
      </c>
      <c r="N4966" s="31" t="str">
        <f>IF($L4966="","",INDEX($B$8:$B$5007,$L4966))</f>
        <v/>
      </c>
      <c r="O4966" s="32" t="str">
        <f>IF($M4966="","",IF($K4966-$M4966&gt;7,"",IF($M4966&lt;=$A4966,"",IF(OR($B4966&lt;=0,$N4966&lt;=0),"",($N4966/$B4966)^(365/($M4966-$A4966))-1))))</f>
        <v/>
      </c>
      <c r="P4966" s="31" t="str">
        <f>IF($B4966="","",IF($P4965="",$B4966,MAX($P4965,$B4966)))</f>
        <v/>
      </c>
      <c r="Q4966" s="32" t="str">
        <f>IF($P4966="","",$B4966/$P4966-1)</f>
        <v/>
      </c>
    </row>
    <row r="4967">
      <c r="A4967" s="11" t="n"/>
      <c r="B4967" s="29" t="n"/>
      <c r="K4967" s="30" t="str">
        <f>IF($A4967="","",EDATE($A4967,12*$E$4))</f>
        <v/>
      </c>
      <c r="L4967" s="19" t="str">
        <f>IF($K4967="","",IF($K4967&gt;MAX($A$8:$A$5007),"",IFERROR(MATCH($K4967,$A$8:$A$5007,1),"")))</f>
        <v/>
      </c>
      <c r="M4967" s="30" t="str">
        <f>IF($L4967="","",INDEX($A$8:$A$5007,$L4967))</f>
        <v/>
      </c>
      <c r="N4967" s="31" t="str">
        <f>IF($L4967="","",INDEX($B$8:$B$5007,$L4967))</f>
        <v/>
      </c>
      <c r="O4967" s="32" t="str">
        <f>IF($M4967="","",IF($K4967-$M4967&gt;7,"",IF($M4967&lt;=$A4967,"",IF(OR($B4967&lt;=0,$N4967&lt;=0),"",($N4967/$B4967)^(365/($M4967-$A4967))-1))))</f>
        <v/>
      </c>
      <c r="P4967" s="31" t="str">
        <f>IF($B4967="","",IF($P4966="",$B4967,MAX($P4966,$B4967)))</f>
        <v/>
      </c>
      <c r="Q4967" s="32" t="str">
        <f>IF($P4967="","",$B4967/$P4967-1)</f>
        <v/>
      </c>
    </row>
    <row r="4968">
      <c r="A4968" s="11" t="n"/>
      <c r="B4968" s="29" t="n"/>
      <c r="K4968" s="30" t="str">
        <f>IF($A4968="","",EDATE($A4968,12*$E$4))</f>
        <v/>
      </c>
      <c r="L4968" s="19" t="str">
        <f>IF($K4968="","",IF($K4968&gt;MAX($A$8:$A$5007),"",IFERROR(MATCH($K4968,$A$8:$A$5007,1),"")))</f>
        <v/>
      </c>
      <c r="M4968" s="30" t="str">
        <f>IF($L4968="","",INDEX($A$8:$A$5007,$L4968))</f>
        <v/>
      </c>
      <c r="N4968" s="31" t="str">
        <f>IF($L4968="","",INDEX($B$8:$B$5007,$L4968))</f>
        <v/>
      </c>
      <c r="O4968" s="32" t="str">
        <f>IF($M4968="","",IF($K4968-$M4968&gt;7,"",IF($M4968&lt;=$A4968,"",IF(OR($B4968&lt;=0,$N4968&lt;=0),"",($N4968/$B4968)^(365/($M4968-$A4968))-1))))</f>
        <v/>
      </c>
      <c r="P4968" s="31" t="str">
        <f>IF($B4968="","",IF($P4967="",$B4968,MAX($P4967,$B4968)))</f>
        <v/>
      </c>
      <c r="Q4968" s="32" t="str">
        <f>IF($P4968="","",$B4968/$P4968-1)</f>
        <v/>
      </c>
    </row>
    <row r="4969">
      <c r="A4969" s="11" t="n"/>
      <c r="B4969" s="29" t="n"/>
      <c r="K4969" s="30" t="str">
        <f>IF($A4969="","",EDATE($A4969,12*$E$4))</f>
        <v/>
      </c>
      <c r="L4969" s="19" t="str">
        <f>IF($K4969="","",IF($K4969&gt;MAX($A$8:$A$5007),"",IFERROR(MATCH($K4969,$A$8:$A$5007,1),"")))</f>
        <v/>
      </c>
      <c r="M4969" s="30" t="str">
        <f>IF($L4969="","",INDEX($A$8:$A$5007,$L4969))</f>
        <v/>
      </c>
      <c r="N4969" s="31" t="str">
        <f>IF($L4969="","",INDEX($B$8:$B$5007,$L4969))</f>
        <v/>
      </c>
      <c r="O4969" s="32" t="str">
        <f>IF($M4969="","",IF($K4969-$M4969&gt;7,"",IF($M4969&lt;=$A4969,"",IF(OR($B4969&lt;=0,$N4969&lt;=0),"",($N4969/$B4969)^(365/($M4969-$A4969))-1))))</f>
        <v/>
      </c>
      <c r="P4969" s="31" t="str">
        <f>IF($B4969="","",IF($P4968="",$B4969,MAX($P4968,$B4969)))</f>
        <v/>
      </c>
      <c r="Q4969" s="32" t="str">
        <f>IF($P4969="","",$B4969/$P4969-1)</f>
        <v/>
      </c>
    </row>
    <row r="4970">
      <c r="A4970" s="11" t="n"/>
      <c r="B4970" s="29" t="n"/>
      <c r="K4970" s="30" t="str">
        <f>IF($A4970="","",EDATE($A4970,12*$E$4))</f>
        <v/>
      </c>
      <c r="L4970" s="19" t="str">
        <f>IF($K4970="","",IF($K4970&gt;MAX($A$8:$A$5007),"",IFERROR(MATCH($K4970,$A$8:$A$5007,1),"")))</f>
        <v/>
      </c>
      <c r="M4970" s="30" t="str">
        <f>IF($L4970="","",INDEX($A$8:$A$5007,$L4970))</f>
        <v/>
      </c>
      <c r="N4970" s="31" t="str">
        <f>IF($L4970="","",INDEX($B$8:$B$5007,$L4970))</f>
        <v/>
      </c>
      <c r="O4970" s="32" t="str">
        <f>IF($M4970="","",IF($K4970-$M4970&gt;7,"",IF($M4970&lt;=$A4970,"",IF(OR($B4970&lt;=0,$N4970&lt;=0),"",($N4970/$B4970)^(365/($M4970-$A4970))-1))))</f>
        <v/>
      </c>
      <c r="P4970" s="31" t="str">
        <f>IF($B4970="","",IF($P4969="",$B4970,MAX($P4969,$B4970)))</f>
        <v/>
      </c>
      <c r="Q4970" s="32" t="str">
        <f>IF($P4970="","",$B4970/$P4970-1)</f>
        <v/>
      </c>
    </row>
    <row r="4971">
      <c r="A4971" s="11" t="n"/>
      <c r="B4971" s="29" t="n"/>
      <c r="K4971" s="30" t="str">
        <f>IF($A4971="","",EDATE($A4971,12*$E$4))</f>
        <v/>
      </c>
      <c r="L4971" s="19" t="str">
        <f>IF($K4971="","",IF($K4971&gt;MAX($A$8:$A$5007),"",IFERROR(MATCH($K4971,$A$8:$A$5007,1),"")))</f>
        <v/>
      </c>
      <c r="M4971" s="30" t="str">
        <f>IF($L4971="","",INDEX($A$8:$A$5007,$L4971))</f>
        <v/>
      </c>
      <c r="N4971" s="31" t="str">
        <f>IF($L4971="","",INDEX($B$8:$B$5007,$L4971))</f>
        <v/>
      </c>
      <c r="O4971" s="32" t="str">
        <f>IF($M4971="","",IF($K4971-$M4971&gt;7,"",IF($M4971&lt;=$A4971,"",IF(OR($B4971&lt;=0,$N4971&lt;=0),"",($N4971/$B4971)^(365/($M4971-$A4971))-1))))</f>
        <v/>
      </c>
      <c r="P4971" s="31" t="str">
        <f>IF($B4971="","",IF($P4970="",$B4971,MAX($P4970,$B4971)))</f>
        <v/>
      </c>
      <c r="Q4971" s="32" t="str">
        <f>IF($P4971="","",$B4971/$P4971-1)</f>
        <v/>
      </c>
    </row>
    <row r="4972">
      <c r="A4972" s="11" t="n"/>
      <c r="B4972" s="29" t="n"/>
      <c r="K4972" s="30" t="str">
        <f>IF($A4972="","",EDATE($A4972,12*$E$4))</f>
        <v/>
      </c>
      <c r="L4972" s="19" t="str">
        <f>IF($K4972="","",IF($K4972&gt;MAX($A$8:$A$5007),"",IFERROR(MATCH($K4972,$A$8:$A$5007,1),"")))</f>
        <v/>
      </c>
      <c r="M4972" s="30" t="str">
        <f>IF($L4972="","",INDEX($A$8:$A$5007,$L4972))</f>
        <v/>
      </c>
      <c r="N4972" s="31" t="str">
        <f>IF($L4972="","",INDEX($B$8:$B$5007,$L4972))</f>
        <v/>
      </c>
      <c r="O4972" s="32" t="str">
        <f>IF($M4972="","",IF($K4972-$M4972&gt;7,"",IF($M4972&lt;=$A4972,"",IF(OR($B4972&lt;=0,$N4972&lt;=0),"",($N4972/$B4972)^(365/($M4972-$A4972))-1))))</f>
        <v/>
      </c>
      <c r="P4972" s="31" t="str">
        <f>IF($B4972="","",IF($P4971="",$B4972,MAX($P4971,$B4972)))</f>
        <v/>
      </c>
      <c r="Q4972" s="32" t="str">
        <f>IF($P4972="","",$B4972/$P4972-1)</f>
        <v/>
      </c>
    </row>
    <row r="4973">
      <c r="A4973" s="11" t="n"/>
      <c r="B4973" s="29" t="n"/>
      <c r="K4973" s="30" t="str">
        <f>IF($A4973="","",EDATE($A4973,12*$E$4))</f>
        <v/>
      </c>
      <c r="L4973" s="19" t="str">
        <f>IF($K4973="","",IF($K4973&gt;MAX($A$8:$A$5007),"",IFERROR(MATCH($K4973,$A$8:$A$5007,1),"")))</f>
        <v/>
      </c>
      <c r="M4973" s="30" t="str">
        <f>IF($L4973="","",INDEX($A$8:$A$5007,$L4973))</f>
        <v/>
      </c>
      <c r="N4973" s="31" t="str">
        <f>IF($L4973="","",INDEX($B$8:$B$5007,$L4973))</f>
        <v/>
      </c>
      <c r="O4973" s="32" t="str">
        <f>IF($M4973="","",IF($K4973-$M4973&gt;7,"",IF($M4973&lt;=$A4973,"",IF(OR($B4973&lt;=0,$N4973&lt;=0),"",($N4973/$B4973)^(365/($M4973-$A4973))-1))))</f>
        <v/>
      </c>
      <c r="P4973" s="31" t="str">
        <f>IF($B4973="","",IF($P4972="",$B4973,MAX($P4972,$B4973)))</f>
        <v/>
      </c>
      <c r="Q4973" s="32" t="str">
        <f>IF($P4973="","",$B4973/$P4973-1)</f>
        <v/>
      </c>
    </row>
    <row r="4974">
      <c r="A4974" s="11" t="n"/>
      <c r="B4974" s="29" t="n"/>
      <c r="K4974" s="30" t="str">
        <f>IF($A4974="","",EDATE($A4974,12*$E$4))</f>
        <v/>
      </c>
      <c r="L4974" s="19" t="str">
        <f>IF($K4974="","",IF($K4974&gt;MAX($A$8:$A$5007),"",IFERROR(MATCH($K4974,$A$8:$A$5007,1),"")))</f>
        <v/>
      </c>
      <c r="M4974" s="30" t="str">
        <f>IF($L4974="","",INDEX($A$8:$A$5007,$L4974))</f>
        <v/>
      </c>
      <c r="N4974" s="31" t="str">
        <f>IF($L4974="","",INDEX($B$8:$B$5007,$L4974))</f>
        <v/>
      </c>
      <c r="O4974" s="32" t="str">
        <f>IF($M4974="","",IF($K4974-$M4974&gt;7,"",IF($M4974&lt;=$A4974,"",IF(OR($B4974&lt;=0,$N4974&lt;=0),"",($N4974/$B4974)^(365/($M4974-$A4974))-1))))</f>
        <v/>
      </c>
      <c r="P4974" s="31" t="str">
        <f>IF($B4974="","",IF($P4973="",$B4974,MAX($P4973,$B4974)))</f>
        <v/>
      </c>
      <c r="Q4974" s="32" t="str">
        <f>IF($P4974="","",$B4974/$P4974-1)</f>
        <v/>
      </c>
    </row>
    <row r="4975">
      <c r="A4975" s="11" t="n"/>
      <c r="B4975" s="29" t="n"/>
      <c r="K4975" s="30" t="str">
        <f>IF($A4975="","",EDATE($A4975,12*$E$4))</f>
        <v/>
      </c>
      <c r="L4975" s="19" t="str">
        <f>IF($K4975="","",IF($K4975&gt;MAX($A$8:$A$5007),"",IFERROR(MATCH($K4975,$A$8:$A$5007,1),"")))</f>
        <v/>
      </c>
      <c r="M4975" s="30" t="str">
        <f>IF($L4975="","",INDEX($A$8:$A$5007,$L4975))</f>
        <v/>
      </c>
      <c r="N4975" s="31" t="str">
        <f>IF($L4975="","",INDEX($B$8:$B$5007,$L4975))</f>
        <v/>
      </c>
      <c r="O4975" s="32" t="str">
        <f>IF($M4975="","",IF($K4975-$M4975&gt;7,"",IF($M4975&lt;=$A4975,"",IF(OR($B4975&lt;=0,$N4975&lt;=0),"",($N4975/$B4975)^(365/($M4975-$A4975))-1))))</f>
        <v/>
      </c>
      <c r="P4975" s="31" t="str">
        <f>IF($B4975="","",IF($P4974="",$B4975,MAX($P4974,$B4975)))</f>
        <v/>
      </c>
      <c r="Q4975" s="32" t="str">
        <f>IF($P4975="","",$B4975/$P4975-1)</f>
        <v/>
      </c>
    </row>
    <row r="4976">
      <c r="A4976" s="11" t="n"/>
      <c r="B4976" s="29" t="n"/>
      <c r="K4976" s="30" t="str">
        <f>IF($A4976="","",EDATE($A4976,12*$E$4))</f>
        <v/>
      </c>
      <c r="L4976" s="19" t="str">
        <f>IF($K4976="","",IF($K4976&gt;MAX($A$8:$A$5007),"",IFERROR(MATCH($K4976,$A$8:$A$5007,1),"")))</f>
        <v/>
      </c>
      <c r="M4976" s="30" t="str">
        <f>IF($L4976="","",INDEX($A$8:$A$5007,$L4976))</f>
        <v/>
      </c>
      <c r="N4976" s="31" t="str">
        <f>IF($L4976="","",INDEX($B$8:$B$5007,$L4976))</f>
        <v/>
      </c>
      <c r="O4976" s="32" t="str">
        <f>IF($M4976="","",IF($K4976-$M4976&gt;7,"",IF($M4976&lt;=$A4976,"",IF(OR($B4976&lt;=0,$N4976&lt;=0),"",($N4976/$B4976)^(365/($M4976-$A4976))-1))))</f>
        <v/>
      </c>
      <c r="P4976" s="31" t="str">
        <f>IF($B4976="","",IF($P4975="",$B4976,MAX($P4975,$B4976)))</f>
        <v/>
      </c>
      <c r="Q4976" s="32" t="str">
        <f>IF($P4976="","",$B4976/$P4976-1)</f>
        <v/>
      </c>
    </row>
    <row r="4977">
      <c r="A4977" s="11" t="n"/>
      <c r="B4977" s="29" t="n"/>
      <c r="K4977" s="30" t="str">
        <f>IF($A4977="","",EDATE($A4977,12*$E$4))</f>
        <v/>
      </c>
      <c r="L4977" s="19" t="str">
        <f>IF($K4977="","",IF($K4977&gt;MAX($A$8:$A$5007),"",IFERROR(MATCH($K4977,$A$8:$A$5007,1),"")))</f>
        <v/>
      </c>
      <c r="M4977" s="30" t="str">
        <f>IF($L4977="","",INDEX($A$8:$A$5007,$L4977))</f>
        <v/>
      </c>
      <c r="N4977" s="31" t="str">
        <f>IF($L4977="","",INDEX($B$8:$B$5007,$L4977))</f>
        <v/>
      </c>
      <c r="O4977" s="32" t="str">
        <f>IF($M4977="","",IF($K4977-$M4977&gt;7,"",IF($M4977&lt;=$A4977,"",IF(OR($B4977&lt;=0,$N4977&lt;=0),"",($N4977/$B4977)^(365/($M4977-$A4977))-1))))</f>
        <v/>
      </c>
      <c r="P4977" s="31" t="str">
        <f>IF($B4977="","",IF($P4976="",$B4977,MAX($P4976,$B4977)))</f>
        <v/>
      </c>
      <c r="Q4977" s="32" t="str">
        <f>IF($P4977="","",$B4977/$P4977-1)</f>
        <v/>
      </c>
    </row>
    <row r="4978">
      <c r="A4978" s="11" t="n"/>
      <c r="B4978" s="29" t="n"/>
      <c r="K4978" s="30" t="str">
        <f>IF($A4978="","",EDATE($A4978,12*$E$4))</f>
        <v/>
      </c>
      <c r="L4978" s="19" t="str">
        <f>IF($K4978="","",IF($K4978&gt;MAX($A$8:$A$5007),"",IFERROR(MATCH($K4978,$A$8:$A$5007,1),"")))</f>
        <v/>
      </c>
      <c r="M4978" s="30" t="str">
        <f>IF($L4978="","",INDEX($A$8:$A$5007,$L4978))</f>
        <v/>
      </c>
      <c r="N4978" s="31" t="str">
        <f>IF($L4978="","",INDEX($B$8:$B$5007,$L4978))</f>
        <v/>
      </c>
      <c r="O4978" s="32" t="str">
        <f>IF($M4978="","",IF($K4978-$M4978&gt;7,"",IF($M4978&lt;=$A4978,"",IF(OR($B4978&lt;=0,$N4978&lt;=0),"",($N4978/$B4978)^(365/($M4978-$A4978))-1))))</f>
        <v/>
      </c>
      <c r="P4978" s="31" t="str">
        <f>IF($B4978="","",IF($P4977="",$B4978,MAX($P4977,$B4978)))</f>
        <v/>
      </c>
      <c r="Q4978" s="32" t="str">
        <f>IF($P4978="","",$B4978/$P4978-1)</f>
        <v/>
      </c>
    </row>
    <row r="4979">
      <c r="A4979" s="11" t="n"/>
      <c r="B4979" s="29" t="n"/>
      <c r="K4979" s="30" t="str">
        <f>IF($A4979="","",EDATE($A4979,12*$E$4))</f>
        <v/>
      </c>
      <c r="L4979" s="19" t="str">
        <f>IF($K4979="","",IF($K4979&gt;MAX($A$8:$A$5007),"",IFERROR(MATCH($K4979,$A$8:$A$5007,1),"")))</f>
        <v/>
      </c>
      <c r="M4979" s="30" t="str">
        <f>IF($L4979="","",INDEX($A$8:$A$5007,$L4979))</f>
        <v/>
      </c>
      <c r="N4979" s="31" t="str">
        <f>IF($L4979="","",INDEX($B$8:$B$5007,$L4979))</f>
        <v/>
      </c>
      <c r="O4979" s="32" t="str">
        <f>IF($M4979="","",IF($K4979-$M4979&gt;7,"",IF($M4979&lt;=$A4979,"",IF(OR($B4979&lt;=0,$N4979&lt;=0),"",($N4979/$B4979)^(365/($M4979-$A4979))-1))))</f>
        <v/>
      </c>
      <c r="P4979" s="31" t="str">
        <f>IF($B4979="","",IF($P4978="",$B4979,MAX($P4978,$B4979)))</f>
        <v/>
      </c>
      <c r="Q4979" s="32" t="str">
        <f>IF($P4979="","",$B4979/$P4979-1)</f>
        <v/>
      </c>
    </row>
    <row r="4980">
      <c r="A4980" s="11" t="n"/>
      <c r="B4980" s="29" t="n"/>
      <c r="K4980" s="30" t="str">
        <f>IF($A4980="","",EDATE($A4980,12*$E$4))</f>
        <v/>
      </c>
      <c r="L4980" s="19" t="str">
        <f>IF($K4980="","",IF($K4980&gt;MAX($A$8:$A$5007),"",IFERROR(MATCH($K4980,$A$8:$A$5007,1),"")))</f>
        <v/>
      </c>
      <c r="M4980" s="30" t="str">
        <f>IF($L4980="","",INDEX($A$8:$A$5007,$L4980))</f>
        <v/>
      </c>
      <c r="N4980" s="31" t="str">
        <f>IF($L4980="","",INDEX($B$8:$B$5007,$L4980))</f>
        <v/>
      </c>
      <c r="O4980" s="32" t="str">
        <f>IF($M4980="","",IF($K4980-$M4980&gt;7,"",IF($M4980&lt;=$A4980,"",IF(OR($B4980&lt;=0,$N4980&lt;=0),"",($N4980/$B4980)^(365/($M4980-$A4980))-1))))</f>
        <v/>
      </c>
      <c r="P4980" s="31" t="str">
        <f>IF($B4980="","",IF($P4979="",$B4980,MAX($P4979,$B4980)))</f>
        <v/>
      </c>
      <c r="Q4980" s="32" t="str">
        <f>IF($P4980="","",$B4980/$P4980-1)</f>
        <v/>
      </c>
    </row>
    <row r="4981">
      <c r="A4981" s="11" t="n"/>
      <c r="B4981" s="29" t="n"/>
      <c r="K4981" s="30" t="str">
        <f>IF($A4981="","",EDATE($A4981,12*$E$4))</f>
        <v/>
      </c>
      <c r="L4981" s="19" t="str">
        <f>IF($K4981="","",IF($K4981&gt;MAX($A$8:$A$5007),"",IFERROR(MATCH($K4981,$A$8:$A$5007,1),"")))</f>
        <v/>
      </c>
      <c r="M4981" s="30" t="str">
        <f>IF($L4981="","",INDEX($A$8:$A$5007,$L4981))</f>
        <v/>
      </c>
      <c r="N4981" s="31" t="str">
        <f>IF($L4981="","",INDEX($B$8:$B$5007,$L4981))</f>
        <v/>
      </c>
      <c r="O4981" s="32" t="str">
        <f>IF($M4981="","",IF($K4981-$M4981&gt;7,"",IF($M4981&lt;=$A4981,"",IF(OR($B4981&lt;=0,$N4981&lt;=0),"",($N4981/$B4981)^(365/($M4981-$A4981))-1))))</f>
        <v/>
      </c>
      <c r="P4981" s="31" t="str">
        <f>IF($B4981="","",IF($P4980="",$B4981,MAX($P4980,$B4981)))</f>
        <v/>
      </c>
      <c r="Q4981" s="32" t="str">
        <f>IF($P4981="","",$B4981/$P4981-1)</f>
        <v/>
      </c>
    </row>
    <row r="4982">
      <c r="A4982" s="11" t="n"/>
      <c r="B4982" s="29" t="n"/>
      <c r="K4982" s="30" t="str">
        <f>IF($A4982="","",EDATE($A4982,12*$E$4))</f>
        <v/>
      </c>
      <c r="L4982" s="19" t="str">
        <f>IF($K4982="","",IF($K4982&gt;MAX($A$8:$A$5007),"",IFERROR(MATCH($K4982,$A$8:$A$5007,1),"")))</f>
        <v/>
      </c>
      <c r="M4982" s="30" t="str">
        <f>IF($L4982="","",INDEX($A$8:$A$5007,$L4982))</f>
        <v/>
      </c>
      <c r="N4982" s="31" t="str">
        <f>IF($L4982="","",INDEX($B$8:$B$5007,$L4982))</f>
        <v/>
      </c>
      <c r="O4982" s="32" t="str">
        <f>IF($M4982="","",IF($K4982-$M4982&gt;7,"",IF($M4982&lt;=$A4982,"",IF(OR($B4982&lt;=0,$N4982&lt;=0),"",($N4982/$B4982)^(365/($M4982-$A4982))-1))))</f>
        <v/>
      </c>
      <c r="P4982" s="31" t="str">
        <f>IF($B4982="","",IF($P4981="",$B4982,MAX($P4981,$B4982)))</f>
        <v/>
      </c>
      <c r="Q4982" s="32" t="str">
        <f>IF($P4982="","",$B4982/$P4982-1)</f>
        <v/>
      </c>
    </row>
    <row r="4983">
      <c r="A4983" s="11" t="n"/>
      <c r="B4983" s="29" t="n"/>
      <c r="K4983" s="30" t="str">
        <f>IF($A4983="","",EDATE($A4983,12*$E$4))</f>
        <v/>
      </c>
      <c r="L4983" s="19" t="str">
        <f>IF($K4983="","",IF($K4983&gt;MAX($A$8:$A$5007),"",IFERROR(MATCH($K4983,$A$8:$A$5007,1),"")))</f>
        <v/>
      </c>
      <c r="M4983" s="30" t="str">
        <f>IF($L4983="","",INDEX($A$8:$A$5007,$L4983))</f>
        <v/>
      </c>
      <c r="N4983" s="31" t="str">
        <f>IF($L4983="","",INDEX($B$8:$B$5007,$L4983))</f>
        <v/>
      </c>
      <c r="O4983" s="32" t="str">
        <f>IF($M4983="","",IF($K4983-$M4983&gt;7,"",IF($M4983&lt;=$A4983,"",IF(OR($B4983&lt;=0,$N4983&lt;=0),"",($N4983/$B4983)^(365/($M4983-$A4983))-1))))</f>
        <v/>
      </c>
      <c r="P4983" s="31" t="str">
        <f>IF($B4983="","",IF($P4982="",$B4983,MAX($P4982,$B4983)))</f>
        <v/>
      </c>
      <c r="Q4983" s="32" t="str">
        <f>IF($P4983="","",$B4983/$P4983-1)</f>
        <v/>
      </c>
    </row>
    <row r="4984">
      <c r="A4984" s="11" t="n"/>
      <c r="B4984" s="29" t="n"/>
      <c r="K4984" s="30" t="str">
        <f>IF($A4984="","",EDATE($A4984,12*$E$4))</f>
        <v/>
      </c>
      <c r="L4984" s="19" t="str">
        <f>IF($K4984="","",IF($K4984&gt;MAX($A$8:$A$5007),"",IFERROR(MATCH($K4984,$A$8:$A$5007,1),"")))</f>
        <v/>
      </c>
      <c r="M4984" s="30" t="str">
        <f>IF($L4984="","",INDEX($A$8:$A$5007,$L4984))</f>
        <v/>
      </c>
      <c r="N4984" s="31" t="str">
        <f>IF($L4984="","",INDEX($B$8:$B$5007,$L4984))</f>
        <v/>
      </c>
      <c r="O4984" s="32" t="str">
        <f>IF($M4984="","",IF($K4984-$M4984&gt;7,"",IF($M4984&lt;=$A4984,"",IF(OR($B4984&lt;=0,$N4984&lt;=0),"",($N4984/$B4984)^(365/($M4984-$A4984))-1))))</f>
        <v/>
      </c>
      <c r="P4984" s="31" t="str">
        <f>IF($B4984="","",IF($P4983="",$B4984,MAX($P4983,$B4984)))</f>
        <v/>
      </c>
      <c r="Q4984" s="32" t="str">
        <f>IF($P4984="","",$B4984/$P4984-1)</f>
        <v/>
      </c>
    </row>
    <row r="4985">
      <c r="A4985" s="11" t="n"/>
      <c r="B4985" s="29" t="n"/>
      <c r="K4985" s="30" t="str">
        <f>IF($A4985="","",EDATE($A4985,12*$E$4))</f>
        <v/>
      </c>
      <c r="L4985" s="19" t="str">
        <f>IF($K4985="","",IF($K4985&gt;MAX($A$8:$A$5007),"",IFERROR(MATCH($K4985,$A$8:$A$5007,1),"")))</f>
        <v/>
      </c>
      <c r="M4985" s="30" t="str">
        <f>IF($L4985="","",INDEX($A$8:$A$5007,$L4985))</f>
        <v/>
      </c>
      <c r="N4985" s="31" t="str">
        <f>IF($L4985="","",INDEX($B$8:$B$5007,$L4985))</f>
        <v/>
      </c>
      <c r="O4985" s="32" t="str">
        <f>IF($M4985="","",IF($K4985-$M4985&gt;7,"",IF($M4985&lt;=$A4985,"",IF(OR($B4985&lt;=0,$N4985&lt;=0),"",($N4985/$B4985)^(365/($M4985-$A4985))-1))))</f>
        <v/>
      </c>
      <c r="P4985" s="31" t="str">
        <f>IF($B4985="","",IF($P4984="",$B4985,MAX($P4984,$B4985)))</f>
        <v/>
      </c>
      <c r="Q4985" s="32" t="str">
        <f>IF($P4985="","",$B4985/$P4985-1)</f>
        <v/>
      </c>
    </row>
    <row r="4986">
      <c r="A4986" s="11" t="n"/>
      <c r="B4986" s="29" t="n"/>
      <c r="K4986" s="30" t="str">
        <f>IF($A4986="","",EDATE($A4986,12*$E$4))</f>
        <v/>
      </c>
      <c r="L4986" s="19" t="str">
        <f>IF($K4986="","",IF($K4986&gt;MAX($A$8:$A$5007),"",IFERROR(MATCH($K4986,$A$8:$A$5007,1),"")))</f>
        <v/>
      </c>
      <c r="M4986" s="30" t="str">
        <f>IF($L4986="","",INDEX($A$8:$A$5007,$L4986))</f>
        <v/>
      </c>
      <c r="N4986" s="31" t="str">
        <f>IF($L4986="","",INDEX($B$8:$B$5007,$L4986))</f>
        <v/>
      </c>
      <c r="O4986" s="32" t="str">
        <f>IF($M4986="","",IF($K4986-$M4986&gt;7,"",IF($M4986&lt;=$A4986,"",IF(OR($B4986&lt;=0,$N4986&lt;=0),"",($N4986/$B4986)^(365/($M4986-$A4986))-1))))</f>
        <v/>
      </c>
      <c r="P4986" s="31" t="str">
        <f>IF($B4986="","",IF($P4985="",$B4986,MAX($P4985,$B4986)))</f>
        <v/>
      </c>
      <c r="Q4986" s="32" t="str">
        <f>IF($P4986="","",$B4986/$P4986-1)</f>
        <v/>
      </c>
    </row>
    <row r="4987">
      <c r="A4987" s="11" t="n"/>
      <c r="B4987" s="29" t="n"/>
      <c r="K4987" s="30" t="str">
        <f>IF($A4987="","",EDATE($A4987,12*$E$4))</f>
        <v/>
      </c>
      <c r="L4987" s="19" t="str">
        <f>IF($K4987="","",IF($K4987&gt;MAX($A$8:$A$5007),"",IFERROR(MATCH($K4987,$A$8:$A$5007,1),"")))</f>
        <v/>
      </c>
      <c r="M4987" s="30" t="str">
        <f>IF($L4987="","",INDEX($A$8:$A$5007,$L4987))</f>
        <v/>
      </c>
      <c r="N4987" s="31" t="str">
        <f>IF($L4987="","",INDEX($B$8:$B$5007,$L4987))</f>
        <v/>
      </c>
      <c r="O4987" s="32" t="str">
        <f>IF($M4987="","",IF($K4987-$M4987&gt;7,"",IF($M4987&lt;=$A4987,"",IF(OR($B4987&lt;=0,$N4987&lt;=0),"",($N4987/$B4987)^(365/($M4987-$A4987))-1))))</f>
        <v/>
      </c>
      <c r="P4987" s="31" t="str">
        <f>IF($B4987="","",IF($P4986="",$B4987,MAX($P4986,$B4987)))</f>
        <v/>
      </c>
      <c r="Q4987" s="32" t="str">
        <f>IF($P4987="","",$B4987/$P4987-1)</f>
        <v/>
      </c>
    </row>
    <row r="4988">
      <c r="A4988" s="11" t="n"/>
      <c r="B4988" s="29" t="n"/>
      <c r="K4988" s="30" t="str">
        <f>IF($A4988="","",EDATE($A4988,12*$E$4))</f>
        <v/>
      </c>
      <c r="L4988" s="19" t="str">
        <f>IF($K4988="","",IF($K4988&gt;MAX($A$8:$A$5007),"",IFERROR(MATCH($K4988,$A$8:$A$5007,1),"")))</f>
        <v/>
      </c>
      <c r="M4988" s="30" t="str">
        <f>IF($L4988="","",INDEX($A$8:$A$5007,$L4988))</f>
        <v/>
      </c>
      <c r="N4988" s="31" t="str">
        <f>IF($L4988="","",INDEX($B$8:$B$5007,$L4988))</f>
        <v/>
      </c>
      <c r="O4988" s="32" t="str">
        <f>IF($M4988="","",IF($K4988-$M4988&gt;7,"",IF($M4988&lt;=$A4988,"",IF(OR($B4988&lt;=0,$N4988&lt;=0),"",($N4988/$B4988)^(365/($M4988-$A4988))-1))))</f>
        <v/>
      </c>
      <c r="P4988" s="31" t="str">
        <f>IF($B4988="","",IF($P4987="",$B4988,MAX($P4987,$B4988)))</f>
        <v/>
      </c>
      <c r="Q4988" s="32" t="str">
        <f>IF($P4988="","",$B4988/$P4988-1)</f>
        <v/>
      </c>
    </row>
    <row r="4989">
      <c r="A4989" s="11" t="n"/>
      <c r="B4989" s="29" t="n"/>
      <c r="K4989" s="30" t="str">
        <f>IF($A4989="","",EDATE($A4989,12*$E$4))</f>
        <v/>
      </c>
      <c r="L4989" s="19" t="str">
        <f>IF($K4989="","",IF($K4989&gt;MAX($A$8:$A$5007),"",IFERROR(MATCH($K4989,$A$8:$A$5007,1),"")))</f>
        <v/>
      </c>
      <c r="M4989" s="30" t="str">
        <f>IF($L4989="","",INDEX($A$8:$A$5007,$L4989))</f>
        <v/>
      </c>
      <c r="N4989" s="31" t="str">
        <f>IF($L4989="","",INDEX($B$8:$B$5007,$L4989))</f>
        <v/>
      </c>
      <c r="O4989" s="32" t="str">
        <f>IF($M4989="","",IF($K4989-$M4989&gt;7,"",IF($M4989&lt;=$A4989,"",IF(OR($B4989&lt;=0,$N4989&lt;=0),"",($N4989/$B4989)^(365/($M4989-$A4989))-1))))</f>
        <v/>
      </c>
      <c r="P4989" s="31" t="str">
        <f>IF($B4989="","",IF($P4988="",$B4989,MAX($P4988,$B4989)))</f>
        <v/>
      </c>
      <c r="Q4989" s="32" t="str">
        <f>IF($P4989="","",$B4989/$P4989-1)</f>
        <v/>
      </c>
    </row>
    <row r="4990">
      <c r="A4990" s="11" t="n"/>
      <c r="B4990" s="29" t="n"/>
      <c r="K4990" s="30" t="str">
        <f>IF($A4990="","",EDATE($A4990,12*$E$4))</f>
        <v/>
      </c>
      <c r="L4990" s="19" t="str">
        <f>IF($K4990="","",IF($K4990&gt;MAX($A$8:$A$5007),"",IFERROR(MATCH($K4990,$A$8:$A$5007,1),"")))</f>
        <v/>
      </c>
      <c r="M4990" s="30" t="str">
        <f>IF($L4990="","",INDEX($A$8:$A$5007,$L4990))</f>
        <v/>
      </c>
      <c r="N4990" s="31" t="str">
        <f>IF($L4990="","",INDEX($B$8:$B$5007,$L4990))</f>
        <v/>
      </c>
      <c r="O4990" s="32" t="str">
        <f>IF($M4990="","",IF($K4990-$M4990&gt;7,"",IF($M4990&lt;=$A4990,"",IF(OR($B4990&lt;=0,$N4990&lt;=0),"",($N4990/$B4990)^(365/($M4990-$A4990))-1))))</f>
        <v/>
      </c>
      <c r="P4990" s="31" t="str">
        <f>IF($B4990="","",IF($P4989="",$B4990,MAX($P4989,$B4990)))</f>
        <v/>
      </c>
      <c r="Q4990" s="32" t="str">
        <f>IF($P4990="","",$B4990/$P4990-1)</f>
        <v/>
      </c>
    </row>
    <row r="4991">
      <c r="A4991" s="11" t="n"/>
      <c r="B4991" s="29" t="n"/>
      <c r="K4991" s="30" t="str">
        <f>IF($A4991="","",EDATE($A4991,12*$E$4))</f>
        <v/>
      </c>
      <c r="L4991" s="19" t="str">
        <f>IF($K4991="","",IF($K4991&gt;MAX($A$8:$A$5007),"",IFERROR(MATCH($K4991,$A$8:$A$5007,1),"")))</f>
        <v/>
      </c>
      <c r="M4991" s="30" t="str">
        <f>IF($L4991="","",INDEX($A$8:$A$5007,$L4991))</f>
        <v/>
      </c>
      <c r="N4991" s="31" t="str">
        <f>IF($L4991="","",INDEX($B$8:$B$5007,$L4991))</f>
        <v/>
      </c>
      <c r="O4991" s="32" t="str">
        <f>IF($M4991="","",IF($K4991-$M4991&gt;7,"",IF($M4991&lt;=$A4991,"",IF(OR($B4991&lt;=0,$N4991&lt;=0),"",($N4991/$B4991)^(365/($M4991-$A4991))-1))))</f>
        <v/>
      </c>
      <c r="P4991" s="31" t="str">
        <f>IF($B4991="","",IF($P4990="",$B4991,MAX($P4990,$B4991)))</f>
        <v/>
      </c>
      <c r="Q4991" s="32" t="str">
        <f>IF($P4991="","",$B4991/$P4991-1)</f>
        <v/>
      </c>
    </row>
    <row r="4992">
      <c r="A4992" s="11" t="n"/>
      <c r="B4992" s="29" t="n"/>
      <c r="K4992" s="30" t="str">
        <f>IF($A4992="","",EDATE($A4992,12*$E$4))</f>
        <v/>
      </c>
      <c r="L4992" s="19" t="str">
        <f>IF($K4992="","",IF($K4992&gt;MAX($A$8:$A$5007),"",IFERROR(MATCH($K4992,$A$8:$A$5007,1),"")))</f>
        <v/>
      </c>
      <c r="M4992" s="30" t="str">
        <f>IF($L4992="","",INDEX($A$8:$A$5007,$L4992))</f>
        <v/>
      </c>
      <c r="N4992" s="31" t="str">
        <f>IF($L4992="","",INDEX($B$8:$B$5007,$L4992))</f>
        <v/>
      </c>
      <c r="O4992" s="32" t="str">
        <f>IF($M4992="","",IF($K4992-$M4992&gt;7,"",IF($M4992&lt;=$A4992,"",IF(OR($B4992&lt;=0,$N4992&lt;=0),"",($N4992/$B4992)^(365/($M4992-$A4992))-1))))</f>
        <v/>
      </c>
      <c r="P4992" s="31" t="str">
        <f>IF($B4992="","",IF($P4991="",$B4992,MAX($P4991,$B4992)))</f>
        <v/>
      </c>
      <c r="Q4992" s="32" t="str">
        <f>IF($P4992="","",$B4992/$P4992-1)</f>
        <v/>
      </c>
    </row>
    <row r="4993">
      <c r="A4993" s="11" t="n"/>
      <c r="B4993" s="29" t="n"/>
      <c r="K4993" s="30" t="str">
        <f>IF($A4993="","",EDATE($A4993,12*$E$4))</f>
        <v/>
      </c>
      <c r="L4993" s="19" t="str">
        <f>IF($K4993="","",IF($K4993&gt;MAX($A$8:$A$5007),"",IFERROR(MATCH($K4993,$A$8:$A$5007,1),"")))</f>
        <v/>
      </c>
      <c r="M4993" s="30" t="str">
        <f>IF($L4993="","",INDEX($A$8:$A$5007,$L4993))</f>
        <v/>
      </c>
      <c r="N4993" s="31" t="str">
        <f>IF($L4993="","",INDEX($B$8:$B$5007,$L4993))</f>
        <v/>
      </c>
      <c r="O4993" s="32" t="str">
        <f>IF($M4993="","",IF($K4993-$M4993&gt;7,"",IF($M4993&lt;=$A4993,"",IF(OR($B4993&lt;=0,$N4993&lt;=0),"",($N4993/$B4993)^(365/($M4993-$A4993))-1))))</f>
        <v/>
      </c>
      <c r="P4993" s="31" t="str">
        <f>IF($B4993="","",IF($P4992="",$B4993,MAX($P4992,$B4993)))</f>
        <v/>
      </c>
      <c r="Q4993" s="32" t="str">
        <f>IF($P4993="","",$B4993/$P4993-1)</f>
        <v/>
      </c>
    </row>
    <row r="4994">
      <c r="A4994" s="11" t="n"/>
      <c r="B4994" s="29" t="n"/>
      <c r="K4994" s="30" t="str">
        <f>IF($A4994="","",EDATE($A4994,12*$E$4))</f>
        <v/>
      </c>
      <c r="L4994" s="19" t="str">
        <f>IF($K4994="","",IF($K4994&gt;MAX($A$8:$A$5007),"",IFERROR(MATCH($K4994,$A$8:$A$5007,1),"")))</f>
        <v/>
      </c>
      <c r="M4994" s="30" t="str">
        <f>IF($L4994="","",INDEX($A$8:$A$5007,$L4994))</f>
        <v/>
      </c>
      <c r="N4994" s="31" t="str">
        <f>IF($L4994="","",INDEX($B$8:$B$5007,$L4994))</f>
        <v/>
      </c>
      <c r="O4994" s="32" t="str">
        <f>IF($M4994="","",IF($K4994-$M4994&gt;7,"",IF($M4994&lt;=$A4994,"",IF(OR($B4994&lt;=0,$N4994&lt;=0),"",($N4994/$B4994)^(365/($M4994-$A4994))-1))))</f>
        <v/>
      </c>
      <c r="P4994" s="31" t="str">
        <f>IF($B4994="","",IF($P4993="",$B4994,MAX($P4993,$B4994)))</f>
        <v/>
      </c>
      <c r="Q4994" s="32" t="str">
        <f>IF($P4994="","",$B4994/$P4994-1)</f>
        <v/>
      </c>
    </row>
    <row r="4995">
      <c r="A4995" s="11" t="n"/>
      <c r="B4995" s="29" t="n"/>
      <c r="K4995" s="30" t="str">
        <f>IF($A4995="","",EDATE($A4995,12*$E$4))</f>
        <v/>
      </c>
      <c r="L4995" s="19" t="str">
        <f>IF($K4995="","",IF($K4995&gt;MAX($A$8:$A$5007),"",IFERROR(MATCH($K4995,$A$8:$A$5007,1),"")))</f>
        <v/>
      </c>
      <c r="M4995" s="30" t="str">
        <f>IF($L4995="","",INDEX($A$8:$A$5007,$L4995))</f>
        <v/>
      </c>
      <c r="N4995" s="31" t="str">
        <f>IF($L4995="","",INDEX($B$8:$B$5007,$L4995))</f>
        <v/>
      </c>
      <c r="O4995" s="32" t="str">
        <f>IF($M4995="","",IF($K4995-$M4995&gt;7,"",IF($M4995&lt;=$A4995,"",IF(OR($B4995&lt;=0,$N4995&lt;=0),"",($N4995/$B4995)^(365/($M4995-$A4995))-1))))</f>
        <v/>
      </c>
      <c r="P4995" s="31" t="str">
        <f>IF($B4995="","",IF($P4994="",$B4995,MAX($P4994,$B4995)))</f>
        <v/>
      </c>
      <c r="Q4995" s="32" t="str">
        <f>IF($P4995="","",$B4995/$P4995-1)</f>
        <v/>
      </c>
    </row>
    <row r="4996">
      <c r="A4996" s="11" t="n"/>
      <c r="B4996" s="29" t="n"/>
      <c r="K4996" s="30" t="str">
        <f>IF($A4996="","",EDATE($A4996,12*$E$4))</f>
        <v/>
      </c>
      <c r="L4996" s="19" t="str">
        <f>IF($K4996="","",IF($K4996&gt;MAX($A$8:$A$5007),"",IFERROR(MATCH($K4996,$A$8:$A$5007,1),"")))</f>
        <v/>
      </c>
      <c r="M4996" s="30" t="str">
        <f>IF($L4996="","",INDEX($A$8:$A$5007,$L4996))</f>
        <v/>
      </c>
      <c r="N4996" s="31" t="str">
        <f>IF($L4996="","",INDEX($B$8:$B$5007,$L4996))</f>
        <v/>
      </c>
      <c r="O4996" s="32" t="str">
        <f>IF($M4996="","",IF($K4996-$M4996&gt;7,"",IF($M4996&lt;=$A4996,"",IF(OR($B4996&lt;=0,$N4996&lt;=0),"",($N4996/$B4996)^(365/($M4996-$A4996))-1))))</f>
        <v/>
      </c>
      <c r="P4996" s="31" t="str">
        <f>IF($B4996="","",IF($P4995="",$B4996,MAX($P4995,$B4996)))</f>
        <v/>
      </c>
      <c r="Q4996" s="32" t="str">
        <f>IF($P4996="","",$B4996/$P4996-1)</f>
        <v/>
      </c>
    </row>
    <row r="4997">
      <c r="A4997" s="11" t="n"/>
      <c r="B4997" s="29" t="n"/>
      <c r="K4997" s="30" t="str">
        <f>IF($A4997="","",EDATE($A4997,12*$E$4))</f>
        <v/>
      </c>
      <c r="L4997" s="19" t="str">
        <f>IF($K4997="","",IF($K4997&gt;MAX($A$8:$A$5007),"",IFERROR(MATCH($K4997,$A$8:$A$5007,1),"")))</f>
        <v/>
      </c>
      <c r="M4997" s="30" t="str">
        <f>IF($L4997="","",INDEX($A$8:$A$5007,$L4997))</f>
        <v/>
      </c>
      <c r="N4997" s="31" t="str">
        <f>IF($L4997="","",INDEX($B$8:$B$5007,$L4997))</f>
        <v/>
      </c>
      <c r="O4997" s="32" t="str">
        <f>IF($M4997="","",IF($K4997-$M4997&gt;7,"",IF($M4997&lt;=$A4997,"",IF(OR($B4997&lt;=0,$N4997&lt;=0),"",($N4997/$B4997)^(365/($M4997-$A4997))-1))))</f>
        <v/>
      </c>
      <c r="P4997" s="31" t="str">
        <f>IF($B4997="","",IF($P4996="",$B4997,MAX($P4996,$B4997)))</f>
        <v/>
      </c>
      <c r="Q4997" s="32" t="str">
        <f>IF($P4997="","",$B4997/$P4997-1)</f>
        <v/>
      </c>
    </row>
    <row r="4998">
      <c r="A4998" s="11" t="n"/>
      <c r="B4998" s="29" t="n"/>
      <c r="K4998" s="30" t="str">
        <f>IF($A4998="","",EDATE($A4998,12*$E$4))</f>
        <v/>
      </c>
      <c r="L4998" s="19" t="str">
        <f>IF($K4998="","",IF($K4998&gt;MAX($A$8:$A$5007),"",IFERROR(MATCH($K4998,$A$8:$A$5007,1),"")))</f>
        <v/>
      </c>
      <c r="M4998" s="30" t="str">
        <f>IF($L4998="","",INDEX($A$8:$A$5007,$L4998))</f>
        <v/>
      </c>
      <c r="N4998" s="31" t="str">
        <f>IF($L4998="","",INDEX($B$8:$B$5007,$L4998))</f>
        <v/>
      </c>
      <c r="O4998" s="32" t="str">
        <f>IF($M4998="","",IF($K4998-$M4998&gt;7,"",IF($M4998&lt;=$A4998,"",IF(OR($B4998&lt;=0,$N4998&lt;=0),"",($N4998/$B4998)^(365/($M4998-$A4998))-1))))</f>
        <v/>
      </c>
      <c r="P4998" s="31" t="str">
        <f>IF($B4998="","",IF($P4997="",$B4998,MAX($P4997,$B4998)))</f>
        <v/>
      </c>
      <c r="Q4998" s="32" t="str">
        <f>IF($P4998="","",$B4998/$P4998-1)</f>
        <v/>
      </c>
    </row>
    <row r="4999">
      <c r="A4999" s="11" t="n"/>
      <c r="B4999" s="29" t="n"/>
      <c r="K4999" s="30" t="str">
        <f>IF($A4999="","",EDATE($A4999,12*$E$4))</f>
        <v/>
      </c>
      <c r="L4999" s="19" t="str">
        <f>IF($K4999="","",IF($K4999&gt;MAX($A$8:$A$5007),"",IFERROR(MATCH($K4999,$A$8:$A$5007,1),"")))</f>
        <v/>
      </c>
      <c r="M4999" s="30" t="str">
        <f>IF($L4999="","",INDEX($A$8:$A$5007,$L4999))</f>
        <v/>
      </c>
      <c r="N4999" s="31" t="str">
        <f>IF($L4999="","",INDEX($B$8:$B$5007,$L4999))</f>
        <v/>
      </c>
      <c r="O4999" s="32" t="str">
        <f>IF($M4999="","",IF($K4999-$M4999&gt;7,"",IF($M4999&lt;=$A4999,"",IF(OR($B4999&lt;=0,$N4999&lt;=0),"",($N4999/$B4999)^(365/($M4999-$A4999))-1))))</f>
        <v/>
      </c>
      <c r="P4999" s="31" t="str">
        <f>IF($B4999="","",IF($P4998="",$B4999,MAX($P4998,$B4999)))</f>
        <v/>
      </c>
      <c r="Q4999" s="32" t="str">
        <f>IF($P4999="","",$B4999/$P4999-1)</f>
        <v/>
      </c>
    </row>
    <row r="5000">
      <c r="A5000" s="11" t="n"/>
      <c r="B5000" s="29" t="n"/>
      <c r="K5000" s="30" t="str">
        <f>IF($A5000="","",EDATE($A5000,12*$E$4))</f>
        <v/>
      </c>
      <c r="L5000" s="19" t="str">
        <f>IF($K5000="","",IF($K5000&gt;MAX($A$8:$A$5007),"",IFERROR(MATCH($K5000,$A$8:$A$5007,1),"")))</f>
        <v/>
      </c>
      <c r="M5000" s="30" t="str">
        <f>IF($L5000="","",INDEX($A$8:$A$5007,$L5000))</f>
        <v/>
      </c>
      <c r="N5000" s="31" t="str">
        <f>IF($L5000="","",INDEX($B$8:$B$5007,$L5000))</f>
        <v/>
      </c>
      <c r="O5000" s="32" t="str">
        <f>IF($M5000="","",IF($K5000-$M5000&gt;7,"",IF($M5000&lt;=$A5000,"",IF(OR($B5000&lt;=0,$N5000&lt;=0),"",($N5000/$B5000)^(365/($M5000-$A5000))-1))))</f>
        <v/>
      </c>
      <c r="P5000" s="31" t="str">
        <f>IF($B5000="","",IF($P4999="",$B5000,MAX($P4999,$B5000)))</f>
        <v/>
      </c>
      <c r="Q5000" s="32" t="str">
        <f>IF($P5000="","",$B5000/$P5000-1)</f>
        <v/>
      </c>
    </row>
    <row r="5001">
      <c r="A5001" s="11" t="n"/>
      <c r="B5001" s="29" t="n"/>
      <c r="K5001" s="30" t="str">
        <f>IF($A5001="","",EDATE($A5001,12*$E$4))</f>
        <v/>
      </c>
      <c r="L5001" s="19" t="str">
        <f>IF($K5001="","",IF($K5001&gt;MAX($A$8:$A$5007),"",IFERROR(MATCH($K5001,$A$8:$A$5007,1),"")))</f>
        <v/>
      </c>
      <c r="M5001" s="30" t="str">
        <f>IF($L5001="","",INDEX($A$8:$A$5007,$L5001))</f>
        <v/>
      </c>
      <c r="N5001" s="31" t="str">
        <f>IF($L5001="","",INDEX($B$8:$B$5007,$L5001))</f>
        <v/>
      </c>
      <c r="O5001" s="32" t="str">
        <f>IF($M5001="","",IF($K5001-$M5001&gt;7,"",IF($M5001&lt;=$A5001,"",IF(OR($B5001&lt;=0,$N5001&lt;=0),"",($N5001/$B5001)^(365/($M5001-$A5001))-1))))</f>
        <v/>
      </c>
      <c r="P5001" s="31" t="str">
        <f>IF($B5001="","",IF($P5000="",$B5001,MAX($P5000,$B5001)))</f>
        <v/>
      </c>
      <c r="Q5001" s="32" t="str">
        <f>IF($P5001="","",$B5001/$P5001-1)</f>
        <v/>
      </c>
    </row>
    <row r="5002">
      <c r="A5002" s="11" t="n"/>
      <c r="B5002" s="29" t="n"/>
      <c r="K5002" s="30" t="str">
        <f>IF($A5002="","",EDATE($A5002,12*$E$4))</f>
        <v/>
      </c>
      <c r="L5002" s="19" t="str">
        <f>IF($K5002="","",IF($K5002&gt;MAX($A$8:$A$5007),"",IFERROR(MATCH($K5002,$A$8:$A$5007,1),"")))</f>
        <v/>
      </c>
      <c r="M5002" s="30" t="str">
        <f>IF($L5002="","",INDEX($A$8:$A$5007,$L5002))</f>
        <v/>
      </c>
      <c r="N5002" s="31" t="str">
        <f>IF($L5002="","",INDEX($B$8:$B$5007,$L5002))</f>
        <v/>
      </c>
      <c r="O5002" s="32" t="str">
        <f>IF($M5002="","",IF($K5002-$M5002&gt;7,"",IF($M5002&lt;=$A5002,"",IF(OR($B5002&lt;=0,$N5002&lt;=0),"",($N5002/$B5002)^(365/($M5002-$A5002))-1))))</f>
        <v/>
      </c>
      <c r="P5002" s="31" t="str">
        <f>IF($B5002="","",IF($P5001="",$B5002,MAX($P5001,$B5002)))</f>
        <v/>
      </c>
      <c r="Q5002" s="32" t="str">
        <f>IF($P5002="","",$B5002/$P5002-1)</f>
        <v/>
      </c>
    </row>
    <row r="5003">
      <c r="A5003" s="11" t="n"/>
      <c r="B5003" s="29" t="n"/>
      <c r="K5003" s="30" t="str">
        <f>IF($A5003="","",EDATE($A5003,12*$E$4))</f>
        <v/>
      </c>
      <c r="L5003" s="19" t="str">
        <f>IF($K5003="","",IF($K5003&gt;MAX($A$8:$A$5007),"",IFERROR(MATCH($K5003,$A$8:$A$5007,1),"")))</f>
        <v/>
      </c>
      <c r="M5003" s="30" t="str">
        <f>IF($L5003="","",INDEX($A$8:$A$5007,$L5003))</f>
        <v/>
      </c>
      <c r="N5003" s="31" t="str">
        <f>IF($L5003="","",INDEX($B$8:$B$5007,$L5003))</f>
        <v/>
      </c>
      <c r="O5003" s="32" t="str">
        <f>IF($M5003="","",IF($K5003-$M5003&gt;7,"",IF($M5003&lt;=$A5003,"",IF(OR($B5003&lt;=0,$N5003&lt;=0),"",($N5003/$B5003)^(365/($M5003-$A5003))-1))))</f>
        <v/>
      </c>
      <c r="P5003" s="31" t="str">
        <f>IF($B5003="","",IF($P5002="",$B5003,MAX($P5002,$B5003)))</f>
        <v/>
      </c>
      <c r="Q5003" s="32" t="str">
        <f>IF($P5003="","",$B5003/$P5003-1)</f>
        <v/>
      </c>
    </row>
    <row r="5004">
      <c r="A5004" s="11" t="n"/>
      <c r="B5004" s="29" t="n"/>
      <c r="K5004" s="30" t="str">
        <f>IF($A5004="","",EDATE($A5004,12*$E$4))</f>
        <v/>
      </c>
      <c r="L5004" s="19" t="str">
        <f>IF($K5004="","",IF($K5004&gt;MAX($A$8:$A$5007),"",IFERROR(MATCH($K5004,$A$8:$A$5007,1),"")))</f>
        <v/>
      </c>
      <c r="M5004" s="30" t="str">
        <f>IF($L5004="","",INDEX($A$8:$A$5007,$L5004))</f>
        <v/>
      </c>
      <c r="N5004" s="31" t="str">
        <f>IF($L5004="","",INDEX($B$8:$B$5007,$L5004))</f>
        <v/>
      </c>
      <c r="O5004" s="32" t="str">
        <f>IF($M5004="","",IF($K5004-$M5004&gt;7,"",IF($M5004&lt;=$A5004,"",IF(OR($B5004&lt;=0,$N5004&lt;=0),"",($N5004/$B5004)^(365/($M5004-$A5004))-1))))</f>
        <v/>
      </c>
      <c r="P5004" s="31" t="str">
        <f>IF($B5004="","",IF($P5003="",$B5004,MAX($P5003,$B5004)))</f>
        <v/>
      </c>
      <c r="Q5004" s="32" t="str">
        <f>IF($P5004="","",$B5004/$P5004-1)</f>
        <v/>
      </c>
    </row>
    <row r="5005">
      <c r="A5005" s="11" t="n"/>
      <c r="B5005" s="29" t="n"/>
      <c r="K5005" s="30" t="str">
        <f>IF($A5005="","",EDATE($A5005,12*$E$4))</f>
        <v/>
      </c>
      <c r="L5005" s="19" t="str">
        <f>IF($K5005="","",IF($K5005&gt;MAX($A$8:$A$5007),"",IFERROR(MATCH($K5005,$A$8:$A$5007,1),"")))</f>
        <v/>
      </c>
      <c r="M5005" s="30" t="str">
        <f>IF($L5005="","",INDEX($A$8:$A$5007,$L5005))</f>
        <v/>
      </c>
      <c r="N5005" s="31" t="str">
        <f>IF($L5005="","",INDEX($B$8:$B$5007,$L5005))</f>
        <v/>
      </c>
      <c r="O5005" s="32" t="str">
        <f>IF($M5005="","",IF($K5005-$M5005&gt;7,"",IF($M5005&lt;=$A5005,"",IF(OR($B5005&lt;=0,$N5005&lt;=0),"",($N5005/$B5005)^(365/($M5005-$A5005))-1))))</f>
        <v/>
      </c>
      <c r="P5005" s="31" t="str">
        <f>IF($B5005="","",IF($P5004="",$B5005,MAX($P5004,$B5005)))</f>
        <v/>
      </c>
      <c r="Q5005" s="32" t="str">
        <f>IF($P5005="","",$B5005/$P5005-1)</f>
        <v/>
      </c>
    </row>
    <row r="5006">
      <c r="A5006" s="11" t="n"/>
      <c r="B5006" s="29" t="n"/>
      <c r="K5006" s="30" t="str">
        <f>IF($A5006="","",EDATE($A5006,12*$E$4))</f>
        <v/>
      </c>
      <c r="L5006" s="19" t="str">
        <f>IF($K5006="","",IF($K5006&gt;MAX($A$8:$A$5007),"",IFERROR(MATCH($K5006,$A$8:$A$5007,1),"")))</f>
        <v/>
      </c>
      <c r="M5006" s="30" t="str">
        <f>IF($L5006="","",INDEX($A$8:$A$5007,$L5006))</f>
        <v/>
      </c>
      <c r="N5006" s="31" t="str">
        <f>IF($L5006="","",INDEX($B$8:$B$5007,$L5006))</f>
        <v/>
      </c>
      <c r="O5006" s="32" t="str">
        <f>IF($M5006="","",IF($K5006-$M5006&gt;7,"",IF($M5006&lt;=$A5006,"",IF(OR($B5006&lt;=0,$N5006&lt;=0),"",($N5006/$B5006)^(365/($M5006-$A5006))-1))))</f>
        <v/>
      </c>
      <c r="P5006" s="31" t="str">
        <f>IF($B5006="","",IF($P5005="",$B5006,MAX($P5005,$B5006)))</f>
        <v/>
      </c>
      <c r="Q5006" s="32" t="str">
        <f>IF($P5006="","",$B5006/$P5006-1)</f>
        <v/>
      </c>
    </row>
    <row r="5007">
      <c r="A5007" s="11" t="n"/>
      <c r="B5007" s="29" t="n"/>
      <c r="K5007" s="30" t="str">
        <f>IF($A5007="","",EDATE($A5007,12*$E$4))</f>
        <v/>
      </c>
      <c r="L5007" s="19" t="str">
        <f>IF($K5007="","",IF($K5007&gt;MAX($A$8:$A$5007),"",IFERROR(MATCH($K5007,$A$8:$A$5007,1),"")))</f>
        <v/>
      </c>
      <c r="M5007" s="30" t="str">
        <f>IF($L5007="","",INDEX($A$8:$A$5007,$L5007))</f>
        <v/>
      </c>
      <c r="N5007" s="31" t="str">
        <f>IF($L5007="","",INDEX($B$8:$B$5007,$L5007))</f>
        <v/>
      </c>
      <c r="O5007" s="32" t="str">
        <f>IF($M5007="","",IF($K5007-$M5007&gt;7,"",IF($M5007&lt;=$A5007,"",IF(OR($B5007&lt;=0,$N5007&lt;=0),"",($N5007/$B5007)^(365/($M5007-$A5007))-1))))</f>
        <v/>
      </c>
      <c r="P5007" s="31" t="str">
        <f>IF($B5007="","",IF($P5006="",$B5007,MAX($P5006,$B5007)))</f>
        <v/>
      </c>
      <c r="Q5007" s="32" t="str">
        <f>IF($P5007="","",$B5007/$P5007-1)</f>
        <v/>
      </c>
    </row>
  </sheetData>
  <sheetProtection selectLockedCells="0" selectUnlockedCells="0" sheet="1" objects="0" insertRows="1" insertHyperlinks="1" autoFilter="0" scenarios="0" formatColumns="0" deleteColumns="1" insertColumns="1" pivotTables="1" deleteRows="1" formatCells="0" formatRows="0" sort="0"/>
  <mergeCells count="5">
    <mergeCell ref="D20:G20"/>
    <mergeCell ref="D77:G77"/>
    <mergeCell ref="A2:G2"/>
    <mergeCell ref="D15:G15"/>
    <mergeCell ref="D28:G28"/>
  </mergeCells>
  <dataValidations count="3">
    <dataValidation sqref="E4" showDropDown="0" showInputMessage="0" showErrorMessage="1" allowBlank="0" error="Whole years, 1 to 20." type="whole" operator="between">
      <formula1>1</formula1>
      <formula2>20</formula2>
    </dataValidation>
    <dataValidation sqref="E5" showDropDown="0" showInputMessage="0" showErrorMessage="0" allowBlank="1" type="decimal" operator="between">
      <formula1>-50</formula1>
      <formula2>100</formula2>
    </dataValidation>
    <dataValidation sqref="B8:B5007" showDropDown="0" showInputMessage="0" showErrorMessage="0" allowBlank="1" type="decimal" operator="greaterThan">
      <formula1>0</formula1>
    </dataValidation>
  </dataValidations>
  <pageMargins left="0.75" right="0.75" top="1" bottom="1" header="0.5" footer="0.5"/>
</worksheet>
</file>

<file path=xl/worksheets/sheet6.xml><?xml version="1.0" encoding="utf-8"?>
<worksheet xmlns="http://schemas.openxmlformats.org/spreadsheetml/2006/main">
  <sheetPr>
    <tabColor rgb="009AA7B5"/>
    <outlinePr summaryBelow="1" summaryRight="1"/>
    <pageSetUpPr/>
  </sheetPr>
  <dimension ref="B2:I11"/>
  <sheetViews>
    <sheetView showGridLines="0" workbookViewId="0">
      <pane ySplit="7" topLeftCell="A8" activePane="bottomLeft" state="frozen"/>
      <selection pane="bottomLeft" activeCell="A1" sqref="A1"/>
    </sheetView>
  </sheetViews>
  <sheetFormatPr baseColWidth="8" defaultRowHeight="15"/>
  <cols>
    <col width="3" customWidth="1" min="1" max="1"/>
    <col width="14" customWidth="1" min="2" max="2"/>
    <col width="16" customWidth="1" min="3" max="3"/>
    <col width="16" customWidth="1" min="4" max="4"/>
    <col width="16" customWidth="1" min="5" max="5"/>
    <col width="22" customWidth="1" min="6" max="6"/>
    <col width="3" customWidth="1" min="7" max="7"/>
    <col width="34" customWidth="1" min="8" max="8"/>
    <col width="18" customWidth="1" min="9" max="9"/>
  </cols>
  <sheetData>
    <row r="2">
      <c r="B2" s="3" t="inlineStr">
        <is>
          <t>Fund or portfolio name</t>
        </is>
      </c>
      <c r="C2" s="38" t="inlineStr">
        <is>
          <t>An example, already filled in</t>
        </is>
      </c>
      <c r="H2" s="6" t="inlineStr">
        <is>
          <t>The example's answers</t>
        </is>
      </c>
      <c r="I2" s="6" t="inlineStr"/>
    </row>
    <row r="3">
      <c r="B3" s="3" t="inlineStr">
        <is>
          <t>Your XIRR</t>
        </is>
      </c>
      <c r="H3" s="3" t="inlineStr">
        <is>
          <t>You put in</t>
        </is>
      </c>
      <c r="I3" s="7">
        <f>SUMIF($C$8:$C$10,"Money in",$D$8:$D$10)</f>
        <v>200000</v>
      </c>
    </row>
    <row r="4" ht="40" customHeight="1">
      <c r="B4" s="8">
        <f>IFERROR(XIRR($E$8:$E$10,$B$8:$B$10),IFERROR(XIRR($E$8:$E$10,$B$8:$B$10,-0.5),"Check the entries"))</f>
        <v>0.134013463836819</v>
      </c>
      <c r="H4" s="3" t="inlineStr">
        <is>
          <t>Worth now</t>
        </is>
      </c>
      <c r="I4" s="7">
        <f>SUMIF($C$8:$C$10,"Worth today",$D$8:$D$10)</f>
        <v>242000</v>
      </c>
    </row>
    <row r="5">
      <c r="H5" s="3" t="inlineStr">
        <is>
          <t>Gain</t>
        </is>
      </c>
      <c r="I5" s="7">
        <f>$I$4-$I$3</f>
        <v>42000</v>
      </c>
    </row>
    <row r="6" ht="48" customHeight="1">
      <c r="B6" s="2" t="inlineStr">
        <is>
          <t>Two payments a year apart and the holding's worth a year after the second. Total return 21%; XIRR 13.4% a year, because the second rupee was invested for only one of the two years. Real return at 6% inflation: (1.134 ÷ 1.06) − 1 = 7.0%, not 7.4%.</t>
        </is>
      </c>
      <c r="H6" s="3" t="inlineStr">
        <is>
          <t>Total return</t>
        </is>
      </c>
      <c r="I6" s="10">
        <f>$I$5/$I$3</f>
        <v>0.21</v>
      </c>
    </row>
    <row r="7">
      <c r="B7" s="6" t="inlineStr">
        <is>
          <t>Date</t>
        </is>
      </c>
      <c r="C7" s="6" t="inlineStr">
        <is>
          <t>What happened</t>
        </is>
      </c>
      <c r="D7" s="6" t="inlineStr">
        <is>
          <t>Amount</t>
        </is>
      </c>
      <c r="E7" s="6" t="inlineStr">
        <is>
          <t>Used by the sheet</t>
        </is>
      </c>
      <c r="F7" s="6" t="inlineStr">
        <is>
          <t>Which holding</t>
        </is>
      </c>
      <c r="H7" s="3" t="inlineStr">
        <is>
          <t>XIRR</t>
        </is>
      </c>
      <c r="I7" s="10">
        <f>$B$4</f>
        <v>0.134013463836819</v>
      </c>
    </row>
    <row r="8">
      <c r="B8" s="39" t="n">
        <v>44197</v>
      </c>
      <c r="C8" s="38" t="inlineStr">
        <is>
          <t>Money in</t>
        </is>
      </c>
      <c r="D8" s="40" t="n">
        <v>100000</v>
      </c>
      <c r="E8" s="13">
        <f>IF($B8="","",IF($C8="Money in",-$D8,$D8))</f>
        <v>-100000</v>
      </c>
      <c r="H8" s="3" t="inlineStr">
        <is>
          <t>Doubling time at that rate</t>
        </is>
      </c>
      <c r="I8" s="14">
        <f>LN(2)/LN(1+$B$4)</f>
        <v>5.51153161160639</v>
      </c>
    </row>
    <row r="9">
      <c r="B9" s="39" t="n">
        <v>44562</v>
      </c>
      <c r="C9" s="38" t="inlineStr">
        <is>
          <t>Money in</t>
        </is>
      </c>
      <c r="D9" s="40" t="n">
        <v>100000</v>
      </c>
      <c r="E9" s="13">
        <f>IF($B9="","",IF($C9="Money in",-$D9,$D9))</f>
        <v>-100000</v>
      </c>
      <c r="H9" s="3" t="inlineStr">
        <is>
          <t>Real return at 6% inflation</t>
        </is>
      </c>
      <c r="I9" s="10">
        <f>(1+$B$4)/1.06-1</f>
        <v>0.0698240224875653</v>
      </c>
    </row>
    <row r="10">
      <c r="B10" s="39" t="n">
        <v>44927</v>
      </c>
      <c r="C10" s="38" t="inlineStr">
        <is>
          <t>Worth today</t>
        </is>
      </c>
      <c r="D10" s="40" t="n">
        <v>242000</v>
      </c>
      <c r="E10" s="13">
        <f>IF($B10="","",IF($C10="Money in",-$D10,$D10))</f>
        <v>242000</v>
      </c>
    </row>
    <row r="11">
      <c r="H11" s="2" t="inlineStr">
        <is>
          <t>The site works this example out the same way; its About page sets out how, under How this tool calculates.</t>
        </is>
      </c>
    </row>
  </sheetData>
  <sheetProtection selectLockedCells="0" selectUnlockedCells="0" sheet="1" objects="0" insertRows="1" insertHyperlinks="1" autoFilter="0" scenarios="0" formatColumns="0" deleteColumns="1" insertColumns="1" pivotTables="1" deleteRows="1" formatCells="0" formatRows="0" sort="0"/>
  <mergeCells count="3">
    <mergeCell ref="H11:I11"/>
    <mergeCell ref="B6:F6"/>
    <mergeCell ref="B4:D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10" customWidth="1" min="2" max="2"/>
  </cols>
  <sheetData>
    <row r="2">
      <c r="B2" s="1" t="inlineStr">
        <is>
          <t>Where You Stand: XIRR Calculator, version 3.0</t>
        </is>
      </c>
    </row>
    <row r="4" ht="34" customHeight="1">
      <c r="B4" s="2" t="inlineStr">
        <is>
          <t>It works with no internet connection, and nothing in it connects to anything. No macros, no add-ins: plain formulas that Excel and Google Sheets evaluate themselves.</t>
        </is>
      </c>
    </row>
    <row r="6" ht="34" customHeight="1">
      <c r="B6" s="2" t="inlineStr">
        <is>
          <t>This is an educational tool for readers. Every figure is before exit load and before tax. It measures money that has already moved and illustrates assumptions you choose yourself; it does not recommend, rate or rank anything.</t>
        </is>
      </c>
    </row>
    <row r="8" ht="34" customHeight="1">
      <c r="B8" s="2" t="inlineStr">
        <is>
          <t>The tabs are protected without a password. To adapt this sheet, choose Review, then Unprotect Sheet. The hidden Calc tab carries the working; unhide it to inspect every step.</t>
        </is>
      </c>
    </row>
    <row r="10" ht="34" customHeight="1">
      <c r="B10" s="2" t="inlineStr">
        <is>
          <t>Conventions: XIRR on a 365-day year, the same as a spreadsheet's XIRR and the site; rolling windows end on the same calendar date, or the last value up to seven days before it; real return is (1 + return) ÷ (1 + inflation) − 1; monthly instalments are added at the start of each month and the step-up applies once a year.</t>
        </is>
      </c>
    </row>
    <row r="12" ht="34" customHeight="1">
      <c r="B12" s="2" t="inlineStr">
        <is>
          <t>The site and this sheet give the same answers for the same entries; both were checked against each other and against independent calculations.</t>
        </is>
      </c>
    </row>
    <row r="14" ht="34" customHeight="1">
      <c r="B14" s="2" t="inlineStr">
        <is>
          <t>No Excel? Upload this file to Google Sheets and it works there too, unchanged.</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C1:AM508"/>
  <sheetViews>
    <sheetView showGridLines="0" workbookViewId="0">
      <selection activeCell="A1" sqref="A1"/>
    </sheetView>
  </sheetViews>
  <sheetFormatPr baseColWidth="8" defaultRowHeight="15"/>
  <cols>
    <col width="26" customWidth="1" min="3" max="3"/>
    <col width="16" customWidth="1" min="4" max="4"/>
    <col width="22" customWidth="1" min="6" max="6"/>
    <col width="16" customWidth="1" min="7" max="7"/>
    <col width="14" customWidth="1" min="8" max="8"/>
    <col width="14" customWidth="1" min="9" max="9"/>
    <col width="14" customWidth="1" min="10" max="10"/>
    <col width="14" customWidth="1" min="11" max="11"/>
    <col width="14" customWidth="1" min="12" max="12"/>
    <col width="16" customWidth="1" min="13" max="13"/>
    <col width="16" customWidth="1" min="14" max="14"/>
  </cols>
  <sheetData>
    <row r="1">
      <c r="C1" s="3" t="inlineStr">
        <is>
          <t>Rows marked Worth today</t>
        </is>
      </c>
      <c r="D1" s="3">
        <f>COUNTIFS('My investments'!$C$8:$C$507,"Worth today",'My investments'!$B$8:$B$507,"&lt;&gt;")</f>
        <v>0</v>
      </c>
      <c r="F1" s="3" t="inlineStr">
        <is>
          <t>annual rate r</t>
        </is>
      </c>
      <c r="G1" s="3">
        <f>IF('Plan my goal'!$B$8="",0,'Plan my goal'!$B$8/100)</f>
        <v>0.1</v>
      </c>
    </row>
    <row r="2">
      <c r="F2" s="3" t="inlineStr">
        <is>
          <t>monthly rate i</t>
        </is>
      </c>
      <c r="G2" s="3">
        <f>(1+$G$1)^(1/12)-1</f>
        <v>0.00797414042890376</v>
      </c>
    </row>
    <row r="3">
      <c r="C3" s="3" t="inlineStr">
        <is>
          <t>Total invested</t>
        </is>
      </c>
      <c r="D3" s="3">
        <f>SUMIFS('My investments'!$D$8:$D$507,'My investments'!$C$8:$C$507,"Money in",'My investments'!$B$8:$B$507,"&lt;&gt;")</f>
        <v>0</v>
      </c>
      <c r="F3" s="3" t="inlineStr">
        <is>
          <t>one year of 1/month</t>
        </is>
      </c>
      <c r="G3" s="3">
        <f>IF($G$2=0,12,(((1+$G$2)^12-1)/$G$2)*(1+$G$2))</f>
        <v>12.6405366122638</v>
      </c>
    </row>
    <row r="4">
      <c r="C4" s="3" t="inlineStr">
        <is>
          <t>Total withdrawn</t>
        </is>
      </c>
      <c r="D4" s="3">
        <f>SUMIFS('My investments'!$D$8:$D$507,'My investments'!$C$8:$C$507,"Money out",'My investments'!$B$8:$B$507,"&lt;&gt;")</f>
        <v>0</v>
      </c>
      <c r="F4" s="3" t="inlineStr">
        <is>
          <t>years Y</t>
        </is>
      </c>
      <c r="G4" s="3">
        <f>IF('Plan my goal'!$B$6="",0,'Plan my goal'!$B$6)</f>
        <v>15</v>
      </c>
    </row>
    <row r="5">
      <c r="C5" s="3" t="inlineStr">
        <is>
          <t>Worth today</t>
        </is>
      </c>
      <c r="D5" s="3">
        <f>SUMIFS('My investments'!$D$8:$D$507,'My investments'!$C$8:$C$507,"Worth today",'My investments'!$B$8:$B$507,"&lt;&gt;")</f>
        <v>0</v>
      </c>
      <c r="F5" s="3" t="inlineStr">
        <is>
          <t>step-up g</t>
        </is>
      </c>
      <c r="G5" s="3">
        <f>IF('Plan my goal'!$B$9="",0,'Plan my goal'!$B$9/100)</f>
        <v>0</v>
      </c>
      <c r="I5" s="3">
        <f>IF($G$5&gt;0.1,$G$5,0.1)</f>
        <v>0.1</v>
      </c>
    </row>
    <row r="6">
      <c r="C6" s="3" t="inlineStr">
        <is>
          <t>Amount without a date</t>
        </is>
      </c>
      <c r="D6" s="3">
        <f>SUMPRODUCT(('My investments'!$B$8:$B$507="")*('My investments'!$D$8:$D$507&lt;&gt;""))</f>
        <v>0</v>
      </c>
      <c r="F6" s="3" t="inlineStr">
        <is>
          <t>ratio x</t>
        </is>
      </c>
      <c r="G6" s="3">
        <f>(1+$G$5)/(1+$G$1)</f>
        <v>0.909090909090909</v>
      </c>
      <c r="I6" s="3">
        <f>(1+$I$5)/(1+$G$1)</f>
        <v>1</v>
      </c>
      <c r="X6" s="3" t="inlineStr">
        <is>
          <t>fund flow</t>
        </is>
      </c>
      <c r="Y6" s="3" t="inlineStr">
        <is>
          <t>date</t>
        </is>
      </c>
      <c r="Z6" s="3" t="inlineStr">
        <is>
          <t>index flow</t>
        </is>
      </c>
      <c r="AA6" s="3" t="inlineStr">
        <is>
          <t>holding 1</t>
        </is>
      </c>
      <c r="AB6" s="3" t="inlineStr">
        <is>
          <t>holding 2</t>
        </is>
      </c>
      <c r="AC6" s="3" t="inlineStr">
        <is>
          <t>holding 3</t>
        </is>
      </c>
      <c r="AD6" s="3" t="inlineStr">
        <is>
          <t>holding 4</t>
        </is>
      </c>
      <c r="AE6" s="3" t="inlineStr">
        <is>
          <t>holding 5</t>
        </is>
      </c>
      <c r="AF6" s="3" t="inlineStr">
        <is>
          <t>holding 6</t>
        </is>
      </c>
      <c r="AG6" s="3" t="inlineStr">
        <is>
          <t>holding 7</t>
        </is>
      </c>
      <c r="AH6" s="3" t="inlineStr">
        <is>
          <t>holding 8</t>
        </is>
      </c>
      <c r="AI6" s="3" t="inlineStr">
        <is>
          <t>holding 9</t>
        </is>
      </c>
      <c r="AJ6" s="3" t="inlineStr">
        <is>
          <t>holding 10</t>
        </is>
      </c>
      <c r="AL6" s="3" t="inlineStr">
        <is>
          <t>index value that day</t>
        </is>
      </c>
      <c r="AM6" s="3" t="inlineStr">
        <is>
          <t>index units</t>
        </is>
      </c>
    </row>
    <row r="7">
      <c r="C7" s="3" t="inlineStr">
        <is>
          <t>Date without an amount</t>
        </is>
      </c>
      <c r="D7" s="3">
        <f>SUMPRODUCT(('My investments'!$B$8:$B$507&lt;&gt;"")*('My investments'!$D$8:$D$507=""))</f>
        <v>0</v>
      </c>
      <c r="F7" s="3" t="inlineStr">
        <is>
          <t>geometric sum S</t>
        </is>
      </c>
      <c r="G7" s="3">
        <f>IF($G$4&lt;=0,0,IF(ABS($G$6-1)&lt;0.000000000001,$G$4,(1-$G$6^$G$4)/(1-$G$6)))</f>
        <v>8.3666874569392</v>
      </c>
      <c r="I7" s="3">
        <f>IF($G$4&lt;=0,0,IF(ABS($I$6-1)&lt;0.000000000001,$G$4,(1-$I$6^$G$4)/(1-$I$6)))</f>
        <v>15</v>
      </c>
      <c r="X7" s="3" t="n">
        <v>0</v>
      </c>
      <c r="Y7" s="25">
        <f>$D$8</f>
        <v>0</v>
      </c>
      <c r="Z7" s="3" t="n">
        <v>0</v>
      </c>
      <c r="AA7" s="3" t="n">
        <v>0</v>
      </c>
      <c r="AB7" s="3" t="n">
        <v>0</v>
      </c>
      <c r="AC7" s="3" t="n">
        <v>0</v>
      </c>
      <c r="AD7" s="3" t="n">
        <v>0</v>
      </c>
      <c r="AE7" s="3" t="n">
        <v>0</v>
      </c>
      <c r="AF7" s="3" t="n">
        <v>0</v>
      </c>
      <c r="AG7" s="3" t="n">
        <v>0</v>
      </c>
      <c r="AH7" s="3" t="n">
        <v>0</v>
      </c>
      <c r="AI7" s="3" t="n">
        <v>0</v>
      </c>
      <c r="AJ7" s="3" t="n">
        <v>0</v>
      </c>
    </row>
    <row r="8">
      <c r="C8" s="3" t="inlineStr">
        <is>
          <t>First date</t>
        </is>
      </c>
      <c r="D8" s="25">
        <f>IF(COUNT('My investments'!$B$8:$B$507)=0,0,MIN('My investments'!$B$8:$B$507))</f>
        <v>0</v>
      </c>
      <c r="F8" s="3" t="inlineStr">
        <is>
          <t>growth of 1/month</t>
        </is>
      </c>
      <c r="G8" s="3">
        <f>IF($G$4&lt;=0,0,$G$3*(1+$G$1)^($G$4-1)*$G$7)</f>
        <v>401.621218117466</v>
      </c>
      <c r="I8" s="3">
        <f>IF($G$4&lt;=0,0,$G$3*(1+$G$1)^($G$4-1)*$I$7)</f>
        <v>720.036251236505</v>
      </c>
      <c r="X8" s="3">
        <f>IF('My investments'!$B8="",0,IF('My investments'!$E8="",0,'My investments'!$E8))</f>
        <v>0</v>
      </c>
      <c r="Y8" s="25">
        <f>IF('My investments'!$B8="",$D$8,'My investments'!$B8)</f>
        <v>0</v>
      </c>
      <c r="Z8" s="3">
        <f>IF('My investments'!$C8="Worth today",0,$X8)</f>
        <v>0</v>
      </c>
      <c r="AA8" s="3">
        <f>IF('My investments'!$H$15="",0,IF('My investments'!$F8='My investments'!$H$15,$X8,0))</f>
        <v>0</v>
      </c>
      <c r="AB8" s="3">
        <f>IF('My investments'!$H$16="",0,IF('My investments'!$F8='My investments'!$H$16,$X8,0))</f>
        <v>0</v>
      </c>
      <c r="AC8" s="3">
        <f>IF('My investments'!$H$17="",0,IF('My investments'!$F8='My investments'!$H$17,$X8,0))</f>
        <v>0</v>
      </c>
      <c r="AD8" s="3">
        <f>IF('My investments'!$H$18="",0,IF('My investments'!$F8='My investments'!$H$18,$X8,0))</f>
        <v>0</v>
      </c>
      <c r="AE8" s="3">
        <f>IF('My investments'!$H$19="",0,IF('My investments'!$F8='My investments'!$H$19,$X8,0))</f>
        <v>0</v>
      </c>
      <c r="AF8" s="3">
        <f>IF('My investments'!$H$20="",0,IF('My investments'!$F8='My investments'!$H$20,$X8,0))</f>
        <v>0</v>
      </c>
      <c r="AG8" s="3">
        <f>IF('My investments'!$H$21="",0,IF('My investments'!$F8='My investments'!$H$21,$X8,0))</f>
        <v>0</v>
      </c>
      <c r="AH8" s="3">
        <f>IF('My investments'!$H$22="",0,IF('My investments'!$F8='My investments'!$H$22,$X8,0))</f>
        <v>0</v>
      </c>
      <c r="AI8" s="3">
        <f>IF('My investments'!$H$23="",0,IF('My investments'!$F8='My investments'!$H$23,$X8,0))</f>
        <v>0</v>
      </c>
      <c r="AJ8" s="3">
        <f>IF('My investments'!$H$24="",0,IF('My investments'!$F8='My investments'!$H$24,$X8,0))</f>
        <v>0</v>
      </c>
      <c r="AL8" s="3" t="str">
        <f>IF('My investments'!$B8="","",IF($D$10=0,"",IFERROR(INDEX('Index history'!$B$8:$B$5007,MATCH('My investments'!$B8,'Index history'!$A$8:$A$5007,1)),"")))</f>
        <v/>
      </c>
      <c r="AM8" s="3">
        <f>IF($AL8="",0,IF('My investments'!$D8="",0,IF('My investments'!$C8="Money in",'My investments'!$D8/$AL8,IF('My investments'!$C8="Money out",-'My investments'!$D8/$AL8,0))))</f>
        <v>0</v>
      </c>
    </row>
    <row r="9">
      <c r="C9" s="3" t="inlineStr">
        <is>
          <t>Valuation date (last Worth today row)</t>
        </is>
      </c>
      <c r="D9" s="25">
        <f>IF($D$1=0,$D$8,SUMPRODUCT(MAX(('My investments'!$C$8:$C$507="Worth today")*('My investments'!$B$8:$B$507))))</f>
        <v>0</v>
      </c>
      <c r="X9" s="3">
        <f>IF('My investments'!$B9="",0,IF('My investments'!$E9="",0,'My investments'!$E9))</f>
        <v>0</v>
      </c>
      <c r="Y9" s="25">
        <f>IF('My investments'!$B9="",$D$8,'My investments'!$B9)</f>
        <v>0</v>
      </c>
      <c r="Z9" s="3">
        <f>IF('My investments'!$C9="Worth today",0,$X9)</f>
        <v>0</v>
      </c>
      <c r="AA9" s="3">
        <f>IF('My investments'!$H$15="",0,IF('My investments'!$F9='My investments'!$H$15,$X9,0))</f>
        <v>0</v>
      </c>
      <c r="AB9" s="3">
        <f>IF('My investments'!$H$16="",0,IF('My investments'!$F9='My investments'!$H$16,$X9,0))</f>
        <v>0</v>
      </c>
      <c r="AC9" s="3">
        <f>IF('My investments'!$H$17="",0,IF('My investments'!$F9='My investments'!$H$17,$X9,0))</f>
        <v>0</v>
      </c>
      <c r="AD9" s="3">
        <f>IF('My investments'!$H$18="",0,IF('My investments'!$F9='My investments'!$H$18,$X9,0))</f>
        <v>0</v>
      </c>
      <c r="AE9" s="3">
        <f>IF('My investments'!$H$19="",0,IF('My investments'!$F9='My investments'!$H$19,$X9,0))</f>
        <v>0</v>
      </c>
      <c r="AF9" s="3">
        <f>IF('My investments'!$H$20="",0,IF('My investments'!$F9='My investments'!$H$20,$X9,0))</f>
        <v>0</v>
      </c>
      <c r="AG9" s="3">
        <f>IF('My investments'!$H$21="",0,IF('My investments'!$F9='My investments'!$H$21,$X9,0))</f>
        <v>0</v>
      </c>
      <c r="AH9" s="3">
        <f>IF('My investments'!$H$22="",0,IF('My investments'!$F9='My investments'!$H$22,$X9,0))</f>
        <v>0</v>
      </c>
      <c r="AI9" s="3">
        <f>IF('My investments'!$H$23="",0,IF('My investments'!$F9='My investments'!$H$23,$X9,0))</f>
        <v>0</v>
      </c>
      <c r="AJ9" s="3">
        <f>IF('My investments'!$H$24="",0,IF('My investments'!$F9='My investments'!$H$24,$X9,0))</f>
        <v>0</v>
      </c>
      <c r="AL9" s="3" t="str">
        <f>IF('My investments'!$B9="","",IF($D$10=0,"",IFERROR(INDEX('Index history'!$B$8:$B$5007,MATCH('My investments'!$B9,'Index history'!$A$8:$A$5007,1)),"")))</f>
        <v/>
      </c>
      <c r="AM9" s="3">
        <f>IF($AL9="",0,IF('My investments'!$D9="",0,IF('My investments'!$C9="Money in",'My investments'!$D9/$AL9,IF('My investments'!$C9="Money out",-'My investments'!$D9/$AL9,0))))</f>
        <v>0</v>
      </c>
    </row>
    <row r="10">
      <c r="C10" s="3" t="inlineStr">
        <is>
          <t>Index rows</t>
        </is>
      </c>
      <c r="D10" s="3">
        <f>COUNT('Index history'!$A$8:$A$5007)</f>
        <v>0</v>
      </c>
      <c r="F10" s="3" t="inlineStr">
        <is>
          <t>inputs usable?</t>
        </is>
      </c>
      <c r="G10" s="3">
        <f>IF('Plan my goal'!$B$6="",0,IF('Plan my goal'!$B$6&lt;1,0,IF('Plan my goal'!$B$6&gt;50,0,IF('Plan my goal'!$B$6&lt;&gt;INT('Plan my goal'!$B$6),0,IF('Plan my goal'!$B$4="",0,IF('Plan my goal'!$B$4&lt;=0,0,IF('Plan my goal'!$B$8="",0,IF('Plan my goal'!$B$8&lt;0,0,IF('Plan my goal'!$B$8&gt;50,0,1)))))))))</f>
        <v>1</v>
      </c>
      <c r="X10" s="3">
        <f>IF('My investments'!$B10="",0,IF('My investments'!$E10="",0,'My investments'!$E10))</f>
        <v>0</v>
      </c>
      <c r="Y10" s="25">
        <f>IF('My investments'!$B10="",$D$8,'My investments'!$B10)</f>
        <v>0</v>
      </c>
      <c r="Z10" s="3">
        <f>IF('My investments'!$C10="Worth today",0,$X10)</f>
        <v>0</v>
      </c>
      <c r="AA10" s="3">
        <f>IF('My investments'!$H$15="",0,IF('My investments'!$F10='My investments'!$H$15,$X10,0))</f>
        <v>0</v>
      </c>
      <c r="AB10" s="3">
        <f>IF('My investments'!$H$16="",0,IF('My investments'!$F10='My investments'!$H$16,$X10,0))</f>
        <v>0</v>
      </c>
      <c r="AC10" s="3">
        <f>IF('My investments'!$H$17="",0,IF('My investments'!$F10='My investments'!$H$17,$X10,0))</f>
        <v>0</v>
      </c>
      <c r="AD10" s="3">
        <f>IF('My investments'!$H$18="",0,IF('My investments'!$F10='My investments'!$H$18,$X10,0))</f>
        <v>0</v>
      </c>
      <c r="AE10" s="3">
        <f>IF('My investments'!$H$19="",0,IF('My investments'!$F10='My investments'!$H$19,$X10,0))</f>
        <v>0</v>
      </c>
      <c r="AF10" s="3">
        <f>IF('My investments'!$H$20="",0,IF('My investments'!$F10='My investments'!$H$20,$X10,0))</f>
        <v>0</v>
      </c>
      <c r="AG10" s="3">
        <f>IF('My investments'!$H$21="",0,IF('My investments'!$F10='My investments'!$H$21,$X10,0))</f>
        <v>0</v>
      </c>
      <c r="AH10" s="3">
        <f>IF('My investments'!$H$22="",0,IF('My investments'!$F10='My investments'!$H$22,$X10,0))</f>
        <v>0</v>
      </c>
      <c r="AI10" s="3">
        <f>IF('My investments'!$H$23="",0,IF('My investments'!$F10='My investments'!$H$23,$X10,0))</f>
        <v>0</v>
      </c>
      <c r="AJ10" s="3">
        <f>IF('My investments'!$H$24="",0,IF('My investments'!$F10='My investments'!$H$24,$X10,0))</f>
        <v>0</v>
      </c>
      <c r="AL10" s="3" t="str">
        <f>IF('My investments'!$B10="","",IF($D$10=0,"",IFERROR(INDEX('Index history'!$B$8:$B$5007,MATCH('My investments'!$B10,'Index history'!$A$8:$A$5007,1)),"")))</f>
        <v/>
      </c>
      <c r="AM10" s="3">
        <f>IF($AL10="",0,IF('My investments'!$D10="",0,IF('My investments'!$C10="Money in",'My investments'!$D10/$AL10,IF('My investments'!$C10="Money out",-'My investments'!$D10/$AL10,0))))</f>
        <v>0</v>
      </c>
    </row>
    <row r="11">
      <c r="C11" s="3" t="inlineStr">
        <is>
          <t>Index last date</t>
        </is>
      </c>
      <c r="D11" s="25">
        <f>IF($D$10=0,0,MAX('Index history'!$A$8:$A$5007))</f>
        <v>0</v>
      </c>
      <c r="F11" s="3" t="inlineStr">
        <is>
          <t>from what you have</t>
        </is>
      </c>
      <c r="G11" s="3">
        <f>IF('Plan my goal'!$B$5="",0,'Plan my goal'!$B$5)*(1+$G$1)^$G$4</f>
        <v>1670899.26776626</v>
      </c>
      <c r="X11" s="3">
        <f>IF('My investments'!$B11="",0,IF('My investments'!$E11="",0,'My investments'!$E11))</f>
        <v>0</v>
      </c>
      <c r="Y11" s="25">
        <f>IF('My investments'!$B11="",$D$8,'My investments'!$B11)</f>
        <v>0</v>
      </c>
      <c r="Z11" s="3">
        <f>IF('My investments'!$C11="Worth today",0,$X11)</f>
        <v>0</v>
      </c>
      <c r="AA11" s="3">
        <f>IF('My investments'!$H$15="",0,IF('My investments'!$F11='My investments'!$H$15,$X11,0))</f>
        <v>0</v>
      </c>
      <c r="AB11" s="3">
        <f>IF('My investments'!$H$16="",0,IF('My investments'!$F11='My investments'!$H$16,$X11,0))</f>
        <v>0</v>
      </c>
      <c r="AC11" s="3">
        <f>IF('My investments'!$H$17="",0,IF('My investments'!$F11='My investments'!$H$17,$X11,0))</f>
        <v>0</v>
      </c>
      <c r="AD11" s="3">
        <f>IF('My investments'!$H$18="",0,IF('My investments'!$F11='My investments'!$H$18,$X11,0))</f>
        <v>0</v>
      </c>
      <c r="AE11" s="3">
        <f>IF('My investments'!$H$19="",0,IF('My investments'!$F11='My investments'!$H$19,$X11,0))</f>
        <v>0</v>
      </c>
      <c r="AF11" s="3">
        <f>IF('My investments'!$H$20="",0,IF('My investments'!$F11='My investments'!$H$20,$X11,0))</f>
        <v>0</v>
      </c>
      <c r="AG11" s="3">
        <f>IF('My investments'!$H$21="",0,IF('My investments'!$F11='My investments'!$H$21,$X11,0))</f>
        <v>0</v>
      </c>
      <c r="AH11" s="3">
        <f>IF('My investments'!$H$22="",0,IF('My investments'!$F11='My investments'!$H$22,$X11,0))</f>
        <v>0</v>
      </c>
      <c r="AI11" s="3">
        <f>IF('My investments'!$H$23="",0,IF('My investments'!$F11='My investments'!$H$23,$X11,0))</f>
        <v>0</v>
      </c>
      <c r="AJ11" s="3">
        <f>IF('My investments'!$H$24="",0,IF('My investments'!$F11='My investments'!$H$24,$X11,0))</f>
        <v>0</v>
      </c>
      <c r="AL11" s="3" t="str">
        <f>IF('My investments'!$B11="","",IF($D$10=0,"",IFERROR(INDEX('Index history'!$B$8:$B$5007,MATCH('My investments'!$B11,'Index history'!$A$8:$A$5007,1)),"")))</f>
        <v/>
      </c>
      <c r="AM11" s="3">
        <f>IF($AL11="",0,IF('My investments'!$D11="",0,IF('My investments'!$C11="Money in",'My investments'!$D11/$AL11,IF('My investments'!$C11="Money out",-'My investments'!$D11/$AL11,0))))</f>
        <v>0</v>
      </c>
    </row>
    <row r="12">
      <c r="C12" s="3" t="inlineStr">
        <is>
          <t>Payment dates outside the index</t>
        </is>
      </c>
      <c r="D12" s="3">
        <f>IF($D$10=0,0,SUMPRODUCT(('My investments'!$B$8:$B$507&lt;&gt;"")*('My investments'!$C$8:$C$507&lt;&gt;"Worth today")*(('My investments'!$B$8:$B$507&lt;$D$15)+('My investments'!$B$8:$B$507&gt;$D$11)&gt;0)))</f>
        <v>0</v>
      </c>
      <c r="F12" s="3" t="inlineStr">
        <is>
          <t>from monthly</t>
        </is>
      </c>
      <c r="G12" s="3">
        <f>IF('Plan my goal'!$B$7="",0,'Plan my goal'!$B$7)*$G$8</f>
        <v>4016212.18117466</v>
      </c>
      <c r="X12" s="3">
        <f>IF('My investments'!$B12="",0,IF('My investments'!$E12="",0,'My investments'!$E12))</f>
        <v>0</v>
      </c>
      <c r="Y12" s="25">
        <f>IF('My investments'!$B12="",$D$8,'My investments'!$B12)</f>
        <v>0</v>
      </c>
      <c r="Z12" s="3">
        <f>IF('My investments'!$C12="Worth today",0,$X12)</f>
        <v>0</v>
      </c>
      <c r="AA12" s="3">
        <f>IF('My investments'!$H$15="",0,IF('My investments'!$F12='My investments'!$H$15,$X12,0))</f>
        <v>0</v>
      </c>
      <c r="AB12" s="3">
        <f>IF('My investments'!$H$16="",0,IF('My investments'!$F12='My investments'!$H$16,$X12,0))</f>
        <v>0</v>
      </c>
      <c r="AC12" s="3">
        <f>IF('My investments'!$H$17="",0,IF('My investments'!$F12='My investments'!$H$17,$X12,0))</f>
        <v>0</v>
      </c>
      <c r="AD12" s="3">
        <f>IF('My investments'!$H$18="",0,IF('My investments'!$F12='My investments'!$H$18,$X12,0))</f>
        <v>0</v>
      </c>
      <c r="AE12" s="3">
        <f>IF('My investments'!$H$19="",0,IF('My investments'!$F12='My investments'!$H$19,$X12,0))</f>
        <v>0</v>
      </c>
      <c r="AF12" s="3">
        <f>IF('My investments'!$H$20="",0,IF('My investments'!$F12='My investments'!$H$20,$X12,0))</f>
        <v>0</v>
      </c>
      <c r="AG12" s="3">
        <f>IF('My investments'!$H$21="",0,IF('My investments'!$F12='My investments'!$H$21,$X12,0))</f>
        <v>0</v>
      </c>
      <c r="AH12" s="3">
        <f>IF('My investments'!$H$22="",0,IF('My investments'!$F12='My investments'!$H$22,$X12,0))</f>
        <v>0</v>
      </c>
      <c r="AI12" s="3">
        <f>IF('My investments'!$H$23="",0,IF('My investments'!$F12='My investments'!$H$23,$X12,0))</f>
        <v>0</v>
      </c>
      <c r="AJ12" s="3">
        <f>IF('My investments'!$H$24="",0,IF('My investments'!$F12='My investments'!$H$24,$X12,0))</f>
        <v>0</v>
      </c>
      <c r="AL12" s="3" t="str">
        <f>IF('My investments'!$B12="","",IF($D$10=0,"",IFERROR(INDEX('Index history'!$B$8:$B$5007,MATCH('My investments'!$B12,'Index history'!$A$8:$A$5007,1)),"")))</f>
        <v/>
      </c>
      <c r="AM12" s="3">
        <f>IF($AL12="",0,IF('My investments'!$D12="",0,IF('My investments'!$C12="Money in",'My investments'!$D12/$AL12,IF('My investments'!$C12="Money out",-'My investments'!$D12/$AL12,0))))</f>
        <v>0</v>
      </c>
    </row>
    <row r="13">
      <c r="C13" s="3" t="inlineStr">
        <is>
          <t>Net index units</t>
        </is>
      </c>
      <c r="D13" s="3">
        <f>SUM($AM$8:$AM$507)</f>
        <v>0</v>
      </c>
      <c r="F13" s="3" t="inlineStr">
        <is>
          <t>gap</t>
        </is>
      </c>
      <c r="G13" s="3">
        <f>IF('Plan my goal'!$B$4="",0,'Plan my goal'!$B$4)-($G$11+$G$12)</f>
        <v>4312888.55105908</v>
      </c>
      <c r="X13" s="3">
        <f>IF('My investments'!$B13="",0,IF('My investments'!$E13="",0,'My investments'!$E13))</f>
        <v>0</v>
      </c>
      <c r="Y13" s="25">
        <f>IF('My investments'!$B13="",$D$8,'My investments'!$B13)</f>
        <v>0</v>
      </c>
      <c r="Z13" s="3">
        <f>IF('My investments'!$C13="Worth today",0,$X13)</f>
        <v>0</v>
      </c>
      <c r="AA13" s="3">
        <f>IF('My investments'!$H$15="",0,IF('My investments'!$F13='My investments'!$H$15,$X13,0))</f>
        <v>0</v>
      </c>
      <c r="AB13" s="3">
        <f>IF('My investments'!$H$16="",0,IF('My investments'!$F13='My investments'!$H$16,$X13,0))</f>
        <v>0</v>
      </c>
      <c r="AC13" s="3">
        <f>IF('My investments'!$H$17="",0,IF('My investments'!$F13='My investments'!$H$17,$X13,0))</f>
        <v>0</v>
      </c>
      <c r="AD13" s="3">
        <f>IF('My investments'!$H$18="",0,IF('My investments'!$F13='My investments'!$H$18,$X13,0))</f>
        <v>0</v>
      </c>
      <c r="AE13" s="3">
        <f>IF('My investments'!$H$19="",0,IF('My investments'!$F13='My investments'!$H$19,$X13,0))</f>
        <v>0</v>
      </c>
      <c r="AF13" s="3">
        <f>IF('My investments'!$H$20="",0,IF('My investments'!$F13='My investments'!$H$20,$X13,0))</f>
        <v>0</v>
      </c>
      <c r="AG13" s="3">
        <f>IF('My investments'!$H$21="",0,IF('My investments'!$F13='My investments'!$H$21,$X13,0))</f>
        <v>0</v>
      </c>
      <c r="AH13" s="3">
        <f>IF('My investments'!$H$22="",0,IF('My investments'!$F13='My investments'!$H$22,$X13,0))</f>
        <v>0</v>
      </c>
      <c r="AI13" s="3">
        <f>IF('My investments'!$H$23="",0,IF('My investments'!$F13='My investments'!$H$23,$X13,0))</f>
        <v>0</v>
      </c>
      <c r="AJ13" s="3">
        <f>IF('My investments'!$H$24="",0,IF('My investments'!$F13='My investments'!$H$24,$X13,0))</f>
        <v>0</v>
      </c>
      <c r="AL13" s="3" t="str">
        <f>IF('My investments'!$B13="","",IF($D$10=0,"",IFERROR(INDEX('Index history'!$B$8:$B$5007,MATCH('My investments'!$B13,'Index history'!$A$8:$A$5007,1)),"")))</f>
        <v/>
      </c>
      <c r="AM13" s="3">
        <f>IF($AL13="",0,IF('My investments'!$D13="",0,IF('My investments'!$C13="Money in",'My investments'!$D13/$AL13,IF('My investments'!$C13="Money out",-'My investments'!$D13/$AL13,0))))</f>
        <v>0</v>
      </c>
    </row>
    <row r="14">
      <c r="C14" s="3" t="inlineStr">
        <is>
          <t>Index value on the valuation date</t>
        </is>
      </c>
      <c r="D14" s="3">
        <f>IF($D$10=0,0,IFERROR(INDEX('Index history'!$B$8:$B$5007,MATCH($D$9,'Index history'!$A$8:$A$5007,1)),0))</f>
        <v>0</v>
      </c>
      <c r="F14" s="3" t="inlineStr">
        <is>
          <t>extra each month</t>
        </is>
      </c>
      <c r="G14" s="3">
        <f>IF($G$13&lt;=0.5,0,IF($G$8&lt;=0,0,$G$13/$G$8))</f>
        <v>10738.6969525043</v>
      </c>
      <c r="X14" s="3">
        <f>IF('My investments'!$B14="",0,IF('My investments'!$E14="",0,'My investments'!$E14))</f>
        <v>0</v>
      </c>
      <c r="Y14" s="25">
        <f>IF('My investments'!$B14="",$D$8,'My investments'!$B14)</f>
        <v>0</v>
      </c>
      <c r="Z14" s="3">
        <f>IF('My investments'!$C14="Worth today",0,$X14)</f>
        <v>0</v>
      </c>
      <c r="AA14" s="3">
        <f>IF('My investments'!$H$15="",0,IF('My investments'!$F14='My investments'!$H$15,$X14,0))</f>
        <v>0</v>
      </c>
      <c r="AB14" s="3">
        <f>IF('My investments'!$H$16="",0,IF('My investments'!$F14='My investments'!$H$16,$X14,0))</f>
        <v>0</v>
      </c>
      <c r="AC14" s="3">
        <f>IF('My investments'!$H$17="",0,IF('My investments'!$F14='My investments'!$H$17,$X14,0))</f>
        <v>0</v>
      </c>
      <c r="AD14" s="3">
        <f>IF('My investments'!$H$18="",0,IF('My investments'!$F14='My investments'!$H$18,$X14,0))</f>
        <v>0</v>
      </c>
      <c r="AE14" s="3">
        <f>IF('My investments'!$H$19="",0,IF('My investments'!$F14='My investments'!$H$19,$X14,0))</f>
        <v>0</v>
      </c>
      <c r="AF14" s="3">
        <f>IF('My investments'!$H$20="",0,IF('My investments'!$F14='My investments'!$H$20,$X14,0))</f>
        <v>0</v>
      </c>
      <c r="AG14" s="3">
        <f>IF('My investments'!$H$21="",0,IF('My investments'!$F14='My investments'!$H$21,$X14,0))</f>
        <v>0</v>
      </c>
      <c r="AH14" s="3">
        <f>IF('My investments'!$H$22="",0,IF('My investments'!$F14='My investments'!$H$22,$X14,0))</f>
        <v>0</v>
      </c>
      <c r="AI14" s="3">
        <f>IF('My investments'!$H$23="",0,IF('My investments'!$F14='My investments'!$H$23,$X14,0))</f>
        <v>0</v>
      </c>
      <c r="AJ14" s="3">
        <f>IF('My investments'!$H$24="",0,IF('My investments'!$F14='My investments'!$H$24,$X14,0))</f>
        <v>0</v>
      </c>
      <c r="AL14" s="3" t="str">
        <f>IF('My investments'!$B14="","",IF($D$10=0,"",IFERROR(INDEX('Index history'!$B$8:$B$5007,MATCH('My investments'!$B14,'Index history'!$A$8:$A$5007,1)),"")))</f>
        <v/>
      </c>
      <c r="AM14" s="3">
        <f>IF($AL14="",0,IF('My investments'!$D14="",0,IF('My investments'!$C14="Money in",'My investments'!$D14/$AL14,IF('My investments'!$C14="Money out",-'My investments'!$D14/$AL14,0))))</f>
        <v>0</v>
      </c>
    </row>
    <row r="15">
      <c r="C15" s="3" t="inlineStr">
        <is>
          <t>Index first date</t>
        </is>
      </c>
      <c r="D15" s="25">
        <f>IF($D$10=0,0,MIN('Index history'!$A$8:$A$5007))</f>
        <v>0</v>
      </c>
      <c r="F15" s="3" t="inlineStr">
        <is>
          <t>own money paid in</t>
        </is>
      </c>
      <c r="G15" s="3">
        <f>IF('Plan my goal'!$B$7="",0,'Plan my goal'!$B$7)*12*IF($G$5=0,$G$4,((1+$G$5)^$G$4-1)/$G$5)</f>
        <v>1800000</v>
      </c>
      <c r="X15" s="3">
        <f>IF('My investments'!$B15="",0,IF('My investments'!$E15="",0,'My investments'!$E15))</f>
        <v>0</v>
      </c>
      <c r="Y15" s="25">
        <f>IF('My investments'!$B15="",$D$8,'My investments'!$B15)</f>
        <v>0</v>
      </c>
      <c r="Z15" s="3">
        <f>IF('My investments'!$C15="Worth today",0,$X15)</f>
        <v>0</v>
      </c>
      <c r="AA15" s="3">
        <f>IF('My investments'!$H$15="",0,IF('My investments'!$F15='My investments'!$H$15,$X15,0))</f>
        <v>0</v>
      </c>
      <c r="AB15" s="3">
        <f>IF('My investments'!$H$16="",0,IF('My investments'!$F15='My investments'!$H$16,$X15,0))</f>
        <v>0</v>
      </c>
      <c r="AC15" s="3">
        <f>IF('My investments'!$H$17="",0,IF('My investments'!$F15='My investments'!$H$17,$X15,0))</f>
        <v>0</v>
      </c>
      <c r="AD15" s="3">
        <f>IF('My investments'!$H$18="",0,IF('My investments'!$F15='My investments'!$H$18,$X15,0))</f>
        <v>0</v>
      </c>
      <c r="AE15" s="3">
        <f>IF('My investments'!$H$19="",0,IF('My investments'!$F15='My investments'!$H$19,$X15,0))</f>
        <v>0</v>
      </c>
      <c r="AF15" s="3">
        <f>IF('My investments'!$H$20="",0,IF('My investments'!$F15='My investments'!$H$20,$X15,0))</f>
        <v>0</v>
      </c>
      <c r="AG15" s="3">
        <f>IF('My investments'!$H$21="",0,IF('My investments'!$F15='My investments'!$H$21,$X15,0))</f>
        <v>0</v>
      </c>
      <c r="AH15" s="3">
        <f>IF('My investments'!$H$22="",0,IF('My investments'!$F15='My investments'!$H$22,$X15,0))</f>
        <v>0</v>
      </c>
      <c r="AI15" s="3">
        <f>IF('My investments'!$H$23="",0,IF('My investments'!$F15='My investments'!$H$23,$X15,0))</f>
        <v>0</v>
      </c>
      <c r="AJ15" s="3">
        <f>IF('My investments'!$H$24="",0,IF('My investments'!$F15='My investments'!$H$24,$X15,0))</f>
        <v>0</v>
      </c>
      <c r="AL15" s="3" t="str">
        <f>IF('My investments'!$B15="","",IF($D$10=0,"",IFERROR(INDEX('Index history'!$B$8:$B$5007,MATCH('My investments'!$B15,'Index history'!$A$8:$A$5007,1)),"")))</f>
        <v/>
      </c>
      <c r="AM15" s="3">
        <f>IF($AL15="",0,IF('My investments'!$D15="",0,IF('My investments'!$C15="Money in",'My investments'!$D15/$AL15,IF('My investments'!$C15="Money out",-'My investments'!$D15/$AL15,0))))</f>
        <v>0</v>
      </c>
    </row>
    <row r="16">
      <c r="C16" s="3" t="inlineStr">
        <is>
          <t>Valuation date beyond the index</t>
        </is>
      </c>
      <c r="D16" s="3">
        <f>IF($D$10=0,0,IF($D$9&gt;$D$11+7,1,0))</f>
        <v>0</v>
      </c>
      <c r="F16" s="3" t="inlineStr">
        <is>
          <t>carry on</t>
        </is>
      </c>
      <c r="G16" s="3">
        <f>$G$11+$G$12</f>
        <v>5687111.44894092</v>
      </c>
      <c r="X16" s="3">
        <f>IF('My investments'!$B16="",0,IF('My investments'!$E16="",0,'My investments'!$E16))</f>
        <v>0</v>
      </c>
      <c r="Y16" s="25">
        <f>IF('My investments'!$B16="",$D$8,'My investments'!$B16)</f>
        <v>0</v>
      </c>
      <c r="Z16" s="3">
        <f>IF('My investments'!$C16="Worth today",0,$X16)</f>
        <v>0</v>
      </c>
      <c r="AA16" s="3">
        <f>IF('My investments'!$H$15="",0,IF('My investments'!$F16='My investments'!$H$15,$X16,0))</f>
        <v>0</v>
      </c>
      <c r="AB16" s="3">
        <f>IF('My investments'!$H$16="",0,IF('My investments'!$F16='My investments'!$H$16,$X16,0))</f>
        <v>0</v>
      </c>
      <c r="AC16" s="3">
        <f>IF('My investments'!$H$17="",0,IF('My investments'!$F16='My investments'!$H$17,$X16,0))</f>
        <v>0</v>
      </c>
      <c r="AD16" s="3">
        <f>IF('My investments'!$H$18="",0,IF('My investments'!$F16='My investments'!$H$18,$X16,0))</f>
        <v>0</v>
      </c>
      <c r="AE16" s="3">
        <f>IF('My investments'!$H$19="",0,IF('My investments'!$F16='My investments'!$H$19,$X16,0))</f>
        <v>0</v>
      </c>
      <c r="AF16" s="3">
        <f>IF('My investments'!$H$20="",0,IF('My investments'!$F16='My investments'!$H$20,$X16,0))</f>
        <v>0</v>
      </c>
      <c r="AG16" s="3">
        <f>IF('My investments'!$H$21="",0,IF('My investments'!$F16='My investments'!$H$21,$X16,0))</f>
        <v>0</v>
      </c>
      <c r="AH16" s="3">
        <f>IF('My investments'!$H$22="",0,IF('My investments'!$F16='My investments'!$H$22,$X16,0))</f>
        <v>0</v>
      </c>
      <c r="AI16" s="3">
        <f>IF('My investments'!$H$23="",0,IF('My investments'!$F16='My investments'!$H$23,$X16,0))</f>
        <v>0</v>
      </c>
      <c r="AJ16" s="3">
        <f>IF('My investments'!$H$24="",0,IF('My investments'!$F16='My investments'!$H$24,$X16,0))</f>
        <v>0</v>
      </c>
      <c r="AL16" s="3" t="str">
        <f>IF('My investments'!$B16="","",IF($D$10=0,"",IFERROR(INDEX('Index history'!$B$8:$B$5007,MATCH('My investments'!$B16,'Index history'!$A$8:$A$5007,1)),"")))</f>
        <v/>
      </c>
      <c r="AM16" s="3">
        <f>IF($AL16="",0,IF('My investments'!$D16="",0,IF('My investments'!$C16="Money in",'My investments'!$D16/$AL16,IF('My investments'!$C16="Money out",-'My investments'!$D16/$AL16,0))))</f>
        <v>0</v>
      </c>
    </row>
    <row r="17">
      <c r="C17" s="3" t="inlineStr">
        <is>
          <t>Index date used for the valuation</t>
        </is>
      </c>
      <c r="D17" s="25">
        <f>IF($D$10=0,$D$9,IFERROR(INDEX('Index history'!$A$8:$A$5007,MATCH($D$9,'Index history'!$A$8:$A$5007,1)),$D$9))</f>
        <v>0</v>
      </c>
      <c r="F17" s="3" t="inlineStr">
        <is>
          <t>+2000</t>
        </is>
      </c>
      <c r="G17" s="3">
        <f>$G$11+(IF('Plan my goal'!$B$7="",0,'Plan my goal'!$B$7)+2000)*$G$8</f>
        <v>6490353.88517585</v>
      </c>
      <c r="X17" s="3">
        <f>IF('My investments'!$B17="",0,IF('My investments'!$E17="",0,'My investments'!$E17))</f>
        <v>0</v>
      </c>
      <c r="Y17" s="25">
        <f>IF('My investments'!$B17="",$D$8,'My investments'!$B17)</f>
        <v>0</v>
      </c>
      <c r="Z17" s="3">
        <f>IF('My investments'!$C17="Worth today",0,$X17)</f>
        <v>0</v>
      </c>
      <c r="AA17" s="3">
        <f>IF('My investments'!$H$15="",0,IF('My investments'!$F17='My investments'!$H$15,$X17,0))</f>
        <v>0</v>
      </c>
      <c r="AB17" s="3">
        <f>IF('My investments'!$H$16="",0,IF('My investments'!$F17='My investments'!$H$16,$X17,0))</f>
        <v>0</v>
      </c>
      <c r="AC17" s="3">
        <f>IF('My investments'!$H$17="",0,IF('My investments'!$F17='My investments'!$H$17,$X17,0))</f>
        <v>0</v>
      </c>
      <c r="AD17" s="3">
        <f>IF('My investments'!$H$18="",0,IF('My investments'!$F17='My investments'!$H$18,$X17,0))</f>
        <v>0</v>
      </c>
      <c r="AE17" s="3">
        <f>IF('My investments'!$H$19="",0,IF('My investments'!$F17='My investments'!$H$19,$X17,0))</f>
        <v>0</v>
      </c>
      <c r="AF17" s="3">
        <f>IF('My investments'!$H$20="",0,IF('My investments'!$F17='My investments'!$H$20,$X17,0))</f>
        <v>0</v>
      </c>
      <c r="AG17" s="3">
        <f>IF('My investments'!$H$21="",0,IF('My investments'!$F17='My investments'!$H$21,$X17,0))</f>
        <v>0</v>
      </c>
      <c r="AH17" s="3">
        <f>IF('My investments'!$H$22="",0,IF('My investments'!$F17='My investments'!$H$22,$X17,0))</f>
        <v>0</v>
      </c>
      <c r="AI17" s="3">
        <f>IF('My investments'!$H$23="",0,IF('My investments'!$F17='My investments'!$H$23,$X17,0))</f>
        <v>0</v>
      </c>
      <c r="AJ17" s="3">
        <f>IF('My investments'!$H$24="",0,IF('My investments'!$F17='My investments'!$H$24,$X17,0))</f>
        <v>0</v>
      </c>
      <c r="AL17" s="3" t="str">
        <f>IF('My investments'!$B17="","",IF($D$10=0,"",IFERROR(INDEX('Index history'!$B$8:$B$5007,MATCH('My investments'!$B17,'Index history'!$A$8:$A$5007,1)),"")))</f>
        <v/>
      </c>
      <c r="AM17" s="3">
        <f>IF($AL17="",0,IF('My investments'!$D17="",0,IF('My investments'!$C17="Money in",'My investments'!$D17/$AL17,IF('My investments'!$C17="Money out",-'My investments'!$D17/$AL17,0))))</f>
        <v>0</v>
      </c>
    </row>
    <row r="18">
      <c r="F18" s="3" t="inlineStr">
        <is>
          <t>+5000</t>
        </is>
      </c>
      <c r="G18" s="3">
        <f>$G$11+(IF('Plan my goal'!$B$7="",0,'Plan my goal'!$B$7)+5000)*$G$8</f>
        <v>7695217.53952825</v>
      </c>
      <c r="X18" s="3">
        <f>IF('My investments'!$B18="",0,IF('My investments'!$E18="",0,'My investments'!$E18))</f>
        <v>0</v>
      </c>
      <c r="Y18" s="25">
        <f>IF('My investments'!$B18="",$D$8,'My investments'!$B18)</f>
        <v>0</v>
      </c>
      <c r="Z18" s="3">
        <f>IF('My investments'!$C18="Worth today",0,$X18)</f>
        <v>0</v>
      </c>
      <c r="AA18" s="3">
        <f>IF('My investments'!$H$15="",0,IF('My investments'!$F18='My investments'!$H$15,$X18,0))</f>
        <v>0</v>
      </c>
      <c r="AB18" s="3">
        <f>IF('My investments'!$H$16="",0,IF('My investments'!$F18='My investments'!$H$16,$X18,0))</f>
        <v>0</v>
      </c>
      <c r="AC18" s="3">
        <f>IF('My investments'!$H$17="",0,IF('My investments'!$F18='My investments'!$H$17,$X18,0))</f>
        <v>0</v>
      </c>
      <c r="AD18" s="3">
        <f>IF('My investments'!$H$18="",0,IF('My investments'!$F18='My investments'!$H$18,$X18,0))</f>
        <v>0</v>
      </c>
      <c r="AE18" s="3">
        <f>IF('My investments'!$H$19="",0,IF('My investments'!$F18='My investments'!$H$19,$X18,0))</f>
        <v>0</v>
      </c>
      <c r="AF18" s="3">
        <f>IF('My investments'!$H$20="",0,IF('My investments'!$F18='My investments'!$H$20,$X18,0))</f>
        <v>0</v>
      </c>
      <c r="AG18" s="3">
        <f>IF('My investments'!$H$21="",0,IF('My investments'!$F18='My investments'!$H$21,$X18,0))</f>
        <v>0</v>
      </c>
      <c r="AH18" s="3">
        <f>IF('My investments'!$H$22="",0,IF('My investments'!$F18='My investments'!$H$22,$X18,0))</f>
        <v>0</v>
      </c>
      <c r="AI18" s="3">
        <f>IF('My investments'!$H$23="",0,IF('My investments'!$F18='My investments'!$H$23,$X18,0))</f>
        <v>0</v>
      </c>
      <c r="AJ18" s="3">
        <f>IF('My investments'!$H$24="",0,IF('My investments'!$F18='My investments'!$H$24,$X18,0))</f>
        <v>0</v>
      </c>
      <c r="AL18" s="3" t="str">
        <f>IF('My investments'!$B18="","",IF($D$10=0,"",IFERROR(INDEX('Index history'!$B$8:$B$5007,MATCH('My investments'!$B18,'Index history'!$A$8:$A$5007,1)),"")))</f>
        <v/>
      </c>
      <c r="AM18" s="3">
        <f>IF($AL18="",0,IF('My investments'!$D18="",0,IF('My investments'!$C18="Money in",'My investments'!$D18/$AL18,IF('My investments'!$C18="Money out",-'My investments'!$D18/$AL18,0))))</f>
        <v>0</v>
      </c>
    </row>
    <row r="19">
      <c r="F19" s="3" t="inlineStr">
        <is>
          <t>raise 10%</t>
        </is>
      </c>
      <c r="G19" s="3">
        <f>$G$11+IF('Plan my goal'!$B$7="",0,'Plan my goal'!$B$7)*$I$8</f>
        <v>8871261.78013131</v>
      </c>
      <c r="H19" s="3" t="inlineStr">
        <is>
          <t>rate</t>
        </is>
      </c>
      <c r="I19" s="3" t="inlineStr">
        <is>
          <t>i</t>
        </is>
      </c>
      <c r="J19" s="3" t="inlineStr">
        <is>
          <t>A</t>
        </is>
      </c>
      <c r="K19" s="3" t="inlineStr">
        <is>
          <t>x</t>
        </is>
      </c>
      <c r="L19" s="3" t="inlineStr">
        <is>
          <t>S</t>
        </is>
      </c>
      <c r="M19" s="3" t="inlineStr">
        <is>
          <t>you reach</t>
        </is>
      </c>
      <c r="N19" s="3" t="inlineStr">
        <is>
          <t>extra each month</t>
        </is>
      </c>
      <c r="X19" s="3">
        <f>IF('My investments'!$B19="",0,IF('My investments'!$E19="",0,'My investments'!$E19))</f>
        <v>0</v>
      </c>
      <c r="Y19" s="25">
        <f>IF('My investments'!$B19="",$D$8,'My investments'!$B19)</f>
        <v>0</v>
      </c>
      <c r="Z19" s="3">
        <f>IF('My investments'!$C19="Worth today",0,$X19)</f>
        <v>0</v>
      </c>
      <c r="AA19" s="3">
        <f>IF('My investments'!$H$15="",0,IF('My investments'!$F19='My investments'!$H$15,$X19,0))</f>
        <v>0</v>
      </c>
      <c r="AB19" s="3">
        <f>IF('My investments'!$H$16="",0,IF('My investments'!$F19='My investments'!$H$16,$X19,0))</f>
        <v>0</v>
      </c>
      <c r="AC19" s="3">
        <f>IF('My investments'!$H$17="",0,IF('My investments'!$F19='My investments'!$H$17,$X19,0))</f>
        <v>0</v>
      </c>
      <c r="AD19" s="3">
        <f>IF('My investments'!$H$18="",0,IF('My investments'!$F19='My investments'!$H$18,$X19,0))</f>
        <v>0</v>
      </c>
      <c r="AE19" s="3">
        <f>IF('My investments'!$H$19="",0,IF('My investments'!$F19='My investments'!$H$19,$X19,0))</f>
        <v>0</v>
      </c>
      <c r="AF19" s="3">
        <f>IF('My investments'!$H$20="",0,IF('My investments'!$F19='My investments'!$H$20,$X19,0))</f>
        <v>0</v>
      </c>
      <c r="AG19" s="3">
        <f>IF('My investments'!$H$21="",0,IF('My investments'!$F19='My investments'!$H$21,$X19,0))</f>
        <v>0</v>
      </c>
      <c r="AH19" s="3">
        <f>IF('My investments'!$H$22="",0,IF('My investments'!$F19='My investments'!$H$22,$X19,0))</f>
        <v>0</v>
      </c>
      <c r="AI19" s="3">
        <f>IF('My investments'!$H$23="",0,IF('My investments'!$F19='My investments'!$H$23,$X19,0))</f>
        <v>0</v>
      </c>
      <c r="AJ19" s="3">
        <f>IF('My investments'!$H$24="",0,IF('My investments'!$F19='My investments'!$H$24,$X19,0))</f>
        <v>0</v>
      </c>
      <c r="AL19" s="3" t="str">
        <f>IF('My investments'!$B19="","",IF($D$10=0,"",IFERROR(INDEX('Index history'!$B$8:$B$5007,MATCH('My investments'!$B19,'Index history'!$A$8:$A$5007,1)),"")))</f>
        <v/>
      </c>
      <c r="AM19" s="3">
        <f>IF($AL19="",0,IF('My investments'!$D19="",0,IF('My investments'!$C19="Money in",'My investments'!$D19/$AL19,IF('My investments'!$C19="Money out",-'My investments'!$D19/$AL19,0))))</f>
        <v>0</v>
      </c>
    </row>
    <row r="20">
      <c r="H20" s="3" t="n">
        <v>0.06</v>
      </c>
      <c r="I20" s="3">
        <f>(1+$H20)^(1/12)-1</f>
        <v>0.00486755056534305</v>
      </c>
      <c r="J20" s="3">
        <f>IF($I20=0,12,(((1+$I20)^12-1)/$I20)*(1+$I20))</f>
        <v>12.3865283420372</v>
      </c>
      <c r="K20" s="3">
        <f>(1+$G$5)/(1+$H20)</f>
        <v>0.943396226415094</v>
      </c>
      <c r="L20" s="3">
        <f>IF($G$4&lt;=0,0,IF(ABS($K20-1)&lt;0.000000000001,$G$4,(1-$K20^$G$4)/(1-$K20)))</f>
        <v>10.2949839270054</v>
      </c>
      <c r="M20" s="3">
        <f>IF('Plan my goal'!$B$5="",0,'Plan my goal'!$B$5)*(1+$H20)^$G$4+IF('Plan my goal'!$B$7="",0,'Plan my goal'!$B$7)*$J20*(1+$H20)^($G$4-1)*$L20</f>
        <v>3841707.8839288</v>
      </c>
      <c r="N20" s="3">
        <f>IF(IF('Plan my goal'!$B$4="",0,'Plan my goal'!$B$4)-$M20&lt;=0.5,0,(IF('Plan my goal'!$B$4="",0,'Plan my goal'!$B$4)-$M20)/($J20*(1+$H20)^($G$4-1)*$L20))</f>
        <v>21360.0811498338</v>
      </c>
      <c r="X20" s="3">
        <f>IF('My investments'!$B20="",0,IF('My investments'!$E20="",0,'My investments'!$E20))</f>
        <v>0</v>
      </c>
      <c r="Y20" s="25">
        <f>IF('My investments'!$B20="",$D$8,'My investments'!$B20)</f>
        <v>0</v>
      </c>
      <c r="Z20" s="3">
        <f>IF('My investments'!$C20="Worth today",0,$X20)</f>
        <v>0</v>
      </c>
      <c r="AA20" s="3">
        <f>IF('My investments'!$H$15="",0,IF('My investments'!$F20='My investments'!$H$15,$X20,0))</f>
        <v>0</v>
      </c>
      <c r="AB20" s="3">
        <f>IF('My investments'!$H$16="",0,IF('My investments'!$F20='My investments'!$H$16,$X20,0))</f>
        <v>0</v>
      </c>
      <c r="AC20" s="3">
        <f>IF('My investments'!$H$17="",0,IF('My investments'!$F20='My investments'!$H$17,$X20,0))</f>
        <v>0</v>
      </c>
      <c r="AD20" s="3">
        <f>IF('My investments'!$H$18="",0,IF('My investments'!$F20='My investments'!$H$18,$X20,0))</f>
        <v>0</v>
      </c>
      <c r="AE20" s="3">
        <f>IF('My investments'!$H$19="",0,IF('My investments'!$F20='My investments'!$H$19,$X20,0))</f>
        <v>0</v>
      </c>
      <c r="AF20" s="3">
        <f>IF('My investments'!$H$20="",0,IF('My investments'!$F20='My investments'!$H$20,$X20,0))</f>
        <v>0</v>
      </c>
      <c r="AG20" s="3">
        <f>IF('My investments'!$H$21="",0,IF('My investments'!$F20='My investments'!$H$21,$X20,0))</f>
        <v>0</v>
      </c>
      <c r="AH20" s="3">
        <f>IF('My investments'!$H$22="",0,IF('My investments'!$F20='My investments'!$H$22,$X20,0))</f>
        <v>0</v>
      </c>
      <c r="AI20" s="3">
        <f>IF('My investments'!$H$23="",0,IF('My investments'!$F20='My investments'!$H$23,$X20,0))</f>
        <v>0</v>
      </c>
      <c r="AJ20" s="3">
        <f>IF('My investments'!$H$24="",0,IF('My investments'!$F20='My investments'!$H$24,$X20,0))</f>
        <v>0</v>
      </c>
      <c r="AL20" s="3" t="str">
        <f>IF('My investments'!$B20="","",IF($D$10=0,"",IFERROR(INDEX('Index history'!$B$8:$B$5007,MATCH('My investments'!$B20,'Index history'!$A$8:$A$5007,1)),"")))</f>
        <v/>
      </c>
      <c r="AM20" s="3">
        <f>IF($AL20="",0,IF('My investments'!$D20="",0,IF('My investments'!$C20="Money in",'My investments'!$D20/$AL20,IF('My investments'!$C20="Money out",-'My investments'!$D20/$AL20,0))))</f>
        <v>0</v>
      </c>
    </row>
    <row r="21">
      <c r="H21" s="3" t="n">
        <v>0.08</v>
      </c>
      <c r="I21" s="3">
        <f>(1+$H21)^(1/12)-1</f>
        <v>0.00643403011000343</v>
      </c>
      <c r="J21" s="3">
        <f>IF($I21=0,12,(((1+$I21)^12-1)/$I21)*(1+$I21))</f>
        <v>12.5138864805152</v>
      </c>
      <c r="K21" s="3">
        <f>(1+$G$5)/(1+$H21)</f>
        <v>0.925925925925926</v>
      </c>
      <c r="L21" s="3">
        <f>IF($G$4&lt;=0,0,IF(ABS($K21-1)&lt;0.000000000001,$G$4,(1-$K21^$G$4)/(1-$K21)))</f>
        <v>9.24423698296048</v>
      </c>
      <c r="M21" s="3">
        <f>IF('Plan my goal'!$B$5="",0,'Plan my goal'!$B$5)*(1+$H21)^$G$4+IF('Plan my goal'!$B$7="",0,'Plan my goal'!$B$7)*$J21*(1+$H21)^($G$4-1)*$L21</f>
        <v>4666652.35962412</v>
      </c>
      <c r="N21" s="3">
        <f>IF(IF('Plan my goal'!$B$4="",0,'Plan my goal'!$B$4)-$M21&lt;=0.5,0,(IF('Plan my goal'!$B$4="",0,'Plan my goal'!$B$4)-$M21)/($J21*(1+$H21)^($G$4-1)*$L21))</f>
        <v>15696.5437465398</v>
      </c>
      <c r="X21" s="3">
        <f>IF('My investments'!$B21="",0,IF('My investments'!$E21="",0,'My investments'!$E21))</f>
        <v>0</v>
      </c>
      <c r="Y21" s="25">
        <f>IF('My investments'!$B21="",$D$8,'My investments'!$B21)</f>
        <v>0</v>
      </c>
      <c r="Z21" s="3">
        <f>IF('My investments'!$C21="Worth today",0,$X21)</f>
        <v>0</v>
      </c>
      <c r="AA21" s="3">
        <f>IF('My investments'!$H$15="",0,IF('My investments'!$F21='My investments'!$H$15,$X21,0))</f>
        <v>0</v>
      </c>
      <c r="AB21" s="3">
        <f>IF('My investments'!$H$16="",0,IF('My investments'!$F21='My investments'!$H$16,$X21,0))</f>
        <v>0</v>
      </c>
      <c r="AC21" s="3">
        <f>IF('My investments'!$H$17="",0,IF('My investments'!$F21='My investments'!$H$17,$X21,0))</f>
        <v>0</v>
      </c>
      <c r="AD21" s="3">
        <f>IF('My investments'!$H$18="",0,IF('My investments'!$F21='My investments'!$H$18,$X21,0))</f>
        <v>0</v>
      </c>
      <c r="AE21" s="3">
        <f>IF('My investments'!$H$19="",0,IF('My investments'!$F21='My investments'!$H$19,$X21,0))</f>
        <v>0</v>
      </c>
      <c r="AF21" s="3">
        <f>IF('My investments'!$H$20="",0,IF('My investments'!$F21='My investments'!$H$20,$X21,0))</f>
        <v>0</v>
      </c>
      <c r="AG21" s="3">
        <f>IF('My investments'!$H$21="",0,IF('My investments'!$F21='My investments'!$H$21,$X21,0))</f>
        <v>0</v>
      </c>
      <c r="AH21" s="3">
        <f>IF('My investments'!$H$22="",0,IF('My investments'!$F21='My investments'!$H$22,$X21,0))</f>
        <v>0</v>
      </c>
      <c r="AI21" s="3">
        <f>IF('My investments'!$H$23="",0,IF('My investments'!$F21='My investments'!$H$23,$X21,0))</f>
        <v>0</v>
      </c>
      <c r="AJ21" s="3">
        <f>IF('My investments'!$H$24="",0,IF('My investments'!$F21='My investments'!$H$24,$X21,0))</f>
        <v>0</v>
      </c>
      <c r="AL21" s="3" t="str">
        <f>IF('My investments'!$B21="","",IF($D$10=0,"",IFERROR(INDEX('Index history'!$B$8:$B$5007,MATCH('My investments'!$B21,'Index history'!$A$8:$A$5007,1)),"")))</f>
        <v/>
      </c>
      <c r="AM21" s="3">
        <f>IF($AL21="",0,IF('My investments'!$D21="",0,IF('My investments'!$C21="Money in",'My investments'!$D21/$AL21,IF('My investments'!$C21="Money out",-'My investments'!$D21/$AL21,0))))</f>
        <v>0</v>
      </c>
    </row>
    <row r="22">
      <c r="H22" s="3" t="n">
        <v>0.1</v>
      </c>
      <c r="I22" s="3">
        <f>(1+$H22)^(1/12)-1</f>
        <v>0.00797414042890376</v>
      </c>
      <c r="J22" s="3">
        <f>IF($I22=0,12,(((1+$I22)^12-1)/$I22)*(1+$I22))</f>
        <v>12.6405366122638</v>
      </c>
      <c r="K22" s="3">
        <f>(1+$G$5)/(1+$H22)</f>
        <v>0.909090909090909</v>
      </c>
      <c r="L22" s="3">
        <f>IF($G$4&lt;=0,0,IF(ABS($K22-1)&lt;0.000000000001,$G$4,(1-$K22^$G$4)/(1-$K22)))</f>
        <v>8.3666874569392</v>
      </c>
      <c r="M22" s="3">
        <f>IF('Plan my goal'!$B$5="",0,'Plan my goal'!$B$5)*(1+$H22)^$G$4+IF('Plan my goal'!$B$7="",0,'Plan my goal'!$B$7)*$J22*(1+$H22)^($G$4-1)*$L22</f>
        <v>5687111.44894092</v>
      </c>
      <c r="N22" s="3">
        <f>IF(IF('Plan my goal'!$B$4="",0,'Plan my goal'!$B$4)-$M22&lt;=0.5,0,(IF('Plan my goal'!$B$4="",0,'Plan my goal'!$B$4)-$M22)/($J22*(1+$H22)^($G$4-1)*$L22))</f>
        <v>10738.6969525043</v>
      </c>
      <c r="X22" s="3">
        <f>IF('My investments'!$B22="",0,IF('My investments'!$E22="",0,'My investments'!$E22))</f>
        <v>0</v>
      </c>
      <c r="Y22" s="25">
        <f>IF('My investments'!$B22="",$D$8,'My investments'!$B22)</f>
        <v>0</v>
      </c>
      <c r="Z22" s="3">
        <f>IF('My investments'!$C22="Worth today",0,$X22)</f>
        <v>0</v>
      </c>
      <c r="AA22" s="3">
        <f>IF('My investments'!$H$15="",0,IF('My investments'!$F22='My investments'!$H$15,$X22,0))</f>
        <v>0</v>
      </c>
      <c r="AB22" s="3">
        <f>IF('My investments'!$H$16="",0,IF('My investments'!$F22='My investments'!$H$16,$X22,0))</f>
        <v>0</v>
      </c>
      <c r="AC22" s="3">
        <f>IF('My investments'!$H$17="",0,IF('My investments'!$F22='My investments'!$H$17,$X22,0))</f>
        <v>0</v>
      </c>
      <c r="AD22" s="3">
        <f>IF('My investments'!$H$18="",0,IF('My investments'!$F22='My investments'!$H$18,$X22,0))</f>
        <v>0</v>
      </c>
      <c r="AE22" s="3">
        <f>IF('My investments'!$H$19="",0,IF('My investments'!$F22='My investments'!$H$19,$X22,0))</f>
        <v>0</v>
      </c>
      <c r="AF22" s="3">
        <f>IF('My investments'!$H$20="",0,IF('My investments'!$F22='My investments'!$H$20,$X22,0))</f>
        <v>0</v>
      </c>
      <c r="AG22" s="3">
        <f>IF('My investments'!$H$21="",0,IF('My investments'!$F22='My investments'!$H$21,$X22,0))</f>
        <v>0</v>
      </c>
      <c r="AH22" s="3">
        <f>IF('My investments'!$H$22="",0,IF('My investments'!$F22='My investments'!$H$22,$X22,0))</f>
        <v>0</v>
      </c>
      <c r="AI22" s="3">
        <f>IF('My investments'!$H$23="",0,IF('My investments'!$F22='My investments'!$H$23,$X22,0))</f>
        <v>0</v>
      </c>
      <c r="AJ22" s="3">
        <f>IF('My investments'!$H$24="",0,IF('My investments'!$F22='My investments'!$H$24,$X22,0))</f>
        <v>0</v>
      </c>
      <c r="AL22" s="3" t="str">
        <f>IF('My investments'!$B22="","",IF($D$10=0,"",IFERROR(INDEX('Index history'!$B$8:$B$5007,MATCH('My investments'!$B22,'Index history'!$A$8:$A$5007,1)),"")))</f>
        <v/>
      </c>
      <c r="AM22" s="3">
        <f>IF($AL22="",0,IF('My investments'!$D22="",0,IF('My investments'!$C22="Money in",'My investments'!$D22/$AL22,IF('My investments'!$C22="Money out",-'My investments'!$D22/$AL22,0))))</f>
        <v>0</v>
      </c>
    </row>
    <row r="23">
      <c r="H23" s="3" t="n">
        <v>0.12</v>
      </c>
      <c r="I23" s="3">
        <f>(1+$H23)^(1/12)-1</f>
        <v>0.00948879293458305</v>
      </c>
      <c r="J23" s="3">
        <f>IF($I23=0,12,(((1+$I23)^12-1)/$I23)*(1+$I23))</f>
        <v>12.7664979083532</v>
      </c>
      <c r="K23" s="3">
        <f>(1+$G$5)/(1+$H23)</f>
        <v>0.892857142857143</v>
      </c>
      <c r="L23" s="3">
        <f>IF($G$4&lt;=0,0,IF(ABS($K23-1)&lt;0.000000000001,$G$4,(1-$K23^$G$4)/(1-$K23)))</f>
        <v>7.6281682282008</v>
      </c>
      <c r="M23" s="3">
        <f>IF('Plan my goal'!$B$5="",0,'Plan my goal'!$B$5)*(1+$H23)^$G$4+IF('Plan my goal'!$B$7="",0,'Plan my goal'!$B$7)*$J23*(1+$H23)^($G$4-1)*$L23</f>
        <v>6948740.29607244</v>
      </c>
      <c r="N23" s="3">
        <f>IF(IF('Plan my goal'!$B$4="",0,'Plan my goal'!$B$4)-$M23&lt;=0.5,0,(IF('Plan my goal'!$B$4="",0,'Plan my goal'!$B$4)-$M23)/($J23*(1+$H23)^($G$4-1)*$L23))</f>
        <v>6411.13342977474</v>
      </c>
      <c r="X23" s="3">
        <f>IF('My investments'!$B23="",0,IF('My investments'!$E23="",0,'My investments'!$E23))</f>
        <v>0</v>
      </c>
      <c r="Y23" s="25">
        <f>IF('My investments'!$B23="",$D$8,'My investments'!$B23)</f>
        <v>0</v>
      </c>
      <c r="Z23" s="3">
        <f>IF('My investments'!$C23="Worth today",0,$X23)</f>
        <v>0</v>
      </c>
      <c r="AA23" s="3">
        <f>IF('My investments'!$H$15="",0,IF('My investments'!$F23='My investments'!$H$15,$X23,0))</f>
        <v>0</v>
      </c>
      <c r="AB23" s="3">
        <f>IF('My investments'!$H$16="",0,IF('My investments'!$F23='My investments'!$H$16,$X23,0))</f>
        <v>0</v>
      </c>
      <c r="AC23" s="3">
        <f>IF('My investments'!$H$17="",0,IF('My investments'!$F23='My investments'!$H$17,$X23,0))</f>
        <v>0</v>
      </c>
      <c r="AD23" s="3">
        <f>IF('My investments'!$H$18="",0,IF('My investments'!$F23='My investments'!$H$18,$X23,0))</f>
        <v>0</v>
      </c>
      <c r="AE23" s="3">
        <f>IF('My investments'!$H$19="",0,IF('My investments'!$F23='My investments'!$H$19,$X23,0))</f>
        <v>0</v>
      </c>
      <c r="AF23" s="3">
        <f>IF('My investments'!$H$20="",0,IF('My investments'!$F23='My investments'!$H$20,$X23,0))</f>
        <v>0</v>
      </c>
      <c r="AG23" s="3">
        <f>IF('My investments'!$H$21="",0,IF('My investments'!$F23='My investments'!$H$21,$X23,0))</f>
        <v>0</v>
      </c>
      <c r="AH23" s="3">
        <f>IF('My investments'!$H$22="",0,IF('My investments'!$F23='My investments'!$H$22,$X23,0))</f>
        <v>0</v>
      </c>
      <c r="AI23" s="3">
        <f>IF('My investments'!$H$23="",0,IF('My investments'!$F23='My investments'!$H$23,$X23,0))</f>
        <v>0</v>
      </c>
      <c r="AJ23" s="3">
        <f>IF('My investments'!$H$24="",0,IF('My investments'!$F23='My investments'!$H$24,$X23,0))</f>
        <v>0</v>
      </c>
      <c r="AL23" s="3" t="str">
        <f>IF('My investments'!$B23="","",IF($D$10=0,"",IFERROR(INDEX('Index history'!$B$8:$B$5007,MATCH('My investments'!$B23,'Index history'!$A$8:$A$5007,1)),"")))</f>
        <v/>
      </c>
      <c r="AM23" s="3">
        <f>IF($AL23="",0,IF('My investments'!$D23="",0,IF('My investments'!$C23="Money in",'My investments'!$D23/$AL23,IF('My investments'!$C23="Money out",-'My investments'!$D23/$AL23,0))))</f>
        <v>0</v>
      </c>
    </row>
    <row r="24">
      <c r="X24" s="3">
        <f>IF('My investments'!$B24="",0,IF('My investments'!$E24="",0,'My investments'!$E24))</f>
        <v>0</v>
      </c>
      <c r="Y24" s="25">
        <f>IF('My investments'!$B24="",$D$8,'My investments'!$B24)</f>
        <v>0</v>
      </c>
      <c r="Z24" s="3">
        <f>IF('My investments'!$C24="Worth today",0,$X24)</f>
        <v>0</v>
      </c>
      <c r="AA24" s="3">
        <f>IF('My investments'!$H$15="",0,IF('My investments'!$F24='My investments'!$H$15,$X24,0))</f>
        <v>0</v>
      </c>
      <c r="AB24" s="3">
        <f>IF('My investments'!$H$16="",0,IF('My investments'!$F24='My investments'!$H$16,$X24,0))</f>
        <v>0</v>
      </c>
      <c r="AC24" s="3">
        <f>IF('My investments'!$H$17="",0,IF('My investments'!$F24='My investments'!$H$17,$X24,0))</f>
        <v>0</v>
      </c>
      <c r="AD24" s="3">
        <f>IF('My investments'!$H$18="",0,IF('My investments'!$F24='My investments'!$H$18,$X24,0))</f>
        <v>0</v>
      </c>
      <c r="AE24" s="3">
        <f>IF('My investments'!$H$19="",0,IF('My investments'!$F24='My investments'!$H$19,$X24,0))</f>
        <v>0</v>
      </c>
      <c r="AF24" s="3">
        <f>IF('My investments'!$H$20="",0,IF('My investments'!$F24='My investments'!$H$20,$X24,0))</f>
        <v>0</v>
      </c>
      <c r="AG24" s="3">
        <f>IF('My investments'!$H$21="",0,IF('My investments'!$F24='My investments'!$H$21,$X24,0))</f>
        <v>0</v>
      </c>
      <c r="AH24" s="3">
        <f>IF('My investments'!$H$22="",0,IF('My investments'!$F24='My investments'!$H$22,$X24,0))</f>
        <v>0</v>
      </c>
      <c r="AI24" s="3">
        <f>IF('My investments'!$H$23="",0,IF('My investments'!$F24='My investments'!$H$23,$X24,0))</f>
        <v>0</v>
      </c>
      <c r="AJ24" s="3">
        <f>IF('My investments'!$H$24="",0,IF('My investments'!$F24='My investments'!$H$24,$X24,0))</f>
        <v>0</v>
      </c>
      <c r="AL24" s="3" t="str">
        <f>IF('My investments'!$B24="","",IF($D$10=0,"",IFERROR(INDEX('Index history'!$B$8:$B$5007,MATCH('My investments'!$B24,'Index history'!$A$8:$A$5007,1)),"")))</f>
        <v/>
      </c>
      <c r="AM24" s="3">
        <f>IF($AL24="",0,IF('My investments'!$D24="",0,IF('My investments'!$C24="Money in",'My investments'!$D24/$AL24,IF('My investments'!$C24="Money out",-'My investments'!$D24/$AL24,0))))</f>
        <v>0</v>
      </c>
    </row>
    <row r="25">
      <c r="X25" s="3">
        <f>IF('My investments'!$B25="",0,IF('My investments'!$E25="",0,'My investments'!$E25))</f>
        <v>0</v>
      </c>
      <c r="Y25" s="25">
        <f>IF('My investments'!$B25="",$D$8,'My investments'!$B25)</f>
        <v>0</v>
      </c>
      <c r="Z25" s="3">
        <f>IF('My investments'!$C25="Worth today",0,$X25)</f>
        <v>0</v>
      </c>
      <c r="AA25" s="3">
        <f>IF('My investments'!$H$15="",0,IF('My investments'!$F25='My investments'!$H$15,$X25,0))</f>
        <v>0</v>
      </c>
      <c r="AB25" s="3">
        <f>IF('My investments'!$H$16="",0,IF('My investments'!$F25='My investments'!$H$16,$X25,0))</f>
        <v>0</v>
      </c>
      <c r="AC25" s="3">
        <f>IF('My investments'!$H$17="",0,IF('My investments'!$F25='My investments'!$H$17,$X25,0))</f>
        <v>0</v>
      </c>
      <c r="AD25" s="3">
        <f>IF('My investments'!$H$18="",0,IF('My investments'!$F25='My investments'!$H$18,$X25,0))</f>
        <v>0</v>
      </c>
      <c r="AE25" s="3">
        <f>IF('My investments'!$H$19="",0,IF('My investments'!$F25='My investments'!$H$19,$X25,0))</f>
        <v>0</v>
      </c>
      <c r="AF25" s="3">
        <f>IF('My investments'!$H$20="",0,IF('My investments'!$F25='My investments'!$H$20,$X25,0))</f>
        <v>0</v>
      </c>
      <c r="AG25" s="3">
        <f>IF('My investments'!$H$21="",0,IF('My investments'!$F25='My investments'!$H$21,$X25,0))</f>
        <v>0</v>
      </c>
      <c r="AH25" s="3">
        <f>IF('My investments'!$H$22="",0,IF('My investments'!$F25='My investments'!$H$22,$X25,0))</f>
        <v>0</v>
      </c>
      <c r="AI25" s="3">
        <f>IF('My investments'!$H$23="",0,IF('My investments'!$F25='My investments'!$H$23,$X25,0))</f>
        <v>0</v>
      </c>
      <c r="AJ25" s="3">
        <f>IF('My investments'!$H$24="",0,IF('My investments'!$F25='My investments'!$H$24,$X25,0))</f>
        <v>0</v>
      </c>
      <c r="AL25" s="3" t="str">
        <f>IF('My investments'!$B25="","",IF($D$10=0,"",IFERROR(INDEX('Index history'!$B$8:$B$5007,MATCH('My investments'!$B25,'Index history'!$A$8:$A$5007,1)),"")))</f>
        <v/>
      </c>
      <c r="AM25" s="3">
        <f>IF($AL25="",0,IF('My investments'!$D25="",0,IF('My investments'!$C25="Money in",'My investments'!$D25/$AL25,IF('My investments'!$C25="Money out",-'My investments'!$D25/$AL25,0))))</f>
        <v>0</v>
      </c>
    </row>
    <row r="26">
      <c r="X26" s="3">
        <f>IF('My investments'!$B26="",0,IF('My investments'!$E26="",0,'My investments'!$E26))</f>
        <v>0</v>
      </c>
      <c r="Y26" s="25">
        <f>IF('My investments'!$B26="",$D$8,'My investments'!$B26)</f>
        <v>0</v>
      </c>
      <c r="Z26" s="3">
        <f>IF('My investments'!$C26="Worth today",0,$X26)</f>
        <v>0</v>
      </c>
      <c r="AA26" s="3">
        <f>IF('My investments'!$H$15="",0,IF('My investments'!$F26='My investments'!$H$15,$X26,0))</f>
        <v>0</v>
      </c>
      <c r="AB26" s="3">
        <f>IF('My investments'!$H$16="",0,IF('My investments'!$F26='My investments'!$H$16,$X26,0))</f>
        <v>0</v>
      </c>
      <c r="AC26" s="3">
        <f>IF('My investments'!$H$17="",0,IF('My investments'!$F26='My investments'!$H$17,$X26,0))</f>
        <v>0</v>
      </c>
      <c r="AD26" s="3">
        <f>IF('My investments'!$H$18="",0,IF('My investments'!$F26='My investments'!$H$18,$X26,0))</f>
        <v>0</v>
      </c>
      <c r="AE26" s="3">
        <f>IF('My investments'!$H$19="",0,IF('My investments'!$F26='My investments'!$H$19,$X26,0))</f>
        <v>0</v>
      </c>
      <c r="AF26" s="3">
        <f>IF('My investments'!$H$20="",0,IF('My investments'!$F26='My investments'!$H$20,$X26,0))</f>
        <v>0</v>
      </c>
      <c r="AG26" s="3">
        <f>IF('My investments'!$H$21="",0,IF('My investments'!$F26='My investments'!$H$21,$X26,0))</f>
        <v>0</v>
      </c>
      <c r="AH26" s="3">
        <f>IF('My investments'!$H$22="",0,IF('My investments'!$F26='My investments'!$H$22,$X26,0))</f>
        <v>0</v>
      </c>
      <c r="AI26" s="3">
        <f>IF('My investments'!$H$23="",0,IF('My investments'!$F26='My investments'!$H$23,$X26,0))</f>
        <v>0</v>
      </c>
      <c r="AJ26" s="3">
        <f>IF('My investments'!$H$24="",0,IF('My investments'!$F26='My investments'!$H$24,$X26,0))</f>
        <v>0</v>
      </c>
      <c r="AL26" s="3" t="str">
        <f>IF('My investments'!$B26="","",IF($D$10=0,"",IFERROR(INDEX('Index history'!$B$8:$B$5007,MATCH('My investments'!$B26,'Index history'!$A$8:$A$5007,1)),"")))</f>
        <v/>
      </c>
      <c r="AM26" s="3">
        <f>IF($AL26="",0,IF('My investments'!$D26="",0,IF('My investments'!$C26="Money in",'My investments'!$D26/$AL26,IF('My investments'!$C26="Money out",-'My investments'!$D26/$AL26,0))))</f>
        <v>0</v>
      </c>
    </row>
    <row r="27">
      <c r="X27" s="3">
        <f>IF('My investments'!$B27="",0,IF('My investments'!$E27="",0,'My investments'!$E27))</f>
        <v>0</v>
      </c>
      <c r="Y27" s="25">
        <f>IF('My investments'!$B27="",$D$8,'My investments'!$B27)</f>
        <v>0</v>
      </c>
      <c r="Z27" s="3">
        <f>IF('My investments'!$C27="Worth today",0,$X27)</f>
        <v>0</v>
      </c>
      <c r="AA27" s="3">
        <f>IF('My investments'!$H$15="",0,IF('My investments'!$F27='My investments'!$H$15,$X27,0))</f>
        <v>0</v>
      </c>
      <c r="AB27" s="3">
        <f>IF('My investments'!$H$16="",0,IF('My investments'!$F27='My investments'!$H$16,$X27,0))</f>
        <v>0</v>
      </c>
      <c r="AC27" s="3">
        <f>IF('My investments'!$H$17="",0,IF('My investments'!$F27='My investments'!$H$17,$X27,0))</f>
        <v>0</v>
      </c>
      <c r="AD27" s="3">
        <f>IF('My investments'!$H$18="",0,IF('My investments'!$F27='My investments'!$H$18,$X27,0))</f>
        <v>0</v>
      </c>
      <c r="AE27" s="3">
        <f>IF('My investments'!$H$19="",0,IF('My investments'!$F27='My investments'!$H$19,$X27,0))</f>
        <v>0</v>
      </c>
      <c r="AF27" s="3">
        <f>IF('My investments'!$H$20="",0,IF('My investments'!$F27='My investments'!$H$20,$X27,0))</f>
        <v>0</v>
      </c>
      <c r="AG27" s="3">
        <f>IF('My investments'!$H$21="",0,IF('My investments'!$F27='My investments'!$H$21,$X27,0))</f>
        <v>0</v>
      </c>
      <c r="AH27" s="3">
        <f>IF('My investments'!$H$22="",0,IF('My investments'!$F27='My investments'!$H$22,$X27,0))</f>
        <v>0</v>
      </c>
      <c r="AI27" s="3">
        <f>IF('My investments'!$H$23="",0,IF('My investments'!$F27='My investments'!$H$23,$X27,0))</f>
        <v>0</v>
      </c>
      <c r="AJ27" s="3">
        <f>IF('My investments'!$H$24="",0,IF('My investments'!$F27='My investments'!$H$24,$X27,0))</f>
        <v>0</v>
      </c>
      <c r="AL27" s="3" t="str">
        <f>IF('My investments'!$B27="","",IF($D$10=0,"",IFERROR(INDEX('Index history'!$B$8:$B$5007,MATCH('My investments'!$B27,'Index history'!$A$8:$A$5007,1)),"")))</f>
        <v/>
      </c>
      <c r="AM27" s="3">
        <f>IF($AL27="",0,IF('My investments'!$D27="",0,IF('My investments'!$C27="Money in",'My investments'!$D27/$AL27,IF('My investments'!$C27="Money out",-'My investments'!$D27/$AL27,0))))</f>
        <v>0</v>
      </c>
    </row>
    <row r="28">
      <c r="X28" s="3">
        <f>IF('My investments'!$B28="",0,IF('My investments'!$E28="",0,'My investments'!$E28))</f>
        <v>0</v>
      </c>
      <c r="Y28" s="25">
        <f>IF('My investments'!$B28="",$D$8,'My investments'!$B28)</f>
        <v>0</v>
      </c>
      <c r="Z28" s="3">
        <f>IF('My investments'!$C28="Worth today",0,$X28)</f>
        <v>0</v>
      </c>
      <c r="AA28" s="3">
        <f>IF('My investments'!$H$15="",0,IF('My investments'!$F28='My investments'!$H$15,$X28,0))</f>
        <v>0</v>
      </c>
      <c r="AB28" s="3">
        <f>IF('My investments'!$H$16="",0,IF('My investments'!$F28='My investments'!$H$16,$X28,0))</f>
        <v>0</v>
      </c>
      <c r="AC28" s="3">
        <f>IF('My investments'!$H$17="",0,IF('My investments'!$F28='My investments'!$H$17,$X28,0))</f>
        <v>0</v>
      </c>
      <c r="AD28" s="3">
        <f>IF('My investments'!$H$18="",0,IF('My investments'!$F28='My investments'!$H$18,$X28,0))</f>
        <v>0</v>
      </c>
      <c r="AE28" s="3">
        <f>IF('My investments'!$H$19="",0,IF('My investments'!$F28='My investments'!$H$19,$X28,0))</f>
        <v>0</v>
      </c>
      <c r="AF28" s="3">
        <f>IF('My investments'!$H$20="",0,IF('My investments'!$F28='My investments'!$H$20,$X28,0))</f>
        <v>0</v>
      </c>
      <c r="AG28" s="3">
        <f>IF('My investments'!$H$21="",0,IF('My investments'!$F28='My investments'!$H$21,$X28,0))</f>
        <v>0</v>
      </c>
      <c r="AH28" s="3">
        <f>IF('My investments'!$H$22="",0,IF('My investments'!$F28='My investments'!$H$22,$X28,0))</f>
        <v>0</v>
      </c>
      <c r="AI28" s="3">
        <f>IF('My investments'!$H$23="",0,IF('My investments'!$F28='My investments'!$H$23,$X28,0))</f>
        <v>0</v>
      </c>
      <c r="AJ28" s="3">
        <f>IF('My investments'!$H$24="",0,IF('My investments'!$F28='My investments'!$H$24,$X28,0))</f>
        <v>0</v>
      </c>
      <c r="AL28" s="3" t="str">
        <f>IF('My investments'!$B28="","",IF($D$10=0,"",IFERROR(INDEX('Index history'!$B$8:$B$5007,MATCH('My investments'!$B28,'Index history'!$A$8:$A$5007,1)),"")))</f>
        <v/>
      </c>
      <c r="AM28" s="3">
        <f>IF($AL28="",0,IF('My investments'!$D28="",0,IF('My investments'!$C28="Money in",'My investments'!$D28/$AL28,IF('My investments'!$C28="Money out",-'My investments'!$D28/$AL28,0))))</f>
        <v>0</v>
      </c>
    </row>
    <row r="29">
      <c r="X29" s="3">
        <f>IF('My investments'!$B29="",0,IF('My investments'!$E29="",0,'My investments'!$E29))</f>
        <v>0</v>
      </c>
      <c r="Y29" s="25">
        <f>IF('My investments'!$B29="",$D$8,'My investments'!$B29)</f>
        <v>0</v>
      </c>
      <c r="Z29" s="3">
        <f>IF('My investments'!$C29="Worth today",0,$X29)</f>
        <v>0</v>
      </c>
      <c r="AA29" s="3">
        <f>IF('My investments'!$H$15="",0,IF('My investments'!$F29='My investments'!$H$15,$X29,0))</f>
        <v>0</v>
      </c>
      <c r="AB29" s="3">
        <f>IF('My investments'!$H$16="",0,IF('My investments'!$F29='My investments'!$H$16,$X29,0))</f>
        <v>0</v>
      </c>
      <c r="AC29" s="3">
        <f>IF('My investments'!$H$17="",0,IF('My investments'!$F29='My investments'!$H$17,$X29,0))</f>
        <v>0</v>
      </c>
      <c r="AD29" s="3">
        <f>IF('My investments'!$H$18="",0,IF('My investments'!$F29='My investments'!$H$18,$X29,0))</f>
        <v>0</v>
      </c>
      <c r="AE29" s="3">
        <f>IF('My investments'!$H$19="",0,IF('My investments'!$F29='My investments'!$H$19,$X29,0))</f>
        <v>0</v>
      </c>
      <c r="AF29" s="3">
        <f>IF('My investments'!$H$20="",0,IF('My investments'!$F29='My investments'!$H$20,$X29,0))</f>
        <v>0</v>
      </c>
      <c r="AG29" s="3">
        <f>IF('My investments'!$H$21="",0,IF('My investments'!$F29='My investments'!$H$21,$X29,0))</f>
        <v>0</v>
      </c>
      <c r="AH29" s="3">
        <f>IF('My investments'!$H$22="",0,IF('My investments'!$F29='My investments'!$H$22,$X29,0))</f>
        <v>0</v>
      </c>
      <c r="AI29" s="3">
        <f>IF('My investments'!$H$23="",0,IF('My investments'!$F29='My investments'!$H$23,$X29,0))</f>
        <v>0</v>
      </c>
      <c r="AJ29" s="3">
        <f>IF('My investments'!$H$24="",0,IF('My investments'!$F29='My investments'!$H$24,$X29,0))</f>
        <v>0</v>
      </c>
      <c r="AL29" s="3" t="str">
        <f>IF('My investments'!$B29="","",IF($D$10=0,"",IFERROR(INDEX('Index history'!$B$8:$B$5007,MATCH('My investments'!$B29,'Index history'!$A$8:$A$5007,1)),"")))</f>
        <v/>
      </c>
      <c r="AM29" s="3">
        <f>IF($AL29="",0,IF('My investments'!$D29="",0,IF('My investments'!$C29="Money in",'My investments'!$D29/$AL29,IF('My investments'!$C29="Money out",-'My investments'!$D29/$AL29,0))))</f>
        <v>0</v>
      </c>
    </row>
    <row r="30">
      <c r="X30" s="3">
        <f>IF('My investments'!$B30="",0,IF('My investments'!$E30="",0,'My investments'!$E30))</f>
        <v>0</v>
      </c>
      <c r="Y30" s="25">
        <f>IF('My investments'!$B30="",$D$8,'My investments'!$B30)</f>
        <v>0</v>
      </c>
      <c r="Z30" s="3">
        <f>IF('My investments'!$C30="Worth today",0,$X30)</f>
        <v>0</v>
      </c>
      <c r="AA30" s="3">
        <f>IF('My investments'!$H$15="",0,IF('My investments'!$F30='My investments'!$H$15,$X30,0))</f>
        <v>0</v>
      </c>
      <c r="AB30" s="3">
        <f>IF('My investments'!$H$16="",0,IF('My investments'!$F30='My investments'!$H$16,$X30,0))</f>
        <v>0</v>
      </c>
      <c r="AC30" s="3">
        <f>IF('My investments'!$H$17="",0,IF('My investments'!$F30='My investments'!$H$17,$X30,0))</f>
        <v>0</v>
      </c>
      <c r="AD30" s="3">
        <f>IF('My investments'!$H$18="",0,IF('My investments'!$F30='My investments'!$H$18,$X30,0))</f>
        <v>0</v>
      </c>
      <c r="AE30" s="3">
        <f>IF('My investments'!$H$19="",0,IF('My investments'!$F30='My investments'!$H$19,$X30,0))</f>
        <v>0</v>
      </c>
      <c r="AF30" s="3">
        <f>IF('My investments'!$H$20="",0,IF('My investments'!$F30='My investments'!$H$20,$X30,0))</f>
        <v>0</v>
      </c>
      <c r="AG30" s="3">
        <f>IF('My investments'!$H$21="",0,IF('My investments'!$F30='My investments'!$H$21,$X30,0))</f>
        <v>0</v>
      </c>
      <c r="AH30" s="3">
        <f>IF('My investments'!$H$22="",0,IF('My investments'!$F30='My investments'!$H$22,$X30,0))</f>
        <v>0</v>
      </c>
      <c r="AI30" s="3">
        <f>IF('My investments'!$H$23="",0,IF('My investments'!$F30='My investments'!$H$23,$X30,0))</f>
        <v>0</v>
      </c>
      <c r="AJ30" s="3">
        <f>IF('My investments'!$H$24="",0,IF('My investments'!$F30='My investments'!$H$24,$X30,0))</f>
        <v>0</v>
      </c>
      <c r="AL30" s="3" t="str">
        <f>IF('My investments'!$B30="","",IF($D$10=0,"",IFERROR(INDEX('Index history'!$B$8:$B$5007,MATCH('My investments'!$B30,'Index history'!$A$8:$A$5007,1)),"")))</f>
        <v/>
      </c>
      <c r="AM30" s="3">
        <f>IF($AL30="",0,IF('My investments'!$D30="",0,IF('My investments'!$C30="Money in",'My investments'!$D30/$AL30,IF('My investments'!$C30="Money out",-'My investments'!$D30/$AL30,0))))</f>
        <v>0</v>
      </c>
    </row>
    <row r="31">
      <c r="X31" s="3">
        <f>IF('My investments'!$B31="",0,IF('My investments'!$E31="",0,'My investments'!$E31))</f>
        <v>0</v>
      </c>
      <c r="Y31" s="25">
        <f>IF('My investments'!$B31="",$D$8,'My investments'!$B31)</f>
        <v>0</v>
      </c>
      <c r="Z31" s="3">
        <f>IF('My investments'!$C31="Worth today",0,$X31)</f>
        <v>0</v>
      </c>
      <c r="AA31" s="3">
        <f>IF('My investments'!$H$15="",0,IF('My investments'!$F31='My investments'!$H$15,$X31,0))</f>
        <v>0</v>
      </c>
      <c r="AB31" s="3">
        <f>IF('My investments'!$H$16="",0,IF('My investments'!$F31='My investments'!$H$16,$X31,0))</f>
        <v>0</v>
      </c>
      <c r="AC31" s="3">
        <f>IF('My investments'!$H$17="",0,IF('My investments'!$F31='My investments'!$H$17,$X31,0))</f>
        <v>0</v>
      </c>
      <c r="AD31" s="3">
        <f>IF('My investments'!$H$18="",0,IF('My investments'!$F31='My investments'!$H$18,$X31,0))</f>
        <v>0</v>
      </c>
      <c r="AE31" s="3">
        <f>IF('My investments'!$H$19="",0,IF('My investments'!$F31='My investments'!$H$19,$X31,0))</f>
        <v>0</v>
      </c>
      <c r="AF31" s="3">
        <f>IF('My investments'!$H$20="",0,IF('My investments'!$F31='My investments'!$H$20,$X31,0))</f>
        <v>0</v>
      </c>
      <c r="AG31" s="3">
        <f>IF('My investments'!$H$21="",0,IF('My investments'!$F31='My investments'!$H$21,$X31,0))</f>
        <v>0</v>
      </c>
      <c r="AH31" s="3">
        <f>IF('My investments'!$H$22="",0,IF('My investments'!$F31='My investments'!$H$22,$X31,0))</f>
        <v>0</v>
      </c>
      <c r="AI31" s="3">
        <f>IF('My investments'!$H$23="",0,IF('My investments'!$F31='My investments'!$H$23,$X31,0))</f>
        <v>0</v>
      </c>
      <c r="AJ31" s="3">
        <f>IF('My investments'!$H$24="",0,IF('My investments'!$F31='My investments'!$H$24,$X31,0))</f>
        <v>0</v>
      </c>
      <c r="AL31" s="3" t="str">
        <f>IF('My investments'!$B31="","",IF($D$10=0,"",IFERROR(INDEX('Index history'!$B$8:$B$5007,MATCH('My investments'!$B31,'Index history'!$A$8:$A$5007,1)),"")))</f>
        <v/>
      </c>
      <c r="AM31" s="3">
        <f>IF($AL31="",0,IF('My investments'!$D31="",0,IF('My investments'!$C31="Money in",'My investments'!$D31/$AL31,IF('My investments'!$C31="Money out",-'My investments'!$D31/$AL31,0))))</f>
        <v>0</v>
      </c>
    </row>
    <row r="32">
      <c r="X32" s="3">
        <f>IF('My investments'!$B32="",0,IF('My investments'!$E32="",0,'My investments'!$E32))</f>
        <v>0</v>
      </c>
      <c r="Y32" s="25">
        <f>IF('My investments'!$B32="",$D$8,'My investments'!$B32)</f>
        <v>0</v>
      </c>
      <c r="Z32" s="3">
        <f>IF('My investments'!$C32="Worth today",0,$X32)</f>
        <v>0</v>
      </c>
      <c r="AA32" s="3">
        <f>IF('My investments'!$H$15="",0,IF('My investments'!$F32='My investments'!$H$15,$X32,0))</f>
        <v>0</v>
      </c>
      <c r="AB32" s="3">
        <f>IF('My investments'!$H$16="",0,IF('My investments'!$F32='My investments'!$H$16,$X32,0))</f>
        <v>0</v>
      </c>
      <c r="AC32" s="3">
        <f>IF('My investments'!$H$17="",0,IF('My investments'!$F32='My investments'!$H$17,$X32,0))</f>
        <v>0</v>
      </c>
      <c r="AD32" s="3">
        <f>IF('My investments'!$H$18="",0,IF('My investments'!$F32='My investments'!$H$18,$X32,0))</f>
        <v>0</v>
      </c>
      <c r="AE32" s="3">
        <f>IF('My investments'!$H$19="",0,IF('My investments'!$F32='My investments'!$H$19,$X32,0))</f>
        <v>0</v>
      </c>
      <c r="AF32" s="3">
        <f>IF('My investments'!$H$20="",0,IF('My investments'!$F32='My investments'!$H$20,$X32,0))</f>
        <v>0</v>
      </c>
      <c r="AG32" s="3">
        <f>IF('My investments'!$H$21="",0,IF('My investments'!$F32='My investments'!$H$21,$X32,0))</f>
        <v>0</v>
      </c>
      <c r="AH32" s="3">
        <f>IF('My investments'!$H$22="",0,IF('My investments'!$F32='My investments'!$H$22,$X32,0))</f>
        <v>0</v>
      </c>
      <c r="AI32" s="3">
        <f>IF('My investments'!$H$23="",0,IF('My investments'!$F32='My investments'!$H$23,$X32,0))</f>
        <v>0</v>
      </c>
      <c r="AJ32" s="3">
        <f>IF('My investments'!$H$24="",0,IF('My investments'!$F32='My investments'!$H$24,$X32,0))</f>
        <v>0</v>
      </c>
      <c r="AL32" s="3" t="str">
        <f>IF('My investments'!$B32="","",IF($D$10=0,"",IFERROR(INDEX('Index history'!$B$8:$B$5007,MATCH('My investments'!$B32,'Index history'!$A$8:$A$5007,1)),"")))</f>
        <v/>
      </c>
      <c r="AM32" s="3">
        <f>IF($AL32="",0,IF('My investments'!$D32="",0,IF('My investments'!$C32="Money in",'My investments'!$D32/$AL32,IF('My investments'!$C32="Money out",-'My investments'!$D32/$AL32,0))))</f>
        <v>0</v>
      </c>
    </row>
    <row r="33">
      <c r="X33" s="3">
        <f>IF('My investments'!$B33="",0,IF('My investments'!$E33="",0,'My investments'!$E33))</f>
        <v>0</v>
      </c>
      <c r="Y33" s="25">
        <f>IF('My investments'!$B33="",$D$8,'My investments'!$B33)</f>
        <v>0</v>
      </c>
      <c r="Z33" s="3">
        <f>IF('My investments'!$C33="Worth today",0,$X33)</f>
        <v>0</v>
      </c>
      <c r="AA33" s="3">
        <f>IF('My investments'!$H$15="",0,IF('My investments'!$F33='My investments'!$H$15,$X33,0))</f>
        <v>0</v>
      </c>
      <c r="AB33" s="3">
        <f>IF('My investments'!$H$16="",0,IF('My investments'!$F33='My investments'!$H$16,$X33,0))</f>
        <v>0</v>
      </c>
      <c r="AC33" s="3">
        <f>IF('My investments'!$H$17="",0,IF('My investments'!$F33='My investments'!$H$17,$X33,0))</f>
        <v>0</v>
      </c>
      <c r="AD33" s="3">
        <f>IF('My investments'!$H$18="",0,IF('My investments'!$F33='My investments'!$H$18,$X33,0))</f>
        <v>0</v>
      </c>
      <c r="AE33" s="3">
        <f>IF('My investments'!$H$19="",0,IF('My investments'!$F33='My investments'!$H$19,$X33,0))</f>
        <v>0</v>
      </c>
      <c r="AF33" s="3">
        <f>IF('My investments'!$H$20="",0,IF('My investments'!$F33='My investments'!$H$20,$X33,0))</f>
        <v>0</v>
      </c>
      <c r="AG33" s="3">
        <f>IF('My investments'!$H$21="",0,IF('My investments'!$F33='My investments'!$H$21,$X33,0))</f>
        <v>0</v>
      </c>
      <c r="AH33" s="3">
        <f>IF('My investments'!$H$22="",0,IF('My investments'!$F33='My investments'!$H$22,$X33,0))</f>
        <v>0</v>
      </c>
      <c r="AI33" s="3">
        <f>IF('My investments'!$H$23="",0,IF('My investments'!$F33='My investments'!$H$23,$X33,0))</f>
        <v>0</v>
      </c>
      <c r="AJ33" s="3">
        <f>IF('My investments'!$H$24="",0,IF('My investments'!$F33='My investments'!$H$24,$X33,0))</f>
        <v>0</v>
      </c>
      <c r="AL33" s="3" t="str">
        <f>IF('My investments'!$B33="","",IF($D$10=0,"",IFERROR(INDEX('Index history'!$B$8:$B$5007,MATCH('My investments'!$B33,'Index history'!$A$8:$A$5007,1)),"")))</f>
        <v/>
      </c>
      <c r="AM33" s="3">
        <f>IF($AL33="",0,IF('My investments'!$D33="",0,IF('My investments'!$C33="Money in",'My investments'!$D33/$AL33,IF('My investments'!$C33="Money out",-'My investments'!$D33/$AL33,0))))</f>
        <v>0</v>
      </c>
    </row>
    <row r="34">
      <c r="X34" s="3">
        <f>IF('My investments'!$B34="",0,IF('My investments'!$E34="",0,'My investments'!$E34))</f>
        <v>0</v>
      </c>
      <c r="Y34" s="25">
        <f>IF('My investments'!$B34="",$D$8,'My investments'!$B34)</f>
        <v>0</v>
      </c>
      <c r="Z34" s="3">
        <f>IF('My investments'!$C34="Worth today",0,$X34)</f>
        <v>0</v>
      </c>
      <c r="AA34" s="3">
        <f>IF('My investments'!$H$15="",0,IF('My investments'!$F34='My investments'!$H$15,$X34,0))</f>
        <v>0</v>
      </c>
      <c r="AB34" s="3">
        <f>IF('My investments'!$H$16="",0,IF('My investments'!$F34='My investments'!$H$16,$X34,0))</f>
        <v>0</v>
      </c>
      <c r="AC34" s="3">
        <f>IF('My investments'!$H$17="",0,IF('My investments'!$F34='My investments'!$H$17,$X34,0))</f>
        <v>0</v>
      </c>
      <c r="AD34" s="3">
        <f>IF('My investments'!$H$18="",0,IF('My investments'!$F34='My investments'!$H$18,$X34,0))</f>
        <v>0</v>
      </c>
      <c r="AE34" s="3">
        <f>IF('My investments'!$H$19="",0,IF('My investments'!$F34='My investments'!$H$19,$X34,0))</f>
        <v>0</v>
      </c>
      <c r="AF34" s="3">
        <f>IF('My investments'!$H$20="",0,IF('My investments'!$F34='My investments'!$H$20,$X34,0))</f>
        <v>0</v>
      </c>
      <c r="AG34" s="3">
        <f>IF('My investments'!$H$21="",0,IF('My investments'!$F34='My investments'!$H$21,$X34,0))</f>
        <v>0</v>
      </c>
      <c r="AH34" s="3">
        <f>IF('My investments'!$H$22="",0,IF('My investments'!$F34='My investments'!$H$22,$X34,0))</f>
        <v>0</v>
      </c>
      <c r="AI34" s="3">
        <f>IF('My investments'!$H$23="",0,IF('My investments'!$F34='My investments'!$H$23,$X34,0))</f>
        <v>0</v>
      </c>
      <c r="AJ34" s="3">
        <f>IF('My investments'!$H$24="",0,IF('My investments'!$F34='My investments'!$H$24,$X34,0))</f>
        <v>0</v>
      </c>
      <c r="AL34" s="3" t="str">
        <f>IF('My investments'!$B34="","",IF($D$10=0,"",IFERROR(INDEX('Index history'!$B$8:$B$5007,MATCH('My investments'!$B34,'Index history'!$A$8:$A$5007,1)),"")))</f>
        <v/>
      </c>
      <c r="AM34" s="3">
        <f>IF($AL34="",0,IF('My investments'!$D34="",0,IF('My investments'!$C34="Money in",'My investments'!$D34/$AL34,IF('My investments'!$C34="Money out",-'My investments'!$D34/$AL34,0))))</f>
        <v>0</v>
      </c>
    </row>
    <row r="35">
      <c r="X35" s="3">
        <f>IF('My investments'!$B35="",0,IF('My investments'!$E35="",0,'My investments'!$E35))</f>
        <v>0</v>
      </c>
      <c r="Y35" s="25">
        <f>IF('My investments'!$B35="",$D$8,'My investments'!$B35)</f>
        <v>0</v>
      </c>
      <c r="Z35" s="3">
        <f>IF('My investments'!$C35="Worth today",0,$X35)</f>
        <v>0</v>
      </c>
      <c r="AA35" s="3">
        <f>IF('My investments'!$H$15="",0,IF('My investments'!$F35='My investments'!$H$15,$X35,0))</f>
        <v>0</v>
      </c>
      <c r="AB35" s="3">
        <f>IF('My investments'!$H$16="",0,IF('My investments'!$F35='My investments'!$H$16,$X35,0))</f>
        <v>0</v>
      </c>
      <c r="AC35" s="3">
        <f>IF('My investments'!$H$17="",0,IF('My investments'!$F35='My investments'!$H$17,$X35,0))</f>
        <v>0</v>
      </c>
      <c r="AD35" s="3">
        <f>IF('My investments'!$H$18="",0,IF('My investments'!$F35='My investments'!$H$18,$X35,0))</f>
        <v>0</v>
      </c>
      <c r="AE35" s="3">
        <f>IF('My investments'!$H$19="",0,IF('My investments'!$F35='My investments'!$H$19,$X35,0))</f>
        <v>0</v>
      </c>
      <c r="AF35" s="3">
        <f>IF('My investments'!$H$20="",0,IF('My investments'!$F35='My investments'!$H$20,$X35,0))</f>
        <v>0</v>
      </c>
      <c r="AG35" s="3">
        <f>IF('My investments'!$H$21="",0,IF('My investments'!$F35='My investments'!$H$21,$X35,0))</f>
        <v>0</v>
      </c>
      <c r="AH35" s="3">
        <f>IF('My investments'!$H$22="",0,IF('My investments'!$F35='My investments'!$H$22,$X35,0))</f>
        <v>0</v>
      </c>
      <c r="AI35" s="3">
        <f>IF('My investments'!$H$23="",0,IF('My investments'!$F35='My investments'!$H$23,$X35,0))</f>
        <v>0</v>
      </c>
      <c r="AJ35" s="3">
        <f>IF('My investments'!$H$24="",0,IF('My investments'!$F35='My investments'!$H$24,$X35,0))</f>
        <v>0</v>
      </c>
      <c r="AL35" s="3" t="str">
        <f>IF('My investments'!$B35="","",IF($D$10=0,"",IFERROR(INDEX('Index history'!$B$8:$B$5007,MATCH('My investments'!$B35,'Index history'!$A$8:$A$5007,1)),"")))</f>
        <v/>
      </c>
      <c r="AM35" s="3">
        <f>IF($AL35="",0,IF('My investments'!$D35="",0,IF('My investments'!$C35="Money in",'My investments'!$D35/$AL35,IF('My investments'!$C35="Money out",-'My investments'!$D35/$AL35,0))))</f>
        <v>0</v>
      </c>
    </row>
    <row r="36">
      <c r="X36" s="3">
        <f>IF('My investments'!$B36="",0,IF('My investments'!$E36="",0,'My investments'!$E36))</f>
        <v>0</v>
      </c>
      <c r="Y36" s="25">
        <f>IF('My investments'!$B36="",$D$8,'My investments'!$B36)</f>
        <v>0</v>
      </c>
      <c r="Z36" s="3">
        <f>IF('My investments'!$C36="Worth today",0,$X36)</f>
        <v>0</v>
      </c>
      <c r="AA36" s="3">
        <f>IF('My investments'!$H$15="",0,IF('My investments'!$F36='My investments'!$H$15,$X36,0))</f>
        <v>0</v>
      </c>
      <c r="AB36" s="3">
        <f>IF('My investments'!$H$16="",0,IF('My investments'!$F36='My investments'!$H$16,$X36,0))</f>
        <v>0</v>
      </c>
      <c r="AC36" s="3">
        <f>IF('My investments'!$H$17="",0,IF('My investments'!$F36='My investments'!$H$17,$X36,0))</f>
        <v>0</v>
      </c>
      <c r="AD36" s="3">
        <f>IF('My investments'!$H$18="",0,IF('My investments'!$F36='My investments'!$H$18,$X36,0))</f>
        <v>0</v>
      </c>
      <c r="AE36" s="3">
        <f>IF('My investments'!$H$19="",0,IF('My investments'!$F36='My investments'!$H$19,$X36,0))</f>
        <v>0</v>
      </c>
      <c r="AF36" s="3">
        <f>IF('My investments'!$H$20="",0,IF('My investments'!$F36='My investments'!$H$20,$X36,0))</f>
        <v>0</v>
      </c>
      <c r="AG36" s="3">
        <f>IF('My investments'!$H$21="",0,IF('My investments'!$F36='My investments'!$H$21,$X36,0))</f>
        <v>0</v>
      </c>
      <c r="AH36" s="3">
        <f>IF('My investments'!$H$22="",0,IF('My investments'!$F36='My investments'!$H$22,$X36,0))</f>
        <v>0</v>
      </c>
      <c r="AI36" s="3">
        <f>IF('My investments'!$H$23="",0,IF('My investments'!$F36='My investments'!$H$23,$X36,0))</f>
        <v>0</v>
      </c>
      <c r="AJ36" s="3">
        <f>IF('My investments'!$H$24="",0,IF('My investments'!$F36='My investments'!$H$24,$X36,0))</f>
        <v>0</v>
      </c>
      <c r="AL36" s="3" t="str">
        <f>IF('My investments'!$B36="","",IF($D$10=0,"",IFERROR(INDEX('Index history'!$B$8:$B$5007,MATCH('My investments'!$B36,'Index history'!$A$8:$A$5007,1)),"")))</f>
        <v/>
      </c>
      <c r="AM36" s="3">
        <f>IF($AL36="",0,IF('My investments'!$D36="",0,IF('My investments'!$C36="Money in",'My investments'!$D36/$AL36,IF('My investments'!$C36="Money out",-'My investments'!$D36/$AL36,0))))</f>
        <v>0</v>
      </c>
    </row>
    <row r="37">
      <c r="X37" s="3">
        <f>IF('My investments'!$B37="",0,IF('My investments'!$E37="",0,'My investments'!$E37))</f>
        <v>0</v>
      </c>
      <c r="Y37" s="25">
        <f>IF('My investments'!$B37="",$D$8,'My investments'!$B37)</f>
        <v>0</v>
      </c>
      <c r="Z37" s="3">
        <f>IF('My investments'!$C37="Worth today",0,$X37)</f>
        <v>0</v>
      </c>
      <c r="AA37" s="3">
        <f>IF('My investments'!$H$15="",0,IF('My investments'!$F37='My investments'!$H$15,$X37,0))</f>
        <v>0</v>
      </c>
      <c r="AB37" s="3">
        <f>IF('My investments'!$H$16="",0,IF('My investments'!$F37='My investments'!$H$16,$X37,0))</f>
        <v>0</v>
      </c>
      <c r="AC37" s="3">
        <f>IF('My investments'!$H$17="",0,IF('My investments'!$F37='My investments'!$H$17,$X37,0))</f>
        <v>0</v>
      </c>
      <c r="AD37" s="3">
        <f>IF('My investments'!$H$18="",0,IF('My investments'!$F37='My investments'!$H$18,$X37,0))</f>
        <v>0</v>
      </c>
      <c r="AE37" s="3">
        <f>IF('My investments'!$H$19="",0,IF('My investments'!$F37='My investments'!$H$19,$X37,0))</f>
        <v>0</v>
      </c>
      <c r="AF37" s="3">
        <f>IF('My investments'!$H$20="",0,IF('My investments'!$F37='My investments'!$H$20,$X37,0))</f>
        <v>0</v>
      </c>
      <c r="AG37" s="3">
        <f>IF('My investments'!$H$21="",0,IF('My investments'!$F37='My investments'!$H$21,$X37,0))</f>
        <v>0</v>
      </c>
      <c r="AH37" s="3">
        <f>IF('My investments'!$H$22="",0,IF('My investments'!$F37='My investments'!$H$22,$X37,0))</f>
        <v>0</v>
      </c>
      <c r="AI37" s="3">
        <f>IF('My investments'!$H$23="",0,IF('My investments'!$F37='My investments'!$H$23,$X37,0))</f>
        <v>0</v>
      </c>
      <c r="AJ37" s="3">
        <f>IF('My investments'!$H$24="",0,IF('My investments'!$F37='My investments'!$H$24,$X37,0))</f>
        <v>0</v>
      </c>
      <c r="AL37" s="3" t="str">
        <f>IF('My investments'!$B37="","",IF($D$10=0,"",IFERROR(INDEX('Index history'!$B$8:$B$5007,MATCH('My investments'!$B37,'Index history'!$A$8:$A$5007,1)),"")))</f>
        <v/>
      </c>
      <c r="AM37" s="3">
        <f>IF($AL37="",0,IF('My investments'!$D37="",0,IF('My investments'!$C37="Money in",'My investments'!$D37/$AL37,IF('My investments'!$C37="Money out",-'My investments'!$D37/$AL37,0))))</f>
        <v>0</v>
      </c>
    </row>
    <row r="38">
      <c r="X38" s="3">
        <f>IF('My investments'!$B38="",0,IF('My investments'!$E38="",0,'My investments'!$E38))</f>
        <v>0</v>
      </c>
      <c r="Y38" s="25">
        <f>IF('My investments'!$B38="",$D$8,'My investments'!$B38)</f>
        <v>0</v>
      </c>
      <c r="Z38" s="3">
        <f>IF('My investments'!$C38="Worth today",0,$X38)</f>
        <v>0</v>
      </c>
      <c r="AA38" s="3">
        <f>IF('My investments'!$H$15="",0,IF('My investments'!$F38='My investments'!$H$15,$X38,0))</f>
        <v>0</v>
      </c>
      <c r="AB38" s="3">
        <f>IF('My investments'!$H$16="",0,IF('My investments'!$F38='My investments'!$H$16,$X38,0))</f>
        <v>0</v>
      </c>
      <c r="AC38" s="3">
        <f>IF('My investments'!$H$17="",0,IF('My investments'!$F38='My investments'!$H$17,$X38,0))</f>
        <v>0</v>
      </c>
      <c r="AD38" s="3">
        <f>IF('My investments'!$H$18="",0,IF('My investments'!$F38='My investments'!$H$18,$X38,0))</f>
        <v>0</v>
      </c>
      <c r="AE38" s="3">
        <f>IF('My investments'!$H$19="",0,IF('My investments'!$F38='My investments'!$H$19,$X38,0))</f>
        <v>0</v>
      </c>
      <c r="AF38" s="3">
        <f>IF('My investments'!$H$20="",0,IF('My investments'!$F38='My investments'!$H$20,$X38,0))</f>
        <v>0</v>
      </c>
      <c r="AG38" s="3">
        <f>IF('My investments'!$H$21="",0,IF('My investments'!$F38='My investments'!$H$21,$X38,0))</f>
        <v>0</v>
      </c>
      <c r="AH38" s="3">
        <f>IF('My investments'!$H$22="",0,IF('My investments'!$F38='My investments'!$H$22,$X38,0))</f>
        <v>0</v>
      </c>
      <c r="AI38" s="3">
        <f>IF('My investments'!$H$23="",0,IF('My investments'!$F38='My investments'!$H$23,$X38,0))</f>
        <v>0</v>
      </c>
      <c r="AJ38" s="3">
        <f>IF('My investments'!$H$24="",0,IF('My investments'!$F38='My investments'!$H$24,$X38,0))</f>
        <v>0</v>
      </c>
      <c r="AL38" s="3" t="str">
        <f>IF('My investments'!$B38="","",IF($D$10=0,"",IFERROR(INDEX('Index history'!$B$8:$B$5007,MATCH('My investments'!$B38,'Index history'!$A$8:$A$5007,1)),"")))</f>
        <v/>
      </c>
      <c r="AM38" s="3">
        <f>IF($AL38="",0,IF('My investments'!$D38="",0,IF('My investments'!$C38="Money in",'My investments'!$D38/$AL38,IF('My investments'!$C38="Money out",-'My investments'!$D38/$AL38,0))))</f>
        <v>0</v>
      </c>
    </row>
    <row r="39">
      <c r="F39" s="3" t="inlineStr">
        <is>
          <t>required return: bisection between −99% and 50%</t>
        </is>
      </c>
      <c r="X39" s="3">
        <f>IF('My investments'!$B39="",0,IF('My investments'!$E39="",0,'My investments'!$E39))</f>
        <v>0</v>
      </c>
      <c r="Y39" s="25">
        <f>IF('My investments'!$B39="",$D$8,'My investments'!$B39)</f>
        <v>0</v>
      </c>
      <c r="Z39" s="3">
        <f>IF('My investments'!$C39="Worth today",0,$X39)</f>
        <v>0</v>
      </c>
      <c r="AA39" s="3">
        <f>IF('My investments'!$H$15="",0,IF('My investments'!$F39='My investments'!$H$15,$X39,0))</f>
        <v>0</v>
      </c>
      <c r="AB39" s="3">
        <f>IF('My investments'!$H$16="",0,IF('My investments'!$F39='My investments'!$H$16,$X39,0))</f>
        <v>0</v>
      </c>
      <c r="AC39" s="3">
        <f>IF('My investments'!$H$17="",0,IF('My investments'!$F39='My investments'!$H$17,$X39,0))</f>
        <v>0</v>
      </c>
      <c r="AD39" s="3">
        <f>IF('My investments'!$H$18="",0,IF('My investments'!$F39='My investments'!$H$18,$X39,0))</f>
        <v>0</v>
      </c>
      <c r="AE39" s="3">
        <f>IF('My investments'!$H$19="",0,IF('My investments'!$F39='My investments'!$H$19,$X39,0))</f>
        <v>0</v>
      </c>
      <c r="AF39" s="3">
        <f>IF('My investments'!$H$20="",0,IF('My investments'!$F39='My investments'!$H$20,$X39,0))</f>
        <v>0</v>
      </c>
      <c r="AG39" s="3">
        <f>IF('My investments'!$H$21="",0,IF('My investments'!$F39='My investments'!$H$21,$X39,0))</f>
        <v>0</v>
      </c>
      <c r="AH39" s="3">
        <f>IF('My investments'!$H$22="",0,IF('My investments'!$F39='My investments'!$H$22,$X39,0))</f>
        <v>0</v>
      </c>
      <c r="AI39" s="3">
        <f>IF('My investments'!$H$23="",0,IF('My investments'!$F39='My investments'!$H$23,$X39,0))</f>
        <v>0</v>
      </c>
      <c r="AJ39" s="3">
        <f>IF('My investments'!$H$24="",0,IF('My investments'!$F39='My investments'!$H$24,$X39,0))</f>
        <v>0</v>
      </c>
      <c r="AL39" s="3" t="str">
        <f>IF('My investments'!$B39="","",IF($D$10=0,"",IFERROR(INDEX('Index history'!$B$8:$B$5007,MATCH('My investments'!$B39,'Index history'!$A$8:$A$5007,1)),"")))</f>
        <v/>
      </c>
      <c r="AM39" s="3">
        <f>IF($AL39="",0,IF('My investments'!$D39="",0,IF('My investments'!$C39="Money in",'My investments'!$D39/$AL39,IF('My investments'!$C39="Money out",-'My investments'!$D39/$AL39,0))))</f>
        <v>0</v>
      </c>
    </row>
    <row r="40">
      <c r="F40" s="3" t="inlineStr">
        <is>
          <t>lo</t>
        </is>
      </c>
      <c r="G40" s="3" t="inlineStr">
        <is>
          <t>hi</t>
        </is>
      </c>
      <c r="H40" s="3" t="inlineStr">
        <is>
          <t>mid</t>
        </is>
      </c>
      <c r="I40" s="3" t="inlineStr">
        <is>
          <t>i</t>
        </is>
      </c>
      <c r="J40" s="3" t="inlineStr">
        <is>
          <t>A</t>
        </is>
      </c>
      <c r="K40" s="3" t="inlineStr">
        <is>
          <t>x</t>
        </is>
      </c>
      <c r="L40" s="3" t="inlineStr">
        <is>
          <t>S</t>
        </is>
      </c>
      <c r="M40" s="3" t="inlineStr">
        <is>
          <t>f(mid)</t>
        </is>
      </c>
      <c r="X40" s="3">
        <f>IF('My investments'!$B40="",0,IF('My investments'!$E40="",0,'My investments'!$E40))</f>
        <v>0</v>
      </c>
      <c r="Y40" s="25">
        <f>IF('My investments'!$B40="",$D$8,'My investments'!$B40)</f>
        <v>0</v>
      </c>
      <c r="Z40" s="3">
        <f>IF('My investments'!$C40="Worth today",0,$X40)</f>
        <v>0</v>
      </c>
      <c r="AA40" s="3">
        <f>IF('My investments'!$H$15="",0,IF('My investments'!$F40='My investments'!$H$15,$X40,0))</f>
        <v>0</v>
      </c>
      <c r="AB40" s="3">
        <f>IF('My investments'!$H$16="",0,IF('My investments'!$F40='My investments'!$H$16,$X40,0))</f>
        <v>0</v>
      </c>
      <c r="AC40" s="3">
        <f>IF('My investments'!$H$17="",0,IF('My investments'!$F40='My investments'!$H$17,$X40,0))</f>
        <v>0</v>
      </c>
      <c r="AD40" s="3">
        <f>IF('My investments'!$H$18="",0,IF('My investments'!$F40='My investments'!$H$18,$X40,0))</f>
        <v>0</v>
      </c>
      <c r="AE40" s="3">
        <f>IF('My investments'!$H$19="",0,IF('My investments'!$F40='My investments'!$H$19,$X40,0))</f>
        <v>0</v>
      </c>
      <c r="AF40" s="3">
        <f>IF('My investments'!$H$20="",0,IF('My investments'!$F40='My investments'!$H$20,$X40,0))</f>
        <v>0</v>
      </c>
      <c r="AG40" s="3">
        <f>IF('My investments'!$H$21="",0,IF('My investments'!$F40='My investments'!$H$21,$X40,0))</f>
        <v>0</v>
      </c>
      <c r="AH40" s="3">
        <f>IF('My investments'!$H$22="",0,IF('My investments'!$F40='My investments'!$H$22,$X40,0))</f>
        <v>0</v>
      </c>
      <c r="AI40" s="3">
        <f>IF('My investments'!$H$23="",0,IF('My investments'!$F40='My investments'!$H$23,$X40,0))</f>
        <v>0</v>
      </c>
      <c r="AJ40" s="3">
        <f>IF('My investments'!$H$24="",0,IF('My investments'!$F40='My investments'!$H$24,$X40,0))</f>
        <v>0</v>
      </c>
      <c r="AL40" s="3" t="str">
        <f>IF('My investments'!$B40="","",IF($D$10=0,"",IFERROR(INDEX('Index history'!$B$8:$B$5007,MATCH('My investments'!$B40,'Index history'!$A$8:$A$5007,1)),"")))</f>
        <v/>
      </c>
      <c r="AM40" s="3">
        <f>IF($AL40="",0,IF('My investments'!$D40="",0,IF('My investments'!$C40="Money in",'My investments'!$D40/$AL40,IF('My investments'!$C40="Money out",-'My investments'!$D40/$AL40,0))))</f>
        <v>0</v>
      </c>
    </row>
    <row r="41">
      <c r="F41" s="3" t="n">
        <v>-0.99</v>
      </c>
      <c r="G41" s="3" t="n">
        <v>0.5</v>
      </c>
      <c r="H41" s="3" t="str">
        <f>IF($G$10=0,"",IF((IF('Plan my goal'!$B$5="",0,'Plan my goal'!$B$5)*(1+$G$41)^$G$4+IF('Plan my goal'!$B$7="",0,'Plan my goal'!$B$7)*IF(((1+$G$41)^(1/12)-1)=0,12,(((1+((1+$G$41)^(1/12)-1))^12-1)/((1+$G$41)^(1/12)-1))*(1+((1+$G$41)^(1/12)-1)))*(1+$G$41)^($G$4-1)*IF(ABS(((1+$G$5)/(1+$G$41))-1)&lt;0.000000000001,$G$4,(1-((1+$G$5)/(1+$G$41))^$G$4)/(1-((1+$G$5)/(1+$G$41))))-IF('Plan my goal'!$B$4="",0,'Plan my goal'!$B$4))&lt;0,"high",IF((IF('Plan my goal'!$B$5="",0,'Plan my goal'!$B$5)*(1+$F$41)^$G$4+IF('Plan my goal'!$B$7="",0,'Plan my goal'!$B$7)*IF(((1+$F$41)^(1/12)-1)=0,12,(((1+((1+$F$41)^(1/12)-1))^12-1)/((1+$F$41)^(1/12)-1))*(1+((1+$F$41)^(1/12)-1)))*(1+$F$41)^($G$4-1)*IF(ABS(((1+$G$5)/(1+$F$41))-1)&lt;0.000000000001,$G$4,(1-((1+$G$5)/(1+$F$41))^$G$4)/(1-((1+$G$5)/(1+$F$41))))-IF('Plan my goal'!$B$4="",0,'Plan my goal'!$B$4))&gt;=0,"none","ok")))</f>
        <v>ok</v>
      </c>
      <c r="X41" s="3">
        <f>IF('My investments'!$B41="",0,IF('My investments'!$E41="",0,'My investments'!$E41))</f>
        <v>0</v>
      </c>
      <c r="Y41" s="25">
        <f>IF('My investments'!$B41="",$D$8,'My investments'!$B41)</f>
        <v>0</v>
      </c>
      <c r="Z41" s="3">
        <f>IF('My investments'!$C41="Worth today",0,$X41)</f>
        <v>0</v>
      </c>
      <c r="AA41" s="3">
        <f>IF('My investments'!$H$15="",0,IF('My investments'!$F41='My investments'!$H$15,$X41,0))</f>
        <v>0</v>
      </c>
      <c r="AB41" s="3">
        <f>IF('My investments'!$H$16="",0,IF('My investments'!$F41='My investments'!$H$16,$X41,0))</f>
        <v>0</v>
      </c>
      <c r="AC41" s="3">
        <f>IF('My investments'!$H$17="",0,IF('My investments'!$F41='My investments'!$H$17,$X41,0))</f>
        <v>0</v>
      </c>
      <c r="AD41" s="3">
        <f>IF('My investments'!$H$18="",0,IF('My investments'!$F41='My investments'!$H$18,$X41,0))</f>
        <v>0</v>
      </c>
      <c r="AE41" s="3">
        <f>IF('My investments'!$H$19="",0,IF('My investments'!$F41='My investments'!$H$19,$X41,0))</f>
        <v>0</v>
      </c>
      <c r="AF41" s="3">
        <f>IF('My investments'!$H$20="",0,IF('My investments'!$F41='My investments'!$H$20,$X41,0))</f>
        <v>0</v>
      </c>
      <c r="AG41" s="3">
        <f>IF('My investments'!$H$21="",0,IF('My investments'!$F41='My investments'!$H$21,$X41,0))</f>
        <v>0</v>
      </c>
      <c r="AH41" s="3">
        <f>IF('My investments'!$H$22="",0,IF('My investments'!$F41='My investments'!$H$22,$X41,0))</f>
        <v>0</v>
      </c>
      <c r="AI41" s="3">
        <f>IF('My investments'!$H$23="",0,IF('My investments'!$F41='My investments'!$H$23,$X41,0))</f>
        <v>0</v>
      </c>
      <c r="AJ41" s="3">
        <f>IF('My investments'!$H$24="",0,IF('My investments'!$F41='My investments'!$H$24,$X41,0))</f>
        <v>0</v>
      </c>
      <c r="AL41" s="3" t="str">
        <f>IF('My investments'!$B41="","",IF($D$10=0,"",IFERROR(INDEX('Index history'!$B$8:$B$5007,MATCH('My investments'!$B41,'Index history'!$A$8:$A$5007,1)),"")))</f>
        <v/>
      </c>
      <c r="AM41" s="3">
        <f>IF($AL41="",0,IF('My investments'!$D41="",0,IF('My investments'!$C41="Money in",'My investments'!$D41/$AL41,IF('My investments'!$C41="Money out",-'My investments'!$D41/$AL41,0))))</f>
        <v>0</v>
      </c>
    </row>
    <row r="42">
      <c r="F42" s="3">
        <f>IF($M42&lt;0,$H42,$F41)</f>
        <v>-0.245</v>
      </c>
      <c r="G42" s="3">
        <f>IF($M42&lt;0,$G41,$H42)</f>
        <v>0.5</v>
      </c>
      <c r="H42" s="3">
        <f>($F$41+$G$41)/2</f>
        <v>-0.245</v>
      </c>
      <c r="M42" s="3">
        <f>IF($G$10=0,0,(IF('Plan my goal'!$B$5="",0,'Plan my goal'!$B$5)*(1+$H42)^$G$4+IF('Plan my goal'!$B$7="",0,'Plan my goal'!$B$7)*IF(((1+$H42)^(1/12)-1)=0,12,(((1+((1+$H42)^(1/12)-1))^12-1)/((1+$H42)^(1/12)-1))*(1+((1+$H42)^(1/12)-1)))*(1+$H42)^($G$4-1)*IF(ABS(((1+$G$5)/(1+$H42))-1)&lt;0.000000000001,$G$4,(1-((1+$G$5)/(1+$H42))^$G$4)/(1-((1+$G$5)/(1+$H42))))-IF('Plan my goal'!$B$4="",0,'Plan my goal'!$B$4)))</f>
        <v>-9578316.18545936</v>
      </c>
      <c r="X42" s="3">
        <f>IF('My investments'!$B42="",0,IF('My investments'!$E42="",0,'My investments'!$E42))</f>
        <v>0</v>
      </c>
      <c r="Y42" s="25">
        <f>IF('My investments'!$B42="",$D$8,'My investments'!$B42)</f>
        <v>0</v>
      </c>
      <c r="Z42" s="3">
        <f>IF('My investments'!$C42="Worth today",0,$X42)</f>
        <v>0</v>
      </c>
      <c r="AA42" s="3">
        <f>IF('My investments'!$H$15="",0,IF('My investments'!$F42='My investments'!$H$15,$X42,0))</f>
        <v>0</v>
      </c>
      <c r="AB42" s="3">
        <f>IF('My investments'!$H$16="",0,IF('My investments'!$F42='My investments'!$H$16,$X42,0))</f>
        <v>0</v>
      </c>
      <c r="AC42" s="3">
        <f>IF('My investments'!$H$17="",0,IF('My investments'!$F42='My investments'!$H$17,$X42,0))</f>
        <v>0</v>
      </c>
      <c r="AD42" s="3">
        <f>IF('My investments'!$H$18="",0,IF('My investments'!$F42='My investments'!$H$18,$X42,0))</f>
        <v>0</v>
      </c>
      <c r="AE42" s="3">
        <f>IF('My investments'!$H$19="",0,IF('My investments'!$F42='My investments'!$H$19,$X42,0))</f>
        <v>0</v>
      </c>
      <c r="AF42" s="3">
        <f>IF('My investments'!$H$20="",0,IF('My investments'!$F42='My investments'!$H$20,$X42,0))</f>
        <v>0</v>
      </c>
      <c r="AG42" s="3">
        <f>IF('My investments'!$H$21="",0,IF('My investments'!$F42='My investments'!$H$21,$X42,0))</f>
        <v>0</v>
      </c>
      <c r="AH42" s="3">
        <f>IF('My investments'!$H$22="",0,IF('My investments'!$F42='My investments'!$H$22,$X42,0))</f>
        <v>0</v>
      </c>
      <c r="AI42" s="3">
        <f>IF('My investments'!$H$23="",0,IF('My investments'!$F42='My investments'!$H$23,$X42,0))</f>
        <v>0</v>
      </c>
      <c r="AJ42" s="3">
        <f>IF('My investments'!$H$24="",0,IF('My investments'!$F42='My investments'!$H$24,$X42,0))</f>
        <v>0</v>
      </c>
      <c r="AL42" s="3" t="str">
        <f>IF('My investments'!$B42="","",IF($D$10=0,"",IFERROR(INDEX('Index history'!$B$8:$B$5007,MATCH('My investments'!$B42,'Index history'!$A$8:$A$5007,1)),"")))</f>
        <v/>
      </c>
      <c r="AM42" s="3">
        <f>IF($AL42="",0,IF('My investments'!$D42="",0,IF('My investments'!$C42="Money in",'My investments'!$D42/$AL42,IF('My investments'!$C42="Money out",-'My investments'!$D42/$AL42,0))))</f>
        <v>0</v>
      </c>
    </row>
    <row r="43">
      <c r="F43" s="3">
        <f>IF($M43&lt;0,$H43,$F42)</f>
        <v>0.1275</v>
      </c>
      <c r="G43" s="3">
        <f>IF($M43&lt;0,$G42,$H43)</f>
        <v>0.5</v>
      </c>
      <c r="H43" s="3">
        <f>($F42+$G42)/2</f>
        <v>0.1275</v>
      </c>
      <c r="M43" s="3">
        <f>IF($G$10=0,0,(IF('Plan my goal'!$B$5="",0,'Plan my goal'!$B$5)*(1+$H43)^$G$4+IF('Plan my goal'!$B$7="",0,'Plan my goal'!$B$7)*IF(((1+$H43)^(1/12)-1)=0,12,(((1+((1+$H43)^(1/12)-1))^12-1)/((1+$H43)^(1/12)-1))*(1+((1+$H43)^(1/12)-1)))*(1+$H43)^($G$4-1)*IF(ABS(((1+$G$5)/(1+$H43))-1)&lt;0.000000000001,$G$4,(1-((1+$G$5)/(1+$H43))^$G$4)/(1-((1+$G$5)/(1+$H43))))-IF('Plan my goal'!$B$4="",0,'Plan my goal'!$B$4)))</f>
        <v>-2504964.70981415</v>
      </c>
      <c r="X43" s="3">
        <f>IF('My investments'!$B43="",0,IF('My investments'!$E43="",0,'My investments'!$E43))</f>
        <v>0</v>
      </c>
      <c r="Y43" s="25">
        <f>IF('My investments'!$B43="",$D$8,'My investments'!$B43)</f>
        <v>0</v>
      </c>
      <c r="Z43" s="3">
        <f>IF('My investments'!$C43="Worth today",0,$X43)</f>
        <v>0</v>
      </c>
      <c r="AA43" s="3">
        <f>IF('My investments'!$H$15="",0,IF('My investments'!$F43='My investments'!$H$15,$X43,0))</f>
        <v>0</v>
      </c>
      <c r="AB43" s="3">
        <f>IF('My investments'!$H$16="",0,IF('My investments'!$F43='My investments'!$H$16,$X43,0))</f>
        <v>0</v>
      </c>
      <c r="AC43" s="3">
        <f>IF('My investments'!$H$17="",0,IF('My investments'!$F43='My investments'!$H$17,$X43,0))</f>
        <v>0</v>
      </c>
      <c r="AD43" s="3">
        <f>IF('My investments'!$H$18="",0,IF('My investments'!$F43='My investments'!$H$18,$X43,0))</f>
        <v>0</v>
      </c>
      <c r="AE43" s="3">
        <f>IF('My investments'!$H$19="",0,IF('My investments'!$F43='My investments'!$H$19,$X43,0))</f>
        <v>0</v>
      </c>
      <c r="AF43" s="3">
        <f>IF('My investments'!$H$20="",0,IF('My investments'!$F43='My investments'!$H$20,$X43,0))</f>
        <v>0</v>
      </c>
      <c r="AG43" s="3">
        <f>IF('My investments'!$H$21="",0,IF('My investments'!$F43='My investments'!$H$21,$X43,0))</f>
        <v>0</v>
      </c>
      <c r="AH43" s="3">
        <f>IF('My investments'!$H$22="",0,IF('My investments'!$F43='My investments'!$H$22,$X43,0))</f>
        <v>0</v>
      </c>
      <c r="AI43" s="3">
        <f>IF('My investments'!$H$23="",0,IF('My investments'!$F43='My investments'!$H$23,$X43,0))</f>
        <v>0</v>
      </c>
      <c r="AJ43" s="3">
        <f>IF('My investments'!$H$24="",0,IF('My investments'!$F43='My investments'!$H$24,$X43,0))</f>
        <v>0</v>
      </c>
      <c r="AL43" s="3" t="str">
        <f>IF('My investments'!$B43="","",IF($D$10=0,"",IFERROR(INDEX('Index history'!$B$8:$B$5007,MATCH('My investments'!$B43,'Index history'!$A$8:$A$5007,1)),"")))</f>
        <v/>
      </c>
      <c r="AM43" s="3">
        <f>IF($AL43="",0,IF('My investments'!$D43="",0,IF('My investments'!$C43="Money in",'My investments'!$D43/$AL43,IF('My investments'!$C43="Money out",-'My investments'!$D43/$AL43,0))))</f>
        <v>0</v>
      </c>
    </row>
    <row r="44">
      <c r="F44" s="3">
        <f>IF($M44&lt;0,$H44,$F43)</f>
        <v>0.1275</v>
      </c>
      <c r="G44" s="3">
        <f>IF($M44&lt;0,$G43,$H44)</f>
        <v>0.31375</v>
      </c>
      <c r="H44" s="3">
        <f>($F43+$G43)/2</f>
        <v>0.31375</v>
      </c>
      <c r="M44" s="3">
        <f>IF($G$10=0,0,(IF('Plan my goal'!$B$5="",0,'Plan my goal'!$B$5)*(1+$H44)^$G$4+IF('Plan my goal'!$B$7="",0,'Plan my goal'!$B$7)*IF(((1+$H44)^(1/12)-1)=0,12,(((1+((1+$H44)^(1/12)-1))^12-1)/((1+$H44)^(1/12)-1))*(1+((1+$H44)^(1/12)-1)))*(1+$H44)^($G$4-1)*IF(ABS(((1+$G$5)/(1+$H44))-1)&lt;0.000000000001,$G$4,(1-((1+$G$5)/(1+$H44))^$G$4)/(1-((1+$G$5)/(1+$H44))))-IF('Plan my goal'!$B$4="",0,'Plan my goal'!$B$4)))</f>
        <v>40187357.9045525</v>
      </c>
      <c r="X44" s="3">
        <f>IF('My investments'!$B44="",0,IF('My investments'!$E44="",0,'My investments'!$E44))</f>
        <v>0</v>
      </c>
      <c r="Y44" s="25">
        <f>IF('My investments'!$B44="",$D$8,'My investments'!$B44)</f>
        <v>0</v>
      </c>
      <c r="Z44" s="3">
        <f>IF('My investments'!$C44="Worth today",0,$X44)</f>
        <v>0</v>
      </c>
      <c r="AA44" s="3">
        <f>IF('My investments'!$H$15="",0,IF('My investments'!$F44='My investments'!$H$15,$X44,0))</f>
        <v>0</v>
      </c>
      <c r="AB44" s="3">
        <f>IF('My investments'!$H$16="",0,IF('My investments'!$F44='My investments'!$H$16,$X44,0))</f>
        <v>0</v>
      </c>
      <c r="AC44" s="3">
        <f>IF('My investments'!$H$17="",0,IF('My investments'!$F44='My investments'!$H$17,$X44,0))</f>
        <v>0</v>
      </c>
      <c r="AD44" s="3">
        <f>IF('My investments'!$H$18="",0,IF('My investments'!$F44='My investments'!$H$18,$X44,0))</f>
        <v>0</v>
      </c>
      <c r="AE44" s="3">
        <f>IF('My investments'!$H$19="",0,IF('My investments'!$F44='My investments'!$H$19,$X44,0))</f>
        <v>0</v>
      </c>
      <c r="AF44" s="3">
        <f>IF('My investments'!$H$20="",0,IF('My investments'!$F44='My investments'!$H$20,$X44,0))</f>
        <v>0</v>
      </c>
      <c r="AG44" s="3">
        <f>IF('My investments'!$H$21="",0,IF('My investments'!$F44='My investments'!$H$21,$X44,0))</f>
        <v>0</v>
      </c>
      <c r="AH44" s="3">
        <f>IF('My investments'!$H$22="",0,IF('My investments'!$F44='My investments'!$H$22,$X44,0))</f>
        <v>0</v>
      </c>
      <c r="AI44" s="3">
        <f>IF('My investments'!$H$23="",0,IF('My investments'!$F44='My investments'!$H$23,$X44,0))</f>
        <v>0</v>
      </c>
      <c r="AJ44" s="3">
        <f>IF('My investments'!$H$24="",0,IF('My investments'!$F44='My investments'!$H$24,$X44,0))</f>
        <v>0</v>
      </c>
      <c r="AL44" s="3" t="str">
        <f>IF('My investments'!$B44="","",IF($D$10=0,"",IFERROR(INDEX('Index history'!$B$8:$B$5007,MATCH('My investments'!$B44,'Index history'!$A$8:$A$5007,1)),"")))</f>
        <v/>
      </c>
      <c r="AM44" s="3">
        <f>IF($AL44="",0,IF('My investments'!$D44="",0,IF('My investments'!$C44="Money in",'My investments'!$D44/$AL44,IF('My investments'!$C44="Money out",-'My investments'!$D44/$AL44,0))))</f>
        <v>0</v>
      </c>
    </row>
    <row r="45">
      <c r="F45" s="3">
        <f>IF($M45&lt;0,$H45,$F44)</f>
        <v>0.1275</v>
      </c>
      <c r="G45" s="3">
        <f>IF($M45&lt;0,$G44,$H45)</f>
        <v>0.220625</v>
      </c>
      <c r="H45" s="3">
        <f>($F44+$G44)/2</f>
        <v>0.220625</v>
      </c>
      <c r="M45" s="3">
        <f>IF($G$10=0,0,(IF('Plan my goal'!$B$5="",0,'Plan my goal'!$B$5)*(1+$H45)^$G$4+IF('Plan my goal'!$B$7="",0,'Plan my goal'!$B$7)*IF(((1+$H45)^(1/12)-1)=0,12,(((1+((1+$H45)^(1/12)-1))^12-1)/((1+$H45)^(1/12)-1))*(1+((1+$H45)^(1/12)-1)))*(1+$H45)^($G$4-1)*IF(ABS(((1+$G$5)/(1+$H45))-1)&lt;0.000000000001,$G$4,(1-((1+$G$5)/(1+$H45))^$G$4)/(1-((1+$G$5)/(1+$H45))))-IF('Plan my goal'!$B$4="",0,'Plan my goal'!$B$4)))</f>
        <v>9425496.18153387</v>
      </c>
      <c r="X45" s="3">
        <f>IF('My investments'!$B45="",0,IF('My investments'!$E45="",0,'My investments'!$E45))</f>
        <v>0</v>
      </c>
      <c r="Y45" s="25">
        <f>IF('My investments'!$B45="",$D$8,'My investments'!$B45)</f>
        <v>0</v>
      </c>
      <c r="Z45" s="3">
        <f>IF('My investments'!$C45="Worth today",0,$X45)</f>
        <v>0</v>
      </c>
      <c r="AA45" s="3">
        <f>IF('My investments'!$H$15="",0,IF('My investments'!$F45='My investments'!$H$15,$X45,0))</f>
        <v>0</v>
      </c>
      <c r="AB45" s="3">
        <f>IF('My investments'!$H$16="",0,IF('My investments'!$F45='My investments'!$H$16,$X45,0))</f>
        <v>0</v>
      </c>
      <c r="AC45" s="3">
        <f>IF('My investments'!$H$17="",0,IF('My investments'!$F45='My investments'!$H$17,$X45,0))</f>
        <v>0</v>
      </c>
      <c r="AD45" s="3">
        <f>IF('My investments'!$H$18="",0,IF('My investments'!$F45='My investments'!$H$18,$X45,0))</f>
        <v>0</v>
      </c>
      <c r="AE45" s="3">
        <f>IF('My investments'!$H$19="",0,IF('My investments'!$F45='My investments'!$H$19,$X45,0))</f>
        <v>0</v>
      </c>
      <c r="AF45" s="3">
        <f>IF('My investments'!$H$20="",0,IF('My investments'!$F45='My investments'!$H$20,$X45,0))</f>
        <v>0</v>
      </c>
      <c r="AG45" s="3">
        <f>IF('My investments'!$H$21="",0,IF('My investments'!$F45='My investments'!$H$21,$X45,0))</f>
        <v>0</v>
      </c>
      <c r="AH45" s="3">
        <f>IF('My investments'!$H$22="",0,IF('My investments'!$F45='My investments'!$H$22,$X45,0))</f>
        <v>0</v>
      </c>
      <c r="AI45" s="3">
        <f>IF('My investments'!$H$23="",0,IF('My investments'!$F45='My investments'!$H$23,$X45,0))</f>
        <v>0</v>
      </c>
      <c r="AJ45" s="3">
        <f>IF('My investments'!$H$24="",0,IF('My investments'!$F45='My investments'!$H$24,$X45,0))</f>
        <v>0</v>
      </c>
      <c r="AL45" s="3" t="str">
        <f>IF('My investments'!$B45="","",IF($D$10=0,"",IFERROR(INDEX('Index history'!$B$8:$B$5007,MATCH('My investments'!$B45,'Index history'!$A$8:$A$5007,1)),"")))</f>
        <v/>
      </c>
      <c r="AM45" s="3">
        <f>IF($AL45="",0,IF('My investments'!$D45="",0,IF('My investments'!$C45="Money in",'My investments'!$D45/$AL45,IF('My investments'!$C45="Money out",-'My investments'!$D45/$AL45,0))))</f>
        <v>0</v>
      </c>
    </row>
    <row r="46">
      <c r="F46" s="3">
        <f>IF($M46&lt;0,$H46,$F45)</f>
        <v>0.1275</v>
      </c>
      <c r="G46" s="3">
        <f>IF($M46&lt;0,$G45,$H46)</f>
        <v>0.1740625</v>
      </c>
      <c r="H46" s="3">
        <f>($F45+$G45)/2</f>
        <v>0.1740625</v>
      </c>
      <c r="M46" s="3">
        <f>IF($G$10=0,0,(IF('Plan my goal'!$B$5="",0,'Plan my goal'!$B$5)*(1+$H46)^$G$4+IF('Plan my goal'!$B$7="",0,'Plan my goal'!$B$7)*IF(((1+$H46)^(1/12)-1)=0,12,(((1+((1+$H46)^(1/12)-1))^12-1)/((1+$H46)^(1/12)-1))*(1+((1+$H46)^(1/12)-1)))*(1+$H46)^($G$4-1)*IF(ABS(((1+$G$5)/(1+$H46))-1)&lt;0.000000000001,$G$4,(1-((1+$G$5)/(1+$H46))^$G$4)/(1-((1+$G$5)/(1+$H46))))-IF('Plan my goal'!$B$4="",0,'Plan my goal'!$B$4)))</f>
        <v>2044762.18980841</v>
      </c>
      <c r="X46" s="3">
        <f>IF('My investments'!$B46="",0,IF('My investments'!$E46="",0,'My investments'!$E46))</f>
        <v>0</v>
      </c>
      <c r="Y46" s="25">
        <f>IF('My investments'!$B46="",$D$8,'My investments'!$B46)</f>
        <v>0</v>
      </c>
      <c r="Z46" s="3">
        <f>IF('My investments'!$C46="Worth today",0,$X46)</f>
        <v>0</v>
      </c>
      <c r="AA46" s="3">
        <f>IF('My investments'!$H$15="",0,IF('My investments'!$F46='My investments'!$H$15,$X46,0))</f>
        <v>0</v>
      </c>
      <c r="AB46" s="3">
        <f>IF('My investments'!$H$16="",0,IF('My investments'!$F46='My investments'!$H$16,$X46,0))</f>
        <v>0</v>
      </c>
      <c r="AC46" s="3">
        <f>IF('My investments'!$H$17="",0,IF('My investments'!$F46='My investments'!$H$17,$X46,0))</f>
        <v>0</v>
      </c>
      <c r="AD46" s="3">
        <f>IF('My investments'!$H$18="",0,IF('My investments'!$F46='My investments'!$H$18,$X46,0))</f>
        <v>0</v>
      </c>
      <c r="AE46" s="3">
        <f>IF('My investments'!$H$19="",0,IF('My investments'!$F46='My investments'!$H$19,$X46,0))</f>
        <v>0</v>
      </c>
      <c r="AF46" s="3">
        <f>IF('My investments'!$H$20="",0,IF('My investments'!$F46='My investments'!$H$20,$X46,0))</f>
        <v>0</v>
      </c>
      <c r="AG46" s="3">
        <f>IF('My investments'!$H$21="",0,IF('My investments'!$F46='My investments'!$H$21,$X46,0))</f>
        <v>0</v>
      </c>
      <c r="AH46" s="3">
        <f>IF('My investments'!$H$22="",0,IF('My investments'!$F46='My investments'!$H$22,$X46,0))</f>
        <v>0</v>
      </c>
      <c r="AI46" s="3">
        <f>IF('My investments'!$H$23="",0,IF('My investments'!$F46='My investments'!$H$23,$X46,0))</f>
        <v>0</v>
      </c>
      <c r="AJ46" s="3">
        <f>IF('My investments'!$H$24="",0,IF('My investments'!$F46='My investments'!$H$24,$X46,0))</f>
        <v>0</v>
      </c>
      <c r="AL46" s="3" t="str">
        <f>IF('My investments'!$B46="","",IF($D$10=0,"",IFERROR(INDEX('Index history'!$B$8:$B$5007,MATCH('My investments'!$B46,'Index history'!$A$8:$A$5007,1)),"")))</f>
        <v/>
      </c>
      <c r="AM46" s="3">
        <f>IF($AL46="",0,IF('My investments'!$D46="",0,IF('My investments'!$C46="Money in",'My investments'!$D46/$AL46,IF('My investments'!$C46="Money out",-'My investments'!$D46/$AL46,0))))</f>
        <v>0</v>
      </c>
    </row>
    <row r="47">
      <c r="F47" s="3">
        <f>IF($M47&lt;0,$H47,$F46)</f>
        <v>0.15078125</v>
      </c>
      <c r="G47" s="3">
        <f>IF($M47&lt;0,$G46,$H47)</f>
        <v>0.1740625</v>
      </c>
      <c r="H47" s="3">
        <f>($F46+$G46)/2</f>
        <v>0.15078125</v>
      </c>
      <c r="M47" s="3">
        <f>IF($G$10=0,0,(IF('Plan my goal'!$B$5="",0,'Plan my goal'!$B$5)*(1+$H47)^$G$4+IF('Plan my goal'!$B$7="",0,'Plan my goal'!$B$7)*IF(((1+$H47)^(1/12)-1)=0,12,(((1+((1+$H47)^(1/12)-1))^12-1)/((1+$H47)^(1/12)-1))*(1+((1+$H47)^(1/12)-1)))*(1+$H47)^($G$4-1)*IF(ABS(((1+$G$5)/(1+$H47))-1)&lt;0.000000000001,$G$4,(1-((1+$G$5)/(1+$H47))^$G$4)/(1-((1+$G$5)/(1+$H47))))-IF('Plan my goal'!$B$4="",0,'Plan my goal'!$B$4)))</f>
        <v>-506220.590183422</v>
      </c>
      <c r="X47" s="3">
        <f>IF('My investments'!$B47="",0,IF('My investments'!$E47="",0,'My investments'!$E47))</f>
        <v>0</v>
      </c>
      <c r="Y47" s="25">
        <f>IF('My investments'!$B47="",$D$8,'My investments'!$B47)</f>
        <v>0</v>
      </c>
      <c r="Z47" s="3">
        <f>IF('My investments'!$C47="Worth today",0,$X47)</f>
        <v>0</v>
      </c>
      <c r="AA47" s="3">
        <f>IF('My investments'!$H$15="",0,IF('My investments'!$F47='My investments'!$H$15,$X47,0))</f>
        <v>0</v>
      </c>
      <c r="AB47" s="3">
        <f>IF('My investments'!$H$16="",0,IF('My investments'!$F47='My investments'!$H$16,$X47,0))</f>
        <v>0</v>
      </c>
      <c r="AC47" s="3">
        <f>IF('My investments'!$H$17="",0,IF('My investments'!$F47='My investments'!$H$17,$X47,0))</f>
        <v>0</v>
      </c>
      <c r="AD47" s="3">
        <f>IF('My investments'!$H$18="",0,IF('My investments'!$F47='My investments'!$H$18,$X47,0))</f>
        <v>0</v>
      </c>
      <c r="AE47" s="3">
        <f>IF('My investments'!$H$19="",0,IF('My investments'!$F47='My investments'!$H$19,$X47,0))</f>
        <v>0</v>
      </c>
      <c r="AF47" s="3">
        <f>IF('My investments'!$H$20="",0,IF('My investments'!$F47='My investments'!$H$20,$X47,0))</f>
        <v>0</v>
      </c>
      <c r="AG47" s="3">
        <f>IF('My investments'!$H$21="",0,IF('My investments'!$F47='My investments'!$H$21,$X47,0))</f>
        <v>0</v>
      </c>
      <c r="AH47" s="3">
        <f>IF('My investments'!$H$22="",0,IF('My investments'!$F47='My investments'!$H$22,$X47,0))</f>
        <v>0</v>
      </c>
      <c r="AI47" s="3">
        <f>IF('My investments'!$H$23="",0,IF('My investments'!$F47='My investments'!$H$23,$X47,0))</f>
        <v>0</v>
      </c>
      <c r="AJ47" s="3">
        <f>IF('My investments'!$H$24="",0,IF('My investments'!$F47='My investments'!$H$24,$X47,0))</f>
        <v>0</v>
      </c>
      <c r="AL47" s="3" t="str">
        <f>IF('My investments'!$B47="","",IF($D$10=0,"",IFERROR(INDEX('Index history'!$B$8:$B$5007,MATCH('My investments'!$B47,'Index history'!$A$8:$A$5007,1)),"")))</f>
        <v/>
      </c>
      <c r="AM47" s="3">
        <f>IF($AL47="",0,IF('My investments'!$D47="",0,IF('My investments'!$C47="Money in",'My investments'!$D47/$AL47,IF('My investments'!$C47="Money out",-'My investments'!$D47/$AL47,0))))</f>
        <v>0</v>
      </c>
    </row>
    <row r="48">
      <c r="F48" s="3">
        <f>IF($M48&lt;0,$H48,$F47)</f>
        <v>0.15078125</v>
      </c>
      <c r="G48" s="3">
        <f>IF($M48&lt;0,$G47,$H48)</f>
        <v>0.162421875</v>
      </c>
      <c r="H48" s="3">
        <f>($F47+$G47)/2</f>
        <v>0.162421875</v>
      </c>
      <c r="M48" s="3">
        <f>IF($G$10=0,0,(IF('Plan my goal'!$B$5="",0,'Plan my goal'!$B$5)*(1+$H48)^$G$4+IF('Plan my goal'!$B$7="",0,'Plan my goal'!$B$7)*IF(((1+$H48)^(1/12)-1)=0,12,(((1+((1+$H48)^(1/12)-1))^12-1)/((1+$H48)^(1/12)-1))*(1+((1+$H48)^(1/12)-1)))*(1+$H48)^($G$4-1)*IF(ABS(((1+$G$5)/(1+$H48))-1)&lt;0.000000000001,$G$4,(1-((1+$G$5)/(1+$H48))^$G$4)/(1-((1+$G$5)/(1+$H48))))-IF('Plan my goal'!$B$4="",0,'Plan my goal'!$B$4)))</f>
        <v>691848.440822933</v>
      </c>
      <c r="X48" s="3">
        <f>IF('My investments'!$B48="",0,IF('My investments'!$E48="",0,'My investments'!$E48))</f>
        <v>0</v>
      </c>
      <c r="Y48" s="25">
        <f>IF('My investments'!$B48="",$D$8,'My investments'!$B48)</f>
        <v>0</v>
      </c>
      <c r="Z48" s="3">
        <f>IF('My investments'!$C48="Worth today",0,$X48)</f>
        <v>0</v>
      </c>
      <c r="AA48" s="3">
        <f>IF('My investments'!$H$15="",0,IF('My investments'!$F48='My investments'!$H$15,$X48,0))</f>
        <v>0</v>
      </c>
      <c r="AB48" s="3">
        <f>IF('My investments'!$H$16="",0,IF('My investments'!$F48='My investments'!$H$16,$X48,0))</f>
        <v>0</v>
      </c>
      <c r="AC48" s="3">
        <f>IF('My investments'!$H$17="",0,IF('My investments'!$F48='My investments'!$H$17,$X48,0))</f>
        <v>0</v>
      </c>
      <c r="AD48" s="3">
        <f>IF('My investments'!$H$18="",0,IF('My investments'!$F48='My investments'!$H$18,$X48,0))</f>
        <v>0</v>
      </c>
      <c r="AE48" s="3">
        <f>IF('My investments'!$H$19="",0,IF('My investments'!$F48='My investments'!$H$19,$X48,0))</f>
        <v>0</v>
      </c>
      <c r="AF48" s="3">
        <f>IF('My investments'!$H$20="",0,IF('My investments'!$F48='My investments'!$H$20,$X48,0))</f>
        <v>0</v>
      </c>
      <c r="AG48" s="3">
        <f>IF('My investments'!$H$21="",0,IF('My investments'!$F48='My investments'!$H$21,$X48,0))</f>
        <v>0</v>
      </c>
      <c r="AH48" s="3">
        <f>IF('My investments'!$H$22="",0,IF('My investments'!$F48='My investments'!$H$22,$X48,0))</f>
        <v>0</v>
      </c>
      <c r="AI48" s="3">
        <f>IF('My investments'!$H$23="",0,IF('My investments'!$F48='My investments'!$H$23,$X48,0))</f>
        <v>0</v>
      </c>
      <c r="AJ48" s="3">
        <f>IF('My investments'!$H$24="",0,IF('My investments'!$F48='My investments'!$H$24,$X48,0))</f>
        <v>0</v>
      </c>
      <c r="AL48" s="3" t="str">
        <f>IF('My investments'!$B48="","",IF($D$10=0,"",IFERROR(INDEX('Index history'!$B$8:$B$5007,MATCH('My investments'!$B48,'Index history'!$A$8:$A$5007,1)),"")))</f>
        <v/>
      </c>
      <c r="AM48" s="3">
        <f>IF($AL48="",0,IF('My investments'!$D48="",0,IF('My investments'!$C48="Money in",'My investments'!$D48/$AL48,IF('My investments'!$C48="Money out",-'My investments'!$D48/$AL48,0))))</f>
        <v>0</v>
      </c>
    </row>
    <row r="49">
      <c r="F49" s="3">
        <f>IF($M49&lt;0,$H49,$F48)</f>
        <v>0.15078125</v>
      </c>
      <c r="G49" s="3">
        <f>IF($M49&lt;0,$G48,$H49)</f>
        <v>0.1566015625</v>
      </c>
      <c r="H49" s="3">
        <f>($F48+$G48)/2</f>
        <v>0.1566015625</v>
      </c>
      <c r="M49" s="3">
        <f>IF($G$10=0,0,(IF('Plan my goal'!$B$5="",0,'Plan my goal'!$B$5)*(1+$H49)^$G$4+IF('Plan my goal'!$B$7="",0,'Plan my goal'!$B$7)*IF(((1+$H49)^(1/12)-1)=0,12,(((1+((1+$H49)^(1/12)-1))^12-1)/((1+$H49)^(1/12)-1))*(1+((1+$H49)^(1/12)-1)))*(1+$H49)^($G$4-1)*IF(ABS(((1+$G$5)/(1+$H49))-1)&lt;0.000000000001,$G$4,(1-((1+$G$5)/(1+$H49))^$G$4)/(1-((1+$G$5)/(1+$H49))))-IF('Plan my goal'!$B$4="",0,'Plan my goal'!$B$4)))</f>
        <v>74581.0775527768</v>
      </c>
      <c r="X49" s="3">
        <f>IF('My investments'!$B49="",0,IF('My investments'!$E49="",0,'My investments'!$E49))</f>
        <v>0</v>
      </c>
      <c r="Y49" s="25">
        <f>IF('My investments'!$B49="",$D$8,'My investments'!$B49)</f>
        <v>0</v>
      </c>
      <c r="Z49" s="3">
        <f>IF('My investments'!$C49="Worth today",0,$X49)</f>
        <v>0</v>
      </c>
      <c r="AA49" s="3">
        <f>IF('My investments'!$H$15="",0,IF('My investments'!$F49='My investments'!$H$15,$X49,0))</f>
        <v>0</v>
      </c>
      <c r="AB49" s="3">
        <f>IF('My investments'!$H$16="",0,IF('My investments'!$F49='My investments'!$H$16,$X49,0))</f>
        <v>0</v>
      </c>
      <c r="AC49" s="3">
        <f>IF('My investments'!$H$17="",0,IF('My investments'!$F49='My investments'!$H$17,$X49,0))</f>
        <v>0</v>
      </c>
      <c r="AD49" s="3">
        <f>IF('My investments'!$H$18="",0,IF('My investments'!$F49='My investments'!$H$18,$X49,0))</f>
        <v>0</v>
      </c>
      <c r="AE49" s="3">
        <f>IF('My investments'!$H$19="",0,IF('My investments'!$F49='My investments'!$H$19,$X49,0))</f>
        <v>0</v>
      </c>
      <c r="AF49" s="3">
        <f>IF('My investments'!$H$20="",0,IF('My investments'!$F49='My investments'!$H$20,$X49,0))</f>
        <v>0</v>
      </c>
      <c r="AG49" s="3">
        <f>IF('My investments'!$H$21="",0,IF('My investments'!$F49='My investments'!$H$21,$X49,0))</f>
        <v>0</v>
      </c>
      <c r="AH49" s="3">
        <f>IF('My investments'!$H$22="",0,IF('My investments'!$F49='My investments'!$H$22,$X49,0))</f>
        <v>0</v>
      </c>
      <c r="AI49" s="3">
        <f>IF('My investments'!$H$23="",0,IF('My investments'!$F49='My investments'!$H$23,$X49,0))</f>
        <v>0</v>
      </c>
      <c r="AJ49" s="3">
        <f>IF('My investments'!$H$24="",0,IF('My investments'!$F49='My investments'!$H$24,$X49,0))</f>
        <v>0</v>
      </c>
      <c r="AL49" s="3" t="str">
        <f>IF('My investments'!$B49="","",IF($D$10=0,"",IFERROR(INDEX('Index history'!$B$8:$B$5007,MATCH('My investments'!$B49,'Index history'!$A$8:$A$5007,1)),"")))</f>
        <v/>
      </c>
      <c r="AM49" s="3">
        <f>IF($AL49="",0,IF('My investments'!$D49="",0,IF('My investments'!$C49="Money in",'My investments'!$D49/$AL49,IF('My investments'!$C49="Money out",-'My investments'!$D49/$AL49,0))))</f>
        <v>0</v>
      </c>
    </row>
    <row r="50">
      <c r="F50" s="3">
        <f>IF($M50&lt;0,$H50,$F49)</f>
        <v>0.15369140625</v>
      </c>
      <c r="G50" s="3">
        <f>IF($M50&lt;0,$G49,$H50)</f>
        <v>0.1566015625</v>
      </c>
      <c r="H50" s="3">
        <f>($F49+$G49)/2</f>
        <v>0.15369140625</v>
      </c>
      <c r="M50" s="3">
        <f>IF($G$10=0,0,(IF('Plan my goal'!$B$5="",0,'Plan my goal'!$B$5)*(1+$H50)^$G$4+IF('Plan my goal'!$B$7="",0,'Plan my goal'!$B$7)*IF(((1+$H50)^(1/12)-1)=0,12,(((1+((1+$H50)^(1/12)-1))^12-1)/((1+$H50)^(1/12)-1))*(1+((1+$H50)^(1/12)-1)))*(1+$H50)^($G$4-1)*IF(ABS(((1+$G$5)/(1+$H50))-1)&lt;0.000000000001,$G$4,(1-((1+$G$5)/(1+$H50))^$G$4)/(1-((1+$G$5)/(1+$H50))))-IF('Plan my goal'!$B$4="",0,'Plan my goal'!$B$4)))</f>
        <v>-220244.374013629</v>
      </c>
      <c r="X50" s="3">
        <f>IF('My investments'!$B50="",0,IF('My investments'!$E50="",0,'My investments'!$E50))</f>
        <v>0</v>
      </c>
      <c r="Y50" s="25">
        <f>IF('My investments'!$B50="",$D$8,'My investments'!$B50)</f>
        <v>0</v>
      </c>
      <c r="Z50" s="3">
        <f>IF('My investments'!$C50="Worth today",0,$X50)</f>
        <v>0</v>
      </c>
      <c r="AA50" s="3">
        <f>IF('My investments'!$H$15="",0,IF('My investments'!$F50='My investments'!$H$15,$X50,0))</f>
        <v>0</v>
      </c>
      <c r="AB50" s="3">
        <f>IF('My investments'!$H$16="",0,IF('My investments'!$F50='My investments'!$H$16,$X50,0))</f>
        <v>0</v>
      </c>
      <c r="AC50" s="3">
        <f>IF('My investments'!$H$17="",0,IF('My investments'!$F50='My investments'!$H$17,$X50,0))</f>
        <v>0</v>
      </c>
      <c r="AD50" s="3">
        <f>IF('My investments'!$H$18="",0,IF('My investments'!$F50='My investments'!$H$18,$X50,0))</f>
        <v>0</v>
      </c>
      <c r="AE50" s="3">
        <f>IF('My investments'!$H$19="",0,IF('My investments'!$F50='My investments'!$H$19,$X50,0))</f>
        <v>0</v>
      </c>
      <c r="AF50" s="3">
        <f>IF('My investments'!$H$20="",0,IF('My investments'!$F50='My investments'!$H$20,$X50,0))</f>
        <v>0</v>
      </c>
      <c r="AG50" s="3">
        <f>IF('My investments'!$H$21="",0,IF('My investments'!$F50='My investments'!$H$21,$X50,0))</f>
        <v>0</v>
      </c>
      <c r="AH50" s="3">
        <f>IF('My investments'!$H$22="",0,IF('My investments'!$F50='My investments'!$H$22,$X50,0))</f>
        <v>0</v>
      </c>
      <c r="AI50" s="3">
        <f>IF('My investments'!$H$23="",0,IF('My investments'!$F50='My investments'!$H$23,$X50,0))</f>
        <v>0</v>
      </c>
      <c r="AJ50" s="3">
        <f>IF('My investments'!$H$24="",0,IF('My investments'!$F50='My investments'!$H$24,$X50,0))</f>
        <v>0</v>
      </c>
      <c r="AL50" s="3" t="str">
        <f>IF('My investments'!$B50="","",IF($D$10=0,"",IFERROR(INDEX('Index history'!$B$8:$B$5007,MATCH('My investments'!$B50,'Index history'!$A$8:$A$5007,1)),"")))</f>
        <v/>
      </c>
      <c r="AM50" s="3">
        <f>IF($AL50="",0,IF('My investments'!$D50="",0,IF('My investments'!$C50="Money in",'My investments'!$D50/$AL50,IF('My investments'!$C50="Money out",-'My investments'!$D50/$AL50,0))))</f>
        <v>0</v>
      </c>
    </row>
    <row r="51">
      <c r="F51" s="3">
        <f>IF($M51&lt;0,$H51,$F50)</f>
        <v>0.155146484375</v>
      </c>
      <c r="G51" s="3">
        <f>IF($M51&lt;0,$G50,$H51)</f>
        <v>0.1566015625</v>
      </c>
      <c r="H51" s="3">
        <f>($F50+$G50)/2</f>
        <v>0.155146484375</v>
      </c>
      <c r="M51" s="3">
        <f>IF($G$10=0,0,(IF('Plan my goal'!$B$5="",0,'Plan my goal'!$B$5)*(1+$H51)^$G$4+IF('Plan my goal'!$B$7="",0,'Plan my goal'!$B$7)*IF(((1+$H51)^(1/12)-1)=0,12,(((1+((1+$H51)^(1/12)-1))^12-1)/((1+$H51)^(1/12)-1))*(1+((1+$H51)^(1/12)-1)))*(1+$H51)^($G$4-1)*IF(ABS(((1+$G$5)/(1+$H51))-1)&lt;0.000000000001,$G$4,(1-((1+$G$5)/(1+$H51))^$G$4)/(1-((1+$G$5)/(1+$H51))))-IF('Plan my goal'!$B$4="",0,'Plan my goal'!$B$4)))</f>
        <v>-73954.2107640635</v>
      </c>
      <c r="X51" s="3">
        <f>IF('My investments'!$B51="",0,IF('My investments'!$E51="",0,'My investments'!$E51))</f>
        <v>0</v>
      </c>
      <c r="Y51" s="25">
        <f>IF('My investments'!$B51="",$D$8,'My investments'!$B51)</f>
        <v>0</v>
      </c>
      <c r="Z51" s="3">
        <f>IF('My investments'!$C51="Worth today",0,$X51)</f>
        <v>0</v>
      </c>
      <c r="AA51" s="3">
        <f>IF('My investments'!$H$15="",0,IF('My investments'!$F51='My investments'!$H$15,$X51,0))</f>
        <v>0</v>
      </c>
      <c r="AB51" s="3">
        <f>IF('My investments'!$H$16="",0,IF('My investments'!$F51='My investments'!$H$16,$X51,0))</f>
        <v>0</v>
      </c>
      <c r="AC51" s="3">
        <f>IF('My investments'!$H$17="",0,IF('My investments'!$F51='My investments'!$H$17,$X51,0))</f>
        <v>0</v>
      </c>
      <c r="AD51" s="3">
        <f>IF('My investments'!$H$18="",0,IF('My investments'!$F51='My investments'!$H$18,$X51,0))</f>
        <v>0</v>
      </c>
      <c r="AE51" s="3">
        <f>IF('My investments'!$H$19="",0,IF('My investments'!$F51='My investments'!$H$19,$X51,0))</f>
        <v>0</v>
      </c>
      <c r="AF51" s="3">
        <f>IF('My investments'!$H$20="",0,IF('My investments'!$F51='My investments'!$H$20,$X51,0))</f>
        <v>0</v>
      </c>
      <c r="AG51" s="3">
        <f>IF('My investments'!$H$21="",0,IF('My investments'!$F51='My investments'!$H$21,$X51,0))</f>
        <v>0</v>
      </c>
      <c r="AH51" s="3">
        <f>IF('My investments'!$H$22="",0,IF('My investments'!$F51='My investments'!$H$22,$X51,0))</f>
        <v>0</v>
      </c>
      <c r="AI51" s="3">
        <f>IF('My investments'!$H$23="",0,IF('My investments'!$F51='My investments'!$H$23,$X51,0))</f>
        <v>0</v>
      </c>
      <c r="AJ51" s="3">
        <f>IF('My investments'!$H$24="",0,IF('My investments'!$F51='My investments'!$H$24,$X51,0))</f>
        <v>0</v>
      </c>
      <c r="AL51" s="3" t="str">
        <f>IF('My investments'!$B51="","",IF($D$10=0,"",IFERROR(INDEX('Index history'!$B$8:$B$5007,MATCH('My investments'!$B51,'Index history'!$A$8:$A$5007,1)),"")))</f>
        <v/>
      </c>
      <c r="AM51" s="3">
        <f>IF($AL51="",0,IF('My investments'!$D51="",0,IF('My investments'!$C51="Money in",'My investments'!$D51/$AL51,IF('My investments'!$C51="Money out",-'My investments'!$D51/$AL51,0))))</f>
        <v>0</v>
      </c>
    </row>
    <row r="52">
      <c r="F52" s="3">
        <f>IF($M52&lt;0,$H52,$F51)</f>
        <v>0.155146484375</v>
      </c>
      <c r="G52" s="3">
        <f>IF($M52&lt;0,$G51,$H52)</f>
        <v>0.1558740234375</v>
      </c>
      <c r="H52" s="3">
        <f>($F51+$G51)/2</f>
        <v>0.1558740234375</v>
      </c>
      <c r="M52" s="3">
        <f>IF($G$10=0,0,(IF('Plan my goal'!$B$5="",0,'Plan my goal'!$B$5)*(1+$H52)^$G$4+IF('Plan my goal'!$B$7="",0,'Plan my goal'!$B$7)*IF(((1+$H52)^(1/12)-1)=0,12,(((1+((1+$H52)^(1/12)-1))^12-1)/((1+$H52)^(1/12)-1))*(1+((1+$H52)^(1/12)-1)))*(1+$H52)^($G$4-1)*IF(ABS(((1+$G$5)/(1+$H52))-1)&lt;0.000000000001,$G$4,(1-((1+$G$5)/(1+$H52))^$G$4)/(1-((1+$G$5)/(1+$H52))))-IF('Plan my goal'!$B$4="",0,'Plan my goal'!$B$4)))</f>
        <v>30.7165681906045</v>
      </c>
      <c r="X52" s="3">
        <f>IF('My investments'!$B52="",0,IF('My investments'!$E52="",0,'My investments'!$E52))</f>
        <v>0</v>
      </c>
      <c r="Y52" s="25">
        <f>IF('My investments'!$B52="",$D$8,'My investments'!$B52)</f>
        <v>0</v>
      </c>
      <c r="Z52" s="3">
        <f>IF('My investments'!$C52="Worth today",0,$X52)</f>
        <v>0</v>
      </c>
      <c r="AA52" s="3">
        <f>IF('My investments'!$H$15="",0,IF('My investments'!$F52='My investments'!$H$15,$X52,0))</f>
        <v>0</v>
      </c>
      <c r="AB52" s="3">
        <f>IF('My investments'!$H$16="",0,IF('My investments'!$F52='My investments'!$H$16,$X52,0))</f>
        <v>0</v>
      </c>
      <c r="AC52" s="3">
        <f>IF('My investments'!$H$17="",0,IF('My investments'!$F52='My investments'!$H$17,$X52,0))</f>
        <v>0</v>
      </c>
      <c r="AD52" s="3">
        <f>IF('My investments'!$H$18="",0,IF('My investments'!$F52='My investments'!$H$18,$X52,0))</f>
        <v>0</v>
      </c>
      <c r="AE52" s="3">
        <f>IF('My investments'!$H$19="",0,IF('My investments'!$F52='My investments'!$H$19,$X52,0))</f>
        <v>0</v>
      </c>
      <c r="AF52" s="3">
        <f>IF('My investments'!$H$20="",0,IF('My investments'!$F52='My investments'!$H$20,$X52,0))</f>
        <v>0</v>
      </c>
      <c r="AG52" s="3">
        <f>IF('My investments'!$H$21="",0,IF('My investments'!$F52='My investments'!$H$21,$X52,0))</f>
        <v>0</v>
      </c>
      <c r="AH52" s="3">
        <f>IF('My investments'!$H$22="",0,IF('My investments'!$F52='My investments'!$H$22,$X52,0))</f>
        <v>0</v>
      </c>
      <c r="AI52" s="3">
        <f>IF('My investments'!$H$23="",0,IF('My investments'!$F52='My investments'!$H$23,$X52,0))</f>
        <v>0</v>
      </c>
      <c r="AJ52" s="3">
        <f>IF('My investments'!$H$24="",0,IF('My investments'!$F52='My investments'!$H$24,$X52,0))</f>
        <v>0</v>
      </c>
      <c r="AL52" s="3" t="str">
        <f>IF('My investments'!$B52="","",IF($D$10=0,"",IFERROR(INDEX('Index history'!$B$8:$B$5007,MATCH('My investments'!$B52,'Index history'!$A$8:$A$5007,1)),"")))</f>
        <v/>
      </c>
      <c r="AM52" s="3">
        <f>IF($AL52="",0,IF('My investments'!$D52="",0,IF('My investments'!$C52="Money in",'My investments'!$D52/$AL52,IF('My investments'!$C52="Money out",-'My investments'!$D52/$AL52,0))))</f>
        <v>0</v>
      </c>
    </row>
    <row r="53">
      <c r="F53" s="3">
        <f>IF($M53&lt;0,$H53,$F52)</f>
        <v>0.15551025390625</v>
      </c>
      <c r="G53" s="3">
        <f>IF($M53&lt;0,$G52,$H53)</f>
        <v>0.1558740234375</v>
      </c>
      <c r="H53" s="3">
        <f>($F52+$G52)/2</f>
        <v>0.15551025390625</v>
      </c>
      <c r="M53" s="3">
        <f>IF($G$10=0,0,(IF('Plan my goal'!$B$5="",0,'Plan my goal'!$B$5)*(1+$H53)^$G$4+IF('Plan my goal'!$B$7="",0,'Plan my goal'!$B$7)*IF(((1+$H53)^(1/12)-1)=0,12,(((1+((1+$H53)^(1/12)-1))^12-1)/((1+$H53)^(1/12)-1))*(1+((1+$H53)^(1/12)-1)))*(1+$H53)^($G$4-1)*IF(ABS(((1+$G$5)/(1+$H53))-1)&lt;0.000000000001,$G$4,(1-((1+$G$5)/(1+$H53))^$G$4)/(1-((1+$G$5)/(1+$H53))))-IF('Plan my goal'!$B$4="",0,'Plan my goal'!$B$4)))</f>
        <v>-37032.165646784</v>
      </c>
      <c r="X53" s="3">
        <f>IF('My investments'!$B53="",0,IF('My investments'!$E53="",0,'My investments'!$E53))</f>
        <v>0</v>
      </c>
      <c r="Y53" s="25">
        <f>IF('My investments'!$B53="",$D$8,'My investments'!$B53)</f>
        <v>0</v>
      </c>
      <c r="Z53" s="3">
        <f>IF('My investments'!$C53="Worth today",0,$X53)</f>
        <v>0</v>
      </c>
      <c r="AA53" s="3">
        <f>IF('My investments'!$H$15="",0,IF('My investments'!$F53='My investments'!$H$15,$X53,0))</f>
        <v>0</v>
      </c>
      <c r="AB53" s="3">
        <f>IF('My investments'!$H$16="",0,IF('My investments'!$F53='My investments'!$H$16,$X53,0))</f>
        <v>0</v>
      </c>
      <c r="AC53" s="3">
        <f>IF('My investments'!$H$17="",0,IF('My investments'!$F53='My investments'!$H$17,$X53,0))</f>
        <v>0</v>
      </c>
      <c r="AD53" s="3">
        <f>IF('My investments'!$H$18="",0,IF('My investments'!$F53='My investments'!$H$18,$X53,0))</f>
        <v>0</v>
      </c>
      <c r="AE53" s="3">
        <f>IF('My investments'!$H$19="",0,IF('My investments'!$F53='My investments'!$H$19,$X53,0))</f>
        <v>0</v>
      </c>
      <c r="AF53" s="3">
        <f>IF('My investments'!$H$20="",0,IF('My investments'!$F53='My investments'!$H$20,$X53,0))</f>
        <v>0</v>
      </c>
      <c r="AG53" s="3">
        <f>IF('My investments'!$H$21="",0,IF('My investments'!$F53='My investments'!$H$21,$X53,0))</f>
        <v>0</v>
      </c>
      <c r="AH53" s="3">
        <f>IF('My investments'!$H$22="",0,IF('My investments'!$F53='My investments'!$H$22,$X53,0))</f>
        <v>0</v>
      </c>
      <c r="AI53" s="3">
        <f>IF('My investments'!$H$23="",0,IF('My investments'!$F53='My investments'!$H$23,$X53,0))</f>
        <v>0</v>
      </c>
      <c r="AJ53" s="3">
        <f>IF('My investments'!$H$24="",0,IF('My investments'!$F53='My investments'!$H$24,$X53,0))</f>
        <v>0</v>
      </c>
      <c r="AL53" s="3" t="str">
        <f>IF('My investments'!$B53="","",IF($D$10=0,"",IFERROR(INDEX('Index history'!$B$8:$B$5007,MATCH('My investments'!$B53,'Index history'!$A$8:$A$5007,1)),"")))</f>
        <v/>
      </c>
      <c r="AM53" s="3">
        <f>IF($AL53="",0,IF('My investments'!$D53="",0,IF('My investments'!$C53="Money in",'My investments'!$D53/$AL53,IF('My investments'!$C53="Money out",-'My investments'!$D53/$AL53,0))))</f>
        <v>0</v>
      </c>
    </row>
    <row r="54">
      <c r="F54" s="3">
        <f>IF($M54&lt;0,$H54,$F53)</f>
        <v>0.155692138671875</v>
      </c>
      <c r="G54" s="3">
        <f>IF($M54&lt;0,$G53,$H54)</f>
        <v>0.1558740234375</v>
      </c>
      <c r="H54" s="3">
        <f>($F53+$G53)/2</f>
        <v>0.155692138671875</v>
      </c>
      <c r="M54" s="3">
        <f>IF($G$10=0,0,(IF('Plan my goal'!$B$5="",0,'Plan my goal'!$B$5)*(1+$H54)^$G$4+IF('Plan my goal'!$B$7="",0,'Plan my goal'!$B$7)*IF(((1+$H54)^(1/12)-1)=0,12,(((1+((1+$H54)^(1/12)-1))^12-1)/((1+$H54)^(1/12)-1))*(1+((1+$H54)^(1/12)-1)))*(1+$H54)^($G$4-1)*IF(ABS(((1+$G$5)/(1+$H54))-1)&lt;0.000000000001,$G$4,(1-((1+$G$5)/(1+$H54))^$G$4)/(1-((1+$G$5)/(1+$H54))))-IF('Plan my goal'!$B$4="",0,'Plan my goal'!$B$4)))</f>
        <v>-18518.3616876081</v>
      </c>
      <c r="X54" s="3">
        <f>IF('My investments'!$B54="",0,IF('My investments'!$E54="",0,'My investments'!$E54))</f>
        <v>0</v>
      </c>
      <c r="Y54" s="25">
        <f>IF('My investments'!$B54="",$D$8,'My investments'!$B54)</f>
        <v>0</v>
      </c>
      <c r="Z54" s="3">
        <f>IF('My investments'!$C54="Worth today",0,$X54)</f>
        <v>0</v>
      </c>
      <c r="AA54" s="3">
        <f>IF('My investments'!$H$15="",0,IF('My investments'!$F54='My investments'!$H$15,$X54,0))</f>
        <v>0</v>
      </c>
      <c r="AB54" s="3">
        <f>IF('My investments'!$H$16="",0,IF('My investments'!$F54='My investments'!$H$16,$X54,0))</f>
        <v>0</v>
      </c>
      <c r="AC54" s="3">
        <f>IF('My investments'!$H$17="",0,IF('My investments'!$F54='My investments'!$H$17,$X54,0))</f>
        <v>0</v>
      </c>
      <c r="AD54" s="3">
        <f>IF('My investments'!$H$18="",0,IF('My investments'!$F54='My investments'!$H$18,$X54,0))</f>
        <v>0</v>
      </c>
      <c r="AE54" s="3">
        <f>IF('My investments'!$H$19="",0,IF('My investments'!$F54='My investments'!$H$19,$X54,0))</f>
        <v>0</v>
      </c>
      <c r="AF54" s="3">
        <f>IF('My investments'!$H$20="",0,IF('My investments'!$F54='My investments'!$H$20,$X54,0))</f>
        <v>0</v>
      </c>
      <c r="AG54" s="3">
        <f>IF('My investments'!$H$21="",0,IF('My investments'!$F54='My investments'!$H$21,$X54,0))</f>
        <v>0</v>
      </c>
      <c r="AH54" s="3">
        <f>IF('My investments'!$H$22="",0,IF('My investments'!$F54='My investments'!$H$22,$X54,0))</f>
        <v>0</v>
      </c>
      <c r="AI54" s="3">
        <f>IF('My investments'!$H$23="",0,IF('My investments'!$F54='My investments'!$H$23,$X54,0))</f>
        <v>0</v>
      </c>
      <c r="AJ54" s="3">
        <f>IF('My investments'!$H$24="",0,IF('My investments'!$F54='My investments'!$H$24,$X54,0))</f>
        <v>0</v>
      </c>
      <c r="AL54" s="3" t="str">
        <f>IF('My investments'!$B54="","",IF($D$10=0,"",IFERROR(INDEX('Index history'!$B$8:$B$5007,MATCH('My investments'!$B54,'Index history'!$A$8:$A$5007,1)),"")))</f>
        <v/>
      </c>
      <c r="AM54" s="3">
        <f>IF($AL54="",0,IF('My investments'!$D54="",0,IF('My investments'!$C54="Money in",'My investments'!$D54/$AL54,IF('My investments'!$C54="Money out",-'My investments'!$D54/$AL54,0))))</f>
        <v>0</v>
      </c>
    </row>
    <row r="55">
      <c r="F55" s="3">
        <f>IF($M55&lt;0,$H55,$F54)</f>
        <v>0.155783081054688</v>
      </c>
      <c r="G55" s="3">
        <f>IF($M55&lt;0,$G54,$H55)</f>
        <v>0.1558740234375</v>
      </c>
      <c r="H55" s="3">
        <f>($F54+$G54)/2</f>
        <v>0.155783081054688</v>
      </c>
      <c r="M55" s="3">
        <f>IF($G$10=0,0,(IF('Plan my goal'!$B$5="",0,'Plan my goal'!$B$5)*(1+$H55)^$G$4+IF('Plan my goal'!$B$7="",0,'Plan my goal'!$B$7)*IF(((1+$H55)^(1/12)-1)=0,12,(((1+((1+$H55)^(1/12)-1))^12-1)/((1+$H55)^(1/12)-1))*(1+((1+$H55)^(1/12)-1)))*(1+$H55)^($G$4-1)*IF(ABS(((1+$G$5)/(1+$H55))-1)&lt;0.000000000001,$G$4,(1-((1+$G$5)/(1+$H55))^$G$4)/(1-((1+$G$5)/(1+$H55))))-IF('Plan my goal'!$B$4="",0,'Plan my goal'!$B$4)))</f>
        <v>-9248.23591690883</v>
      </c>
      <c r="X55" s="3">
        <f>IF('My investments'!$B55="",0,IF('My investments'!$E55="",0,'My investments'!$E55))</f>
        <v>0</v>
      </c>
      <c r="Y55" s="25">
        <f>IF('My investments'!$B55="",$D$8,'My investments'!$B55)</f>
        <v>0</v>
      </c>
      <c r="Z55" s="3">
        <f>IF('My investments'!$C55="Worth today",0,$X55)</f>
        <v>0</v>
      </c>
      <c r="AA55" s="3">
        <f>IF('My investments'!$H$15="",0,IF('My investments'!$F55='My investments'!$H$15,$X55,0))</f>
        <v>0</v>
      </c>
      <c r="AB55" s="3">
        <f>IF('My investments'!$H$16="",0,IF('My investments'!$F55='My investments'!$H$16,$X55,0))</f>
        <v>0</v>
      </c>
      <c r="AC55" s="3">
        <f>IF('My investments'!$H$17="",0,IF('My investments'!$F55='My investments'!$H$17,$X55,0))</f>
        <v>0</v>
      </c>
      <c r="AD55" s="3">
        <f>IF('My investments'!$H$18="",0,IF('My investments'!$F55='My investments'!$H$18,$X55,0))</f>
        <v>0</v>
      </c>
      <c r="AE55" s="3">
        <f>IF('My investments'!$H$19="",0,IF('My investments'!$F55='My investments'!$H$19,$X55,0))</f>
        <v>0</v>
      </c>
      <c r="AF55" s="3">
        <f>IF('My investments'!$H$20="",0,IF('My investments'!$F55='My investments'!$H$20,$X55,0))</f>
        <v>0</v>
      </c>
      <c r="AG55" s="3">
        <f>IF('My investments'!$H$21="",0,IF('My investments'!$F55='My investments'!$H$21,$X55,0))</f>
        <v>0</v>
      </c>
      <c r="AH55" s="3">
        <f>IF('My investments'!$H$22="",0,IF('My investments'!$F55='My investments'!$H$22,$X55,0))</f>
        <v>0</v>
      </c>
      <c r="AI55" s="3">
        <f>IF('My investments'!$H$23="",0,IF('My investments'!$F55='My investments'!$H$23,$X55,0))</f>
        <v>0</v>
      </c>
      <c r="AJ55" s="3">
        <f>IF('My investments'!$H$24="",0,IF('My investments'!$F55='My investments'!$H$24,$X55,0))</f>
        <v>0</v>
      </c>
      <c r="AL55" s="3" t="str">
        <f>IF('My investments'!$B55="","",IF($D$10=0,"",IFERROR(INDEX('Index history'!$B$8:$B$5007,MATCH('My investments'!$B55,'Index history'!$A$8:$A$5007,1)),"")))</f>
        <v/>
      </c>
      <c r="AM55" s="3">
        <f>IF($AL55="",0,IF('My investments'!$D55="",0,IF('My investments'!$C55="Money in",'My investments'!$D55/$AL55,IF('My investments'!$C55="Money out",-'My investments'!$D55/$AL55,0))))</f>
        <v>0</v>
      </c>
    </row>
    <row r="56">
      <c r="F56" s="3">
        <f>IF($M56&lt;0,$H56,$F55)</f>
        <v>0.155828552246094</v>
      </c>
      <c r="G56" s="3">
        <f>IF($M56&lt;0,$G55,$H56)</f>
        <v>0.1558740234375</v>
      </c>
      <c r="H56" s="3">
        <f>($F55+$G55)/2</f>
        <v>0.155828552246094</v>
      </c>
      <c r="M56" s="3">
        <f>IF($G$10=0,0,(IF('Plan my goal'!$B$5="",0,'Plan my goal'!$B$5)*(1+$H56)^$G$4+IF('Plan my goal'!$B$7="",0,'Plan my goal'!$B$7)*IF(((1+$H56)^(1/12)-1)=0,12,(((1+((1+$H56)^(1/12)-1))^12-1)/((1+$H56)^(1/12)-1))*(1+((1+$H56)^(1/12)-1)))*(1+$H56)^($G$4-1)*IF(ABS(((1+$G$5)/(1+$H56))-1)&lt;0.000000000001,$G$4,(1-((1+$G$5)/(1+$H56))^$G$4)/(1-((1+$G$5)/(1+$H56))))-IF('Plan my goal'!$B$4="",0,'Plan my goal'!$B$4)))</f>
        <v>-4609.86352278665</v>
      </c>
      <c r="X56" s="3">
        <f>IF('My investments'!$B56="",0,IF('My investments'!$E56="",0,'My investments'!$E56))</f>
        <v>0</v>
      </c>
      <c r="Y56" s="25">
        <f>IF('My investments'!$B56="",$D$8,'My investments'!$B56)</f>
        <v>0</v>
      </c>
      <c r="Z56" s="3">
        <f>IF('My investments'!$C56="Worth today",0,$X56)</f>
        <v>0</v>
      </c>
      <c r="AA56" s="3">
        <f>IF('My investments'!$H$15="",0,IF('My investments'!$F56='My investments'!$H$15,$X56,0))</f>
        <v>0</v>
      </c>
      <c r="AB56" s="3">
        <f>IF('My investments'!$H$16="",0,IF('My investments'!$F56='My investments'!$H$16,$X56,0))</f>
        <v>0</v>
      </c>
      <c r="AC56" s="3">
        <f>IF('My investments'!$H$17="",0,IF('My investments'!$F56='My investments'!$H$17,$X56,0))</f>
        <v>0</v>
      </c>
      <c r="AD56" s="3">
        <f>IF('My investments'!$H$18="",0,IF('My investments'!$F56='My investments'!$H$18,$X56,0))</f>
        <v>0</v>
      </c>
      <c r="AE56" s="3">
        <f>IF('My investments'!$H$19="",0,IF('My investments'!$F56='My investments'!$H$19,$X56,0))</f>
        <v>0</v>
      </c>
      <c r="AF56" s="3">
        <f>IF('My investments'!$H$20="",0,IF('My investments'!$F56='My investments'!$H$20,$X56,0))</f>
        <v>0</v>
      </c>
      <c r="AG56" s="3">
        <f>IF('My investments'!$H$21="",0,IF('My investments'!$F56='My investments'!$H$21,$X56,0))</f>
        <v>0</v>
      </c>
      <c r="AH56" s="3">
        <f>IF('My investments'!$H$22="",0,IF('My investments'!$F56='My investments'!$H$22,$X56,0))</f>
        <v>0</v>
      </c>
      <c r="AI56" s="3">
        <f>IF('My investments'!$H$23="",0,IF('My investments'!$F56='My investments'!$H$23,$X56,0))</f>
        <v>0</v>
      </c>
      <c r="AJ56" s="3">
        <f>IF('My investments'!$H$24="",0,IF('My investments'!$F56='My investments'!$H$24,$X56,0))</f>
        <v>0</v>
      </c>
      <c r="AL56" s="3" t="str">
        <f>IF('My investments'!$B56="","",IF($D$10=0,"",IFERROR(INDEX('Index history'!$B$8:$B$5007,MATCH('My investments'!$B56,'Index history'!$A$8:$A$5007,1)),"")))</f>
        <v/>
      </c>
      <c r="AM56" s="3">
        <f>IF($AL56="",0,IF('My investments'!$D56="",0,IF('My investments'!$C56="Money in",'My investments'!$D56/$AL56,IF('My investments'!$C56="Money out",-'My investments'!$D56/$AL56,0))))</f>
        <v>0</v>
      </c>
    </row>
    <row r="57">
      <c r="F57" s="3">
        <f>IF($M57&lt;0,$H57,$F56)</f>
        <v>0.155851287841797</v>
      </c>
      <c r="G57" s="3">
        <f>IF($M57&lt;0,$G56,$H57)</f>
        <v>0.1558740234375</v>
      </c>
      <c r="H57" s="3">
        <f>($F56+$G56)/2</f>
        <v>0.155851287841797</v>
      </c>
      <c r="M57" s="3">
        <f>IF($G$10=0,0,(IF('Plan my goal'!$B$5="",0,'Plan my goal'!$B$5)*(1+$H57)^$G$4+IF('Plan my goal'!$B$7="",0,'Plan my goal'!$B$7)*IF(((1+$H57)^(1/12)-1)=0,12,(((1+((1+$H57)^(1/12)-1))^12-1)/((1+$H57)^(1/12)-1))*(1+((1+$H57)^(1/12)-1)))*(1+$H57)^($G$4-1)*IF(ABS(((1+$G$5)/(1+$H57))-1)&lt;0.000000000001,$G$4,(1-((1+$G$5)/(1+$H57))^$G$4)/(1-((1+$G$5)/(1+$H57))))-IF('Plan my goal'!$B$4="",0,'Plan my goal'!$B$4)))</f>
        <v>-2289.84950309619</v>
      </c>
      <c r="X57" s="3">
        <f>IF('My investments'!$B57="",0,IF('My investments'!$E57="",0,'My investments'!$E57))</f>
        <v>0</v>
      </c>
      <c r="Y57" s="25">
        <f>IF('My investments'!$B57="",$D$8,'My investments'!$B57)</f>
        <v>0</v>
      </c>
      <c r="Z57" s="3">
        <f>IF('My investments'!$C57="Worth today",0,$X57)</f>
        <v>0</v>
      </c>
      <c r="AA57" s="3">
        <f>IF('My investments'!$H$15="",0,IF('My investments'!$F57='My investments'!$H$15,$X57,0))</f>
        <v>0</v>
      </c>
      <c r="AB57" s="3">
        <f>IF('My investments'!$H$16="",0,IF('My investments'!$F57='My investments'!$H$16,$X57,0))</f>
        <v>0</v>
      </c>
      <c r="AC57" s="3">
        <f>IF('My investments'!$H$17="",0,IF('My investments'!$F57='My investments'!$H$17,$X57,0))</f>
        <v>0</v>
      </c>
      <c r="AD57" s="3">
        <f>IF('My investments'!$H$18="",0,IF('My investments'!$F57='My investments'!$H$18,$X57,0))</f>
        <v>0</v>
      </c>
      <c r="AE57" s="3">
        <f>IF('My investments'!$H$19="",0,IF('My investments'!$F57='My investments'!$H$19,$X57,0))</f>
        <v>0</v>
      </c>
      <c r="AF57" s="3">
        <f>IF('My investments'!$H$20="",0,IF('My investments'!$F57='My investments'!$H$20,$X57,0))</f>
        <v>0</v>
      </c>
      <c r="AG57" s="3">
        <f>IF('My investments'!$H$21="",0,IF('My investments'!$F57='My investments'!$H$21,$X57,0))</f>
        <v>0</v>
      </c>
      <c r="AH57" s="3">
        <f>IF('My investments'!$H$22="",0,IF('My investments'!$F57='My investments'!$H$22,$X57,0))</f>
        <v>0</v>
      </c>
      <c r="AI57" s="3">
        <f>IF('My investments'!$H$23="",0,IF('My investments'!$F57='My investments'!$H$23,$X57,0))</f>
        <v>0</v>
      </c>
      <c r="AJ57" s="3">
        <f>IF('My investments'!$H$24="",0,IF('My investments'!$F57='My investments'!$H$24,$X57,0))</f>
        <v>0</v>
      </c>
      <c r="AL57" s="3" t="str">
        <f>IF('My investments'!$B57="","",IF($D$10=0,"",IFERROR(INDEX('Index history'!$B$8:$B$5007,MATCH('My investments'!$B57,'Index history'!$A$8:$A$5007,1)),"")))</f>
        <v/>
      </c>
      <c r="AM57" s="3">
        <f>IF($AL57="",0,IF('My investments'!$D57="",0,IF('My investments'!$C57="Money in",'My investments'!$D57/$AL57,IF('My investments'!$C57="Money out",-'My investments'!$D57/$AL57,0))))</f>
        <v>0</v>
      </c>
    </row>
    <row r="58">
      <c r="F58" s="3">
        <f>IF($M58&lt;0,$H58,$F57)</f>
        <v>0.155862655639648</v>
      </c>
      <c r="G58" s="3">
        <f>IF($M58&lt;0,$G57,$H58)</f>
        <v>0.1558740234375</v>
      </c>
      <c r="H58" s="3">
        <f>($F57+$G57)/2</f>
        <v>0.155862655639648</v>
      </c>
      <c r="M58" s="3">
        <f>IF($G$10=0,0,(IF('Plan my goal'!$B$5="",0,'Plan my goal'!$B$5)*(1+$H58)^$G$4+IF('Plan my goal'!$B$7="",0,'Plan my goal'!$B$7)*IF(((1+$H58)^(1/12)-1)=0,12,(((1+((1+$H58)^(1/12)-1))^12-1)/((1+$H58)^(1/12)-1))*(1+((1+$H58)^(1/12)-1)))*(1+$H58)^($G$4-1)*IF(ABS(((1+$G$5)/(1+$H58))-1)&lt;0.000000000001,$G$4,(1-((1+$G$5)/(1+$H58))^$G$4)/(1-((1+$G$5)/(1+$H58))))-IF('Plan my goal'!$B$4="",0,'Plan my goal'!$B$4)))</f>
        <v>-1129.63548185118</v>
      </c>
      <c r="X58" s="3">
        <f>IF('My investments'!$B58="",0,IF('My investments'!$E58="",0,'My investments'!$E58))</f>
        <v>0</v>
      </c>
      <c r="Y58" s="25">
        <f>IF('My investments'!$B58="",$D$8,'My investments'!$B58)</f>
        <v>0</v>
      </c>
      <c r="Z58" s="3">
        <f>IF('My investments'!$C58="Worth today",0,$X58)</f>
        <v>0</v>
      </c>
      <c r="AA58" s="3">
        <f>IF('My investments'!$H$15="",0,IF('My investments'!$F58='My investments'!$H$15,$X58,0))</f>
        <v>0</v>
      </c>
      <c r="AB58" s="3">
        <f>IF('My investments'!$H$16="",0,IF('My investments'!$F58='My investments'!$H$16,$X58,0))</f>
        <v>0</v>
      </c>
      <c r="AC58" s="3">
        <f>IF('My investments'!$H$17="",0,IF('My investments'!$F58='My investments'!$H$17,$X58,0))</f>
        <v>0</v>
      </c>
      <c r="AD58" s="3">
        <f>IF('My investments'!$H$18="",0,IF('My investments'!$F58='My investments'!$H$18,$X58,0))</f>
        <v>0</v>
      </c>
      <c r="AE58" s="3">
        <f>IF('My investments'!$H$19="",0,IF('My investments'!$F58='My investments'!$H$19,$X58,0))</f>
        <v>0</v>
      </c>
      <c r="AF58" s="3">
        <f>IF('My investments'!$H$20="",0,IF('My investments'!$F58='My investments'!$H$20,$X58,0))</f>
        <v>0</v>
      </c>
      <c r="AG58" s="3">
        <f>IF('My investments'!$H$21="",0,IF('My investments'!$F58='My investments'!$H$21,$X58,0))</f>
        <v>0</v>
      </c>
      <c r="AH58" s="3">
        <f>IF('My investments'!$H$22="",0,IF('My investments'!$F58='My investments'!$H$22,$X58,0))</f>
        <v>0</v>
      </c>
      <c r="AI58" s="3">
        <f>IF('My investments'!$H$23="",0,IF('My investments'!$F58='My investments'!$H$23,$X58,0))</f>
        <v>0</v>
      </c>
      <c r="AJ58" s="3">
        <f>IF('My investments'!$H$24="",0,IF('My investments'!$F58='My investments'!$H$24,$X58,0))</f>
        <v>0</v>
      </c>
      <c r="AL58" s="3" t="str">
        <f>IF('My investments'!$B58="","",IF($D$10=0,"",IFERROR(INDEX('Index history'!$B$8:$B$5007,MATCH('My investments'!$B58,'Index history'!$A$8:$A$5007,1)),"")))</f>
        <v/>
      </c>
      <c r="AM58" s="3">
        <f>IF($AL58="",0,IF('My investments'!$D58="",0,IF('My investments'!$C58="Money in",'My investments'!$D58/$AL58,IF('My investments'!$C58="Money out",-'My investments'!$D58/$AL58,0))))</f>
        <v>0</v>
      </c>
    </row>
    <row r="59">
      <c r="F59" s="3">
        <f>IF($M59&lt;0,$H59,$F58)</f>
        <v>0.155868339538574</v>
      </c>
      <c r="G59" s="3">
        <f>IF($M59&lt;0,$G58,$H59)</f>
        <v>0.1558740234375</v>
      </c>
      <c r="H59" s="3">
        <f>($F58+$G58)/2</f>
        <v>0.155868339538574</v>
      </c>
      <c r="M59" s="3">
        <f>IF($G$10=0,0,(IF('Plan my goal'!$B$5="",0,'Plan my goal'!$B$5)*(1+$H59)^$G$4+IF('Plan my goal'!$B$7="",0,'Plan my goal'!$B$7)*IF(((1+$H59)^(1/12)-1)=0,12,(((1+((1+$H59)^(1/12)-1))^12-1)/((1+$H59)^(1/12)-1))*(1+((1+$H59)^(1/12)-1)))*(1+$H59)^($G$4-1)*IF(ABS(((1+$G$5)/(1+$H59))-1)&lt;0.000000000001,$G$4,(1-((1+$G$5)/(1+$H59))^$G$4)/(1-((1+$G$5)/(1+$H59))))-IF('Plan my goal'!$B$4="",0,'Plan my goal'!$B$4)))</f>
        <v>-549.47671141848</v>
      </c>
      <c r="X59" s="3">
        <f>IF('My investments'!$B59="",0,IF('My investments'!$E59="",0,'My investments'!$E59))</f>
        <v>0</v>
      </c>
      <c r="Y59" s="25">
        <f>IF('My investments'!$B59="",$D$8,'My investments'!$B59)</f>
        <v>0</v>
      </c>
      <c r="Z59" s="3">
        <f>IF('My investments'!$C59="Worth today",0,$X59)</f>
        <v>0</v>
      </c>
      <c r="AA59" s="3">
        <f>IF('My investments'!$H$15="",0,IF('My investments'!$F59='My investments'!$H$15,$X59,0))</f>
        <v>0</v>
      </c>
      <c r="AB59" s="3">
        <f>IF('My investments'!$H$16="",0,IF('My investments'!$F59='My investments'!$H$16,$X59,0))</f>
        <v>0</v>
      </c>
      <c r="AC59" s="3">
        <f>IF('My investments'!$H$17="",0,IF('My investments'!$F59='My investments'!$H$17,$X59,0))</f>
        <v>0</v>
      </c>
      <c r="AD59" s="3">
        <f>IF('My investments'!$H$18="",0,IF('My investments'!$F59='My investments'!$H$18,$X59,0))</f>
        <v>0</v>
      </c>
      <c r="AE59" s="3">
        <f>IF('My investments'!$H$19="",0,IF('My investments'!$F59='My investments'!$H$19,$X59,0))</f>
        <v>0</v>
      </c>
      <c r="AF59" s="3">
        <f>IF('My investments'!$H$20="",0,IF('My investments'!$F59='My investments'!$H$20,$X59,0))</f>
        <v>0</v>
      </c>
      <c r="AG59" s="3">
        <f>IF('My investments'!$H$21="",0,IF('My investments'!$F59='My investments'!$H$21,$X59,0))</f>
        <v>0</v>
      </c>
      <c r="AH59" s="3">
        <f>IF('My investments'!$H$22="",0,IF('My investments'!$F59='My investments'!$H$22,$X59,0))</f>
        <v>0</v>
      </c>
      <c r="AI59" s="3">
        <f>IF('My investments'!$H$23="",0,IF('My investments'!$F59='My investments'!$H$23,$X59,0))</f>
        <v>0</v>
      </c>
      <c r="AJ59" s="3">
        <f>IF('My investments'!$H$24="",0,IF('My investments'!$F59='My investments'!$H$24,$X59,0))</f>
        <v>0</v>
      </c>
      <c r="AL59" s="3" t="str">
        <f>IF('My investments'!$B59="","",IF($D$10=0,"",IFERROR(INDEX('Index history'!$B$8:$B$5007,MATCH('My investments'!$B59,'Index history'!$A$8:$A$5007,1)),"")))</f>
        <v/>
      </c>
      <c r="AM59" s="3">
        <f>IF($AL59="",0,IF('My investments'!$D59="",0,IF('My investments'!$C59="Money in",'My investments'!$D59/$AL59,IF('My investments'!$C59="Money out",-'My investments'!$D59/$AL59,0))))</f>
        <v>0</v>
      </c>
    </row>
    <row r="60">
      <c r="F60" s="3">
        <f>IF($M60&lt;0,$H60,$F59)</f>
        <v>0.155871181488037</v>
      </c>
      <c r="G60" s="3">
        <f>IF($M60&lt;0,$G59,$H60)</f>
        <v>0.1558740234375</v>
      </c>
      <c r="H60" s="3">
        <f>($F59+$G59)/2</f>
        <v>0.155871181488037</v>
      </c>
      <c r="M60" s="3">
        <f>IF($G$10=0,0,(IF('Plan my goal'!$B$5="",0,'Plan my goal'!$B$5)*(1+$H60)^$G$4+IF('Plan my goal'!$B$7="",0,'Plan my goal'!$B$7)*IF(((1+$H60)^(1/12)-1)=0,12,(((1+((1+$H60)^(1/12)-1))^12-1)/((1+$H60)^(1/12)-1))*(1+((1+$H60)^(1/12)-1)))*(1+$H60)^($G$4-1)*IF(ABS(((1+$G$5)/(1+$H60))-1)&lt;0.000000000001,$G$4,(1-((1+$G$5)/(1+$H60))^$G$4)/(1-((1+$G$5)/(1+$H60))))-IF('Plan my goal'!$B$4="",0,'Plan my goal'!$B$4)))</f>
        <v>-259.384385388345</v>
      </c>
      <c r="X60" s="3">
        <f>IF('My investments'!$B60="",0,IF('My investments'!$E60="",0,'My investments'!$E60))</f>
        <v>0</v>
      </c>
      <c r="Y60" s="25">
        <f>IF('My investments'!$B60="",$D$8,'My investments'!$B60)</f>
        <v>0</v>
      </c>
      <c r="Z60" s="3">
        <f>IF('My investments'!$C60="Worth today",0,$X60)</f>
        <v>0</v>
      </c>
      <c r="AA60" s="3">
        <f>IF('My investments'!$H$15="",0,IF('My investments'!$F60='My investments'!$H$15,$X60,0))</f>
        <v>0</v>
      </c>
      <c r="AB60" s="3">
        <f>IF('My investments'!$H$16="",0,IF('My investments'!$F60='My investments'!$H$16,$X60,0))</f>
        <v>0</v>
      </c>
      <c r="AC60" s="3">
        <f>IF('My investments'!$H$17="",0,IF('My investments'!$F60='My investments'!$H$17,$X60,0))</f>
        <v>0</v>
      </c>
      <c r="AD60" s="3">
        <f>IF('My investments'!$H$18="",0,IF('My investments'!$F60='My investments'!$H$18,$X60,0))</f>
        <v>0</v>
      </c>
      <c r="AE60" s="3">
        <f>IF('My investments'!$H$19="",0,IF('My investments'!$F60='My investments'!$H$19,$X60,0))</f>
        <v>0</v>
      </c>
      <c r="AF60" s="3">
        <f>IF('My investments'!$H$20="",0,IF('My investments'!$F60='My investments'!$H$20,$X60,0))</f>
        <v>0</v>
      </c>
      <c r="AG60" s="3">
        <f>IF('My investments'!$H$21="",0,IF('My investments'!$F60='My investments'!$H$21,$X60,0))</f>
        <v>0</v>
      </c>
      <c r="AH60" s="3">
        <f>IF('My investments'!$H$22="",0,IF('My investments'!$F60='My investments'!$H$22,$X60,0))</f>
        <v>0</v>
      </c>
      <c r="AI60" s="3">
        <f>IF('My investments'!$H$23="",0,IF('My investments'!$F60='My investments'!$H$23,$X60,0))</f>
        <v>0</v>
      </c>
      <c r="AJ60" s="3">
        <f>IF('My investments'!$H$24="",0,IF('My investments'!$F60='My investments'!$H$24,$X60,0))</f>
        <v>0</v>
      </c>
      <c r="AL60" s="3" t="str">
        <f>IF('My investments'!$B60="","",IF($D$10=0,"",IFERROR(INDEX('Index history'!$B$8:$B$5007,MATCH('My investments'!$B60,'Index history'!$A$8:$A$5007,1)),"")))</f>
        <v/>
      </c>
      <c r="AM60" s="3">
        <f>IF($AL60="",0,IF('My investments'!$D60="",0,IF('My investments'!$C60="Money in",'My investments'!$D60/$AL60,IF('My investments'!$C60="Money out",-'My investments'!$D60/$AL60,0))))</f>
        <v>0</v>
      </c>
    </row>
    <row r="61">
      <c r="F61" s="3">
        <f>IF($M61&lt;0,$H61,$F60)</f>
        <v>0.155872602462769</v>
      </c>
      <c r="G61" s="3">
        <f>IF($M61&lt;0,$G60,$H61)</f>
        <v>0.1558740234375</v>
      </c>
      <c r="H61" s="3">
        <f>($F60+$G60)/2</f>
        <v>0.155872602462769</v>
      </c>
      <c r="M61" s="3">
        <f>IF($G$10=0,0,(IF('Plan my goal'!$B$5="",0,'Plan my goal'!$B$5)*(1+$H61)^$G$4+IF('Plan my goal'!$B$7="",0,'Plan my goal'!$B$7)*IF(((1+$H61)^(1/12)-1)=0,12,(((1+((1+$H61)^(1/12)-1))^12-1)/((1+$H61)^(1/12)-1))*(1+((1+$H61)^(1/12)-1)))*(1+$H61)^($G$4-1)*IF(ABS(((1+$G$5)/(1+$H61))-1)&lt;0.000000000001,$G$4,(1-((1+$G$5)/(1+$H61))^$G$4)/(1-((1+$G$5)/(1+$H61))))-IF('Plan my goal'!$B$4="",0,'Plan my goal'!$B$4)))</f>
        <v>-114.334987061098</v>
      </c>
      <c r="X61" s="3">
        <f>IF('My investments'!$B61="",0,IF('My investments'!$E61="",0,'My investments'!$E61))</f>
        <v>0</v>
      </c>
      <c r="Y61" s="25">
        <f>IF('My investments'!$B61="",$D$8,'My investments'!$B61)</f>
        <v>0</v>
      </c>
      <c r="Z61" s="3">
        <f>IF('My investments'!$C61="Worth today",0,$X61)</f>
        <v>0</v>
      </c>
      <c r="AA61" s="3">
        <f>IF('My investments'!$H$15="",0,IF('My investments'!$F61='My investments'!$H$15,$X61,0))</f>
        <v>0</v>
      </c>
      <c r="AB61" s="3">
        <f>IF('My investments'!$H$16="",0,IF('My investments'!$F61='My investments'!$H$16,$X61,0))</f>
        <v>0</v>
      </c>
      <c r="AC61" s="3">
        <f>IF('My investments'!$H$17="",0,IF('My investments'!$F61='My investments'!$H$17,$X61,0))</f>
        <v>0</v>
      </c>
      <c r="AD61" s="3">
        <f>IF('My investments'!$H$18="",0,IF('My investments'!$F61='My investments'!$H$18,$X61,0))</f>
        <v>0</v>
      </c>
      <c r="AE61" s="3">
        <f>IF('My investments'!$H$19="",0,IF('My investments'!$F61='My investments'!$H$19,$X61,0))</f>
        <v>0</v>
      </c>
      <c r="AF61" s="3">
        <f>IF('My investments'!$H$20="",0,IF('My investments'!$F61='My investments'!$H$20,$X61,0))</f>
        <v>0</v>
      </c>
      <c r="AG61" s="3">
        <f>IF('My investments'!$H$21="",0,IF('My investments'!$F61='My investments'!$H$21,$X61,0))</f>
        <v>0</v>
      </c>
      <c r="AH61" s="3">
        <f>IF('My investments'!$H$22="",0,IF('My investments'!$F61='My investments'!$H$22,$X61,0))</f>
        <v>0</v>
      </c>
      <c r="AI61" s="3">
        <f>IF('My investments'!$H$23="",0,IF('My investments'!$F61='My investments'!$H$23,$X61,0))</f>
        <v>0</v>
      </c>
      <c r="AJ61" s="3">
        <f>IF('My investments'!$H$24="",0,IF('My investments'!$F61='My investments'!$H$24,$X61,0))</f>
        <v>0</v>
      </c>
      <c r="AL61" s="3" t="str">
        <f>IF('My investments'!$B61="","",IF($D$10=0,"",IFERROR(INDEX('Index history'!$B$8:$B$5007,MATCH('My investments'!$B61,'Index history'!$A$8:$A$5007,1)),"")))</f>
        <v/>
      </c>
      <c r="AM61" s="3">
        <f>IF($AL61="",0,IF('My investments'!$D61="",0,IF('My investments'!$C61="Money in",'My investments'!$D61/$AL61,IF('My investments'!$C61="Money out",-'My investments'!$D61/$AL61,0))))</f>
        <v>0</v>
      </c>
    </row>
    <row r="62">
      <c r="F62" s="3">
        <f>IF($M62&lt;0,$H62,$F61)</f>
        <v>0.155873312950134</v>
      </c>
      <c r="G62" s="3">
        <f>IF($M62&lt;0,$G61,$H62)</f>
        <v>0.1558740234375</v>
      </c>
      <c r="H62" s="3">
        <f>($F61+$G61)/2</f>
        <v>0.155873312950134</v>
      </c>
      <c r="M62" s="3">
        <f>IF($G$10=0,0,(IF('Plan my goal'!$B$5="",0,'Plan my goal'!$B$5)*(1+$H62)^$G$4+IF('Plan my goal'!$B$7="",0,'Plan my goal'!$B$7)*IF(((1+$H62)^(1/12)-1)=0,12,(((1+((1+$H62)^(1/12)-1))^12-1)/((1+$H62)^(1/12)-1))*(1+((1+$H62)^(1/12)-1)))*(1+$H62)^($G$4-1)*IF(ABS(((1+$G$5)/(1+$H62))-1)&lt;0.000000000001,$G$4,(1-((1+$G$5)/(1+$H62))^$G$4)/(1-((1+$G$5)/(1+$H62))))-IF('Plan my goal'!$B$4="",0,'Plan my goal'!$B$4)))</f>
        <v>-41.8094790428877</v>
      </c>
      <c r="X62" s="3">
        <f>IF('My investments'!$B62="",0,IF('My investments'!$E62="",0,'My investments'!$E62))</f>
        <v>0</v>
      </c>
      <c r="Y62" s="25">
        <f>IF('My investments'!$B62="",$D$8,'My investments'!$B62)</f>
        <v>0</v>
      </c>
      <c r="Z62" s="3">
        <f>IF('My investments'!$C62="Worth today",0,$X62)</f>
        <v>0</v>
      </c>
      <c r="AA62" s="3">
        <f>IF('My investments'!$H$15="",0,IF('My investments'!$F62='My investments'!$H$15,$X62,0))</f>
        <v>0</v>
      </c>
      <c r="AB62" s="3">
        <f>IF('My investments'!$H$16="",0,IF('My investments'!$F62='My investments'!$H$16,$X62,0))</f>
        <v>0</v>
      </c>
      <c r="AC62" s="3">
        <f>IF('My investments'!$H$17="",0,IF('My investments'!$F62='My investments'!$H$17,$X62,0))</f>
        <v>0</v>
      </c>
      <c r="AD62" s="3">
        <f>IF('My investments'!$H$18="",0,IF('My investments'!$F62='My investments'!$H$18,$X62,0))</f>
        <v>0</v>
      </c>
      <c r="AE62" s="3">
        <f>IF('My investments'!$H$19="",0,IF('My investments'!$F62='My investments'!$H$19,$X62,0))</f>
        <v>0</v>
      </c>
      <c r="AF62" s="3">
        <f>IF('My investments'!$H$20="",0,IF('My investments'!$F62='My investments'!$H$20,$X62,0))</f>
        <v>0</v>
      </c>
      <c r="AG62" s="3">
        <f>IF('My investments'!$H$21="",0,IF('My investments'!$F62='My investments'!$H$21,$X62,0))</f>
        <v>0</v>
      </c>
      <c r="AH62" s="3">
        <f>IF('My investments'!$H$22="",0,IF('My investments'!$F62='My investments'!$H$22,$X62,0))</f>
        <v>0</v>
      </c>
      <c r="AI62" s="3">
        <f>IF('My investments'!$H$23="",0,IF('My investments'!$F62='My investments'!$H$23,$X62,0))</f>
        <v>0</v>
      </c>
      <c r="AJ62" s="3">
        <f>IF('My investments'!$H$24="",0,IF('My investments'!$F62='My investments'!$H$24,$X62,0))</f>
        <v>0</v>
      </c>
      <c r="AL62" s="3" t="str">
        <f>IF('My investments'!$B62="","",IF($D$10=0,"",IFERROR(INDEX('Index history'!$B$8:$B$5007,MATCH('My investments'!$B62,'Index history'!$A$8:$A$5007,1)),"")))</f>
        <v/>
      </c>
      <c r="AM62" s="3">
        <f>IF($AL62="",0,IF('My investments'!$D62="",0,IF('My investments'!$C62="Money in",'My investments'!$D62/$AL62,IF('My investments'!$C62="Money out",-'My investments'!$D62/$AL62,0))))</f>
        <v>0</v>
      </c>
    </row>
    <row r="63">
      <c r="F63" s="3">
        <f>IF($M63&lt;0,$H63,$F62)</f>
        <v>0.155873668193817</v>
      </c>
      <c r="G63" s="3">
        <f>IF($M63&lt;0,$G62,$H63)</f>
        <v>0.1558740234375</v>
      </c>
      <c r="H63" s="3">
        <f>($F62+$G62)/2</f>
        <v>0.155873668193817</v>
      </c>
      <c r="M63" s="3">
        <f>IF($G$10=0,0,(IF('Plan my goal'!$B$5="",0,'Plan my goal'!$B$5)*(1+$H63)^$G$4+IF('Plan my goal'!$B$7="",0,'Plan my goal'!$B$7)*IF(((1+$H63)^(1/12)-1)=0,12,(((1+((1+$H63)^(1/12)-1))^12-1)/((1+$H63)^(1/12)-1))*(1+((1+$H63)^(1/12)-1)))*(1+$H63)^($G$4-1)*IF(ABS(((1+$G$5)/(1+$H63))-1)&lt;0.000000000001,$G$4,(1-((1+$G$5)/(1+$H63))^$G$4)/(1-((1+$G$5)/(1+$H63))))-IF('Plan my goal'!$B$4="",0,'Plan my goal'!$B$4)))</f>
        <v>-5.54652283899486</v>
      </c>
      <c r="X63" s="3">
        <f>IF('My investments'!$B63="",0,IF('My investments'!$E63="",0,'My investments'!$E63))</f>
        <v>0</v>
      </c>
      <c r="Y63" s="25">
        <f>IF('My investments'!$B63="",$D$8,'My investments'!$B63)</f>
        <v>0</v>
      </c>
      <c r="Z63" s="3">
        <f>IF('My investments'!$C63="Worth today",0,$X63)</f>
        <v>0</v>
      </c>
      <c r="AA63" s="3">
        <f>IF('My investments'!$H$15="",0,IF('My investments'!$F63='My investments'!$H$15,$X63,0))</f>
        <v>0</v>
      </c>
      <c r="AB63" s="3">
        <f>IF('My investments'!$H$16="",0,IF('My investments'!$F63='My investments'!$H$16,$X63,0))</f>
        <v>0</v>
      </c>
      <c r="AC63" s="3">
        <f>IF('My investments'!$H$17="",0,IF('My investments'!$F63='My investments'!$H$17,$X63,0))</f>
        <v>0</v>
      </c>
      <c r="AD63" s="3">
        <f>IF('My investments'!$H$18="",0,IF('My investments'!$F63='My investments'!$H$18,$X63,0))</f>
        <v>0</v>
      </c>
      <c r="AE63" s="3">
        <f>IF('My investments'!$H$19="",0,IF('My investments'!$F63='My investments'!$H$19,$X63,0))</f>
        <v>0</v>
      </c>
      <c r="AF63" s="3">
        <f>IF('My investments'!$H$20="",0,IF('My investments'!$F63='My investments'!$H$20,$X63,0))</f>
        <v>0</v>
      </c>
      <c r="AG63" s="3">
        <f>IF('My investments'!$H$21="",0,IF('My investments'!$F63='My investments'!$H$21,$X63,0))</f>
        <v>0</v>
      </c>
      <c r="AH63" s="3">
        <f>IF('My investments'!$H$22="",0,IF('My investments'!$F63='My investments'!$H$22,$X63,0))</f>
        <v>0</v>
      </c>
      <c r="AI63" s="3">
        <f>IF('My investments'!$H$23="",0,IF('My investments'!$F63='My investments'!$H$23,$X63,0))</f>
        <v>0</v>
      </c>
      <c r="AJ63" s="3">
        <f>IF('My investments'!$H$24="",0,IF('My investments'!$F63='My investments'!$H$24,$X63,0))</f>
        <v>0</v>
      </c>
      <c r="AL63" s="3" t="str">
        <f>IF('My investments'!$B63="","",IF($D$10=0,"",IFERROR(INDEX('Index history'!$B$8:$B$5007,MATCH('My investments'!$B63,'Index history'!$A$8:$A$5007,1)),"")))</f>
        <v/>
      </c>
      <c r="AM63" s="3">
        <f>IF($AL63="",0,IF('My investments'!$D63="",0,IF('My investments'!$C63="Money in",'My investments'!$D63/$AL63,IF('My investments'!$C63="Money out",-'My investments'!$D63/$AL63,0))))</f>
        <v>0</v>
      </c>
    </row>
    <row r="64">
      <c r="F64" s="3">
        <f>IF($M64&lt;0,$H64,$F63)</f>
        <v>0.155873668193817</v>
      </c>
      <c r="G64" s="3">
        <f>IF($M64&lt;0,$G63,$H64)</f>
        <v>0.155873845815659</v>
      </c>
      <c r="H64" s="3">
        <f>($F63+$G63)/2</f>
        <v>0.155873845815659</v>
      </c>
      <c r="M64" s="3">
        <f>IF($G$10=0,0,(IF('Plan my goal'!$B$5="",0,'Plan my goal'!$B$5)*(1+$H64)^$G$4+IF('Plan my goal'!$B$7="",0,'Plan my goal'!$B$7)*IF(((1+$H64)^(1/12)-1)=0,12,(((1+((1+$H64)^(1/12)-1))^12-1)/((1+$H64)^(1/12)-1))*(1+((1+$H64)^(1/12)-1)))*(1+$H64)^($G$4-1)*IF(ABS(((1+$G$5)/(1+$H64))-1)&lt;0.000000000001,$G$4,(1-((1+$G$5)/(1+$H64))^$G$4)/(1-((1+$G$5)/(1+$H64))))-IF('Plan my goal'!$B$4="",0,'Plan my goal'!$B$4)))</f>
        <v>12.5850058160722</v>
      </c>
      <c r="X64" s="3">
        <f>IF('My investments'!$B64="",0,IF('My investments'!$E64="",0,'My investments'!$E64))</f>
        <v>0</v>
      </c>
      <c r="Y64" s="25">
        <f>IF('My investments'!$B64="",$D$8,'My investments'!$B64)</f>
        <v>0</v>
      </c>
      <c r="Z64" s="3">
        <f>IF('My investments'!$C64="Worth today",0,$X64)</f>
        <v>0</v>
      </c>
      <c r="AA64" s="3">
        <f>IF('My investments'!$H$15="",0,IF('My investments'!$F64='My investments'!$H$15,$X64,0))</f>
        <v>0</v>
      </c>
      <c r="AB64" s="3">
        <f>IF('My investments'!$H$16="",0,IF('My investments'!$F64='My investments'!$H$16,$X64,0))</f>
        <v>0</v>
      </c>
      <c r="AC64" s="3">
        <f>IF('My investments'!$H$17="",0,IF('My investments'!$F64='My investments'!$H$17,$X64,0))</f>
        <v>0</v>
      </c>
      <c r="AD64" s="3">
        <f>IF('My investments'!$H$18="",0,IF('My investments'!$F64='My investments'!$H$18,$X64,0))</f>
        <v>0</v>
      </c>
      <c r="AE64" s="3">
        <f>IF('My investments'!$H$19="",0,IF('My investments'!$F64='My investments'!$H$19,$X64,0))</f>
        <v>0</v>
      </c>
      <c r="AF64" s="3">
        <f>IF('My investments'!$H$20="",0,IF('My investments'!$F64='My investments'!$H$20,$X64,0))</f>
        <v>0</v>
      </c>
      <c r="AG64" s="3">
        <f>IF('My investments'!$H$21="",0,IF('My investments'!$F64='My investments'!$H$21,$X64,0))</f>
        <v>0</v>
      </c>
      <c r="AH64" s="3">
        <f>IF('My investments'!$H$22="",0,IF('My investments'!$F64='My investments'!$H$22,$X64,0))</f>
        <v>0</v>
      </c>
      <c r="AI64" s="3">
        <f>IF('My investments'!$H$23="",0,IF('My investments'!$F64='My investments'!$H$23,$X64,0))</f>
        <v>0</v>
      </c>
      <c r="AJ64" s="3">
        <f>IF('My investments'!$H$24="",0,IF('My investments'!$F64='My investments'!$H$24,$X64,0))</f>
        <v>0</v>
      </c>
      <c r="AL64" s="3" t="str">
        <f>IF('My investments'!$B64="","",IF($D$10=0,"",IFERROR(INDEX('Index history'!$B$8:$B$5007,MATCH('My investments'!$B64,'Index history'!$A$8:$A$5007,1)),"")))</f>
        <v/>
      </c>
      <c r="AM64" s="3">
        <f>IF($AL64="",0,IF('My investments'!$D64="",0,IF('My investments'!$C64="Money in",'My investments'!$D64/$AL64,IF('My investments'!$C64="Money out",-'My investments'!$D64/$AL64,0))))</f>
        <v>0</v>
      </c>
    </row>
    <row r="65">
      <c r="F65" s="3">
        <f>IF($M65&lt;0,$H65,$F64)</f>
        <v>0.155873668193817</v>
      </c>
      <c r="G65" s="3">
        <f>IF($M65&lt;0,$G64,$H65)</f>
        <v>0.155873757004738</v>
      </c>
      <c r="H65" s="3">
        <f>($F64+$G64)/2</f>
        <v>0.155873757004738</v>
      </c>
      <c r="M65" s="3">
        <f>IF($G$10=0,0,(IF('Plan my goal'!$B$5="",0,'Plan my goal'!$B$5)*(1+$H65)^$G$4+IF('Plan my goal'!$B$7="",0,'Plan my goal'!$B$7)*IF(((1+$H65)^(1/12)-1)=0,12,(((1+((1+$H65)^(1/12)-1))^12-1)/((1+$H65)^(1/12)-1))*(1+((1+$H65)^(1/12)-1)))*(1+$H65)^($G$4-1)*IF(ABS(((1+$G$5)/(1+$H65))-1)&lt;0.000000000001,$G$4,(1-((1+$G$5)/(1+$H65))^$G$4)/(1-((1+$G$5)/(1+$H65))))-IF('Plan my goal'!$B$4="",0,'Plan my goal'!$B$4)))</f>
        <v>3.51923729106784</v>
      </c>
      <c r="X65" s="3">
        <f>IF('My investments'!$B65="",0,IF('My investments'!$E65="",0,'My investments'!$E65))</f>
        <v>0</v>
      </c>
      <c r="Y65" s="25">
        <f>IF('My investments'!$B65="",$D$8,'My investments'!$B65)</f>
        <v>0</v>
      </c>
      <c r="Z65" s="3">
        <f>IF('My investments'!$C65="Worth today",0,$X65)</f>
        <v>0</v>
      </c>
      <c r="AA65" s="3">
        <f>IF('My investments'!$H$15="",0,IF('My investments'!$F65='My investments'!$H$15,$X65,0))</f>
        <v>0</v>
      </c>
      <c r="AB65" s="3">
        <f>IF('My investments'!$H$16="",0,IF('My investments'!$F65='My investments'!$H$16,$X65,0))</f>
        <v>0</v>
      </c>
      <c r="AC65" s="3">
        <f>IF('My investments'!$H$17="",0,IF('My investments'!$F65='My investments'!$H$17,$X65,0))</f>
        <v>0</v>
      </c>
      <c r="AD65" s="3">
        <f>IF('My investments'!$H$18="",0,IF('My investments'!$F65='My investments'!$H$18,$X65,0))</f>
        <v>0</v>
      </c>
      <c r="AE65" s="3">
        <f>IF('My investments'!$H$19="",0,IF('My investments'!$F65='My investments'!$H$19,$X65,0))</f>
        <v>0</v>
      </c>
      <c r="AF65" s="3">
        <f>IF('My investments'!$H$20="",0,IF('My investments'!$F65='My investments'!$H$20,$X65,0))</f>
        <v>0</v>
      </c>
      <c r="AG65" s="3">
        <f>IF('My investments'!$H$21="",0,IF('My investments'!$F65='My investments'!$H$21,$X65,0))</f>
        <v>0</v>
      </c>
      <c r="AH65" s="3">
        <f>IF('My investments'!$H$22="",0,IF('My investments'!$F65='My investments'!$H$22,$X65,0))</f>
        <v>0</v>
      </c>
      <c r="AI65" s="3">
        <f>IF('My investments'!$H$23="",0,IF('My investments'!$F65='My investments'!$H$23,$X65,0))</f>
        <v>0</v>
      </c>
      <c r="AJ65" s="3">
        <f>IF('My investments'!$H$24="",0,IF('My investments'!$F65='My investments'!$H$24,$X65,0))</f>
        <v>0</v>
      </c>
      <c r="AL65" s="3" t="str">
        <f>IF('My investments'!$B65="","",IF($D$10=0,"",IFERROR(INDEX('Index history'!$B$8:$B$5007,MATCH('My investments'!$B65,'Index history'!$A$8:$A$5007,1)),"")))</f>
        <v/>
      </c>
      <c r="AM65" s="3">
        <f>IF($AL65="",0,IF('My investments'!$D65="",0,IF('My investments'!$C65="Money in",'My investments'!$D65/$AL65,IF('My investments'!$C65="Money out",-'My investments'!$D65/$AL65,0))))</f>
        <v>0</v>
      </c>
    </row>
    <row r="66">
      <c r="F66" s="3">
        <f>IF($M66&lt;0,$H66,$F65)</f>
        <v>0.155873712599278</v>
      </c>
      <c r="G66" s="3">
        <f>IF($M66&lt;0,$G65,$H66)</f>
        <v>0.155873757004738</v>
      </c>
      <c r="H66" s="3">
        <f>($F65+$G65)/2</f>
        <v>0.155873712599278</v>
      </c>
      <c r="M66" s="3">
        <f>IF($G$10=0,0,(IF('Plan my goal'!$B$5="",0,'Plan my goal'!$B$5)*(1+$H66)^$G$4+IF('Plan my goal'!$B$7="",0,'Plan my goal'!$B$7)*IF(((1+$H66)^(1/12)-1)=0,12,(((1+((1+$H66)^(1/12)-1))^12-1)/((1+$H66)^(1/12)-1))*(1+((1+$H66)^(1/12)-1)))*(1+$H66)^($G$4-1)*IF(ABS(((1+$G$5)/(1+$H66))-1)&lt;0.000000000001,$G$4,(1-((1+$G$5)/(1+$H66))^$G$4)/(1-((1+$G$5)/(1+$H66))))-IF('Plan my goal'!$B$4="",0,'Plan my goal'!$B$4)))</f>
        <v>-1.01364382915199</v>
      </c>
      <c r="X66" s="3">
        <f>IF('My investments'!$B66="",0,IF('My investments'!$E66="",0,'My investments'!$E66))</f>
        <v>0</v>
      </c>
      <c r="Y66" s="25">
        <f>IF('My investments'!$B66="",$D$8,'My investments'!$B66)</f>
        <v>0</v>
      </c>
      <c r="Z66" s="3">
        <f>IF('My investments'!$C66="Worth today",0,$X66)</f>
        <v>0</v>
      </c>
      <c r="AA66" s="3">
        <f>IF('My investments'!$H$15="",0,IF('My investments'!$F66='My investments'!$H$15,$X66,0))</f>
        <v>0</v>
      </c>
      <c r="AB66" s="3">
        <f>IF('My investments'!$H$16="",0,IF('My investments'!$F66='My investments'!$H$16,$X66,0))</f>
        <v>0</v>
      </c>
      <c r="AC66" s="3">
        <f>IF('My investments'!$H$17="",0,IF('My investments'!$F66='My investments'!$H$17,$X66,0))</f>
        <v>0</v>
      </c>
      <c r="AD66" s="3">
        <f>IF('My investments'!$H$18="",0,IF('My investments'!$F66='My investments'!$H$18,$X66,0))</f>
        <v>0</v>
      </c>
      <c r="AE66" s="3">
        <f>IF('My investments'!$H$19="",0,IF('My investments'!$F66='My investments'!$H$19,$X66,0))</f>
        <v>0</v>
      </c>
      <c r="AF66" s="3">
        <f>IF('My investments'!$H$20="",0,IF('My investments'!$F66='My investments'!$H$20,$X66,0))</f>
        <v>0</v>
      </c>
      <c r="AG66" s="3">
        <f>IF('My investments'!$H$21="",0,IF('My investments'!$F66='My investments'!$H$21,$X66,0))</f>
        <v>0</v>
      </c>
      <c r="AH66" s="3">
        <f>IF('My investments'!$H$22="",0,IF('My investments'!$F66='My investments'!$H$22,$X66,0))</f>
        <v>0</v>
      </c>
      <c r="AI66" s="3">
        <f>IF('My investments'!$H$23="",0,IF('My investments'!$F66='My investments'!$H$23,$X66,0))</f>
        <v>0</v>
      </c>
      <c r="AJ66" s="3">
        <f>IF('My investments'!$H$24="",0,IF('My investments'!$F66='My investments'!$H$24,$X66,0))</f>
        <v>0</v>
      </c>
      <c r="AL66" s="3" t="str">
        <f>IF('My investments'!$B66="","",IF($D$10=0,"",IFERROR(INDEX('Index history'!$B$8:$B$5007,MATCH('My investments'!$B66,'Index history'!$A$8:$A$5007,1)),"")))</f>
        <v/>
      </c>
      <c r="AM66" s="3">
        <f>IF($AL66="",0,IF('My investments'!$D66="",0,IF('My investments'!$C66="Money in",'My investments'!$D66/$AL66,IF('My investments'!$C66="Money out",-'My investments'!$D66/$AL66,0))))</f>
        <v>0</v>
      </c>
    </row>
    <row r="67">
      <c r="F67" s="3">
        <f>IF($M67&lt;0,$H67,$F66)</f>
        <v>0.155873712599278</v>
      </c>
      <c r="G67" s="3">
        <f>IF($M67&lt;0,$G66,$H67)</f>
        <v>0.155873734802008</v>
      </c>
      <c r="H67" s="3">
        <f>($F66+$G66)/2</f>
        <v>0.155873734802008</v>
      </c>
      <c r="M67" s="3">
        <f>IF($G$10=0,0,(IF('Plan my goal'!$B$5="",0,'Plan my goal'!$B$5)*(1+$H67)^$G$4+IF('Plan my goal'!$B$7="",0,'Plan my goal'!$B$7)*IF(((1+$H67)^(1/12)-1)=0,12,(((1+((1+$H67)^(1/12)-1))^12-1)/((1+$H67)^(1/12)-1))*(1+((1+$H67)^(1/12)-1)))*(1+$H67)^($G$4-1)*IF(ABS(((1+$G$5)/(1+$H67))-1)&lt;0.000000000001,$G$4,(1-((1+$G$5)/(1+$H67))^$G$4)/(1-((1+$G$5)/(1+$H67))))-IF('Plan my goal'!$B$4="",0,'Plan my goal'!$B$4)))</f>
        <v>1.25279645435512</v>
      </c>
      <c r="X67" s="3">
        <f>IF('My investments'!$B67="",0,IF('My investments'!$E67="",0,'My investments'!$E67))</f>
        <v>0</v>
      </c>
      <c r="Y67" s="25">
        <f>IF('My investments'!$B67="",$D$8,'My investments'!$B67)</f>
        <v>0</v>
      </c>
      <c r="Z67" s="3">
        <f>IF('My investments'!$C67="Worth today",0,$X67)</f>
        <v>0</v>
      </c>
      <c r="AA67" s="3">
        <f>IF('My investments'!$H$15="",0,IF('My investments'!$F67='My investments'!$H$15,$X67,0))</f>
        <v>0</v>
      </c>
      <c r="AB67" s="3">
        <f>IF('My investments'!$H$16="",0,IF('My investments'!$F67='My investments'!$H$16,$X67,0))</f>
        <v>0</v>
      </c>
      <c r="AC67" s="3">
        <f>IF('My investments'!$H$17="",0,IF('My investments'!$F67='My investments'!$H$17,$X67,0))</f>
        <v>0</v>
      </c>
      <c r="AD67" s="3">
        <f>IF('My investments'!$H$18="",0,IF('My investments'!$F67='My investments'!$H$18,$X67,0))</f>
        <v>0</v>
      </c>
      <c r="AE67" s="3">
        <f>IF('My investments'!$H$19="",0,IF('My investments'!$F67='My investments'!$H$19,$X67,0))</f>
        <v>0</v>
      </c>
      <c r="AF67" s="3">
        <f>IF('My investments'!$H$20="",0,IF('My investments'!$F67='My investments'!$H$20,$X67,0))</f>
        <v>0</v>
      </c>
      <c r="AG67" s="3">
        <f>IF('My investments'!$H$21="",0,IF('My investments'!$F67='My investments'!$H$21,$X67,0))</f>
        <v>0</v>
      </c>
      <c r="AH67" s="3">
        <f>IF('My investments'!$H$22="",0,IF('My investments'!$F67='My investments'!$H$22,$X67,0))</f>
        <v>0</v>
      </c>
      <c r="AI67" s="3">
        <f>IF('My investments'!$H$23="",0,IF('My investments'!$F67='My investments'!$H$23,$X67,0))</f>
        <v>0</v>
      </c>
      <c r="AJ67" s="3">
        <f>IF('My investments'!$H$24="",0,IF('My investments'!$F67='My investments'!$H$24,$X67,0))</f>
        <v>0</v>
      </c>
      <c r="AL67" s="3" t="str">
        <f>IF('My investments'!$B67="","",IF($D$10=0,"",IFERROR(INDEX('Index history'!$B$8:$B$5007,MATCH('My investments'!$B67,'Index history'!$A$8:$A$5007,1)),"")))</f>
        <v/>
      </c>
      <c r="AM67" s="3">
        <f>IF($AL67="",0,IF('My investments'!$D67="",0,IF('My investments'!$C67="Money in",'My investments'!$D67/$AL67,IF('My investments'!$C67="Money out",-'My investments'!$D67/$AL67,0))))</f>
        <v>0</v>
      </c>
    </row>
    <row r="68">
      <c r="F68" s="3">
        <f>IF($M68&lt;0,$H68,$F67)</f>
        <v>0.155873712599278</v>
      </c>
      <c r="G68" s="3">
        <f>IF($M68&lt;0,$G67,$H68)</f>
        <v>0.155873723700643</v>
      </c>
      <c r="H68" s="3">
        <f>($F67+$G67)/2</f>
        <v>0.155873723700643</v>
      </c>
      <c r="M68" s="3">
        <f>IF($G$10=0,0,(IF('Plan my goal'!$B$5="",0,'Plan my goal'!$B$5)*(1+$H68)^$G$4+IF('Plan my goal'!$B$7="",0,'Plan my goal'!$B$7)*IF(((1+$H68)^(1/12)-1)=0,12,(((1+((1+$H68)^(1/12)-1))^12-1)/((1+$H68)^(1/12)-1))*(1+((1+$H68)^(1/12)-1)))*(1+$H68)^($G$4-1)*IF(ABS(((1+$G$5)/(1+$H68))-1)&lt;0.000000000001,$G$4,(1-((1+$G$5)/(1+$H68))^$G$4)/(1-((1+$G$5)/(1+$H68))))-IF('Plan my goal'!$B$4="",0,'Plan my goal'!$B$4)))</f>
        <v>0.119576256722212</v>
      </c>
      <c r="X68" s="3">
        <f>IF('My investments'!$B68="",0,IF('My investments'!$E68="",0,'My investments'!$E68))</f>
        <v>0</v>
      </c>
      <c r="Y68" s="25">
        <f>IF('My investments'!$B68="",$D$8,'My investments'!$B68)</f>
        <v>0</v>
      </c>
      <c r="Z68" s="3">
        <f>IF('My investments'!$C68="Worth today",0,$X68)</f>
        <v>0</v>
      </c>
      <c r="AA68" s="3">
        <f>IF('My investments'!$H$15="",0,IF('My investments'!$F68='My investments'!$H$15,$X68,0))</f>
        <v>0</v>
      </c>
      <c r="AB68" s="3">
        <f>IF('My investments'!$H$16="",0,IF('My investments'!$F68='My investments'!$H$16,$X68,0))</f>
        <v>0</v>
      </c>
      <c r="AC68" s="3">
        <f>IF('My investments'!$H$17="",0,IF('My investments'!$F68='My investments'!$H$17,$X68,0))</f>
        <v>0</v>
      </c>
      <c r="AD68" s="3">
        <f>IF('My investments'!$H$18="",0,IF('My investments'!$F68='My investments'!$H$18,$X68,0))</f>
        <v>0</v>
      </c>
      <c r="AE68" s="3">
        <f>IF('My investments'!$H$19="",0,IF('My investments'!$F68='My investments'!$H$19,$X68,0))</f>
        <v>0</v>
      </c>
      <c r="AF68" s="3">
        <f>IF('My investments'!$H$20="",0,IF('My investments'!$F68='My investments'!$H$20,$X68,0))</f>
        <v>0</v>
      </c>
      <c r="AG68" s="3">
        <f>IF('My investments'!$H$21="",0,IF('My investments'!$F68='My investments'!$H$21,$X68,0))</f>
        <v>0</v>
      </c>
      <c r="AH68" s="3">
        <f>IF('My investments'!$H$22="",0,IF('My investments'!$F68='My investments'!$H$22,$X68,0))</f>
        <v>0</v>
      </c>
      <c r="AI68" s="3">
        <f>IF('My investments'!$H$23="",0,IF('My investments'!$F68='My investments'!$H$23,$X68,0))</f>
        <v>0</v>
      </c>
      <c r="AJ68" s="3">
        <f>IF('My investments'!$H$24="",0,IF('My investments'!$F68='My investments'!$H$24,$X68,0))</f>
        <v>0</v>
      </c>
      <c r="AL68" s="3" t="str">
        <f>IF('My investments'!$B68="","",IF($D$10=0,"",IFERROR(INDEX('Index history'!$B$8:$B$5007,MATCH('My investments'!$B68,'Index history'!$A$8:$A$5007,1)),"")))</f>
        <v/>
      </c>
      <c r="AM68" s="3">
        <f>IF($AL68="",0,IF('My investments'!$D68="",0,IF('My investments'!$C68="Money in",'My investments'!$D68/$AL68,IF('My investments'!$C68="Money out",-'My investments'!$D68/$AL68,0))))</f>
        <v>0</v>
      </c>
    </row>
    <row r="69">
      <c r="F69" s="3">
        <f>IF($M69&lt;0,$H69,$F68)</f>
        <v>0.15587371814996</v>
      </c>
      <c r="G69" s="3">
        <f>IF($M69&lt;0,$G68,$H69)</f>
        <v>0.155873723700643</v>
      </c>
      <c r="H69" s="3">
        <f>($F68+$G68)/2</f>
        <v>0.15587371814996</v>
      </c>
      <c r="M69" s="3">
        <f>IF($G$10=0,0,(IF('Plan my goal'!$B$5="",0,'Plan my goal'!$B$5)*(1+$H69)^$G$4+IF('Plan my goal'!$B$7="",0,'Plan my goal'!$B$7)*IF(((1+$H69)^(1/12)-1)=0,12,(((1+((1+$H69)^(1/12)-1))^12-1)/((1+$H69)^(1/12)-1))*(1+((1+$H69)^(1/12)-1)))*(1+$H69)^($G$4-1)*IF(ABS(((1+$G$5)/(1+$H69))-1)&lt;0.000000000001,$G$4,(1-((1+$G$5)/(1+$H69))^$G$4)/(1-((1+$G$5)/(1+$H69))))-IF('Plan my goal'!$B$4="",0,'Plan my goal'!$B$4)))</f>
        <v>-0.447033803910017</v>
      </c>
      <c r="X69" s="3">
        <f>IF('My investments'!$B69="",0,IF('My investments'!$E69="",0,'My investments'!$E69))</f>
        <v>0</v>
      </c>
      <c r="Y69" s="25">
        <f>IF('My investments'!$B69="",$D$8,'My investments'!$B69)</f>
        <v>0</v>
      </c>
      <c r="Z69" s="3">
        <f>IF('My investments'!$C69="Worth today",0,$X69)</f>
        <v>0</v>
      </c>
      <c r="AA69" s="3">
        <f>IF('My investments'!$H$15="",0,IF('My investments'!$F69='My investments'!$H$15,$X69,0))</f>
        <v>0</v>
      </c>
      <c r="AB69" s="3">
        <f>IF('My investments'!$H$16="",0,IF('My investments'!$F69='My investments'!$H$16,$X69,0))</f>
        <v>0</v>
      </c>
      <c r="AC69" s="3">
        <f>IF('My investments'!$H$17="",0,IF('My investments'!$F69='My investments'!$H$17,$X69,0))</f>
        <v>0</v>
      </c>
      <c r="AD69" s="3">
        <f>IF('My investments'!$H$18="",0,IF('My investments'!$F69='My investments'!$H$18,$X69,0))</f>
        <v>0</v>
      </c>
      <c r="AE69" s="3">
        <f>IF('My investments'!$H$19="",0,IF('My investments'!$F69='My investments'!$H$19,$X69,0))</f>
        <v>0</v>
      </c>
      <c r="AF69" s="3">
        <f>IF('My investments'!$H$20="",0,IF('My investments'!$F69='My investments'!$H$20,$X69,0))</f>
        <v>0</v>
      </c>
      <c r="AG69" s="3">
        <f>IF('My investments'!$H$21="",0,IF('My investments'!$F69='My investments'!$H$21,$X69,0))</f>
        <v>0</v>
      </c>
      <c r="AH69" s="3">
        <f>IF('My investments'!$H$22="",0,IF('My investments'!$F69='My investments'!$H$22,$X69,0))</f>
        <v>0</v>
      </c>
      <c r="AI69" s="3">
        <f>IF('My investments'!$H$23="",0,IF('My investments'!$F69='My investments'!$H$23,$X69,0))</f>
        <v>0</v>
      </c>
      <c r="AJ69" s="3">
        <f>IF('My investments'!$H$24="",0,IF('My investments'!$F69='My investments'!$H$24,$X69,0))</f>
        <v>0</v>
      </c>
      <c r="AL69" s="3" t="str">
        <f>IF('My investments'!$B69="","",IF($D$10=0,"",IFERROR(INDEX('Index history'!$B$8:$B$5007,MATCH('My investments'!$B69,'Index history'!$A$8:$A$5007,1)),"")))</f>
        <v/>
      </c>
      <c r="AM69" s="3">
        <f>IF($AL69="",0,IF('My investments'!$D69="",0,IF('My investments'!$C69="Money in",'My investments'!$D69/$AL69,IF('My investments'!$C69="Money out",-'My investments'!$D69/$AL69,0))))</f>
        <v>0</v>
      </c>
    </row>
    <row r="70">
      <c r="F70" s="3">
        <f>IF($M70&lt;0,$H70,$F69)</f>
        <v>0.155873720925301</v>
      </c>
      <c r="G70" s="3">
        <f>IF($M70&lt;0,$G69,$H70)</f>
        <v>0.155873723700643</v>
      </c>
      <c r="H70" s="3">
        <f>($F69+$G69)/2</f>
        <v>0.155873720925301</v>
      </c>
      <c r="M70" s="3">
        <f>IF($G$10=0,0,(IF('Plan my goal'!$B$5="",0,'Plan my goal'!$B$5)*(1+$H70)^$G$4+IF('Plan my goal'!$B$7="",0,'Plan my goal'!$B$7)*IF(((1+$H70)^(1/12)-1)=0,12,(((1+((1+$H70)^(1/12)-1))^12-1)/((1+$H70)^(1/12)-1))*(1+((1+$H70)^(1/12)-1)))*(1+$H70)^($G$4-1)*IF(ABS(((1+$G$5)/(1+$H70))-1)&lt;0.000000000001,$G$4,(1-((1+$G$5)/(1+$H70))^$G$4)/(1-((1+$G$5)/(1+$H70))))-IF('Plan my goal'!$B$4="",0,'Plan my goal'!$B$4)))</f>
        <v>-0.163728775456548</v>
      </c>
      <c r="X70" s="3">
        <f>IF('My investments'!$B70="",0,IF('My investments'!$E70="",0,'My investments'!$E70))</f>
        <v>0</v>
      </c>
      <c r="Y70" s="25">
        <f>IF('My investments'!$B70="",$D$8,'My investments'!$B70)</f>
        <v>0</v>
      </c>
      <c r="Z70" s="3">
        <f>IF('My investments'!$C70="Worth today",0,$X70)</f>
        <v>0</v>
      </c>
      <c r="AA70" s="3">
        <f>IF('My investments'!$H$15="",0,IF('My investments'!$F70='My investments'!$H$15,$X70,0))</f>
        <v>0</v>
      </c>
      <c r="AB70" s="3">
        <f>IF('My investments'!$H$16="",0,IF('My investments'!$F70='My investments'!$H$16,$X70,0))</f>
        <v>0</v>
      </c>
      <c r="AC70" s="3">
        <f>IF('My investments'!$H$17="",0,IF('My investments'!$F70='My investments'!$H$17,$X70,0))</f>
        <v>0</v>
      </c>
      <c r="AD70" s="3">
        <f>IF('My investments'!$H$18="",0,IF('My investments'!$F70='My investments'!$H$18,$X70,0))</f>
        <v>0</v>
      </c>
      <c r="AE70" s="3">
        <f>IF('My investments'!$H$19="",0,IF('My investments'!$F70='My investments'!$H$19,$X70,0))</f>
        <v>0</v>
      </c>
      <c r="AF70" s="3">
        <f>IF('My investments'!$H$20="",0,IF('My investments'!$F70='My investments'!$H$20,$X70,0))</f>
        <v>0</v>
      </c>
      <c r="AG70" s="3">
        <f>IF('My investments'!$H$21="",0,IF('My investments'!$F70='My investments'!$H$21,$X70,0))</f>
        <v>0</v>
      </c>
      <c r="AH70" s="3">
        <f>IF('My investments'!$H$22="",0,IF('My investments'!$F70='My investments'!$H$22,$X70,0))</f>
        <v>0</v>
      </c>
      <c r="AI70" s="3">
        <f>IF('My investments'!$H$23="",0,IF('My investments'!$F70='My investments'!$H$23,$X70,0))</f>
        <v>0</v>
      </c>
      <c r="AJ70" s="3">
        <f>IF('My investments'!$H$24="",0,IF('My investments'!$F70='My investments'!$H$24,$X70,0))</f>
        <v>0</v>
      </c>
      <c r="AL70" s="3" t="str">
        <f>IF('My investments'!$B70="","",IF($D$10=0,"",IFERROR(INDEX('Index history'!$B$8:$B$5007,MATCH('My investments'!$B70,'Index history'!$A$8:$A$5007,1)),"")))</f>
        <v/>
      </c>
      <c r="AM70" s="3">
        <f>IF($AL70="",0,IF('My investments'!$D70="",0,IF('My investments'!$C70="Money in",'My investments'!$D70/$AL70,IF('My investments'!$C70="Money out",-'My investments'!$D70/$AL70,0))))</f>
        <v>0</v>
      </c>
    </row>
    <row r="71">
      <c r="F71" s="3">
        <f>IF($M71&lt;0,$H71,$F70)</f>
        <v>0.155873722312972</v>
      </c>
      <c r="G71" s="3">
        <f>IF($M71&lt;0,$G70,$H71)</f>
        <v>0.155873723700643</v>
      </c>
      <c r="H71" s="3">
        <f>($F70+$G70)/2</f>
        <v>0.155873722312972</v>
      </c>
      <c r="M71" s="3">
        <f>IF($G$10=0,0,(IF('Plan my goal'!$B$5="",0,'Plan my goal'!$B$5)*(1+$H71)^$G$4+IF('Plan my goal'!$B$7="",0,'Plan my goal'!$B$7)*IF(((1+$H71)^(1/12)-1)=0,12,(((1+((1+$H71)^(1/12)-1))^12-1)/((1+$H71)^(1/12)-1))*(1+((1+$H71)^(1/12)-1)))*(1+$H71)^($G$4-1)*IF(ABS(((1+$G$5)/(1+$H71))-1)&lt;0.000000000001,$G$4,(1-((1+$G$5)/(1+$H71))^$G$4)/(1-((1+$G$5)/(1+$H71))))-IF('Plan my goal'!$B$4="",0,'Plan my goal'!$B$4)))</f>
        <v>-0.0220762602984905</v>
      </c>
      <c r="X71" s="3">
        <f>IF('My investments'!$B71="",0,IF('My investments'!$E71="",0,'My investments'!$E71))</f>
        <v>0</v>
      </c>
      <c r="Y71" s="25">
        <f>IF('My investments'!$B71="",$D$8,'My investments'!$B71)</f>
        <v>0</v>
      </c>
      <c r="Z71" s="3">
        <f>IF('My investments'!$C71="Worth today",0,$X71)</f>
        <v>0</v>
      </c>
      <c r="AA71" s="3">
        <f>IF('My investments'!$H$15="",0,IF('My investments'!$F71='My investments'!$H$15,$X71,0))</f>
        <v>0</v>
      </c>
      <c r="AB71" s="3">
        <f>IF('My investments'!$H$16="",0,IF('My investments'!$F71='My investments'!$H$16,$X71,0))</f>
        <v>0</v>
      </c>
      <c r="AC71" s="3">
        <f>IF('My investments'!$H$17="",0,IF('My investments'!$F71='My investments'!$H$17,$X71,0))</f>
        <v>0</v>
      </c>
      <c r="AD71" s="3">
        <f>IF('My investments'!$H$18="",0,IF('My investments'!$F71='My investments'!$H$18,$X71,0))</f>
        <v>0</v>
      </c>
      <c r="AE71" s="3">
        <f>IF('My investments'!$H$19="",0,IF('My investments'!$F71='My investments'!$H$19,$X71,0))</f>
        <v>0</v>
      </c>
      <c r="AF71" s="3">
        <f>IF('My investments'!$H$20="",0,IF('My investments'!$F71='My investments'!$H$20,$X71,0))</f>
        <v>0</v>
      </c>
      <c r="AG71" s="3">
        <f>IF('My investments'!$H$21="",0,IF('My investments'!$F71='My investments'!$H$21,$X71,0))</f>
        <v>0</v>
      </c>
      <c r="AH71" s="3">
        <f>IF('My investments'!$H$22="",0,IF('My investments'!$F71='My investments'!$H$22,$X71,0))</f>
        <v>0</v>
      </c>
      <c r="AI71" s="3">
        <f>IF('My investments'!$H$23="",0,IF('My investments'!$F71='My investments'!$H$23,$X71,0))</f>
        <v>0</v>
      </c>
      <c r="AJ71" s="3">
        <f>IF('My investments'!$H$24="",0,IF('My investments'!$F71='My investments'!$H$24,$X71,0))</f>
        <v>0</v>
      </c>
      <c r="AL71" s="3" t="str">
        <f>IF('My investments'!$B71="","",IF($D$10=0,"",IFERROR(INDEX('Index history'!$B$8:$B$5007,MATCH('My investments'!$B71,'Index history'!$A$8:$A$5007,1)),"")))</f>
        <v/>
      </c>
      <c r="AM71" s="3">
        <f>IF($AL71="",0,IF('My investments'!$D71="",0,IF('My investments'!$C71="Money in",'My investments'!$D71/$AL71,IF('My investments'!$C71="Money out",-'My investments'!$D71/$AL71,0))))</f>
        <v>0</v>
      </c>
    </row>
    <row r="72">
      <c r="F72" s="3">
        <f>IF($M72&lt;0,$H72,$F71)</f>
        <v>0.155873722312972</v>
      </c>
      <c r="G72" s="3">
        <f>IF($M72&lt;0,$G71,$H72)</f>
        <v>0.155873723006807</v>
      </c>
      <c r="H72" s="3">
        <f>($F71+$G71)/2</f>
        <v>0.155873723006807</v>
      </c>
      <c r="M72" s="3">
        <f>IF($G$10=0,0,(IF('Plan my goal'!$B$5="",0,'Plan my goal'!$B$5)*(1+$H72)^$G$4+IF('Plan my goal'!$B$7="",0,'Plan my goal'!$B$7)*IF(((1+$H72)^(1/12)-1)=0,12,(((1+((1+$H72)^(1/12)-1))^12-1)/((1+$H72)^(1/12)-1))*(1+((1+$H72)^(1/12)-1)))*(1+$H72)^($G$4-1)*IF(ABS(((1+$G$5)/(1+$H72))-1)&lt;0.000000000001,$G$4,(1-((1+$G$5)/(1+$H72))^$G$4)/(1-((1+$G$5)/(1+$H72))))-IF('Plan my goal'!$B$4="",0,'Plan my goal'!$B$4)))</f>
        <v>0.0487499926239252</v>
      </c>
      <c r="X72" s="3">
        <f>IF('My investments'!$B72="",0,IF('My investments'!$E72="",0,'My investments'!$E72))</f>
        <v>0</v>
      </c>
      <c r="Y72" s="25">
        <f>IF('My investments'!$B72="",$D$8,'My investments'!$B72)</f>
        <v>0</v>
      </c>
      <c r="Z72" s="3">
        <f>IF('My investments'!$C72="Worth today",0,$X72)</f>
        <v>0</v>
      </c>
      <c r="AA72" s="3">
        <f>IF('My investments'!$H$15="",0,IF('My investments'!$F72='My investments'!$H$15,$X72,0))</f>
        <v>0</v>
      </c>
      <c r="AB72" s="3">
        <f>IF('My investments'!$H$16="",0,IF('My investments'!$F72='My investments'!$H$16,$X72,0))</f>
        <v>0</v>
      </c>
      <c r="AC72" s="3">
        <f>IF('My investments'!$H$17="",0,IF('My investments'!$F72='My investments'!$H$17,$X72,0))</f>
        <v>0</v>
      </c>
      <c r="AD72" s="3">
        <f>IF('My investments'!$H$18="",0,IF('My investments'!$F72='My investments'!$H$18,$X72,0))</f>
        <v>0</v>
      </c>
      <c r="AE72" s="3">
        <f>IF('My investments'!$H$19="",0,IF('My investments'!$F72='My investments'!$H$19,$X72,0))</f>
        <v>0</v>
      </c>
      <c r="AF72" s="3">
        <f>IF('My investments'!$H$20="",0,IF('My investments'!$F72='My investments'!$H$20,$X72,0))</f>
        <v>0</v>
      </c>
      <c r="AG72" s="3">
        <f>IF('My investments'!$H$21="",0,IF('My investments'!$F72='My investments'!$H$21,$X72,0))</f>
        <v>0</v>
      </c>
      <c r="AH72" s="3">
        <f>IF('My investments'!$H$22="",0,IF('My investments'!$F72='My investments'!$H$22,$X72,0))</f>
        <v>0</v>
      </c>
      <c r="AI72" s="3">
        <f>IF('My investments'!$H$23="",0,IF('My investments'!$F72='My investments'!$H$23,$X72,0))</f>
        <v>0</v>
      </c>
      <c r="AJ72" s="3">
        <f>IF('My investments'!$H$24="",0,IF('My investments'!$F72='My investments'!$H$24,$X72,0))</f>
        <v>0</v>
      </c>
      <c r="AL72" s="3" t="str">
        <f>IF('My investments'!$B72="","",IF($D$10=0,"",IFERROR(INDEX('Index history'!$B$8:$B$5007,MATCH('My investments'!$B72,'Index history'!$A$8:$A$5007,1)),"")))</f>
        <v/>
      </c>
      <c r="AM72" s="3">
        <f>IF($AL72="",0,IF('My investments'!$D72="",0,IF('My investments'!$C72="Money in",'My investments'!$D72/$AL72,IF('My investments'!$C72="Money out",-'My investments'!$D72/$AL72,0))))</f>
        <v>0</v>
      </c>
    </row>
    <row r="73">
      <c r="F73" s="3">
        <f>IF($M73&lt;0,$H73,$F72)</f>
        <v>0.155873722312972</v>
      </c>
      <c r="G73" s="3">
        <f>IF($M73&lt;0,$G72,$H73)</f>
        <v>0.15587372265989</v>
      </c>
      <c r="H73" s="3">
        <f>($F72+$G72)/2</f>
        <v>0.15587372265989</v>
      </c>
      <c r="M73" s="3">
        <f>IF($G$10=0,0,(IF('Plan my goal'!$B$5="",0,'Plan my goal'!$B$5)*(1+$H73)^$G$4+IF('Plan my goal'!$B$7="",0,'Plan my goal'!$B$7)*IF(((1+$H73)^(1/12)-1)=0,12,(((1+((1+$H73)^(1/12)-1))^12-1)/((1+$H73)^(1/12)-1))*(1+((1+$H73)^(1/12)-1)))*(1+$H73)^($G$4-1)*IF(ABS(((1+$G$5)/(1+$H73))-1)&lt;0.000000000001,$G$4,(1-((1+$G$5)/(1+$H73))^$G$4)/(1-((1+$G$5)/(1+$H73))))-IF('Plan my goal'!$B$4="",0,'Plan my goal'!$B$4)))</f>
        <v>0.0133368615061045</v>
      </c>
      <c r="X73" s="3">
        <f>IF('My investments'!$B73="",0,IF('My investments'!$E73="",0,'My investments'!$E73))</f>
        <v>0</v>
      </c>
      <c r="Y73" s="25">
        <f>IF('My investments'!$B73="",$D$8,'My investments'!$B73)</f>
        <v>0</v>
      </c>
      <c r="Z73" s="3">
        <f>IF('My investments'!$C73="Worth today",0,$X73)</f>
        <v>0</v>
      </c>
      <c r="AA73" s="3">
        <f>IF('My investments'!$H$15="",0,IF('My investments'!$F73='My investments'!$H$15,$X73,0))</f>
        <v>0</v>
      </c>
      <c r="AB73" s="3">
        <f>IF('My investments'!$H$16="",0,IF('My investments'!$F73='My investments'!$H$16,$X73,0))</f>
        <v>0</v>
      </c>
      <c r="AC73" s="3">
        <f>IF('My investments'!$H$17="",0,IF('My investments'!$F73='My investments'!$H$17,$X73,0))</f>
        <v>0</v>
      </c>
      <c r="AD73" s="3">
        <f>IF('My investments'!$H$18="",0,IF('My investments'!$F73='My investments'!$H$18,$X73,0))</f>
        <v>0</v>
      </c>
      <c r="AE73" s="3">
        <f>IF('My investments'!$H$19="",0,IF('My investments'!$F73='My investments'!$H$19,$X73,0))</f>
        <v>0</v>
      </c>
      <c r="AF73" s="3">
        <f>IF('My investments'!$H$20="",0,IF('My investments'!$F73='My investments'!$H$20,$X73,0))</f>
        <v>0</v>
      </c>
      <c r="AG73" s="3">
        <f>IF('My investments'!$H$21="",0,IF('My investments'!$F73='My investments'!$H$21,$X73,0))</f>
        <v>0</v>
      </c>
      <c r="AH73" s="3">
        <f>IF('My investments'!$H$22="",0,IF('My investments'!$F73='My investments'!$H$22,$X73,0))</f>
        <v>0</v>
      </c>
      <c r="AI73" s="3">
        <f>IF('My investments'!$H$23="",0,IF('My investments'!$F73='My investments'!$H$23,$X73,0))</f>
        <v>0</v>
      </c>
      <c r="AJ73" s="3">
        <f>IF('My investments'!$H$24="",0,IF('My investments'!$F73='My investments'!$H$24,$X73,0))</f>
        <v>0</v>
      </c>
      <c r="AL73" s="3" t="str">
        <f>IF('My investments'!$B73="","",IF($D$10=0,"",IFERROR(INDEX('Index history'!$B$8:$B$5007,MATCH('My investments'!$B73,'Index history'!$A$8:$A$5007,1)),"")))</f>
        <v/>
      </c>
      <c r="AM73" s="3">
        <f>IF($AL73="",0,IF('My investments'!$D73="",0,IF('My investments'!$C73="Money in",'My investments'!$D73/$AL73,IF('My investments'!$C73="Money out",-'My investments'!$D73/$AL73,0))))</f>
        <v>0</v>
      </c>
    </row>
    <row r="74">
      <c r="F74" s="3">
        <f>IF($M74&lt;0,$H74,$F73)</f>
        <v>0.155873722486431</v>
      </c>
      <c r="G74" s="3">
        <f>IF($M74&lt;0,$G73,$H74)</f>
        <v>0.15587372265989</v>
      </c>
      <c r="H74" s="3">
        <f>($F73+$G73)/2</f>
        <v>0.155873722486431</v>
      </c>
      <c r="M74" s="3">
        <f>IF($G$10=0,0,(IF('Plan my goal'!$B$5="",0,'Plan my goal'!$B$5)*(1+$H74)^$G$4+IF('Plan my goal'!$B$7="",0,'Plan my goal'!$B$7)*IF(((1+$H74)^(1/12)-1)=0,12,(((1+((1+$H74)^(1/12)-1))^12-1)/((1+$H74)^(1/12)-1))*(1+((1+$H74)^(1/12)-1)))*(1+$H74)^($G$4-1)*IF(ABS(((1+$G$5)/(1+$H74))-1)&lt;0.000000000001,$G$4,(1-((1+$G$5)/(1+$H74))^$G$4)/(1-((1+$G$5)/(1+$H74))))-IF('Plan my goal'!$B$4="",0,'Plan my goal'!$B$4)))</f>
        <v>-0.0043697003275156</v>
      </c>
      <c r="X74" s="3">
        <f>IF('My investments'!$B74="",0,IF('My investments'!$E74="",0,'My investments'!$E74))</f>
        <v>0</v>
      </c>
      <c r="Y74" s="25">
        <f>IF('My investments'!$B74="",$D$8,'My investments'!$B74)</f>
        <v>0</v>
      </c>
      <c r="Z74" s="3">
        <f>IF('My investments'!$C74="Worth today",0,$X74)</f>
        <v>0</v>
      </c>
      <c r="AA74" s="3">
        <f>IF('My investments'!$H$15="",0,IF('My investments'!$F74='My investments'!$H$15,$X74,0))</f>
        <v>0</v>
      </c>
      <c r="AB74" s="3">
        <f>IF('My investments'!$H$16="",0,IF('My investments'!$F74='My investments'!$H$16,$X74,0))</f>
        <v>0</v>
      </c>
      <c r="AC74" s="3">
        <f>IF('My investments'!$H$17="",0,IF('My investments'!$F74='My investments'!$H$17,$X74,0))</f>
        <v>0</v>
      </c>
      <c r="AD74" s="3">
        <f>IF('My investments'!$H$18="",0,IF('My investments'!$F74='My investments'!$H$18,$X74,0))</f>
        <v>0</v>
      </c>
      <c r="AE74" s="3">
        <f>IF('My investments'!$H$19="",0,IF('My investments'!$F74='My investments'!$H$19,$X74,0))</f>
        <v>0</v>
      </c>
      <c r="AF74" s="3">
        <f>IF('My investments'!$H$20="",0,IF('My investments'!$F74='My investments'!$H$20,$X74,0))</f>
        <v>0</v>
      </c>
      <c r="AG74" s="3">
        <f>IF('My investments'!$H$21="",0,IF('My investments'!$F74='My investments'!$H$21,$X74,0))</f>
        <v>0</v>
      </c>
      <c r="AH74" s="3">
        <f>IF('My investments'!$H$22="",0,IF('My investments'!$F74='My investments'!$H$22,$X74,0))</f>
        <v>0</v>
      </c>
      <c r="AI74" s="3">
        <f>IF('My investments'!$H$23="",0,IF('My investments'!$F74='My investments'!$H$23,$X74,0))</f>
        <v>0</v>
      </c>
      <c r="AJ74" s="3">
        <f>IF('My investments'!$H$24="",0,IF('My investments'!$F74='My investments'!$H$24,$X74,0))</f>
        <v>0</v>
      </c>
      <c r="AL74" s="3" t="str">
        <f>IF('My investments'!$B74="","",IF($D$10=0,"",IFERROR(INDEX('Index history'!$B$8:$B$5007,MATCH('My investments'!$B74,'Index history'!$A$8:$A$5007,1)),"")))</f>
        <v/>
      </c>
      <c r="AM74" s="3">
        <f>IF($AL74="",0,IF('My investments'!$D74="",0,IF('My investments'!$C74="Money in",'My investments'!$D74/$AL74,IF('My investments'!$C74="Money out",-'My investments'!$D74/$AL74,0))))</f>
        <v>0</v>
      </c>
    </row>
    <row r="75">
      <c r="F75" s="3">
        <f>IF($M75&lt;0,$H75,$F74)</f>
        <v>0.155873722486431</v>
      </c>
      <c r="G75" s="3">
        <f>IF($M75&lt;0,$G74,$H75)</f>
        <v>0.15587372257316</v>
      </c>
      <c r="H75" s="3">
        <f>($F74+$G74)/2</f>
        <v>0.15587372257316</v>
      </c>
      <c r="M75" s="3">
        <f>IF($G$10=0,0,(IF('Plan my goal'!$B$5="",0,'Plan my goal'!$B$5)*(1+$H75)^$G$4+IF('Plan my goal'!$B$7="",0,'Plan my goal'!$B$7)*IF(((1+$H75)^(1/12)-1)=0,12,(((1+((1+$H75)^(1/12)-1))^12-1)/((1+$H75)^(1/12)-1))*(1+((1+$H75)^(1/12)-1)))*(1+$H75)^($G$4-1)*IF(ABS(((1+$G$5)/(1+$H75))-1)&lt;0.000000000001,$G$4,(1-((1+$G$5)/(1+$H75))^$G$4)/(1-((1+$G$5)/(1+$H75))))-IF('Plan my goal'!$B$4="",0,'Plan my goal'!$B$4)))</f>
        <v>0.00448356941342354</v>
      </c>
      <c r="X75" s="3">
        <f>IF('My investments'!$B75="",0,IF('My investments'!$E75="",0,'My investments'!$E75))</f>
        <v>0</v>
      </c>
      <c r="Y75" s="25">
        <f>IF('My investments'!$B75="",$D$8,'My investments'!$B75)</f>
        <v>0</v>
      </c>
      <c r="Z75" s="3">
        <f>IF('My investments'!$C75="Worth today",0,$X75)</f>
        <v>0</v>
      </c>
      <c r="AA75" s="3">
        <f>IF('My investments'!$H$15="",0,IF('My investments'!$F75='My investments'!$H$15,$X75,0))</f>
        <v>0</v>
      </c>
      <c r="AB75" s="3">
        <f>IF('My investments'!$H$16="",0,IF('My investments'!$F75='My investments'!$H$16,$X75,0))</f>
        <v>0</v>
      </c>
      <c r="AC75" s="3">
        <f>IF('My investments'!$H$17="",0,IF('My investments'!$F75='My investments'!$H$17,$X75,0))</f>
        <v>0</v>
      </c>
      <c r="AD75" s="3">
        <f>IF('My investments'!$H$18="",0,IF('My investments'!$F75='My investments'!$H$18,$X75,0))</f>
        <v>0</v>
      </c>
      <c r="AE75" s="3">
        <f>IF('My investments'!$H$19="",0,IF('My investments'!$F75='My investments'!$H$19,$X75,0))</f>
        <v>0</v>
      </c>
      <c r="AF75" s="3">
        <f>IF('My investments'!$H$20="",0,IF('My investments'!$F75='My investments'!$H$20,$X75,0))</f>
        <v>0</v>
      </c>
      <c r="AG75" s="3">
        <f>IF('My investments'!$H$21="",0,IF('My investments'!$F75='My investments'!$H$21,$X75,0))</f>
        <v>0</v>
      </c>
      <c r="AH75" s="3">
        <f>IF('My investments'!$H$22="",0,IF('My investments'!$F75='My investments'!$H$22,$X75,0))</f>
        <v>0</v>
      </c>
      <c r="AI75" s="3">
        <f>IF('My investments'!$H$23="",0,IF('My investments'!$F75='My investments'!$H$23,$X75,0))</f>
        <v>0</v>
      </c>
      <c r="AJ75" s="3">
        <f>IF('My investments'!$H$24="",0,IF('My investments'!$F75='My investments'!$H$24,$X75,0))</f>
        <v>0</v>
      </c>
      <c r="AL75" s="3" t="str">
        <f>IF('My investments'!$B75="","",IF($D$10=0,"",IFERROR(INDEX('Index history'!$B$8:$B$5007,MATCH('My investments'!$B75,'Index history'!$A$8:$A$5007,1)),"")))</f>
        <v/>
      </c>
      <c r="AM75" s="3">
        <f>IF($AL75="",0,IF('My investments'!$D75="",0,IF('My investments'!$C75="Money in",'My investments'!$D75/$AL75,IF('My investments'!$C75="Money out",-'My investments'!$D75/$AL75,0))))</f>
        <v>0</v>
      </c>
    </row>
    <row r="76">
      <c r="F76" s="3">
        <f>IF($M76&lt;0,$H76,$F75)</f>
        <v>0.155873722486431</v>
      </c>
      <c r="G76" s="3">
        <f>IF($M76&lt;0,$G75,$H76)</f>
        <v>0.155873722529796</v>
      </c>
      <c r="H76" s="3">
        <f>($F75+$G75)/2</f>
        <v>0.155873722529796</v>
      </c>
      <c r="M76" s="3">
        <f>IF($G$10=0,0,(IF('Plan my goal'!$B$5="",0,'Plan my goal'!$B$5)*(1+$H76)^$G$4+IF('Plan my goal'!$B$7="",0,'Plan my goal'!$B$7)*IF(((1+$H76)^(1/12)-1)=0,12,(((1+((1+$H76)^(1/12)-1))^12-1)/((1+$H76)^(1/12)-1))*(1+((1+$H76)^(1/12)-1)))*(1+$H76)^($G$4-1)*IF(ABS(((1+$G$5)/(1+$H76))-1)&lt;0.000000000001,$G$4,(1-((1+$G$5)/(1+$H76))^$G$4)/(1-((1+$G$5)/(1+$H76))))-IF('Plan my goal'!$B$4="",0,'Plan my goal'!$B$4)))</f>
        <v>5.69391995668411E-005</v>
      </c>
      <c r="X76" s="3">
        <f>IF('My investments'!$B76="",0,IF('My investments'!$E76="",0,'My investments'!$E76))</f>
        <v>0</v>
      </c>
      <c r="Y76" s="25">
        <f>IF('My investments'!$B76="",$D$8,'My investments'!$B76)</f>
        <v>0</v>
      </c>
      <c r="Z76" s="3">
        <f>IF('My investments'!$C76="Worth today",0,$X76)</f>
        <v>0</v>
      </c>
      <c r="AA76" s="3">
        <f>IF('My investments'!$H$15="",0,IF('My investments'!$F76='My investments'!$H$15,$X76,0))</f>
        <v>0</v>
      </c>
      <c r="AB76" s="3">
        <f>IF('My investments'!$H$16="",0,IF('My investments'!$F76='My investments'!$H$16,$X76,0))</f>
        <v>0</v>
      </c>
      <c r="AC76" s="3">
        <f>IF('My investments'!$H$17="",0,IF('My investments'!$F76='My investments'!$H$17,$X76,0))</f>
        <v>0</v>
      </c>
      <c r="AD76" s="3">
        <f>IF('My investments'!$H$18="",0,IF('My investments'!$F76='My investments'!$H$18,$X76,0))</f>
        <v>0</v>
      </c>
      <c r="AE76" s="3">
        <f>IF('My investments'!$H$19="",0,IF('My investments'!$F76='My investments'!$H$19,$X76,0))</f>
        <v>0</v>
      </c>
      <c r="AF76" s="3">
        <f>IF('My investments'!$H$20="",0,IF('My investments'!$F76='My investments'!$H$20,$X76,0))</f>
        <v>0</v>
      </c>
      <c r="AG76" s="3">
        <f>IF('My investments'!$H$21="",0,IF('My investments'!$F76='My investments'!$H$21,$X76,0))</f>
        <v>0</v>
      </c>
      <c r="AH76" s="3">
        <f>IF('My investments'!$H$22="",0,IF('My investments'!$F76='My investments'!$H$22,$X76,0))</f>
        <v>0</v>
      </c>
      <c r="AI76" s="3">
        <f>IF('My investments'!$H$23="",0,IF('My investments'!$F76='My investments'!$H$23,$X76,0))</f>
        <v>0</v>
      </c>
      <c r="AJ76" s="3">
        <f>IF('My investments'!$H$24="",0,IF('My investments'!$F76='My investments'!$H$24,$X76,0))</f>
        <v>0</v>
      </c>
      <c r="AL76" s="3" t="str">
        <f>IF('My investments'!$B76="","",IF($D$10=0,"",IFERROR(INDEX('Index history'!$B$8:$B$5007,MATCH('My investments'!$B76,'Index history'!$A$8:$A$5007,1)),"")))</f>
        <v/>
      </c>
      <c r="AM76" s="3">
        <f>IF($AL76="",0,IF('My investments'!$D76="",0,IF('My investments'!$C76="Money in",'My investments'!$D76/$AL76,IF('My investments'!$C76="Money out",-'My investments'!$D76/$AL76,0))))</f>
        <v>0</v>
      </c>
    </row>
    <row r="77">
      <c r="F77" s="3">
        <f>IF($M77&lt;0,$H77,$F76)</f>
        <v>0.155873722508113</v>
      </c>
      <c r="G77" s="3">
        <f>IF($M77&lt;0,$G76,$H77)</f>
        <v>0.155873722529796</v>
      </c>
      <c r="H77" s="3">
        <f>($F76+$G76)/2</f>
        <v>0.155873722508113</v>
      </c>
      <c r="M77" s="3">
        <f>IF($G$10=0,0,(IF('Plan my goal'!$B$5="",0,'Plan my goal'!$B$5)*(1+$H77)^$G$4+IF('Plan my goal'!$B$7="",0,'Plan my goal'!$B$7)*IF(((1+$H77)^(1/12)-1)=0,12,(((1+((1+$H77)^(1/12)-1))^12-1)/((1+$H77)^(1/12)-1))*(1+((1+$H77)^(1/12)-1)))*(1+$H77)^($G$4-1)*IF(ABS(((1+$G$5)/(1+$H77))-1)&lt;0.000000000001,$G$4,(1-((1+$G$5)/(1+$H77))^$G$4)/(1-((1+$G$5)/(1+$H77))))-IF('Plan my goal'!$B$4="",0,'Plan my goal'!$B$4)))</f>
        <v>-0.00215639173984528</v>
      </c>
      <c r="X77" s="3">
        <f>IF('My investments'!$B77="",0,IF('My investments'!$E77="",0,'My investments'!$E77))</f>
        <v>0</v>
      </c>
      <c r="Y77" s="25">
        <f>IF('My investments'!$B77="",$D$8,'My investments'!$B77)</f>
        <v>0</v>
      </c>
      <c r="Z77" s="3">
        <f>IF('My investments'!$C77="Worth today",0,$X77)</f>
        <v>0</v>
      </c>
      <c r="AA77" s="3">
        <f>IF('My investments'!$H$15="",0,IF('My investments'!$F77='My investments'!$H$15,$X77,0))</f>
        <v>0</v>
      </c>
      <c r="AB77" s="3">
        <f>IF('My investments'!$H$16="",0,IF('My investments'!$F77='My investments'!$H$16,$X77,0))</f>
        <v>0</v>
      </c>
      <c r="AC77" s="3">
        <f>IF('My investments'!$H$17="",0,IF('My investments'!$F77='My investments'!$H$17,$X77,0))</f>
        <v>0</v>
      </c>
      <c r="AD77" s="3">
        <f>IF('My investments'!$H$18="",0,IF('My investments'!$F77='My investments'!$H$18,$X77,0))</f>
        <v>0</v>
      </c>
      <c r="AE77" s="3">
        <f>IF('My investments'!$H$19="",0,IF('My investments'!$F77='My investments'!$H$19,$X77,0))</f>
        <v>0</v>
      </c>
      <c r="AF77" s="3">
        <f>IF('My investments'!$H$20="",0,IF('My investments'!$F77='My investments'!$H$20,$X77,0))</f>
        <v>0</v>
      </c>
      <c r="AG77" s="3">
        <f>IF('My investments'!$H$21="",0,IF('My investments'!$F77='My investments'!$H$21,$X77,0))</f>
        <v>0</v>
      </c>
      <c r="AH77" s="3">
        <f>IF('My investments'!$H$22="",0,IF('My investments'!$F77='My investments'!$H$22,$X77,0))</f>
        <v>0</v>
      </c>
      <c r="AI77" s="3">
        <f>IF('My investments'!$H$23="",0,IF('My investments'!$F77='My investments'!$H$23,$X77,0))</f>
        <v>0</v>
      </c>
      <c r="AJ77" s="3">
        <f>IF('My investments'!$H$24="",0,IF('My investments'!$F77='My investments'!$H$24,$X77,0))</f>
        <v>0</v>
      </c>
      <c r="AL77" s="3" t="str">
        <f>IF('My investments'!$B77="","",IF($D$10=0,"",IFERROR(INDEX('Index history'!$B$8:$B$5007,MATCH('My investments'!$B77,'Index history'!$A$8:$A$5007,1)),"")))</f>
        <v/>
      </c>
      <c r="AM77" s="3">
        <f>IF($AL77="",0,IF('My investments'!$D77="",0,IF('My investments'!$C77="Money in",'My investments'!$D77/$AL77,IF('My investments'!$C77="Money out",-'My investments'!$D77/$AL77,0))))</f>
        <v>0</v>
      </c>
    </row>
    <row r="78">
      <c r="F78" s="3">
        <f>IF($M78&lt;0,$H78,$F77)</f>
        <v>0.155873722518954</v>
      </c>
      <c r="G78" s="3">
        <f>IF($M78&lt;0,$G77,$H78)</f>
        <v>0.155873722529796</v>
      </c>
      <c r="H78" s="3">
        <f>($F77+$G77)/2</f>
        <v>0.155873722518954</v>
      </c>
      <c r="M78" s="3">
        <f>IF($G$10=0,0,(IF('Plan my goal'!$B$5="",0,'Plan my goal'!$B$5)*(1+$H78)^$G$4+IF('Plan my goal'!$B$7="",0,'Plan my goal'!$B$7)*IF(((1+$H78)^(1/12)-1)=0,12,(((1+((1+$H78)^(1/12)-1))^12-1)/((1+$H78)^(1/12)-1))*(1+((1+$H78)^(1/12)-1)))*(1+$H78)^($G$4-1)*IF(ABS(((1+$G$5)/(1+$H78))-1)&lt;0.000000000001,$G$4,(1-((1+$G$5)/(1+$H78))^$G$4)/(1-((1+$G$5)/(1+$H78))))-IF('Plan my goal'!$B$4="",0,'Plan my goal'!$B$4)))</f>
        <v>-0.00104972347617149</v>
      </c>
      <c r="X78" s="3">
        <f>IF('My investments'!$B78="",0,IF('My investments'!$E78="",0,'My investments'!$E78))</f>
        <v>0</v>
      </c>
      <c r="Y78" s="25">
        <f>IF('My investments'!$B78="",$D$8,'My investments'!$B78)</f>
        <v>0</v>
      </c>
      <c r="Z78" s="3">
        <f>IF('My investments'!$C78="Worth today",0,$X78)</f>
        <v>0</v>
      </c>
      <c r="AA78" s="3">
        <f>IF('My investments'!$H$15="",0,IF('My investments'!$F78='My investments'!$H$15,$X78,0))</f>
        <v>0</v>
      </c>
      <c r="AB78" s="3">
        <f>IF('My investments'!$H$16="",0,IF('My investments'!$F78='My investments'!$H$16,$X78,0))</f>
        <v>0</v>
      </c>
      <c r="AC78" s="3">
        <f>IF('My investments'!$H$17="",0,IF('My investments'!$F78='My investments'!$H$17,$X78,0))</f>
        <v>0</v>
      </c>
      <c r="AD78" s="3">
        <f>IF('My investments'!$H$18="",0,IF('My investments'!$F78='My investments'!$H$18,$X78,0))</f>
        <v>0</v>
      </c>
      <c r="AE78" s="3">
        <f>IF('My investments'!$H$19="",0,IF('My investments'!$F78='My investments'!$H$19,$X78,0))</f>
        <v>0</v>
      </c>
      <c r="AF78" s="3">
        <f>IF('My investments'!$H$20="",0,IF('My investments'!$F78='My investments'!$H$20,$X78,0))</f>
        <v>0</v>
      </c>
      <c r="AG78" s="3">
        <f>IF('My investments'!$H$21="",0,IF('My investments'!$F78='My investments'!$H$21,$X78,0))</f>
        <v>0</v>
      </c>
      <c r="AH78" s="3">
        <f>IF('My investments'!$H$22="",0,IF('My investments'!$F78='My investments'!$H$22,$X78,0))</f>
        <v>0</v>
      </c>
      <c r="AI78" s="3">
        <f>IF('My investments'!$H$23="",0,IF('My investments'!$F78='My investments'!$H$23,$X78,0))</f>
        <v>0</v>
      </c>
      <c r="AJ78" s="3">
        <f>IF('My investments'!$H$24="",0,IF('My investments'!$F78='My investments'!$H$24,$X78,0))</f>
        <v>0</v>
      </c>
      <c r="AL78" s="3" t="str">
        <f>IF('My investments'!$B78="","",IF($D$10=0,"",IFERROR(INDEX('Index history'!$B$8:$B$5007,MATCH('My investments'!$B78,'Index history'!$A$8:$A$5007,1)),"")))</f>
        <v/>
      </c>
      <c r="AM78" s="3">
        <f>IF($AL78="",0,IF('My investments'!$D78="",0,IF('My investments'!$C78="Money in",'My investments'!$D78/$AL78,IF('My investments'!$C78="Money out",-'My investments'!$D78/$AL78,0))))</f>
        <v>0</v>
      </c>
    </row>
    <row r="79">
      <c r="F79" s="3">
        <f>IF($M79&lt;0,$H79,$F78)</f>
        <v>0.155873722524375</v>
      </c>
      <c r="G79" s="3">
        <f>IF($M79&lt;0,$G78,$H79)</f>
        <v>0.155873722529796</v>
      </c>
      <c r="H79" s="3">
        <f>($F78+$G78)/2</f>
        <v>0.155873722524375</v>
      </c>
      <c r="M79" s="3">
        <f>IF($G$10=0,0,(IF('Plan my goal'!$B$5="",0,'Plan my goal'!$B$5)*(1+$H79)^$G$4+IF('Plan my goal'!$B$7="",0,'Plan my goal'!$B$7)*IF(((1+$H79)^(1/12)-1)=0,12,(((1+((1+$H79)^(1/12)-1))^12-1)/((1+$H79)^(1/12)-1))*(1+((1+$H79)^(1/12)-1)))*(1+$H79)^($G$4-1)*IF(ABS(((1+$G$5)/(1+$H79))-1)&lt;0.000000000001,$G$4,(1-((1+$G$5)/(1+$H79))^$G$4)/(1-((1+$G$5)/(1+$H79))))-IF('Plan my goal'!$B$4="",0,'Plan my goal'!$B$4)))</f>
        <v>-0.000496387481689453</v>
      </c>
      <c r="X79" s="3">
        <f>IF('My investments'!$B79="",0,IF('My investments'!$E79="",0,'My investments'!$E79))</f>
        <v>0</v>
      </c>
      <c r="Y79" s="25">
        <f>IF('My investments'!$B79="",$D$8,'My investments'!$B79)</f>
        <v>0</v>
      </c>
      <c r="Z79" s="3">
        <f>IF('My investments'!$C79="Worth today",0,$X79)</f>
        <v>0</v>
      </c>
      <c r="AA79" s="3">
        <f>IF('My investments'!$H$15="",0,IF('My investments'!$F79='My investments'!$H$15,$X79,0))</f>
        <v>0</v>
      </c>
      <c r="AB79" s="3">
        <f>IF('My investments'!$H$16="",0,IF('My investments'!$F79='My investments'!$H$16,$X79,0))</f>
        <v>0</v>
      </c>
      <c r="AC79" s="3">
        <f>IF('My investments'!$H$17="",0,IF('My investments'!$F79='My investments'!$H$17,$X79,0))</f>
        <v>0</v>
      </c>
      <c r="AD79" s="3">
        <f>IF('My investments'!$H$18="",0,IF('My investments'!$F79='My investments'!$H$18,$X79,0))</f>
        <v>0</v>
      </c>
      <c r="AE79" s="3">
        <f>IF('My investments'!$H$19="",0,IF('My investments'!$F79='My investments'!$H$19,$X79,0))</f>
        <v>0</v>
      </c>
      <c r="AF79" s="3">
        <f>IF('My investments'!$H$20="",0,IF('My investments'!$F79='My investments'!$H$20,$X79,0))</f>
        <v>0</v>
      </c>
      <c r="AG79" s="3">
        <f>IF('My investments'!$H$21="",0,IF('My investments'!$F79='My investments'!$H$21,$X79,0))</f>
        <v>0</v>
      </c>
      <c r="AH79" s="3">
        <f>IF('My investments'!$H$22="",0,IF('My investments'!$F79='My investments'!$H$22,$X79,0))</f>
        <v>0</v>
      </c>
      <c r="AI79" s="3">
        <f>IF('My investments'!$H$23="",0,IF('My investments'!$F79='My investments'!$H$23,$X79,0))</f>
        <v>0</v>
      </c>
      <c r="AJ79" s="3">
        <f>IF('My investments'!$H$24="",0,IF('My investments'!$F79='My investments'!$H$24,$X79,0))</f>
        <v>0</v>
      </c>
      <c r="AL79" s="3" t="str">
        <f>IF('My investments'!$B79="","",IF($D$10=0,"",IFERROR(INDEX('Index history'!$B$8:$B$5007,MATCH('My investments'!$B79,'Index history'!$A$8:$A$5007,1)),"")))</f>
        <v/>
      </c>
      <c r="AM79" s="3">
        <f>IF($AL79="",0,IF('My investments'!$D79="",0,IF('My investments'!$C79="Money in",'My investments'!$D79/$AL79,IF('My investments'!$C79="Money out",-'My investments'!$D79/$AL79,0))))</f>
        <v>0</v>
      </c>
    </row>
    <row r="80">
      <c r="F80" s="3">
        <f>IF($M80&lt;0,$H80,$F79)</f>
        <v>0.155873722527085</v>
      </c>
      <c r="G80" s="3">
        <f>IF($M80&lt;0,$G79,$H80)</f>
        <v>0.155873722529796</v>
      </c>
      <c r="H80" s="3">
        <f>($F79+$G79)/2</f>
        <v>0.155873722527085</v>
      </c>
      <c r="M80" s="3">
        <f>IF($G$10=0,0,(IF('Plan my goal'!$B$5="",0,'Plan my goal'!$B$5)*(1+$H80)^$G$4+IF('Plan my goal'!$B$7="",0,'Plan my goal'!$B$7)*IF(((1+$H80)^(1/12)-1)=0,12,(((1+((1+$H80)^(1/12)-1))^12-1)/((1+$H80)^(1/12)-1))*(1+((1+$H80)^(1/12)-1)))*(1+$H80)^($G$4-1)*IF(ABS(((1+$G$5)/(1+$H80))-1)&lt;0.000000000001,$G$4,(1-((1+$G$5)/(1+$H80))^$G$4)/(1-((1+$G$5)/(1+$H80))))-IF('Plan my goal'!$B$4="",0,'Plan my goal'!$B$4)))</f>
        <v>-0.000219732522964478</v>
      </c>
      <c r="X80" s="3">
        <f>IF('My investments'!$B80="",0,IF('My investments'!$E80="",0,'My investments'!$E80))</f>
        <v>0</v>
      </c>
      <c r="Y80" s="25">
        <f>IF('My investments'!$B80="",$D$8,'My investments'!$B80)</f>
        <v>0</v>
      </c>
      <c r="Z80" s="3">
        <f>IF('My investments'!$C80="Worth today",0,$X80)</f>
        <v>0</v>
      </c>
      <c r="AA80" s="3">
        <f>IF('My investments'!$H$15="",0,IF('My investments'!$F80='My investments'!$H$15,$X80,0))</f>
        <v>0</v>
      </c>
      <c r="AB80" s="3">
        <f>IF('My investments'!$H$16="",0,IF('My investments'!$F80='My investments'!$H$16,$X80,0))</f>
        <v>0</v>
      </c>
      <c r="AC80" s="3">
        <f>IF('My investments'!$H$17="",0,IF('My investments'!$F80='My investments'!$H$17,$X80,0))</f>
        <v>0</v>
      </c>
      <c r="AD80" s="3">
        <f>IF('My investments'!$H$18="",0,IF('My investments'!$F80='My investments'!$H$18,$X80,0))</f>
        <v>0</v>
      </c>
      <c r="AE80" s="3">
        <f>IF('My investments'!$H$19="",0,IF('My investments'!$F80='My investments'!$H$19,$X80,0))</f>
        <v>0</v>
      </c>
      <c r="AF80" s="3">
        <f>IF('My investments'!$H$20="",0,IF('My investments'!$F80='My investments'!$H$20,$X80,0))</f>
        <v>0</v>
      </c>
      <c r="AG80" s="3">
        <f>IF('My investments'!$H$21="",0,IF('My investments'!$F80='My investments'!$H$21,$X80,0))</f>
        <v>0</v>
      </c>
      <c r="AH80" s="3">
        <f>IF('My investments'!$H$22="",0,IF('My investments'!$F80='My investments'!$H$22,$X80,0))</f>
        <v>0</v>
      </c>
      <c r="AI80" s="3">
        <f>IF('My investments'!$H$23="",0,IF('My investments'!$F80='My investments'!$H$23,$X80,0))</f>
        <v>0</v>
      </c>
      <c r="AJ80" s="3">
        <f>IF('My investments'!$H$24="",0,IF('My investments'!$F80='My investments'!$H$24,$X80,0))</f>
        <v>0</v>
      </c>
      <c r="AL80" s="3" t="str">
        <f>IF('My investments'!$B80="","",IF($D$10=0,"",IFERROR(INDEX('Index history'!$B$8:$B$5007,MATCH('My investments'!$B80,'Index history'!$A$8:$A$5007,1)),"")))</f>
        <v/>
      </c>
      <c r="AM80" s="3">
        <f>IF($AL80="",0,IF('My investments'!$D80="",0,IF('My investments'!$C80="Money in",'My investments'!$D80/$AL80,IF('My investments'!$C80="Money out",-'My investments'!$D80/$AL80,0))))</f>
        <v>0</v>
      </c>
    </row>
    <row r="81">
      <c r="F81" s="3">
        <f>IF($M81&lt;0,$H81,$F80)</f>
        <v>0.15587372252844</v>
      </c>
      <c r="G81" s="3">
        <f>IF($M81&lt;0,$G80,$H81)</f>
        <v>0.155873722529796</v>
      </c>
      <c r="H81" s="3">
        <f>($F80+$G80)/2</f>
        <v>0.15587372252844</v>
      </c>
      <c r="M81" s="3">
        <f>IF($G$10=0,0,(IF('Plan my goal'!$B$5="",0,'Plan my goal'!$B$5)*(1+$H81)^$G$4+IF('Plan my goal'!$B$7="",0,'Plan my goal'!$B$7)*IF(((1+$H81)^(1/12)-1)=0,12,(((1+((1+$H81)^(1/12)-1))^12-1)/((1+$H81)^(1/12)-1))*(1+((1+$H81)^(1/12)-1)))*(1+$H81)^($G$4-1)*IF(ABS(((1+$G$5)/(1+$H81))-1)&lt;0.000000000001,$G$4,(1-((1+$G$5)/(1+$H81))^$G$4)/(1-((1+$G$5)/(1+$H81))))-IF('Plan my goal'!$B$4="",0,'Plan my goal'!$B$4)))</f>
        <v>-8.13957303762436E-005</v>
      </c>
      <c r="X81" s="3">
        <f>IF('My investments'!$B81="",0,IF('My investments'!$E81="",0,'My investments'!$E81))</f>
        <v>0</v>
      </c>
      <c r="Y81" s="25">
        <f>IF('My investments'!$B81="",$D$8,'My investments'!$B81)</f>
        <v>0</v>
      </c>
      <c r="Z81" s="3">
        <f>IF('My investments'!$C81="Worth today",0,$X81)</f>
        <v>0</v>
      </c>
      <c r="AA81" s="3">
        <f>IF('My investments'!$H$15="",0,IF('My investments'!$F81='My investments'!$H$15,$X81,0))</f>
        <v>0</v>
      </c>
      <c r="AB81" s="3">
        <f>IF('My investments'!$H$16="",0,IF('My investments'!$F81='My investments'!$H$16,$X81,0))</f>
        <v>0</v>
      </c>
      <c r="AC81" s="3">
        <f>IF('My investments'!$H$17="",0,IF('My investments'!$F81='My investments'!$H$17,$X81,0))</f>
        <v>0</v>
      </c>
      <c r="AD81" s="3">
        <f>IF('My investments'!$H$18="",0,IF('My investments'!$F81='My investments'!$H$18,$X81,0))</f>
        <v>0</v>
      </c>
      <c r="AE81" s="3">
        <f>IF('My investments'!$H$19="",0,IF('My investments'!$F81='My investments'!$H$19,$X81,0))</f>
        <v>0</v>
      </c>
      <c r="AF81" s="3">
        <f>IF('My investments'!$H$20="",0,IF('My investments'!$F81='My investments'!$H$20,$X81,0))</f>
        <v>0</v>
      </c>
      <c r="AG81" s="3">
        <f>IF('My investments'!$H$21="",0,IF('My investments'!$F81='My investments'!$H$21,$X81,0))</f>
        <v>0</v>
      </c>
      <c r="AH81" s="3">
        <f>IF('My investments'!$H$22="",0,IF('My investments'!$F81='My investments'!$H$22,$X81,0))</f>
        <v>0</v>
      </c>
      <c r="AI81" s="3">
        <f>IF('My investments'!$H$23="",0,IF('My investments'!$F81='My investments'!$H$23,$X81,0))</f>
        <v>0</v>
      </c>
      <c r="AJ81" s="3">
        <f>IF('My investments'!$H$24="",0,IF('My investments'!$F81='My investments'!$H$24,$X81,0))</f>
        <v>0</v>
      </c>
      <c r="AL81" s="3" t="str">
        <f>IF('My investments'!$B81="","",IF($D$10=0,"",IFERROR(INDEX('Index history'!$B$8:$B$5007,MATCH('My investments'!$B81,'Index history'!$A$8:$A$5007,1)),"")))</f>
        <v/>
      </c>
      <c r="AM81" s="3">
        <f>IF($AL81="",0,IF('My investments'!$D81="",0,IF('My investments'!$C81="Money in",'My investments'!$D81/$AL81,IF('My investments'!$C81="Money out",-'My investments'!$D81/$AL81,0))))</f>
        <v>0</v>
      </c>
    </row>
    <row r="82">
      <c r="F82" s="3" t="inlineStr">
        <is>
          <t>required rate</t>
        </is>
      </c>
      <c r="H82" s="3">
        <f>($F$81+$G$81)/2</f>
        <v>0.155873722529118</v>
      </c>
      <c r="X82" s="3">
        <f>IF('My investments'!$B82="",0,IF('My investments'!$E82="",0,'My investments'!$E82))</f>
        <v>0</v>
      </c>
      <c r="Y82" s="25">
        <f>IF('My investments'!$B82="",$D$8,'My investments'!$B82)</f>
        <v>0</v>
      </c>
      <c r="Z82" s="3">
        <f>IF('My investments'!$C82="Worth today",0,$X82)</f>
        <v>0</v>
      </c>
      <c r="AA82" s="3">
        <f>IF('My investments'!$H$15="",0,IF('My investments'!$F82='My investments'!$H$15,$X82,0))</f>
        <v>0</v>
      </c>
      <c r="AB82" s="3">
        <f>IF('My investments'!$H$16="",0,IF('My investments'!$F82='My investments'!$H$16,$X82,0))</f>
        <v>0</v>
      </c>
      <c r="AC82" s="3">
        <f>IF('My investments'!$H$17="",0,IF('My investments'!$F82='My investments'!$H$17,$X82,0))</f>
        <v>0</v>
      </c>
      <c r="AD82" s="3">
        <f>IF('My investments'!$H$18="",0,IF('My investments'!$F82='My investments'!$H$18,$X82,0))</f>
        <v>0</v>
      </c>
      <c r="AE82" s="3">
        <f>IF('My investments'!$H$19="",0,IF('My investments'!$F82='My investments'!$H$19,$X82,0))</f>
        <v>0</v>
      </c>
      <c r="AF82" s="3">
        <f>IF('My investments'!$H$20="",0,IF('My investments'!$F82='My investments'!$H$20,$X82,0))</f>
        <v>0</v>
      </c>
      <c r="AG82" s="3">
        <f>IF('My investments'!$H$21="",0,IF('My investments'!$F82='My investments'!$H$21,$X82,0))</f>
        <v>0</v>
      </c>
      <c r="AH82" s="3">
        <f>IF('My investments'!$H$22="",0,IF('My investments'!$F82='My investments'!$H$22,$X82,0))</f>
        <v>0</v>
      </c>
      <c r="AI82" s="3">
        <f>IF('My investments'!$H$23="",0,IF('My investments'!$F82='My investments'!$H$23,$X82,0))</f>
        <v>0</v>
      </c>
      <c r="AJ82" s="3">
        <f>IF('My investments'!$H$24="",0,IF('My investments'!$F82='My investments'!$H$24,$X82,0))</f>
        <v>0</v>
      </c>
      <c r="AL82" s="3" t="str">
        <f>IF('My investments'!$B82="","",IF($D$10=0,"",IFERROR(INDEX('Index history'!$B$8:$B$5007,MATCH('My investments'!$B82,'Index history'!$A$8:$A$5007,1)),"")))</f>
        <v/>
      </c>
      <c r="AM82" s="3">
        <f>IF($AL82="",0,IF('My investments'!$D82="",0,IF('My investments'!$C82="Money in",'My investments'!$D82/$AL82,IF('My investments'!$C82="Money out",-'My investments'!$D82/$AL82,0))))</f>
        <v>0</v>
      </c>
    </row>
    <row r="83">
      <c r="X83" s="3">
        <f>IF('My investments'!$B83="",0,IF('My investments'!$E83="",0,'My investments'!$E83))</f>
        <v>0</v>
      </c>
      <c r="Y83" s="25">
        <f>IF('My investments'!$B83="",$D$8,'My investments'!$B83)</f>
        <v>0</v>
      </c>
      <c r="Z83" s="3">
        <f>IF('My investments'!$C83="Worth today",0,$X83)</f>
        <v>0</v>
      </c>
      <c r="AA83" s="3">
        <f>IF('My investments'!$H$15="",0,IF('My investments'!$F83='My investments'!$H$15,$X83,0))</f>
        <v>0</v>
      </c>
      <c r="AB83" s="3">
        <f>IF('My investments'!$H$16="",0,IF('My investments'!$F83='My investments'!$H$16,$X83,0))</f>
        <v>0</v>
      </c>
      <c r="AC83" s="3">
        <f>IF('My investments'!$H$17="",0,IF('My investments'!$F83='My investments'!$H$17,$X83,0))</f>
        <v>0</v>
      </c>
      <c r="AD83" s="3">
        <f>IF('My investments'!$H$18="",0,IF('My investments'!$F83='My investments'!$H$18,$X83,0))</f>
        <v>0</v>
      </c>
      <c r="AE83" s="3">
        <f>IF('My investments'!$H$19="",0,IF('My investments'!$F83='My investments'!$H$19,$X83,0))</f>
        <v>0</v>
      </c>
      <c r="AF83" s="3">
        <f>IF('My investments'!$H$20="",0,IF('My investments'!$F83='My investments'!$H$20,$X83,0))</f>
        <v>0</v>
      </c>
      <c r="AG83" s="3">
        <f>IF('My investments'!$H$21="",0,IF('My investments'!$F83='My investments'!$H$21,$X83,0))</f>
        <v>0</v>
      </c>
      <c r="AH83" s="3">
        <f>IF('My investments'!$H$22="",0,IF('My investments'!$F83='My investments'!$H$22,$X83,0))</f>
        <v>0</v>
      </c>
      <c r="AI83" s="3">
        <f>IF('My investments'!$H$23="",0,IF('My investments'!$F83='My investments'!$H$23,$X83,0))</f>
        <v>0</v>
      </c>
      <c r="AJ83" s="3">
        <f>IF('My investments'!$H$24="",0,IF('My investments'!$F83='My investments'!$H$24,$X83,0))</f>
        <v>0</v>
      </c>
      <c r="AL83" s="3" t="str">
        <f>IF('My investments'!$B83="","",IF($D$10=0,"",IFERROR(INDEX('Index history'!$B$8:$B$5007,MATCH('My investments'!$B83,'Index history'!$A$8:$A$5007,1)),"")))</f>
        <v/>
      </c>
      <c r="AM83" s="3">
        <f>IF($AL83="",0,IF('My investments'!$D83="",0,IF('My investments'!$C83="Money in",'My investments'!$D83/$AL83,IF('My investments'!$C83="Money out",-'My investments'!$D83/$AL83,0))))</f>
        <v>0</v>
      </c>
    </row>
    <row r="84">
      <c r="X84" s="3">
        <f>IF('My investments'!$B84="",0,IF('My investments'!$E84="",0,'My investments'!$E84))</f>
        <v>0</v>
      </c>
      <c r="Y84" s="25">
        <f>IF('My investments'!$B84="",$D$8,'My investments'!$B84)</f>
        <v>0</v>
      </c>
      <c r="Z84" s="3">
        <f>IF('My investments'!$C84="Worth today",0,$X84)</f>
        <v>0</v>
      </c>
      <c r="AA84" s="3">
        <f>IF('My investments'!$H$15="",0,IF('My investments'!$F84='My investments'!$H$15,$X84,0))</f>
        <v>0</v>
      </c>
      <c r="AB84" s="3">
        <f>IF('My investments'!$H$16="",0,IF('My investments'!$F84='My investments'!$H$16,$X84,0))</f>
        <v>0</v>
      </c>
      <c r="AC84" s="3">
        <f>IF('My investments'!$H$17="",0,IF('My investments'!$F84='My investments'!$H$17,$X84,0))</f>
        <v>0</v>
      </c>
      <c r="AD84" s="3">
        <f>IF('My investments'!$H$18="",0,IF('My investments'!$F84='My investments'!$H$18,$X84,0))</f>
        <v>0</v>
      </c>
      <c r="AE84" s="3">
        <f>IF('My investments'!$H$19="",0,IF('My investments'!$F84='My investments'!$H$19,$X84,0))</f>
        <v>0</v>
      </c>
      <c r="AF84" s="3">
        <f>IF('My investments'!$H$20="",0,IF('My investments'!$F84='My investments'!$H$20,$X84,0))</f>
        <v>0</v>
      </c>
      <c r="AG84" s="3">
        <f>IF('My investments'!$H$21="",0,IF('My investments'!$F84='My investments'!$H$21,$X84,0))</f>
        <v>0</v>
      </c>
      <c r="AH84" s="3">
        <f>IF('My investments'!$H$22="",0,IF('My investments'!$F84='My investments'!$H$22,$X84,0))</f>
        <v>0</v>
      </c>
      <c r="AI84" s="3">
        <f>IF('My investments'!$H$23="",0,IF('My investments'!$F84='My investments'!$H$23,$X84,0))</f>
        <v>0</v>
      </c>
      <c r="AJ84" s="3">
        <f>IF('My investments'!$H$24="",0,IF('My investments'!$F84='My investments'!$H$24,$X84,0))</f>
        <v>0</v>
      </c>
      <c r="AL84" s="3" t="str">
        <f>IF('My investments'!$B84="","",IF($D$10=0,"",IFERROR(INDEX('Index history'!$B$8:$B$5007,MATCH('My investments'!$B84,'Index history'!$A$8:$A$5007,1)),"")))</f>
        <v/>
      </c>
      <c r="AM84" s="3">
        <f>IF($AL84="",0,IF('My investments'!$D84="",0,IF('My investments'!$C84="Money in",'My investments'!$D84/$AL84,IF('My investments'!$C84="Money out",-'My investments'!$D84/$AL84,0))))</f>
        <v>0</v>
      </c>
    </row>
    <row r="85">
      <c r="X85" s="3">
        <f>IF('My investments'!$B85="",0,IF('My investments'!$E85="",0,'My investments'!$E85))</f>
        <v>0</v>
      </c>
      <c r="Y85" s="25">
        <f>IF('My investments'!$B85="",$D$8,'My investments'!$B85)</f>
        <v>0</v>
      </c>
      <c r="Z85" s="3">
        <f>IF('My investments'!$C85="Worth today",0,$X85)</f>
        <v>0</v>
      </c>
      <c r="AA85" s="3">
        <f>IF('My investments'!$H$15="",0,IF('My investments'!$F85='My investments'!$H$15,$X85,0))</f>
        <v>0</v>
      </c>
      <c r="AB85" s="3">
        <f>IF('My investments'!$H$16="",0,IF('My investments'!$F85='My investments'!$H$16,$X85,0))</f>
        <v>0</v>
      </c>
      <c r="AC85" s="3">
        <f>IF('My investments'!$H$17="",0,IF('My investments'!$F85='My investments'!$H$17,$X85,0))</f>
        <v>0</v>
      </c>
      <c r="AD85" s="3">
        <f>IF('My investments'!$H$18="",0,IF('My investments'!$F85='My investments'!$H$18,$X85,0))</f>
        <v>0</v>
      </c>
      <c r="AE85" s="3">
        <f>IF('My investments'!$H$19="",0,IF('My investments'!$F85='My investments'!$H$19,$X85,0))</f>
        <v>0</v>
      </c>
      <c r="AF85" s="3">
        <f>IF('My investments'!$H$20="",0,IF('My investments'!$F85='My investments'!$H$20,$X85,0))</f>
        <v>0</v>
      </c>
      <c r="AG85" s="3">
        <f>IF('My investments'!$H$21="",0,IF('My investments'!$F85='My investments'!$H$21,$X85,0))</f>
        <v>0</v>
      </c>
      <c r="AH85" s="3">
        <f>IF('My investments'!$H$22="",0,IF('My investments'!$F85='My investments'!$H$22,$X85,0))</f>
        <v>0</v>
      </c>
      <c r="AI85" s="3">
        <f>IF('My investments'!$H$23="",0,IF('My investments'!$F85='My investments'!$H$23,$X85,0))</f>
        <v>0</v>
      </c>
      <c r="AJ85" s="3">
        <f>IF('My investments'!$H$24="",0,IF('My investments'!$F85='My investments'!$H$24,$X85,0))</f>
        <v>0</v>
      </c>
      <c r="AL85" s="3" t="str">
        <f>IF('My investments'!$B85="","",IF($D$10=0,"",IFERROR(INDEX('Index history'!$B$8:$B$5007,MATCH('My investments'!$B85,'Index history'!$A$8:$A$5007,1)),"")))</f>
        <v/>
      </c>
      <c r="AM85" s="3">
        <f>IF($AL85="",0,IF('My investments'!$D85="",0,IF('My investments'!$C85="Money in",'My investments'!$D85/$AL85,IF('My investments'!$C85="Money out",-'My investments'!$D85/$AL85,0))))</f>
        <v>0</v>
      </c>
    </row>
    <row r="86">
      <c r="X86" s="3">
        <f>IF('My investments'!$B86="",0,IF('My investments'!$E86="",0,'My investments'!$E86))</f>
        <v>0</v>
      </c>
      <c r="Y86" s="25">
        <f>IF('My investments'!$B86="",$D$8,'My investments'!$B86)</f>
        <v>0</v>
      </c>
      <c r="Z86" s="3">
        <f>IF('My investments'!$C86="Worth today",0,$X86)</f>
        <v>0</v>
      </c>
      <c r="AA86" s="3">
        <f>IF('My investments'!$H$15="",0,IF('My investments'!$F86='My investments'!$H$15,$X86,0))</f>
        <v>0</v>
      </c>
      <c r="AB86" s="3">
        <f>IF('My investments'!$H$16="",0,IF('My investments'!$F86='My investments'!$H$16,$X86,0))</f>
        <v>0</v>
      </c>
      <c r="AC86" s="3">
        <f>IF('My investments'!$H$17="",0,IF('My investments'!$F86='My investments'!$H$17,$X86,0))</f>
        <v>0</v>
      </c>
      <c r="AD86" s="3">
        <f>IF('My investments'!$H$18="",0,IF('My investments'!$F86='My investments'!$H$18,$X86,0))</f>
        <v>0</v>
      </c>
      <c r="AE86" s="3">
        <f>IF('My investments'!$H$19="",0,IF('My investments'!$F86='My investments'!$H$19,$X86,0))</f>
        <v>0</v>
      </c>
      <c r="AF86" s="3">
        <f>IF('My investments'!$H$20="",0,IF('My investments'!$F86='My investments'!$H$20,$X86,0))</f>
        <v>0</v>
      </c>
      <c r="AG86" s="3">
        <f>IF('My investments'!$H$21="",0,IF('My investments'!$F86='My investments'!$H$21,$X86,0))</f>
        <v>0</v>
      </c>
      <c r="AH86" s="3">
        <f>IF('My investments'!$H$22="",0,IF('My investments'!$F86='My investments'!$H$22,$X86,0))</f>
        <v>0</v>
      </c>
      <c r="AI86" s="3">
        <f>IF('My investments'!$H$23="",0,IF('My investments'!$F86='My investments'!$H$23,$X86,0))</f>
        <v>0</v>
      </c>
      <c r="AJ86" s="3">
        <f>IF('My investments'!$H$24="",0,IF('My investments'!$F86='My investments'!$H$24,$X86,0))</f>
        <v>0</v>
      </c>
      <c r="AL86" s="3" t="str">
        <f>IF('My investments'!$B86="","",IF($D$10=0,"",IFERROR(INDEX('Index history'!$B$8:$B$5007,MATCH('My investments'!$B86,'Index history'!$A$8:$A$5007,1)),"")))</f>
        <v/>
      </c>
      <c r="AM86" s="3">
        <f>IF($AL86="",0,IF('My investments'!$D86="",0,IF('My investments'!$C86="Money in",'My investments'!$D86/$AL86,IF('My investments'!$C86="Money out",-'My investments'!$D86/$AL86,0))))</f>
        <v>0</v>
      </c>
    </row>
    <row r="87">
      <c r="X87" s="3">
        <f>IF('My investments'!$B87="",0,IF('My investments'!$E87="",0,'My investments'!$E87))</f>
        <v>0</v>
      </c>
      <c r="Y87" s="25">
        <f>IF('My investments'!$B87="",$D$8,'My investments'!$B87)</f>
        <v>0</v>
      </c>
      <c r="Z87" s="3">
        <f>IF('My investments'!$C87="Worth today",0,$X87)</f>
        <v>0</v>
      </c>
      <c r="AA87" s="3">
        <f>IF('My investments'!$H$15="",0,IF('My investments'!$F87='My investments'!$H$15,$X87,0))</f>
        <v>0</v>
      </c>
      <c r="AB87" s="3">
        <f>IF('My investments'!$H$16="",0,IF('My investments'!$F87='My investments'!$H$16,$X87,0))</f>
        <v>0</v>
      </c>
      <c r="AC87" s="3">
        <f>IF('My investments'!$H$17="",0,IF('My investments'!$F87='My investments'!$H$17,$X87,0))</f>
        <v>0</v>
      </c>
      <c r="AD87" s="3">
        <f>IF('My investments'!$H$18="",0,IF('My investments'!$F87='My investments'!$H$18,$X87,0))</f>
        <v>0</v>
      </c>
      <c r="AE87" s="3">
        <f>IF('My investments'!$H$19="",0,IF('My investments'!$F87='My investments'!$H$19,$X87,0))</f>
        <v>0</v>
      </c>
      <c r="AF87" s="3">
        <f>IF('My investments'!$H$20="",0,IF('My investments'!$F87='My investments'!$H$20,$X87,0))</f>
        <v>0</v>
      </c>
      <c r="AG87" s="3">
        <f>IF('My investments'!$H$21="",0,IF('My investments'!$F87='My investments'!$H$21,$X87,0))</f>
        <v>0</v>
      </c>
      <c r="AH87" s="3">
        <f>IF('My investments'!$H$22="",0,IF('My investments'!$F87='My investments'!$H$22,$X87,0))</f>
        <v>0</v>
      </c>
      <c r="AI87" s="3">
        <f>IF('My investments'!$H$23="",0,IF('My investments'!$F87='My investments'!$H$23,$X87,0))</f>
        <v>0</v>
      </c>
      <c r="AJ87" s="3">
        <f>IF('My investments'!$H$24="",0,IF('My investments'!$F87='My investments'!$H$24,$X87,0))</f>
        <v>0</v>
      </c>
      <c r="AL87" s="3" t="str">
        <f>IF('My investments'!$B87="","",IF($D$10=0,"",IFERROR(INDEX('Index history'!$B$8:$B$5007,MATCH('My investments'!$B87,'Index history'!$A$8:$A$5007,1)),"")))</f>
        <v/>
      </c>
      <c r="AM87" s="3">
        <f>IF($AL87="",0,IF('My investments'!$D87="",0,IF('My investments'!$C87="Money in",'My investments'!$D87/$AL87,IF('My investments'!$C87="Money out",-'My investments'!$D87/$AL87,0))))</f>
        <v>0</v>
      </c>
    </row>
    <row r="88">
      <c r="X88" s="3">
        <f>IF('My investments'!$B88="",0,IF('My investments'!$E88="",0,'My investments'!$E88))</f>
        <v>0</v>
      </c>
      <c r="Y88" s="25">
        <f>IF('My investments'!$B88="",$D$8,'My investments'!$B88)</f>
        <v>0</v>
      </c>
      <c r="Z88" s="3">
        <f>IF('My investments'!$C88="Worth today",0,$X88)</f>
        <v>0</v>
      </c>
      <c r="AA88" s="3">
        <f>IF('My investments'!$H$15="",0,IF('My investments'!$F88='My investments'!$H$15,$X88,0))</f>
        <v>0</v>
      </c>
      <c r="AB88" s="3">
        <f>IF('My investments'!$H$16="",0,IF('My investments'!$F88='My investments'!$H$16,$X88,0))</f>
        <v>0</v>
      </c>
      <c r="AC88" s="3">
        <f>IF('My investments'!$H$17="",0,IF('My investments'!$F88='My investments'!$H$17,$X88,0))</f>
        <v>0</v>
      </c>
      <c r="AD88" s="3">
        <f>IF('My investments'!$H$18="",0,IF('My investments'!$F88='My investments'!$H$18,$X88,0))</f>
        <v>0</v>
      </c>
      <c r="AE88" s="3">
        <f>IF('My investments'!$H$19="",0,IF('My investments'!$F88='My investments'!$H$19,$X88,0))</f>
        <v>0</v>
      </c>
      <c r="AF88" s="3">
        <f>IF('My investments'!$H$20="",0,IF('My investments'!$F88='My investments'!$H$20,$X88,0))</f>
        <v>0</v>
      </c>
      <c r="AG88" s="3">
        <f>IF('My investments'!$H$21="",0,IF('My investments'!$F88='My investments'!$H$21,$X88,0))</f>
        <v>0</v>
      </c>
      <c r="AH88" s="3">
        <f>IF('My investments'!$H$22="",0,IF('My investments'!$F88='My investments'!$H$22,$X88,0))</f>
        <v>0</v>
      </c>
      <c r="AI88" s="3">
        <f>IF('My investments'!$H$23="",0,IF('My investments'!$F88='My investments'!$H$23,$X88,0))</f>
        <v>0</v>
      </c>
      <c r="AJ88" s="3">
        <f>IF('My investments'!$H$24="",0,IF('My investments'!$F88='My investments'!$H$24,$X88,0))</f>
        <v>0</v>
      </c>
      <c r="AL88" s="3" t="str">
        <f>IF('My investments'!$B88="","",IF($D$10=0,"",IFERROR(INDEX('Index history'!$B$8:$B$5007,MATCH('My investments'!$B88,'Index history'!$A$8:$A$5007,1)),"")))</f>
        <v/>
      </c>
      <c r="AM88" s="3">
        <f>IF($AL88="",0,IF('My investments'!$D88="",0,IF('My investments'!$C88="Money in",'My investments'!$D88/$AL88,IF('My investments'!$C88="Money out",-'My investments'!$D88/$AL88,0))))</f>
        <v>0</v>
      </c>
    </row>
    <row r="89">
      <c r="X89" s="3">
        <f>IF('My investments'!$B89="",0,IF('My investments'!$E89="",0,'My investments'!$E89))</f>
        <v>0</v>
      </c>
      <c r="Y89" s="25">
        <f>IF('My investments'!$B89="",$D$8,'My investments'!$B89)</f>
        <v>0</v>
      </c>
      <c r="Z89" s="3">
        <f>IF('My investments'!$C89="Worth today",0,$X89)</f>
        <v>0</v>
      </c>
      <c r="AA89" s="3">
        <f>IF('My investments'!$H$15="",0,IF('My investments'!$F89='My investments'!$H$15,$X89,0))</f>
        <v>0</v>
      </c>
      <c r="AB89" s="3">
        <f>IF('My investments'!$H$16="",0,IF('My investments'!$F89='My investments'!$H$16,$X89,0))</f>
        <v>0</v>
      </c>
      <c r="AC89" s="3">
        <f>IF('My investments'!$H$17="",0,IF('My investments'!$F89='My investments'!$H$17,$X89,0))</f>
        <v>0</v>
      </c>
      <c r="AD89" s="3">
        <f>IF('My investments'!$H$18="",0,IF('My investments'!$F89='My investments'!$H$18,$X89,0))</f>
        <v>0</v>
      </c>
      <c r="AE89" s="3">
        <f>IF('My investments'!$H$19="",0,IF('My investments'!$F89='My investments'!$H$19,$X89,0))</f>
        <v>0</v>
      </c>
      <c r="AF89" s="3">
        <f>IF('My investments'!$H$20="",0,IF('My investments'!$F89='My investments'!$H$20,$X89,0))</f>
        <v>0</v>
      </c>
      <c r="AG89" s="3">
        <f>IF('My investments'!$H$21="",0,IF('My investments'!$F89='My investments'!$H$21,$X89,0))</f>
        <v>0</v>
      </c>
      <c r="AH89" s="3">
        <f>IF('My investments'!$H$22="",0,IF('My investments'!$F89='My investments'!$H$22,$X89,0))</f>
        <v>0</v>
      </c>
      <c r="AI89" s="3">
        <f>IF('My investments'!$H$23="",0,IF('My investments'!$F89='My investments'!$H$23,$X89,0))</f>
        <v>0</v>
      </c>
      <c r="AJ89" s="3">
        <f>IF('My investments'!$H$24="",0,IF('My investments'!$F89='My investments'!$H$24,$X89,0))</f>
        <v>0</v>
      </c>
      <c r="AL89" s="3" t="str">
        <f>IF('My investments'!$B89="","",IF($D$10=0,"",IFERROR(INDEX('Index history'!$B$8:$B$5007,MATCH('My investments'!$B89,'Index history'!$A$8:$A$5007,1)),"")))</f>
        <v/>
      </c>
      <c r="AM89" s="3">
        <f>IF($AL89="",0,IF('My investments'!$D89="",0,IF('My investments'!$C89="Money in",'My investments'!$D89/$AL89,IF('My investments'!$C89="Money out",-'My investments'!$D89/$AL89,0))))</f>
        <v>0</v>
      </c>
    </row>
    <row r="90">
      <c r="X90" s="3">
        <f>IF('My investments'!$B90="",0,IF('My investments'!$E90="",0,'My investments'!$E90))</f>
        <v>0</v>
      </c>
      <c r="Y90" s="25">
        <f>IF('My investments'!$B90="",$D$8,'My investments'!$B90)</f>
        <v>0</v>
      </c>
      <c r="Z90" s="3">
        <f>IF('My investments'!$C90="Worth today",0,$X90)</f>
        <v>0</v>
      </c>
      <c r="AA90" s="3">
        <f>IF('My investments'!$H$15="",0,IF('My investments'!$F90='My investments'!$H$15,$X90,0))</f>
        <v>0</v>
      </c>
      <c r="AB90" s="3">
        <f>IF('My investments'!$H$16="",0,IF('My investments'!$F90='My investments'!$H$16,$X90,0))</f>
        <v>0</v>
      </c>
      <c r="AC90" s="3">
        <f>IF('My investments'!$H$17="",0,IF('My investments'!$F90='My investments'!$H$17,$X90,0))</f>
        <v>0</v>
      </c>
      <c r="AD90" s="3">
        <f>IF('My investments'!$H$18="",0,IF('My investments'!$F90='My investments'!$H$18,$X90,0))</f>
        <v>0</v>
      </c>
      <c r="AE90" s="3">
        <f>IF('My investments'!$H$19="",0,IF('My investments'!$F90='My investments'!$H$19,$X90,0))</f>
        <v>0</v>
      </c>
      <c r="AF90" s="3">
        <f>IF('My investments'!$H$20="",0,IF('My investments'!$F90='My investments'!$H$20,$X90,0))</f>
        <v>0</v>
      </c>
      <c r="AG90" s="3">
        <f>IF('My investments'!$H$21="",0,IF('My investments'!$F90='My investments'!$H$21,$X90,0))</f>
        <v>0</v>
      </c>
      <c r="AH90" s="3">
        <f>IF('My investments'!$H$22="",0,IF('My investments'!$F90='My investments'!$H$22,$X90,0))</f>
        <v>0</v>
      </c>
      <c r="AI90" s="3">
        <f>IF('My investments'!$H$23="",0,IF('My investments'!$F90='My investments'!$H$23,$X90,0))</f>
        <v>0</v>
      </c>
      <c r="AJ90" s="3">
        <f>IF('My investments'!$H$24="",0,IF('My investments'!$F90='My investments'!$H$24,$X90,0))</f>
        <v>0</v>
      </c>
      <c r="AL90" s="3" t="str">
        <f>IF('My investments'!$B90="","",IF($D$10=0,"",IFERROR(INDEX('Index history'!$B$8:$B$5007,MATCH('My investments'!$B90,'Index history'!$A$8:$A$5007,1)),"")))</f>
        <v/>
      </c>
      <c r="AM90" s="3">
        <f>IF($AL90="",0,IF('My investments'!$D90="",0,IF('My investments'!$C90="Money in",'My investments'!$D90/$AL90,IF('My investments'!$C90="Money out",-'My investments'!$D90/$AL90,0))))</f>
        <v>0</v>
      </c>
    </row>
    <row r="91">
      <c r="X91" s="3">
        <f>IF('My investments'!$B91="",0,IF('My investments'!$E91="",0,'My investments'!$E91))</f>
        <v>0</v>
      </c>
      <c r="Y91" s="25">
        <f>IF('My investments'!$B91="",$D$8,'My investments'!$B91)</f>
        <v>0</v>
      </c>
      <c r="Z91" s="3">
        <f>IF('My investments'!$C91="Worth today",0,$X91)</f>
        <v>0</v>
      </c>
      <c r="AA91" s="3">
        <f>IF('My investments'!$H$15="",0,IF('My investments'!$F91='My investments'!$H$15,$X91,0))</f>
        <v>0</v>
      </c>
      <c r="AB91" s="3">
        <f>IF('My investments'!$H$16="",0,IF('My investments'!$F91='My investments'!$H$16,$X91,0))</f>
        <v>0</v>
      </c>
      <c r="AC91" s="3">
        <f>IF('My investments'!$H$17="",0,IF('My investments'!$F91='My investments'!$H$17,$X91,0))</f>
        <v>0</v>
      </c>
      <c r="AD91" s="3">
        <f>IF('My investments'!$H$18="",0,IF('My investments'!$F91='My investments'!$H$18,$X91,0))</f>
        <v>0</v>
      </c>
      <c r="AE91" s="3">
        <f>IF('My investments'!$H$19="",0,IF('My investments'!$F91='My investments'!$H$19,$X91,0))</f>
        <v>0</v>
      </c>
      <c r="AF91" s="3">
        <f>IF('My investments'!$H$20="",0,IF('My investments'!$F91='My investments'!$H$20,$X91,0))</f>
        <v>0</v>
      </c>
      <c r="AG91" s="3">
        <f>IF('My investments'!$H$21="",0,IF('My investments'!$F91='My investments'!$H$21,$X91,0))</f>
        <v>0</v>
      </c>
      <c r="AH91" s="3">
        <f>IF('My investments'!$H$22="",0,IF('My investments'!$F91='My investments'!$H$22,$X91,0))</f>
        <v>0</v>
      </c>
      <c r="AI91" s="3">
        <f>IF('My investments'!$H$23="",0,IF('My investments'!$F91='My investments'!$H$23,$X91,0))</f>
        <v>0</v>
      </c>
      <c r="AJ91" s="3">
        <f>IF('My investments'!$H$24="",0,IF('My investments'!$F91='My investments'!$H$24,$X91,0))</f>
        <v>0</v>
      </c>
      <c r="AL91" s="3" t="str">
        <f>IF('My investments'!$B91="","",IF($D$10=0,"",IFERROR(INDEX('Index history'!$B$8:$B$5007,MATCH('My investments'!$B91,'Index history'!$A$8:$A$5007,1)),"")))</f>
        <v/>
      </c>
      <c r="AM91" s="3">
        <f>IF($AL91="",0,IF('My investments'!$D91="",0,IF('My investments'!$C91="Money in",'My investments'!$D91/$AL91,IF('My investments'!$C91="Money out",-'My investments'!$D91/$AL91,0))))</f>
        <v>0</v>
      </c>
    </row>
    <row r="92">
      <c r="X92" s="3">
        <f>IF('My investments'!$B92="",0,IF('My investments'!$E92="",0,'My investments'!$E92))</f>
        <v>0</v>
      </c>
      <c r="Y92" s="25">
        <f>IF('My investments'!$B92="",$D$8,'My investments'!$B92)</f>
        <v>0</v>
      </c>
      <c r="Z92" s="3">
        <f>IF('My investments'!$C92="Worth today",0,$X92)</f>
        <v>0</v>
      </c>
      <c r="AA92" s="3">
        <f>IF('My investments'!$H$15="",0,IF('My investments'!$F92='My investments'!$H$15,$X92,0))</f>
        <v>0</v>
      </c>
      <c r="AB92" s="3">
        <f>IF('My investments'!$H$16="",0,IF('My investments'!$F92='My investments'!$H$16,$X92,0))</f>
        <v>0</v>
      </c>
      <c r="AC92" s="3">
        <f>IF('My investments'!$H$17="",0,IF('My investments'!$F92='My investments'!$H$17,$X92,0))</f>
        <v>0</v>
      </c>
      <c r="AD92" s="3">
        <f>IF('My investments'!$H$18="",0,IF('My investments'!$F92='My investments'!$H$18,$X92,0))</f>
        <v>0</v>
      </c>
      <c r="AE92" s="3">
        <f>IF('My investments'!$H$19="",0,IF('My investments'!$F92='My investments'!$H$19,$X92,0))</f>
        <v>0</v>
      </c>
      <c r="AF92" s="3">
        <f>IF('My investments'!$H$20="",0,IF('My investments'!$F92='My investments'!$H$20,$X92,0))</f>
        <v>0</v>
      </c>
      <c r="AG92" s="3">
        <f>IF('My investments'!$H$21="",0,IF('My investments'!$F92='My investments'!$H$21,$X92,0))</f>
        <v>0</v>
      </c>
      <c r="AH92" s="3">
        <f>IF('My investments'!$H$22="",0,IF('My investments'!$F92='My investments'!$H$22,$X92,0))</f>
        <v>0</v>
      </c>
      <c r="AI92" s="3">
        <f>IF('My investments'!$H$23="",0,IF('My investments'!$F92='My investments'!$H$23,$X92,0))</f>
        <v>0</v>
      </c>
      <c r="AJ92" s="3">
        <f>IF('My investments'!$H$24="",0,IF('My investments'!$F92='My investments'!$H$24,$X92,0))</f>
        <v>0</v>
      </c>
      <c r="AL92" s="3" t="str">
        <f>IF('My investments'!$B92="","",IF($D$10=0,"",IFERROR(INDEX('Index history'!$B$8:$B$5007,MATCH('My investments'!$B92,'Index history'!$A$8:$A$5007,1)),"")))</f>
        <v/>
      </c>
      <c r="AM92" s="3">
        <f>IF($AL92="",0,IF('My investments'!$D92="",0,IF('My investments'!$C92="Money in",'My investments'!$D92/$AL92,IF('My investments'!$C92="Money out",-'My investments'!$D92/$AL92,0))))</f>
        <v>0</v>
      </c>
    </row>
    <row r="93">
      <c r="X93" s="3">
        <f>IF('My investments'!$B93="",0,IF('My investments'!$E93="",0,'My investments'!$E93))</f>
        <v>0</v>
      </c>
      <c r="Y93" s="25">
        <f>IF('My investments'!$B93="",$D$8,'My investments'!$B93)</f>
        <v>0</v>
      </c>
      <c r="Z93" s="3">
        <f>IF('My investments'!$C93="Worth today",0,$X93)</f>
        <v>0</v>
      </c>
      <c r="AA93" s="3">
        <f>IF('My investments'!$H$15="",0,IF('My investments'!$F93='My investments'!$H$15,$X93,0))</f>
        <v>0</v>
      </c>
      <c r="AB93" s="3">
        <f>IF('My investments'!$H$16="",0,IF('My investments'!$F93='My investments'!$H$16,$X93,0))</f>
        <v>0</v>
      </c>
      <c r="AC93" s="3">
        <f>IF('My investments'!$H$17="",0,IF('My investments'!$F93='My investments'!$H$17,$X93,0))</f>
        <v>0</v>
      </c>
      <c r="AD93" s="3">
        <f>IF('My investments'!$H$18="",0,IF('My investments'!$F93='My investments'!$H$18,$X93,0))</f>
        <v>0</v>
      </c>
      <c r="AE93" s="3">
        <f>IF('My investments'!$H$19="",0,IF('My investments'!$F93='My investments'!$H$19,$X93,0))</f>
        <v>0</v>
      </c>
      <c r="AF93" s="3">
        <f>IF('My investments'!$H$20="",0,IF('My investments'!$F93='My investments'!$H$20,$X93,0))</f>
        <v>0</v>
      </c>
      <c r="AG93" s="3">
        <f>IF('My investments'!$H$21="",0,IF('My investments'!$F93='My investments'!$H$21,$X93,0))</f>
        <v>0</v>
      </c>
      <c r="AH93" s="3">
        <f>IF('My investments'!$H$22="",0,IF('My investments'!$F93='My investments'!$H$22,$X93,0))</f>
        <v>0</v>
      </c>
      <c r="AI93" s="3">
        <f>IF('My investments'!$H$23="",0,IF('My investments'!$F93='My investments'!$H$23,$X93,0))</f>
        <v>0</v>
      </c>
      <c r="AJ93" s="3">
        <f>IF('My investments'!$H$24="",0,IF('My investments'!$F93='My investments'!$H$24,$X93,0))</f>
        <v>0</v>
      </c>
      <c r="AL93" s="3" t="str">
        <f>IF('My investments'!$B93="","",IF($D$10=0,"",IFERROR(INDEX('Index history'!$B$8:$B$5007,MATCH('My investments'!$B93,'Index history'!$A$8:$A$5007,1)),"")))</f>
        <v/>
      </c>
      <c r="AM93" s="3">
        <f>IF($AL93="",0,IF('My investments'!$D93="",0,IF('My investments'!$C93="Money in",'My investments'!$D93/$AL93,IF('My investments'!$C93="Money out",-'My investments'!$D93/$AL93,0))))</f>
        <v>0</v>
      </c>
    </row>
    <row r="94">
      <c r="X94" s="3">
        <f>IF('My investments'!$B94="",0,IF('My investments'!$E94="",0,'My investments'!$E94))</f>
        <v>0</v>
      </c>
      <c r="Y94" s="25">
        <f>IF('My investments'!$B94="",$D$8,'My investments'!$B94)</f>
        <v>0</v>
      </c>
      <c r="Z94" s="3">
        <f>IF('My investments'!$C94="Worth today",0,$X94)</f>
        <v>0</v>
      </c>
      <c r="AA94" s="3">
        <f>IF('My investments'!$H$15="",0,IF('My investments'!$F94='My investments'!$H$15,$X94,0))</f>
        <v>0</v>
      </c>
      <c r="AB94" s="3">
        <f>IF('My investments'!$H$16="",0,IF('My investments'!$F94='My investments'!$H$16,$X94,0))</f>
        <v>0</v>
      </c>
      <c r="AC94" s="3">
        <f>IF('My investments'!$H$17="",0,IF('My investments'!$F94='My investments'!$H$17,$X94,0))</f>
        <v>0</v>
      </c>
      <c r="AD94" s="3">
        <f>IF('My investments'!$H$18="",0,IF('My investments'!$F94='My investments'!$H$18,$X94,0))</f>
        <v>0</v>
      </c>
      <c r="AE94" s="3">
        <f>IF('My investments'!$H$19="",0,IF('My investments'!$F94='My investments'!$H$19,$X94,0))</f>
        <v>0</v>
      </c>
      <c r="AF94" s="3">
        <f>IF('My investments'!$H$20="",0,IF('My investments'!$F94='My investments'!$H$20,$X94,0))</f>
        <v>0</v>
      </c>
      <c r="AG94" s="3">
        <f>IF('My investments'!$H$21="",0,IF('My investments'!$F94='My investments'!$H$21,$X94,0))</f>
        <v>0</v>
      </c>
      <c r="AH94" s="3">
        <f>IF('My investments'!$H$22="",0,IF('My investments'!$F94='My investments'!$H$22,$X94,0))</f>
        <v>0</v>
      </c>
      <c r="AI94" s="3">
        <f>IF('My investments'!$H$23="",0,IF('My investments'!$F94='My investments'!$H$23,$X94,0))</f>
        <v>0</v>
      </c>
      <c r="AJ94" s="3">
        <f>IF('My investments'!$H$24="",0,IF('My investments'!$F94='My investments'!$H$24,$X94,0))</f>
        <v>0</v>
      </c>
      <c r="AL94" s="3" t="str">
        <f>IF('My investments'!$B94="","",IF($D$10=0,"",IFERROR(INDEX('Index history'!$B$8:$B$5007,MATCH('My investments'!$B94,'Index history'!$A$8:$A$5007,1)),"")))</f>
        <v/>
      </c>
      <c r="AM94" s="3">
        <f>IF($AL94="",0,IF('My investments'!$D94="",0,IF('My investments'!$C94="Money in",'My investments'!$D94/$AL94,IF('My investments'!$C94="Money out",-'My investments'!$D94/$AL94,0))))</f>
        <v>0</v>
      </c>
    </row>
    <row r="95">
      <c r="X95" s="3">
        <f>IF('My investments'!$B95="",0,IF('My investments'!$E95="",0,'My investments'!$E95))</f>
        <v>0</v>
      </c>
      <c r="Y95" s="25">
        <f>IF('My investments'!$B95="",$D$8,'My investments'!$B95)</f>
        <v>0</v>
      </c>
      <c r="Z95" s="3">
        <f>IF('My investments'!$C95="Worth today",0,$X95)</f>
        <v>0</v>
      </c>
      <c r="AA95" s="3">
        <f>IF('My investments'!$H$15="",0,IF('My investments'!$F95='My investments'!$H$15,$X95,0))</f>
        <v>0</v>
      </c>
      <c r="AB95" s="3">
        <f>IF('My investments'!$H$16="",0,IF('My investments'!$F95='My investments'!$H$16,$X95,0))</f>
        <v>0</v>
      </c>
      <c r="AC95" s="3">
        <f>IF('My investments'!$H$17="",0,IF('My investments'!$F95='My investments'!$H$17,$X95,0))</f>
        <v>0</v>
      </c>
      <c r="AD95" s="3">
        <f>IF('My investments'!$H$18="",0,IF('My investments'!$F95='My investments'!$H$18,$X95,0))</f>
        <v>0</v>
      </c>
      <c r="AE95" s="3">
        <f>IF('My investments'!$H$19="",0,IF('My investments'!$F95='My investments'!$H$19,$X95,0))</f>
        <v>0</v>
      </c>
      <c r="AF95" s="3">
        <f>IF('My investments'!$H$20="",0,IF('My investments'!$F95='My investments'!$H$20,$X95,0))</f>
        <v>0</v>
      </c>
      <c r="AG95" s="3">
        <f>IF('My investments'!$H$21="",0,IF('My investments'!$F95='My investments'!$H$21,$X95,0))</f>
        <v>0</v>
      </c>
      <c r="AH95" s="3">
        <f>IF('My investments'!$H$22="",0,IF('My investments'!$F95='My investments'!$H$22,$X95,0))</f>
        <v>0</v>
      </c>
      <c r="AI95" s="3">
        <f>IF('My investments'!$H$23="",0,IF('My investments'!$F95='My investments'!$H$23,$X95,0))</f>
        <v>0</v>
      </c>
      <c r="AJ95" s="3">
        <f>IF('My investments'!$H$24="",0,IF('My investments'!$F95='My investments'!$H$24,$X95,0))</f>
        <v>0</v>
      </c>
      <c r="AL95" s="3" t="str">
        <f>IF('My investments'!$B95="","",IF($D$10=0,"",IFERROR(INDEX('Index history'!$B$8:$B$5007,MATCH('My investments'!$B95,'Index history'!$A$8:$A$5007,1)),"")))</f>
        <v/>
      </c>
      <c r="AM95" s="3">
        <f>IF($AL95="",0,IF('My investments'!$D95="",0,IF('My investments'!$C95="Money in",'My investments'!$D95/$AL95,IF('My investments'!$C95="Money out",-'My investments'!$D95/$AL95,0))))</f>
        <v>0</v>
      </c>
    </row>
    <row r="96">
      <c r="X96" s="3">
        <f>IF('My investments'!$B96="",0,IF('My investments'!$E96="",0,'My investments'!$E96))</f>
        <v>0</v>
      </c>
      <c r="Y96" s="25">
        <f>IF('My investments'!$B96="",$D$8,'My investments'!$B96)</f>
        <v>0</v>
      </c>
      <c r="Z96" s="3">
        <f>IF('My investments'!$C96="Worth today",0,$X96)</f>
        <v>0</v>
      </c>
      <c r="AA96" s="3">
        <f>IF('My investments'!$H$15="",0,IF('My investments'!$F96='My investments'!$H$15,$X96,0))</f>
        <v>0</v>
      </c>
      <c r="AB96" s="3">
        <f>IF('My investments'!$H$16="",0,IF('My investments'!$F96='My investments'!$H$16,$X96,0))</f>
        <v>0</v>
      </c>
      <c r="AC96" s="3">
        <f>IF('My investments'!$H$17="",0,IF('My investments'!$F96='My investments'!$H$17,$X96,0))</f>
        <v>0</v>
      </c>
      <c r="AD96" s="3">
        <f>IF('My investments'!$H$18="",0,IF('My investments'!$F96='My investments'!$H$18,$X96,0))</f>
        <v>0</v>
      </c>
      <c r="AE96" s="3">
        <f>IF('My investments'!$H$19="",0,IF('My investments'!$F96='My investments'!$H$19,$X96,0))</f>
        <v>0</v>
      </c>
      <c r="AF96" s="3">
        <f>IF('My investments'!$H$20="",0,IF('My investments'!$F96='My investments'!$H$20,$X96,0))</f>
        <v>0</v>
      </c>
      <c r="AG96" s="3">
        <f>IF('My investments'!$H$21="",0,IF('My investments'!$F96='My investments'!$H$21,$X96,0))</f>
        <v>0</v>
      </c>
      <c r="AH96" s="3">
        <f>IF('My investments'!$H$22="",0,IF('My investments'!$F96='My investments'!$H$22,$X96,0))</f>
        <v>0</v>
      </c>
      <c r="AI96" s="3">
        <f>IF('My investments'!$H$23="",0,IF('My investments'!$F96='My investments'!$H$23,$X96,0))</f>
        <v>0</v>
      </c>
      <c r="AJ96" s="3">
        <f>IF('My investments'!$H$24="",0,IF('My investments'!$F96='My investments'!$H$24,$X96,0))</f>
        <v>0</v>
      </c>
      <c r="AL96" s="3" t="str">
        <f>IF('My investments'!$B96="","",IF($D$10=0,"",IFERROR(INDEX('Index history'!$B$8:$B$5007,MATCH('My investments'!$B96,'Index history'!$A$8:$A$5007,1)),"")))</f>
        <v/>
      </c>
      <c r="AM96" s="3">
        <f>IF($AL96="",0,IF('My investments'!$D96="",0,IF('My investments'!$C96="Money in",'My investments'!$D96/$AL96,IF('My investments'!$C96="Money out",-'My investments'!$D96/$AL96,0))))</f>
        <v>0</v>
      </c>
    </row>
    <row r="97">
      <c r="X97" s="3">
        <f>IF('My investments'!$B97="",0,IF('My investments'!$E97="",0,'My investments'!$E97))</f>
        <v>0</v>
      </c>
      <c r="Y97" s="25">
        <f>IF('My investments'!$B97="",$D$8,'My investments'!$B97)</f>
        <v>0</v>
      </c>
      <c r="Z97" s="3">
        <f>IF('My investments'!$C97="Worth today",0,$X97)</f>
        <v>0</v>
      </c>
      <c r="AA97" s="3">
        <f>IF('My investments'!$H$15="",0,IF('My investments'!$F97='My investments'!$H$15,$X97,0))</f>
        <v>0</v>
      </c>
      <c r="AB97" s="3">
        <f>IF('My investments'!$H$16="",0,IF('My investments'!$F97='My investments'!$H$16,$X97,0))</f>
        <v>0</v>
      </c>
      <c r="AC97" s="3">
        <f>IF('My investments'!$H$17="",0,IF('My investments'!$F97='My investments'!$H$17,$X97,0))</f>
        <v>0</v>
      </c>
      <c r="AD97" s="3">
        <f>IF('My investments'!$H$18="",0,IF('My investments'!$F97='My investments'!$H$18,$X97,0))</f>
        <v>0</v>
      </c>
      <c r="AE97" s="3">
        <f>IF('My investments'!$H$19="",0,IF('My investments'!$F97='My investments'!$H$19,$X97,0))</f>
        <v>0</v>
      </c>
      <c r="AF97" s="3">
        <f>IF('My investments'!$H$20="",0,IF('My investments'!$F97='My investments'!$H$20,$X97,0))</f>
        <v>0</v>
      </c>
      <c r="AG97" s="3">
        <f>IF('My investments'!$H$21="",0,IF('My investments'!$F97='My investments'!$H$21,$X97,0))</f>
        <v>0</v>
      </c>
      <c r="AH97" s="3">
        <f>IF('My investments'!$H$22="",0,IF('My investments'!$F97='My investments'!$H$22,$X97,0))</f>
        <v>0</v>
      </c>
      <c r="AI97" s="3">
        <f>IF('My investments'!$H$23="",0,IF('My investments'!$F97='My investments'!$H$23,$X97,0))</f>
        <v>0</v>
      </c>
      <c r="AJ97" s="3">
        <f>IF('My investments'!$H$24="",0,IF('My investments'!$F97='My investments'!$H$24,$X97,0))</f>
        <v>0</v>
      </c>
      <c r="AL97" s="3" t="str">
        <f>IF('My investments'!$B97="","",IF($D$10=0,"",IFERROR(INDEX('Index history'!$B$8:$B$5007,MATCH('My investments'!$B97,'Index history'!$A$8:$A$5007,1)),"")))</f>
        <v/>
      </c>
      <c r="AM97" s="3">
        <f>IF($AL97="",0,IF('My investments'!$D97="",0,IF('My investments'!$C97="Money in",'My investments'!$D97/$AL97,IF('My investments'!$C97="Money out",-'My investments'!$D97/$AL97,0))))</f>
        <v>0</v>
      </c>
    </row>
    <row r="98">
      <c r="X98" s="3">
        <f>IF('My investments'!$B98="",0,IF('My investments'!$E98="",0,'My investments'!$E98))</f>
        <v>0</v>
      </c>
      <c r="Y98" s="25">
        <f>IF('My investments'!$B98="",$D$8,'My investments'!$B98)</f>
        <v>0</v>
      </c>
      <c r="Z98" s="3">
        <f>IF('My investments'!$C98="Worth today",0,$X98)</f>
        <v>0</v>
      </c>
      <c r="AA98" s="3">
        <f>IF('My investments'!$H$15="",0,IF('My investments'!$F98='My investments'!$H$15,$X98,0))</f>
        <v>0</v>
      </c>
      <c r="AB98" s="3">
        <f>IF('My investments'!$H$16="",0,IF('My investments'!$F98='My investments'!$H$16,$X98,0))</f>
        <v>0</v>
      </c>
      <c r="AC98" s="3">
        <f>IF('My investments'!$H$17="",0,IF('My investments'!$F98='My investments'!$H$17,$X98,0))</f>
        <v>0</v>
      </c>
      <c r="AD98" s="3">
        <f>IF('My investments'!$H$18="",0,IF('My investments'!$F98='My investments'!$H$18,$X98,0))</f>
        <v>0</v>
      </c>
      <c r="AE98" s="3">
        <f>IF('My investments'!$H$19="",0,IF('My investments'!$F98='My investments'!$H$19,$X98,0))</f>
        <v>0</v>
      </c>
      <c r="AF98" s="3">
        <f>IF('My investments'!$H$20="",0,IF('My investments'!$F98='My investments'!$H$20,$X98,0))</f>
        <v>0</v>
      </c>
      <c r="AG98" s="3">
        <f>IF('My investments'!$H$21="",0,IF('My investments'!$F98='My investments'!$H$21,$X98,0))</f>
        <v>0</v>
      </c>
      <c r="AH98" s="3">
        <f>IF('My investments'!$H$22="",0,IF('My investments'!$F98='My investments'!$H$22,$X98,0))</f>
        <v>0</v>
      </c>
      <c r="AI98" s="3">
        <f>IF('My investments'!$H$23="",0,IF('My investments'!$F98='My investments'!$H$23,$X98,0))</f>
        <v>0</v>
      </c>
      <c r="AJ98" s="3">
        <f>IF('My investments'!$H$24="",0,IF('My investments'!$F98='My investments'!$H$24,$X98,0))</f>
        <v>0</v>
      </c>
      <c r="AL98" s="3" t="str">
        <f>IF('My investments'!$B98="","",IF($D$10=0,"",IFERROR(INDEX('Index history'!$B$8:$B$5007,MATCH('My investments'!$B98,'Index history'!$A$8:$A$5007,1)),"")))</f>
        <v/>
      </c>
      <c r="AM98" s="3">
        <f>IF($AL98="",0,IF('My investments'!$D98="",0,IF('My investments'!$C98="Money in",'My investments'!$D98/$AL98,IF('My investments'!$C98="Money out",-'My investments'!$D98/$AL98,0))))</f>
        <v>0</v>
      </c>
    </row>
    <row r="99">
      <c r="X99" s="3">
        <f>IF('My investments'!$B99="",0,IF('My investments'!$E99="",0,'My investments'!$E99))</f>
        <v>0</v>
      </c>
      <c r="Y99" s="25">
        <f>IF('My investments'!$B99="",$D$8,'My investments'!$B99)</f>
        <v>0</v>
      </c>
      <c r="Z99" s="3">
        <f>IF('My investments'!$C99="Worth today",0,$X99)</f>
        <v>0</v>
      </c>
      <c r="AA99" s="3">
        <f>IF('My investments'!$H$15="",0,IF('My investments'!$F99='My investments'!$H$15,$X99,0))</f>
        <v>0</v>
      </c>
      <c r="AB99" s="3">
        <f>IF('My investments'!$H$16="",0,IF('My investments'!$F99='My investments'!$H$16,$X99,0))</f>
        <v>0</v>
      </c>
      <c r="AC99" s="3">
        <f>IF('My investments'!$H$17="",0,IF('My investments'!$F99='My investments'!$H$17,$X99,0))</f>
        <v>0</v>
      </c>
      <c r="AD99" s="3">
        <f>IF('My investments'!$H$18="",0,IF('My investments'!$F99='My investments'!$H$18,$X99,0))</f>
        <v>0</v>
      </c>
      <c r="AE99" s="3">
        <f>IF('My investments'!$H$19="",0,IF('My investments'!$F99='My investments'!$H$19,$X99,0))</f>
        <v>0</v>
      </c>
      <c r="AF99" s="3">
        <f>IF('My investments'!$H$20="",0,IF('My investments'!$F99='My investments'!$H$20,$X99,0))</f>
        <v>0</v>
      </c>
      <c r="AG99" s="3">
        <f>IF('My investments'!$H$21="",0,IF('My investments'!$F99='My investments'!$H$21,$X99,0))</f>
        <v>0</v>
      </c>
      <c r="AH99" s="3">
        <f>IF('My investments'!$H$22="",0,IF('My investments'!$F99='My investments'!$H$22,$X99,0))</f>
        <v>0</v>
      </c>
      <c r="AI99" s="3">
        <f>IF('My investments'!$H$23="",0,IF('My investments'!$F99='My investments'!$H$23,$X99,0))</f>
        <v>0</v>
      </c>
      <c r="AJ99" s="3">
        <f>IF('My investments'!$H$24="",0,IF('My investments'!$F99='My investments'!$H$24,$X99,0))</f>
        <v>0</v>
      </c>
      <c r="AL99" s="3" t="str">
        <f>IF('My investments'!$B99="","",IF($D$10=0,"",IFERROR(INDEX('Index history'!$B$8:$B$5007,MATCH('My investments'!$B99,'Index history'!$A$8:$A$5007,1)),"")))</f>
        <v/>
      </c>
      <c r="AM99" s="3">
        <f>IF($AL99="",0,IF('My investments'!$D99="",0,IF('My investments'!$C99="Money in",'My investments'!$D99/$AL99,IF('My investments'!$C99="Money out",-'My investments'!$D99/$AL99,0))))</f>
        <v>0</v>
      </c>
    </row>
    <row r="100">
      <c r="X100" s="3">
        <f>IF('My investments'!$B100="",0,IF('My investments'!$E100="",0,'My investments'!$E100))</f>
        <v>0</v>
      </c>
      <c r="Y100" s="25">
        <f>IF('My investments'!$B100="",$D$8,'My investments'!$B100)</f>
        <v>0</v>
      </c>
      <c r="Z100" s="3">
        <f>IF('My investments'!$C100="Worth today",0,$X100)</f>
        <v>0</v>
      </c>
      <c r="AA100" s="3">
        <f>IF('My investments'!$H$15="",0,IF('My investments'!$F100='My investments'!$H$15,$X100,0))</f>
        <v>0</v>
      </c>
      <c r="AB100" s="3">
        <f>IF('My investments'!$H$16="",0,IF('My investments'!$F100='My investments'!$H$16,$X100,0))</f>
        <v>0</v>
      </c>
      <c r="AC100" s="3">
        <f>IF('My investments'!$H$17="",0,IF('My investments'!$F100='My investments'!$H$17,$X100,0))</f>
        <v>0</v>
      </c>
      <c r="AD100" s="3">
        <f>IF('My investments'!$H$18="",0,IF('My investments'!$F100='My investments'!$H$18,$X100,0))</f>
        <v>0</v>
      </c>
      <c r="AE100" s="3">
        <f>IF('My investments'!$H$19="",0,IF('My investments'!$F100='My investments'!$H$19,$X100,0))</f>
        <v>0</v>
      </c>
      <c r="AF100" s="3">
        <f>IF('My investments'!$H$20="",0,IF('My investments'!$F100='My investments'!$H$20,$X100,0))</f>
        <v>0</v>
      </c>
      <c r="AG100" s="3">
        <f>IF('My investments'!$H$21="",0,IF('My investments'!$F100='My investments'!$H$21,$X100,0))</f>
        <v>0</v>
      </c>
      <c r="AH100" s="3">
        <f>IF('My investments'!$H$22="",0,IF('My investments'!$F100='My investments'!$H$22,$X100,0))</f>
        <v>0</v>
      </c>
      <c r="AI100" s="3">
        <f>IF('My investments'!$H$23="",0,IF('My investments'!$F100='My investments'!$H$23,$X100,0))</f>
        <v>0</v>
      </c>
      <c r="AJ100" s="3">
        <f>IF('My investments'!$H$24="",0,IF('My investments'!$F100='My investments'!$H$24,$X100,0))</f>
        <v>0</v>
      </c>
      <c r="AL100" s="3" t="str">
        <f>IF('My investments'!$B100="","",IF($D$10=0,"",IFERROR(INDEX('Index history'!$B$8:$B$5007,MATCH('My investments'!$B100,'Index history'!$A$8:$A$5007,1)),"")))</f>
        <v/>
      </c>
      <c r="AM100" s="3">
        <f>IF($AL100="",0,IF('My investments'!$D100="",0,IF('My investments'!$C100="Money in",'My investments'!$D100/$AL100,IF('My investments'!$C100="Money out",-'My investments'!$D100/$AL100,0))))</f>
        <v>0</v>
      </c>
    </row>
    <row r="101">
      <c r="X101" s="3">
        <f>IF('My investments'!$B101="",0,IF('My investments'!$E101="",0,'My investments'!$E101))</f>
        <v>0</v>
      </c>
      <c r="Y101" s="25">
        <f>IF('My investments'!$B101="",$D$8,'My investments'!$B101)</f>
        <v>0</v>
      </c>
      <c r="Z101" s="3">
        <f>IF('My investments'!$C101="Worth today",0,$X101)</f>
        <v>0</v>
      </c>
      <c r="AA101" s="3">
        <f>IF('My investments'!$H$15="",0,IF('My investments'!$F101='My investments'!$H$15,$X101,0))</f>
        <v>0</v>
      </c>
      <c r="AB101" s="3">
        <f>IF('My investments'!$H$16="",0,IF('My investments'!$F101='My investments'!$H$16,$X101,0))</f>
        <v>0</v>
      </c>
      <c r="AC101" s="3">
        <f>IF('My investments'!$H$17="",0,IF('My investments'!$F101='My investments'!$H$17,$X101,0))</f>
        <v>0</v>
      </c>
      <c r="AD101" s="3">
        <f>IF('My investments'!$H$18="",0,IF('My investments'!$F101='My investments'!$H$18,$X101,0))</f>
        <v>0</v>
      </c>
      <c r="AE101" s="3">
        <f>IF('My investments'!$H$19="",0,IF('My investments'!$F101='My investments'!$H$19,$X101,0))</f>
        <v>0</v>
      </c>
      <c r="AF101" s="3">
        <f>IF('My investments'!$H$20="",0,IF('My investments'!$F101='My investments'!$H$20,$X101,0))</f>
        <v>0</v>
      </c>
      <c r="AG101" s="3">
        <f>IF('My investments'!$H$21="",0,IF('My investments'!$F101='My investments'!$H$21,$X101,0))</f>
        <v>0</v>
      </c>
      <c r="AH101" s="3">
        <f>IF('My investments'!$H$22="",0,IF('My investments'!$F101='My investments'!$H$22,$X101,0))</f>
        <v>0</v>
      </c>
      <c r="AI101" s="3">
        <f>IF('My investments'!$H$23="",0,IF('My investments'!$F101='My investments'!$H$23,$X101,0))</f>
        <v>0</v>
      </c>
      <c r="AJ101" s="3">
        <f>IF('My investments'!$H$24="",0,IF('My investments'!$F101='My investments'!$H$24,$X101,0))</f>
        <v>0</v>
      </c>
      <c r="AL101" s="3" t="str">
        <f>IF('My investments'!$B101="","",IF($D$10=0,"",IFERROR(INDEX('Index history'!$B$8:$B$5007,MATCH('My investments'!$B101,'Index history'!$A$8:$A$5007,1)),"")))</f>
        <v/>
      </c>
      <c r="AM101" s="3">
        <f>IF($AL101="",0,IF('My investments'!$D101="",0,IF('My investments'!$C101="Money in",'My investments'!$D101/$AL101,IF('My investments'!$C101="Money out",-'My investments'!$D101/$AL101,0))))</f>
        <v>0</v>
      </c>
    </row>
    <row r="102">
      <c r="X102" s="3">
        <f>IF('My investments'!$B102="",0,IF('My investments'!$E102="",0,'My investments'!$E102))</f>
        <v>0</v>
      </c>
      <c r="Y102" s="25">
        <f>IF('My investments'!$B102="",$D$8,'My investments'!$B102)</f>
        <v>0</v>
      </c>
      <c r="Z102" s="3">
        <f>IF('My investments'!$C102="Worth today",0,$X102)</f>
        <v>0</v>
      </c>
      <c r="AA102" s="3">
        <f>IF('My investments'!$H$15="",0,IF('My investments'!$F102='My investments'!$H$15,$X102,0))</f>
        <v>0</v>
      </c>
      <c r="AB102" s="3">
        <f>IF('My investments'!$H$16="",0,IF('My investments'!$F102='My investments'!$H$16,$X102,0))</f>
        <v>0</v>
      </c>
      <c r="AC102" s="3">
        <f>IF('My investments'!$H$17="",0,IF('My investments'!$F102='My investments'!$H$17,$X102,0))</f>
        <v>0</v>
      </c>
      <c r="AD102" s="3">
        <f>IF('My investments'!$H$18="",0,IF('My investments'!$F102='My investments'!$H$18,$X102,0))</f>
        <v>0</v>
      </c>
      <c r="AE102" s="3">
        <f>IF('My investments'!$H$19="",0,IF('My investments'!$F102='My investments'!$H$19,$X102,0))</f>
        <v>0</v>
      </c>
      <c r="AF102" s="3">
        <f>IF('My investments'!$H$20="",0,IF('My investments'!$F102='My investments'!$H$20,$X102,0))</f>
        <v>0</v>
      </c>
      <c r="AG102" s="3">
        <f>IF('My investments'!$H$21="",0,IF('My investments'!$F102='My investments'!$H$21,$X102,0))</f>
        <v>0</v>
      </c>
      <c r="AH102" s="3">
        <f>IF('My investments'!$H$22="",0,IF('My investments'!$F102='My investments'!$H$22,$X102,0))</f>
        <v>0</v>
      </c>
      <c r="AI102" s="3">
        <f>IF('My investments'!$H$23="",0,IF('My investments'!$F102='My investments'!$H$23,$X102,0))</f>
        <v>0</v>
      </c>
      <c r="AJ102" s="3">
        <f>IF('My investments'!$H$24="",0,IF('My investments'!$F102='My investments'!$H$24,$X102,0))</f>
        <v>0</v>
      </c>
      <c r="AL102" s="3" t="str">
        <f>IF('My investments'!$B102="","",IF($D$10=0,"",IFERROR(INDEX('Index history'!$B$8:$B$5007,MATCH('My investments'!$B102,'Index history'!$A$8:$A$5007,1)),"")))</f>
        <v/>
      </c>
      <c r="AM102" s="3">
        <f>IF($AL102="",0,IF('My investments'!$D102="",0,IF('My investments'!$C102="Money in",'My investments'!$D102/$AL102,IF('My investments'!$C102="Money out",-'My investments'!$D102/$AL102,0))))</f>
        <v>0</v>
      </c>
    </row>
    <row r="103">
      <c r="X103" s="3">
        <f>IF('My investments'!$B103="",0,IF('My investments'!$E103="",0,'My investments'!$E103))</f>
        <v>0</v>
      </c>
      <c r="Y103" s="25">
        <f>IF('My investments'!$B103="",$D$8,'My investments'!$B103)</f>
        <v>0</v>
      </c>
      <c r="Z103" s="3">
        <f>IF('My investments'!$C103="Worth today",0,$X103)</f>
        <v>0</v>
      </c>
      <c r="AA103" s="3">
        <f>IF('My investments'!$H$15="",0,IF('My investments'!$F103='My investments'!$H$15,$X103,0))</f>
        <v>0</v>
      </c>
      <c r="AB103" s="3">
        <f>IF('My investments'!$H$16="",0,IF('My investments'!$F103='My investments'!$H$16,$X103,0))</f>
        <v>0</v>
      </c>
      <c r="AC103" s="3">
        <f>IF('My investments'!$H$17="",0,IF('My investments'!$F103='My investments'!$H$17,$X103,0))</f>
        <v>0</v>
      </c>
      <c r="AD103" s="3">
        <f>IF('My investments'!$H$18="",0,IF('My investments'!$F103='My investments'!$H$18,$X103,0))</f>
        <v>0</v>
      </c>
      <c r="AE103" s="3">
        <f>IF('My investments'!$H$19="",0,IF('My investments'!$F103='My investments'!$H$19,$X103,0))</f>
        <v>0</v>
      </c>
      <c r="AF103" s="3">
        <f>IF('My investments'!$H$20="",0,IF('My investments'!$F103='My investments'!$H$20,$X103,0))</f>
        <v>0</v>
      </c>
      <c r="AG103" s="3">
        <f>IF('My investments'!$H$21="",0,IF('My investments'!$F103='My investments'!$H$21,$X103,0))</f>
        <v>0</v>
      </c>
      <c r="AH103" s="3">
        <f>IF('My investments'!$H$22="",0,IF('My investments'!$F103='My investments'!$H$22,$X103,0))</f>
        <v>0</v>
      </c>
      <c r="AI103" s="3">
        <f>IF('My investments'!$H$23="",0,IF('My investments'!$F103='My investments'!$H$23,$X103,0))</f>
        <v>0</v>
      </c>
      <c r="AJ103" s="3">
        <f>IF('My investments'!$H$24="",0,IF('My investments'!$F103='My investments'!$H$24,$X103,0))</f>
        <v>0</v>
      </c>
      <c r="AL103" s="3" t="str">
        <f>IF('My investments'!$B103="","",IF($D$10=0,"",IFERROR(INDEX('Index history'!$B$8:$B$5007,MATCH('My investments'!$B103,'Index history'!$A$8:$A$5007,1)),"")))</f>
        <v/>
      </c>
      <c r="AM103" s="3">
        <f>IF($AL103="",0,IF('My investments'!$D103="",0,IF('My investments'!$C103="Money in",'My investments'!$D103/$AL103,IF('My investments'!$C103="Money out",-'My investments'!$D103/$AL103,0))))</f>
        <v>0</v>
      </c>
    </row>
    <row r="104">
      <c r="X104" s="3">
        <f>IF('My investments'!$B104="",0,IF('My investments'!$E104="",0,'My investments'!$E104))</f>
        <v>0</v>
      </c>
      <c r="Y104" s="25">
        <f>IF('My investments'!$B104="",$D$8,'My investments'!$B104)</f>
        <v>0</v>
      </c>
      <c r="Z104" s="3">
        <f>IF('My investments'!$C104="Worth today",0,$X104)</f>
        <v>0</v>
      </c>
      <c r="AA104" s="3">
        <f>IF('My investments'!$H$15="",0,IF('My investments'!$F104='My investments'!$H$15,$X104,0))</f>
        <v>0</v>
      </c>
      <c r="AB104" s="3">
        <f>IF('My investments'!$H$16="",0,IF('My investments'!$F104='My investments'!$H$16,$X104,0))</f>
        <v>0</v>
      </c>
      <c r="AC104" s="3">
        <f>IF('My investments'!$H$17="",0,IF('My investments'!$F104='My investments'!$H$17,$X104,0))</f>
        <v>0</v>
      </c>
      <c r="AD104" s="3">
        <f>IF('My investments'!$H$18="",0,IF('My investments'!$F104='My investments'!$H$18,$X104,0))</f>
        <v>0</v>
      </c>
      <c r="AE104" s="3">
        <f>IF('My investments'!$H$19="",0,IF('My investments'!$F104='My investments'!$H$19,$X104,0))</f>
        <v>0</v>
      </c>
      <c r="AF104" s="3">
        <f>IF('My investments'!$H$20="",0,IF('My investments'!$F104='My investments'!$H$20,$X104,0))</f>
        <v>0</v>
      </c>
      <c r="AG104" s="3">
        <f>IF('My investments'!$H$21="",0,IF('My investments'!$F104='My investments'!$H$21,$X104,0))</f>
        <v>0</v>
      </c>
      <c r="AH104" s="3">
        <f>IF('My investments'!$H$22="",0,IF('My investments'!$F104='My investments'!$H$22,$X104,0))</f>
        <v>0</v>
      </c>
      <c r="AI104" s="3">
        <f>IF('My investments'!$H$23="",0,IF('My investments'!$F104='My investments'!$H$23,$X104,0))</f>
        <v>0</v>
      </c>
      <c r="AJ104" s="3">
        <f>IF('My investments'!$H$24="",0,IF('My investments'!$F104='My investments'!$H$24,$X104,0))</f>
        <v>0</v>
      </c>
      <c r="AL104" s="3" t="str">
        <f>IF('My investments'!$B104="","",IF($D$10=0,"",IFERROR(INDEX('Index history'!$B$8:$B$5007,MATCH('My investments'!$B104,'Index history'!$A$8:$A$5007,1)),"")))</f>
        <v/>
      </c>
      <c r="AM104" s="3">
        <f>IF($AL104="",0,IF('My investments'!$D104="",0,IF('My investments'!$C104="Money in",'My investments'!$D104/$AL104,IF('My investments'!$C104="Money out",-'My investments'!$D104/$AL104,0))))</f>
        <v>0</v>
      </c>
    </row>
    <row r="105">
      <c r="X105" s="3">
        <f>IF('My investments'!$B105="",0,IF('My investments'!$E105="",0,'My investments'!$E105))</f>
        <v>0</v>
      </c>
      <c r="Y105" s="25">
        <f>IF('My investments'!$B105="",$D$8,'My investments'!$B105)</f>
        <v>0</v>
      </c>
      <c r="Z105" s="3">
        <f>IF('My investments'!$C105="Worth today",0,$X105)</f>
        <v>0</v>
      </c>
      <c r="AA105" s="3">
        <f>IF('My investments'!$H$15="",0,IF('My investments'!$F105='My investments'!$H$15,$X105,0))</f>
        <v>0</v>
      </c>
      <c r="AB105" s="3">
        <f>IF('My investments'!$H$16="",0,IF('My investments'!$F105='My investments'!$H$16,$X105,0))</f>
        <v>0</v>
      </c>
      <c r="AC105" s="3">
        <f>IF('My investments'!$H$17="",0,IF('My investments'!$F105='My investments'!$H$17,$X105,0))</f>
        <v>0</v>
      </c>
      <c r="AD105" s="3">
        <f>IF('My investments'!$H$18="",0,IF('My investments'!$F105='My investments'!$H$18,$X105,0))</f>
        <v>0</v>
      </c>
      <c r="AE105" s="3">
        <f>IF('My investments'!$H$19="",0,IF('My investments'!$F105='My investments'!$H$19,$X105,0))</f>
        <v>0</v>
      </c>
      <c r="AF105" s="3">
        <f>IF('My investments'!$H$20="",0,IF('My investments'!$F105='My investments'!$H$20,$X105,0))</f>
        <v>0</v>
      </c>
      <c r="AG105" s="3">
        <f>IF('My investments'!$H$21="",0,IF('My investments'!$F105='My investments'!$H$21,$X105,0))</f>
        <v>0</v>
      </c>
      <c r="AH105" s="3">
        <f>IF('My investments'!$H$22="",0,IF('My investments'!$F105='My investments'!$H$22,$X105,0))</f>
        <v>0</v>
      </c>
      <c r="AI105" s="3">
        <f>IF('My investments'!$H$23="",0,IF('My investments'!$F105='My investments'!$H$23,$X105,0))</f>
        <v>0</v>
      </c>
      <c r="AJ105" s="3">
        <f>IF('My investments'!$H$24="",0,IF('My investments'!$F105='My investments'!$H$24,$X105,0))</f>
        <v>0</v>
      </c>
      <c r="AL105" s="3" t="str">
        <f>IF('My investments'!$B105="","",IF($D$10=0,"",IFERROR(INDEX('Index history'!$B$8:$B$5007,MATCH('My investments'!$B105,'Index history'!$A$8:$A$5007,1)),"")))</f>
        <v/>
      </c>
      <c r="AM105" s="3">
        <f>IF($AL105="",0,IF('My investments'!$D105="",0,IF('My investments'!$C105="Money in",'My investments'!$D105/$AL105,IF('My investments'!$C105="Money out",-'My investments'!$D105/$AL105,0))))</f>
        <v>0</v>
      </c>
    </row>
    <row r="106">
      <c r="X106" s="3">
        <f>IF('My investments'!$B106="",0,IF('My investments'!$E106="",0,'My investments'!$E106))</f>
        <v>0</v>
      </c>
      <c r="Y106" s="25">
        <f>IF('My investments'!$B106="",$D$8,'My investments'!$B106)</f>
        <v>0</v>
      </c>
      <c r="Z106" s="3">
        <f>IF('My investments'!$C106="Worth today",0,$X106)</f>
        <v>0</v>
      </c>
      <c r="AA106" s="3">
        <f>IF('My investments'!$H$15="",0,IF('My investments'!$F106='My investments'!$H$15,$X106,0))</f>
        <v>0</v>
      </c>
      <c r="AB106" s="3">
        <f>IF('My investments'!$H$16="",0,IF('My investments'!$F106='My investments'!$H$16,$X106,0))</f>
        <v>0</v>
      </c>
      <c r="AC106" s="3">
        <f>IF('My investments'!$H$17="",0,IF('My investments'!$F106='My investments'!$H$17,$X106,0))</f>
        <v>0</v>
      </c>
      <c r="AD106" s="3">
        <f>IF('My investments'!$H$18="",0,IF('My investments'!$F106='My investments'!$H$18,$X106,0))</f>
        <v>0</v>
      </c>
      <c r="AE106" s="3">
        <f>IF('My investments'!$H$19="",0,IF('My investments'!$F106='My investments'!$H$19,$X106,0))</f>
        <v>0</v>
      </c>
      <c r="AF106" s="3">
        <f>IF('My investments'!$H$20="",0,IF('My investments'!$F106='My investments'!$H$20,$X106,0))</f>
        <v>0</v>
      </c>
      <c r="AG106" s="3">
        <f>IF('My investments'!$H$21="",0,IF('My investments'!$F106='My investments'!$H$21,$X106,0))</f>
        <v>0</v>
      </c>
      <c r="AH106" s="3">
        <f>IF('My investments'!$H$22="",0,IF('My investments'!$F106='My investments'!$H$22,$X106,0))</f>
        <v>0</v>
      </c>
      <c r="AI106" s="3">
        <f>IF('My investments'!$H$23="",0,IF('My investments'!$F106='My investments'!$H$23,$X106,0))</f>
        <v>0</v>
      </c>
      <c r="AJ106" s="3">
        <f>IF('My investments'!$H$24="",0,IF('My investments'!$F106='My investments'!$H$24,$X106,0))</f>
        <v>0</v>
      </c>
      <c r="AL106" s="3" t="str">
        <f>IF('My investments'!$B106="","",IF($D$10=0,"",IFERROR(INDEX('Index history'!$B$8:$B$5007,MATCH('My investments'!$B106,'Index history'!$A$8:$A$5007,1)),"")))</f>
        <v/>
      </c>
      <c r="AM106" s="3">
        <f>IF($AL106="",0,IF('My investments'!$D106="",0,IF('My investments'!$C106="Money in",'My investments'!$D106/$AL106,IF('My investments'!$C106="Money out",-'My investments'!$D106/$AL106,0))))</f>
        <v>0</v>
      </c>
    </row>
    <row r="107">
      <c r="X107" s="3">
        <f>IF('My investments'!$B107="",0,IF('My investments'!$E107="",0,'My investments'!$E107))</f>
        <v>0</v>
      </c>
      <c r="Y107" s="25">
        <f>IF('My investments'!$B107="",$D$8,'My investments'!$B107)</f>
        <v>0</v>
      </c>
      <c r="Z107" s="3">
        <f>IF('My investments'!$C107="Worth today",0,$X107)</f>
        <v>0</v>
      </c>
      <c r="AA107" s="3">
        <f>IF('My investments'!$H$15="",0,IF('My investments'!$F107='My investments'!$H$15,$X107,0))</f>
        <v>0</v>
      </c>
      <c r="AB107" s="3">
        <f>IF('My investments'!$H$16="",0,IF('My investments'!$F107='My investments'!$H$16,$X107,0))</f>
        <v>0</v>
      </c>
      <c r="AC107" s="3">
        <f>IF('My investments'!$H$17="",0,IF('My investments'!$F107='My investments'!$H$17,$X107,0))</f>
        <v>0</v>
      </c>
      <c r="AD107" s="3">
        <f>IF('My investments'!$H$18="",0,IF('My investments'!$F107='My investments'!$H$18,$X107,0))</f>
        <v>0</v>
      </c>
      <c r="AE107" s="3">
        <f>IF('My investments'!$H$19="",0,IF('My investments'!$F107='My investments'!$H$19,$X107,0))</f>
        <v>0</v>
      </c>
      <c r="AF107" s="3">
        <f>IF('My investments'!$H$20="",0,IF('My investments'!$F107='My investments'!$H$20,$X107,0))</f>
        <v>0</v>
      </c>
      <c r="AG107" s="3">
        <f>IF('My investments'!$H$21="",0,IF('My investments'!$F107='My investments'!$H$21,$X107,0))</f>
        <v>0</v>
      </c>
      <c r="AH107" s="3">
        <f>IF('My investments'!$H$22="",0,IF('My investments'!$F107='My investments'!$H$22,$X107,0))</f>
        <v>0</v>
      </c>
      <c r="AI107" s="3">
        <f>IF('My investments'!$H$23="",0,IF('My investments'!$F107='My investments'!$H$23,$X107,0))</f>
        <v>0</v>
      </c>
      <c r="AJ107" s="3">
        <f>IF('My investments'!$H$24="",0,IF('My investments'!$F107='My investments'!$H$24,$X107,0))</f>
        <v>0</v>
      </c>
      <c r="AL107" s="3" t="str">
        <f>IF('My investments'!$B107="","",IF($D$10=0,"",IFERROR(INDEX('Index history'!$B$8:$B$5007,MATCH('My investments'!$B107,'Index history'!$A$8:$A$5007,1)),"")))</f>
        <v/>
      </c>
      <c r="AM107" s="3">
        <f>IF($AL107="",0,IF('My investments'!$D107="",0,IF('My investments'!$C107="Money in",'My investments'!$D107/$AL107,IF('My investments'!$C107="Money out",-'My investments'!$D107/$AL107,0))))</f>
        <v>0</v>
      </c>
    </row>
    <row r="108">
      <c r="X108" s="3">
        <f>IF('My investments'!$B108="",0,IF('My investments'!$E108="",0,'My investments'!$E108))</f>
        <v>0</v>
      </c>
      <c r="Y108" s="25">
        <f>IF('My investments'!$B108="",$D$8,'My investments'!$B108)</f>
        <v>0</v>
      </c>
      <c r="Z108" s="3">
        <f>IF('My investments'!$C108="Worth today",0,$X108)</f>
        <v>0</v>
      </c>
      <c r="AA108" s="3">
        <f>IF('My investments'!$H$15="",0,IF('My investments'!$F108='My investments'!$H$15,$X108,0))</f>
        <v>0</v>
      </c>
      <c r="AB108" s="3">
        <f>IF('My investments'!$H$16="",0,IF('My investments'!$F108='My investments'!$H$16,$X108,0))</f>
        <v>0</v>
      </c>
      <c r="AC108" s="3">
        <f>IF('My investments'!$H$17="",0,IF('My investments'!$F108='My investments'!$H$17,$X108,0))</f>
        <v>0</v>
      </c>
      <c r="AD108" s="3">
        <f>IF('My investments'!$H$18="",0,IF('My investments'!$F108='My investments'!$H$18,$X108,0))</f>
        <v>0</v>
      </c>
      <c r="AE108" s="3">
        <f>IF('My investments'!$H$19="",0,IF('My investments'!$F108='My investments'!$H$19,$X108,0))</f>
        <v>0</v>
      </c>
      <c r="AF108" s="3">
        <f>IF('My investments'!$H$20="",0,IF('My investments'!$F108='My investments'!$H$20,$X108,0))</f>
        <v>0</v>
      </c>
      <c r="AG108" s="3">
        <f>IF('My investments'!$H$21="",0,IF('My investments'!$F108='My investments'!$H$21,$X108,0))</f>
        <v>0</v>
      </c>
      <c r="AH108" s="3">
        <f>IF('My investments'!$H$22="",0,IF('My investments'!$F108='My investments'!$H$22,$X108,0))</f>
        <v>0</v>
      </c>
      <c r="AI108" s="3">
        <f>IF('My investments'!$H$23="",0,IF('My investments'!$F108='My investments'!$H$23,$X108,0))</f>
        <v>0</v>
      </c>
      <c r="AJ108" s="3">
        <f>IF('My investments'!$H$24="",0,IF('My investments'!$F108='My investments'!$H$24,$X108,0))</f>
        <v>0</v>
      </c>
      <c r="AL108" s="3" t="str">
        <f>IF('My investments'!$B108="","",IF($D$10=0,"",IFERROR(INDEX('Index history'!$B$8:$B$5007,MATCH('My investments'!$B108,'Index history'!$A$8:$A$5007,1)),"")))</f>
        <v/>
      </c>
      <c r="AM108" s="3">
        <f>IF($AL108="",0,IF('My investments'!$D108="",0,IF('My investments'!$C108="Money in",'My investments'!$D108/$AL108,IF('My investments'!$C108="Money out",-'My investments'!$D108/$AL108,0))))</f>
        <v>0</v>
      </c>
    </row>
    <row r="109">
      <c r="X109" s="3">
        <f>IF('My investments'!$B109="",0,IF('My investments'!$E109="",0,'My investments'!$E109))</f>
        <v>0</v>
      </c>
      <c r="Y109" s="25">
        <f>IF('My investments'!$B109="",$D$8,'My investments'!$B109)</f>
        <v>0</v>
      </c>
      <c r="Z109" s="3">
        <f>IF('My investments'!$C109="Worth today",0,$X109)</f>
        <v>0</v>
      </c>
      <c r="AA109" s="3">
        <f>IF('My investments'!$H$15="",0,IF('My investments'!$F109='My investments'!$H$15,$X109,0))</f>
        <v>0</v>
      </c>
      <c r="AB109" s="3">
        <f>IF('My investments'!$H$16="",0,IF('My investments'!$F109='My investments'!$H$16,$X109,0))</f>
        <v>0</v>
      </c>
      <c r="AC109" s="3">
        <f>IF('My investments'!$H$17="",0,IF('My investments'!$F109='My investments'!$H$17,$X109,0))</f>
        <v>0</v>
      </c>
      <c r="AD109" s="3">
        <f>IF('My investments'!$H$18="",0,IF('My investments'!$F109='My investments'!$H$18,$X109,0))</f>
        <v>0</v>
      </c>
      <c r="AE109" s="3">
        <f>IF('My investments'!$H$19="",0,IF('My investments'!$F109='My investments'!$H$19,$X109,0))</f>
        <v>0</v>
      </c>
      <c r="AF109" s="3">
        <f>IF('My investments'!$H$20="",0,IF('My investments'!$F109='My investments'!$H$20,$X109,0))</f>
        <v>0</v>
      </c>
      <c r="AG109" s="3">
        <f>IF('My investments'!$H$21="",0,IF('My investments'!$F109='My investments'!$H$21,$X109,0))</f>
        <v>0</v>
      </c>
      <c r="AH109" s="3">
        <f>IF('My investments'!$H$22="",0,IF('My investments'!$F109='My investments'!$H$22,$X109,0))</f>
        <v>0</v>
      </c>
      <c r="AI109" s="3">
        <f>IF('My investments'!$H$23="",0,IF('My investments'!$F109='My investments'!$H$23,$X109,0))</f>
        <v>0</v>
      </c>
      <c r="AJ109" s="3">
        <f>IF('My investments'!$H$24="",0,IF('My investments'!$F109='My investments'!$H$24,$X109,0))</f>
        <v>0</v>
      </c>
      <c r="AL109" s="3" t="str">
        <f>IF('My investments'!$B109="","",IF($D$10=0,"",IFERROR(INDEX('Index history'!$B$8:$B$5007,MATCH('My investments'!$B109,'Index history'!$A$8:$A$5007,1)),"")))</f>
        <v/>
      </c>
      <c r="AM109" s="3">
        <f>IF($AL109="",0,IF('My investments'!$D109="",0,IF('My investments'!$C109="Money in",'My investments'!$D109/$AL109,IF('My investments'!$C109="Money out",-'My investments'!$D109/$AL109,0))))</f>
        <v>0</v>
      </c>
    </row>
    <row r="110">
      <c r="X110" s="3">
        <f>IF('My investments'!$B110="",0,IF('My investments'!$E110="",0,'My investments'!$E110))</f>
        <v>0</v>
      </c>
      <c r="Y110" s="25">
        <f>IF('My investments'!$B110="",$D$8,'My investments'!$B110)</f>
        <v>0</v>
      </c>
      <c r="Z110" s="3">
        <f>IF('My investments'!$C110="Worth today",0,$X110)</f>
        <v>0</v>
      </c>
      <c r="AA110" s="3">
        <f>IF('My investments'!$H$15="",0,IF('My investments'!$F110='My investments'!$H$15,$X110,0))</f>
        <v>0</v>
      </c>
      <c r="AB110" s="3">
        <f>IF('My investments'!$H$16="",0,IF('My investments'!$F110='My investments'!$H$16,$X110,0))</f>
        <v>0</v>
      </c>
      <c r="AC110" s="3">
        <f>IF('My investments'!$H$17="",0,IF('My investments'!$F110='My investments'!$H$17,$X110,0))</f>
        <v>0</v>
      </c>
      <c r="AD110" s="3">
        <f>IF('My investments'!$H$18="",0,IF('My investments'!$F110='My investments'!$H$18,$X110,0))</f>
        <v>0</v>
      </c>
      <c r="AE110" s="3">
        <f>IF('My investments'!$H$19="",0,IF('My investments'!$F110='My investments'!$H$19,$X110,0))</f>
        <v>0</v>
      </c>
      <c r="AF110" s="3">
        <f>IF('My investments'!$H$20="",0,IF('My investments'!$F110='My investments'!$H$20,$X110,0))</f>
        <v>0</v>
      </c>
      <c r="AG110" s="3">
        <f>IF('My investments'!$H$21="",0,IF('My investments'!$F110='My investments'!$H$21,$X110,0))</f>
        <v>0</v>
      </c>
      <c r="AH110" s="3">
        <f>IF('My investments'!$H$22="",0,IF('My investments'!$F110='My investments'!$H$22,$X110,0))</f>
        <v>0</v>
      </c>
      <c r="AI110" s="3">
        <f>IF('My investments'!$H$23="",0,IF('My investments'!$F110='My investments'!$H$23,$X110,0))</f>
        <v>0</v>
      </c>
      <c r="AJ110" s="3">
        <f>IF('My investments'!$H$24="",0,IF('My investments'!$F110='My investments'!$H$24,$X110,0))</f>
        <v>0</v>
      </c>
      <c r="AL110" s="3" t="str">
        <f>IF('My investments'!$B110="","",IF($D$10=0,"",IFERROR(INDEX('Index history'!$B$8:$B$5007,MATCH('My investments'!$B110,'Index history'!$A$8:$A$5007,1)),"")))</f>
        <v/>
      </c>
      <c r="AM110" s="3">
        <f>IF($AL110="",0,IF('My investments'!$D110="",0,IF('My investments'!$C110="Money in",'My investments'!$D110/$AL110,IF('My investments'!$C110="Money out",-'My investments'!$D110/$AL110,0))))</f>
        <v>0</v>
      </c>
    </row>
    <row r="111">
      <c r="X111" s="3">
        <f>IF('My investments'!$B111="",0,IF('My investments'!$E111="",0,'My investments'!$E111))</f>
        <v>0</v>
      </c>
      <c r="Y111" s="25">
        <f>IF('My investments'!$B111="",$D$8,'My investments'!$B111)</f>
        <v>0</v>
      </c>
      <c r="Z111" s="3">
        <f>IF('My investments'!$C111="Worth today",0,$X111)</f>
        <v>0</v>
      </c>
      <c r="AA111" s="3">
        <f>IF('My investments'!$H$15="",0,IF('My investments'!$F111='My investments'!$H$15,$X111,0))</f>
        <v>0</v>
      </c>
      <c r="AB111" s="3">
        <f>IF('My investments'!$H$16="",0,IF('My investments'!$F111='My investments'!$H$16,$X111,0))</f>
        <v>0</v>
      </c>
      <c r="AC111" s="3">
        <f>IF('My investments'!$H$17="",0,IF('My investments'!$F111='My investments'!$H$17,$X111,0))</f>
        <v>0</v>
      </c>
      <c r="AD111" s="3">
        <f>IF('My investments'!$H$18="",0,IF('My investments'!$F111='My investments'!$H$18,$X111,0))</f>
        <v>0</v>
      </c>
      <c r="AE111" s="3">
        <f>IF('My investments'!$H$19="",0,IF('My investments'!$F111='My investments'!$H$19,$X111,0))</f>
        <v>0</v>
      </c>
      <c r="AF111" s="3">
        <f>IF('My investments'!$H$20="",0,IF('My investments'!$F111='My investments'!$H$20,$X111,0))</f>
        <v>0</v>
      </c>
      <c r="AG111" s="3">
        <f>IF('My investments'!$H$21="",0,IF('My investments'!$F111='My investments'!$H$21,$X111,0))</f>
        <v>0</v>
      </c>
      <c r="AH111" s="3">
        <f>IF('My investments'!$H$22="",0,IF('My investments'!$F111='My investments'!$H$22,$X111,0))</f>
        <v>0</v>
      </c>
      <c r="AI111" s="3">
        <f>IF('My investments'!$H$23="",0,IF('My investments'!$F111='My investments'!$H$23,$X111,0))</f>
        <v>0</v>
      </c>
      <c r="AJ111" s="3">
        <f>IF('My investments'!$H$24="",0,IF('My investments'!$F111='My investments'!$H$24,$X111,0))</f>
        <v>0</v>
      </c>
      <c r="AL111" s="3" t="str">
        <f>IF('My investments'!$B111="","",IF($D$10=0,"",IFERROR(INDEX('Index history'!$B$8:$B$5007,MATCH('My investments'!$B111,'Index history'!$A$8:$A$5007,1)),"")))</f>
        <v/>
      </c>
      <c r="AM111" s="3">
        <f>IF($AL111="",0,IF('My investments'!$D111="",0,IF('My investments'!$C111="Money in",'My investments'!$D111/$AL111,IF('My investments'!$C111="Money out",-'My investments'!$D111/$AL111,0))))</f>
        <v>0</v>
      </c>
    </row>
    <row r="112">
      <c r="X112" s="3">
        <f>IF('My investments'!$B112="",0,IF('My investments'!$E112="",0,'My investments'!$E112))</f>
        <v>0</v>
      </c>
      <c r="Y112" s="25">
        <f>IF('My investments'!$B112="",$D$8,'My investments'!$B112)</f>
        <v>0</v>
      </c>
      <c r="Z112" s="3">
        <f>IF('My investments'!$C112="Worth today",0,$X112)</f>
        <v>0</v>
      </c>
      <c r="AA112" s="3">
        <f>IF('My investments'!$H$15="",0,IF('My investments'!$F112='My investments'!$H$15,$X112,0))</f>
        <v>0</v>
      </c>
      <c r="AB112" s="3">
        <f>IF('My investments'!$H$16="",0,IF('My investments'!$F112='My investments'!$H$16,$X112,0))</f>
        <v>0</v>
      </c>
      <c r="AC112" s="3">
        <f>IF('My investments'!$H$17="",0,IF('My investments'!$F112='My investments'!$H$17,$X112,0))</f>
        <v>0</v>
      </c>
      <c r="AD112" s="3">
        <f>IF('My investments'!$H$18="",0,IF('My investments'!$F112='My investments'!$H$18,$X112,0))</f>
        <v>0</v>
      </c>
      <c r="AE112" s="3">
        <f>IF('My investments'!$H$19="",0,IF('My investments'!$F112='My investments'!$H$19,$X112,0))</f>
        <v>0</v>
      </c>
      <c r="AF112" s="3">
        <f>IF('My investments'!$H$20="",0,IF('My investments'!$F112='My investments'!$H$20,$X112,0))</f>
        <v>0</v>
      </c>
      <c r="AG112" s="3">
        <f>IF('My investments'!$H$21="",0,IF('My investments'!$F112='My investments'!$H$21,$X112,0))</f>
        <v>0</v>
      </c>
      <c r="AH112" s="3">
        <f>IF('My investments'!$H$22="",0,IF('My investments'!$F112='My investments'!$H$22,$X112,0))</f>
        <v>0</v>
      </c>
      <c r="AI112" s="3">
        <f>IF('My investments'!$H$23="",0,IF('My investments'!$F112='My investments'!$H$23,$X112,0))</f>
        <v>0</v>
      </c>
      <c r="AJ112" s="3">
        <f>IF('My investments'!$H$24="",0,IF('My investments'!$F112='My investments'!$H$24,$X112,0))</f>
        <v>0</v>
      </c>
      <c r="AL112" s="3" t="str">
        <f>IF('My investments'!$B112="","",IF($D$10=0,"",IFERROR(INDEX('Index history'!$B$8:$B$5007,MATCH('My investments'!$B112,'Index history'!$A$8:$A$5007,1)),"")))</f>
        <v/>
      </c>
      <c r="AM112" s="3">
        <f>IF($AL112="",0,IF('My investments'!$D112="",0,IF('My investments'!$C112="Money in",'My investments'!$D112/$AL112,IF('My investments'!$C112="Money out",-'My investments'!$D112/$AL112,0))))</f>
        <v>0</v>
      </c>
    </row>
    <row r="113">
      <c r="X113" s="3">
        <f>IF('My investments'!$B113="",0,IF('My investments'!$E113="",0,'My investments'!$E113))</f>
        <v>0</v>
      </c>
      <c r="Y113" s="25">
        <f>IF('My investments'!$B113="",$D$8,'My investments'!$B113)</f>
        <v>0</v>
      </c>
      <c r="Z113" s="3">
        <f>IF('My investments'!$C113="Worth today",0,$X113)</f>
        <v>0</v>
      </c>
      <c r="AA113" s="3">
        <f>IF('My investments'!$H$15="",0,IF('My investments'!$F113='My investments'!$H$15,$X113,0))</f>
        <v>0</v>
      </c>
      <c r="AB113" s="3">
        <f>IF('My investments'!$H$16="",0,IF('My investments'!$F113='My investments'!$H$16,$X113,0))</f>
        <v>0</v>
      </c>
      <c r="AC113" s="3">
        <f>IF('My investments'!$H$17="",0,IF('My investments'!$F113='My investments'!$H$17,$X113,0))</f>
        <v>0</v>
      </c>
      <c r="AD113" s="3">
        <f>IF('My investments'!$H$18="",0,IF('My investments'!$F113='My investments'!$H$18,$X113,0))</f>
        <v>0</v>
      </c>
      <c r="AE113" s="3">
        <f>IF('My investments'!$H$19="",0,IF('My investments'!$F113='My investments'!$H$19,$X113,0))</f>
        <v>0</v>
      </c>
      <c r="AF113" s="3">
        <f>IF('My investments'!$H$20="",0,IF('My investments'!$F113='My investments'!$H$20,$X113,0))</f>
        <v>0</v>
      </c>
      <c r="AG113" s="3">
        <f>IF('My investments'!$H$21="",0,IF('My investments'!$F113='My investments'!$H$21,$X113,0))</f>
        <v>0</v>
      </c>
      <c r="AH113" s="3">
        <f>IF('My investments'!$H$22="",0,IF('My investments'!$F113='My investments'!$H$22,$X113,0))</f>
        <v>0</v>
      </c>
      <c r="AI113" s="3">
        <f>IF('My investments'!$H$23="",0,IF('My investments'!$F113='My investments'!$H$23,$X113,0))</f>
        <v>0</v>
      </c>
      <c r="AJ113" s="3">
        <f>IF('My investments'!$H$24="",0,IF('My investments'!$F113='My investments'!$H$24,$X113,0))</f>
        <v>0</v>
      </c>
      <c r="AL113" s="3" t="str">
        <f>IF('My investments'!$B113="","",IF($D$10=0,"",IFERROR(INDEX('Index history'!$B$8:$B$5007,MATCH('My investments'!$B113,'Index history'!$A$8:$A$5007,1)),"")))</f>
        <v/>
      </c>
      <c r="AM113" s="3">
        <f>IF($AL113="",0,IF('My investments'!$D113="",0,IF('My investments'!$C113="Money in",'My investments'!$D113/$AL113,IF('My investments'!$C113="Money out",-'My investments'!$D113/$AL113,0))))</f>
        <v>0</v>
      </c>
    </row>
    <row r="114">
      <c r="X114" s="3">
        <f>IF('My investments'!$B114="",0,IF('My investments'!$E114="",0,'My investments'!$E114))</f>
        <v>0</v>
      </c>
      <c r="Y114" s="25">
        <f>IF('My investments'!$B114="",$D$8,'My investments'!$B114)</f>
        <v>0</v>
      </c>
      <c r="Z114" s="3">
        <f>IF('My investments'!$C114="Worth today",0,$X114)</f>
        <v>0</v>
      </c>
      <c r="AA114" s="3">
        <f>IF('My investments'!$H$15="",0,IF('My investments'!$F114='My investments'!$H$15,$X114,0))</f>
        <v>0</v>
      </c>
      <c r="AB114" s="3">
        <f>IF('My investments'!$H$16="",0,IF('My investments'!$F114='My investments'!$H$16,$X114,0))</f>
        <v>0</v>
      </c>
      <c r="AC114" s="3">
        <f>IF('My investments'!$H$17="",0,IF('My investments'!$F114='My investments'!$H$17,$X114,0))</f>
        <v>0</v>
      </c>
      <c r="AD114" s="3">
        <f>IF('My investments'!$H$18="",0,IF('My investments'!$F114='My investments'!$H$18,$X114,0))</f>
        <v>0</v>
      </c>
      <c r="AE114" s="3">
        <f>IF('My investments'!$H$19="",0,IF('My investments'!$F114='My investments'!$H$19,$X114,0))</f>
        <v>0</v>
      </c>
      <c r="AF114" s="3">
        <f>IF('My investments'!$H$20="",0,IF('My investments'!$F114='My investments'!$H$20,$X114,0))</f>
        <v>0</v>
      </c>
      <c r="AG114" s="3">
        <f>IF('My investments'!$H$21="",0,IF('My investments'!$F114='My investments'!$H$21,$X114,0))</f>
        <v>0</v>
      </c>
      <c r="AH114" s="3">
        <f>IF('My investments'!$H$22="",0,IF('My investments'!$F114='My investments'!$H$22,$X114,0))</f>
        <v>0</v>
      </c>
      <c r="AI114" s="3">
        <f>IF('My investments'!$H$23="",0,IF('My investments'!$F114='My investments'!$H$23,$X114,0))</f>
        <v>0</v>
      </c>
      <c r="AJ114" s="3">
        <f>IF('My investments'!$H$24="",0,IF('My investments'!$F114='My investments'!$H$24,$X114,0))</f>
        <v>0</v>
      </c>
      <c r="AL114" s="3" t="str">
        <f>IF('My investments'!$B114="","",IF($D$10=0,"",IFERROR(INDEX('Index history'!$B$8:$B$5007,MATCH('My investments'!$B114,'Index history'!$A$8:$A$5007,1)),"")))</f>
        <v/>
      </c>
      <c r="AM114" s="3">
        <f>IF($AL114="",0,IF('My investments'!$D114="",0,IF('My investments'!$C114="Money in",'My investments'!$D114/$AL114,IF('My investments'!$C114="Money out",-'My investments'!$D114/$AL114,0))))</f>
        <v>0</v>
      </c>
    </row>
    <row r="115">
      <c r="X115" s="3">
        <f>IF('My investments'!$B115="",0,IF('My investments'!$E115="",0,'My investments'!$E115))</f>
        <v>0</v>
      </c>
      <c r="Y115" s="25">
        <f>IF('My investments'!$B115="",$D$8,'My investments'!$B115)</f>
        <v>0</v>
      </c>
      <c r="Z115" s="3">
        <f>IF('My investments'!$C115="Worth today",0,$X115)</f>
        <v>0</v>
      </c>
      <c r="AA115" s="3">
        <f>IF('My investments'!$H$15="",0,IF('My investments'!$F115='My investments'!$H$15,$X115,0))</f>
        <v>0</v>
      </c>
      <c r="AB115" s="3">
        <f>IF('My investments'!$H$16="",0,IF('My investments'!$F115='My investments'!$H$16,$X115,0))</f>
        <v>0</v>
      </c>
      <c r="AC115" s="3">
        <f>IF('My investments'!$H$17="",0,IF('My investments'!$F115='My investments'!$H$17,$X115,0))</f>
        <v>0</v>
      </c>
      <c r="AD115" s="3">
        <f>IF('My investments'!$H$18="",0,IF('My investments'!$F115='My investments'!$H$18,$X115,0))</f>
        <v>0</v>
      </c>
      <c r="AE115" s="3">
        <f>IF('My investments'!$H$19="",0,IF('My investments'!$F115='My investments'!$H$19,$X115,0))</f>
        <v>0</v>
      </c>
      <c r="AF115" s="3">
        <f>IF('My investments'!$H$20="",0,IF('My investments'!$F115='My investments'!$H$20,$X115,0))</f>
        <v>0</v>
      </c>
      <c r="AG115" s="3">
        <f>IF('My investments'!$H$21="",0,IF('My investments'!$F115='My investments'!$H$21,$X115,0))</f>
        <v>0</v>
      </c>
      <c r="AH115" s="3">
        <f>IF('My investments'!$H$22="",0,IF('My investments'!$F115='My investments'!$H$22,$X115,0))</f>
        <v>0</v>
      </c>
      <c r="AI115" s="3">
        <f>IF('My investments'!$H$23="",0,IF('My investments'!$F115='My investments'!$H$23,$X115,0))</f>
        <v>0</v>
      </c>
      <c r="AJ115" s="3">
        <f>IF('My investments'!$H$24="",0,IF('My investments'!$F115='My investments'!$H$24,$X115,0))</f>
        <v>0</v>
      </c>
      <c r="AL115" s="3" t="str">
        <f>IF('My investments'!$B115="","",IF($D$10=0,"",IFERROR(INDEX('Index history'!$B$8:$B$5007,MATCH('My investments'!$B115,'Index history'!$A$8:$A$5007,1)),"")))</f>
        <v/>
      </c>
      <c r="AM115" s="3">
        <f>IF($AL115="",0,IF('My investments'!$D115="",0,IF('My investments'!$C115="Money in",'My investments'!$D115/$AL115,IF('My investments'!$C115="Money out",-'My investments'!$D115/$AL115,0))))</f>
        <v>0</v>
      </c>
    </row>
    <row r="116">
      <c r="X116" s="3">
        <f>IF('My investments'!$B116="",0,IF('My investments'!$E116="",0,'My investments'!$E116))</f>
        <v>0</v>
      </c>
      <c r="Y116" s="25">
        <f>IF('My investments'!$B116="",$D$8,'My investments'!$B116)</f>
        <v>0</v>
      </c>
      <c r="Z116" s="3">
        <f>IF('My investments'!$C116="Worth today",0,$X116)</f>
        <v>0</v>
      </c>
      <c r="AA116" s="3">
        <f>IF('My investments'!$H$15="",0,IF('My investments'!$F116='My investments'!$H$15,$X116,0))</f>
        <v>0</v>
      </c>
      <c r="AB116" s="3">
        <f>IF('My investments'!$H$16="",0,IF('My investments'!$F116='My investments'!$H$16,$X116,0))</f>
        <v>0</v>
      </c>
      <c r="AC116" s="3">
        <f>IF('My investments'!$H$17="",0,IF('My investments'!$F116='My investments'!$H$17,$X116,0))</f>
        <v>0</v>
      </c>
      <c r="AD116" s="3">
        <f>IF('My investments'!$H$18="",0,IF('My investments'!$F116='My investments'!$H$18,$X116,0))</f>
        <v>0</v>
      </c>
      <c r="AE116" s="3">
        <f>IF('My investments'!$H$19="",0,IF('My investments'!$F116='My investments'!$H$19,$X116,0))</f>
        <v>0</v>
      </c>
      <c r="AF116" s="3">
        <f>IF('My investments'!$H$20="",0,IF('My investments'!$F116='My investments'!$H$20,$X116,0))</f>
        <v>0</v>
      </c>
      <c r="AG116" s="3">
        <f>IF('My investments'!$H$21="",0,IF('My investments'!$F116='My investments'!$H$21,$X116,0))</f>
        <v>0</v>
      </c>
      <c r="AH116" s="3">
        <f>IF('My investments'!$H$22="",0,IF('My investments'!$F116='My investments'!$H$22,$X116,0))</f>
        <v>0</v>
      </c>
      <c r="AI116" s="3">
        <f>IF('My investments'!$H$23="",0,IF('My investments'!$F116='My investments'!$H$23,$X116,0))</f>
        <v>0</v>
      </c>
      <c r="AJ116" s="3">
        <f>IF('My investments'!$H$24="",0,IF('My investments'!$F116='My investments'!$H$24,$X116,0))</f>
        <v>0</v>
      </c>
      <c r="AL116" s="3" t="str">
        <f>IF('My investments'!$B116="","",IF($D$10=0,"",IFERROR(INDEX('Index history'!$B$8:$B$5007,MATCH('My investments'!$B116,'Index history'!$A$8:$A$5007,1)),"")))</f>
        <v/>
      </c>
      <c r="AM116" s="3">
        <f>IF($AL116="",0,IF('My investments'!$D116="",0,IF('My investments'!$C116="Money in",'My investments'!$D116/$AL116,IF('My investments'!$C116="Money out",-'My investments'!$D116/$AL116,0))))</f>
        <v>0</v>
      </c>
    </row>
    <row r="117">
      <c r="X117" s="3">
        <f>IF('My investments'!$B117="",0,IF('My investments'!$E117="",0,'My investments'!$E117))</f>
        <v>0</v>
      </c>
      <c r="Y117" s="25">
        <f>IF('My investments'!$B117="",$D$8,'My investments'!$B117)</f>
        <v>0</v>
      </c>
      <c r="Z117" s="3">
        <f>IF('My investments'!$C117="Worth today",0,$X117)</f>
        <v>0</v>
      </c>
      <c r="AA117" s="3">
        <f>IF('My investments'!$H$15="",0,IF('My investments'!$F117='My investments'!$H$15,$X117,0))</f>
        <v>0</v>
      </c>
      <c r="AB117" s="3">
        <f>IF('My investments'!$H$16="",0,IF('My investments'!$F117='My investments'!$H$16,$X117,0))</f>
        <v>0</v>
      </c>
      <c r="AC117" s="3">
        <f>IF('My investments'!$H$17="",0,IF('My investments'!$F117='My investments'!$H$17,$X117,0))</f>
        <v>0</v>
      </c>
      <c r="AD117" s="3">
        <f>IF('My investments'!$H$18="",0,IF('My investments'!$F117='My investments'!$H$18,$X117,0))</f>
        <v>0</v>
      </c>
      <c r="AE117" s="3">
        <f>IF('My investments'!$H$19="",0,IF('My investments'!$F117='My investments'!$H$19,$X117,0))</f>
        <v>0</v>
      </c>
      <c r="AF117" s="3">
        <f>IF('My investments'!$H$20="",0,IF('My investments'!$F117='My investments'!$H$20,$X117,0))</f>
        <v>0</v>
      </c>
      <c r="AG117" s="3">
        <f>IF('My investments'!$H$21="",0,IF('My investments'!$F117='My investments'!$H$21,$X117,0))</f>
        <v>0</v>
      </c>
      <c r="AH117" s="3">
        <f>IF('My investments'!$H$22="",0,IF('My investments'!$F117='My investments'!$H$22,$X117,0))</f>
        <v>0</v>
      </c>
      <c r="AI117" s="3">
        <f>IF('My investments'!$H$23="",0,IF('My investments'!$F117='My investments'!$H$23,$X117,0))</f>
        <v>0</v>
      </c>
      <c r="AJ117" s="3">
        <f>IF('My investments'!$H$24="",0,IF('My investments'!$F117='My investments'!$H$24,$X117,0))</f>
        <v>0</v>
      </c>
      <c r="AL117" s="3" t="str">
        <f>IF('My investments'!$B117="","",IF($D$10=0,"",IFERROR(INDEX('Index history'!$B$8:$B$5007,MATCH('My investments'!$B117,'Index history'!$A$8:$A$5007,1)),"")))</f>
        <v/>
      </c>
      <c r="AM117" s="3">
        <f>IF($AL117="",0,IF('My investments'!$D117="",0,IF('My investments'!$C117="Money in",'My investments'!$D117/$AL117,IF('My investments'!$C117="Money out",-'My investments'!$D117/$AL117,0))))</f>
        <v>0</v>
      </c>
    </row>
    <row r="118">
      <c r="X118" s="3">
        <f>IF('My investments'!$B118="",0,IF('My investments'!$E118="",0,'My investments'!$E118))</f>
        <v>0</v>
      </c>
      <c r="Y118" s="25">
        <f>IF('My investments'!$B118="",$D$8,'My investments'!$B118)</f>
        <v>0</v>
      </c>
      <c r="Z118" s="3">
        <f>IF('My investments'!$C118="Worth today",0,$X118)</f>
        <v>0</v>
      </c>
      <c r="AA118" s="3">
        <f>IF('My investments'!$H$15="",0,IF('My investments'!$F118='My investments'!$H$15,$X118,0))</f>
        <v>0</v>
      </c>
      <c r="AB118" s="3">
        <f>IF('My investments'!$H$16="",0,IF('My investments'!$F118='My investments'!$H$16,$X118,0))</f>
        <v>0</v>
      </c>
      <c r="AC118" s="3">
        <f>IF('My investments'!$H$17="",0,IF('My investments'!$F118='My investments'!$H$17,$X118,0))</f>
        <v>0</v>
      </c>
      <c r="AD118" s="3">
        <f>IF('My investments'!$H$18="",0,IF('My investments'!$F118='My investments'!$H$18,$X118,0))</f>
        <v>0</v>
      </c>
      <c r="AE118" s="3">
        <f>IF('My investments'!$H$19="",0,IF('My investments'!$F118='My investments'!$H$19,$X118,0))</f>
        <v>0</v>
      </c>
      <c r="AF118" s="3">
        <f>IF('My investments'!$H$20="",0,IF('My investments'!$F118='My investments'!$H$20,$X118,0))</f>
        <v>0</v>
      </c>
      <c r="AG118" s="3">
        <f>IF('My investments'!$H$21="",0,IF('My investments'!$F118='My investments'!$H$21,$X118,0))</f>
        <v>0</v>
      </c>
      <c r="AH118" s="3">
        <f>IF('My investments'!$H$22="",0,IF('My investments'!$F118='My investments'!$H$22,$X118,0))</f>
        <v>0</v>
      </c>
      <c r="AI118" s="3">
        <f>IF('My investments'!$H$23="",0,IF('My investments'!$F118='My investments'!$H$23,$X118,0))</f>
        <v>0</v>
      </c>
      <c r="AJ118" s="3">
        <f>IF('My investments'!$H$24="",0,IF('My investments'!$F118='My investments'!$H$24,$X118,0))</f>
        <v>0</v>
      </c>
      <c r="AL118" s="3" t="str">
        <f>IF('My investments'!$B118="","",IF($D$10=0,"",IFERROR(INDEX('Index history'!$B$8:$B$5007,MATCH('My investments'!$B118,'Index history'!$A$8:$A$5007,1)),"")))</f>
        <v/>
      </c>
      <c r="AM118" s="3">
        <f>IF($AL118="",0,IF('My investments'!$D118="",0,IF('My investments'!$C118="Money in",'My investments'!$D118/$AL118,IF('My investments'!$C118="Money out",-'My investments'!$D118/$AL118,0))))</f>
        <v>0</v>
      </c>
    </row>
    <row r="119">
      <c r="X119" s="3">
        <f>IF('My investments'!$B119="",0,IF('My investments'!$E119="",0,'My investments'!$E119))</f>
        <v>0</v>
      </c>
      <c r="Y119" s="25">
        <f>IF('My investments'!$B119="",$D$8,'My investments'!$B119)</f>
        <v>0</v>
      </c>
      <c r="Z119" s="3">
        <f>IF('My investments'!$C119="Worth today",0,$X119)</f>
        <v>0</v>
      </c>
      <c r="AA119" s="3">
        <f>IF('My investments'!$H$15="",0,IF('My investments'!$F119='My investments'!$H$15,$X119,0))</f>
        <v>0</v>
      </c>
      <c r="AB119" s="3">
        <f>IF('My investments'!$H$16="",0,IF('My investments'!$F119='My investments'!$H$16,$X119,0))</f>
        <v>0</v>
      </c>
      <c r="AC119" s="3">
        <f>IF('My investments'!$H$17="",0,IF('My investments'!$F119='My investments'!$H$17,$X119,0))</f>
        <v>0</v>
      </c>
      <c r="AD119" s="3">
        <f>IF('My investments'!$H$18="",0,IF('My investments'!$F119='My investments'!$H$18,$X119,0))</f>
        <v>0</v>
      </c>
      <c r="AE119" s="3">
        <f>IF('My investments'!$H$19="",0,IF('My investments'!$F119='My investments'!$H$19,$X119,0))</f>
        <v>0</v>
      </c>
      <c r="AF119" s="3">
        <f>IF('My investments'!$H$20="",0,IF('My investments'!$F119='My investments'!$H$20,$X119,0))</f>
        <v>0</v>
      </c>
      <c r="AG119" s="3">
        <f>IF('My investments'!$H$21="",0,IF('My investments'!$F119='My investments'!$H$21,$X119,0))</f>
        <v>0</v>
      </c>
      <c r="AH119" s="3">
        <f>IF('My investments'!$H$22="",0,IF('My investments'!$F119='My investments'!$H$22,$X119,0))</f>
        <v>0</v>
      </c>
      <c r="AI119" s="3">
        <f>IF('My investments'!$H$23="",0,IF('My investments'!$F119='My investments'!$H$23,$X119,0))</f>
        <v>0</v>
      </c>
      <c r="AJ119" s="3">
        <f>IF('My investments'!$H$24="",0,IF('My investments'!$F119='My investments'!$H$24,$X119,0))</f>
        <v>0</v>
      </c>
      <c r="AL119" s="3" t="str">
        <f>IF('My investments'!$B119="","",IF($D$10=0,"",IFERROR(INDEX('Index history'!$B$8:$B$5007,MATCH('My investments'!$B119,'Index history'!$A$8:$A$5007,1)),"")))</f>
        <v/>
      </c>
      <c r="AM119" s="3">
        <f>IF($AL119="",0,IF('My investments'!$D119="",0,IF('My investments'!$C119="Money in",'My investments'!$D119/$AL119,IF('My investments'!$C119="Money out",-'My investments'!$D119/$AL119,0))))</f>
        <v>0</v>
      </c>
    </row>
    <row r="120">
      <c r="X120" s="3">
        <f>IF('My investments'!$B120="",0,IF('My investments'!$E120="",0,'My investments'!$E120))</f>
        <v>0</v>
      </c>
      <c r="Y120" s="25">
        <f>IF('My investments'!$B120="",$D$8,'My investments'!$B120)</f>
        <v>0</v>
      </c>
      <c r="Z120" s="3">
        <f>IF('My investments'!$C120="Worth today",0,$X120)</f>
        <v>0</v>
      </c>
      <c r="AA120" s="3">
        <f>IF('My investments'!$H$15="",0,IF('My investments'!$F120='My investments'!$H$15,$X120,0))</f>
        <v>0</v>
      </c>
      <c r="AB120" s="3">
        <f>IF('My investments'!$H$16="",0,IF('My investments'!$F120='My investments'!$H$16,$X120,0))</f>
        <v>0</v>
      </c>
      <c r="AC120" s="3">
        <f>IF('My investments'!$H$17="",0,IF('My investments'!$F120='My investments'!$H$17,$X120,0))</f>
        <v>0</v>
      </c>
      <c r="AD120" s="3">
        <f>IF('My investments'!$H$18="",0,IF('My investments'!$F120='My investments'!$H$18,$X120,0))</f>
        <v>0</v>
      </c>
      <c r="AE120" s="3">
        <f>IF('My investments'!$H$19="",0,IF('My investments'!$F120='My investments'!$H$19,$X120,0))</f>
        <v>0</v>
      </c>
      <c r="AF120" s="3">
        <f>IF('My investments'!$H$20="",0,IF('My investments'!$F120='My investments'!$H$20,$X120,0))</f>
        <v>0</v>
      </c>
      <c r="AG120" s="3">
        <f>IF('My investments'!$H$21="",0,IF('My investments'!$F120='My investments'!$H$21,$X120,0))</f>
        <v>0</v>
      </c>
      <c r="AH120" s="3">
        <f>IF('My investments'!$H$22="",0,IF('My investments'!$F120='My investments'!$H$22,$X120,0))</f>
        <v>0</v>
      </c>
      <c r="AI120" s="3">
        <f>IF('My investments'!$H$23="",0,IF('My investments'!$F120='My investments'!$H$23,$X120,0))</f>
        <v>0</v>
      </c>
      <c r="AJ120" s="3">
        <f>IF('My investments'!$H$24="",0,IF('My investments'!$F120='My investments'!$H$24,$X120,0))</f>
        <v>0</v>
      </c>
      <c r="AL120" s="3" t="str">
        <f>IF('My investments'!$B120="","",IF($D$10=0,"",IFERROR(INDEX('Index history'!$B$8:$B$5007,MATCH('My investments'!$B120,'Index history'!$A$8:$A$5007,1)),"")))</f>
        <v/>
      </c>
      <c r="AM120" s="3">
        <f>IF($AL120="",0,IF('My investments'!$D120="",0,IF('My investments'!$C120="Money in",'My investments'!$D120/$AL120,IF('My investments'!$C120="Money out",-'My investments'!$D120/$AL120,0))))</f>
        <v>0</v>
      </c>
    </row>
    <row r="121">
      <c r="X121" s="3">
        <f>IF('My investments'!$B121="",0,IF('My investments'!$E121="",0,'My investments'!$E121))</f>
        <v>0</v>
      </c>
      <c r="Y121" s="25">
        <f>IF('My investments'!$B121="",$D$8,'My investments'!$B121)</f>
        <v>0</v>
      </c>
      <c r="Z121" s="3">
        <f>IF('My investments'!$C121="Worth today",0,$X121)</f>
        <v>0</v>
      </c>
      <c r="AA121" s="3">
        <f>IF('My investments'!$H$15="",0,IF('My investments'!$F121='My investments'!$H$15,$X121,0))</f>
        <v>0</v>
      </c>
      <c r="AB121" s="3">
        <f>IF('My investments'!$H$16="",0,IF('My investments'!$F121='My investments'!$H$16,$X121,0))</f>
        <v>0</v>
      </c>
      <c r="AC121" s="3">
        <f>IF('My investments'!$H$17="",0,IF('My investments'!$F121='My investments'!$H$17,$X121,0))</f>
        <v>0</v>
      </c>
      <c r="AD121" s="3">
        <f>IF('My investments'!$H$18="",0,IF('My investments'!$F121='My investments'!$H$18,$X121,0))</f>
        <v>0</v>
      </c>
      <c r="AE121" s="3">
        <f>IF('My investments'!$H$19="",0,IF('My investments'!$F121='My investments'!$H$19,$X121,0))</f>
        <v>0</v>
      </c>
      <c r="AF121" s="3">
        <f>IF('My investments'!$H$20="",0,IF('My investments'!$F121='My investments'!$H$20,$X121,0))</f>
        <v>0</v>
      </c>
      <c r="AG121" s="3">
        <f>IF('My investments'!$H$21="",0,IF('My investments'!$F121='My investments'!$H$21,$X121,0))</f>
        <v>0</v>
      </c>
      <c r="AH121" s="3">
        <f>IF('My investments'!$H$22="",0,IF('My investments'!$F121='My investments'!$H$22,$X121,0))</f>
        <v>0</v>
      </c>
      <c r="AI121" s="3">
        <f>IF('My investments'!$H$23="",0,IF('My investments'!$F121='My investments'!$H$23,$X121,0))</f>
        <v>0</v>
      </c>
      <c r="AJ121" s="3">
        <f>IF('My investments'!$H$24="",0,IF('My investments'!$F121='My investments'!$H$24,$X121,0))</f>
        <v>0</v>
      </c>
      <c r="AL121" s="3" t="str">
        <f>IF('My investments'!$B121="","",IF($D$10=0,"",IFERROR(INDEX('Index history'!$B$8:$B$5007,MATCH('My investments'!$B121,'Index history'!$A$8:$A$5007,1)),"")))</f>
        <v/>
      </c>
      <c r="AM121" s="3">
        <f>IF($AL121="",0,IF('My investments'!$D121="",0,IF('My investments'!$C121="Money in",'My investments'!$D121/$AL121,IF('My investments'!$C121="Money out",-'My investments'!$D121/$AL121,0))))</f>
        <v>0</v>
      </c>
    </row>
    <row r="122">
      <c r="X122" s="3">
        <f>IF('My investments'!$B122="",0,IF('My investments'!$E122="",0,'My investments'!$E122))</f>
        <v>0</v>
      </c>
      <c r="Y122" s="25">
        <f>IF('My investments'!$B122="",$D$8,'My investments'!$B122)</f>
        <v>0</v>
      </c>
      <c r="Z122" s="3">
        <f>IF('My investments'!$C122="Worth today",0,$X122)</f>
        <v>0</v>
      </c>
      <c r="AA122" s="3">
        <f>IF('My investments'!$H$15="",0,IF('My investments'!$F122='My investments'!$H$15,$X122,0))</f>
        <v>0</v>
      </c>
      <c r="AB122" s="3">
        <f>IF('My investments'!$H$16="",0,IF('My investments'!$F122='My investments'!$H$16,$X122,0))</f>
        <v>0</v>
      </c>
      <c r="AC122" s="3">
        <f>IF('My investments'!$H$17="",0,IF('My investments'!$F122='My investments'!$H$17,$X122,0))</f>
        <v>0</v>
      </c>
      <c r="AD122" s="3">
        <f>IF('My investments'!$H$18="",0,IF('My investments'!$F122='My investments'!$H$18,$X122,0))</f>
        <v>0</v>
      </c>
      <c r="AE122" s="3">
        <f>IF('My investments'!$H$19="",0,IF('My investments'!$F122='My investments'!$H$19,$X122,0))</f>
        <v>0</v>
      </c>
      <c r="AF122" s="3">
        <f>IF('My investments'!$H$20="",0,IF('My investments'!$F122='My investments'!$H$20,$X122,0))</f>
        <v>0</v>
      </c>
      <c r="AG122" s="3">
        <f>IF('My investments'!$H$21="",0,IF('My investments'!$F122='My investments'!$H$21,$X122,0))</f>
        <v>0</v>
      </c>
      <c r="AH122" s="3">
        <f>IF('My investments'!$H$22="",0,IF('My investments'!$F122='My investments'!$H$22,$X122,0))</f>
        <v>0</v>
      </c>
      <c r="AI122" s="3">
        <f>IF('My investments'!$H$23="",0,IF('My investments'!$F122='My investments'!$H$23,$X122,0))</f>
        <v>0</v>
      </c>
      <c r="AJ122" s="3">
        <f>IF('My investments'!$H$24="",0,IF('My investments'!$F122='My investments'!$H$24,$X122,0))</f>
        <v>0</v>
      </c>
      <c r="AL122" s="3" t="str">
        <f>IF('My investments'!$B122="","",IF($D$10=0,"",IFERROR(INDEX('Index history'!$B$8:$B$5007,MATCH('My investments'!$B122,'Index history'!$A$8:$A$5007,1)),"")))</f>
        <v/>
      </c>
      <c r="AM122" s="3">
        <f>IF($AL122="",0,IF('My investments'!$D122="",0,IF('My investments'!$C122="Money in",'My investments'!$D122/$AL122,IF('My investments'!$C122="Money out",-'My investments'!$D122/$AL122,0))))</f>
        <v>0</v>
      </c>
    </row>
    <row r="123">
      <c r="X123" s="3">
        <f>IF('My investments'!$B123="",0,IF('My investments'!$E123="",0,'My investments'!$E123))</f>
        <v>0</v>
      </c>
      <c r="Y123" s="25">
        <f>IF('My investments'!$B123="",$D$8,'My investments'!$B123)</f>
        <v>0</v>
      </c>
      <c r="Z123" s="3">
        <f>IF('My investments'!$C123="Worth today",0,$X123)</f>
        <v>0</v>
      </c>
      <c r="AA123" s="3">
        <f>IF('My investments'!$H$15="",0,IF('My investments'!$F123='My investments'!$H$15,$X123,0))</f>
        <v>0</v>
      </c>
      <c r="AB123" s="3">
        <f>IF('My investments'!$H$16="",0,IF('My investments'!$F123='My investments'!$H$16,$X123,0))</f>
        <v>0</v>
      </c>
      <c r="AC123" s="3">
        <f>IF('My investments'!$H$17="",0,IF('My investments'!$F123='My investments'!$H$17,$X123,0))</f>
        <v>0</v>
      </c>
      <c r="AD123" s="3">
        <f>IF('My investments'!$H$18="",0,IF('My investments'!$F123='My investments'!$H$18,$X123,0))</f>
        <v>0</v>
      </c>
      <c r="AE123" s="3">
        <f>IF('My investments'!$H$19="",0,IF('My investments'!$F123='My investments'!$H$19,$X123,0))</f>
        <v>0</v>
      </c>
      <c r="AF123" s="3">
        <f>IF('My investments'!$H$20="",0,IF('My investments'!$F123='My investments'!$H$20,$X123,0))</f>
        <v>0</v>
      </c>
      <c r="AG123" s="3">
        <f>IF('My investments'!$H$21="",0,IF('My investments'!$F123='My investments'!$H$21,$X123,0))</f>
        <v>0</v>
      </c>
      <c r="AH123" s="3">
        <f>IF('My investments'!$H$22="",0,IF('My investments'!$F123='My investments'!$H$22,$X123,0))</f>
        <v>0</v>
      </c>
      <c r="AI123" s="3">
        <f>IF('My investments'!$H$23="",0,IF('My investments'!$F123='My investments'!$H$23,$X123,0))</f>
        <v>0</v>
      </c>
      <c r="AJ123" s="3">
        <f>IF('My investments'!$H$24="",0,IF('My investments'!$F123='My investments'!$H$24,$X123,0))</f>
        <v>0</v>
      </c>
      <c r="AL123" s="3" t="str">
        <f>IF('My investments'!$B123="","",IF($D$10=0,"",IFERROR(INDEX('Index history'!$B$8:$B$5007,MATCH('My investments'!$B123,'Index history'!$A$8:$A$5007,1)),"")))</f>
        <v/>
      </c>
      <c r="AM123" s="3">
        <f>IF($AL123="",0,IF('My investments'!$D123="",0,IF('My investments'!$C123="Money in",'My investments'!$D123/$AL123,IF('My investments'!$C123="Money out",-'My investments'!$D123/$AL123,0))))</f>
        <v>0</v>
      </c>
    </row>
    <row r="124">
      <c r="X124" s="3">
        <f>IF('My investments'!$B124="",0,IF('My investments'!$E124="",0,'My investments'!$E124))</f>
        <v>0</v>
      </c>
      <c r="Y124" s="25">
        <f>IF('My investments'!$B124="",$D$8,'My investments'!$B124)</f>
        <v>0</v>
      </c>
      <c r="Z124" s="3">
        <f>IF('My investments'!$C124="Worth today",0,$X124)</f>
        <v>0</v>
      </c>
      <c r="AA124" s="3">
        <f>IF('My investments'!$H$15="",0,IF('My investments'!$F124='My investments'!$H$15,$X124,0))</f>
        <v>0</v>
      </c>
      <c r="AB124" s="3">
        <f>IF('My investments'!$H$16="",0,IF('My investments'!$F124='My investments'!$H$16,$X124,0))</f>
        <v>0</v>
      </c>
      <c r="AC124" s="3">
        <f>IF('My investments'!$H$17="",0,IF('My investments'!$F124='My investments'!$H$17,$X124,0))</f>
        <v>0</v>
      </c>
      <c r="AD124" s="3">
        <f>IF('My investments'!$H$18="",0,IF('My investments'!$F124='My investments'!$H$18,$X124,0))</f>
        <v>0</v>
      </c>
      <c r="AE124" s="3">
        <f>IF('My investments'!$H$19="",0,IF('My investments'!$F124='My investments'!$H$19,$X124,0))</f>
        <v>0</v>
      </c>
      <c r="AF124" s="3">
        <f>IF('My investments'!$H$20="",0,IF('My investments'!$F124='My investments'!$H$20,$X124,0))</f>
        <v>0</v>
      </c>
      <c r="AG124" s="3">
        <f>IF('My investments'!$H$21="",0,IF('My investments'!$F124='My investments'!$H$21,$X124,0))</f>
        <v>0</v>
      </c>
      <c r="AH124" s="3">
        <f>IF('My investments'!$H$22="",0,IF('My investments'!$F124='My investments'!$H$22,$X124,0))</f>
        <v>0</v>
      </c>
      <c r="AI124" s="3">
        <f>IF('My investments'!$H$23="",0,IF('My investments'!$F124='My investments'!$H$23,$X124,0))</f>
        <v>0</v>
      </c>
      <c r="AJ124" s="3">
        <f>IF('My investments'!$H$24="",0,IF('My investments'!$F124='My investments'!$H$24,$X124,0))</f>
        <v>0</v>
      </c>
      <c r="AL124" s="3" t="str">
        <f>IF('My investments'!$B124="","",IF($D$10=0,"",IFERROR(INDEX('Index history'!$B$8:$B$5007,MATCH('My investments'!$B124,'Index history'!$A$8:$A$5007,1)),"")))</f>
        <v/>
      </c>
      <c r="AM124" s="3">
        <f>IF($AL124="",0,IF('My investments'!$D124="",0,IF('My investments'!$C124="Money in",'My investments'!$D124/$AL124,IF('My investments'!$C124="Money out",-'My investments'!$D124/$AL124,0))))</f>
        <v>0</v>
      </c>
    </row>
    <row r="125">
      <c r="X125" s="3">
        <f>IF('My investments'!$B125="",0,IF('My investments'!$E125="",0,'My investments'!$E125))</f>
        <v>0</v>
      </c>
      <c r="Y125" s="25">
        <f>IF('My investments'!$B125="",$D$8,'My investments'!$B125)</f>
        <v>0</v>
      </c>
      <c r="Z125" s="3">
        <f>IF('My investments'!$C125="Worth today",0,$X125)</f>
        <v>0</v>
      </c>
      <c r="AA125" s="3">
        <f>IF('My investments'!$H$15="",0,IF('My investments'!$F125='My investments'!$H$15,$X125,0))</f>
        <v>0</v>
      </c>
      <c r="AB125" s="3">
        <f>IF('My investments'!$H$16="",0,IF('My investments'!$F125='My investments'!$H$16,$X125,0))</f>
        <v>0</v>
      </c>
      <c r="AC125" s="3">
        <f>IF('My investments'!$H$17="",0,IF('My investments'!$F125='My investments'!$H$17,$X125,0))</f>
        <v>0</v>
      </c>
      <c r="AD125" s="3">
        <f>IF('My investments'!$H$18="",0,IF('My investments'!$F125='My investments'!$H$18,$X125,0))</f>
        <v>0</v>
      </c>
      <c r="AE125" s="3">
        <f>IF('My investments'!$H$19="",0,IF('My investments'!$F125='My investments'!$H$19,$X125,0))</f>
        <v>0</v>
      </c>
      <c r="AF125" s="3">
        <f>IF('My investments'!$H$20="",0,IF('My investments'!$F125='My investments'!$H$20,$X125,0))</f>
        <v>0</v>
      </c>
      <c r="AG125" s="3">
        <f>IF('My investments'!$H$21="",0,IF('My investments'!$F125='My investments'!$H$21,$X125,0))</f>
        <v>0</v>
      </c>
      <c r="AH125" s="3">
        <f>IF('My investments'!$H$22="",0,IF('My investments'!$F125='My investments'!$H$22,$X125,0))</f>
        <v>0</v>
      </c>
      <c r="AI125" s="3">
        <f>IF('My investments'!$H$23="",0,IF('My investments'!$F125='My investments'!$H$23,$X125,0))</f>
        <v>0</v>
      </c>
      <c r="AJ125" s="3">
        <f>IF('My investments'!$H$24="",0,IF('My investments'!$F125='My investments'!$H$24,$X125,0))</f>
        <v>0</v>
      </c>
      <c r="AL125" s="3" t="str">
        <f>IF('My investments'!$B125="","",IF($D$10=0,"",IFERROR(INDEX('Index history'!$B$8:$B$5007,MATCH('My investments'!$B125,'Index history'!$A$8:$A$5007,1)),"")))</f>
        <v/>
      </c>
      <c r="AM125" s="3">
        <f>IF($AL125="",0,IF('My investments'!$D125="",0,IF('My investments'!$C125="Money in",'My investments'!$D125/$AL125,IF('My investments'!$C125="Money out",-'My investments'!$D125/$AL125,0))))</f>
        <v>0</v>
      </c>
    </row>
    <row r="126">
      <c r="X126" s="3">
        <f>IF('My investments'!$B126="",0,IF('My investments'!$E126="",0,'My investments'!$E126))</f>
        <v>0</v>
      </c>
      <c r="Y126" s="25">
        <f>IF('My investments'!$B126="",$D$8,'My investments'!$B126)</f>
        <v>0</v>
      </c>
      <c r="Z126" s="3">
        <f>IF('My investments'!$C126="Worth today",0,$X126)</f>
        <v>0</v>
      </c>
      <c r="AA126" s="3">
        <f>IF('My investments'!$H$15="",0,IF('My investments'!$F126='My investments'!$H$15,$X126,0))</f>
        <v>0</v>
      </c>
      <c r="AB126" s="3">
        <f>IF('My investments'!$H$16="",0,IF('My investments'!$F126='My investments'!$H$16,$X126,0))</f>
        <v>0</v>
      </c>
      <c r="AC126" s="3">
        <f>IF('My investments'!$H$17="",0,IF('My investments'!$F126='My investments'!$H$17,$X126,0))</f>
        <v>0</v>
      </c>
      <c r="AD126" s="3">
        <f>IF('My investments'!$H$18="",0,IF('My investments'!$F126='My investments'!$H$18,$X126,0))</f>
        <v>0</v>
      </c>
      <c r="AE126" s="3">
        <f>IF('My investments'!$H$19="",0,IF('My investments'!$F126='My investments'!$H$19,$X126,0))</f>
        <v>0</v>
      </c>
      <c r="AF126" s="3">
        <f>IF('My investments'!$H$20="",0,IF('My investments'!$F126='My investments'!$H$20,$X126,0))</f>
        <v>0</v>
      </c>
      <c r="AG126" s="3">
        <f>IF('My investments'!$H$21="",0,IF('My investments'!$F126='My investments'!$H$21,$X126,0))</f>
        <v>0</v>
      </c>
      <c r="AH126" s="3">
        <f>IF('My investments'!$H$22="",0,IF('My investments'!$F126='My investments'!$H$22,$X126,0))</f>
        <v>0</v>
      </c>
      <c r="AI126" s="3">
        <f>IF('My investments'!$H$23="",0,IF('My investments'!$F126='My investments'!$H$23,$X126,0))</f>
        <v>0</v>
      </c>
      <c r="AJ126" s="3">
        <f>IF('My investments'!$H$24="",0,IF('My investments'!$F126='My investments'!$H$24,$X126,0))</f>
        <v>0</v>
      </c>
      <c r="AL126" s="3" t="str">
        <f>IF('My investments'!$B126="","",IF($D$10=0,"",IFERROR(INDEX('Index history'!$B$8:$B$5007,MATCH('My investments'!$B126,'Index history'!$A$8:$A$5007,1)),"")))</f>
        <v/>
      </c>
      <c r="AM126" s="3">
        <f>IF($AL126="",0,IF('My investments'!$D126="",0,IF('My investments'!$C126="Money in",'My investments'!$D126/$AL126,IF('My investments'!$C126="Money out",-'My investments'!$D126/$AL126,0))))</f>
        <v>0</v>
      </c>
    </row>
    <row r="127">
      <c r="X127" s="3">
        <f>IF('My investments'!$B127="",0,IF('My investments'!$E127="",0,'My investments'!$E127))</f>
        <v>0</v>
      </c>
      <c r="Y127" s="25">
        <f>IF('My investments'!$B127="",$D$8,'My investments'!$B127)</f>
        <v>0</v>
      </c>
      <c r="Z127" s="3">
        <f>IF('My investments'!$C127="Worth today",0,$X127)</f>
        <v>0</v>
      </c>
      <c r="AA127" s="3">
        <f>IF('My investments'!$H$15="",0,IF('My investments'!$F127='My investments'!$H$15,$X127,0))</f>
        <v>0</v>
      </c>
      <c r="AB127" s="3">
        <f>IF('My investments'!$H$16="",0,IF('My investments'!$F127='My investments'!$H$16,$X127,0))</f>
        <v>0</v>
      </c>
      <c r="AC127" s="3">
        <f>IF('My investments'!$H$17="",0,IF('My investments'!$F127='My investments'!$H$17,$X127,0))</f>
        <v>0</v>
      </c>
      <c r="AD127" s="3">
        <f>IF('My investments'!$H$18="",0,IF('My investments'!$F127='My investments'!$H$18,$X127,0))</f>
        <v>0</v>
      </c>
      <c r="AE127" s="3">
        <f>IF('My investments'!$H$19="",0,IF('My investments'!$F127='My investments'!$H$19,$X127,0))</f>
        <v>0</v>
      </c>
      <c r="AF127" s="3">
        <f>IF('My investments'!$H$20="",0,IF('My investments'!$F127='My investments'!$H$20,$X127,0))</f>
        <v>0</v>
      </c>
      <c r="AG127" s="3">
        <f>IF('My investments'!$H$21="",0,IF('My investments'!$F127='My investments'!$H$21,$X127,0))</f>
        <v>0</v>
      </c>
      <c r="AH127" s="3">
        <f>IF('My investments'!$H$22="",0,IF('My investments'!$F127='My investments'!$H$22,$X127,0))</f>
        <v>0</v>
      </c>
      <c r="AI127" s="3">
        <f>IF('My investments'!$H$23="",0,IF('My investments'!$F127='My investments'!$H$23,$X127,0))</f>
        <v>0</v>
      </c>
      <c r="AJ127" s="3">
        <f>IF('My investments'!$H$24="",0,IF('My investments'!$F127='My investments'!$H$24,$X127,0))</f>
        <v>0</v>
      </c>
      <c r="AL127" s="3" t="str">
        <f>IF('My investments'!$B127="","",IF($D$10=0,"",IFERROR(INDEX('Index history'!$B$8:$B$5007,MATCH('My investments'!$B127,'Index history'!$A$8:$A$5007,1)),"")))</f>
        <v/>
      </c>
      <c r="AM127" s="3">
        <f>IF($AL127="",0,IF('My investments'!$D127="",0,IF('My investments'!$C127="Money in",'My investments'!$D127/$AL127,IF('My investments'!$C127="Money out",-'My investments'!$D127/$AL127,0))))</f>
        <v>0</v>
      </c>
    </row>
    <row r="128">
      <c r="X128" s="3">
        <f>IF('My investments'!$B128="",0,IF('My investments'!$E128="",0,'My investments'!$E128))</f>
        <v>0</v>
      </c>
      <c r="Y128" s="25">
        <f>IF('My investments'!$B128="",$D$8,'My investments'!$B128)</f>
        <v>0</v>
      </c>
      <c r="Z128" s="3">
        <f>IF('My investments'!$C128="Worth today",0,$X128)</f>
        <v>0</v>
      </c>
      <c r="AA128" s="3">
        <f>IF('My investments'!$H$15="",0,IF('My investments'!$F128='My investments'!$H$15,$X128,0))</f>
        <v>0</v>
      </c>
      <c r="AB128" s="3">
        <f>IF('My investments'!$H$16="",0,IF('My investments'!$F128='My investments'!$H$16,$X128,0))</f>
        <v>0</v>
      </c>
      <c r="AC128" s="3">
        <f>IF('My investments'!$H$17="",0,IF('My investments'!$F128='My investments'!$H$17,$X128,0))</f>
        <v>0</v>
      </c>
      <c r="AD128" s="3">
        <f>IF('My investments'!$H$18="",0,IF('My investments'!$F128='My investments'!$H$18,$X128,0))</f>
        <v>0</v>
      </c>
      <c r="AE128" s="3">
        <f>IF('My investments'!$H$19="",0,IF('My investments'!$F128='My investments'!$H$19,$X128,0))</f>
        <v>0</v>
      </c>
      <c r="AF128" s="3">
        <f>IF('My investments'!$H$20="",0,IF('My investments'!$F128='My investments'!$H$20,$X128,0))</f>
        <v>0</v>
      </c>
      <c r="AG128" s="3">
        <f>IF('My investments'!$H$21="",0,IF('My investments'!$F128='My investments'!$H$21,$X128,0))</f>
        <v>0</v>
      </c>
      <c r="AH128" s="3">
        <f>IF('My investments'!$H$22="",0,IF('My investments'!$F128='My investments'!$H$22,$X128,0))</f>
        <v>0</v>
      </c>
      <c r="AI128" s="3">
        <f>IF('My investments'!$H$23="",0,IF('My investments'!$F128='My investments'!$H$23,$X128,0))</f>
        <v>0</v>
      </c>
      <c r="AJ128" s="3">
        <f>IF('My investments'!$H$24="",0,IF('My investments'!$F128='My investments'!$H$24,$X128,0))</f>
        <v>0</v>
      </c>
      <c r="AL128" s="3" t="str">
        <f>IF('My investments'!$B128="","",IF($D$10=0,"",IFERROR(INDEX('Index history'!$B$8:$B$5007,MATCH('My investments'!$B128,'Index history'!$A$8:$A$5007,1)),"")))</f>
        <v/>
      </c>
      <c r="AM128" s="3">
        <f>IF($AL128="",0,IF('My investments'!$D128="",0,IF('My investments'!$C128="Money in",'My investments'!$D128/$AL128,IF('My investments'!$C128="Money out",-'My investments'!$D128/$AL128,0))))</f>
        <v>0</v>
      </c>
    </row>
    <row r="129">
      <c r="X129" s="3">
        <f>IF('My investments'!$B129="",0,IF('My investments'!$E129="",0,'My investments'!$E129))</f>
        <v>0</v>
      </c>
      <c r="Y129" s="25">
        <f>IF('My investments'!$B129="",$D$8,'My investments'!$B129)</f>
        <v>0</v>
      </c>
      <c r="Z129" s="3">
        <f>IF('My investments'!$C129="Worth today",0,$X129)</f>
        <v>0</v>
      </c>
      <c r="AA129" s="3">
        <f>IF('My investments'!$H$15="",0,IF('My investments'!$F129='My investments'!$H$15,$X129,0))</f>
        <v>0</v>
      </c>
      <c r="AB129" s="3">
        <f>IF('My investments'!$H$16="",0,IF('My investments'!$F129='My investments'!$H$16,$X129,0))</f>
        <v>0</v>
      </c>
      <c r="AC129" s="3">
        <f>IF('My investments'!$H$17="",0,IF('My investments'!$F129='My investments'!$H$17,$X129,0))</f>
        <v>0</v>
      </c>
      <c r="AD129" s="3">
        <f>IF('My investments'!$H$18="",0,IF('My investments'!$F129='My investments'!$H$18,$X129,0))</f>
        <v>0</v>
      </c>
      <c r="AE129" s="3">
        <f>IF('My investments'!$H$19="",0,IF('My investments'!$F129='My investments'!$H$19,$X129,0))</f>
        <v>0</v>
      </c>
      <c r="AF129" s="3">
        <f>IF('My investments'!$H$20="",0,IF('My investments'!$F129='My investments'!$H$20,$X129,0))</f>
        <v>0</v>
      </c>
      <c r="AG129" s="3">
        <f>IF('My investments'!$H$21="",0,IF('My investments'!$F129='My investments'!$H$21,$X129,0))</f>
        <v>0</v>
      </c>
      <c r="AH129" s="3">
        <f>IF('My investments'!$H$22="",0,IF('My investments'!$F129='My investments'!$H$22,$X129,0))</f>
        <v>0</v>
      </c>
      <c r="AI129" s="3">
        <f>IF('My investments'!$H$23="",0,IF('My investments'!$F129='My investments'!$H$23,$X129,0))</f>
        <v>0</v>
      </c>
      <c r="AJ129" s="3">
        <f>IF('My investments'!$H$24="",0,IF('My investments'!$F129='My investments'!$H$24,$X129,0))</f>
        <v>0</v>
      </c>
      <c r="AL129" s="3" t="str">
        <f>IF('My investments'!$B129="","",IF($D$10=0,"",IFERROR(INDEX('Index history'!$B$8:$B$5007,MATCH('My investments'!$B129,'Index history'!$A$8:$A$5007,1)),"")))</f>
        <v/>
      </c>
      <c r="AM129" s="3">
        <f>IF($AL129="",0,IF('My investments'!$D129="",0,IF('My investments'!$C129="Money in",'My investments'!$D129/$AL129,IF('My investments'!$C129="Money out",-'My investments'!$D129/$AL129,0))))</f>
        <v>0</v>
      </c>
    </row>
    <row r="130">
      <c r="X130" s="3">
        <f>IF('My investments'!$B130="",0,IF('My investments'!$E130="",0,'My investments'!$E130))</f>
        <v>0</v>
      </c>
      <c r="Y130" s="25">
        <f>IF('My investments'!$B130="",$D$8,'My investments'!$B130)</f>
        <v>0</v>
      </c>
      <c r="Z130" s="3">
        <f>IF('My investments'!$C130="Worth today",0,$X130)</f>
        <v>0</v>
      </c>
      <c r="AA130" s="3">
        <f>IF('My investments'!$H$15="",0,IF('My investments'!$F130='My investments'!$H$15,$X130,0))</f>
        <v>0</v>
      </c>
      <c r="AB130" s="3">
        <f>IF('My investments'!$H$16="",0,IF('My investments'!$F130='My investments'!$H$16,$X130,0))</f>
        <v>0</v>
      </c>
      <c r="AC130" s="3">
        <f>IF('My investments'!$H$17="",0,IF('My investments'!$F130='My investments'!$H$17,$X130,0))</f>
        <v>0</v>
      </c>
      <c r="AD130" s="3">
        <f>IF('My investments'!$H$18="",0,IF('My investments'!$F130='My investments'!$H$18,$X130,0))</f>
        <v>0</v>
      </c>
      <c r="AE130" s="3">
        <f>IF('My investments'!$H$19="",0,IF('My investments'!$F130='My investments'!$H$19,$X130,0))</f>
        <v>0</v>
      </c>
      <c r="AF130" s="3">
        <f>IF('My investments'!$H$20="",0,IF('My investments'!$F130='My investments'!$H$20,$X130,0))</f>
        <v>0</v>
      </c>
      <c r="AG130" s="3">
        <f>IF('My investments'!$H$21="",0,IF('My investments'!$F130='My investments'!$H$21,$X130,0))</f>
        <v>0</v>
      </c>
      <c r="AH130" s="3">
        <f>IF('My investments'!$H$22="",0,IF('My investments'!$F130='My investments'!$H$22,$X130,0))</f>
        <v>0</v>
      </c>
      <c r="AI130" s="3">
        <f>IF('My investments'!$H$23="",0,IF('My investments'!$F130='My investments'!$H$23,$X130,0))</f>
        <v>0</v>
      </c>
      <c r="AJ130" s="3">
        <f>IF('My investments'!$H$24="",0,IF('My investments'!$F130='My investments'!$H$24,$X130,0))</f>
        <v>0</v>
      </c>
      <c r="AL130" s="3" t="str">
        <f>IF('My investments'!$B130="","",IF($D$10=0,"",IFERROR(INDEX('Index history'!$B$8:$B$5007,MATCH('My investments'!$B130,'Index history'!$A$8:$A$5007,1)),"")))</f>
        <v/>
      </c>
      <c r="AM130" s="3">
        <f>IF($AL130="",0,IF('My investments'!$D130="",0,IF('My investments'!$C130="Money in",'My investments'!$D130/$AL130,IF('My investments'!$C130="Money out",-'My investments'!$D130/$AL130,0))))</f>
        <v>0</v>
      </c>
    </row>
    <row r="131">
      <c r="X131" s="3">
        <f>IF('My investments'!$B131="",0,IF('My investments'!$E131="",0,'My investments'!$E131))</f>
        <v>0</v>
      </c>
      <c r="Y131" s="25">
        <f>IF('My investments'!$B131="",$D$8,'My investments'!$B131)</f>
        <v>0</v>
      </c>
      <c r="Z131" s="3">
        <f>IF('My investments'!$C131="Worth today",0,$X131)</f>
        <v>0</v>
      </c>
      <c r="AA131" s="3">
        <f>IF('My investments'!$H$15="",0,IF('My investments'!$F131='My investments'!$H$15,$X131,0))</f>
        <v>0</v>
      </c>
      <c r="AB131" s="3">
        <f>IF('My investments'!$H$16="",0,IF('My investments'!$F131='My investments'!$H$16,$X131,0))</f>
        <v>0</v>
      </c>
      <c r="AC131" s="3">
        <f>IF('My investments'!$H$17="",0,IF('My investments'!$F131='My investments'!$H$17,$X131,0))</f>
        <v>0</v>
      </c>
      <c r="AD131" s="3">
        <f>IF('My investments'!$H$18="",0,IF('My investments'!$F131='My investments'!$H$18,$X131,0))</f>
        <v>0</v>
      </c>
      <c r="AE131" s="3">
        <f>IF('My investments'!$H$19="",0,IF('My investments'!$F131='My investments'!$H$19,$X131,0))</f>
        <v>0</v>
      </c>
      <c r="AF131" s="3">
        <f>IF('My investments'!$H$20="",0,IF('My investments'!$F131='My investments'!$H$20,$X131,0))</f>
        <v>0</v>
      </c>
      <c r="AG131" s="3">
        <f>IF('My investments'!$H$21="",0,IF('My investments'!$F131='My investments'!$H$21,$X131,0))</f>
        <v>0</v>
      </c>
      <c r="AH131" s="3">
        <f>IF('My investments'!$H$22="",0,IF('My investments'!$F131='My investments'!$H$22,$X131,0))</f>
        <v>0</v>
      </c>
      <c r="AI131" s="3">
        <f>IF('My investments'!$H$23="",0,IF('My investments'!$F131='My investments'!$H$23,$X131,0))</f>
        <v>0</v>
      </c>
      <c r="AJ131" s="3">
        <f>IF('My investments'!$H$24="",0,IF('My investments'!$F131='My investments'!$H$24,$X131,0))</f>
        <v>0</v>
      </c>
      <c r="AL131" s="3" t="str">
        <f>IF('My investments'!$B131="","",IF($D$10=0,"",IFERROR(INDEX('Index history'!$B$8:$B$5007,MATCH('My investments'!$B131,'Index history'!$A$8:$A$5007,1)),"")))</f>
        <v/>
      </c>
      <c r="AM131" s="3">
        <f>IF($AL131="",0,IF('My investments'!$D131="",0,IF('My investments'!$C131="Money in",'My investments'!$D131/$AL131,IF('My investments'!$C131="Money out",-'My investments'!$D131/$AL131,0))))</f>
        <v>0</v>
      </c>
    </row>
    <row r="132">
      <c r="X132" s="3">
        <f>IF('My investments'!$B132="",0,IF('My investments'!$E132="",0,'My investments'!$E132))</f>
        <v>0</v>
      </c>
      <c r="Y132" s="25">
        <f>IF('My investments'!$B132="",$D$8,'My investments'!$B132)</f>
        <v>0</v>
      </c>
      <c r="Z132" s="3">
        <f>IF('My investments'!$C132="Worth today",0,$X132)</f>
        <v>0</v>
      </c>
      <c r="AA132" s="3">
        <f>IF('My investments'!$H$15="",0,IF('My investments'!$F132='My investments'!$H$15,$X132,0))</f>
        <v>0</v>
      </c>
      <c r="AB132" s="3">
        <f>IF('My investments'!$H$16="",0,IF('My investments'!$F132='My investments'!$H$16,$X132,0))</f>
        <v>0</v>
      </c>
      <c r="AC132" s="3">
        <f>IF('My investments'!$H$17="",0,IF('My investments'!$F132='My investments'!$H$17,$X132,0))</f>
        <v>0</v>
      </c>
      <c r="AD132" s="3">
        <f>IF('My investments'!$H$18="",0,IF('My investments'!$F132='My investments'!$H$18,$X132,0))</f>
        <v>0</v>
      </c>
      <c r="AE132" s="3">
        <f>IF('My investments'!$H$19="",0,IF('My investments'!$F132='My investments'!$H$19,$X132,0))</f>
        <v>0</v>
      </c>
      <c r="AF132" s="3">
        <f>IF('My investments'!$H$20="",0,IF('My investments'!$F132='My investments'!$H$20,$X132,0))</f>
        <v>0</v>
      </c>
      <c r="AG132" s="3">
        <f>IF('My investments'!$H$21="",0,IF('My investments'!$F132='My investments'!$H$21,$X132,0))</f>
        <v>0</v>
      </c>
      <c r="AH132" s="3">
        <f>IF('My investments'!$H$22="",0,IF('My investments'!$F132='My investments'!$H$22,$X132,0))</f>
        <v>0</v>
      </c>
      <c r="AI132" s="3">
        <f>IF('My investments'!$H$23="",0,IF('My investments'!$F132='My investments'!$H$23,$X132,0))</f>
        <v>0</v>
      </c>
      <c r="AJ132" s="3">
        <f>IF('My investments'!$H$24="",0,IF('My investments'!$F132='My investments'!$H$24,$X132,0))</f>
        <v>0</v>
      </c>
      <c r="AL132" s="3" t="str">
        <f>IF('My investments'!$B132="","",IF($D$10=0,"",IFERROR(INDEX('Index history'!$B$8:$B$5007,MATCH('My investments'!$B132,'Index history'!$A$8:$A$5007,1)),"")))</f>
        <v/>
      </c>
      <c r="AM132" s="3">
        <f>IF($AL132="",0,IF('My investments'!$D132="",0,IF('My investments'!$C132="Money in",'My investments'!$D132/$AL132,IF('My investments'!$C132="Money out",-'My investments'!$D132/$AL132,0))))</f>
        <v>0</v>
      </c>
    </row>
    <row r="133">
      <c r="X133" s="3">
        <f>IF('My investments'!$B133="",0,IF('My investments'!$E133="",0,'My investments'!$E133))</f>
        <v>0</v>
      </c>
      <c r="Y133" s="25">
        <f>IF('My investments'!$B133="",$D$8,'My investments'!$B133)</f>
        <v>0</v>
      </c>
      <c r="Z133" s="3">
        <f>IF('My investments'!$C133="Worth today",0,$X133)</f>
        <v>0</v>
      </c>
      <c r="AA133" s="3">
        <f>IF('My investments'!$H$15="",0,IF('My investments'!$F133='My investments'!$H$15,$X133,0))</f>
        <v>0</v>
      </c>
      <c r="AB133" s="3">
        <f>IF('My investments'!$H$16="",0,IF('My investments'!$F133='My investments'!$H$16,$X133,0))</f>
        <v>0</v>
      </c>
      <c r="AC133" s="3">
        <f>IF('My investments'!$H$17="",0,IF('My investments'!$F133='My investments'!$H$17,$X133,0))</f>
        <v>0</v>
      </c>
      <c r="AD133" s="3">
        <f>IF('My investments'!$H$18="",0,IF('My investments'!$F133='My investments'!$H$18,$X133,0))</f>
        <v>0</v>
      </c>
      <c r="AE133" s="3">
        <f>IF('My investments'!$H$19="",0,IF('My investments'!$F133='My investments'!$H$19,$X133,0))</f>
        <v>0</v>
      </c>
      <c r="AF133" s="3">
        <f>IF('My investments'!$H$20="",0,IF('My investments'!$F133='My investments'!$H$20,$X133,0))</f>
        <v>0</v>
      </c>
      <c r="AG133" s="3">
        <f>IF('My investments'!$H$21="",0,IF('My investments'!$F133='My investments'!$H$21,$X133,0))</f>
        <v>0</v>
      </c>
      <c r="AH133" s="3">
        <f>IF('My investments'!$H$22="",0,IF('My investments'!$F133='My investments'!$H$22,$X133,0))</f>
        <v>0</v>
      </c>
      <c r="AI133" s="3">
        <f>IF('My investments'!$H$23="",0,IF('My investments'!$F133='My investments'!$H$23,$X133,0))</f>
        <v>0</v>
      </c>
      <c r="AJ133" s="3">
        <f>IF('My investments'!$H$24="",0,IF('My investments'!$F133='My investments'!$H$24,$X133,0))</f>
        <v>0</v>
      </c>
      <c r="AL133" s="3" t="str">
        <f>IF('My investments'!$B133="","",IF($D$10=0,"",IFERROR(INDEX('Index history'!$B$8:$B$5007,MATCH('My investments'!$B133,'Index history'!$A$8:$A$5007,1)),"")))</f>
        <v/>
      </c>
      <c r="AM133" s="3">
        <f>IF($AL133="",0,IF('My investments'!$D133="",0,IF('My investments'!$C133="Money in",'My investments'!$D133/$AL133,IF('My investments'!$C133="Money out",-'My investments'!$D133/$AL133,0))))</f>
        <v>0</v>
      </c>
    </row>
    <row r="134">
      <c r="X134" s="3">
        <f>IF('My investments'!$B134="",0,IF('My investments'!$E134="",0,'My investments'!$E134))</f>
        <v>0</v>
      </c>
      <c r="Y134" s="25">
        <f>IF('My investments'!$B134="",$D$8,'My investments'!$B134)</f>
        <v>0</v>
      </c>
      <c r="Z134" s="3">
        <f>IF('My investments'!$C134="Worth today",0,$X134)</f>
        <v>0</v>
      </c>
      <c r="AA134" s="3">
        <f>IF('My investments'!$H$15="",0,IF('My investments'!$F134='My investments'!$H$15,$X134,0))</f>
        <v>0</v>
      </c>
      <c r="AB134" s="3">
        <f>IF('My investments'!$H$16="",0,IF('My investments'!$F134='My investments'!$H$16,$X134,0))</f>
        <v>0</v>
      </c>
      <c r="AC134" s="3">
        <f>IF('My investments'!$H$17="",0,IF('My investments'!$F134='My investments'!$H$17,$X134,0))</f>
        <v>0</v>
      </c>
      <c r="AD134" s="3">
        <f>IF('My investments'!$H$18="",0,IF('My investments'!$F134='My investments'!$H$18,$X134,0))</f>
        <v>0</v>
      </c>
      <c r="AE134" s="3">
        <f>IF('My investments'!$H$19="",0,IF('My investments'!$F134='My investments'!$H$19,$X134,0))</f>
        <v>0</v>
      </c>
      <c r="AF134" s="3">
        <f>IF('My investments'!$H$20="",0,IF('My investments'!$F134='My investments'!$H$20,$X134,0))</f>
        <v>0</v>
      </c>
      <c r="AG134" s="3">
        <f>IF('My investments'!$H$21="",0,IF('My investments'!$F134='My investments'!$H$21,$X134,0))</f>
        <v>0</v>
      </c>
      <c r="AH134" s="3">
        <f>IF('My investments'!$H$22="",0,IF('My investments'!$F134='My investments'!$H$22,$X134,0))</f>
        <v>0</v>
      </c>
      <c r="AI134" s="3">
        <f>IF('My investments'!$H$23="",0,IF('My investments'!$F134='My investments'!$H$23,$X134,0))</f>
        <v>0</v>
      </c>
      <c r="AJ134" s="3">
        <f>IF('My investments'!$H$24="",0,IF('My investments'!$F134='My investments'!$H$24,$X134,0))</f>
        <v>0</v>
      </c>
      <c r="AL134" s="3" t="str">
        <f>IF('My investments'!$B134="","",IF($D$10=0,"",IFERROR(INDEX('Index history'!$B$8:$B$5007,MATCH('My investments'!$B134,'Index history'!$A$8:$A$5007,1)),"")))</f>
        <v/>
      </c>
      <c r="AM134" s="3">
        <f>IF($AL134="",0,IF('My investments'!$D134="",0,IF('My investments'!$C134="Money in",'My investments'!$D134/$AL134,IF('My investments'!$C134="Money out",-'My investments'!$D134/$AL134,0))))</f>
        <v>0</v>
      </c>
    </row>
    <row r="135">
      <c r="X135" s="3">
        <f>IF('My investments'!$B135="",0,IF('My investments'!$E135="",0,'My investments'!$E135))</f>
        <v>0</v>
      </c>
      <c r="Y135" s="25">
        <f>IF('My investments'!$B135="",$D$8,'My investments'!$B135)</f>
        <v>0</v>
      </c>
      <c r="Z135" s="3">
        <f>IF('My investments'!$C135="Worth today",0,$X135)</f>
        <v>0</v>
      </c>
      <c r="AA135" s="3">
        <f>IF('My investments'!$H$15="",0,IF('My investments'!$F135='My investments'!$H$15,$X135,0))</f>
        <v>0</v>
      </c>
      <c r="AB135" s="3">
        <f>IF('My investments'!$H$16="",0,IF('My investments'!$F135='My investments'!$H$16,$X135,0))</f>
        <v>0</v>
      </c>
      <c r="AC135" s="3">
        <f>IF('My investments'!$H$17="",0,IF('My investments'!$F135='My investments'!$H$17,$X135,0))</f>
        <v>0</v>
      </c>
      <c r="AD135" s="3">
        <f>IF('My investments'!$H$18="",0,IF('My investments'!$F135='My investments'!$H$18,$X135,0))</f>
        <v>0</v>
      </c>
      <c r="AE135" s="3">
        <f>IF('My investments'!$H$19="",0,IF('My investments'!$F135='My investments'!$H$19,$X135,0))</f>
        <v>0</v>
      </c>
      <c r="AF135" s="3">
        <f>IF('My investments'!$H$20="",0,IF('My investments'!$F135='My investments'!$H$20,$X135,0))</f>
        <v>0</v>
      </c>
      <c r="AG135" s="3">
        <f>IF('My investments'!$H$21="",0,IF('My investments'!$F135='My investments'!$H$21,$X135,0))</f>
        <v>0</v>
      </c>
      <c r="AH135" s="3">
        <f>IF('My investments'!$H$22="",0,IF('My investments'!$F135='My investments'!$H$22,$X135,0))</f>
        <v>0</v>
      </c>
      <c r="AI135" s="3">
        <f>IF('My investments'!$H$23="",0,IF('My investments'!$F135='My investments'!$H$23,$X135,0))</f>
        <v>0</v>
      </c>
      <c r="AJ135" s="3">
        <f>IF('My investments'!$H$24="",0,IF('My investments'!$F135='My investments'!$H$24,$X135,0))</f>
        <v>0</v>
      </c>
      <c r="AL135" s="3" t="str">
        <f>IF('My investments'!$B135="","",IF($D$10=0,"",IFERROR(INDEX('Index history'!$B$8:$B$5007,MATCH('My investments'!$B135,'Index history'!$A$8:$A$5007,1)),"")))</f>
        <v/>
      </c>
      <c r="AM135" s="3">
        <f>IF($AL135="",0,IF('My investments'!$D135="",0,IF('My investments'!$C135="Money in",'My investments'!$D135/$AL135,IF('My investments'!$C135="Money out",-'My investments'!$D135/$AL135,0))))</f>
        <v>0</v>
      </c>
    </row>
    <row r="136">
      <c r="X136" s="3">
        <f>IF('My investments'!$B136="",0,IF('My investments'!$E136="",0,'My investments'!$E136))</f>
        <v>0</v>
      </c>
      <c r="Y136" s="25">
        <f>IF('My investments'!$B136="",$D$8,'My investments'!$B136)</f>
        <v>0</v>
      </c>
      <c r="Z136" s="3">
        <f>IF('My investments'!$C136="Worth today",0,$X136)</f>
        <v>0</v>
      </c>
      <c r="AA136" s="3">
        <f>IF('My investments'!$H$15="",0,IF('My investments'!$F136='My investments'!$H$15,$X136,0))</f>
        <v>0</v>
      </c>
      <c r="AB136" s="3">
        <f>IF('My investments'!$H$16="",0,IF('My investments'!$F136='My investments'!$H$16,$X136,0))</f>
        <v>0</v>
      </c>
      <c r="AC136" s="3">
        <f>IF('My investments'!$H$17="",0,IF('My investments'!$F136='My investments'!$H$17,$X136,0))</f>
        <v>0</v>
      </c>
      <c r="AD136" s="3">
        <f>IF('My investments'!$H$18="",0,IF('My investments'!$F136='My investments'!$H$18,$X136,0))</f>
        <v>0</v>
      </c>
      <c r="AE136" s="3">
        <f>IF('My investments'!$H$19="",0,IF('My investments'!$F136='My investments'!$H$19,$X136,0))</f>
        <v>0</v>
      </c>
      <c r="AF136" s="3">
        <f>IF('My investments'!$H$20="",0,IF('My investments'!$F136='My investments'!$H$20,$X136,0))</f>
        <v>0</v>
      </c>
      <c r="AG136" s="3">
        <f>IF('My investments'!$H$21="",0,IF('My investments'!$F136='My investments'!$H$21,$X136,0))</f>
        <v>0</v>
      </c>
      <c r="AH136" s="3">
        <f>IF('My investments'!$H$22="",0,IF('My investments'!$F136='My investments'!$H$22,$X136,0))</f>
        <v>0</v>
      </c>
      <c r="AI136" s="3">
        <f>IF('My investments'!$H$23="",0,IF('My investments'!$F136='My investments'!$H$23,$X136,0))</f>
        <v>0</v>
      </c>
      <c r="AJ136" s="3">
        <f>IF('My investments'!$H$24="",0,IF('My investments'!$F136='My investments'!$H$24,$X136,0))</f>
        <v>0</v>
      </c>
      <c r="AL136" s="3" t="str">
        <f>IF('My investments'!$B136="","",IF($D$10=0,"",IFERROR(INDEX('Index history'!$B$8:$B$5007,MATCH('My investments'!$B136,'Index history'!$A$8:$A$5007,1)),"")))</f>
        <v/>
      </c>
      <c r="AM136" s="3">
        <f>IF($AL136="",0,IF('My investments'!$D136="",0,IF('My investments'!$C136="Money in",'My investments'!$D136/$AL136,IF('My investments'!$C136="Money out",-'My investments'!$D136/$AL136,0))))</f>
        <v>0</v>
      </c>
    </row>
    <row r="137">
      <c r="X137" s="3">
        <f>IF('My investments'!$B137="",0,IF('My investments'!$E137="",0,'My investments'!$E137))</f>
        <v>0</v>
      </c>
      <c r="Y137" s="25">
        <f>IF('My investments'!$B137="",$D$8,'My investments'!$B137)</f>
        <v>0</v>
      </c>
      <c r="Z137" s="3">
        <f>IF('My investments'!$C137="Worth today",0,$X137)</f>
        <v>0</v>
      </c>
      <c r="AA137" s="3">
        <f>IF('My investments'!$H$15="",0,IF('My investments'!$F137='My investments'!$H$15,$X137,0))</f>
        <v>0</v>
      </c>
      <c r="AB137" s="3">
        <f>IF('My investments'!$H$16="",0,IF('My investments'!$F137='My investments'!$H$16,$X137,0))</f>
        <v>0</v>
      </c>
      <c r="AC137" s="3">
        <f>IF('My investments'!$H$17="",0,IF('My investments'!$F137='My investments'!$H$17,$X137,0))</f>
        <v>0</v>
      </c>
      <c r="AD137" s="3">
        <f>IF('My investments'!$H$18="",0,IF('My investments'!$F137='My investments'!$H$18,$X137,0))</f>
        <v>0</v>
      </c>
      <c r="AE137" s="3">
        <f>IF('My investments'!$H$19="",0,IF('My investments'!$F137='My investments'!$H$19,$X137,0))</f>
        <v>0</v>
      </c>
      <c r="AF137" s="3">
        <f>IF('My investments'!$H$20="",0,IF('My investments'!$F137='My investments'!$H$20,$X137,0))</f>
        <v>0</v>
      </c>
      <c r="AG137" s="3">
        <f>IF('My investments'!$H$21="",0,IF('My investments'!$F137='My investments'!$H$21,$X137,0))</f>
        <v>0</v>
      </c>
      <c r="AH137" s="3">
        <f>IF('My investments'!$H$22="",0,IF('My investments'!$F137='My investments'!$H$22,$X137,0))</f>
        <v>0</v>
      </c>
      <c r="AI137" s="3">
        <f>IF('My investments'!$H$23="",0,IF('My investments'!$F137='My investments'!$H$23,$X137,0))</f>
        <v>0</v>
      </c>
      <c r="AJ137" s="3">
        <f>IF('My investments'!$H$24="",0,IF('My investments'!$F137='My investments'!$H$24,$X137,0))</f>
        <v>0</v>
      </c>
      <c r="AL137" s="3" t="str">
        <f>IF('My investments'!$B137="","",IF($D$10=0,"",IFERROR(INDEX('Index history'!$B$8:$B$5007,MATCH('My investments'!$B137,'Index history'!$A$8:$A$5007,1)),"")))</f>
        <v/>
      </c>
      <c r="AM137" s="3">
        <f>IF($AL137="",0,IF('My investments'!$D137="",0,IF('My investments'!$C137="Money in",'My investments'!$D137/$AL137,IF('My investments'!$C137="Money out",-'My investments'!$D137/$AL137,0))))</f>
        <v>0</v>
      </c>
    </row>
    <row r="138">
      <c r="X138" s="3">
        <f>IF('My investments'!$B138="",0,IF('My investments'!$E138="",0,'My investments'!$E138))</f>
        <v>0</v>
      </c>
      <c r="Y138" s="25">
        <f>IF('My investments'!$B138="",$D$8,'My investments'!$B138)</f>
        <v>0</v>
      </c>
      <c r="Z138" s="3">
        <f>IF('My investments'!$C138="Worth today",0,$X138)</f>
        <v>0</v>
      </c>
      <c r="AA138" s="3">
        <f>IF('My investments'!$H$15="",0,IF('My investments'!$F138='My investments'!$H$15,$X138,0))</f>
        <v>0</v>
      </c>
      <c r="AB138" s="3">
        <f>IF('My investments'!$H$16="",0,IF('My investments'!$F138='My investments'!$H$16,$X138,0))</f>
        <v>0</v>
      </c>
      <c r="AC138" s="3">
        <f>IF('My investments'!$H$17="",0,IF('My investments'!$F138='My investments'!$H$17,$X138,0))</f>
        <v>0</v>
      </c>
      <c r="AD138" s="3">
        <f>IF('My investments'!$H$18="",0,IF('My investments'!$F138='My investments'!$H$18,$X138,0))</f>
        <v>0</v>
      </c>
      <c r="AE138" s="3">
        <f>IF('My investments'!$H$19="",0,IF('My investments'!$F138='My investments'!$H$19,$X138,0))</f>
        <v>0</v>
      </c>
      <c r="AF138" s="3">
        <f>IF('My investments'!$H$20="",0,IF('My investments'!$F138='My investments'!$H$20,$X138,0))</f>
        <v>0</v>
      </c>
      <c r="AG138" s="3">
        <f>IF('My investments'!$H$21="",0,IF('My investments'!$F138='My investments'!$H$21,$X138,0))</f>
        <v>0</v>
      </c>
      <c r="AH138" s="3">
        <f>IF('My investments'!$H$22="",0,IF('My investments'!$F138='My investments'!$H$22,$X138,0))</f>
        <v>0</v>
      </c>
      <c r="AI138" s="3">
        <f>IF('My investments'!$H$23="",0,IF('My investments'!$F138='My investments'!$H$23,$X138,0))</f>
        <v>0</v>
      </c>
      <c r="AJ138" s="3">
        <f>IF('My investments'!$H$24="",0,IF('My investments'!$F138='My investments'!$H$24,$X138,0))</f>
        <v>0</v>
      </c>
      <c r="AL138" s="3" t="str">
        <f>IF('My investments'!$B138="","",IF($D$10=0,"",IFERROR(INDEX('Index history'!$B$8:$B$5007,MATCH('My investments'!$B138,'Index history'!$A$8:$A$5007,1)),"")))</f>
        <v/>
      </c>
      <c r="AM138" s="3">
        <f>IF($AL138="",0,IF('My investments'!$D138="",0,IF('My investments'!$C138="Money in",'My investments'!$D138/$AL138,IF('My investments'!$C138="Money out",-'My investments'!$D138/$AL138,0))))</f>
        <v>0</v>
      </c>
    </row>
    <row r="139">
      <c r="X139" s="3">
        <f>IF('My investments'!$B139="",0,IF('My investments'!$E139="",0,'My investments'!$E139))</f>
        <v>0</v>
      </c>
      <c r="Y139" s="25">
        <f>IF('My investments'!$B139="",$D$8,'My investments'!$B139)</f>
        <v>0</v>
      </c>
      <c r="Z139" s="3">
        <f>IF('My investments'!$C139="Worth today",0,$X139)</f>
        <v>0</v>
      </c>
      <c r="AA139" s="3">
        <f>IF('My investments'!$H$15="",0,IF('My investments'!$F139='My investments'!$H$15,$X139,0))</f>
        <v>0</v>
      </c>
      <c r="AB139" s="3">
        <f>IF('My investments'!$H$16="",0,IF('My investments'!$F139='My investments'!$H$16,$X139,0))</f>
        <v>0</v>
      </c>
      <c r="AC139" s="3">
        <f>IF('My investments'!$H$17="",0,IF('My investments'!$F139='My investments'!$H$17,$X139,0))</f>
        <v>0</v>
      </c>
      <c r="AD139" s="3">
        <f>IF('My investments'!$H$18="",0,IF('My investments'!$F139='My investments'!$H$18,$X139,0))</f>
        <v>0</v>
      </c>
      <c r="AE139" s="3">
        <f>IF('My investments'!$H$19="",0,IF('My investments'!$F139='My investments'!$H$19,$X139,0))</f>
        <v>0</v>
      </c>
      <c r="AF139" s="3">
        <f>IF('My investments'!$H$20="",0,IF('My investments'!$F139='My investments'!$H$20,$X139,0))</f>
        <v>0</v>
      </c>
      <c r="AG139" s="3">
        <f>IF('My investments'!$H$21="",0,IF('My investments'!$F139='My investments'!$H$21,$X139,0))</f>
        <v>0</v>
      </c>
      <c r="AH139" s="3">
        <f>IF('My investments'!$H$22="",0,IF('My investments'!$F139='My investments'!$H$22,$X139,0))</f>
        <v>0</v>
      </c>
      <c r="AI139" s="3">
        <f>IF('My investments'!$H$23="",0,IF('My investments'!$F139='My investments'!$H$23,$X139,0))</f>
        <v>0</v>
      </c>
      <c r="AJ139" s="3">
        <f>IF('My investments'!$H$24="",0,IF('My investments'!$F139='My investments'!$H$24,$X139,0))</f>
        <v>0</v>
      </c>
      <c r="AL139" s="3" t="str">
        <f>IF('My investments'!$B139="","",IF($D$10=0,"",IFERROR(INDEX('Index history'!$B$8:$B$5007,MATCH('My investments'!$B139,'Index history'!$A$8:$A$5007,1)),"")))</f>
        <v/>
      </c>
      <c r="AM139" s="3">
        <f>IF($AL139="",0,IF('My investments'!$D139="",0,IF('My investments'!$C139="Money in",'My investments'!$D139/$AL139,IF('My investments'!$C139="Money out",-'My investments'!$D139/$AL139,0))))</f>
        <v>0</v>
      </c>
    </row>
    <row r="140">
      <c r="X140" s="3">
        <f>IF('My investments'!$B140="",0,IF('My investments'!$E140="",0,'My investments'!$E140))</f>
        <v>0</v>
      </c>
      <c r="Y140" s="25">
        <f>IF('My investments'!$B140="",$D$8,'My investments'!$B140)</f>
        <v>0</v>
      </c>
      <c r="Z140" s="3">
        <f>IF('My investments'!$C140="Worth today",0,$X140)</f>
        <v>0</v>
      </c>
      <c r="AA140" s="3">
        <f>IF('My investments'!$H$15="",0,IF('My investments'!$F140='My investments'!$H$15,$X140,0))</f>
        <v>0</v>
      </c>
      <c r="AB140" s="3">
        <f>IF('My investments'!$H$16="",0,IF('My investments'!$F140='My investments'!$H$16,$X140,0))</f>
        <v>0</v>
      </c>
      <c r="AC140" s="3">
        <f>IF('My investments'!$H$17="",0,IF('My investments'!$F140='My investments'!$H$17,$X140,0))</f>
        <v>0</v>
      </c>
      <c r="AD140" s="3">
        <f>IF('My investments'!$H$18="",0,IF('My investments'!$F140='My investments'!$H$18,$X140,0))</f>
        <v>0</v>
      </c>
      <c r="AE140" s="3">
        <f>IF('My investments'!$H$19="",0,IF('My investments'!$F140='My investments'!$H$19,$X140,0))</f>
        <v>0</v>
      </c>
      <c r="AF140" s="3">
        <f>IF('My investments'!$H$20="",0,IF('My investments'!$F140='My investments'!$H$20,$X140,0))</f>
        <v>0</v>
      </c>
      <c r="AG140" s="3">
        <f>IF('My investments'!$H$21="",0,IF('My investments'!$F140='My investments'!$H$21,$X140,0))</f>
        <v>0</v>
      </c>
      <c r="AH140" s="3">
        <f>IF('My investments'!$H$22="",0,IF('My investments'!$F140='My investments'!$H$22,$X140,0))</f>
        <v>0</v>
      </c>
      <c r="AI140" s="3">
        <f>IF('My investments'!$H$23="",0,IF('My investments'!$F140='My investments'!$H$23,$X140,0))</f>
        <v>0</v>
      </c>
      <c r="AJ140" s="3">
        <f>IF('My investments'!$H$24="",0,IF('My investments'!$F140='My investments'!$H$24,$X140,0))</f>
        <v>0</v>
      </c>
      <c r="AL140" s="3" t="str">
        <f>IF('My investments'!$B140="","",IF($D$10=0,"",IFERROR(INDEX('Index history'!$B$8:$B$5007,MATCH('My investments'!$B140,'Index history'!$A$8:$A$5007,1)),"")))</f>
        <v/>
      </c>
      <c r="AM140" s="3">
        <f>IF($AL140="",0,IF('My investments'!$D140="",0,IF('My investments'!$C140="Money in",'My investments'!$D140/$AL140,IF('My investments'!$C140="Money out",-'My investments'!$D140/$AL140,0))))</f>
        <v>0</v>
      </c>
    </row>
    <row r="141">
      <c r="X141" s="3">
        <f>IF('My investments'!$B141="",0,IF('My investments'!$E141="",0,'My investments'!$E141))</f>
        <v>0</v>
      </c>
      <c r="Y141" s="25">
        <f>IF('My investments'!$B141="",$D$8,'My investments'!$B141)</f>
        <v>0</v>
      </c>
      <c r="Z141" s="3">
        <f>IF('My investments'!$C141="Worth today",0,$X141)</f>
        <v>0</v>
      </c>
      <c r="AA141" s="3">
        <f>IF('My investments'!$H$15="",0,IF('My investments'!$F141='My investments'!$H$15,$X141,0))</f>
        <v>0</v>
      </c>
      <c r="AB141" s="3">
        <f>IF('My investments'!$H$16="",0,IF('My investments'!$F141='My investments'!$H$16,$X141,0))</f>
        <v>0</v>
      </c>
      <c r="AC141" s="3">
        <f>IF('My investments'!$H$17="",0,IF('My investments'!$F141='My investments'!$H$17,$X141,0))</f>
        <v>0</v>
      </c>
      <c r="AD141" s="3">
        <f>IF('My investments'!$H$18="",0,IF('My investments'!$F141='My investments'!$H$18,$X141,0))</f>
        <v>0</v>
      </c>
      <c r="AE141" s="3">
        <f>IF('My investments'!$H$19="",0,IF('My investments'!$F141='My investments'!$H$19,$X141,0))</f>
        <v>0</v>
      </c>
      <c r="AF141" s="3">
        <f>IF('My investments'!$H$20="",0,IF('My investments'!$F141='My investments'!$H$20,$X141,0))</f>
        <v>0</v>
      </c>
      <c r="AG141" s="3">
        <f>IF('My investments'!$H$21="",0,IF('My investments'!$F141='My investments'!$H$21,$X141,0))</f>
        <v>0</v>
      </c>
      <c r="AH141" s="3">
        <f>IF('My investments'!$H$22="",0,IF('My investments'!$F141='My investments'!$H$22,$X141,0))</f>
        <v>0</v>
      </c>
      <c r="AI141" s="3">
        <f>IF('My investments'!$H$23="",0,IF('My investments'!$F141='My investments'!$H$23,$X141,0))</f>
        <v>0</v>
      </c>
      <c r="AJ141" s="3">
        <f>IF('My investments'!$H$24="",0,IF('My investments'!$F141='My investments'!$H$24,$X141,0))</f>
        <v>0</v>
      </c>
      <c r="AL141" s="3" t="str">
        <f>IF('My investments'!$B141="","",IF($D$10=0,"",IFERROR(INDEX('Index history'!$B$8:$B$5007,MATCH('My investments'!$B141,'Index history'!$A$8:$A$5007,1)),"")))</f>
        <v/>
      </c>
      <c r="AM141" s="3">
        <f>IF($AL141="",0,IF('My investments'!$D141="",0,IF('My investments'!$C141="Money in",'My investments'!$D141/$AL141,IF('My investments'!$C141="Money out",-'My investments'!$D141/$AL141,0))))</f>
        <v>0</v>
      </c>
    </row>
    <row r="142">
      <c r="X142" s="3">
        <f>IF('My investments'!$B142="",0,IF('My investments'!$E142="",0,'My investments'!$E142))</f>
        <v>0</v>
      </c>
      <c r="Y142" s="25">
        <f>IF('My investments'!$B142="",$D$8,'My investments'!$B142)</f>
        <v>0</v>
      </c>
      <c r="Z142" s="3">
        <f>IF('My investments'!$C142="Worth today",0,$X142)</f>
        <v>0</v>
      </c>
      <c r="AA142" s="3">
        <f>IF('My investments'!$H$15="",0,IF('My investments'!$F142='My investments'!$H$15,$X142,0))</f>
        <v>0</v>
      </c>
      <c r="AB142" s="3">
        <f>IF('My investments'!$H$16="",0,IF('My investments'!$F142='My investments'!$H$16,$X142,0))</f>
        <v>0</v>
      </c>
      <c r="AC142" s="3">
        <f>IF('My investments'!$H$17="",0,IF('My investments'!$F142='My investments'!$H$17,$X142,0))</f>
        <v>0</v>
      </c>
      <c r="AD142" s="3">
        <f>IF('My investments'!$H$18="",0,IF('My investments'!$F142='My investments'!$H$18,$X142,0))</f>
        <v>0</v>
      </c>
      <c r="AE142" s="3">
        <f>IF('My investments'!$H$19="",0,IF('My investments'!$F142='My investments'!$H$19,$X142,0))</f>
        <v>0</v>
      </c>
      <c r="AF142" s="3">
        <f>IF('My investments'!$H$20="",0,IF('My investments'!$F142='My investments'!$H$20,$X142,0))</f>
        <v>0</v>
      </c>
      <c r="AG142" s="3">
        <f>IF('My investments'!$H$21="",0,IF('My investments'!$F142='My investments'!$H$21,$X142,0))</f>
        <v>0</v>
      </c>
      <c r="AH142" s="3">
        <f>IF('My investments'!$H$22="",0,IF('My investments'!$F142='My investments'!$H$22,$X142,0))</f>
        <v>0</v>
      </c>
      <c r="AI142" s="3">
        <f>IF('My investments'!$H$23="",0,IF('My investments'!$F142='My investments'!$H$23,$X142,0))</f>
        <v>0</v>
      </c>
      <c r="AJ142" s="3">
        <f>IF('My investments'!$H$24="",0,IF('My investments'!$F142='My investments'!$H$24,$X142,0))</f>
        <v>0</v>
      </c>
      <c r="AL142" s="3" t="str">
        <f>IF('My investments'!$B142="","",IF($D$10=0,"",IFERROR(INDEX('Index history'!$B$8:$B$5007,MATCH('My investments'!$B142,'Index history'!$A$8:$A$5007,1)),"")))</f>
        <v/>
      </c>
      <c r="AM142" s="3">
        <f>IF($AL142="",0,IF('My investments'!$D142="",0,IF('My investments'!$C142="Money in",'My investments'!$D142/$AL142,IF('My investments'!$C142="Money out",-'My investments'!$D142/$AL142,0))))</f>
        <v>0</v>
      </c>
    </row>
    <row r="143">
      <c r="X143" s="3">
        <f>IF('My investments'!$B143="",0,IF('My investments'!$E143="",0,'My investments'!$E143))</f>
        <v>0</v>
      </c>
      <c r="Y143" s="25">
        <f>IF('My investments'!$B143="",$D$8,'My investments'!$B143)</f>
        <v>0</v>
      </c>
      <c r="Z143" s="3">
        <f>IF('My investments'!$C143="Worth today",0,$X143)</f>
        <v>0</v>
      </c>
      <c r="AA143" s="3">
        <f>IF('My investments'!$H$15="",0,IF('My investments'!$F143='My investments'!$H$15,$X143,0))</f>
        <v>0</v>
      </c>
      <c r="AB143" s="3">
        <f>IF('My investments'!$H$16="",0,IF('My investments'!$F143='My investments'!$H$16,$X143,0))</f>
        <v>0</v>
      </c>
      <c r="AC143" s="3">
        <f>IF('My investments'!$H$17="",0,IF('My investments'!$F143='My investments'!$H$17,$X143,0))</f>
        <v>0</v>
      </c>
      <c r="AD143" s="3">
        <f>IF('My investments'!$H$18="",0,IF('My investments'!$F143='My investments'!$H$18,$X143,0))</f>
        <v>0</v>
      </c>
      <c r="AE143" s="3">
        <f>IF('My investments'!$H$19="",0,IF('My investments'!$F143='My investments'!$H$19,$X143,0))</f>
        <v>0</v>
      </c>
      <c r="AF143" s="3">
        <f>IF('My investments'!$H$20="",0,IF('My investments'!$F143='My investments'!$H$20,$X143,0))</f>
        <v>0</v>
      </c>
      <c r="AG143" s="3">
        <f>IF('My investments'!$H$21="",0,IF('My investments'!$F143='My investments'!$H$21,$X143,0))</f>
        <v>0</v>
      </c>
      <c r="AH143" s="3">
        <f>IF('My investments'!$H$22="",0,IF('My investments'!$F143='My investments'!$H$22,$X143,0))</f>
        <v>0</v>
      </c>
      <c r="AI143" s="3">
        <f>IF('My investments'!$H$23="",0,IF('My investments'!$F143='My investments'!$H$23,$X143,0))</f>
        <v>0</v>
      </c>
      <c r="AJ143" s="3">
        <f>IF('My investments'!$H$24="",0,IF('My investments'!$F143='My investments'!$H$24,$X143,0))</f>
        <v>0</v>
      </c>
      <c r="AL143" s="3" t="str">
        <f>IF('My investments'!$B143="","",IF($D$10=0,"",IFERROR(INDEX('Index history'!$B$8:$B$5007,MATCH('My investments'!$B143,'Index history'!$A$8:$A$5007,1)),"")))</f>
        <v/>
      </c>
      <c r="AM143" s="3">
        <f>IF($AL143="",0,IF('My investments'!$D143="",0,IF('My investments'!$C143="Money in",'My investments'!$D143/$AL143,IF('My investments'!$C143="Money out",-'My investments'!$D143/$AL143,0))))</f>
        <v>0</v>
      </c>
    </row>
    <row r="144">
      <c r="X144" s="3">
        <f>IF('My investments'!$B144="",0,IF('My investments'!$E144="",0,'My investments'!$E144))</f>
        <v>0</v>
      </c>
      <c r="Y144" s="25">
        <f>IF('My investments'!$B144="",$D$8,'My investments'!$B144)</f>
        <v>0</v>
      </c>
      <c r="Z144" s="3">
        <f>IF('My investments'!$C144="Worth today",0,$X144)</f>
        <v>0</v>
      </c>
      <c r="AA144" s="3">
        <f>IF('My investments'!$H$15="",0,IF('My investments'!$F144='My investments'!$H$15,$X144,0))</f>
        <v>0</v>
      </c>
      <c r="AB144" s="3">
        <f>IF('My investments'!$H$16="",0,IF('My investments'!$F144='My investments'!$H$16,$X144,0))</f>
        <v>0</v>
      </c>
      <c r="AC144" s="3">
        <f>IF('My investments'!$H$17="",0,IF('My investments'!$F144='My investments'!$H$17,$X144,0))</f>
        <v>0</v>
      </c>
      <c r="AD144" s="3">
        <f>IF('My investments'!$H$18="",0,IF('My investments'!$F144='My investments'!$H$18,$X144,0))</f>
        <v>0</v>
      </c>
      <c r="AE144" s="3">
        <f>IF('My investments'!$H$19="",0,IF('My investments'!$F144='My investments'!$H$19,$X144,0))</f>
        <v>0</v>
      </c>
      <c r="AF144" s="3">
        <f>IF('My investments'!$H$20="",0,IF('My investments'!$F144='My investments'!$H$20,$X144,0))</f>
        <v>0</v>
      </c>
      <c r="AG144" s="3">
        <f>IF('My investments'!$H$21="",0,IF('My investments'!$F144='My investments'!$H$21,$X144,0))</f>
        <v>0</v>
      </c>
      <c r="AH144" s="3">
        <f>IF('My investments'!$H$22="",0,IF('My investments'!$F144='My investments'!$H$22,$X144,0))</f>
        <v>0</v>
      </c>
      <c r="AI144" s="3">
        <f>IF('My investments'!$H$23="",0,IF('My investments'!$F144='My investments'!$H$23,$X144,0))</f>
        <v>0</v>
      </c>
      <c r="AJ144" s="3">
        <f>IF('My investments'!$H$24="",0,IF('My investments'!$F144='My investments'!$H$24,$X144,0))</f>
        <v>0</v>
      </c>
      <c r="AL144" s="3" t="str">
        <f>IF('My investments'!$B144="","",IF($D$10=0,"",IFERROR(INDEX('Index history'!$B$8:$B$5007,MATCH('My investments'!$B144,'Index history'!$A$8:$A$5007,1)),"")))</f>
        <v/>
      </c>
      <c r="AM144" s="3">
        <f>IF($AL144="",0,IF('My investments'!$D144="",0,IF('My investments'!$C144="Money in",'My investments'!$D144/$AL144,IF('My investments'!$C144="Money out",-'My investments'!$D144/$AL144,0))))</f>
        <v>0</v>
      </c>
    </row>
    <row r="145">
      <c r="X145" s="3">
        <f>IF('My investments'!$B145="",0,IF('My investments'!$E145="",0,'My investments'!$E145))</f>
        <v>0</v>
      </c>
      <c r="Y145" s="25">
        <f>IF('My investments'!$B145="",$D$8,'My investments'!$B145)</f>
        <v>0</v>
      </c>
      <c r="Z145" s="3">
        <f>IF('My investments'!$C145="Worth today",0,$X145)</f>
        <v>0</v>
      </c>
      <c r="AA145" s="3">
        <f>IF('My investments'!$H$15="",0,IF('My investments'!$F145='My investments'!$H$15,$X145,0))</f>
        <v>0</v>
      </c>
      <c r="AB145" s="3">
        <f>IF('My investments'!$H$16="",0,IF('My investments'!$F145='My investments'!$H$16,$X145,0))</f>
        <v>0</v>
      </c>
      <c r="AC145" s="3">
        <f>IF('My investments'!$H$17="",0,IF('My investments'!$F145='My investments'!$H$17,$X145,0))</f>
        <v>0</v>
      </c>
      <c r="AD145" s="3">
        <f>IF('My investments'!$H$18="",0,IF('My investments'!$F145='My investments'!$H$18,$X145,0))</f>
        <v>0</v>
      </c>
      <c r="AE145" s="3">
        <f>IF('My investments'!$H$19="",0,IF('My investments'!$F145='My investments'!$H$19,$X145,0))</f>
        <v>0</v>
      </c>
      <c r="AF145" s="3">
        <f>IF('My investments'!$H$20="",0,IF('My investments'!$F145='My investments'!$H$20,$X145,0))</f>
        <v>0</v>
      </c>
      <c r="AG145" s="3">
        <f>IF('My investments'!$H$21="",0,IF('My investments'!$F145='My investments'!$H$21,$X145,0))</f>
        <v>0</v>
      </c>
      <c r="AH145" s="3">
        <f>IF('My investments'!$H$22="",0,IF('My investments'!$F145='My investments'!$H$22,$X145,0))</f>
        <v>0</v>
      </c>
      <c r="AI145" s="3">
        <f>IF('My investments'!$H$23="",0,IF('My investments'!$F145='My investments'!$H$23,$X145,0))</f>
        <v>0</v>
      </c>
      <c r="AJ145" s="3">
        <f>IF('My investments'!$H$24="",0,IF('My investments'!$F145='My investments'!$H$24,$X145,0))</f>
        <v>0</v>
      </c>
      <c r="AL145" s="3" t="str">
        <f>IF('My investments'!$B145="","",IF($D$10=0,"",IFERROR(INDEX('Index history'!$B$8:$B$5007,MATCH('My investments'!$B145,'Index history'!$A$8:$A$5007,1)),"")))</f>
        <v/>
      </c>
      <c r="AM145" s="3">
        <f>IF($AL145="",0,IF('My investments'!$D145="",0,IF('My investments'!$C145="Money in",'My investments'!$D145/$AL145,IF('My investments'!$C145="Money out",-'My investments'!$D145/$AL145,0))))</f>
        <v>0</v>
      </c>
    </row>
    <row r="146">
      <c r="X146" s="3">
        <f>IF('My investments'!$B146="",0,IF('My investments'!$E146="",0,'My investments'!$E146))</f>
        <v>0</v>
      </c>
      <c r="Y146" s="25">
        <f>IF('My investments'!$B146="",$D$8,'My investments'!$B146)</f>
        <v>0</v>
      </c>
      <c r="Z146" s="3">
        <f>IF('My investments'!$C146="Worth today",0,$X146)</f>
        <v>0</v>
      </c>
      <c r="AA146" s="3">
        <f>IF('My investments'!$H$15="",0,IF('My investments'!$F146='My investments'!$H$15,$X146,0))</f>
        <v>0</v>
      </c>
      <c r="AB146" s="3">
        <f>IF('My investments'!$H$16="",0,IF('My investments'!$F146='My investments'!$H$16,$X146,0))</f>
        <v>0</v>
      </c>
      <c r="AC146" s="3">
        <f>IF('My investments'!$H$17="",0,IF('My investments'!$F146='My investments'!$H$17,$X146,0))</f>
        <v>0</v>
      </c>
      <c r="AD146" s="3">
        <f>IF('My investments'!$H$18="",0,IF('My investments'!$F146='My investments'!$H$18,$X146,0))</f>
        <v>0</v>
      </c>
      <c r="AE146" s="3">
        <f>IF('My investments'!$H$19="",0,IF('My investments'!$F146='My investments'!$H$19,$X146,0))</f>
        <v>0</v>
      </c>
      <c r="AF146" s="3">
        <f>IF('My investments'!$H$20="",0,IF('My investments'!$F146='My investments'!$H$20,$X146,0))</f>
        <v>0</v>
      </c>
      <c r="AG146" s="3">
        <f>IF('My investments'!$H$21="",0,IF('My investments'!$F146='My investments'!$H$21,$X146,0))</f>
        <v>0</v>
      </c>
      <c r="AH146" s="3">
        <f>IF('My investments'!$H$22="",0,IF('My investments'!$F146='My investments'!$H$22,$X146,0))</f>
        <v>0</v>
      </c>
      <c r="AI146" s="3">
        <f>IF('My investments'!$H$23="",0,IF('My investments'!$F146='My investments'!$H$23,$X146,0))</f>
        <v>0</v>
      </c>
      <c r="AJ146" s="3">
        <f>IF('My investments'!$H$24="",0,IF('My investments'!$F146='My investments'!$H$24,$X146,0))</f>
        <v>0</v>
      </c>
      <c r="AL146" s="3" t="str">
        <f>IF('My investments'!$B146="","",IF($D$10=0,"",IFERROR(INDEX('Index history'!$B$8:$B$5007,MATCH('My investments'!$B146,'Index history'!$A$8:$A$5007,1)),"")))</f>
        <v/>
      </c>
      <c r="AM146" s="3">
        <f>IF($AL146="",0,IF('My investments'!$D146="",0,IF('My investments'!$C146="Money in",'My investments'!$D146/$AL146,IF('My investments'!$C146="Money out",-'My investments'!$D146/$AL146,0))))</f>
        <v>0</v>
      </c>
    </row>
    <row r="147">
      <c r="X147" s="3">
        <f>IF('My investments'!$B147="",0,IF('My investments'!$E147="",0,'My investments'!$E147))</f>
        <v>0</v>
      </c>
      <c r="Y147" s="25">
        <f>IF('My investments'!$B147="",$D$8,'My investments'!$B147)</f>
        <v>0</v>
      </c>
      <c r="Z147" s="3">
        <f>IF('My investments'!$C147="Worth today",0,$X147)</f>
        <v>0</v>
      </c>
      <c r="AA147" s="3">
        <f>IF('My investments'!$H$15="",0,IF('My investments'!$F147='My investments'!$H$15,$X147,0))</f>
        <v>0</v>
      </c>
      <c r="AB147" s="3">
        <f>IF('My investments'!$H$16="",0,IF('My investments'!$F147='My investments'!$H$16,$X147,0))</f>
        <v>0</v>
      </c>
      <c r="AC147" s="3">
        <f>IF('My investments'!$H$17="",0,IF('My investments'!$F147='My investments'!$H$17,$X147,0))</f>
        <v>0</v>
      </c>
      <c r="AD147" s="3">
        <f>IF('My investments'!$H$18="",0,IF('My investments'!$F147='My investments'!$H$18,$X147,0))</f>
        <v>0</v>
      </c>
      <c r="AE147" s="3">
        <f>IF('My investments'!$H$19="",0,IF('My investments'!$F147='My investments'!$H$19,$X147,0))</f>
        <v>0</v>
      </c>
      <c r="AF147" s="3">
        <f>IF('My investments'!$H$20="",0,IF('My investments'!$F147='My investments'!$H$20,$X147,0))</f>
        <v>0</v>
      </c>
      <c r="AG147" s="3">
        <f>IF('My investments'!$H$21="",0,IF('My investments'!$F147='My investments'!$H$21,$X147,0))</f>
        <v>0</v>
      </c>
      <c r="AH147" s="3">
        <f>IF('My investments'!$H$22="",0,IF('My investments'!$F147='My investments'!$H$22,$X147,0))</f>
        <v>0</v>
      </c>
      <c r="AI147" s="3">
        <f>IF('My investments'!$H$23="",0,IF('My investments'!$F147='My investments'!$H$23,$X147,0))</f>
        <v>0</v>
      </c>
      <c r="AJ147" s="3">
        <f>IF('My investments'!$H$24="",0,IF('My investments'!$F147='My investments'!$H$24,$X147,0))</f>
        <v>0</v>
      </c>
      <c r="AL147" s="3" t="str">
        <f>IF('My investments'!$B147="","",IF($D$10=0,"",IFERROR(INDEX('Index history'!$B$8:$B$5007,MATCH('My investments'!$B147,'Index history'!$A$8:$A$5007,1)),"")))</f>
        <v/>
      </c>
      <c r="AM147" s="3">
        <f>IF($AL147="",0,IF('My investments'!$D147="",0,IF('My investments'!$C147="Money in",'My investments'!$D147/$AL147,IF('My investments'!$C147="Money out",-'My investments'!$D147/$AL147,0))))</f>
        <v>0</v>
      </c>
    </row>
    <row r="148">
      <c r="X148" s="3">
        <f>IF('My investments'!$B148="",0,IF('My investments'!$E148="",0,'My investments'!$E148))</f>
        <v>0</v>
      </c>
      <c r="Y148" s="25">
        <f>IF('My investments'!$B148="",$D$8,'My investments'!$B148)</f>
        <v>0</v>
      </c>
      <c r="Z148" s="3">
        <f>IF('My investments'!$C148="Worth today",0,$X148)</f>
        <v>0</v>
      </c>
      <c r="AA148" s="3">
        <f>IF('My investments'!$H$15="",0,IF('My investments'!$F148='My investments'!$H$15,$X148,0))</f>
        <v>0</v>
      </c>
      <c r="AB148" s="3">
        <f>IF('My investments'!$H$16="",0,IF('My investments'!$F148='My investments'!$H$16,$X148,0))</f>
        <v>0</v>
      </c>
      <c r="AC148" s="3">
        <f>IF('My investments'!$H$17="",0,IF('My investments'!$F148='My investments'!$H$17,$X148,0))</f>
        <v>0</v>
      </c>
      <c r="AD148" s="3">
        <f>IF('My investments'!$H$18="",0,IF('My investments'!$F148='My investments'!$H$18,$X148,0))</f>
        <v>0</v>
      </c>
      <c r="AE148" s="3">
        <f>IF('My investments'!$H$19="",0,IF('My investments'!$F148='My investments'!$H$19,$X148,0))</f>
        <v>0</v>
      </c>
      <c r="AF148" s="3">
        <f>IF('My investments'!$H$20="",0,IF('My investments'!$F148='My investments'!$H$20,$X148,0))</f>
        <v>0</v>
      </c>
      <c r="AG148" s="3">
        <f>IF('My investments'!$H$21="",0,IF('My investments'!$F148='My investments'!$H$21,$X148,0))</f>
        <v>0</v>
      </c>
      <c r="AH148" s="3">
        <f>IF('My investments'!$H$22="",0,IF('My investments'!$F148='My investments'!$H$22,$X148,0))</f>
        <v>0</v>
      </c>
      <c r="AI148" s="3">
        <f>IF('My investments'!$H$23="",0,IF('My investments'!$F148='My investments'!$H$23,$X148,0))</f>
        <v>0</v>
      </c>
      <c r="AJ148" s="3">
        <f>IF('My investments'!$H$24="",0,IF('My investments'!$F148='My investments'!$H$24,$X148,0))</f>
        <v>0</v>
      </c>
      <c r="AL148" s="3" t="str">
        <f>IF('My investments'!$B148="","",IF($D$10=0,"",IFERROR(INDEX('Index history'!$B$8:$B$5007,MATCH('My investments'!$B148,'Index history'!$A$8:$A$5007,1)),"")))</f>
        <v/>
      </c>
      <c r="AM148" s="3">
        <f>IF($AL148="",0,IF('My investments'!$D148="",0,IF('My investments'!$C148="Money in",'My investments'!$D148/$AL148,IF('My investments'!$C148="Money out",-'My investments'!$D148/$AL148,0))))</f>
        <v>0</v>
      </c>
    </row>
    <row r="149">
      <c r="X149" s="3">
        <f>IF('My investments'!$B149="",0,IF('My investments'!$E149="",0,'My investments'!$E149))</f>
        <v>0</v>
      </c>
      <c r="Y149" s="25">
        <f>IF('My investments'!$B149="",$D$8,'My investments'!$B149)</f>
        <v>0</v>
      </c>
      <c r="Z149" s="3">
        <f>IF('My investments'!$C149="Worth today",0,$X149)</f>
        <v>0</v>
      </c>
      <c r="AA149" s="3">
        <f>IF('My investments'!$H$15="",0,IF('My investments'!$F149='My investments'!$H$15,$X149,0))</f>
        <v>0</v>
      </c>
      <c r="AB149" s="3">
        <f>IF('My investments'!$H$16="",0,IF('My investments'!$F149='My investments'!$H$16,$X149,0))</f>
        <v>0</v>
      </c>
      <c r="AC149" s="3">
        <f>IF('My investments'!$H$17="",0,IF('My investments'!$F149='My investments'!$H$17,$X149,0))</f>
        <v>0</v>
      </c>
      <c r="AD149" s="3">
        <f>IF('My investments'!$H$18="",0,IF('My investments'!$F149='My investments'!$H$18,$X149,0))</f>
        <v>0</v>
      </c>
      <c r="AE149" s="3">
        <f>IF('My investments'!$H$19="",0,IF('My investments'!$F149='My investments'!$H$19,$X149,0))</f>
        <v>0</v>
      </c>
      <c r="AF149" s="3">
        <f>IF('My investments'!$H$20="",0,IF('My investments'!$F149='My investments'!$H$20,$X149,0))</f>
        <v>0</v>
      </c>
      <c r="AG149" s="3">
        <f>IF('My investments'!$H$21="",0,IF('My investments'!$F149='My investments'!$H$21,$X149,0))</f>
        <v>0</v>
      </c>
      <c r="AH149" s="3">
        <f>IF('My investments'!$H$22="",0,IF('My investments'!$F149='My investments'!$H$22,$X149,0))</f>
        <v>0</v>
      </c>
      <c r="AI149" s="3">
        <f>IF('My investments'!$H$23="",0,IF('My investments'!$F149='My investments'!$H$23,$X149,0))</f>
        <v>0</v>
      </c>
      <c r="AJ149" s="3">
        <f>IF('My investments'!$H$24="",0,IF('My investments'!$F149='My investments'!$H$24,$X149,0))</f>
        <v>0</v>
      </c>
      <c r="AL149" s="3" t="str">
        <f>IF('My investments'!$B149="","",IF($D$10=0,"",IFERROR(INDEX('Index history'!$B$8:$B$5007,MATCH('My investments'!$B149,'Index history'!$A$8:$A$5007,1)),"")))</f>
        <v/>
      </c>
      <c r="AM149" s="3">
        <f>IF($AL149="",0,IF('My investments'!$D149="",0,IF('My investments'!$C149="Money in",'My investments'!$D149/$AL149,IF('My investments'!$C149="Money out",-'My investments'!$D149/$AL149,0))))</f>
        <v>0</v>
      </c>
    </row>
    <row r="150">
      <c r="X150" s="3">
        <f>IF('My investments'!$B150="",0,IF('My investments'!$E150="",0,'My investments'!$E150))</f>
        <v>0</v>
      </c>
      <c r="Y150" s="25">
        <f>IF('My investments'!$B150="",$D$8,'My investments'!$B150)</f>
        <v>0</v>
      </c>
      <c r="Z150" s="3">
        <f>IF('My investments'!$C150="Worth today",0,$X150)</f>
        <v>0</v>
      </c>
      <c r="AA150" s="3">
        <f>IF('My investments'!$H$15="",0,IF('My investments'!$F150='My investments'!$H$15,$X150,0))</f>
        <v>0</v>
      </c>
      <c r="AB150" s="3">
        <f>IF('My investments'!$H$16="",0,IF('My investments'!$F150='My investments'!$H$16,$X150,0))</f>
        <v>0</v>
      </c>
      <c r="AC150" s="3">
        <f>IF('My investments'!$H$17="",0,IF('My investments'!$F150='My investments'!$H$17,$X150,0))</f>
        <v>0</v>
      </c>
      <c r="AD150" s="3">
        <f>IF('My investments'!$H$18="",0,IF('My investments'!$F150='My investments'!$H$18,$X150,0))</f>
        <v>0</v>
      </c>
      <c r="AE150" s="3">
        <f>IF('My investments'!$H$19="",0,IF('My investments'!$F150='My investments'!$H$19,$X150,0))</f>
        <v>0</v>
      </c>
      <c r="AF150" s="3">
        <f>IF('My investments'!$H$20="",0,IF('My investments'!$F150='My investments'!$H$20,$X150,0))</f>
        <v>0</v>
      </c>
      <c r="AG150" s="3">
        <f>IF('My investments'!$H$21="",0,IF('My investments'!$F150='My investments'!$H$21,$X150,0))</f>
        <v>0</v>
      </c>
      <c r="AH150" s="3">
        <f>IF('My investments'!$H$22="",0,IF('My investments'!$F150='My investments'!$H$22,$X150,0))</f>
        <v>0</v>
      </c>
      <c r="AI150" s="3">
        <f>IF('My investments'!$H$23="",0,IF('My investments'!$F150='My investments'!$H$23,$X150,0))</f>
        <v>0</v>
      </c>
      <c r="AJ150" s="3">
        <f>IF('My investments'!$H$24="",0,IF('My investments'!$F150='My investments'!$H$24,$X150,0))</f>
        <v>0</v>
      </c>
      <c r="AL150" s="3" t="str">
        <f>IF('My investments'!$B150="","",IF($D$10=0,"",IFERROR(INDEX('Index history'!$B$8:$B$5007,MATCH('My investments'!$B150,'Index history'!$A$8:$A$5007,1)),"")))</f>
        <v/>
      </c>
      <c r="AM150" s="3">
        <f>IF($AL150="",0,IF('My investments'!$D150="",0,IF('My investments'!$C150="Money in",'My investments'!$D150/$AL150,IF('My investments'!$C150="Money out",-'My investments'!$D150/$AL150,0))))</f>
        <v>0</v>
      </c>
    </row>
    <row r="151">
      <c r="X151" s="3">
        <f>IF('My investments'!$B151="",0,IF('My investments'!$E151="",0,'My investments'!$E151))</f>
        <v>0</v>
      </c>
      <c r="Y151" s="25">
        <f>IF('My investments'!$B151="",$D$8,'My investments'!$B151)</f>
        <v>0</v>
      </c>
      <c r="Z151" s="3">
        <f>IF('My investments'!$C151="Worth today",0,$X151)</f>
        <v>0</v>
      </c>
      <c r="AA151" s="3">
        <f>IF('My investments'!$H$15="",0,IF('My investments'!$F151='My investments'!$H$15,$X151,0))</f>
        <v>0</v>
      </c>
      <c r="AB151" s="3">
        <f>IF('My investments'!$H$16="",0,IF('My investments'!$F151='My investments'!$H$16,$X151,0))</f>
        <v>0</v>
      </c>
      <c r="AC151" s="3">
        <f>IF('My investments'!$H$17="",0,IF('My investments'!$F151='My investments'!$H$17,$X151,0))</f>
        <v>0</v>
      </c>
      <c r="AD151" s="3">
        <f>IF('My investments'!$H$18="",0,IF('My investments'!$F151='My investments'!$H$18,$X151,0))</f>
        <v>0</v>
      </c>
      <c r="AE151" s="3">
        <f>IF('My investments'!$H$19="",0,IF('My investments'!$F151='My investments'!$H$19,$X151,0))</f>
        <v>0</v>
      </c>
      <c r="AF151" s="3">
        <f>IF('My investments'!$H$20="",0,IF('My investments'!$F151='My investments'!$H$20,$X151,0))</f>
        <v>0</v>
      </c>
      <c r="AG151" s="3">
        <f>IF('My investments'!$H$21="",0,IF('My investments'!$F151='My investments'!$H$21,$X151,0))</f>
        <v>0</v>
      </c>
      <c r="AH151" s="3">
        <f>IF('My investments'!$H$22="",0,IF('My investments'!$F151='My investments'!$H$22,$X151,0))</f>
        <v>0</v>
      </c>
      <c r="AI151" s="3">
        <f>IF('My investments'!$H$23="",0,IF('My investments'!$F151='My investments'!$H$23,$X151,0))</f>
        <v>0</v>
      </c>
      <c r="AJ151" s="3">
        <f>IF('My investments'!$H$24="",0,IF('My investments'!$F151='My investments'!$H$24,$X151,0))</f>
        <v>0</v>
      </c>
      <c r="AL151" s="3" t="str">
        <f>IF('My investments'!$B151="","",IF($D$10=0,"",IFERROR(INDEX('Index history'!$B$8:$B$5007,MATCH('My investments'!$B151,'Index history'!$A$8:$A$5007,1)),"")))</f>
        <v/>
      </c>
      <c r="AM151" s="3">
        <f>IF($AL151="",0,IF('My investments'!$D151="",0,IF('My investments'!$C151="Money in",'My investments'!$D151/$AL151,IF('My investments'!$C151="Money out",-'My investments'!$D151/$AL151,0))))</f>
        <v>0</v>
      </c>
    </row>
    <row r="152">
      <c r="X152" s="3">
        <f>IF('My investments'!$B152="",0,IF('My investments'!$E152="",0,'My investments'!$E152))</f>
        <v>0</v>
      </c>
      <c r="Y152" s="25">
        <f>IF('My investments'!$B152="",$D$8,'My investments'!$B152)</f>
        <v>0</v>
      </c>
      <c r="Z152" s="3">
        <f>IF('My investments'!$C152="Worth today",0,$X152)</f>
        <v>0</v>
      </c>
      <c r="AA152" s="3">
        <f>IF('My investments'!$H$15="",0,IF('My investments'!$F152='My investments'!$H$15,$X152,0))</f>
        <v>0</v>
      </c>
      <c r="AB152" s="3">
        <f>IF('My investments'!$H$16="",0,IF('My investments'!$F152='My investments'!$H$16,$X152,0))</f>
        <v>0</v>
      </c>
      <c r="AC152" s="3">
        <f>IF('My investments'!$H$17="",0,IF('My investments'!$F152='My investments'!$H$17,$X152,0))</f>
        <v>0</v>
      </c>
      <c r="AD152" s="3">
        <f>IF('My investments'!$H$18="",0,IF('My investments'!$F152='My investments'!$H$18,$X152,0))</f>
        <v>0</v>
      </c>
      <c r="AE152" s="3">
        <f>IF('My investments'!$H$19="",0,IF('My investments'!$F152='My investments'!$H$19,$X152,0))</f>
        <v>0</v>
      </c>
      <c r="AF152" s="3">
        <f>IF('My investments'!$H$20="",0,IF('My investments'!$F152='My investments'!$H$20,$X152,0))</f>
        <v>0</v>
      </c>
      <c r="AG152" s="3">
        <f>IF('My investments'!$H$21="",0,IF('My investments'!$F152='My investments'!$H$21,$X152,0))</f>
        <v>0</v>
      </c>
      <c r="AH152" s="3">
        <f>IF('My investments'!$H$22="",0,IF('My investments'!$F152='My investments'!$H$22,$X152,0))</f>
        <v>0</v>
      </c>
      <c r="AI152" s="3">
        <f>IF('My investments'!$H$23="",0,IF('My investments'!$F152='My investments'!$H$23,$X152,0))</f>
        <v>0</v>
      </c>
      <c r="AJ152" s="3">
        <f>IF('My investments'!$H$24="",0,IF('My investments'!$F152='My investments'!$H$24,$X152,0))</f>
        <v>0</v>
      </c>
      <c r="AL152" s="3" t="str">
        <f>IF('My investments'!$B152="","",IF($D$10=0,"",IFERROR(INDEX('Index history'!$B$8:$B$5007,MATCH('My investments'!$B152,'Index history'!$A$8:$A$5007,1)),"")))</f>
        <v/>
      </c>
      <c r="AM152" s="3">
        <f>IF($AL152="",0,IF('My investments'!$D152="",0,IF('My investments'!$C152="Money in",'My investments'!$D152/$AL152,IF('My investments'!$C152="Money out",-'My investments'!$D152/$AL152,0))))</f>
        <v>0</v>
      </c>
    </row>
    <row r="153">
      <c r="X153" s="3">
        <f>IF('My investments'!$B153="",0,IF('My investments'!$E153="",0,'My investments'!$E153))</f>
        <v>0</v>
      </c>
      <c r="Y153" s="25">
        <f>IF('My investments'!$B153="",$D$8,'My investments'!$B153)</f>
        <v>0</v>
      </c>
      <c r="Z153" s="3">
        <f>IF('My investments'!$C153="Worth today",0,$X153)</f>
        <v>0</v>
      </c>
      <c r="AA153" s="3">
        <f>IF('My investments'!$H$15="",0,IF('My investments'!$F153='My investments'!$H$15,$X153,0))</f>
        <v>0</v>
      </c>
      <c r="AB153" s="3">
        <f>IF('My investments'!$H$16="",0,IF('My investments'!$F153='My investments'!$H$16,$X153,0))</f>
        <v>0</v>
      </c>
      <c r="AC153" s="3">
        <f>IF('My investments'!$H$17="",0,IF('My investments'!$F153='My investments'!$H$17,$X153,0))</f>
        <v>0</v>
      </c>
      <c r="AD153" s="3">
        <f>IF('My investments'!$H$18="",0,IF('My investments'!$F153='My investments'!$H$18,$X153,0))</f>
        <v>0</v>
      </c>
      <c r="AE153" s="3">
        <f>IF('My investments'!$H$19="",0,IF('My investments'!$F153='My investments'!$H$19,$X153,0))</f>
        <v>0</v>
      </c>
      <c r="AF153" s="3">
        <f>IF('My investments'!$H$20="",0,IF('My investments'!$F153='My investments'!$H$20,$X153,0))</f>
        <v>0</v>
      </c>
      <c r="AG153" s="3">
        <f>IF('My investments'!$H$21="",0,IF('My investments'!$F153='My investments'!$H$21,$X153,0))</f>
        <v>0</v>
      </c>
      <c r="AH153" s="3">
        <f>IF('My investments'!$H$22="",0,IF('My investments'!$F153='My investments'!$H$22,$X153,0))</f>
        <v>0</v>
      </c>
      <c r="AI153" s="3">
        <f>IF('My investments'!$H$23="",0,IF('My investments'!$F153='My investments'!$H$23,$X153,0))</f>
        <v>0</v>
      </c>
      <c r="AJ153" s="3">
        <f>IF('My investments'!$H$24="",0,IF('My investments'!$F153='My investments'!$H$24,$X153,0))</f>
        <v>0</v>
      </c>
      <c r="AL153" s="3" t="str">
        <f>IF('My investments'!$B153="","",IF($D$10=0,"",IFERROR(INDEX('Index history'!$B$8:$B$5007,MATCH('My investments'!$B153,'Index history'!$A$8:$A$5007,1)),"")))</f>
        <v/>
      </c>
      <c r="AM153" s="3">
        <f>IF($AL153="",0,IF('My investments'!$D153="",0,IF('My investments'!$C153="Money in",'My investments'!$D153/$AL153,IF('My investments'!$C153="Money out",-'My investments'!$D153/$AL153,0))))</f>
        <v>0</v>
      </c>
    </row>
    <row r="154">
      <c r="X154" s="3">
        <f>IF('My investments'!$B154="",0,IF('My investments'!$E154="",0,'My investments'!$E154))</f>
        <v>0</v>
      </c>
      <c r="Y154" s="25">
        <f>IF('My investments'!$B154="",$D$8,'My investments'!$B154)</f>
        <v>0</v>
      </c>
      <c r="Z154" s="3">
        <f>IF('My investments'!$C154="Worth today",0,$X154)</f>
        <v>0</v>
      </c>
      <c r="AA154" s="3">
        <f>IF('My investments'!$H$15="",0,IF('My investments'!$F154='My investments'!$H$15,$X154,0))</f>
        <v>0</v>
      </c>
      <c r="AB154" s="3">
        <f>IF('My investments'!$H$16="",0,IF('My investments'!$F154='My investments'!$H$16,$X154,0))</f>
        <v>0</v>
      </c>
      <c r="AC154" s="3">
        <f>IF('My investments'!$H$17="",0,IF('My investments'!$F154='My investments'!$H$17,$X154,0))</f>
        <v>0</v>
      </c>
      <c r="AD154" s="3">
        <f>IF('My investments'!$H$18="",0,IF('My investments'!$F154='My investments'!$H$18,$X154,0))</f>
        <v>0</v>
      </c>
      <c r="AE154" s="3">
        <f>IF('My investments'!$H$19="",0,IF('My investments'!$F154='My investments'!$H$19,$X154,0))</f>
        <v>0</v>
      </c>
      <c r="AF154" s="3">
        <f>IF('My investments'!$H$20="",0,IF('My investments'!$F154='My investments'!$H$20,$X154,0))</f>
        <v>0</v>
      </c>
      <c r="AG154" s="3">
        <f>IF('My investments'!$H$21="",0,IF('My investments'!$F154='My investments'!$H$21,$X154,0))</f>
        <v>0</v>
      </c>
      <c r="AH154" s="3">
        <f>IF('My investments'!$H$22="",0,IF('My investments'!$F154='My investments'!$H$22,$X154,0))</f>
        <v>0</v>
      </c>
      <c r="AI154" s="3">
        <f>IF('My investments'!$H$23="",0,IF('My investments'!$F154='My investments'!$H$23,$X154,0))</f>
        <v>0</v>
      </c>
      <c r="AJ154" s="3">
        <f>IF('My investments'!$H$24="",0,IF('My investments'!$F154='My investments'!$H$24,$X154,0))</f>
        <v>0</v>
      </c>
      <c r="AL154" s="3" t="str">
        <f>IF('My investments'!$B154="","",IF($D$10=0,"",IFERROR(INDEX('Index history'!$B$8:$B$5007,MATCH('My investments'!$B154,'Index history'!$A$8:$A$5007,1)),"")))</f>
        <v/>
      </c>
      <c r="AM154" s="3">
        <f>IF($AL154="",0,IF('My investments'!$D154="",0,IF('My investments'!$C154="Money in",'My investments'!$D154/$AL154,IF('My investments'!$C154="Money out",-'My investments'!$D154/$AL154,0))))</f>
        <v>0</v>
      </c>
    </row>
    <row r="155">
      <c r="X155" s="3">
        <f>IF('My investments'!$B155="",0,IF('My investments'!$E155="",0,'My investments'!$E155))</f>
        <v>0</v>
      </c>
      <c r="Y155" s="25">
        <f>IF('My investments'!$B155="",$D$8,'My investments'!$B155)</f>
        <v>0</v>
      </c>
      <c r="Z155" s="3">
        <f>IF('My investments'!$C155="Worth today",0,$X155)</f>
        <v>0</v>
      </c>
      <c r="AA155" s="3">
        <f>IF('My investments'!$H$15="",0,IF('My investments'!$F155='My investments'!$H$15,$X155,0))</f>
        <v>0</v>
      </c>
      <c r="AB155" s="3">
        <f>IF('My investments'!$H$16="",0,IF('My investments'!$F155='My investments'!$H$16,$X155,0))</f>
        <v>0</v>
      </c>
      <c r="AC155" s="3">
        <f>IF('My investments'!$H$17="",0,IF('My investments'!$F155='My investments'!$H$17,$X155,0))</f>
        <v>0</v>
      </c>
      <c r="AD155" s="3">
        <f>IF('My investments'!$H$18="",0,IF('My investments'!$F155='My investments'!$H$18,$X155,0))</f>
        <v>0</v>
      </c>
      <c r="AE155" s="3">
        <f>IF('My investments'!$H$19="",0,IF('My investments'!$F155='My investments'!$H$19,$X155,0))</f>
        <v>0</v>
      </c>
      <c r="AF155" s="3">
        <f>IF('My investments'!$H$20="",0,IF('My investments'!$F155='My investments'!$H$20,$X155,0))</f>
        <v>0</v>
      </c>
      <c r="AG155" s="3">
        <f>IF('My investments'!$H$21="",0,IF('My investments'!$F155='My investments'!$H$21,$X155,0))</f>
        <v>0</v>
      </c>
      <c r="AH155" s="3">
        <f>IF('My investments'!$H$22="",0,IF('My investments'!$F155='My investments'!$H$22,$X155,0))</f>
        <v>0</v>
      </c>
      <c r="AI155" s="3">
        <f>IF('My investments'!$H$23="",0,IF('My investments'!$F155='My investments'!$H$23,$X155,0))</f>
        <v>0</v>
      </c>
      <c r="AJ155" s="3">
        <f>IF('My investments'!$H$24="",0,IF('My investments'!$F155='My investments'!$H$24,$X155,0))</f>
        <v>0</v>
      </c>
      <c r="AL155" s="3" t="str">
        <f>IF('My investments'!$B155="","",IF($D$10=0,"",IFERROR(INDEX('Index history'!$B$8:$B$5007,MATCH('My investments'!$B155,'Index history'!$A$8:$A$5007,1)),"")))</f>
        <v/>
      </c>
      <c r="AM155" s="3">
        <f>IF($AL155="",0,IF('My investments'!$D155="",0,IF('My investments'!$C155="Money in",'My investments'!$D155/$AL155,IF('My investments'!$C155="Money out",-'My investments'!$D155/$AL155,0))))</f>
        <v>0</v>
      </c>
    </row>
    <row r="156">
      <c r="X156" s="3">
        <f>IF('My investments'!$B156="",0,IF('My investments'!$E156="",0,'My investments'!$E156))</f>
        <v>0</v>
      </c>
      <c r="Y156" s="25">
        <f>IF('My investments'!$B156="",$D$8,'My investments'!$B156)</f>
        <v>0</v>
      </c>
      <c r="Z156" s="3">
        <f>IF('My investments'!$C156="Worth today",0,$X156)</f>
        <v>0</v>
      </c>
      <c r="AA156" s="3">
        <f>IF('My investments'!$H$15="",0,IF('My investments'!$F156='My investments'!$H$15,$X156,0))</f>
        <v>0</v>
      </c>
      <c r="AB156" s="3">
        <f>IF('My investments'!$H$16="",0,IF('My investments'!$F156='My investments'!$H$16,$X156,0))</f>
        <v>0</v>
      </c>
      <c r="AC156" s="3">
        <f>IF('My investments'!$H$17="",0,IF('My investments'!$F156='My investments'!$H$17,$X156,0))</f>
        <v>0</v>
      </c>
      <c r="AD156" s="3">
        <f>IF('My investments'!$H$18="",0,IF('My investments'!$F156='My investments'!$H$18,$X156,0))</f>
        <v>0</v>
      </c>
      <c r="AE156" s="3">
        <f>IF('My investments'!$H$19="",0,IF('My investments'!$F156='My investments'!$H$19,$X156,0))</f>
        <v>0</v>
      </c>
      <c r="AF156" s="3">
        <f>IF('My investments'!$H$20="",0,IF('My investments'!$F156='My investments'!$H$20,$X156,0))</f>
        <v>0</v>
      </c>
      <c r="AG156" s="3">
        <f>IF('My investments'!$H$21="",0,IF('My investments'!$F156='My investments'!$H$21,$X156,0))</f>
        <v>0</v>
      </c>
      <c r="AH156" s="3">
        <f>IF('My investments'!$H$22="",0,IF('My investments'!$F156='My investments'!$H$22,$X156,0))</f>
        <v>0</v>
      </c>
      <c r="AI156" s="3">
        <f>IF('My investments'!$H$23="",0,IF('My investments'!$F156='My investments'!$H$23,$X156,0))</f>
        <v>0</v>
      </c>
      <c r="AJ156" s="3">
        <f>IF('My investments'!$H$24="",0,IF('My investments'!$F156='My investments'!$H$24,$X156,0))</f>
        <v>0</v>
      </c>
      <c r="AL156" s="3" t="str">
        <f>IF('My investments'!$B156="","",IF($D$10=0,"",IFERROR(INDEX('Index history'!$B$8:$B$5007,MATCH('My investments'!$B156,'Index history'!$A$8:$A$5007,1)),"")))</f>
        <v/>
      </c>
      <c r="AM156" s="3">
        <f>IF($AL156="",0,IF('My investments'!$D156="",0,IF('My investments'!$C156="Money in",'My investments'!$D156/$AL156,IF('My investments'!$C156="Money out",-'My investments'!$D156/$AL156,0))))</f>
        <v>0</v>
      </c>
    </row>
    <row r="157">
      <c r="X157" s="3">
        <f>IF('My investments'!$B157="",0,IF('My investments'!$E157="",0,'My investments'!$E157))</f>
        <v>0</v>
      </c>
      <c r="Y157" s="25">
        <f>IF('My investments'!$B157="",$D$8,'My investments'!$B157)</f>
        <v>0</v>
      </c>
      <c r="Z157" s="3">
        <f>IF('My investments'!$C157="Worth today",0,$X157)</f>
        <v>0</v>
      </c>
      <c r="AA157" s="3">
        <f>IF('My investments'!$H$15="",0,IF('My investments'!$F157='My investments'!$H$15,$X157,0))</f>
        <v>0</v>
      </c>
      <c r="AB157" s="3">
        <f>IF('My investments'!$H$16="",0,IF('My investments'!$F157='My investments'!$H$16,$X157,0))</f>
        <v>0</v>
      </c>
      <c r="AC157" s="3">
        <f>IF('My investments'!$H$17="",0,IF('My investments'!$F157='My investments'!$H$17,$X157,0))</f>
        <v>0</v>
      </c>
      <c r="AD157" s="3">
        <f>IF('My investments'!$H$18="",0,IF('My investments'!$F157='My investments'!$H$18,$X157,0))</f>
        <v>0</v>
      </c>
      <c r="AE157" s="3">
        <f>IF('My investments'!$H$19="",0,IF('My investments'!$F157='My investments'!$H$19,$X157,0))</f>
        <v>0</v>
      </c>
      <c r="AF157" s="3">
        <f>IF('My investments'!$H$20="",0,IF('My investments'!$F157='My investments'!$H$20,$X157,0))</f>
        <v>0</v>
      </c>
      <c r="AG157" s="3">
        <f>IF('My investments'!$H$21="",0,IF('My investments'!$F157='My investments'!$H$21,$X157,0))</f>
        <v>0</v>
      </c>
      <c r="AH157" s="3">
        <f>IF('My investments'!$H$22="",0,IF('My investments'!$F157='My investments'!$H$22,$X157,0))</f>
        <v>0</v>
      </c>
      <c r="AI157" s="3">
        <f>IF('My investments'!$H$23="",0,IF('My investments'!$F157='My investments'!$H$23,$X157,0))</f>
        <v>0</v>
      </c>
      <c r="AJ157" s="3">
        <f>IF('My investments'!$H$24="",0,IF('My investments'!$F157='My investments'!$H$24,$X157,0))</f>
        <v>0</v>
      </c>
      <c r="AL157" s="3" t="str">
        <f>IF('My investments'!$B157="","",IF($D$10=0,"",IFERROR(INDEX('Index history'!$B$8:$B$5007,MATCH('My investments'!$B157,'Index history'!$A$8:$A$5007,1)),"")))</f>
        <v/>
      </c>
      <c r="AM157" s="3">
        <f>IF($AL157="",0,IF('My investments'!$D157="",0,IF('My investments'!$C157="Money in",'My investments'!$D157/$AL157,IF('My investments'!$C157="Money out",-'My investments'!$D157/$AL157,0))))</f>
        <v>0</v>
      </c>
    </row>
    <row r="158">
      <c r="X158" s="3">
        <f>IF('My investments'!$B158="",0,IF('My investments'!$E158="",0,'My investments'!$E158))</f>
        <v>0</v>
      </c>
      <c r="Y158" s="25">
        <f>IF('My investments'!$B158="",$D$8,'My investments'!$B158)</f>
        <v>0</v>
      </c>
      <c r="Z158" s="3">
        <f>IF('My investments'!$C158="Worth today",0,$X158)</f>
        <v>0</v>
      </c>
      <c r="AA158" s="3">
        <f>IF('My investments'!$H$15="",0,IF('My investments'!$F158='My investments'!$H$15,$X158,0))</f>
        <v>0</v>
      </c>
      <c r="AB158" s="3">
        <f>IF('My investments'!$H$16="",0,IF('My investments'!$F158='My investments'!$H$16,$X158,0))</f>
        <v>0</v>
      </c>
      <c r="AC158" s="3">
        <f>IF('My investments'!$H$17="",0,IF('My investments'!$F158='My investments'!$H$17,$X158,0))</f>
        <v>0</v>
      </c>
      <c r="AD158" s="3">
        <f>IF('My investments'!$H$18="",0,IF('My investments'!$F158='My investments'!$H$18,$X158,0))</f>
        <v>0</v>
      </c>
      <c r="AE158" s="3">
        <f>IF('My investments'!$H$19="",0,IF('My investments'!$F158='My investments'!$H$19,$X158,0))</f>
        <v>0</v>
      </c>
      <c r="AF158" s="3">
        <f>IF('My investments'!$H$20="",0,IF('My investments'!$F158='My investments'!$H$20,$X158,0))</f>
        <v>0</v>
      </c>
      <c r="AG158" s="3">
        <f>IF('My investments'!$H$21="",0,IF('My investments'!$F158='My investments'!$H$21,$X158,0))</f>
        <v>0</v>
      </c>
      <c r="AH158" s="3">
        <f>IF('My investments'!$H$22="",0,IF('My investments'!$F158='My investments'!$H$22,$X158,0))</f>
        <v>0</v>
      </c>
      <c r="AI158" s="3">
        <f>IF('My investments'!$H$23="",0,IF('My investments'!$F158='My investments'!$H$23,$X158,0))</f>
        <v>0</v>
      </c>
      <c r="AJ158" s="3">
        <f>IF('My investments'!$H$24="",0,IF('My investments'!$F158='My investments'!$H$24,$X158,0))</f>
        <v>0</v>
      </c>
      <c r="AL158" s="3" t="str">
        <f>IF('My investments'!$B158="","",IF($D$10=0,"",IFERROR(INDEX('Index history'!$B$8:$B$5007,MATCH('My investments'!$B158,'Index history'!$A$8:$A$5007,1)),"")))</f>
        <v/>
      </c>
      <c r="AM158" s="3">
        <f>IF($AL158="",0,IF('My investments'!$D158="",0,IF('My investments'!$C158="Money in",'My investments'!$D158/$AL158,IF('My investments'!$C158="Money out",-'My investments'!$D158/$AL158,0))))</f>
        <v>0</v>
      </c>
    </row>
    <row r="159">
      <c r="X159" s="3">
        <f>IF('My investments'!$B159="",0,IF('My investments'!$E159="",0,'My investments'!$E159))</f>
        <v>0</v>
      </c>
      <c r="Y159" s="25">
        <f>IF('My investments'!$B159="",$D$8,'My investments'!$B159)</f>
        <v>0</v>
      </c>
      <c r="Z159" s="3">
        <f>IF('My investments'!$C159="Worth today",0,$X159)</f>
        <v>0</v>
      </c>
      <c r="AA159" s="3">
        <f>IF('My investments'!$H$15="",0,IF('My investments'!$F159='My investments'!$H$15,$X159,0))</f>
        <v>0</v>
      </c>
      <c r="AB159" s="3">
        <f>IF('My investments'!$H$16="",0,IF('My investments'!$F159='My investments'!$H$16,$X159,0))</f>
        <v>0</v>
      </c>
      <c r="AC159" s="3">
        <f>IF('My investments'!$H$17="",0,IF('My investments'!$F159='My investments'!$H$17,$X159,0))</f>
        <v>0</v>
      </c>
      <c r="AD159" s="3">
        <f>IF('My investments'!$H$18="",0,IF('My investments'!$F159='My investments'!$H$18,$X159,0))</f>
        <v>0</v>
      </c>
      <c r="AE159" s="3">
        <f>IF('My investments'!$H$19="",0,IF('My investments'!$F159='My investments'!$H$19,$X159,0))</f>
        <v>0</v>
      </c>
      <c r="AF159" s="3">
        <f>IF('My investments'!$H$20="",0,IF('My investments'!$F159='My investments'!$H$20,$X159,0))</f>
        <v>0</v>
      </c>
      <c r="AG159" s="3">
        <f>IF('My investments'!$H$21="",0,IF('My investments'!$F159='My investments'!$H$21,$X159,0))</f>
        <v>0</v>
      </c>
      <c r="AH159" s="3">
        <f>IF('My investments'!$H$22="",0,IF('My investments'!$F159='My investments'!$H$22,$X159,0))</f>
        <v>0</v>
      </c>
      <c r="AI159" s="3">
        <f>IF('My investments'!$H$23="",0,IF('My investments'!$F159='My investments'!$H$23,$X159,0))</f>
        <v>0</v>
      </c>
      <c r="AJ159" s="3">
        <f>IF('My investments'!$H$24="",0,IF('My investments'!$F159='My investments'!$H$24,$X159,0))</f>
        <v>0</v>
      </c>
      <c r="AL159" s="3" t="str">
        <f>IF('My investments'!$B159="","",IF($D$10=0,"",IFERROR(INDEX('Index history'!$B$8:$B$5007,MATCH('My investments'!$B159,'Index history'!$A$8:$A$5007,1)),"")))</f>
        <v/>
      </c>
      <c r="AM159" s="3">
        <f>IF($AL159="",0,IF('My investments'!$D159="",0,IF('My investments'!$C159="Money in",'My investments'!$D159/$AL159,IF('My investments'!$C159="Money out",-'My investments'!$D159/$AL159,0))))</f>
        <v>0</v>
      </c>
    </row>
    <row r="160">
      <c r="X160" s="3">
        <f>IF('My investments'!$B160="",0,IF('My investments'!$E160="",0,'My investments'!$E160))</f>
        <v>0</v>
      </c>
      <c r="Y160" s="25">
        <f>IF('My investments'!$B160="",$D$8,'My investments'!$B160)</f>
        <v>0</v>
      </c>
      <c r="Z160" s="3">
        <f>IF('My investments'!$C160="Worth today",0,$X160)</f>
        <v>0</v>
      </c>
      <c r="AA160" s="3">
        <f>IF('My investments'!$H$15="",0,IF('My investments'!$F160='My investments'!$H$15,$X160,0))</f>
        <v>0</v>
      </c>
      <c r="AB160" s="3">
        <f>IF('My investments'!$H$16="",0,IF('My investments'!$F160='My investments'!$H$16,$X160,0))</f>
        <v>0</v>
      </c>
      <c r="AC160" s="3">
        <f>IF('My investments'!$H$17="",0,IF('My investments'!$F160='My investments'!$H$17,$X160,0))</f>
        <v>0</v>
      </c>
      <c r="AD160" s="3">
        <f>IF('My investments'!$H$18="",0,IF('My investments'!$F160='My investments'!$H$18,$X160,0))</f>
        <v>0</v>
      </c>
      <c r="AE160" s="3">
        <f>IF('My investments'!$H$19="",0,IF('My investments'!$F160='My investments'!$H$19,$X160,0))</f>
        <v>0</v>
      </c>
      <c r="AF160" s="3">
        <f>IF('My investments'!$H$20="",0,IF('My investments'!$F160='My investments'!$H$20,$X160,0))</f>
        <v>0</v>
      </c>
      <c r="AG160" s="3">
        <f>IF('My investments'!$H$21="",0,IF('My investments'!$F160='My investments'!$H$21,$X160,0))</f>
        <v>0</v>
      </c>
      <c r="AH160" s="3">
        <f>IF('My investments'!$H$22="",0,IF('My investments'!$F160='My investments'!$H$22,$X160,0))</f>
        <v>0</v>
      </c>
      <c r="AI160" s="3">
        <f>IF('My investments'!$H$23="",0,IF('My investments'!$F160='My investments'!$H$23,$X160,0))</f>
        <v>0</v>
      </c>
      <c r="AJ160" s="3">
        <f>IF('My investments'!$H$24="",0,IF('My investments'!$F160='My investments'!$H$24,$X160,0))</f>
        <v>0</v>
      </c>
      <c r="AL160" s="3" t="str">
        <f>IF('My investments'!$B160="","",IF($D$10=0,"",IFERROR(INDEX('Index history'!$B$8:$B$5007,MATCH('My investments'!$B160,'Index history'!$A$8:$A$5007,1)),"")))</f>
        <v/>
      </c>
      <c r="AM160" s="3">
        <f>IF($AL160="",0,IF('My investments'!$D160="",0,IF('My investments'!$C160="Money in",'My investments'!$D160/$AL160,IF('My investments'!$C160="Money out",-'My investments'!$D160/$AL160,0))))</f>
        <v>0</v>
      </c>
    </row>
    <row r="161">
      <c r="X161" s="3">
        <f>IF('My investments'!$B161="",0,IF('My investments'!$E161="",0,'My investments'!$E161))</f>
        <v>0</v>
      </c>
      <c r="Y161" s="25">
        <f>IF('My investments'!$B161="",$D$8,'My investments'!$B161)</f>
        <v>0</v>
      </c>
      <c r="Z161" s="3">
        <f>IF('My investments'!$C161="Worth today",0,$X161)</f>
        <v>0</v>
      </c>
      <c r="AA161" s="3">
        <f>IF('My investments'!$H$15="",0,IF('My investments'!$F161='My investments'!$H$15,$X161,0))</f>
        <v>0</v>
      </c>
      <c r="AB161" s="3">
        <f>IF('My investments'!$H$16="",0,IF('My investments'!$F161='My investments'!$H$16,$X161,0))</f>
        <v>0</v>
      </c>
      <c r="AC161" s="3">
        <f>IF('My investments'!$H$17="",0,IF('My investments'!$F161='My investments'!$H$17,$X161,0))</f>
        <v>0</v>
      </c>
      <c r="AD161" s="3">
        <f>IF('My investments'!$H$18="",0,IF('My investments'!$F161='My investments'!$H$18,$X161,0))</f>
        <v>0</v>
      </c>
      <c r="AE161" s="3">
        <f>IF('My investments'!$H$19="",0,IF('My investments'!$F161='My investments'!$H$19,$X161,0))</f>
        <v>0</v>
      </c>
      <c r="AF161" s="3">
        <f>IF('My investments'!$H$20="",0,IF('My investments'!$F161='My investments'!$H$20,$X161,0))</f>
        <v>0</v>
      </c>
      <c r="AG161" s="3">
        <f>IF('My investments'!$H$21="",0,IF('My investments'!$F161='My investments'!$H$21,$X161,0))</f>
        <v>0</v>
      </c>
      <c r="AH161" s="3">
        <f>IF('My investments'!$H$22="",0,IF('My investments'!$F161='My investments'!$H$22,$X161,0))</f>
        <v>0</v>
      </c>
      <c r="AI161" s="3">
        <f>IF('My investments'!$H$23="",0,IF('My investments'!$F161='My investments'!$H$23,$X161,0))</f>
        <v>0</v>
      </c>
      <c r="AJ161" s="3">
        <f>IF('My investments'!$H$24="",0,IF('My investments'!$F161='My investments'!$H$24,$X161,0))</f>
        <v>0</v>
      </c>
      <c r="AL161" s="3" t="str">
        <f>IF('My investments'!$B161="","",IF($D$10=0,"",IFERROR(INDEX('Index history'!$B$8:$B$5007,MATCH('My investments'!$B161,'Index history'!$A$8:$A$5007,1)),"")))</f>
        <v/>
      </c>
      <c r="AM161" s="3">
        <f>IF($AL161="",0,IF('My investments'!$D161="",0,IF('My investments'!$C161="Money in",'My investments'!$D161/$AL161,IF('My investments'!$C161="Money out",-'My investments'!$D161/$AL161,0))))</f>
        <v>0</v>
      </c>
    </row>
    <row r="162">
      <c r="X162" s="3">
        <f>IF('My investments'!$B162="",0,IF('My investments'!$E162="",0,'My investments'!$E162))</f>
        <v>0</v>
      </c>
      <c r="Y162" s="25">
        <f>IF('My investments'!$B162="",$D$8,'My investments'!$B162)</f>
        <v>0</v>
      </c>
      <c r="Z162" s="3">
        <f>IF('My investments'!$C162="Worth today",0,$X162)</f>
        <v>0</v>
      </c>
      <c r="AA162" s="3">
        <f>IF('My investments'!$H$15="",0,IF('My investments'!$F162='My investments'!$H$15,$X162,0))</f>
        <v>0</v>
      </c>
      <c r="AB162" s="3">
        <f>IF('My investments'!$H$16="",0,IF('My investments'!$F162='My investments'!$H$16,$X162,0))</f>
        <v>0</v>
      </c>
      <c r="AC162" s="3">
        <f>IF('My investments'!$H$17="",0,IF('My investments'!$F162='My investments'!$H$17,$X162,0))</f>
        <v>0</v>
      </c>
      <c r="AD162" s="3">
        <f>IF('My investments'!$H$18="",0,IF('My investments'!$F162='My investments'!$H$18,$X162,0))</f>
        <v>0</v>
      </c>
      <c r="AE162" s="3">
        <f>IF('My investments'!$H$19="",0,IF('My investments'!$F162='My investments'!$H$19,$X162,0))</f>
        <v>0</v>
      </c>
      <c r="AF162" s="3">
        <f>IF('My investments'!$H$20="",0,IF('My investments'!$F162='My investments'!$H$20,$X162,0))</f>
        <v>0</v>
      </c>
      <c r="AG162" s="3">
        <f>IF('My investments'!$H$21="",0,IF('My investments'!$F162='My investments'!$H$21,$X162,0))</f>
        <v>0</v>
      </c>
      <c r="AH162" s="3">
        <f>IF('My investments'!$H$22="",0,IF('My investments'!$F162='My investments'!$H$22,$X162,0))</f>
        <v>0</v>
      </c>
      <c r="AI162" s="3">
        <f>IF('My investments'!$H$23="",0,IF('My investments'!$F162='My investments'!$H$23,$X162,0))</f>
        <v>0</v>
      </c>
      <c r="AJ162" s="3">
        <f>IF('My investments'!$H$24="",0,IF('My investments'!$F162='My investments'!$H$24,$X162,0))</f>
        <v>0</v>
      </c>
      <c r="AL162" s="3" t="str">
        <f>IF('My investments'!$B162="","",IF($D$10=0,"",IFERROR(INDEX('Index history'!$B$8:$B$5007,MATCH('My investments'!$B162,'Index history'!$A$8:$A$5007,1)),"")))</f>
        <v/>
      </c>
      <c r="AM162" s="3">
        <f>IF($AL162="",0,IF('My investments'!$D162="",0,IF('My investments'!$C162="Money in",'My investments'!$D162/$AL162,IF('My investments'!$C162="Money out",-'My investments'!$D162/$AL162,0))))</f>
        <v>0</v>
      </c>
    </row>
    <row r="163">
      <c r="X163" s="3">
        <f>IF('My investments'!$B163="",0,IF('My investments'!$E163="",0,'My investments'!$E163))</f>
        <v>0</v>
      </c>
      <c r="Y163" s="25">
        <f>IF('My investments'!$B163="",$D$8,'My investments'!$B163)</f>
        <v>0</v>
      </c>
      <c r="Z163" s="3">
        <f>IF('My investments'!$C163="Worth today",0,$X163)</f>
        <v>0</v>
      </c>
      <c r="AA163" s="3">
        <f>IF('My investments'!$H$15="",0,IF('My investments'!$F163='My investments'!$H$15,$X163,0))</f>
        <v>0</v>
      </c>
      <c r="AB163" s="3">
        <f>IF('My investments'!$H$16="",0,IF('My investments'!$F163='My investments'!$H$16,$X163,0))</f>
        <v>0</v>
      </c>
      <c r="AC163" s="3">
        <f>IF('My investments'!$H$17="",0,IF('My investments'!$F163='My investments'!$H$17,$X163,0))</f>
        <v>0</v>
      </c>
      <c r="AD163" s="3">
        <f>IF('My investments'!$H$18="",0,IF('My investments'!$F163='My investments'!$H$18,$X163,0))</f>
        <v>0</v>
      </c>
      <c r="AE163" s="3">
        <f>IF('My investments'!$H$19="",0,IF('My investments'!$F163='My investments'!$H$19,$X163,0))</f>
        <v>0</v>
      </c>
      <c r="AF163" s="3">
        <f>IF('My investments'!$H$20="",0,IF('My investments'!$F163='My investments'!$H$20,$X163,0))</f>
        <v>0</v>
      </c>
      <c r="AG163" s="3">
        <f>IF('My investments'!$H$21="",0,IF('My investments'!$F163='My investments'!$H$21,$X163,0))</f>
        <v>0</v>
      </c>
      <c r="AH163" s="3">
        <f>IF('My investments'!$H$22="",0,IF('My investments'!$F163='My investments'!$H$22,$X163,0))</f>
        <v>0</v>
      </c>
      <c r="AI163" s="3">
        <f>IF('My investments'!$H$23="",0,IF('My investments'!$F163='My investments'!$H$23,$X163,0))</f>
        <v>0</v>
      </c>
      <c r="AJ163" s="3">
        <f>IF('My investments'!$H$24="",0,IF('My investments'!$F163='My investments'!$H$24,$X163,0))</f>
        <v>0</v>
      </c>
      <c r="AL163" s="3" t="str">
        <f>IF('My investments'!$B163="","",IF($D$10=0,"",IFERROR(INDEX('Index history'!$B$8:$B$5007,MATCH('My investments'!$B163,'Index history'!$A$8:$A$5007,1)),"")))</f>
        <v/>
      </c>
      <c r="AM163" s="3">
        <f>IF($AL163="",0,IF('My investments'!$D163="",0,IF('My investments'!$C163="Money in",'My investments'!$D163/$AL163,IF('My investments'!$C163="Money out",-'My investments'!$D163/$AL163,0))))</f>
        <v>0</v>
      </c>
    </row>
    <row r="164">
      <c r="X164" s="3">
        <f>IF('My investments'!$B164="",0,IF('My investments'!$E164="",0,'My investments'!$E164))</f>
        <v>0</v>
      </c>
      <c r="Y164" s="25">
        <f>IF('My investments'!$B164="",$D$8,'My investments'!$B164)</f>
        <v>0</v>
      </c>
      <c r="Z164" s="3">
        <f>IF('My investments'!$C164="Worth today",0,$X164)</f>
        <v>0</v>
      </c>
      <c r="AA164" s="3">
        <f>IF('My investments'!$H$15="",0,IF('My investments'!$F164='My investments'!$H$15,$X164,0))</f>
        <v>0</v>
      </c>
      <c r="AB164" s="3">
        <f>IF('My investments'!$H$16="",0,IF('My investments'!$F164='My investments'!$H$16,$X164,0))</f>
        <v>0</v>
      </c>
      <c r="AC164" s="3">
        <f>IF('My investments'!$H$17="",0,IF('My investments'!$F164='My investments'!$H$17,$X164,0))</f>
        <v>0</v>
      </c>
      <c r="AD164" s="3">
        <f>IF('My investments'!$H$18="",0,IF('My investments'!$F164='My investments'!$H$18,$X164,0))</f>
        <v>0</v>
      </c>
      <c r="AE164" s="3">
        <f>IF('My investments'!$H$19="",0,IF('My investments'!$F164='My investments'!$H$19,$X164,0))</f>
        <v>0</v>
      </c>
      <c r="AF164" s="3">
        <f>IF('My investments'!$H$20="",0,IF('My investments'!$F164='My investments'!$H$20,$X164,0))</f>
        <v>0</v>
      </c>
      <c r="AG164" s="3">
        <f>IF('My investments'!$H$21="",0,IF('My investments'!$F164='My investments'!$H$21,$X164,0))</f>
        <v>0</v>
      </c>
      <c r="AH164" s="3">
        <f>IF('My investments'!$H$22="",0,IF('My investments'!$F164='My investments'!$H$22,$X164,0))</f>
        <v>0</v>
      </c>
      <c r="AI164" s="3">
        <f>IF('My investments'!$H$23="",0,IF('My investments'!$F164='My investments'!$H$23,$X164,0))</f>
        <v>0</v>
      </c>
      <c r="AJ164" s="3">
        <f>IF('My investments'!$H$24="",0,IF('My investments'!$F164='My investments'!$H$24,$X164,0))</f>
        <v>0</v>
      </c>
      <c r="AL164" s="3" t="str">
        <f>IF('My investments'!$B164="","",IF($D$10=0,"",IFERROR(INDEX('Index history'!$B$8:$B$5007,MATCH('My investments'!$B164,'Index history'!$A$8:$A$5007,1)),"")))</f>
        <v/>
      </c>
      <c r="AM164" s="3">
        <f>IF($AL164="",0,IF('My investments'!$D164="",0,IF('My investments'!$C164="Money in",'My investments'!$D164/$AL164,IF('My investments'!$C164="Money out",-'My investments'!$D164/$AL164,0))))</f>
        <v>0</v>
      </c>
    </row>
    <row r="165">
      <c r="X165" s="3">
        <f>IF('My investments'!$B165="",0,IF('My investments'!$E165="",0,'My investments'!$E165))</f>
        <v>0</v>
      </c>
      <c r="Y165" s="25">
        <f>IF('My investments'!$B165="",$D$8,'My investments'!$B165)</f>
        <v>0</v>
      </c>
      <c r="Z165" s="3">
        <f>IF('My investments'!$C165="Worth today",0,$X165)</f>
        <v>0</v>
      </c>
      <c r="AA165" s="3">
        <f>IF('My investments'!$H$15="",0,IF('My investments'!$F165='My investments'!$H$15,$X165,0))</f>
        <v>0</v>
      </c>
      <c r="AB165" s="3">
        <f>IF('My investments'!$H$16="",0,IF('My investments'!$F165='My investments'!$H$16,$X165,0))</f>
        <v>0</v>
      </c>
      <c r="AC165" s="3">
        <f>IF('My investments'!$H$17="",0,IF('My investments'!$F165='My investments'!$H$17,$X165,0))</f>
        <v>0</v>
      </c>
      <c r="AD165" s="3">
        <f>IF('My investments'!$H$18="",0,IF('My investments'!$F165='My investments'!$H$18,$X165,0))</f>
        <v>0</v>
      </c>
      <c r="AE165" s="3">
        <f>IF('My investments'!$H$19="",0,IF('My investments'!$F165='My investments'!$H$19,$X165,0))</f>
        <v>0</v>
      </c>
      <c r="AF165" s="3">
        <f>IF('My investments'!$H$20="",0,IF('My investments'!$F165='My investments'!$H$20,$X165,0))</f>
        <v>0</v>
      </c>
      <c r="AG165" s="3">
        <f>IF('My investments'!$H$21="",0,IF('My investments'!$F165='My investments'!$H$21,$X165,0))</f>
        <v>0</v>
      </c>
      <c r="AH165" s="3">
        <f>IF('My investments'!$H$22="",0,IF('My investments'!$F165='My investments'!$H$22,$X165,0))</f>
        <v>0</v>
      </c>
      <c r="AI165" s="3">
        <f>IF('My investments'!$H$23="",0,IF('My investments'!$F165='My investments'!$H$23,$X165,0))</f>
        <v>0</v>
      </c>
      <c r="AJ165" s="3">
        <f>IF('My investments'!$H$24="",0,IF('My investments'!$F165='My investments'!$H$24,$X165,0))</f>
        <v>0</v>
      </c>
      <c r="AL165" s="3" t="str">
        <f>IF('My investments'!$B165="","",IF($D$10=0,"",IFERROR(INDEX('Index history'!$B$8:$B$5007,MATCH('My investments'!$B165,'Index history'!$A$8:$A$5007,1)),"")))</f>
        <v/>
      </c>
      <c r="AM165" s="3">
        <f>IF($AL165="",0,IF('My investments'!$D165="",0,IF('My investments'!$C165="Money in",'My investments'!$D165/$AL165,IF('My investments'!$C165="Money out",-'My investments'!$D165/$AL165,0))))</f>
        <v>0</v>
      </c>
    </row>
    <row r="166">
      <c r="X166" s="3">
        <f>IF('My investments'!$B166="",0,IF('My investments'!$E166="",0,'My investments'!$E166))</f>
        <v>0</v>
      </c>
      <c r="Y166" s="25">
        <f>IF('My investments'!$B166="",$D$8,'My investments'!$B166)</f>
        <v>0</v>
      </c>
      <c r="Z166" s="3">
        <f>IF('My investments'!$C166="Worth today",0,$X166)</f>
        <v>0</v>
      </c>
      <c r="AA166" s="3">
        <f>IF('My investments'!$H$15="",0,IF('My investments'!$F166='My investments'!$H$15,$X166,0))</f>
        <v>0</v>
      </c>
      <c r="AB166" s="3">
        <f>IF('My investments'!$H$16="",0,IF('My investments'!$F166='My investments'!$H$16,$X166,0))</f>
        <v>0</v>
      </c>
      <c r="AC166" s="3">
        <f>IF('My investments'!$H$17="",0,IF('My investments'!$F166='My investments'!$H$17,$X166,0))</f>
        <v>0</v>
      </c>
      <c r="AD166" s="3">
        <f>IF('My investments'!$H$18="",0,IF('My investments'!$F166='My investments'!$H$18,$X166,0))</f>
        <v>0</v>
      </c>
      <c r="AE166" s="3">
        <f>IF('My investments'!$H$19="",0,IF('My investments'!$F166='My investments'!$H$19,$X166,0))</f>
        <v>0</v>
      </c>
      <c r="AF166" s="3">
        <f>IF('My investments'!$H$20="",0,IF('My investments'!$F166='My investments'!$H$20,$X166,0))</f>
        <v>0</v>
      </c>
      <c r="AG166" s="3">
        <f>IF('My investments'!$H$21="",0,IF('My investments'!$F166='My investments'!$H$21,$X166,0))</f>
        <v>0</v>
      </c>
      <c r="AH166" s="3">
        <f>IF('My investments'!$H$22="",0,IF('My investments'!$F166='My investments'!$H$22,$X166,0))</f>
        <v>0</v>
      </c>
      <c r="AI166" s="3">
        <f>IF('My investments'!$H$23="",0,IF('My investments'!$F166='My investments'!$H$23,$X166,0))</f>
        <v>0</v>
      </c>
      <c r="AJ166" s="3">
        <f>IF('My investments'!$H$24="",0,IF('My investments'!$F166='My investments'!$H$24,$X166,0))</f>
        <v>0</v>
      </c>
      <c r="AL166" s="3" t="str">
        <f>IF('My investments'!$B166="","",IF($D$10=0,"",IFERROR(INDEX('Index history'!$B$8:$B$5007,MATCH('My investments'!$B166,'Index history'!$A$8:$A$5007,1)),"")))</f>
        <v/>
      </c>
      <c r="AM166" s="3">
        <f>IF($AL166="",0,IF('My investments'!$D166="",0,IF('My investments'!$C166="Money in",'My investments'!$D166/$AL166,IF('My investments'!$C166="Money out",-'My investments'!$D166/$AL166,0))))</f>
        <v>0</v>
      </c>
    </row>
    <row r="167">
      <c r="X167" s="3">
        <f>IF('My investments'!$B167="",0,IF('My investments'!$E167="",0,'My investments'!$E167))</f>
        <v>0</v>
      </c>
      <c r="Y167" s="25">
        <f>IF('My investments'!$B167="",$D$8,'My investments'!$B167)</f>
        <v>0</v>
      </c>
      <c r="Z167" s="3">
        <f>IF('My investments'!$C167="Worth today",0,$X167)</f>
        <v>0</v>
      </c>
      <c r="AA167" s="3">
        <f>IF('My investments'!$H$15="",0,IF('My investments'!$F167='My investments'!$H$15,$X167,0))</f>
        <v>0</v>
      </c>
      <c r="AB167" s="3">
        <f>IF('My investments'!$H$16="",0,IF('My investments'!$F167='My investments'!$H$16,$X167,0))</f>
        <v>0</v>
      </c>
      <c r="AC167" s="3">
        <f>IF('My investments'!$H$17="",0,IF('My investments'!$F167='My investments'!$H$17,$X167,0))</f>
        <v>0</v>
      </c>
      <c r="AD167" s="3">
        <f>IF('My investments'!$H$18="",0,IF('My investments'!$F167='My investments'!$H$18,$X167,0))</f>
        <v>0</v>
      </c>
      <c r="AE167" s="3">
        <f>IF('My investments'!$H$19="",0,IF('My investments'!$F167='My investments'!$H$19,$X167,0))</f>
        <v>0</v>
      </c>
      <c r="AF167" s="3">
        <f>IF('My investments'!$H$20="",0,IF('My investments'!$F167='My investments'!$H$20,$X167,0))</f>
        <v>0</v>
      </c>
      <c r="AG167" s="3">
        <f>IF('My investments'!$H$21="",0,IF('My investments'!$F167='My investments'!$H$21,$X167,0))</f>
        <v>0</v>
      </c>
      <c r="AH167" s="3">
        <f>IF('My investments'!$H$22="",0,IF('My investments'!$F167='My investments'!$H$22,$X167,0))</f>
        <v>0</v>
      </c>
      <c r="AI167" s="3">
        <f>IF('My investments'!$H$23="",0,IF('My investments'!$F167='My investments'!$H$23,$X167,0))</f>
        <v>0</v>
      </c>
      <c r="AJ167" s="3">
        <f>IF('My investments'!$H$24="",0,IF('My investments'!$F167='My investments'!$H$24,$X167,0))</f>
        <v>0</v>
      </c>
      <c r="AL167" s="3" t="str">
        <f>IF('My investments'!$B167="","",IF($D$10=0,"",IFERROR(INDEX('Index history'!$B$8:$B$5007,MATCH('My investments'!$B167,'Index history'!$A$8:$A$5007,1)),"")))</f>
        <v/>
      </c>
      <c r="AM167" s="3">
        <f>IF($AL167="",0,IF('My investments'!$D167="",0,IF('My investments'!$C167="Money in",'My investments'!$D167/$AL167,IF('My investments'!$C167="Money out",-'My investments'!$D167/$AL167,0))))</f>
        <v>0</v>
      </c>
    </row>
    <row r="168">
      <c r="X168" s="3">
        <f>IF('My investments'!$B168="",0,IF('My investments'!$E168="",0,'My investments'!$E168))</f>
        <v>0</v>
      </c>
      <c r="Y168" s="25">
        <f>IF('My investments'!$B168="",$D$8,'My investments'!$B168)</f>
        <v>0</v>
      </c>
      <c r="Z168" s="3">
        <f>IF('My investments'!$C168="Worth today",0,$X168)</f>
        <v>0</v>
      </c>
      <c r="AA168" s="3">
        <f>IF('My investments'!$H$15="",0,IF('My investments'!$F168='My investments'!$H$15,$X168,0))</f>
        <v>0</v>
      </c>
      <c r="AB168" s="3">
        <f>IF('My investments'!$H$16="",0,IF('My investments'!$F168='My investments'!$H$16,$X168,0))</f>
        <v>0</v>
      </c>
      <c r="AC168" s="3">
        <f>IF('My investments'!$H$17="",0,IF('My investments'!$F168='My investments'!$H$17,$X168,0))</f>
        <v>0</v>
      </c>
      <c r="AD168" s="3">
        <f>IF('My investments'!$H$18="",0,IF('My investments'!$F168='My investments'!$H$18,$X168,0))</f>
        <v>0</v>
      </c>
      <c r="AE168" s="3">
        <f>IF('My investments'!$H$19="",0,IF('My investments'!$F168='My investments'!$H$19,$X168,0))</f>
        <v>0</v>
      </c>
      <c r="AF168" s="3">
        <f>IF('My investments'!$H$20="",0,IF('My investments'!$F168='My investments'!$H$20,$X168,0))</f>
        <v>0</v>
      </c>
      <c r="AG168" s="3">
        <f>IF('My investments'!$H$21="",0,IF('My investments'!$F168='My investments'!$H$21,$X168,0))</f>
        <v>0</v>
      </c>
      <c r="AH168" s="3">
        <f>IF('My investments'!$H$22="",0,IF('My investments'!$F168='My investments'!$H$22,$X168,0))</f>
        <v>0</v>
      </c>
      <c r="AI168" s="3">
        <f>IF('My investments'!$H$23="",0,IF('My investments'!$F168='My investments'!$H$23,$X168,0))</f>
        <v>0</v>
      </c>
      <c r="AJ168" s="3">
        <f>IF('My investments'!$H$24="",0,IF('My investments'!$F168='My investments'!$H$24,$X168,0))</f>
        <v>0</v>
      </c>
      <c r="AL168" s="3" t="str">
        <f>IF('My investments'!$B168="","",IF($D$10=0,"",IFERROR(INDEX('Index history'!$B$8:$B$5007,MATCH('My investments'!$B168,'Index history'!$A$8:$A$5007,1)),"")))</f>
        <v/>
      </c>
      <c r="AM168" s="3">
        <f>IF($AL168="",0,IF('My investments'!$D168="",0,IF('My investments'!$C168="Money in",'My investments'!$D168/$AL168,IF('My investments'!$C168="Money out",-'My investments'!$D168/$AL168,0))))</f>
        <v>0</v>
      </c>
    </row>
    <row r="169">
      <c r="X169" s="3">
        <f>IF('My investments'!$B169="",0,IF('My investments'!$E169="",0,'My investments'!$E169))</f>
        <v>0</v>
      </c>
      <c r="Y169" s="25">
        <f>IF('My investments'!$B169="",$D$8,'My investments'!$B169)</f>
        <v>0</v>
      </c>
      <c r="Z169" s="3">
        <f>IF('My investments'!$C169="Worth today",0,$X169)</f>
        <v>0</v>
      </c>
      <c r="AA169" s="3">
        <f>IF('My investments'!$H$15="",0,IF('My investments'!$F169='My investments'!$H$15,$X169,0))</f>
        <v>0</v>
      </c>
      <c r="AB169" s="3">
        <f>IF('My investments'!$H$16="",0,IF('My investments'!$F169='My investments'!$H$16,$X169,0))</f>
        <v>0</v>
      </c>
      <c r="AC169" s="3">
        <f>IF('My investments'!$H$17="",0,IF('My investments'!$F169='My investments'!$H$17,$X169,0))</f>
        <v>0</v>
      </c>
      <c r="AD169" s="3">
        <f>IF('My investments'!$H$18="",0,IF('My investments'!$F169='My investments'!$H$18,$X169,0))</f>
        <v>0</v>
      </c>
      <c r="AE169" s="3">
        <f>IF('My investments'!$H$19="",0,IF('My investments'!$F169='My investments'!$H$19,$X169,0))</f>
        <v>0</v>
      </c>
      <c r="AF169" s="3">
        <f>IF('My investments'!$H$20="",0,IF('My investments'!$F169='My investments'!$H$20,$X169,0))</f>
        <v>0</v>
      </c>
      <c r="AG169" s="3">
        <f>IF('My investments'!$H$21="",0,IF('My investments'!$F169='My investments'!$H$21,$X169,0))</f>
        <v>0</v>
      </c>
      <c r="AH169" s="3">
        <f>IF('My investments'!$H$22="",0,IF('My investments'!$F169='My investments'!$H$22,$X169,0))</f>
        <v>0</v>
      </c>
      <c r="AI169" s="3">
        <f>IF('My investments'!$H$23="",0,IF('My investments'!$F169='My investments'!$H$23,$X169,0))</f>
        <v>0</v>
      </c>
      <c r="AJ169" s="3">
        <f>IF('My investments'!$H$24="",0,IF('My investments'!$F169='My investments'!$H$24,$X169,0))</f>
        <v>0</v>
      </c>
      <c r="AL169" s="3" t="str">
        <f>IF('My investments'!$B169="","",IF($D$10=0,"",IFERROR(INDEX('Index history'!$B$8:$B$5007,MATCH('My investments'!$B169,'Index history'!$A$8:$A$5007,1)),"")))</f>
        <v/>
      </c>
      <c r="AM169" s="3">
        <f>IF($AL169="",0,IF('My investments'!$D169="",0,IF('My investments'!$C169="Money in",'My investments'!$D169/$AL169,IF('My investments'!$C169="Money out",-'My investments'!$D169/$AL169,0))))</f>
        <v>0</v>
      </c>
    </row>
    <row r="170">
      <c r="X170" s="3">
        <f>IF('My investments'!$B170="",0,IF('My investments'!$E170="",0,'My investments'!$E170))</f>
        <v>0</v>
      </c>
      <c r="Y170" s="25">
        <f>IF('My investments'!$B170="",$D$8,'My investments'!$B170)</f>
        <v>0</v>
      </c>
      <c r="Z170" s="3">
        <f>IF('My investments'!$C170="Worth today",0,$X170)</f>
        <v>0</v>
      </c>
      <c r="AA170" s="3">
        <f>IF('My investments'!$H$15="",0,IF('My investments'!$F170='My investments'!$H$15,$X170,0))</f>
        <v>0</v>
      </c>
      <c r="AB170" s="3">
        <f>IF('My investments'!$H$16="",0,IF('My investments'!$F170='My investments'!$H$16,$X170,0))</f>
        <v>0</v>
      </c>
      <c r="AC170" s="3">
        <f>IF('My investments'!$H$17="",0,IF('My investments'!$F170='My investments'!$H$17,$X170,0))</f>
        <v>0</v>
      </c>
      <c r="AD170" s="3">
        <f>IF('My investments'!$H$18="",0,IF('My investments'!$F170='My investments'!$H$18,$X170,0))</f>
        <v>0</v>
      </c>
      <c r="AE170" s="3">
        <f>IF('My investments'!$H$19="",0,IF('My investments'!$F170='My investments'!$H$19,$X170,0))</f>
        <v>0</v>
      </c>
      <c r="AF170" s="3">
        <f>IF('My investments'!$H$20="",0,IF('My investments'!$F170='My investments'!$H$20,$X170,0))</f>
        <v>0</v>
      </c>
      <c r="AG170" s="3">
        <f>IF('My investments'!$H$21="",0,IF('My investments'!$F170='My investments'!$H$21,$X170,0))</f>
        <v>0</v>
      </c>
      <c r="AH170" s="3">
        <f>IF('My investments'!$H$22="",0,IF('My investments'!$F170='My investments'!$H$22,$X170,0))</f>
        <v>0</v>
      </c>
      <c r="AI170" s="3">
        <f>IF('My investments'!$H$23="",0,IF('My investments'!$F170='My investments'!$H$23,$X170,0))</f>
        <v>0</v>
      </c>
      <c r="AJ170" s="3">
        <f>IF('My investments'!$H$24="",0,IF('My investments'!$F170='My investments'!$H$24,$X170,0))</f>
        <v>0</v>
      </c>
      <c r="AL170" s="3" t="str">
        <f>IF('My investments'!$B170="","",IF($D$10=0,"",IFERROR(INDEX('Index history'!$B$8:$B$5007,MATCH('My investments'!$B170,'Index history'!$A$8:$A$5007,1)),"")))</f>
        <v/>
      </c>
      <c r="AM170" s="3">
        <f>IF($AL170="",0,IF('My investments'!$D170="",0,IF('My investments'!$C170="Money in",'My investments'!$D170/$AL170,IF('My investments'!$C170="Money out",-'My investments'!$D170/$AL170,0))))</f>
        <v>0</v>
      </c>
    </row>
    <row r="171">
      <c r="X171" s="3">
        <f>IF('My investments'!$B171="",0,IF('My investments'!$E171="",0,'My investments'!$E171))</f>
        <v>0</v>
      </c>
      <c r="Y171" s="25">
        <f>IF('My investments'!$B171="",$D$8,'My investments'!$B171)</f>
        <v>0</v>
      </c>
      <c r="Z171" s="3">
        <f>IF('My investments'!$C171="Worth today",0,$X171)</f>
        <v>0</v>
      </c>
      <c r="AA171" s="3">
        <f>IF('My investments'!$H$15="",0,IF('My investments'!$F171='My investments'!$H$15,$X171,0))</f>
        <v>0</v>
      </c>
      <c r="AB171" s="3">
        <f>IF('My investments'!$H$16="",0,IF('My investments'!$F171='My investments'!$H$16,$X171,0))</f>
        <v>0</v>
      </c>
      <c r="AC171" s="3">
        <f>IF('My investments'!$H$17="",0,IF('My investments'!$F171='My investments'!$H$17,$X171,0))</f>
        <v>0</v>
      </c>
      <c r="AD171" s="3">
        <f>IF('My investments'!$H$18="",0,IF('My investments'!$F171='My investments'!$H$18,$X171,0))</f>
        <v>0</v>
      </c>
      <c r="AE171" s="3">
        <f>IF('My investments'!$H$19="",0,IF('My investments'!$F171='My investments'!$H$19,$X171,0))</f>
        <v>0</v>
      </c>
      <c r="AF171" s="3">
        <f>IF('My investments'!$H$20="",0,IF('My investments'!$F171='My investments'!$H$20,$X171,0))</f>
        <v>0</v>
      </c>
      <c r="AG171" s="3">
        <f>IF('My investments'!$H$21="",0,IF('My investments'!$F171='My investments'!$H$21,$X171,0))</f>
        <v>0</v>
      </c>
      <c r="AH171" s="3">
        <f>IF('My investments'!$H$22="",0,IF('My investments'!$F171='My investments'!$H$22,$X171,0))</f>
        <v>0</v>
      </c>
      <c r="AI171" s="3">
        <f>IF('My investments'!$H$23="",0,IF('My investments'!$F171='My investments'!$H$23,$X171,0))</f>
        <v>0</v>
      </c>
      <c r="AJ171" s="3">
        <f>IF('My investments'!$H$24="",0,IF('My investments'!$F171='My investments'!$H$24,$X171,0))</f>
        <v>0</v>
      </c>
      <c r="AL171" s="3" t="str">
        <f>IF('My investments'!$B171="","",IF($D$10=0,"",IFERROR(INDEX('Index history'!$B$8:$B$5007,MATCH('My investments'!$B171,'Index history'!$A$8:$A$5007,1)),"")))</f>
        <v/>
      </c>
      <c r="AM171" s="3">
        <f>IF($AL171="",0,IF('My investments'!$D171="",0,IF('My investments'!$C171="Money in",'My investments'!$D171/$AL171,IF('My investments'!$C171="Money out",-'My investments'!$D171/$AL171,0))))</f>
        <v>0</v>
      </c>
    </row>
    <row r="172">
      <c r="X172" s="3">
        <f>IF('My investments'!$B172="",0,IF('My investments'!$E172="",0,'My investments'!$E172))</f>
        <v>0</v>
      </c>
      <c r="Y172" s="25">
        <f>IF('My investments'!$B172="",$D$8,'My investments'!$B172)</f>
        <v>0</v>
      </c>
      <c r="Z172" s="3">
        <f>IF('My investments'!$C172="Worth today",0,$X172)</f>
        <v>0</v>
      </c>
      <c r="AA172" s="3">
        <f>IF('My investments'!$H$15="",0,IF('My investments'!$F172='My investments'!$H$15,$X172,0))</f>
        <v>0</v>
      </c>
      <c r="AB172" s="3">
        <f>IF('My investments'!$H$16="",0,IF('My investments'!$F172='My investments'!$H$16,$X172,0))</f>
        <v>0</v>
      </c>
      <c r="AC172" s="3">
        <f>IF('My investments'!$H$17="",0,IF('My investments'!$F172='My investments'!$H$17,$X172,0))</f>
        <v>0</v>
      </c>
      <c r="AD172" s="3">
        <f>IF('My investments'!$H$18="",0,IF('My investments'!$F172='My investments'!$H$18,$X172,0))</f>
        <v>0</v>
      </c>
      <c r="AE172" s="3">
        <f>IF('My investments'!$H$19="",0,IF('My investments'!$F172='My investments'!$H$19,$X172,0))</f>
        <v>0</v>
      </c>
      <c r="AF172" s="3">
        <f>IF('My investments'!$H$20="",0,IF('My investments'!$F172='My investments'!$H$20,$X172,0))</f>
        <v>0</v>
      </c>
      <c r="AG172" s="3">
        <f>IF('My investments'!$H$21="",0,IF('My investments'!$F172='My investments'!$H$21,$X172,0))</f>
        <v>0</v>
      </c>
      <c r="AH172" s="3">
        <f>IF('My investments'!$H$22="",0,IF('My investments'!$F172='My investments'!$H$22,$X172,0))</f>
        <v>0</v>
      </c>
      <c r="AI172" s="3">
        <f>IF('My investments'!$H$23="",0,IF('My investments'!$F172='My investments'!$H$23,$X172,0))</f>
        <v>0</v>
      </c>
      <c r="AJ172" s="3">
        <f>IF('My investments'!$H$24="",0,IF('My investments'!$F172='My investments'!$H$24,$X172,0))</f>
        <v>0</v>
      </c>
      <c r="AL172" s="3" t="str">
        <f>IF('My investments'!$B172="","",IF($D$10=0,"",IFERROR(INDEX('Index history'!$B$8:$B$5007,MATCH('My investments'!$B172,'Index history'!$A$8:$A$5007,1)),"")))</f>
        <v/>
      </c>
      <c r="AM172" s="3">
        <f>IF($AL172="",0,IF('My investments'!$D172="",0,IF('My investments'!$C172="Money in",'My investments'!$D172/$AL172,IF('My investments'!$C172="Money out",-'My investments'!$D172/$AL172,0))))</f>
        <v>0</v>
      </c>
    </row>
    <row r="173">
      <c r="X173" s="3">
        <f>IF('My investments'!$B173="",0,IF('My investments'!$E173="",0,'My investments'!$E173))</f>
        <v>0</v>
      </c>
      <c r="Y173" s="25">
        <f>IF('My investments'!$B173="",$D$8,'My investments'!$B173)</f>
        <v>0</v>
      </c>
      <c r="Z173" s="3">
        <f>IF('My investments'!$C173="Worth today",0,$X173)</f>
        <v>0</v>
      </c>
      <c r="AA173" s="3">
        <f>IF('My investments'!$H$15="",0,IF('My investments'!$F173='My investments'!$H$15,$X173,0))</f>
        <v>0</v>
      </c>
      <c r="AB173" s="3">
        <f>IF('My investments'!$H$16="",0,IF('My investments'!$F173='My investments'!$H$16,$X173,0))</f>
        <v>0</v>
      </c>
      <c r="AC173" s="3">
        <f>IF('My investments'!$H$17="",0,IF('My investments'!$F173='My investments'!$H$17,$X173,0))</f>
        <v>0</v>
      </c>
      <c r="AD173" s="3">
        <f>IF('My investments'!$H$18="",0,IF('My investments'!$F173='My investments'!$H$18,$X173,0))</f>
        <v>0</v>
      </c>
      <c r="AE173" s="3">
        <f>IF('My investments'!$H$19="",0,IF('My investments'!$F173='My investments'!$H$19,$X173,0))</f>
        <v>0</v>
      </c>
      <c r="AF173" s="3">
        <f>IF('My investments'!$H$20="",0,IF('My investments'!$F173='My investments'!$H$20,$X173,0))</f>
        <v>0</v>
      </c>
      <c r="AG173" s="3">
        <f>IF('My investments'!$H$21="",0,IF('My investments'!$F173='My investments'!$H$21,$X173,0))</f>
        <v>0</v>
      </c>
      <c r="AH173" s="3">
        <f>IF('My investments'!$H$22="",0,IF('My investments'!$F173='My investments'!$H$22,$X173,0))</f>
        <v>0</v>
      </c>
      <c r="AI173" s="3">
        <f>IF('My investments'!$H$23="",0,IF('My investments'!$F173='My investments'!$H$23,$X173,0))</f>
        <v>0</v>
      </c>
      <c r="AJ173" s="3">
        <f>IF('My investments'!$H$24="",0,IF('My investments'!$F173='My investments'!$H$24,$X173,0))</f>
        <v>0</v>
      </c>
      <c r="AL173" s="3" t="str">
        <f>IF('My investments'!$B173="","",IF($D$10=0,"",IFERROR(INDEX('Index history'!$B$8:$B$5007,MATCH('My investments'!$B173,'Index history'!$A$8:$A$5007,1)),"")))</f>
        <v/>
      </c>
      <c r="AM173" s="3">
        <f>IF($AL173="",0,IF('My investments'!$D173="",0,IF('My investments'!$C173="Money in",'My investments'!$D173/$AL173,IF('My investments'!$C173="Money out",-'My investments'!$D173/$AL173,0))))</f>
        <v>0</v>
      </c>
    </row>
    <row r="174">
      <c r="X174" s="3">
        <f>IF('My investments'!$B174="",0,IF('My investments'!$E174="",0,'My investments'!$E174))</f>
        <v>0</v>
      </c>
      <c r="Y174" s="25">
        <f>IF('My investments'!$B174="",$D$8,'My investments'!$B174)</f>
        <v>0</v>
      </c>
      <c r="Z174" s="3">
        <f>IF('My investments'!$C174="Worth today",0,$X174)</f>
        <v>0</v>
      </c>
      <c r="AA174" s="3">
        <f>IF('My investments'!$H$15="",0,IF('My investments'!$F174='My investments'!$H$15,$X174,0))</f>
        <v>0</v>
      </c>
      <c r="AB174" s="3">
        <f>IF('My investments'!$H$16="",0,IF('My investments'!$F174='My investments'!$H$16,$X174,0))</f>
        <v>0</v>
      </c>
      <c r="AC174" s="3">
        <f>IF('My investments'!$H$17="",0,IF('My investments'!$F174='My investments'!$H$17,$X174,0))</f>
        <v>0</v>
      </c>
      <c r="AD174" s="3">
        <f>IF('My investments'!$H$18="",0,IF('My investments'!$F174='My investments'!$H$18,$X174,0))</f>
        <v>0</v>
      </c>
      <c r="AE174" s="3">
        <f>IF('My investments'!$H$19="",0,IF('My investments'!$F174='My investments'!$H$19,$X174,0))</f>
        <v>0</v>
      </c>
      <c r="AF174" s="3">
        <f>IF('My investments'!$H$20="",0,IF('My investments'!$F174='My investments'!$H$20,$X174,0))</f>
        <v>0</v>
      </c>
      <c r="AG174" s="3">
        <f>IF('My investments'!$H$21="",0,IF('My investments'!$F174='My investments'!$H$21,$X174,0))</f>
        <v>0</v>
      </c>
      <c r="AH174" s="3">
        <f>IF('My investments'!$H$22="",0,IF('My investments'!$F174='My investments'!$H$22,$X174,0))</f>
        <v>0</v>
      </c>
      <c r="AI174" s="3">
        <f>IF('My investments'!$H$23="",0,IF('My investments'!$F174='My investments'!$H$23,$X174,0))</f>
        <v>0</v>
      </c>
      <c r="AJ174" s="3">
        <f>IF('My investments'!$H$24="",0,IF('My investments'!$F174='My investments'!$H$24,$X174,0))</f>
        <v>0</v>
      </c>
      <c r="AL174" s="3" t="str">
        <f>IF('My investments'!$B174="","",IF($D$10=0,"",IFERROR(INDEX('Index history'!$B$8:$B$5007,MATCH('My investments'!$B174,'Index history'!$A$8:$A$5007,1)),"")))</f>
        <v/>
      </c>
      <c r="AM174" s="3">
        <f>IF($AL174="",0,IF('My investments'!$D174="",0,IF('My investments'!$C174="Money in",'My investments'!$D174/$AL174,IF('My investments'!$C174="Money out",-'My investments'!$D174/$AL174,0))))</f>
        <v>0</v>
      </c>
    </row>
    <row r="175">
      <c r="X175" s="3">
        <f>IF('My investments'!$B175="",0,IF('My investments'!$E175="",0,'My investments'!$E175))</f>
        <v>0</v>
      </c>
      <c r="Y175" s="25">
        <f>IF('My investments'!$B175="",$D$8,'My investments'!$B175)</f>
        <v>0</v>
      </c>
      <c r="Z175" s="3">
        <f>IF('My investments'!$C175="Worth today",0,$X175)</f>
        <v>0</v>
      </c>
      <c r="AA175" s="3">
        <f>IF('My investments'!$H$15="",0,IF('My investments'!$F175='My investments'!$H$15,$X175,0))</f>
        <v>0</v>
      </c>
      <c r="AB175" s="3">
        <f>IF('My investments'!$H$16="",0,IF('My investments'!$F175='My investments'!$H$16,$X175,0))</f>
        <v>0</v>
      </c>
      <c r="AC175" s="3">
        <f>IF('My investments'!$H$17="",0,IF('My investments'!$F175='My investments'!$H$17,$X175,0))</f>
        <v>0</v>
      </c>
      <c r="AD175" s="3">
        <f>IF('My investments'!$H$18="",0,IF('My investments'!$F175='My investments'!$H$18,$X175,0))</f>
        <v>0</v>
      </c>
      <c r="AE175" s="3">
        <f>IF('My investments'!$H$19="",0,IF('My investments'!$F175='My investments'!$H$19,$X175,0))</f>
        <v>0</v>
      </c>
      <c r="AF175" s="3">
        <f>IF('My investments'!$H$20="",0,IF('My investments'!$F175='My investments'!$H$20,$X175,0))</f>
        <v>0</v>
      </c>
      <c r="AG175" s="3">
        <f>IF('My investments'!$H$21="",0,IF('My investments'!$F175='My investments'!$H$21,$X175,0))</f>
        <v>0</v>
      </c>
      <c r="AH175" s="3">
        <f>IF('My investments'!$H$22="",0,IF('My investments'!$F175='My investments'!$H$22,$X175,0))</f>
        <v>0</v>
      </c>
      <c r="AI175" s="3">
        <f>IF('My investments'!$H$23="",0,IF('My investments'!$F175='My investments'!$H$23,$X175,0))</f>
        <v>0</v>
      </c>
      <c r="AJ175" s="3">
        <f>IF('My investments'!$H$24="",0,IF('My investments'!$F175='My investments'!$H$24,$X175,0))</f>
        <v>0</v>
      </c>
      <c r="AL175" s="3" t="str">
        <f>IF('My investments'!$B175="","",IF($D$10=0,"",IFERROR(INDEX('Index history'!$B$8:$B$5007,MATCH('My investments'!$B175,'Index history'!$A$8:$A$5007,1)),"")))</f>
        <v/>
      </c>
      <c r="AM175" s="3">
        <f>IF($AL175="",0,IF('My investments'!$D175="",0,IF('My investments'!$C175="Money in",'My investments'!$D175/$AL175,IF('My investments'!$C175="Money out",-'My investments'!$D175/$AL175,0))))</f>
        <v>0</v>
      </c>
    </row>
    <row r="176">
      <c r="X176" s="3">
        <f>IF('My investments'!$B176="",0,IF('My investments'!$E176="",0,'My investments'!$E176))</f>
        <v>0</v>
      </c>
      <c r="Y176" s="25">
        <f>IF('My investments'!$B176="",$D$8,'My investments'!$B176)</f>
        <v>0</v>
      </c>
      <c r="Z176" s="3">
        <f>IF('My investments'!$C176="Worth today",0,$X176)</f>
        <v>0</v>
      </c>
      <c r="AA176" s="3">
        <f>IF('My investments'!$H$15="",0,IF('My investments'!$F176='My investments'!$H$15,$X176,0))</f>
        <v>0</v>
      </c>
      <c r="AB176" s="3">
        <f>IF('My investments'!$H$16="",0,IF('My investments'!$F176='My investments'!$H$16,$X176,0))</f>
        <v>0</v>
      </c>
      <c r="AC176" s="3">
        <f>IF('My investments'!$H$17="",0,IF('My investments'!$F176='My investments'!$H$17,$X176,0))</f>
        <v>0</v>
      </c>
      <c r="AD176" s="3">
        <f>IF('My investments'!$H$18="",0,IF('My investments'!$F176='My investments'!$H$18,$X176,0))</f>
        <v>0</v>
      </c>
      <c r="AE176" s="3">
        <f>IF('My investments'!$H$19="",0,IF('My investments'!$F176='My investments'!$H$19,$X176,0))</f>
        <v>0</v>
      </c>
      <c r="AF176" s="3">
        <f>IF('My investments'!$H$20="",0,IF('My investments'!$F176='My investments'!$H$20,$X176,0))</f>
        <v>0</v>
      </c>
      <c r="AG176" s="3">
        <f>IF('My investments'!$H$21="",0,IF('My investments'!$F176='My investments'!$H$21,$X176,0))</f>
        <v>0</v>
      </c>
      <c r="AH176" s="3">
        <f>IF('My investments'!$H$22="",0,IF('My investments'!$F176='My investments'!$H$22,$X176,0))</f>
        <v>0</v>
      </c>
      <c r="AI176" s="3">
        <f>IF('My investments'!$H$23="",0,IF('My investments'!$F176='My investments'!$H$23,$X176,0))</f>
        <v>0</v>
      </c>
      <c r="AJ176" s="3">
        <f>IF('My investments'!$H$24="",0,IF('My investments'!$F176='My investments'!$H$24,$X176,0))</f>
        <v>0</v>
      </c>
      <c r="AL176" s="3" t="str">
        <f>IF('My investments'!$B176="","",IF($D$10=0,"",IFERROR(INDEX('Index history'!$B$8:$B$5007,MATCH('My investments'!$B176,'Index history'!$A$8:$A$5007,1)),"")))</f>
        <v/>
      </c>
      <c r="AM176" s="3">
        <f>IF($AL176="",0,IF('My investments'!$D176="",0,IF('My investments'!$C176="Money in",'My investments'!$D176/$AL176,IF('My investments'!$C176="Money out",-'My investments'!$D176/$AL176,0))))</f>
        <v>0</v>
      </c>
    </row>
    <row r="177">
      <c r="X177" s="3">
        <f>IF('My investments'!$B177="",0,IF('My investments'!$E177="",0,'My investments'!$E177))</f>
        <v>0</v>
      </c>
      <c r="Y177" s="25">
        <f>IF('My investments'!$B177="",$D$8,'My investments'!$B177)</f>
        <v>0</v>
      </c>
      <c r="Z177" s="3">
        <f>IF('My investments'!$C177="Worth today",0,$X177)</f>
        <v>0</v>
      </c>
      <c r="AA177" s="3">
        <f>IF('My investments'!$H$15="",0,IF('My investments'!$F177='My investments'!$H$15,$X177,0))</f>
        <v>0</v>
      </c>
      <c r="AB177" s="3">
        <f>IF('My investments'!$H$16="",0,IF('My investments'!$F177='My investments'!$H$16,$X177,0))</f>
        <v>0</v>
      </c>
      <c r="AC177" s="3">
        <f>IF('My investments'!$H$17="",0,IF('My investments'!$F177='My investments'!$H$17,$X177,0))</f>
        <v>0</v>
      </c>
      <c r="AD177" s="3">
        <f>IF('My investments'!$H$18="",0,IF('My investments'!$F177='My investments'!$H$18,$X177,0))</f>
        <v>0</v>
      </c>
      <c r="AE177" s="3">
        <f>IF('My investments'!$H$19="",0,IF('My investments'!$F177='My investments'!$H$19,$X177,0))</f>
        <v>0</v>
      </c>
      <c r="AF177" s="3">
        <f>IF('My investments'!$H$20="",0,IF('My investments'!$F177='My investments'!$H$20,$X177,0))</f>
        <v>0</v>
      </c>
      <c r="AG177" s="3">
        <f>IF('My investments'!$H$21="",0,IF('My investments'!$F177='My investments'!$H$21,$X177,0))</f>
        <v>0</v>
      </c>
      <c r="AH177" s="3">
        <f>IF('My investments'!$H$22="",0,IF('My investments'!$F177='My investments'!$H$22,$X177,0))</f>
        <v>0</v>
      </c>
      <c r="AI177" s="3">
        <f>IF('My investments'!$H$23="",0,IF('My investments'!$F177='My investments'!$H$23,$X177,0))</f>
        <v>0</v>
      </c>
      <c r="AJ177" s="3">
        <f>IF('My investments'!$H$24="",0,IF('My investments'!$F177='My investments'!$H$24,$X177,0))</f>
        <v>0</v>
      </c>
      <c r="AL177" s="3" t="str">
        <f>IF('My investments'!$B177="","",IF($D$10=0,"",IFERROR(INDEX('Index history'!$B$8:$B$5007,MATCH('My investments'!$B177,'Index history'!$A$8:$A$5007,1)),"")))</f>
        <v/>
      </c>
      <c r="AM177" s="3">
        <f>IF($AL177="",0,IF('My investments'!$D177="",0,IF('My investments'!$C177="Money in",'My investments'!$D177/$AL177,IF('My investments'!$C177="Money out",-'My investments'!$D177/$AL177,0))))</f>
        <v>0</v>
      </c>
    </row>
    <row r="178">
      <c r="X178" s="3">
        <f>IF('My investments'!$B178="",0,IF('My investments'!$E178="",0,'My investments'!$E178))</f>
        <v>0</v>
      </c>
      <c r="Y178" s="25">
        <f>IF('My investments'!$B178="",$D$8,'My investments'!$B178)</f>
        <v>0</v>
      </c>
      <c r="Z178" s="3">
        <f>IF('My investments'!$C178="Worth today",0,$X178)</f>
        <v>0</v>
      </c>
      <c r="AA178" s="3">
        <f>IF('My investments'!$H$15="",0,IF('My investments'!$F178='My investments'!$H$15,$X178,0))</f>
        <v>0</v>
      </c>
      <c r="AB178" s="3">
        <f>IF('My investments'!$H$16="",0,IF('My investments'!$F178='My investments'!$H$16,$X178,0))</f>
        <v>0</v>
      </c>
      <c r="AC178" s="3">
        <f>IF('My investments'!$H$17="",0,IF('My investments'!$F178='My investments'!$H$17,$X178,0))</f>
        <v>0</v>
      </c>
      <c r="AD178" s="3">
        <f>IF('My investments'!$H$18="",0,IF('My investments'!$F178='My investments'!$H$18,$X178,0))</f>
        <v>0</v>
      </c>
      <c r="AE178" s="3">
        <f>IF('My investments'!$H$19="",0,IF('My investments'!$F178='My investments'!$H$19,$X178,0))</f>
        <v>0</v>
      </c>
      <c r="AF178" s="3">
        <f>IF('My investments'!$H$20="",0,IF('My investments'!$F178='My investments'!$H$20,$X178,0))</f>
        <v>0</v>
      </c>
      <c r="AG178" s="3">
        <f>IF('My investments'!$H$21="",0,IF('My investments'!$F178='My investments'!$H$21,$X178,0))</f>
        <v>0</v>
      </c>
      <c r="AH178" s="3">
        <f>IF('My investments'!$H$22="",0,IF('My investments'!$F178='My investments'!$H$22,$X178,0))</f>
        <v>0</v>
      </c>
      <c r="AI178" s="3">
        <f>IF('My investments'!$H$23="",0,IF('My investments'!$F178='My investments'!$H$23,$X178,0))</f>
        <v>0</v>
      </c>
      <c r="AJ178" s="3">
        <f>IF('My investments'!$H$24="",0,IF('My investments'!$F178='My investments'!$H$24,$X178,0))</f>
        <v>0</v>
      </c>
      <c r="AL178" s="3" t="str">
        <f>IF('My investments'!$B178="","",IF($D$10=0,"",IFERROR(INDEX('Index history'!$B$8:$B$5007,MATCH('My investments'!$B178,'Index history'!$A$8:$A$5007,1)),"")))</f>
        <v/>
      </c>
      <c r="AM178" s="3">
        <f>IF($AL178="",0,IF('My investments'!$D178="",0,IF('My investments'!$C178="Money in",'My investments'!$D178/$AL178,IF('My investments'!$C178="Money out",-'My investments'!$D178/$AL178,0))))</f>
        <v>0</v>
      </c>
    </row>
    <row r="179">
      <c r="X179" s="3">
        <f>IF('My investments'!$B179="",0,IF('My investments'!$E179="",0,'My investments'!$E179))</f>
        <v>0</v>
      </c>
      <c r="Y179" s="25">
        <f>IF('My investments'!$B179="",$D$8,'My investments'!$B179)</f>
        <v>0</v>
      </c>
      <c r="Z179" s="3">
        <f>IF('My investments'!$C179="Worth today",0,$X179)</f>
        <v>0</v>
      </c>
      <c r="AA179" s="3">
        <f>IF('My investments'!$H$15="",0,IF('My investments'!$F179='My investments'!$H$15,$X179,0))</f>
        <v>0</v>
      </c>
      <c r="AB179" s="3">
        <f>IF('My investments'!$H$16="",0,IF('My investments'!$F179='My investments'!$H$16,$X179,0))</f>
        <v>0</v>
      </c>
      <c r="AC179" s="3">
        <f>IF('My investments'!$H$17="",0,IF('My investments'!$F179='My investments'!$H$17,$X179,0))</f>
        <v>0</v>
      </c>
      <c r="AD179" s="3">
        <f>IF('My investments'!$H$18="",0,IF('My investments'!$F179='My investments'!$H$18,$X179,0))</f>
        <v>0</v>
      </c>
      <c r="AE179" s="3">
        <f>IF('My investments'!$H$19="",0,IF('My investments'!$F179='My investments'!$H$19,$X179,0))</f>
        <v>0</v>
      </c>
      <c r="AF179" s="3">
        <f>IF('My investments'!$H$20="",0,IF('My investments'!$F179='My investments'!$H$20,$X179,0))</f>
        <v>0</v>
      </c>
      <c r="AG179" s="3">
        <f>IF('My investments'!$H$21="",0,IF('My investments'!$F179='My investments'!$H$21,$X179,0))</f>
        <v>0</v>
      </c>
      <c r="AH179" s="3">
        <f>IF('My investments'!$H$22="",0,IF('My investments'!$F179='My investments'!$H$22,$X179,0))</f>
        <v>0</v>
      </c>
      <c r="AI179" s="3">
        <f>IF('My investments'!$H$23="",0,IF('My investments'!$F179='My investments'!$H$23,$X179,0))</f>
        <v>0</v>
      </c>
      <c r="AJ179" s="3">
        <f>IF('My investments'!$H$24="",0,IF('My investments'!$F179='My investments'!$H$24,$X179,0))</f>
        <v>0</v>
      </c>
      <c r="AL179" s="3" t="str">
        <f>IF('My investments'!$B179="","",IF($D$10=0,"",IFERROR(INDEX('Index history'!$B$8:$B$5007,MATCH('My investments'!$B179,'Index history'!$A$8:$A$5007,1)),"")))</f>
        <v/>
      </c>
      <c r="AM179" s="3">
        <f>IF($AL179="",0,IF('My investments'!$D179="",0,IF('My investments'!$C179="Money in",'My investments'!$D179/$AL179,IF('My investments'!$C179="Money out",-'My investments'!$D179/$AL179,0))))</f>
        <v>0</v>
      </c>
    </row>
    <row r="180">
      <c r="X180" s="3">
        <f>IF('My investments'!$B180="",0,IF('My investments'!$E180="",0,'My investments'!$E180))</f>
        <v>0</v>
      </c>
      <c r="Y180" s="25">
        <f>IF('My investments'!$B180="",$D$8,'My investments'!$B180)</f>
        <v>0</v>
      </c>
      <c r="Z180" s="3">
        <f>IF('My investments'!$C180="Worth today",0,$X180)</f>
        <v>0</v>
      </c>
      <c r="AA180" s="3">
        <f>IF('My investments'!$H$15="",0,IF('My investments'!$F180='My investments'!$H$15,$X180,0))</f>
        <v>0</v>
      </c>
      <c r="AB180" s="3">
        <f>IF('My investments'!$H$16="",0,IF('My investments'!$F180='My investments'!$H$16,$X180,0))</f>
        <v>0</v>
      </c>
      <c r="AC180" s="3">
        <f>IF('My investments'!$H$17="",0,IF('My investments'!$F180='My investments'!$H$17,$X180,0))</f>
        <v>0</v>
      </c>
      <c r="AD180" s="3">
        <f>IF('My investments'!$H$18="",0,IF('My investments'!$F180='My investments'!$H$18,$X180,0))</f>
        <v>0</v>
      </c>
      <c r="AE180" s="3">
        <f>IF('My investments'!$H$19="",0,IF('My investments'!$F180='My investments'!$H$19,$X180,0))</f>
        <v>0</v>
      </c>
      <c r="AF180" s="3">
        <f>IF('My investments'!$H$20="",0,IF('My investments'!$F180='My investments'!$H$20,$X180,0))</f>
        <v>0</v>
      </c>
      <c r="AG180" s="3">
        <f>IF('My investments'!$H$21="",0,IF('My investments'!$F180='My investments'!$H$21,$X180,0))</f>
        <v>0</v>
      </c>
      <c r="AH180" s="3">
        <f>IF('My investments'!$H$22="",0,IF('My investments'!$F180='My investments'!$H$22,$X180,0))</f>
        <v>0</v>
      </c>
      <c r="AI180" s="3">
        <f>IF('My investments'!$H$23="",0,IF('My investments'!$F180='My investments'!$H$23,$X180,0))</f>
        <v>0</v>
      </c>
      <c r="AJ180" s="3">
        <f>IF('My investments'!$H$24="",0,IF('My investments'!$F180='My investments'!$H$24,$X180,0))</f>
        <v>0</v>
      </c>
      <c r="AL180" s="3" t="str">
        <f>IF('My investments'!$B180="","",IF($D$10=0,"",IFERROR(INDEX('Index history'!$B$8:$B$5007,MATCH('My investments'!$B180,'Index history'!$A$8:$A$5007,1)),"")))</f>
        <v/>
      </c>
      <c r="AM180" s="3">
        <f>IF($AL180="",0,IF('My investments'!$D180="",0,IF('My investments'!$C180="Money in",'My investments'!$D180/$AL180,IF('My investments'!$C180="Money out",-'My investments'!$D180/$AL180,0))))</f>
        <v>0</v>
      </c>
    </row>
    <row r="181">
      <c r="X181" s="3">
        <f>IF('My investments'!$B181="",0,IF('My investments'!$E181="",0,'My investments'!$E181))</f>
        <v>0</v>
      </c>
      <c r="Y181" s="25">
        <f>IF('My investments'!$B181="",$D$8,'My investments'!$B181)</f>
        <v>0</v>
      </c>
      <c r="Z181" s="3">
        <f>IF('My investments'!$C181="Worth today",0,$X181)</f>
        <v>0</v>
      </c>
      <c r="AA181" s="3">
        <f>IF('My investments'!$H$15="",0,IF('My investments'!$F181='My investments'!$H$15,$X181,0))</f>
        <v>0</v>
      </c>
      <c r="AB181" s="3">
        <f>IF('My investments'!$H$16="",0,IF('My investments'!$F181='My investments'!$H$16,$X181,0))</f>
        <v>0</v>
      </c>
      <c r="AC181" s="3">
        <f>IF('My investments'!$H$17="",0,IF('My investments'!$F181='My investments'!$H$17,$X181,0))</f>
        <v>0</v>
      </c>
      <c r="AD181" s="3">
        <f>IF('My investments'!$H$18="",0,IF('My investments'!$F181='My investments'!$H$18,$X181,0))</f>
        <v>0</v>
      </c>
      <c r="AE181" s="3">
        <f>IF('My investments'!$H$19="",0,IF('My investments'!$F181='My investments'!$H$19,$X181,0))</f>
        <v>0</v>
      </c>
      <c r="AF181" s="3">
        <f>IF('My investments'!$H$20="",0,IF('My investments'!$F181='My investments'!$H$20,$X181,0))</f>
        <v>0</v>
      </c>
      <c r="AG181" s="3">
        <f>IF('My investments'!$H$21="",0,IF('My investments'!$F181='My investments'!$H$21,$X181,0))</f>
        <v>0</v>
      </c>
      <c r="AH181" s="3">
        <f>IF('My investments'!$H$22="",0,IF('My investments'!$F181='My investments'!$H$22,$X181,0))</f>
        <v>0</v>
      </c>
      <c r="AI181" s="3">
        <f>IF('My investments'!$H$23="",0,IF('My investments'!$F181='My investments'!$H$23,$X181,0))</f>
        <v>0</v>
      </c>
      <c r="AJ181" s="3">
        <f>IF('My investments'!$H$24="",0,IF('My investments'!$F181='My investments'!$H$24,$X181,0))</f>
        <v>0</v>
      </c>
      <c r="AL181" s="3" t="str">
        <f>IF('My investments'!$B181="","",IF($D$10=0,"",IFERROR(INDEX('Index history'!$B$8:$B$5007,MATCH('My investments'!$B181,'Index history'!$A$8:$A$5007,1)),"")))</f>
        <v/>
      </c>
      <c r="AM181" s="3">
        <f>IF($AL181="",0,IF('My investments'!$D181="",0,IF('My investments'!$C181="Money in",'My investments'!$D181/$AL181,IF('My investments'!$C181="Money out",-'My investments'!$D181/$AL181,0))))</f>
        <v>0</v>
      </c>
    </row>
    <row r="182">
      <c r="X182" s="3">
        <f>IF('My investments'!$B182="",0,IF('My investments'!$E182="",0,'My investments'!$E182))</f>
        <v>0</v>
      </c>
      <c r="Y182" s="25">
        <f>IF('My investments'!$B182="",$D$8,'My investments'!$B182)</f>
        <v>0</v>
      </c>
      <c r="Z182" s="3">
        <f>IF('My investments'!$C182="Worth today",0,$X182)</f>
        <v>0</v>
      </c>
      <c r="AA182" s="3">
        <f>IF('My investments'!$H$15="",0,IF('My investments'!$F182='My investments'!$H$15,$X182,0))</f>
        <v>0</v>
      </c>
      <c r="AB182" s="3">
        <f>IF('My investments'!$H$16="",0,IF('My investments'!$F182='My investments'!$H$16,$X182,0))</f>
        <v>0</v>
      </c>
      <c r="AC182" s="3">
        <f>IF('My investments'!$H$17="",0,IF('My investments'!$F182='My investments'!$H$17,$X182,0))</f>
        <v>0</v>
      </c>
      <c r="AD182" s="3">
        <f>IF('My investments'!$H$18="",0,IF('My investments'!$F182='My investments'!$H$18,$X182,0))</f>
        <v>0</v>
      </c>
      <c r="AE182" s="3">
        <f>IF('My investments'!$H$19="",0,IF('My investments'!$F182='My investments'!$H$19,$X182,0))</f>
        <v>0</v>
      </c>
      <c r="AF182" s="3">
        <f>IF('My investments'!$H$20="",0,IF('My investments'!$F182='My investments'!$H$20,$X182,0))</f>
        <v>0</v>
      </c>
      <c r="AG182" s="3">
        <f>IF('My investments'!$H$21="",0,IF('My investments'!$F182='My investments'!$H$21,$X182,0))</f>
        <v>0</v>
      </c>
      <c r="AH182" s="3">
        <f>IF('My investments'!$H$22="",0,IF('My investments'!$F182='My investments'!$H$22,$X182,0))</f>
        <v>0</v>
      </c>
      <c r="AI182" s="3">
        <f>IF('My investments'!$H$23="",0,IF('My investments'!$F182='My investments'!$H$23,$X182,0))</f>
        <v>0</v>
      </c>
      <c r="AJ182" s="3">
        <f>IF('My investments'!$H$24="",0,IF('My investments'!$F182='My investments'!$H$24,$X182,0))</f>
        <v>0</v>
      </c>
      <c r="AL182" s="3" t="str">
        <f>IF('My investments'!$B182="","",IF($D$10=0,"",IFERROR(INDEX('Index history'!$B$8:$B$5007,MATCH('My investments'!$B182,'Index history'!$A$8:$A$5007,1)),"")))</f>
        <v/>
      </c>
      <c r="AM182" s="3">
        <f>IF($AL182="",0,IF('My investments'!$D182="",0,IF('My investments'!$C182="Money in",'My investments'!$D182/$AL182,IF('My investments'!$C182="Money out",-'My investments'!$D182/$AL182,0))))</f>
        <v>0</v>
      </c>
    </row>
    <row r="183">
      <c r="X183" s="3">
        <f>IF('My investments'!$B183="",0,IF('My investments'!$E183="",0,'My investments'!$E183))</f>
        <v>0</v>
      </c>
      <c r="Y183" s="25">
        <f>IF('My investments'!$B183="",$D$8,'My investments'!$B183)</f>
        <v>0</v>
      </c>
      <c r="Z183" s="3">
        <f>IF('My investments'!$C183="Worth today",0,$X183)</f>
        <v>0</v>
      </c>
      <c r="AA183" s="3">
        <f>IF('My investments'!$H$15="",0,IF('My investments'!$F183='My investments'!$H$15,$X183,0))</f>
        <v>0</v>
      </c>
      <c r="AB183" s="3">
        <f>IF('My investments'!$H$16="",0,IF('My investments'!$F183='My investments'!$H$16,$X183,0))</f>
        <v>0</v>
      </c>
      <c r="AC183" s="3">
        <f>IF('My investments'!$H$17="",0,IF('My investments'!$F183='My investments'!$H$17,$X183,0))</f>
        <v>0</v>
      </c>
      <c r="AD183" s="3">
        <f>IF('My investments'!$H$18="",0,IF('My investments'!$F183='My investments'!$H$18,$X183,0))</f>
        <v>0</v>
      </c>
      <c r="AE183" s="3">
        <f>IF('My investments'!$H$19="",0,IF('My investments'!$F183='My investments'!$H$19,$X183,0))</f>
        <v>0</v>
      </c>
      <c r="AF183" s="3">
        <f>IF('My investments'!$H$20="",0,IF('My investments'!$F183='My investments'!$H$20,$X183,0))</f>
        <v>0</v>
      </c>
      <c r="AG183" s="3">
        <f>IF('My investments'!$H$21="",0,IF('My investments'!$F183='My investments'!$H$21,$X183,0))</f>
        <v>0</v>
      </c>
      <c r="AH183" s="3">
        <f>IF('My investments'!$H$22="",0,IF('My investments'!$F183='My investments'!$H$22,$X183,0))</f>
        <v>0</v>
      </c>
      <c r="AI183" s="3">
        <f>IF('My investments'!$H$23="",0,IF('My investments'!$F183='My investments'!$H$23,$X183,0))</f>
        <v>0</v>
      </c>
      <c r="AJ183" s="3">
        <f>IF('My investments'!$H$24="",0,IF('My investments'!$F183='My investments'!$H$24,$X183,0))</f>
        <v>0</v>
      </c>
      <c r="AL183" s="3" t="str">
        <f>IF('My investments'!$B183="","",IF($D$10=0,"",IFERROR(INDEX('Index history'!$B$8:$B$5007,MATCH('My investments'!$B183,'Index history'!$A$8:$A$5007,1)),"")))</f>
        <v/>
      </c>
      <c r="AM183" s="3">
        <f>IF($AL183="",0,IF('My investments'!$D183="",0,IF('My investments'!$C183="Money in",'My investments'!$D183/$AL183,IF('My investments'!$C183="Money out",-'My investments'!$D183/$AL183,0))))</f>
        <v>0</v>
      </c>
    </row>
    <row r="184">
      <c r="X184" s="3">
        <f>IF('My investments'!$B184="",0,IF('My investments'!$E184="",0,'My investments'!$E184))</f>
        <v>0</v>
      </c>
      <c r="Y184" s="25">
        <f>IF('My investments'!$B184="",$D$8,'My investments'!$B184)</f>
        <v>0</v>
      </c>
      <c r="Z184" s="3">
        <f>IF('My investments'!$C184="Worth today",0,$X184)</f>
        <v>0</v>
      </c>
      <c r="AA184" s="3">
        <f>IF('My investments'!$H$15="",0,IF('My investments'!$F184='My investments'!$H$15,$X184,0))</f>
        <v>0</v>
      </c>
      <c r="AB184" s="3">
        <f>IF('My investments'!$H$16="",0,IF('My investments'!$F184='My investments'!$H$16,$X184,0))</f>
        <v>0</v>
      </c>
      <c r="AC184" s="3">
        <f>IF('My investments'!$H$17="",0,IF('My investments'!$F184='My investments'!$H$17,$X184,0))</f>
        <v>0</v>
      </c>
      <c r="AD184" s="3">
        <f>IF('My investments'!$H$18="",0,IF('My investments'!$F184='My investments'!$H$18,$X184,0))</f>
        <v>0</v>
      </c>
      <c r="AE184" s="3">
        <f>IF('My investments'!$H$19="",0,IF('My investments'!$F184='My investments'!$H$19,$X184,0))</f>
        <v>0</v>
      </c>
      <c r="AF184" s="3">
        <f>IF('My investments'!$H$20="",0,IF('My investments'!$F184='My investments'!$H$20,$X184,0))</f>
        <v>0</v>
      </c>
      <c r="AG184" s="3">
        <f>IF('My investments'!$H$21="",0,IF('My investments'!$F184='My investments'!$H$21,$X184,0))</f>
        <v>0</v>
      </c>
      <c r="AH184" s="3">
        <f>IF('My investments'!$H$22="",0,IF('My investments'!$F184='My investments'!$H$22,$X184,0))</f>
        <v>0</v>
      </c>
      <c r="AI184" s="3">
        <f>IF('My investments'!$H$23="",0,IF('My investments'!$F184='My investments'!$H$23,$X184,0))</f>
        <v>0</v>
      </c>
      <c r="AJ184" s="3">
        <f>IF('My investments'!$H$24="",0,IF('My investments'!$F184='My investments'!$H$24,$X184,0))</f>
        <v>0</v>
      </c>
      <c r="AL184" s="3" t="str">
        <f>IF('My investments'!$B184="","",IF($D$10=0,"",IFERROR(INDEX('Index history'!$B$8:$B$5007,MATCH('My investments'!$B184,'Index history'!$A$8:$A$5007,1)),"")))</f>
        <v/>
      </c>
      <c r="AM184" s="3">
        <f>IF($AL184="",0,IF('My investments'!$D184="",0,IF('My investments'!$C184="Money in",'My investments'!$D184/$AL184,IF('My investments'!$C184="Money out",-'My investments'!$D184/$AL184,0))))</f>
        <v>0</v>
      </c>
    </row>
    <row r="185">
      <c r="X185" s="3">
        <f>IF('My investments'!$B185="",0,IF('My investments'!$E185="",0,'My investments'!$E185))</f>
        <v>0</v>
      </c>
      <c r="Y185" s="25">
        <f>IF('My investments'!$B185="",$D$8,'My investments'!$B185)</f>
        <v>0</v>
      </c>
      <c r="Z185" s="3">
        <f>IF('My investments'!$C185="Worth today",0,$X185)</f>
        <v>0</v>
      </c>
      <c r="AA185" s="3">
        <f>IF('My investments'!$H$15="",0,IF('My investments'!$F185='My investments'!$H$15,$X185,0))</f>
        <v>0</v>
      </c>
      <c r="AB185" s="3">
        <f>IF('My investments'!$H$16="",0,IF('My investments'!$F185='My investments'!$H$16,$X185,0))</f>
        <v>0</v>
      </c>
      <c r="AC185" s="3">
        <f>IF('My investments'!$H$17="",0,IF('My investments'!$F185='My investments'!$H$17,$X185,0))</f>
        <v>0</v>
      </c>
      <c r="AD185" s="3">
        <f>IF('My investments'!$H$18="",0,IF('My investments'!$F185='My investments'!$H$18,$X185,0))</f>
        <v>0</v>
      </c>
      <c r="AE185" s="3">
        <f>IF('My investments'!$H$19="",0,IF('My investments'!$F185='My investments'!$H$19,$X185,0))</f>
        <v>0</v>
      </c>
      <c r="AF185" s="3">
        <f>IF('My investments'!$H$20="",0,IF('My investments'!$F185='My investments'!$H$20,$X185,0))</f>
        <v>0</v>
      </c>
      <c r="AG185" s="3">
        <f>IF('My investments'!$H$21="",0,IF('My investments'!$F185='My investments'!$H$21,$X185,0))</f>
        <v>0</v>
      </c>
      <c r="AH185" s="3">
        <f>IF('My investments'!$H$22="",0,IF('My investments'!$F185='My investments'!$H$22,$X185,0))</f>
        <v>0</v>
      </c>
      <c r="AI185" s="3">
        <f>IF('My investments'!$H$23="",0,IF('My investments'!$F185='My investments'!$H$23,$X185,0))</f>
        <v>0</v>
      </c>
      <c r="AJ185" s="3">
        <f>IF('My investments'!$H$24="",0,IF('My investments'!$F185='My investments'!$H$24,$X185,0))</f>
        <v>0</v>
      </c>
      <c r="AL185" s="3" t="str">
        <f>IF('My investments'!$B185="","",IF($D$10=0,"",IFERROR(INDEX('Index history'!$B$8:$B$5007,MATCH('My investments'!$B185,'Index history'!$A$8:$A$5007,1)),"")))</f>
        <v/>
      </c>
      <c r="AM185" s="3">
        <f>IF($AL185="",0,IF('My investments'!$D185="",0,IF('My investments'!$C185="Money in",'My investments'!$D185/$AL185,IF('My investments'!$C185="Money out",-'My investments'!$D185/$AL185,0))))</f>
        <v>0</v>
      </c>
    </row>
    <row r="186">
      <c r="X186" s="3">
        <f>IF('My investments'!$B186="",0,IF('My investments'!$E186="",0,'My investments'!$E186))</f>
        <v>0</v>
      </c>
      <c r="Y186" s="25">
        <f>IF('My investments'!$B186="",$D$8,'My investments'!$B186)</f>
        <v>0</v>
      </c>
      <c r="Z186" s="3">
        <f>IF('My investments'!$C186="Worth today",0,$X186)</f>
        <v>0</v>
      </c>
      <c r="AA186" s="3">
        <f>IF('My investments'!$H$15="",0,IF('My investments'!$F186='My investments'!$H$15,$X186,0))</f>
        <v>0</v>
      </c>
      <c r="AB186" s="3">
        <f>IF('My investments'!$H$16="",0,IF('My investments'!$F186='My investments'!$H$16,$X186,0))</f>
        <v>0</v>
      </c>
      <c r="AC186" s="3">
        <f>IF('My investments'!$H$17="",0,IF('My investments'!$F186='My investments'!$H$17,$X186,0))</f>
        <v>0</v>
      </c>
      <c r="AD186" s="3">
        <f>IF('My investments'!$H$18="",0,IF('My investments'!$F186='My investments'!$H$18,$X186,0))</f>
        <v>0</v>
      </c>
      <c r="AE186" s="3">
        <f>IF('My investments'!$H$19="",0,IF('My investments'!$F186='My investments'!$H$19,$X186,0))</f>
        <v>0</v>
      </c>
      <c r="AF186" s="3">
        <f>IF('My investments'!$H$20="",0,IF('My investments'!$F186='My investments'!$H$20,$X186,0))</f>
        <v>0</v>
      </c>
      <c r="AG186" s="3">
        <f>IF('My investments'!$H$21="",0,IF('My investments'!$F186='My investments'!$H$21,$X186,0))</f>
        <v>0</v>
      </c>
      <c r="AH186" s="3">
        <f>IF('My investments'!$H$22="",0,IF('My investments'!$F186='My investments'!$H$22,$X186,0))</f>
        <v>0</v>
      </c>
      <c r="AI186" s="3">
        <f>IF('My investments'!$H$23="",0,IF('My investments'!$F186='My investments'!$H$23,$X186,0))</f>
        <v>0</v>
      </c>
      <c r="AJ186" s="3">
        <f>IF('My investments'!$H$24="",0,IF('My investments'!$F186='My investments'!$H$24,$X186,0))</f>
        <v>0</v>
      </c>
      <c r="AL186" s="3" t="str">
        <f>IF('My investments'!$B186="","",IF($D$10=0,"",IFERROR(INDEX('Index history'!$B$8:$B$5007,MATCH('My investments'!$B186,'Index history'!$A$8:$A$5007,1)),"")))</f>
        <v/>
      </c>
      <c r="AM186" s="3">
        <f>IF($AL186="",0,IF('My investments'!$D186="",0,IF('My investments'!$C186="Money in",'My investments'!$D186/$AL186,IF('My investments'!$C186="Money out",-'My investments'!$D186/$AL186,0))))</f>
        <v>0</v>
      </c>
    </row>
    <row r="187">
      <c r="X187" s="3">
        <f>IF('My investments'!$B187="",0,IF('My investments'!$E187="",0,'My investments'!$E187))</f>
        <v>0</v>
      </c>
      <c r="Y187" s="25">
        <f>IF('My investments'!$B187="",$D$8,'My investments'!$B187)</f>
        <v>0</v>
      </c>
      <c r="Z187" s="3">
        <f>IF('My investments'!$C187="Worth today",0,$X187)</f>
        <v>0</v>
      </c>
      <c r="AA187" s="3">
        <f>IF('My investments'!$H$15="",0,IF('My investments'!$F187='My investments'!$H$15,$X187,0))</f>
        <v>0</v>
      </c>
      <c r="AB187" s="3">
        <f>IF('My investments'!$H$16="",0,IF('My investments'!$F187='My investments'!$H$16,$X187,0))</f>
        <v>0</v>
      </c>
      <c r="AC187" s="3">
        <f>IF('My investments'!$H$17="",0,IF('My investments'!$F187='My investments'!$H$17,$X187,0))</f>
        <v>0</v>
      </c>
      <c r="AD187" s="3">
        <f>IF('My investments'!$H$18="",0,IF('My investments'!$F187='My investments'!$H$18,$X187,0))</f>
        <v>0</v>
      </c>
      <c r="AE187" s="3">
        <f>IF('My investments'!$H$19="",0,IF('My investments'!$F187='My investments'!$H$19,$X187,0))</f>
        <v>0</v>
      </c>
      <c r="AF187" s="3">
        <f>IF('My investments'!$H$20="",0,IF('My investments'!$F187='My investments'!$H$20,$X187,0))</f>
        <v>0</v>
      </c>
      <c r="AG187" s="3">
        <f>IF('My investments'!$H$21="",0,IF('My investments'!$F187='My investments'!$H$21,$X187,0))</f>
        <v>0</v>
      </c>
      <c r="AH187" s="3">
        <f>IF('My investments'!$H$22="",0,IF('My investments'!$F187='My investments'!$H$22,$X187,0))</f>
        <v>0</v>
      </c>
      <c r="AI187" s="3">
        <f>IF('My investments'!$H$23="",0,IF('My investments'!$F187='My investments'!$H$23,$X187,0))</f>
        <v>0</v>
      </c>
      <c r="AJ187" s="3">
        <f>IF('My investments'!$H$24="",0,IF('My investments'!$F187='My investments'!$H$24,$X187,0))</f>
        <v>0</v>
      </c>
      <c r="AL187" s="3" t="str">
        <f>IF('My investments'!$B187="","",IF($D$10=0,"",IFERROR(INDEX('Index history'!$B$8:$B$5007,MATCH('My investments'!$B187,'Index history'!$A$8:$A$5007,1)),"")))</f>
        <v/>
      </c>
      <c r="AM187" s="3">
        <f>IF($AL187="",0,IF('My investments'!$D187="",0,IF('My investments'!$C187="Money in",'My investments'!$D187/$AL187,IF('My investments'!$C187="Money out",-'My investments'!$D187/$AL187,0))))</f>
        <v>0</v>
      </c>
    </row>
    <row r="188">
      <c r="X188" s="3">
        <f>IF('My investments'!$B188="",0,IF('My investments'!$E188="",0,'My investments'!$E188))</f>
        <v>0</v>
      </c>
      <c r="Y188" s="25">
        <f>IF('My investments'!$B188="",$D$8,'My investments'!$B188)</f>
        <v>0</v>
      </c>
      <c r="Z188" s="3">
        <f>IF('My investments'!$C188="Worth today",0,$X188)</f>
        <v>0</v>
      </c>
      <c r="AA188" s="3">
        <f>IF('My investments'!$H$15="",0,IF('My investments'!$F188='My investments'!$H$15,$X188,0))</f>
        <v>0</v>
      </c>
      <c r="AB188" s="3">
        <f>IF('My investments'!$H$16="",0,IF('My investments'!$F188='My investments'!$H$16,$X188,0))</f>
        <v>0</v>
      </c>
      <c r="AC188" s="3">
        <f>IF('My investments'!$H$17="",0,IF('My investments'!$F188='My investments'!$H$17,$X188,0))</f>
        <v>0</v>
      </c>
      <c r="AD188" s="3">
        <f>IF('My investments'!$H$18="",0,IF('My investments'!$F188='My investments'!$H$18,$X188,0))</f>
        <v>0</v>
      </c>
      <c r="AE188" s="3">
        <f>IF('My investments'!$H$19="",0,IF('My investments'!$F188='My investments'!$H$19,$X188,0))</f>
        <v>0</v>
      </c>
      <c r="AF188" s="3">
        <f>IF('My investments'!$H$20="",0,IF('My investments'!$F188='My investments'!$H$20,$X188,0))</f>
        <v>0</v>
      </c>
      <c r="AG188" s="3">
        <f>IF('My investments'!$H$21="",0,IF('My investments'!$F188='My investments'!$H$21,$X188,0))</f>
        <v>0</v>
      </c>
      <c r="AH188" s="3">
        <f>IF('My investments'!$H$22="",0,IF('My investments'!$F188='My investments'!$H$22,$X188,0))</f>
        <v>0</v>
      </c>
      <c r="AI188" s="3">
        <f>IF('My investments'!$H$23="",0,IF('My investments'!$F188='My investments'!$H$23,$X188,0))</f>
        <v>0</v>
      </c>
      <c r="AJ188" s="3">
        <f>IF('My investments'!$H$24="",0,IF('My investments'!$F188='My investments'!$H$24,$X188,0))</f>
        <v>0</v>
      </c>
      <c r="AL188" s="3" t="str">
        <f>IF('My investments'!$B188="","",IF($D$10=0,"",IFERROR(INDEX('Index history'!$B$8:$B$5007,MATCH('My investments'!$B188,'Index history'!$A$8:$A$5007,1)),"")))</f>
        <v/>
      </c>
      <c r="AM188" s="3">
        <f>IF($AL188="",0,IF('My investments'!$D188="",0,IF('My investments'!$C188="Money in",'My investments'!$D188/$AL188,IF('My investments'!$C188="Money out",-'My investments'!$D188/$AL188,0))))</f>
        <v>0</v>
      </c>
    </row>
    <row r="189">
      <c r="X189" s="3">
        <f>IF('My investments'!$B189="",0,IF('My investments'!$E189="",0,'My investments'!$E189))</f>
        <v>0</v>
      </c>
      <c r="Y189" s="25">
        <f>IF('My investments'!$B189="",$D$8,'My investments'!$B189)</f>
        <v>0</v>
      </c>
      <c r="Z189" s="3">
        <f>IF('My investments'!$C189="Worth today",0,$X189)</f>
        <v>0</v>
      </c>
      <c r="AA189" s="3">
        <f>IF('My investments'!$H$15="",0,IF('My investments'!$F189='My investments'!$H$15,$X189,0))</f>
        <v>0</v>
      </c>
      <c r="AB189" s="3">
        <f>IF('My investments'!$H$16="",0,IF('My investments'!$F189='My investments'!$H$16,$X189,0))</f>
        <v>0</v>
      </c>
      <c r="AC189" s="3">
        <f>IF('My investments'!$H$17="",0,IF('My investments'!$F189='My investments'!$H$17,$X189,0))</f>
        <v>0</v>
      </c>
      <c r="AD189" s="3">
        <f>IF('My investments'!$H$18="",0,IF('My investments'!$F189='My investments'!$H$18,$X189,0))</f>
        <v>0</v>
      </c>
      <c r="AE189" s="3">
        <f>IF('My investments'!$H$19="",0,IF('My investments'!$F189='My investments'!$H$19,$X189,0))</f>
        <v>0</v>
      </c>
      <c r="AF189" s="3">
        <f>IF('My investments'!$H$20="",0,IF('My investments'!$F189='My investments'!$H$20,$X189,0))</f>
        <v>0</v>
      </c>
      <c r="AG189" s="3">
        <f>IF('My investments'!$H$21="",0,IF('My investments'!$F189='My investments'!$H$21,$X189,0))</f>
        <v>0</v>
      </c>
      <c r="AH189" s="3">
        <f>IF('My investments'!$H$22="",0,IF('My investments'!$F189='My investments'!$H$22,$X189,0))</f>
        <v>0</v>
      </c>
      <c r="AI189" s="3">
        <f>IF('My investments'!$H$23="",0,IF('My investments'!$F189='My investments'!$H$23,$X189,0))</f>
        <v>0</v>
      </c>
      <c r="AJ189" s="3">
        <f>IF('My investments'!$H$24="",0,IF('My investments'!$F189='My investments'!$H$24,$X189,0))</f>
        <v>0</v>
      </c>
      <c r="AL189" s="3" t="str">
        <f>IF('My investments'!$B189="","",IF($D$10=0,"",IFERROR(INDEX('Index history'!$B$8:$B$5007,MATCH('My investments'!$B189,'Index history'!$A$8:$A$5007,1)),"")))</f>
        <v/>
      </c>
      <c r="AM189" s="3">
        <f>IF($AL189="",0,IF('My investments'!$D189="",0,IF('My investments'!$C189="Money in",'My investments'!$D189/$AL189,IF('My investments'!$C189="Money out",-'My investments'!$D189/$AL189,0))))</f>
        <v>0</v>
      </c>
    </row>
    <row r="190">
      <c r="X190" s="3">
        <f>IF('My investments'!$B190="",0,IF('My investments'!$E190="",0,'My investments'!$E190))</f>
        <v>0</v>
      </c>
      <c r="Y190" s="25">
        <f>IF('My investments'!$B190="",$D$8,'My investments'!$B190)</f>
        <v>0</v>
      </c>
      <c r="Z190" s="3">
        <f>IF('My investments'!$C190="Worth today",0,$X190)</f>
        <v>0</v>
      </c>
      <c r="AA190" s="3">
        <f>IF('My investments'!$H$15="",0,IF('My investments'!$F190='My investments'!$H$15,$X190,0))</f>
        <v>0</v>
      </c>
      <c r="AB190" s="3">
        <f>IF('My investments'!$H$16="",0,IF('My investments'!$F190='My investments'!$H$16,$X190,0))</f>
        <v>0</v>
      </c>
      <c r="AC190" s="3">
        <f>IF('My investments'!$H$17="",0,IF('My investments'!$F190='My investments'!$H$17,$X190,0))</f>
        <v>0</v>
      </c>
      <c r="AD190" s="3">
        <f>IF('My investments'!$H$18="",0,IF('My investments'!$F190='My investments'!$H$18,$X190,0))</f>
        <v>0</v>
      </c>
      <c r="AE190" s="3">
        <f>IF('My investments'!$H$19="",0,IF('My investments'!$F190='My investments'!$H$19,$X190,0))</f>
        <v>0</v>
      </c>
      <c r="AF190" s="3">
        <f>IF('My investments'!$H$20="",0,IF('My investments'!$F190='My investments'!$H$20,$X190,0))</f>
        <v>0</v>
      </c>
      <c r="AG190" s="3">
        <f>IF('My investments'!$H$21="",0,IF('My investments'!$F190='My investments'!$H$21,$X190,0))</f>
        <v>0</v>
      </c>
      <c r="AH190" s="3">
        <f>IF('My investments'!$H$22="",0,IF('My investments'!$F190='My investments'!$H$22,$X190,0))</f>
        <v>0</v>
      </c>
      <c r="AI190" s="3">
        <f>IF('My investments'!$H$23="",0,IF('My investments'!$F190='My investments'!$H$23,$X190,0))</f>
        <v>0</v>
      </c>
      <c r="AJ190" s="3">
        <f>IF('My investments'!$H$24="",0,IF('My investments'!$F190='My investments'!$H$24,$X190,0))</f>
        <v>0</v>
      </c>
      <c r="AL190" s="3" t="str">
        <f>IF('My investments'!$B190="","",IF($D$10=0,"",IFERROR(INDEX('Index history'!$B$8:$B$5007,MATCH('My investments'!$B190,'Index history'!$A$8:$A$5007,1)),"")))</f>
        <v/>
      </c>
      <c r="AM190" s="3">
        <f>IF($AL190="",0,IF('My investments'!$D190="",0,IF('My investments'!$C190="Money in",'My investments'!$D190/$AL190,IF('My investments'!$C190="Money out",-'My investments'!$D190/$AL190,0))))</f>
        <v>0</v>
      </c>
    </row>
    <row r="191">
      <c r="X191" s="3">
        <f>IF('My investments'!$B191="",0,IF('My investments'!$E191="",0,'My investments'!$E191))</f>
        <v>0</v>
      </c>
      <c r="Y191" s="25">
        <f>IF('My investments'!$B191="",$D$8,'My investments'!$B191)</f>
        <v>0</v>
      </c>
      <c r="Z191" s="3">
        <f>IF('My investments'!$C191="Worth today",0,$X191)</f>
        <v>0</v>
      </c>
      <c r="AA191" s="3">
        <f>IF('My investments'!$H$15="",0,IF('My investments'!$F191='My investments'!$H$15,$X191,0))</f>
        <v>0</v>
      </c>
      <c r="AB191" s="3">
        <f>IF('My investments'!$H$16="",0,IF('My investments'!$F191='My investments'!$H$16,$X191,0))</f>
        <v>0</v>
      </c>
      <c r="AC191" s="3">
        <f>IF('My investments'!$H$17="",0,IF('My investments'!$F191='My investments'!$H$17,$X191,0))</f>
        <v>0</v>
      </c>
      <c r="AD191" s="3">
        <f>IF('My investments'!$H$18="",0,IF('My investments'!$F191='My investments'!$H$18,$X191,0))</f>
        <v>0</v>
      </c>
      <c r="AE191" s="3">
        <f>IF('My investments'!$H$19="",0,IF('My investments'!$F191='My investments'!$H$19,$X191,0))</f>
        <v>0</v>
      </c>
      <c r="AF191" s="3">
        <f>IF('My investments'!$H$20="",0,IF('My investments'!$F191='My investments'!$H$20,$X191,0))</f>
        <v>0</v>
      </c>
      <c r="AG191" s="3">
        <f>IF('My investments'!$H$21="",0,IF('My investments'!$F191='My investments'!$H$21,$X191,0))</f>
        <v>0</v>
      </c>
      <c r="AH191" s="3">
        <f>IF('My investments'!$H$22="",0,IF('My investments'!$F191='My investments'!$H$22,$X191,0))</f>
        <v>0</v>
      </c>
      <c r="AI191" s="3">
        <f>IF('My investments'!$H$23="",0,IF('My investments'!$F191='My investments'!$H$23,$X191,0))</f>
        <v>0</v>
      </c>
      <c r="AJ191" s="3">
        <f>IF('My investments'!$H$24="",0,IF('My investments'!$F191='My investments'!$H$24,$X191,0))</f>
        <v>0</v>
      </c>
      <c r="AL191" s="3" t="str">
        <f>IF('My investments'!$B191="","",IF($D$10=0,"",IFERROR(INDEX('Index history'!$B$8:$B$5007,MATCH('My investments'!$B191,'Index history'!$A$8:$A$5007,1)),"")))</f>
        <v/>
      </c>
      <c r="AM191" s="3">
        <f>IF($AL191="",0,IF('My investments'!$D191="",0,IF('My investments'!$C191="Money in",'My investments'!$D191/$AL191,IF('My investments'!$C191="Money out",-'My investments'!$D191/$AL191,0))))</f>
        <v>0</v>
      </c>
    </row>
    <row r="192">
      <c r="X192" s="3">
        <f>IF('My investments'!$B192="",0,IF('My investments'!$E192="",0,'My investments'!$E192))</f>
        <v>0</v>
      </c>
      <c r="Y192" s="25">
        <f>IF('My investments'!$B192="",$D$8,'My investments'!$B192)</f>
        <v>0</v>
      </c>
      <c r="Z192" s="3">
        <f>IF('My investments'!$C192="Worth today",0,$X192)</f>
        <v>0</v>
      </c>
      <c r="AA192" s="3">
        <f>IF('My investments'!$H$15="",0,IF('My investments'!$F192='My investments'!$H$15,$X192,0))</f>
        <v>0</v>
      </c>
      <c r="AB192" s="3">
        <f>IF('My investments'!$H$16="",0,IF('My investments'!$F192='My investments'!$H$16,$X192,0))</f>
        <v>0</v>
      </c>
      <c r="AC192" s="3">
        <f>IF('My investments'!$H$17="",0,IF('My investments'!$F192='My investments'!$H$17,$X192,0))</f>
        <v>0</v>
      </c>
      <c r="AD192" s="3">
        <f>IF('My investments'!$H$18="",0,IF('My investments'!$F192='My investments'!$H$18,$X192,0))</f>
        <v>0</v>
      </c>
      <c r="AE192" s="3">
        <f>IF('My investments'!$H$19="",0,IF('My investments'!$F192='My investments'!$H$19,$X192,0))</f>
        <v>0</v>
      </c>
      <c r="AF192" s="3">
        <f>IF('My investments'!$H$20="",0,IF('My investments'!$F192='My investments'!$H$20,$X192,0))</f>
        <v>0</v>
      </c>
      <c r="AG192" s="3">
        <f>IF('My investments'!$H$21="",0,IF('My investments'!$F192='My investments'!$H$21,$X192,0))</f>
        <v>0</v>
      </c>
      <c r="AH192" s="3">
        <f>IF('My investments'!$H$22="",0,IF('My investments'!$F192='My investments'!$H$22,$X192,0))</f>
        <v>0</v>
      </c>
      <c r="AI192" s="3">
        <f>IF('My investments'!$H$23="",0,IF('My investments'!$F192='My investments'!$H$23,$X192,0))</f>
        <v>0</v>
      </c>
      <c r="AJ192" s="3">
        <f>IF('My investments'!$H$24="",0,IF('My investments'!$F192='My investments'!$H$24,$X192,0))</f>
        <v>0</v>
      </c>
      <c r="AL192" s="3" t="str">
        <f>IF('My investments'!$B192="","",IF($D$10=0,"",IFERROR(INDEX('Index history'!$B$8:$B$5007,MATCH('My investments'!$B192,'Index history'!$A$8:$A$5007,1)),"")))</f>
        <v/>
      </c>
      <c r="AM192" s="3">
        <f>IF($AL192="",0,IF('My investments'!$D192="",0,IF('My investments'!$C192="Money in",'My investments'!$D192/$AL192,IF('My investments'!$C192="Money out",-'My investments'!$D192/$AL192,0))))</f>
        <v>0</v>
      </c>
    </row>
    <row r="193">
      <c r="X193" s="3">
        <f>IF('My investments'!$B193="",0,IF('My investments'!$E193="",0,'My investments'!$E193))</f>
        <v>0</v>
      </c>
      <c r="Y193" s="25">
        <f>IF('My investments'!$B193="",$D$8,'My investments'!$B193)</f>
        <v>0</v>
      </c>
      <c r="Z193" s="3">
        <f>IF('My investments'!$C193="Worth today",0,$X193)</f>
        <v>0</v>
      </c>
      <c r="AA193" s="3">
        <f>IF('My investments'!$H$15="",0,IF('My investments'!$F193='My investments'!$H$15,$X193,0))</f>
        <v>0</v>
      </c>
      <c r="AB193" s="3">
        <f>IF('My investments'!$H$16="",0,IF('My investments'!$F193='My investments'!$H$16,$X193,0))</f>
        <v>0</v>
      </c>
      <c r="AC193" s="3">
        <f>IF('My investments'!$H$17="",0,IF('My investments'!$F193='My investments'!$H$17,$X193,0))</f>
        <v>0</v>
      </c>
      <c r="AD193" s="3">
        <f>IF('My investments'!$H$18="",0,IF('My investments'!$F193='My investments'!$H$18,$X193,0))</f>
        <v>0</v>
      </c>
      <c r="AE193" s="3">
        <f>IF('My investments'!$H$19="",0,IF('My investments'!$F193='My investments'!$H$19,$X193,0))</f>
        <v>0</v>
      </c>
      <c r="AF193" s="3">
        <f>IF('My investments'!$H$20="",0,IF('My investments'!$F193='My investments'!$H$20,$X193,0))</f>
        <v>0</v>
      </c>
      <c r="AG193" s="3">
        <f>IF('My investments'!$H$21="",0,IF('My investments'!$F193='My investments'!$H$21,$X193,0))</f>
        <v>0</v>
      </c>
      <c r="AH193" s="3">
        <f>IF('My investments'!$H$22="",0,IF('My investments'!$F193='My investments'!$H$22,$X193,0))</f>
        <v>0</v>
      </c>
      <c r="AI193" s="3">
        <f>IF('My investments'!$H$23="",0,IF('My investments'!$F193='My investments'!$H$23,$X193,0))</f>
        <v>0</v>
      </c>
      <c r="AJ193" s="3">
        <f>IF('My investments'!$H$24="",0,IF('My investments'!$F193='My investments'!$H$24,$X193,0))</f>
        <v>0</v>
      </c>
      <c r="AL193" s="3" t="str">
        <f>IF('My investments'!$B193="","",IF($D$10=0,"",IFERROR(INDEX('Index history'!$B$8:$B$5007,MATCH('My investments'!$B193,'Index history'!$A$8:$A$5007,1)),"")))</f>
        <v/>
      </c>
      <c r="AM193" s="3">
        <f>IF($AL193="",0,IF('My investments'!$D193="",0,IF('My investments'!$C193="Money in",'My investments'!$D193/$AL193,IF('My investments'!$C193="Money out",-'My investments'!$D193/$AL193,0))))</f>
        <v>0</v>
      </c>
    </row>
    <row r="194">
      <c r="X194" s="3">
        <f>IF('My investments'!$B194="",0,IF('My investments'!$E194="",0,'My investments'!$E194))</f>
        <v>0</v>
      </c>
      <c r="Y194" s="25">
        <f>IF('My investments'!$B194="",$D$8,'My investments'!$B194)</f>
        <v>0</v>
      </c>
      <c r="Z194" s="3">
        <f>IF('My investments'!$C194="Worth today",0,$X194)</f>
        <v>0</v>
      </c>
      <c r="AA194" s="3">
        <f>IF('My investments'!$H$15="",0,IF('My investments'!$F194='My investments'!$H$15,$X194,0))</f>
        <v>0</v>
      </c>
      <c r="AB194" s="3">
        <f>IF('My investments'!$H$16="",0,IF('My investments'!$F194='My investments'!$H$16,$X194,0))</f>
        <v>0</v>
      </c>
      <c r="AC194" s="3">
        <f>IF('My investments'!$H$17="",0,IF('My investments'!$F194='My investments'!$H$17,$X194,0))</f>
        <v>0</v>
      </c>
      <c r="AD194" s="3">
        <f>IF('My investments'!$H$18="",0,IF('My investments'!$F194='My investments'!$H$18,$X194,0))</f>
        <v>0</v>
      </c>
      <c r="AE194" s="3">
        <f>IF('My investments'!$H$19="",0,IF('My investments'!$F194='My investments'!$H$19,$X194,0))</f>
        <v>0</v>
      </c>
      <c r="AF194" s="3">
        <f>IF('My investments'!$H$20="",0,IF('My investments'!$F194='My investments'!$H$20,$X194,0))</f>
        <v>0</v>
      </c>
      <c r="AG194" s="3">
        <f>IF('My investments'!$H$21="",0,IF('My investments'!$F194='My investments'!$H$21,$X194,0))</f>
        <v>0</v>
      </c>
      <c r="AH194" s="3">
        <f>IF('My investments'!$H$22="",0,IF('My investments'!$F194='My investments'!$H$22,$X194,0))</f>
        <v>0</v>
      </c>
      <c r="AI194" s="3">
        <f>IF('My investments'!$H$23="",0,IF('My investments'!$F194='My investments'!$H$23,$X194,0))</f>
        <v>0</v>
      </c>
      <c r="AJ194" s="3">
        <f>IF('My investments'!$H$24="",0,IF('My investments'!$F194='My investments'!$H$24,$X194,0))</f>
        <v>0</v>
      </c>
      <c r="AL194" s="3" t="str">
        <f>IF('My investments'!$B194="","",IF($D$10=0,"",IFERROR(INDEX('Index history'!$B$8:$B$5007,MATCH('My investments'!$B194,'Index history'!$A$8:$A$5007,1)),"")))</f>
        <v/>
      </c>
      <c r="AM194" s="3">
        <f>IF($AL194="",0,IF('My investments'!$D194="",0,IF('My investments'!$C194="Money in",'My investments'!$D194/$AL194,IF('My investments'!$C194="Money out",-'My investments'!$D194/$AL194,0))))</f>
        <v>0</v>
      </c>
    </row>
    <row r="195">
      <c r="X195" s="3">
        <f>IF('My investments'!$B195="",0,IF('My investments'!$E195="",0,'My investments'!$E195))</f>
        <v>0</v>
      </c>
      <c r="Y195" s="25">
        <f>IF('My investments'!$B195="",$D$8,'My investments'!$B195)</f>
        <v>0</v>
      </c>
      <c r="Z195" s="3">
        <f>IF('My investments'!$C195="Worth today",0,$X195)</f>
        <v>0</v>
      </c>
      <c r="AA195" s="3">
        <f>IF('My investments'!$H$15="",0,IF('My investments'!$F195='My investments'!$H$15,$X195,0))</f>
        <v>0</v>
      </c>
      <c r="AB195" s="3">
        <f>IF('My investments'!$H$16="",0,IF('My investments'!$F195='My investments'!$H$16,$X195,0))</f>
        <v>0</v>
      </c>
      <c r="AC195" s="3">
        <f>IF('My investments'!$H$17="",0,IF('My investments'!$F195='My investments'!$H$17,$X195,0))</f>
        <v>0</v>
      </c>
      <c r="AD195" s="3">
        <f>IF('My investments'!$H$18="",0,IF('My investments'!$F195='My investments'!$H$18,$X195,0))</f>
        <v>0</v>
      </c>
      <c r="AE195" s="3">
        <f>IF('My investments'!$H$19="",0,IF('My investments'!$F195='My investments'!$H$19,$X195,0))</f>
        <v>0</v>
      </c>
      <c r="AF195" s="3">
        <f>IF('My investments'!$H$20="",0,IF('My investments'!$F195='My investments'!$H$20,$X195,0))</f>
        <v>0</v>
      </c>
      <c r="AG195" s="3">
        <f>IF('My investments'!$H$21="",0,IF('My investments'!$F195='My investments'!$H$21,$X195,0))</f>
        <v>0</v>
      </c>
      <c r="AH195" s="3">
        <f>IF('My investments'!$H$22="",0,IF('My investments'!$F195='My investments'!$H$22,$X195,0))</f>
        <v>0</v>
      </c>
      <c r="AI195" s="3">
        <f>IF('My investments'!$H$23="",0,IF('My investments'!$F195='My investments'!$H$23,$X195,0))</f>
        <v>0</v>
      </c>
      <c r="AJ195" s="3">
        <f>IF('My investments'!$H$24="",0,IF('My investments'!$F195='My investments'!$H$24,$X195,0))</f>
        <v>0</v>
      </c>
      <c r="AL195" s="3" t="str">
        <f>IF('My investments'!$B195="","",IF($D$10=0,"",IFERROR(INDEX('Index history'!$B$8:$B$5007,MATCH('My investments'!$B195,'Index history'!$A$8:$A$5007,1)),"")))</f>
        <v/>
      </c>
      <c r="AM195" s="3">
        <f>IF($AL195="",0,IF('My investments'!$D195="",0,IF('My investments'!$C195="Money in",'My investments'!$D195/$AL195,IF('My investments'!$C195="Money out",-'My investments'!$D195/$AL195,0))))</f>
        <v>0</v>
      </c>
    </row>
    <row r="196">
      <c r="X196" s="3">
        <f>IF('My investments'!$B196="",0,IF('My investments'!$E196="",0,'My investments'!$E196))</f>
        <v>0</v>
      </c>
      <c r="Y196" s="25">
        <f>IF('My investments'!$B196="",$D$8,'My investments'!$B196)</f>
        <v>0</v>
      </c>
      <c r="Z196" s="3">
        <f>IF('My investments'!$C196="Worth today",0,$X196)</f>
        <v>0</v>
      </c>
      <c r="AA196" s="3">
        <f>IF('My investments'!$H$15="",0,IF('My investments'!$F196='My investments'!$H$15,$X196,0))</f>
        <v>0</v>
      </c>
      <c r="AB196" s="3">
        <f>IF('My investments'!$H$16="",0,IF('My investments'!$F196='My investments'!$H$16,$X196,0))</f>
        <v>0</v>
      </c>
      <c r="AC196" s="3">
        <f>IF('My investments'!$H$17="",0,IF('My investments'!$F196='My investments'!$H$17,$X196,0))</f>
        <v>0</v>
      </c>
      <c r="AD196" s="3">
        <f>IF('My investments'!$H$18="",0,IF('My investments'!$F196='My investments'!$H$18,$X196,0))</f>
        <v>0</v>
      </c>
      <c r="AE196" s="3">
        <f>IF('My investments'!$H$19="",0,IF('My investments'!$F196='My investments'!$H$19,$X196,0))</f>
        <v>0</v>
      </c>
      <c r="AF196" s="3">
        <f>IF('My investments'!$H$20="",0,IF('My investments'!$F196='My investments'!$H$20,$X196,0))</f>
        <v>0</v>
      </c>
      <c r="AG196" s="3">
        <f>IF('My investments'!$H$21="",0,IF('My investments'!$F196='My investments'!$H$21,$X196,0))</f>
        <v>0</v>
      </c>
      <c r="AH196" s="3">
        <f>IF('My investments'!$H$22="",0,IF('My investments'!$F196='My investments'!$H$22,$X196,0))</f>
        <v>0</v>
      </c>
      <c r="AI196" s="3">
        <f>IF('My investments'!$H$23="",0,IF('My investments'!$F196='My investments'!$H$23,$X196,0))</f>
        <v>0</v>
      </c>
      <c r="AJ196" s="3">
        <f>IF('My investments'!$H$24="",0,IF('My investments'!$F196='My investments'!$H$24,$X196,0))</f>
        <v>0</v>
      </c>
      <c r="AL196" s="3" t="str">
        <f>IF('My investments'!$B196="","",IF($D$10=0,"",IFERROR(INDEX('Index history'!$B$8:$B$5007,MATCH('My investments'!$B196,'Index history'!$A$8:$A$5007,1)),"")))</f>
        <v/>
      </c>
      <c r="AM196" s="3">
        <f>IF($AL196="",0,IF('My investments'!$D196="",0,IF('My investments'!$C196="Money in",'My investments'!$D196/$AL196,IF('My investments'!$C196="Money out",-'My investments'!$D196/$AL196,0))))</f>
        <v>0</v>
      </c>
    </row>
    <row r="197">
      <c r="X197" s="3">
        <f>IF('My investments'!$B197="",0,IF('My investments'!$E197="",0,'My investments'!$E197))</f>
        <v>0</v>
      </c>
      <c r="Y197" s="25">
        <f>IF('My investments'!$B197="",$D$8,'My investments'!$B197)</f>
        <v>0</v>
      </c>
      <c r="Z197" s="3">
        <f>IF('My investments'!$C197="Worth today",0,$X197)</f>
        <v>0</v>
      </c>
      <c r="AA197" s="3">
        <f>IF('My investments'!$H$15="",0,IF('My investments'!$F197='My investments'!$H$15,$X197,0))</f>
        <v>0</v>
      </c>
      <c r="AB197" s="3">
        <f>IF('My investments'!$H$16="",0,IF('My investments'!$F197='My investments'!$H$16,$X197,0))</f>
        <v>0</v>
      </c>
      <c r="AC197" s="3">
        <f>IF('My investments'!$H$17="",0,IF('My investments'!$F197='My investments'!$H$17,$X197,0))</f>
        <v>0</v>
      </c>
      <c r="AD197" s="3">
        <f>IF('My investments'!$H$18="",0,IF('My investments'!$F197='My investments'!$H$18,$X197,0))</f>
        <v>0</v>
      </c>
      <c r="AE197" s="3">
        <f>IF('My investments'!$H$19="",0,IF('My investments'!$F197='My investments'!$H$19,$X197,0))</f>
        <v>0</v>
      </c>
      <c r="AF197" s="3">
        <f>IF('My investments'!$H$20="",0,IF('My investments'!$F197='My investments'!$H$20,$X197,0))</f>
        <v>0</v>
      </c>
      <c r="AG197" s="3">
        <f>IF('My investments'!$H$21="",0,IF('My investments'!$F197='My investments'!$H$21,$X197,0))</f>
        <v>0</v>
      </c>
      <c r="AH197" s="3">
        <f>IF('My investments'!$H$22="",0,IF('My investments'!$F197='My investments'!$H$22,$X197,0))</f>
        <v>0</v>
      </c>
      <c r="AI197" s="3">
        <f>IF('My investments'!$H$23="",0,IF('My investments'!$F197='My investments'!$H$23,$X197,0))</f>
        <v>0</v>
      </c>
      <c r="AJ197" s="3">
        <f>IF('My investments'!$H$24="",0,IF('My investments'!$F197='My investments'!$H$24,$X197,0))</f>
        <v>0</v>
      </c>
      <c r="AL197" s="3" t="str">
        <f>IF('My investments'!$B197="","",IF($D$10=0,"",IFERROR(INDEX('Index history'!$B$8:$B$5007,MATCH('My investments'!$B197,'Index history'!$A$8:$A$5007,1)),"")))</f>
        <v/>
      </c>
      <c r="AM197" s="3">
        <f>IF($AL197="",0,IF('My investments'!$D197="",0,IF('My investments'!$C197="Money in",'My investments'!$D197/$AL197,IF('My investments'!$C197="Money out",-'My investments'!$D197/$AL197,0))))</f>
        <v>0</v>
      </c>
    </row>
    <row r="198">
      <c r="X198" s="3">
        <f>IF('My investments'!$B198="",0,IF('My investments'!$E198="",0,'My investments'!$E198))</f>
        <v>0</v>
      </c>
      <c r="Y198" s="25">
        <f>IF('My investments'!$B198="",$D$8,'My investments'!$B198)</f>
        <v>0</v>
      </c>
      <c r="Z198" s="3">
        <f>IF('My investments'!$C198="Worth today",0,$X198)</f>
        <v>0</v>
      </c>
      <c r="AA198" s="3">
        <f>IF('My investments'!$H$15="",0,IF('My investments'!$F198='My investments'!$H$15,$X198,0))</f>
        <v>0</v>
      </c>
      <c r="AB198" s="3">
        <f>IF('My investments'!$H$16="",0,IF('My investments'!$F198='My investments'!$H$16,$X198,0))</f>
        <v>0</v>
      </c>
      <c r="AC198" s="3">
        <f>IF('My investments'!$H$17="",0,IF('My investments'!$F198='My investments'!$H$17,$X198,0))</f>
        <v>0</v>
      </c>
      <c r="AD198" s="3">
        <f>IF('My investments'!$H$18="",0,IF('My investments'!$F198='My investments'!$H$18,$X198,0))</f>
        <v>0</v>
      </c>
      <c r="AE198" s="3">
        <f>IF('My investments'!$H$19="",0,IF('My investments'!$F198='My investments'!$H$19,$X198,0))</f>
        <v>0</v>
      </c>
      <c r="AF198" s="3">
        <f>IF('My investments'!$H$20="",0,IF('My investments'!$F198='My investments'!$H$20,$X198,0))</f>
        <v>0</v>
      </c>
      <c r="AG198" s="3">
        <f>IF('My investments'!$H$21="",0,IF('My investments'!$F198='My investments'!$H$21,$X198,0))</f>
        <v>0</v>
      </c>
      <c r="AH198" s="3">
        <f>IF('My investments'!$H$22="",0,IF('My investments'!$F198='My investments'!$H$22,$X198,0))</f>
        <v>0</v>
      </c>
      <c r="AI198" s="3">
        <f>IF('My investments'!$H$23="",0,IF('My investments'!$F198='My investments'!$H$23,$X198,0))</f>
        <v>0</v>
      </c>
      <c r="AJ198" s="3">
        <f>IF('My investments'!$H$24="",0,IF('My investments'!$F198='My investments'!$H$24,$X198,0))</f>
        <v>0</v>
      </c>
      <c r="AL198" s="3" t="str">
        <f>IF('My investments'!$B198="","",IF($D$10=0,"",IFERROR(INDEX('Index history'!$B$8:$B$5007,MATCH('My investments'!$B198,'Index history'!$A$8:$A$5007,1)),"")))</f>
        <v/>
      </c>
      <c r="AM198" s="3">
        <f>IF($AL198="",0,IF('My investments'!$D198="",0,IF('My investments'!$C198="Money in",'My investments'!$D198/$AL198,IF('My investments'!$C198="Money out",-'My investments'!$D198/$AL198,0))))</f>
        <v>0</v>
      </c>
    </row>
    <row r="199">
      <c r="X199" s="3">
        <f>IF('My investments'!$B199="",0,IF('My investments'!$E199="",0,'My investments'!$E199))</f>
        <v>0</v>
      </c>
      <c r="Y199" s="25">
        <f>IF('My investments'!$B199="",$D$8,'My investments'!$B199)</f>
        <v>0</v>
      </c>
      <c r="Z199" s="3">
        <f>IF('My investments'!$C199="Worth today",0,$X199)</f>
        <v>0</v>
      </c>
      <c r="AA199" s="3">
        <f>IF('My investments'!$H$15="",0,IF('My investments'!$F199='My investments'!$H$15,$X199,0))</f>
        <v>0</v>
      </c>
      <c r="AB199" s="3">
        <f>IF('My investments'!$H$16="",0,IF('My investments'!$F199='My investments'!$H$16,$X199,0))</f>
        <v>0</v>
      </c>
      <c r="AC199" s="3">
        <f>IF('My investments'!$H$17="",0,IF('My investments'!$F199='My investments'!$H$17,$X199,0))</f>
        <v>0</v>
      </c>
      <c r="AD199" s="3">
        <f>IF('My investments'!$H$18="",0,IF('My investments'!$F199='My investments'!$H$18,$X199,0))</f>
        <v>0</v>
      </c>
      <c r="AE199" s="3">
        <f>IF('My investments'!$H$19="",0,IF('My investments'!$F199='My investments'!$H$19,$X199,0))</f>
        <v>0</v>
      </c>
      <c r="AF199" s="3">
        <f>IF('My investments'!$H$20="",0,IF('My investments'!$F199='My investments'!$H$20,$X199,0))</f>
        <v>0</v>
      </c>
      <c r="AG199" s="3">
        <f>IF('My investments'!$H$21="",0,IF('My investments'!$F199='My investments'!$H$21,$X199,0))</f>
        <v>0</v>
      </c>
      <c r="AH199" s="3">
        <f>IF('My investments'!$H$22="",0,IF('My investments'!$F199='My investments'!$H$22,$X199,0))</f>
        <v>0</v>
      </c>
      <c r="AI199" s="3">
        <f>IF('My investments'!$H$23="",0,IF('My investments'!$F199='My investments'!$H$23,$X199,0))</f>
        <v>0</v>
      </c>
      <c r="AJ199" s="3">
        <f>IF('My investments'!$H$24="",0,IF('My investments'!$F199='My investments'!$H$24,$X199,0))</f>
        <v>0</v>
      </c>
      <c r="AL199" s="3" t="str">
        <f>IF('My investments'!$B199="","",IF($D$10=0,"",IFERROR(INDEX('Index history'!$B$8:$B$5007,MATCH('My investments'!$B199,'Index history'!$A$8:$A$5007,1)),"")))</f>
        <v/>
      </c>
      <c r="AM199" s="3">
        <f>IF($AL199="",0,IF('My investments'!$D199="",0,IF('My investments'!$C199="Money in",'My investments'!$D199/$AL199,IF('My investments'!$C199="Money out",-'My investments'!$D199/$AL199,0))))</f>
        <v>0</v>
      </c>
    </row>
    <row r="200">
      <c r="X200" s="3">
        <f>IF('My investments'!$B200="",0,IF('My investments'!$E200="",0,'My investments'!$E200))</f>
        <v>0</v>
      </c>
      <c r="Y200" s="25">
        <f>IF('My investments'!$B200="",$D$8,'My investments'!$B200)</f>
        <v>0</v>
      </c>
      <c r="Z200" s="3">
        <f>IF('My investments'!$C200="Worth today",0,$X200)</f>
        <v>0</v>
      </c>
      <c r="AA200" s="3">
        <f>IF('My investments'!$H$15="",0,IF('My investments'!$F200='My investments'!$H$15,$X200,0))</f>
        <v>0</v>
      </c>
      <c r="AB200" s="3">
        <f>IF('My investments'!$H$16="",0,IF('My investments'!$F200='My investments'!$H$16,$X200,0))</f>
        <v>0</v>
      </c>
      <c r="AC200" s="3">
        <f>IF('My investments'!$H$17="",0,IF('My investments'!$F200='My investments'!$H$17,$X200,0))</f>
        <v>0</v>
      </c>
      <c r="AD200" s="3">
        <f>IF('My investments'!$H$18="",0,IF('My investments'!$F200='My investments'!$H$18,$X200,0))</f>
        <v>0</v>
      </c>
      <c r="AE200" s="3">
        <f>IF('My investments'!$H$19="",0,IF('My investments'!$F200='My investments'!$H$19,$X200,0))</f>
        <v>0</v>
      </c>
      <c r="AF200" s="3">
        <f>IF('My investments'!$H$20="",0,IF('My investments'!$F200='My investments'!$H$20,$X200,0))</f>
        <v>0</v>
      </c>
      <c r="AG200" s="3">
        <f>IF('My investments'!$H$21="",0,IF('My investments'!$F200='My investments'!$H$21,$X200,0))</f>
        <v>0</v>
      </c>
      <c r="AH200" s="3">
        <f>IF('My investments'!$H$22="",0,IF('My investments'!$F200='My investments'!$H$22,$X200,0))</f>
        <v>0</v>
      </c>
      <c r="AI200" s="3">
        <f>IF('My investments'!$H$23="",0,IF('My investments'!$F200='My investments'!$H$23,$X200,0))</f>
        <v>0</v>
      </c>
      <c r="AJ200" s="3">
        <f>IF('My investments'!$H$24="",0,IF('My investments'!$F200='My investments'!$H$24,$X200,0))</f>
        <v>0</v>
      </c>
      <c r="AL200" s="3" t="str">
        <f>IF('My investments'!$B200="","",IF($D$10=0,"",IFERROR(INDEX('Index history'!$B$8:$B$5007,MATCH('My investments'!$B200,'Index history'!$A$8:$A$5007,1)),"")))</f>
        <v/>
      </c>
      <c r="AM200" s="3">
        <f>IF($AL200="",0,IF('My investments'!$D200="",0,IF('My investments'!$C200="Money in",'My investments'!$D200/$AL200,IF('My investments'!$C200="Money out",-'My investments'!$D200/$AL200,0))))</f>
        <v>0</v>
      </c>
    </row>
    <row r="201">
      <c r="X201" s="3">
        <f>IF('My investments'!$B201="",0,IF('My investments'!$E201="",0,'My investments'!$E201))</f>
        <v>0</v>
      </c>
      <c r="Y201" s="25">
        <f>IF('My investments'!$B201="",$D$8,'My investments'!$B201)</f>
        <v>0</v>
      </c>
      <c r="Z201" s="3">
        <f>IF('My investments'!$C201="Worth today",0,$X201)</f>
        <v>0</v>
      </c>
      <c r="AA201" s="3">
        <f>IF('My investments'!$H$15="",0,IF('My investments'!$F201='My investments'!$H$15,$X201,0))</f>
        <v>0</v>
      </c>
      <c r="AB201" s="3">
        <f>IF('My investments'!$H$16="",0,IF('My investments'!$F201='My investments'!$H$16,$X201,0))</f>
        <v>0</v>
      </c>
      <c r="AC201" s="3">
        <f>IF('My investments'!$H$17="",0,IF('My investments'!$F201='My investments'!$H$17,$X201,0))</f>
        <v>0</v>
      </c>
      <c r="AD201" s="3">
        <f>IF('My investments'!$H$18="",0,IF('My investments'!$F201='My investments'!$H$18,$X201,0))</f>
        <v>0</v>
      </c>
      <c r="AE201" s="3">
        <f>IF('My investments'!$H$19="",0,IF('My investments'!$F201='My investments'!$H$19,$X201,0))</f>
        <v>0</v>
      </c>
      <c r="AF201" s="3">
        <f>IF('My investments'!$H$20="",0,IF('My investments'!$F201='My investments'!$H$20,$X201,0))</f>
        <v>0</v>
      </c>
      <c r="AG201" s="3">
        <f>IF('My investments'!$H$21="",0,IF('My investments'!$F201='My investments'!$H$21,$X201,0))</f>
        <v>0</v>
      </c>
      <c r="AH201" s="3">
        <f>IF('My investments'!$H$22="",0,IF('My investments'!$F201='My investments'!$H$22,$X201,0))</f>
        <v>0</v>
      </c>
      <c r="AI201" s="3">
        <f>IF('My investments'!$H$23="",0,IF('My investments'!$F201='My investments'!$H$23,$X201,0))</f>
        <v>0</v>
      </c>
      <c r="AJ201" s="3">
        <f>IF('My investments'!$H$24="",0,IF('My investments'!$F201='My investments'!$H$24,$X201,0))</f>
        <v>0</v>
      </c>
      <c r="AL201" s="3" t="str">
        <f>IF('My investments'!$B201="","",IF($D$10=0,"",IFERROR(INDEX('Index history'!$B$8:$B$5007,MATCH('My investments'!$B201,'Index history'!$A$8:$A$5007,1)),"")))</f>
        <v/>
      </c>
      <c r="AM201" s="3">
        <f>IF($AL201="",0,IF('My investments'!$D201="",0,IF('My investments'!$C201="Money in",'My investments'!$D201/$AL201,IF('My investments'!$C201="Money out",-'My investments'!$D201/$AL201,0))))</f>
        <v>0</v>
      </c>
    </row>
    <row r="202">
      <c r="X202" s="3">
        <f>IF('My investments'!$B202="",0,IF('My investments'!$E202="",0,'My investments'!$E202))</f>
        <v>0</v>
      </c>
      <c r="Y202" s="25">
        <f>IF('My investments'!$B202="",$D$8,'My investments'!$B202)</f>
        <v>0</v>
      </c>
      <c r="Z202" s="3">
        <f>IF('My investments'!$C202="Worth today",0,$X202)</f>
        <v>0</v>
      </c>
      <c r="AA202" s="3">
        <f>IF('My investments'!$H$15="",0,IF('My investments'!$F202='My investments'!$H$15,$X202,0))</f>
        <v>0</v>
      </c>
      <c r="AB202" s="3">
        <f>IF('My investments'!$H$16="",0,IF('My investments'!$F202='My investments'!$H$16,$X202,0))</f>
        <v>0</v>
      </c>
      <c r="AC202" s="3">
        <f>IF('My investments'!$H$17="",0,IF('My investments'!$F202='My investments'!$H$17,$X202,0))</f>
        <v>0</v>
      </c>
      <c r="AD202" s="3">
        <f>IF('My investments'!$H$18="",0,IF('My investments'!$F202='My investments'!$H$18,$X202,0))</f>
        <v>0</v>
      </c>
      <c r="AE202" s="3">
        <f>IF('My investments'!$H$19="",0,IF('My investments'!$F202='My investments'!$H$19,$X202,0))</f>
        <v>0</v>
      </c>
      <c r="AF202" s="3">
        <f>IF('My investments'!$H$20="",0,IF('My investments'!$F202='My investments'!$H$20,$X202,0))</f>
        <v>0</v>
      </c>
      <c r="AG202" s="3">
        <f>IF('My investments'!$H$21="",0,IF('My investments'!$F202='My investments'!$H$21,$X202,0))</f>
        <v>0</v>
      </c>
      <c r="AH202" s="3">
        <f>IF('My investments'!$H$22="",0,IF('My investments'!$F202='My investments'!$H$22,$X202,0))</f>
        <v>0</v>
      </c>
      <c r="AI202" s="3">
        <f>IF('My investments'!$H$23="",0,IF('My investments'!$F202='My investments'!$H$23,$X202,0))</f>
        <v>0</v>
      </c>
      <c r="AJ202" s="3">
        <f>IF('My investments'!$H$24="",0,IF('My investments'!$F202='My investments'!$H$24,$X202,0))</f>
        <v>0</v>
      </c>
      <c r="AL202" s="3" t="str">
        <f>IF('My investments'!$B202="","",IF($D$10=0,"",IFERROR(INDEX('Index history'!$B$8:$B$5007,MATCH('My investments'!$B202,'Index history'!$A$8:$A$5007,1)),"")))</f>
        <v/>
      </c>
      <c r="AM202" s="3">
        <f>IF($AL202="",0,IF('My investments'!$D202="",0,IF('My investments'!$C202="Money in",'My investments'!$D202/$AL202,IF('My investments'!$C202="Money out",-'My investments'!$D202/$AL202,0))))</f>
        <v>0</v>
      </c>
    </row>
    <row r="203">
      <c r="X203" s="3">
        <f>IF('My investments'!$B203="",0,IF('My investments'!$E203="",0,'My investments'!$E203))</f>
        <v>0</v>
      </c>
      <c r="Y203" s="25">
        <f>IF('My investments'!$B203="",$D$8,'My investments'!$B203)</f>
        <v>0</v>
      </c>
      <c r="Z203" s="3">
        <f>IF('My investments'!$C203="Worth today",0,$X203)</f>
        <v>0</v>
      </c>
      <c r="AA203" s="3">
        <f>IF('My investments'!$H$15="",0,IF('My investments'!$F203='My investments'!$H$15,$X203,0))</f>
        <v>0</v>
      </c>
      <c r="AB203" s="3">
        <f>IF('My investments'!$H$16="",0,IF('My investments'!$F203='My investments'!$H$16,$X203,0))</f>
        <v>0</v>
      </c>
      <c r="AC203" s="3">
        <f>IF('My investments'!$H$17="",0,IF('My investments'!$F203='My investments'!$H$17,$X203,0))</f>
        <v>0</v>
      </c>
      <c r="AD203" s="3">
        <f>IF('My investments'!$H$18="",0,IF('My investments'!$F203='My investments'!$H$18,$X203,0))</f>
        <v>0</v>
      </c>
      <c r="AE203" s="3">
        <f>IF('My investments'!$H$19="",0,IF('My investments'!$F203='My investments'!$H$19,$X203,0))</f>
        <v>0</v>
      </c>
      <c r="AF203" s="3">
        <f>IF('My investments'!$H$20="",0,IF('My investments'!$F203='My investments'!$H$20,$X203,0))</f>
        <v>0</v>
      </c>
      <c r="AG203" s="3">
        <f>IF('My investments'!$H$21="",0,IF('My investments'!$F203='My investments'!$H$21,$X203,0))</f>
        <v>0</v>
      </c>
      <c r="AH203" s="3">
        <f>IF('My investments'!$H$22="",0,IF('My investments'!$F203='My investments'!$H$22,$X203,0))</f>
        <v>0</v>
      </c>
      <c r="AI203" s="3">
        <f>IF('My investments'!$H$23="",0,IF('My investments'!$F203='My investments'!$H$23,$X203,0))</f>
        <v>0</v>
      </c>
      <c r="AJ203" s="3">
        <f>IF('My investments'!$H$24="",0,IF('My investments'!$F203='My investments'!$H$24,$X203,0))</f>
        <v>0</v>
      </c>
      <c r="AL203" s="3" t="str">
        <f>IF('My investments'!$B203="","",IF($D$10=0,"",IFERROR(INDEX('Index history'!$B$8:$B$5007,MATCH('My investments'!$B203,'Index history'!$A$8:$A$5007,1)),"")))</f>
        <v/>
      </c>
      <c r="AM203" s="3">
        <f>IF($AL203="",0,IF('My investments'!$D203="",0,IF('My investments'!$C203="Money in",'My investments'!$D203/$AL203,IF('My investments'!$C203="Money out",-'My investments'!$D203/$AL203,0))))</f>
        <v>0</v>
      </c>
    </row>
    <row r="204">
      <c r="X204" s="3">
        <f>IF('My investments'!$B204="",0,IF('My investments'!$E204="",0,'My investments'!$E204))</f>
        <v>0</v>
      </c>
      <c r="Y204" s="25">
        <f>IF('My investments'!$B204="",$D$8,'My investments'!$B204)</f>
        <v>0</v>
      </c>
      <c r="Z204" s="3">
        <f>IF('My investments'!$C204="Worth today",0,$X204)</f>
        <v>0</v>
      </c>
      <c r="AA204" s="3">
        <f>IF('My investments'!$H$15="",0,IF('My investments'!$F204='My investments'!$H$15,$X204,0))</f>
        <v>0</v>
      </c>
      <c r="AB204" s="3">
        <f>IF('My investments'!$H$16="",0,IF('My investments'!$F204='My investments'!$H$16,$X204,0))</f>
        <v>0</v>
      </c>
      <c r="AC204" s="3">
        <f>IF('My investments'!$H$17="",0,IF('My investments'!$F204='My investments'!$H$17,$X204,0))</f>
        <v>0</v>
      </c>
      <c r="AD204" s="3">
        <f>IF('My investments'!$H$18="",0,IF('My investments'!$F204='My investments'!$H$18,$X204,0))</f>
        <v>0</v>
      </c>
      <c r="AE204" s="3">
        <f>IF('My investments'!$H$19="",0,IF('My investments'!$F204='My investments'!$H$19,$X204,0))</f>
        <v>0</v>
      </c>
      <c r="AF204" s="3">
        <f>IF('My investments'!$H$20="",0,IF('My investments'!$F204='My investments'!$H$20,$X204,0))</f>
        <v>0</v>
      </c>
      <c r="AG204" s="3">
        <f>IF('My investments'!$H$21="",0,IF('My investments'!$F204='My investments'!$H$21,$X204,0))</f>
        <v>0</v>
      </c>
      <c r="AH204" s="3">
        <f>IF('My investments'!$H$22="",0,IF('My investments'!$F204='My investments'!$H$22,$X204,0))</f>
        <v>0</v>
      </c>
      <c r="AI204" s="3">
        <f>IF('My investments'!$H$23="",0,IF('My investments'!$F204='My investments'!$H$23,$X204,0))</f>
        <v>0</v>
      </c>
      <c r="AJ204" s="3">
        <f>IF('My investments'!$H$24="",0,IF('My investments'!$F204='My investments'!$H$24,$X204,0))</f>
        <v>0</v>
      </c>
      <c r="AL204" s="3" t="str">
        <f>IF('My investments'!$B204="","",IF($D$10=0,"",IFERROR(INDEX('Index history'!$B$8:$B$5007,MATCH('My investments'!$B204,'Index history'!$A$8:$A$5007,1)),"")))</f>
        <v/>
      </c>
      <c r="AM204" s="3">
        <f>IF($AL204="",0,IF('My investments'!$D204="",0,IF('My investments'!$C204="Money in",'My investments'!$D204/$AL204,IF('My investments'!$C204="Money out",-'My investments'!$D204/$AL204,0))))</f>
        <v>0</v>
      </c>
    </row>
    <row r="205">
      <c r="X205" s="3">
        <f>IF('My investments'!$B205="",0,IF('My investments'!$E205="",0,'My investments'!$E205))</f>
        <v>0</v>
      </c>
      <c r="Y205" s="25">
        <f>IF('My investments'!$B205="",$D$8,'My investments'!$B205)</f>
        <v>0</v>
      </c>
      <c r="Z205" s="3">
        <f>IF('My investments'!$C205="Worth today",0,$X205)</f>
        <v>0</v>
      </c>
      <c r="AA205" s="3">
        <f>IF('My investments'!$H$15="",0,IF('My investments'!$F205='My investments'!$H$15,$X205,0))</f>
        <v>0</v>
      </c>
      <c r="AB205" s="3">
        <f>IF('My investments'!$H$16="",0,IF('My investments'!$F205='My investments'!$H$16,$X205,0))</f>
        <v>0</v>
      </c>
      <c r="AC205" s="3">
        <f>IF('My investments'!$H$17="",0,IF('My investments'!$F205='My investments'!$H$17,$X205,0))</f>
        <v>0</v>
      </c>
      <c r="AD205" s="3">
        <f>IF('My investments'!$H$18="",0,IF('My investments'!$F205='My investments'!$H$18,$X205,0))</f>
        <v>0</v>
      </c>
      <c r="AE205" s="3">
        <f>IF('My investments'!$H$19="",0,IF('My investments'!$F205='My investments'!$H$19,$X205,0))</f>
        <v>0</v>
      </c>
      <c r="AF205" s="3">
        <f>IF('My investments'!$H$20="",0,IF('My investments'!$F205='My investments'!$H$20,$X205,0))</f>
        <v>0</v>
      </c>
      <c r="AG205" s="3">
        <f>IF('My investments'!$H$21="",0,IF('My investments'!$F205='My investments'!$H$21,$X205,0))</f>
        <v>0</v>
      </c>
      <c r="AH205" s="3">
        <f>IF('My investments'!$H$22="",0,IF('My investments'!$F205='My investments'!$H$22,$X205,0))</f>
        <v>0</v>
      </c>
      <c r="AI205" s="3">
        <f>IF('My investments'!$H$23="",0,IF('My investments'!$F205='My investments'!$H$23,$X205,0))</f>
        <v>0</v>
      </c>
      <c r="AJ205" s="3">
        <f>IF('My investments'!$H$24="",0,IF('My investments'!$F205='My investments'!$H$24,$X205,0))</f>
        <v>0</v>
      </c>
      <c r="AL205" s="3" t="str">
        <f>IF('My investments'!$B205="","",IF($D$10=0,"",IFERROR(INDEX('Index history'!$B$8:$B$5007,MATCH('My investments'!$B205,'Index history'!$A$8:$A$5007,1)),"")))</f>
        <v/>
      </c>
      <c r="AM205" s="3">
        <f>IF($AL205="",0,IF('My investments'!$D205="",0,IF('My investments'!$C205="Money in",'My investments'!$D205/$AL205,IF('My investments'!$C205="Money out",-'My investments'!$D205/$AL205,0))))</f>
        <v>0</v>
      </c>
    </row>
    <row r="206">
      <c r="X206" s="3">
        <f>IF('My investments'!$B206="",0,IF('My investments'!$E206="",0,'My investments'!$E206))</f>
        <v>0</v>
      </c>
      <c r="Y206" s="25">
        <f>IF('My investments'!$B206="",$D$8,'My investments'!$B206)</f>
        <v>0</v>
      </c>
      <c r="Z206" s="3">
        <f>IF('My investments'!$C206="Worth today",0,$X206)</f>
        <v>0</v>
      </c>
      <c r="AA206" s="3">
        <f>IF('My investments'!$H$15="",0,IF('My investments'!$F206='My investments'!$H$15,$X206,0))</f>
        <v>0</v>
      </c>
      <c r="AB206" s="3">
        <f>IF('My investments'!$H$16="",0,IF('My investments'!$F206='My investments'!$H$16,$X206,0))</f>
        <v>0</v>
      </c>
      <c r="AC206" s="3">
        <f>IF('My investments'!$H$17="",0,IF('My investments'!$F206='My investments'!$H$17,$X206,0))</f>
        <v>0</v>
      </c>
      <c r="AD206" s="3">
        <f>IF('My investments'!$H$18="",0,IF('My investments'!$F206='My investments'!$H$18,$X206,0))</f>
        <v>0</v>
      </c>
      <c r="AE206" s="3">
        <f>IF('My investments'!$H$19="",0,IF('My investments'!$F206='My investments'!$H$19,$X206,0))</f>
        <v>0</v>
      </c>
      <c r="AF206" s="3">
        <f>IF('My investments'!$H$20="",0,IF('My investments'!$F206='My investments'!$H$20,$X206,0))</f>
        <v>0</v>
      </c>
      <c r="AG206" s="3">
        <f>IF('My investments'!$H$21="",0,IF('My investments'!$F206='My investments'!$H$21,$X206,0))</f>
        <v>0</v>
      </c>
      <c r="AH206" s="3">
        <f>IF('My investments'!$H$22="",0,IF('My investments'!$F206='My investments'!$H$22,$X206,0))</f>
        <v>0</v>
      </c>
      <c r="AI206" s="3">
        <f>IF('My investments'!$H$23="",0,IF('My investments'!$F206='My investments'!$H$23,$X206,0))</f>
        <v>0</v>
      </c>
      <c r="AJ206" s="3">
        <f>IF('My investments'!$H$24="",0,IF('My investments'!$F206='My investments'!$H$24,$X206,0))</f>
        <v>0</v>
      </c>
      <c r="AL206" s="3" t="str">
        <f>IF('My investments'!$B206="","",IF($D$10=0,"",IFERROR(INDEX('Index history'!$B$8:$B$5007,MATCH('My investments'!$B206,'Index history'!$A$8:$A$5007,1)),"")))</f>
        <v/>
      </c>
      <c r="AM206" s="3">
        <f>IF($AL206="",0,IF('My investments'!$D206="",0,IF('My investments'!$C206="Money in",'My investments'!$D206/$AL206,IF('My investments'!$C206="Money out",-'My investments'!$D206/$AL206,0))))</f>
        <v>0</v>
      </c>
    </row>
    <row r="207">
      <c r="X207" s="3">
        <f>IF('My investments'!$B207="",0,IF('My investments'!$E207="",0,'My investments'!$E207))</f>
        <v>0</v>
      </c>
      <c r="Y207" s="25">
        <f>IF('My investments'!$B207="",$D$8,'My investments'!$B207)</f>
        <v>0</v>
      </c>
      <c r="Z207" s="3">
        <f>IF('My investments'!$C207="Worth today",0,$X207)</f>
        <v>0</v>
      </c>
      <c r="AA207" s="3">
        <f>IF('My investments'!$H$15="",0,IF('My investments'!$F207='My investments'!$H$15,$X207,0))</f>
        <v>0</v>
      </c>
      <c r="AB207" s="3">
        <f>IF('My investments'!$H$16="",0,IF('My investments'!$F207='My investments'!$H$16,$X207,0))</f>
        <v>0</v>
      </c>
      <c r="AC207" s="3">
        <f>IF('My investments'!$H$17="",0,IF('My investments'!$F207='My investments'!$H$17,$X207,0))</f>
        <v>0</v>
      </c>
      <c r="AD207" s="3">
        <f>IF('My investments'!$H$18="",0,IF('My investments'!$F207='My investments'!$H$18,$X207,0))</f>
        <v>0</v>
      </c>
      <c r="AE207" s="3">
        <f>IF('My investments'!$H$19="",0,IF('My investments'!$F207='My investments'!$H$19,$X207,0))</f>
        <v>0</v>
      </c>
      <c r="AF207" s="3">
        <f>IF('My investments'!$H$20="",0,IF('My investments'!$F207='My investments'!$H$20,$X207,0))</f>
        <v>0</v>
      </c>
      <c r="AG207" s="3">
        <f>IF('My investments'!$H$21="",0,IF('My investments'!$F207='My investments'!$H$21,$X207,0))</f>
        <v>0</v>
      </c>
      <c r="AH207" s="3">
        <f>IF('My investments'!$H$22="",0,IF('My investments'!$F207='My investments'!$H$22,$X207,0))</f>
        <v>0</v>
      </c>
      <c r="AI207" s="3">
        <f>IF('My investments'!$H$23="",0,IF('My investments'!$F207='My investments'!$H$23,$X207,0))</f>
        <v>0</v>
      </c>
      <c r="AJ207" s="3">
        <f>IF('My investments'!$H$24="",0,IF('My investments'!$F207='My investments'!$H$24,$X207,0))</f>
        <v>0</v>
      </c>
      <c r="AL207" s="3" t="str">
        <f>IF('My investments'!$B207="","",IF($D$10=0,"",IFERROR(INDEX('Index history'!$B$8:$B$5007,MATCH('My investments'!$B207,'Index history'!$A$8:$A$5007,1)),"")))</f>
        <v/>
      </c>
      <c r="AM207" s="3">
        <f>IF($AL207="",0,IF('My investments'!$D207="",0,IF('My investments'!$C207="Money in",'My investments'!$D207/$AL207,IF('My investments'!$C207="Money out",-'My investments'!$D207/$AL207,0))))</f>
        <v>0</v>
      </c>
    </row>
    <row r="208">
      <c r="X208" s="3">
        <f>IF('My investments'!$B208="",0,IF('My investments'!$E208="",0,'My investments'!$E208))</f>
        <v>0</v>
      </c>
      <c r="Y208" s="25">
        <f>IF('My investments'!$B208="",$D$8,'My investments'!$B208)</f>
        <v>0</v>
      </c>
      <c r="Z208" s="3">
        <f>IF('My investments'!$C208="Worth today",0,$X208)</f>
        <v>0</v>
      </c>
      <c r="AA208" s="3">
        <f>IF('My investments'!$H$15="",0,IF('My investments'!$F208='My investments'!$H$15,$X208,0))</f>
        <v>0</v>
      </c>
      <c r="AB208" s="3">
        <f>IF('My investments'!$H$16="",0,IF('My investments'!$F208='My investments'!$H$16,$X208,0))</f>
        <v>0</v>
      </c>
      <c r="AC208" s="3">
        <f>IF('My investments'!$H$17="",0,IF('My investments'!$F208='My investments'!$H$17,$X208,0))</f>
        <v>0</v>
      </c>
      <c r="AD208" s="3">
        <f>IF('My investments'!$H$18="",0,IF('My investments'!$F208='My investments'!$H$18,$X208,0))</f>
        <v>0</v>
      </c>
      <c r="AE208" s="3">
        <f>IF('My investments'!$H$19="",0,IF('My investments'!$F208='My investments'!$H$19,$X208,0))</f>
        <v>0</v>
      </c>
      <c r="AF208" s="3">
        <f>IF('My investments'!$H$20="",0,IF('My investments'!$F208='My investments'!$H$20,$X208,0))</f>
        <v>0</v>
      </c>
      <c r="AG208" s="3">
        <f>IF('My investments'!$H$21="",0,IF('My investments'!$F208='My investments'!$H$21,$X208,0))</f>
        <v>0</v>
      </c>
      <c r="AH208" s="3">
        <f>IF('My investments'!$H$22="",0,IF('My investments'!$F208='My investments'!$H$22,$X208,0))</f>
        <v>0</v>
      </c>
      <c r="AI208" s="3">
        <f>IF('My investments'!$H$23="",0,IF('My investments'!$F208='My investments'!$H$23,$X208,0))</f>
        <v>0</v>
      </c>
      <c r="AJ208" s="3">
        <f>IF('My investments'!$H$24="",0,IF('My investments'!$F208='My investments'!$H$24,$X208,0))</f>
        <v>0</v>
      </c>
      <c r="AL208" s="3" t="str">
        <f>IF('My investments'!$B208="","",IF($D$10=0,"",IFERROR(INDEX('Index history'!$B$8:$B$5007,MATCH('My investments'!$B208,'Index history'!$A$8:$A$5007,1)),"")))</f>
        <v/>
      </c>
      <c r="AM208" s="3">
        <f>IF($AL208="",0,IF('My investments'!$D208="",0,IF('My investments'!$C208="Money in",'My investments'!$D208/$AL208,IF('My investments'!$C208="Money out",-'My investments'!$D208/$AL208,0))))</f>
        <v>0</v>
      </c>
    </row>
    <row r="209">
      <c r="X209" s="3">
        <f>IF('My investments'!$B209="",0,IF('My investments'!$E209="",0,'My investments'!$E209))</f>
        <v>0</v>
      </c>
      <c r="Y209" s="25">
        <f>IF('My investments'!$B209="",$D$8,'My investments'!$B209)</f>
        <v>0</v>
      </c>
      <c r="Z209" s="3">
        <f>IF('My investments'!$C209="Worth today",0,$X209)</f>
        <v>0</v>
      </c>
      <c r="AA209" s="3">
        <f>IF('My investments'!$H$15="",0,IF('My investments'!$F209='My investments'!$H$15,$X209,0))</f>
        <v>0</v>
      </c>
      <c r="AB209" s="3">
        <f>IF('My investments'!$H$16="",0,IF('My investments'!$F209='My investments'!$H$16,$X209,0))</f>
        <v>0</v>
      </c>
      <c r="AC209" s="3">
        <f>IF('My investments'!$H$17="",0,IF('My investments'!$F209='My investments'!$H$17,$X209,0))</f>
        <v>0</v>
      </c>
      <c r="AD209" s="3">
        <f>IF('My investments'!$H$18="",0,IF('My investments'!$F209='My investments'!$H$18,$X209,0))</f>
        <v>0</v>
      </c>
      <c r="AE209" s="3">
        <f>IF('My investments'!$H$19="",0,IF('My investments'!$F209='My investments'!$H$19,$X209,0))</f>
        <v>0</v>
      </c>
      <c r="AF209" s="3">
        <f>IF('My investments'!$H$20="",0,IF('My investments'!$F209='My investments'!$H$20,$X209,0))</f>
        <v>0</v>
      </c>
      <c r="AG209" s="3">
        <f>IF('My investments'!$H$21="",0,IF('My investments'!$F209='My investments'!$H$21,$X209,0))</f>
        <v>0</v>
      </c>
      <c r="AH209" s="3">
        <f>IF('My investments'!$H$22="",0,IF('My investments'!$F209='My investments'!$H$22,$X209,0))</f>
        <v>0</v>
      </c>
      <c r="AI209" s="3">
        <f>IF('My investments'!$H$23="",0,IF('My investments'!$F209='My investments'!$H$23,$X209,0))</f>
        <v>0</v>
      </c>
      <c r="AJ209" s="3">
        <f>IF('My investments'!$H$24="",0,IF('My investments'!$F209='My investments'!$H$24,$X209,0))</f>
        <v>0</v>
      </c>
      <c r="AL209" s="3" t="str">
        <f>IF('My investments'!$B209="","",IF($D$10=0,"",IFERROR(INDEX('Index history'!$B$8:$B$5007,MATCH('My investments'!$B209,'Index history'!$A$8:$A$5007,1)),"")))</f>
        <v/>
      </c>
      <c r="AM209" s="3">
        <f>IF($AL209="",0,IF('My investments'!$D209="",0,IF('My investments'!$C209="Money in",'My investments'!$D209/$AL209,IF('My investments'!$C209="Money out",-'My investments'!$D209/$AL209,0))))</f>
        <v>0</v>
      </c>
    </row>
    <row r="210">
      <c r="X210" s="3">
        <f>IF('My investments'!$B210="",0,IF('My investments'!$E210="",0,'My investments'!$E210))</f>
        <v>0</v>
      </c>
      <c r="Y210" s="25">
        <f>IF('My investments'!$B210="",$D$8,'My investments'!$B210)</f>
        <v>0</v>
      </c>
      <c r="Z210" s="3">
        <f>IF('My investments'!$C210="Worth today",0,$X210)</f>
        <v>0</v>
      </c>
      <c r="AA210" s="3">
        <f>IF('My investments'!$H$15="",0,IF('My investments'!$F210='My investments'!$H$15,$X210,0))</f>
        <v>0</v>
      </c>
      <c r="AB210" s="3">
        <f>IF('My investments'!$H$16="",0,IF('My investments'!$F210='My investments'!$H$16,$X210,0))</f>
        <v>0</v>
      </c>
      <c r="AC210" s="3">
        <f>IF('My investments'!$H$17="",0,IF('My investments'!$F210='My investments'!$H$17,$X210,0))</f>
        <v>0</v>
      </c>
      <c r="AD210" s="3">
        <f>IF('My investments'!$H$18="",0,IF('My investments'!$F210='My investments'!$H$18,$X210,0))</f>
        <v>0</v>
      </c>
      <c r="AE210" s="3">
        <f>IF('My investments'!$H$19="",0,IF('My investments'!$F210='My investments'!$H$19,$X210,0))</f>
        <v>0</v>
      </c>
      <c r="AF210" s="3">
        <f>IF('My investments'!$H$20="",0,IF('My investments'!$F210='My investments'!$H$20,$X210,0))</f>
        <v>0</v>
      </c>
      <c r="AG210" s="3">
        <f>IF('My investments'!$H$21="",0,IF('My investments'!$F210='My investments'!$H$21,$X210,0))</f>
        <v>0</v>
      </c>
      <c r="AH210" s="3">
        <f>IF('My investments'!$H$22="",0,IF('My investments'!$F210='My investments'!$H$22,$X210,0))</f>
        <v>0</v>
      </c>
      <c r="AI210" s="3">
        <f>IF('My investments'!$H$23="",0,IF('My investments'!$F210='My investments'!$H$23,$X210,0))</f>
        <v>0</v>
      </c>
      <c r="AJ210" s="3">
        <f>IF('My investments'!$H$24="",0,IF('My investments'!$F210='My investments'!$H$24,$X210,0))</f>
        <v>0</v>
      </c>
      <c r="AL210" s="3" t="str">
        <f>IF('My investments'!$B210="","",IF($D$10=0,"",IFERROR(INDEX('Index history'!$B$8:$B$5007,MATCH('My investments'!$B210,'Index history'!$A$8:$A$5007,1)),"")))</f>
        <v/>
      </c>
      <c r="AM210" s="3">
        <f>IF($AL210="",0,IF('My investments'!$D210="",0,IF('My investments'!$C210="Money in",'My investments'!$D210/$AL210,IF('My investments'!$C210="Money out",-'My investments'!$D210/$AL210,0))))</f>
        <v>0</v>
      </c>
    </row>
    <row r="211">
      <c r="X211" s="3">
        <f>IF('My investments'!$B211="",0,IF('My investments'!$E211="",0,'My investments'!$E211))</f>
        <v>0</v>
      </c>
      <c r="Y211" s="25">
        <f>IF('My investments'!$B211="",$D$8,'My investments'!$B211)</f>
        <v>0</v>
      </c>
      <c r="Z211" s="3">
        <f>IF('My investments'!$C211="Worth today",0,$X211)</f>
        <v>0</v>
      </c>
      <c r="AA211" s="3">
        <f>IF('My investments'!$H$15="",0,IF('My investments'!$F211='My investments'!$H$15,$X211,0))</f>
        <v>0</v>
      </c>
      <c r="AB211" s="3">
        <f>IF('My investments'!$H$16="",0,IF('My investments'!$F211='My investments'!$H$16,$X211,0))</f>
        <v>0</v>
      </c>
      <c r="AC211" s="3">
        <f>IF('My investments'!$H$17="",0,IF('My investments'!$F211='My investments'!$H$17,$X211,0))</f>
        <v>0</v>
      </c>
      <c r="AD211" s="3">
        <f>IF('My investments'!$H$18="",0,IF('My investments'!$F211='My investments'!$H$18,$X211,0))</f>
        <v>0</v>
      </c>
      <c r="AE211" s="3">
        <f>IF('My investments'!$H$19="",0,IF('My investments'!$F211='My investments'!$H$19,$X211,0))</f>
        <v>0</v>
      </c>
      <c r="AF211" s="3">
        <f>IF('My investments'!$H$20="",0,IF('My investments'!$F211='My investments'!$H$20,$X211,0))</f>
        <v>0</v>
      </c>
      <c r="AG211" s="3">
        <f>IF('My investments'!$H$21="",0,IF('My investments'!$F211='My investments'!$H$21,$X211,0))</f>
        <v>0</v>
      </c>
      <c r="AH211" s="3">
        <f>IF('My investments'!$H$22="",0,IF('My investments'!$F211='My investments'!$H$22,$X211,0))</f>
        <v>0</v>
      </c>
      <c r="AI211" s="3">
        <f>IF('My investments'!$H$23="",0,IF('My investments'!$F211='My investments'!$H$23,$X211,0))</f>
        <v>0</v>
      </c>
      <c r="AJ211" s="3">
        <f>IF('My investments'!$H$24="",0,IF('My investments'!$F211='My investments'!$H$24,$X211,0))</f>
        <v>0</v>
      </c>
      <c r="AL211" s="3" t="str">
        <f>IF('My investments'!$B211="","",IF($D$10=0,"",IFERROR(INDEX('Index history'!$B$8:$B$5007,MATCH('My investments'!$B211,'Index history'!$A$8:$A$5007,1)),"")))</f>
        <v/>
      </c>
      <c r="AM211" s="3">
        <f>IF($AL211="",0,IF('My investments'!$D211="",0,IF('My investments'!$C211="Money in",'My investments'!$D211/$AL211,IF('My investments'!$C211="Money out",-'My investments'!$D211/$AL211,0))))</f>
        <v>0</v>
      </c>
    </row>
    <row r="212">
      <c r="X212" s="3">
        <f>IF('My investments'!$B212="",0,IF('My investments'!$E212="",0,'My investments'!$E212))</f>
        <v>0</v>
      </c>
      <c r="Y212" s="25">
        <f>IF('My investments'!$B212="",$D$8,'My investments'!$B212)</f>
        <v>0</v>
      </c>
      <c r="Z212" s="3">
        <f>IF('My investments'!$C212="Worth today",0,$X212)</f>
        <v>0</v>
      </c>
      <c r="AA212" s="3">
        <f>IF('My investments'!$H$15="",0,IF('My investments'!$F212='My investments'!$H$15,$X212,0))</f>
        <v>0</v>
      </c>
      <c r="AB212" s="3">
        <f>IF('My investments'!$H$16="",0,IF('My investments'!$F212='My investments'!$H$16,$X212,0))</f>
        <v>0</v>
      </c>
      <c r="AC212" s="3">
        <f>IF('My investments'!$H$17="",0,IF('My investments'!$F212='My investments'!$H$17,$X212,0))</f>
        <v>0</v>
      </c>
      <c r="AD212" s="3">
        <f>IF('My investments'!$H$18="",0,IF('My investments'!$F212='My investments'!$H$18,$X212,0))</f>
        <v>0</v>
      </c>
      <c r="AE212" s="3">
        <f>IF('My investments'!$H$19="",0,IF('My investments'!$F212='My investments'!$H$19,$X212,0))</f>
        <v>0</v>
      </c>
      <c r="AF212" s="3">
        <f>IF('My investments'!$H$20="",0,IF('My investments'!$F212='My investments'!$H$20,$X212,0))</f>
        <v>0</v>
      </c>
      <c r="AG212" s="3">
        <f>IF('My investments'!$H$21="",0,IF('My investments'!$F212='My investments'!$H$21,$X212,0))</f>
        <v>0</v>
      </c>
      <c r="AH212" s="3">
        <f>IF('My investments'!$H$22="",0,IF('My investments'!$F212='My investments'!$H$22,$X212,0))</f>
        <v>0</v>
      </c>
      <c r="AI212" s="3">
        <f>IF('My investments'!$H$23="",0,IF('My investments'!$F212='My investments'!$H$23,$X212,0))</f>
        <v>0</v>
      </c>
      <c r="AJ212" s="3">
        <f>IF('My investments'!$H$24="",0,IF('My investments'!$F212='My investments'!$H$24,$X212,0))</f>
        <v>0</v>
      </c>
      <c r="AL212" s="3" t="str">
        <f>IF('My investments'!$B212="","",IF($D$10=0,"",IFERROR(INDEX('Index history'!$B$8:$B$5007,MATCH('My investments'!$B212,'Index history'!$A$8:$A$5007,1)),"")))</f>
        <v/>
      </c>
      <c r="AM212" s="3">
        <f>IF($AL212="",0,IF('My investments'!$D212="",0,IF('My investments'!$C212="Money in",'My investments'!$D212/$AL212,IF('My investments'!$C212="Money out",-'My investments'!$D212/$AL212,0))))</f>
        <v>0</v>
      </c>
    </row>
    <row r="213">
      <c r="X213" s="3">
        <f>IF('My investments'!$B213="",0,IF('My investments'!$E213="",0,'My investments'!$E213))</f>
        <v>0</v>
      </c>
      <c r="Y213" s="25">
        <f>IF('My investments'!$B213="",$D$8,'My investments'!$B213)</f>
        <v>0</v>
      </c>
      <c r="Z213" s="3">
        <f>IF('My investments'!$C213="Worth today",0,$X213)</f>
        <v>0</v>
      </c>
      <c r="AA213" s="3">
        <f>IF('My investments'!$H$15="",0,IF('My investments'!$F213='My investments'!$H$15,$X213,0))</f>
        <v>0</v>
      </c>
      <c r="AB213" s="3">
        <f>IF('My investments'!$H$16="",0,IF('My investments'!$F213='My investments'!$H$16,$X213,0))</f>
        <v>0</v>
      </c>
      <c r="AC213" s="3">
        <f>IF('My investments'!$H$17="",0,IF('My investments'!$F213='My investments'!$H$17,$X213,0))</f>
        <v>0</v>
      </c>
      <c r="AD213" s="3">
        <f>IF('My investments'!$H$18="",0,IF('My investments'!$F213='My investments'!$H$18,$X213,0))</f>
        <v>0</v>
      </c>
      <c r="AE213" s="3">
        <f>IF('My investments'!$H$19="",0,IF('My investments'!$F213='My investments'!$H$19,$X213,0))</f>
        <v>0</v>
      </c>
      <c r="AF213" s="3">
        <f>IF('My investments'!$H$20="",0,IF('My investments'!$F213='My investments'!$H$20,$X213,0))</f>
        <v>0</v>
      </c>
      <c r="AG213" s="3">
        <f>IF('My investments'!$H$21="",0,IF('My investments'!$F213='My investments'!$H$21,$X213,0))</f>
        <v>0</v>
      </c>
      <c r="AH213" s="3">
        <f>IF('My investments'!$H$22="",0,IF('My investments'!$F213='My investments'!$H$22,$X213,0))</f>
        <v>0</v>
      </c>
      <c r="AI213" s="3">
        <f>IF('My investments'!$H$23="",0,IF('My investments'!$F213='My investments'!$H$23,$X213,0))</f>
        <v>0</v>
      </c>
      <c r="AJ213" s="3">
        <f>IF('My investments'!$H$24="",0,IF('My investments'!$F213='My investments'!$H$24,$X213,0))</f>
        <v>0</v>
      </c>
      <c r="AL213" s="3" t="str">
        <f>IF('My investments'!$B213="","",IF($D$10=0,"",IFERROR(INDEX('Index history'!$B$8:$B$5007,MATCH('My investments'!$B213,'Index history'!$A$8:$A$5007,1)),"")))</f>
        <v/>
      </c>
      <c r="AM213" s="3">
        <f>IF($AL213="",0,IF('My investments'!$D213="",0,IF('My investments'!$C213="Money in",'My investments'!$D213/$AL213,IF('My investments'!$C213="Money out",-'My investments'!$D213/$AL213,0))))</f>
        <v>0</v>
      </c>
    </row>
    <row r="214">
      <c r="X214" s="3">
        <f>IF('My investments'!$B214="",0,IF('My investments'!$E214="",0,'My investments'!$E214))</f>
        <v>0</v>
      </c>
      <c r="Y214" s="25">
        <f>IF('My investments'!$B214="",$D$8,'My investments'!$B214)</f>
        <v>0</v>
      </c>
      <c r="Z214" s="3">
        <f>IF('My investments'!$C214="Worth today",0,$X214)</f>
        <v>0</v>
      </c>
      <c r="AA214" s="3">
        <f>IF('My investments'!$H$15="",0,IF('My investments'!$F214='My investments'!$H$15,$X214,0))</f>
        <v>0</v>
      </c>
      <c r="AB214" s="3">
        <f>IF('My investments'!$H$16="",0,IF('My investments'!$F214='My investments'!$H$16,$X214,0))</f>
        <v>0</v>
      </c>
      <c r="AC214" s="3">
        <f>IF('My investments'!$H$17="",0,IF('My investments'!$F214='My investments'!$H$17,$X214,0))</f>
        <v>0</v>
      </c>
      <c r="AD214" s="3">
        <f>IF('My investments'!$H$18="",0,IF('My investments'!$F214='My investments'!$H$18,$X214,0))</f>
        <v>0</v>
      </c>
      <c r="AE214" s="3">
        <f>IF('My investments'!$H$19="",0,IF('My investments'!$F214='My investments'!$H$19,$X214,0))</f>
        <v>0</v>
      </c>
      <c r="AF214" s="3">
        <f>IF('My investments'!$H$20="",0,IF('My investments'!$F214='My investments'!$H$20,$X214,0))</f>
        <v>0</v>
      </c>
      <c r="AG214" s="3">
        <f>IF('My investments'!$H$21="",0,IF('My investments'!$F214='My investments'!$H$21,$X214,0))</f>
        <v>0</v>
      </c>
      <c r="AH214" s="3">
        <f>IF('My investments'!$H$22="",0,IF('My investments'!$F214='My investments'!$H$22,$X214,0))</f>
        <v>0</v>
      </c>
      <c r="AI214" s="3">
        <f>IF('My investments'!$H$23="",0,IF('My investments'!$F214='My investments'!$H$23,$X214,0))</f>
        <v>0</v>
      </c>
      <c r="AJ214" s="3">
        <f>IF('My investments'!$H$24="",0,IF('My investments'!$F214='My investments'!$H$24,$X214,0))</f>
        <v>0</v>
      </c>
      <c r="AL214" s="3" t="str">
        <f>IF('My investments'!$B214="","",IF($D$10=0,"",IFERROR(INDEX('Index history'!$B$8:$B$5007,MATCH('My investments'!$B214,'Index history'!$A$8:$A$5007,1)),"")))</f>
        <v/>
      </c>
      <c r="AM214" s="3">
        <f>IF($AL214="",0,IF('My investments'!$D214="",0,IF('My investments'!$C214="Money in",'My investments'!$D214/$AL214,IF('My investments'!$C214="Money out",-'My investments'!$D214/$AL214,0))))</f>
        <v>0</v>
      </c>
    </row>
    <row r="215">
      <c r="X215" s="3">
        <f>IF('My investments'!$B215="",0,IF('My investments'!$E215="",0,'My investments'!$E215))</f>
        <v>0</v>
      </c>
      <c r="Y215" s="25">
        <f>IF('My investments'!$B215="",$D$8,'My investments'!$B215)</f>
        <v>0</v>
      </c>
      <c r="Z215" s="3">
        <f>IF('My investments'!$C215="Worth today",0,$X215)</f>
        <v>0</v>
      </c>
      <c r="AA215" s="3">
        <f>IF('My investments'!$H$15="",0,IF('My investments'!$F215='My investments'!$H$15,$X215,0))</f>
        <v>0</v>
      </c>
      <c r="AB215" s="3">
        <f>IF('My investments'!$H$16="",0,IF('My investments'!$F215='My investments'!$H$16,$X215,0))</f>
        <v>0</v>
      </c>
      <c r="AC215" s="3">
        <f>IF('My investments'!$H$17="",0,IF('My investments'!$F215='My investments'!$H$17,$X215,0))</f>
        <v>0</v>
      </c>
      <c r="AD215" s="3">
        <f>IF('My investments'!$H$18="",0,IF('My investments'!$F215='My investments'!$H$18,$X215,0))</f>
        <v>0</v>
      </c>
      <c r="AE215" s="3">
        <f>IF('My investments'!$H$19="",0,IF('My investments'!$F215='My investments'!$H$19,$X215,0))</f>
        <v>0</v>
      </c>
      <c r="AF215" s="3">
        <f>IF('My investments'!$H$20="",0,IF('My investments'!$F215='My investments'!$H$20,$X215,0))</f>
        <v>0</v>
      </c>
      <c r="AG215" s="3">
        <f>IF('My investments'!$H$21="",0,IF('My investments'!$F215='My investments'!$H$21,$X215,0))</f>
        <v>0</v>
      </c>
      <c r="AH215" s="3">
        <f>IF('My investments'!$H$22="",0,IF('My investments'!$F215='My investments'!$H$22,$X215,0))</f>
        <v>0</v>
      </c>
      <c r="AI215" s="3">
        <f>IF('My investments'!$H$23="",0,IF('My investments'!$F215='My investments'!$H$23,$X215,0))</f>
        <v>0</v>
      </c>
      <c r="AJ215" s="3">
        <f>IF('My investments'!$H$24="",0,IF('My investments'!$F215='My investments'!$H$24,$X215,0))</f>
        <v>0</v>
      </c>
      <c r="AL215" s="3" t="str">
        <f>IF('My investments'!$B215="","",IF($D$10=0,"",IFERROR(INDEX('Index history'!$B$8:$B$5007,MATCH('My investments'!$B215,'Index history'!$A$8:$A$5007,1)),"")))</f>
        <v/>
      </c>
      <c r="AM215" s="3">
        <f>IF($AL215="",0,IF('My investments'!$D215="",0,IF('My investments'!$C215="Money in",'My investments'!$D215/$AL215,IF('My investments'!$C215="Money out",-'My investments'!$D215/$AL215,0))))</f>
        <v>0</v>
      </c>
    </row>
    <row r="216">
      <c r="X216" s="3">
        <f>IF('My investments'!$B216="",0,IF('My investments'!$E216="",0,'My investments'!$E216))</f>
        <v>0</v>
      </c>
      <c r="Y216" s="25">
        <f>IF('My investments'!$B216="",$D$8,'My investments'!$B216)</f>
        <v>0</v>
      </c>
      <c r="Z216" s="3">
        <f>IF('My investments'!$C216="Worth today",0,$X216)</f>
        <v>0</v>
      </c>
      <c r="AA216" s="3">
        <f>IF('My investments'!$H$15="",0,IF('My investments'!$F216='My investments'!$H$15,$X216,0))</f>
        <v>0</v>
      </c>
      <c r="AB216" s="3">
        <f>IF('My investments'!$H$16="",0,IF('My investments'!$F216='My investments'!$H$16,$X216,0))</f>
        <v>0</v>
      </c>
      <c r="AC216" s="3">
        <f>IF('My investments'!$H$17="",0,IF('My investments'!$F216='My investments'!$H$17,$X216,0))</f>
        <v>0</v>
      </c>
      <c r="AD216" s="3">
        <f>IF('My investments'!$H$18="",0,IF('My investments'!$F216='My investments'!$H$18,$X216,0))</f>
        <v>0</v>
      </c>
      <c r="AE216" s="3">
        <f>IF('My investments'!$H$19="",0,IF('My investments'!$F216='My investments'!$H$19,$X216,0))</f>
        <v>0</v>
      </c>
      <c r="AF216" s="3">
        <f>IF('My investments'!$H$20="",0,IF('My investments'!$F216='My investments'!$H$20,$X216,0))</f>
        <v>0</v>
      </c>
      <c r="AG216" s="3">
        <f>IF('My investments'!$H$21="",0,IF('My investments'!$F216='My investments'!$H$21,$X216,0))</f>
        <v>0</v>
      </c>
      <c r="AH216" s="3">
        <f>IF('My investments'!$H$22="",0,IF('My investments'!$F216='My investments'!$H$22,$X216,0))</f>
        <v>0</v>
      </c>
      <c r="AI216" s="3">
        <f>IF('My investments'!$H$23="",0,IF('My investments'!$F216='My investments'!$H$23,$X216,0))</f>
        <v>0</v>
      </c>
      <c r="AJ216" s="3">
        <f>IF('My investments'!$H$24="",0,IF('My investments'!$F216='My investments'!$H$24,$X216,0))</f>
        <v>0</v>
      </c>
      <c r="AL216" s="3" t="str">
        <f>IF('My investments'!$B216="","",IF($D$10=0,"",IFERROR(INDEX('Index history'!$B$8:$B$5007,MATCH('My investments'!$B216,'Index history'!$A$8:$A$5007,1)),"")))</f>
        <v/>
      </c>
      <c r="AM216" s="3">
        <f>IF($AL216="",0,IF('My investments'!$D216="",0,IF('My investments'!$C216="Money in",'My investments'!$D216/$AL216,IF('My investments'!$C216="Money out",-'My investments'!$D216/$AL216,0))))</f>
        <v>0</v>
      </c>
    </row>
    <row r="217">
      <c r="X217" s="3">
        <f>IF('My investments'!$B217="",0,IF('My investments'!$E217="",0,'My investments'!$E217))</f>
        <v>0</v>
      </c>
      <c r="Y217" s="25">
        <f>IF('My investments'!$B217="",$D$8,'My investments'!$B217)</f>
        <v>0</v>
      </c>
      <c r="Z217" s="3">
        <f>IF('My investments'!$C217="Worth today",0,$X217)</f>
        <v>0</v>
      </c>
      <c r="AA217" s="3">
        <f>IF('My investments'!$H$15="",0,IF('My investments'!$F217='My investments'!$H$15,$X217,0))</f>
        <v>0</v>
      </c>
      <c r="AB217" s="3">
        <f>IF('My investments'!$H$16="",0,IF('My investments'!$F217='My investments'!$H$16,$X217,0))</f>
        <v>0</v>
      </c>
      <c r="AC217" s="3">
        <f>IF('My investments'!$H$17="",0,IF('My investments'!$F217='My investments'!$H$17,$X217,0))</f>
        <v>0</v>
      </c>
      <c r="AD217" s="3">
        <f>IF('My investments'!$H$18="",0,IF('My investments'!$F217='My investments'!$H$18,$X217,0))</f>
        <v>0</v>
      </c>
      <c r="AE217" s="3">
        <f>IF('My investments'!$H$19="",0,IF('My investments'!$F217='My investments'!$H$19,$X217,0))</f>
        <v>0</v>
      </c>
      <c r="AF217" s="3">
        <f>IF('My investments'!$H$20="",0,IF('My investments'!$F217='My investments'!$H$20,$X217,0))</f>
        <v>0</v>
      </c>
      <c r="AG217" s="3">
        <f>IF('My investments'!$H$21="",0,IF('My investments'!$F217='My investments'!$H$21,$X217,0))</f>
        <v>0</v>
      </c>
      <c r="AH217" s="3">
        <f>IF('My investments'!$H$22="",0,IF('My investments'!$F217='My investments'!$H$22,$X217,0))</f>
        <v>0</v>
      </c>
      <c r="AI217" s="3">
        <f>IF('My investments'!$H$23="",0,IF('My investments'!$F217='My investments'!$H$23,$X217,0))</f>
        <v>0</v>
      </c>
      <c r="AJ217" s="3">
        <f>IF('My investments'!$H$24="",0,IF('My investments'!$F217='My investments'!$H$24,$X217,0))</f>
        <v>0</v>
      </c>
      <c r="AL217" s="3" t="str">
        <f>IF('My investments'!$B217="","",IF($D$10=0,"",IFERROR(INDEX('Index history'!$B$8:$B$5007,MATCH('My investments'!$B217,'Index history'!$A$8:$A$5007,1)),"")))</f>
        <v/>
      </c>
      <c r="AM217" s="3">
        <f>IF($AL217="",0,IF('My investments'!$D217="",0,IF('My investments'!$C217="Money in",'My investments'!$D217/$AL217,IF('My investments'!$C217="Money out",-'My investments'!$D217/$AL217,0))))</f>
        <v>0</v>
      </c>
    </row>
    <row r="218">
      <c r="X218" s="3">
        <f>IF('My investments'!$B218="",0,IF('My investments'!$E218="",0,'My investments'!$E218))</f>
        <v>0</v>
      </c>
      <c r="Y218" s="25">
        <f>IF('My investments'!$B218="",$D$8,'My investments'!$B218)</f>
        <v>0</v>
      </c>
      <c r="Z218" s="3">
        <f>IF('My investments'!$C218="Worth today",0,$X218)</f>
        <v>0</v>
      </c>
      <c r="AA218" s="3">
        <f>IF('My investments'!$H$15="",0,IF('My investments'!$F218='My investments'!$H$15,$X218,0))</f>
        <v>0</v>
      </c>
      <c r="AB218" s="3">
        <f>IF('My investments'!$H$16="",0,IF('My investments'!$F218='My investments'!$H$16,$X218,0))</f>
        <v>0</v>
      </c>
      <c r="AC218" s="3">
        <f>IF('My investments'!$H$17="",0,IF('My investments'!$F218='My investments'!$H$17,$X218,0))</f>
        <v>0</v>
      </c>
      <c r="AD218" s="3">
        <f>IF('My investments'!$H$18="",0,IF('My investments'!$F218='My investments'!$H$18,$X218,0))</f>
        <v>0</v>
      </c>
      <c r="AE218" s="3">
        <f>IF('My investments'!$H$19="",0,IF('My investments'!$F218='My investments'!$H$19,$X218,0))</f>
        <v>0</v>
      </c>
      <c r="AF218" s="3">
        <f>IF('My investments'!$H$20="",0,IF('My investments'!$F218='My investments'!$H$20,$X218,0))</f>
        <v>0</v>
      </c>
      <c r="AG218" s="3">
        <f>IF('My investments'!$H$21="",0,IF('My investments'!$F218='My investments'!$H$21,$X218,0))</f>
        <v>0</v>
      </c>
      <c r="AH218" s="3">
        <f>IF('My investments'!$H$22="",0,IF('My investments'!$F218='My investments'!$H$22,$X218,0))</f>
        <v>0</v>
      </c>
      <c r="AI218" s="3">
        <f>IF('My investments'!$H$23="",0,IF('My investments'!$F218='My investments'!$H$23,$X218,0))</f>
        <v>0</v>
      </c>
      <c r="AJ218" s="3">
        <f>IF('My investments'!$H$24="",0,IF('My investments'!$F218='My investments'!$H$24,$X218,0))</f>
        <v>0</v>
      </c>
      <c r="AL218" s="3" t="str">
        <f>IF('My investments'!$B218="","",IF($D$10=0,"",IFERROR(INDEX('Index history'!$B$8:$B$5007,MATCH('My investments'!$B218,'Index history'!$A$8:$A$5007,1)),"")))</f>
        <v/>
      </c>
      <c r="AM218" s="3">
        <f>IF($AL218="",0,IF('My investments'!$D218="",0,IF('My investments'!$C218="Money in",'My investments'!$D218/$AL218,IF('My investments'!$C218="Money out",-'My investments'!$D218/$AL218,0))))</f>
        <v>0</v>
      </c>
    </row>
    <row r="219">
      <c r="X219" s="3">
        <f>IF('My investments'!$B219="",0,IF('My investments'!$E219="",0,'My investments'!$E219))</f>
        <v>0</v>
      </c>
      <c r="Y219" s="25">
        <f>IF('My investments'!$B219="",$D$8,'My investments'!$B219)</f>
        <v>0</v>
      </c>
      <c r="Z219" s="3">
        <f>IF('My investments'!$C219="Worth today",0,$X219)</f>
        <v>0</v>
      </c>
      <c r="AA219" s="3">
        <f>IF('My investments'!$H$15="",0,IF('My investments'!$F219='My investments'!$H$15,$X219,0))</f>
        <v>0</v>
      </c>
      <c r="AB219" s="3">
        <f>IF('My investments'!$H$16="",0,IF('My investments'!$F219='My investments'!$H$16,$X219,0))</f>
        <v>0</v>
      </c>
      <c r="AC219" s="3">
        <f>IF('My investments'!$H$17="",0,IF('My investments'!$F219='My investments'!$H$17,$X219,0))</f>
        <v>0</v>
      </c>
      <c r="AD219" s="3">
        <f>IF('My investments'!$H$18="",0,IF('My investments'!$F219='My investments'!$H$18,$X219,0))</f>
        <v>0</v>
      </c>
      <c r="AE219" s="3">
        <f>IF('My investments'!$H$19="",0,IF('My investments'!$F219='My investments'!$H$19,$X219,0))</f>
        <v>0</v>
      </c>
      <c r="AF219" s="3">
        <f>IF('My investments'!$H$20="",0,IF('My investments'!$F219='My investments'!$H$20,$X219,0))</f>
        <v>0</v>
      </c>
      <c r="AG219" s="3">
        <f>IF('My investments'!$H$21="",0,IF('My investments'!$F219='My investments'!$H$21,$X219,0))</f>
        <v>0</v>
      </c>
      <c r="AH219" s="3">
        <f>IF('My investments'!$H$22="",0,IF('My investments'!$F219='My investments'!$H$22,$X219,0))</f>
        <v>0</v>
      </c>
      <c r="AI219" s="3">
        <f>IF('My investments'!$H$23="",0,IF('My investments'!$F219='My investments'!$H$23,$X219,0))</f>
        <v>0</v>
      </c>
      <c r="AJ219" s="3">
        <f>IF('My investments'!$H$24="",0,IF('My investments'!$F219='My investments'!$H$24,$X219,0))</f>
        <v>0</v>
      </c>
      <c r="AL219" s="3" t="str">
        <f>IF('My investments'!$B219="","",IF($D$10=0,"",IFERROR(INDEX('Index history'!$B$8:$B$5007,MATCH('My investments'!$B219,'Index history'!$A$8:$A$5007,1)),"")))</f>
        <v/>
      </c>
      <c r="AM219" s="3">
        <f>IF($AL219="",0,IF('My investments'!$D219="",0,IF('My investments'!$C219="Money in",'My investments'!$D219/$AL219,IF('My investments'!$C219="Money out",-'My investments'!$D219/$AL219,0))))</f>
        <v>0</v>
      </c>
    </row>
    <row r="220">
      <c r="X220" s="3">
        <f>IF('My investments'!$B220="",0,IF('My investments'!$E220="",0,'My investments'!$E220))</f>
        <v>0</v>
      </c>
      <c r="Y220" s="25">
        <f>IF('My investments'!$B220="",$D$8,'My investments'!$B220)</f>
        <v>0</v>
      </c>
      <c r="Z220" s="3">
        <f>IF('My investments'!$C220="Worth today",0,$X220)</f>
        <v>0</v>
      </c>
      <c r="AA220" s="3">
        <f>IF('My investments'!$H$15="",0,IF('My investments'!$F220='My investments'!$H$15,$X220,0))</f>
        <v>0</v>
      </c>
      <c r="AB220" s="3">
        <f>IF('My investments'!$H$16="",0,IF('My investments'!$F220='My investments'!$H$16,$X220,0))</f>
        <v>0</v>
      </c>
      <c r="AC220" s="3">
        <f>IF('My investments'!$H$17="",0,IF('My investments'!$F220='My investments'!$H$17,$X220,0))</f>
        <v>0</v>
      </c>
      <c r="AD220" s="3">
        <f>IF('My investments'!$H$18="",0,IF('My investments'!$F220='My investments'!$H$18,$X220,0))</f>
        <v>0</v>
      </c>
      <c r="AE220" s="3">
        <f>IF('My investments'!$H$19="",0,IF('My investments'!$F220='My investments'!$H$19,$X220,0))</f>
        <v>0</v>
      </c>
      <c r="AF220" s="3">
        <f>IF('My investments'!$H$20="",0,IF('My investments'!$F220='My investments'!$H$20,$X220,0))</f>
        <v>0</v>
      </c>
      <c r="AG220" s="3">
        <f>IF('My investments'!$H$21="",0,IF('My investments'!$F220='My investments'!$H$21,$X220,0))</f>
        <v>0</v>
      </c>
      <c r="AH220" s="3">
        <f>IF('My investments'!$H$22="",0,IF('My investments'!$F220='My investments'!$H$22,$X220,0))</f>
        <v>0</v>
      </c>
      <c r="AI220" s="3">
        <f>IF('My investments'!$H$23="",0,IF('My investments'!$F220='My investments'!$H$23,$X220,0))</f>
        <v>0</v>
      </c>
      <c r="AJ220" s="3">
        <f>IF('My investments'!$H$24="",0,IF('My investments'!$F220='My investments'!$H$24,$X220,0))</f>
        <v>0</v>
      </c>
      <c r="AL220" s="3" t="str">
        <f>IF('My investments'!$B220="","",IF($D$10=0,"",IFERROR(INDEX('Index history'!$B$8:$B$5007,MATCH('My investments'!$B220,'Index history'!$A$8:$A$5007,1)),"")))</f>
        <v/>
      </c>
      <c r="AM220" s="3">
        <f>IF($AL220="",0,IF('My investments'!$D220="",0,IF('My investments'!$C220="Money in",'My investments'!$D220/$AL220,IF('My investments'!$C220="Money out",-'My investments'!$D220/$AL220,0))))</f>
        <v>0</v>
      </c>
    </row>
    <row r="221">
      <c r="X221" s="3">
        <f>IF('My investments'!$B221="",0,IF('My investments'!$E221="",0,'My investments'!$E221))</f>
        <v>0</v>
      </c>
      <c r="Y221" s="25">
        <f>IF('My investments'!$B221="",$D$8,'My investments'!$B221)</f>
        <v>0</v>
      </c>
      <c r="Z221" s="3">
        <f>IF('My investments'!$C221="Worth today",0,$X221)</f>
        <v>0</v>
      </c>
      <c r="AA221" s="3">
        <f>IF('My investments'!$H$15="",0,IF('My investments'!$F221='My investments'!$H$15,$X221,0))</f>
        <v>0</v>
      </c>
      <c r="AB221" s="3">
        <f>IF('My investments'!$H$16="",0,IF('My investments'!$F221='My investments'!$H$16,$X221,0))</f>
        <v>0</v>
      </c>
      <c r="AC221" s="3">
        <f>IF('My investments'!$H$17="",0,IF('My investments'!$F221='My investments'!$H$17,$X221,0))</f>
        <v>0</v>
      </c>
      <c r="AD221" s="3">
        <f>IF('My investments'!$H$18="",0,IF('My investments'!$F221='My investments'!$H$18,$X221,0))</f>
        <v>0</v>
      </c>
      <c r="AE221" s="3">
        <f>IF('My investments'!$H$19="",0,IF('My investments'!$F221='My investments'!$H$19,$X221,0))</f>
        <v>0</v>
      </c>
      <c r="AF221" s="3">
        <f>IF('My investments'!$H$20="",0,IF('My investments'!$F221='My investments'!$H$20,$X221,0))</f>
        <v>0</v>
      </c>
      <c r="AG221" s="3">
        <f>IF('My investments'!$H$21="",0,IF('My investments'!$F221='My investments'!$H$21,$X221,0))</f>
        <v>0</v>
      </c>
      <c r="AH221" s="3">
        <f>IF('My investments'!$H$22="",0,IF('My investments'!$F221='My investments'!$H$22,$X221,0))</f>
        <v>0</v>
      </c>
      <c r="AI221" s="3">
        <f>IF('My investments'!$H$23="",0,IF('My investments'!$F221='My investments'!$H$23,$X221,0))</f>
        <v>0</v>
      </c>
      <c r="AJ221" s="3">
        <f>IF('My investments'!$H$24="",0,IF('My investments'!$F221='My investments'!$H$24,$X221,0))</f>
        <v>0</v>
      </c>
      <c r="AL221" s="3" t="str">
        <f>IF('My investments'!$B221="","",IF($D$10=0,"",IFERROR(INDEX('Index history'!$B$8:$B$5007,MATCH('My investments'!$B221,'Index history'!$A$8:$A$5007,1)),"")))</f>
        <v/>
      </c>
      <c r="AM221" s="3">
        <f>IF($AL221="",0,IF('My investments'!$D221="",0,IF('My investments'!$C221="Money in",'My investments'!$D221/$AL221,IF('My investments'!$C221="Money out",-'My investments'!$D221/$AL221,0))))</f>
        <v>0</v>
      </c>
    </row>
    <row r="222">
      <c r="X222" s="3">
        <f>IF('My investments'!$B222="",0,IF('My investments'!$E222="",0,'My investments'!$E222))</f>
        <v>0</v>
      </c>
      <c r="Y222" s="25">
        <f>IF('My investments'!$B222="",$D$8,'My investments'!$B222)</f>
        <v>0</v>
      </c>
      <c r="Z222" s="3">
        <f>IF('My investments'!$C222="Worth today",0,$X222)</f>
        <v>0</v>
      </c>
      <c r="AA222" s="3">
        <f>IF('My investments'!$H$15="",0,IF('My investments'!$F222='My investments'!$H$15,$X222,0))</f>
        <v>0</v>
      </c>
      <c r="AB222" s="3">
        <f>IF('My investments'!$H$16="",0,IF('My investments'!$F222='My investments'!$H$16,$X222,0))</f>
        <v>0</v>
      </c>
      <c r="AC222" s="3">
        <f>IF('My investments'!$H$17="",0,IF('My investments'!$F222='My investments'!$H$17,$X222,0))</f>
        <v>0</v>
      </c>
      <c r="AD222" s="3">
        <f>IF('My investments'!$H$18="",0,IF('My investments'!$F222='My investments'!$H$18,$X222,0))</f>
        <v>0</v>
      </c>
      <c r="AE222" s="3">
        <f>IF('My investments'!$H$19="",0,IF('My investments'!$F222='My investments'!$H$19,$X222,0))</f>
        <v>0</v>
      </c>
      <c r="AF222" s="3">
        <f>IF('My investments'!$H$20="",0,IF('My investments'!$F222='My investments'!$H$20,$X222,0))</f>
        <v>0</v>
      </c>
      <c r="AG222" s="3">
        <f>IF('My investments'!$H$21="",0,IF('My investments'!$F222='My investments'!$H$21,$X222,0))</f>
        <v>0</v>
      </c>
      <c r="AH222" s="3">
        <f>IF('My investments'!$H$22="",0,IF('My investments'!$F222='My investments'!$H$22,$X222,0))</f>
        <v>0</v>
      </c>
      <c r="AI222" s="3">
        <f>IF('My investments'!$H$23="",0,IF('My investments'!$F222='My investments'!$H$23,$X222,0))</f>
        <v>0</v>
      </c>
      <c r="AJ222" s="3">
        <f>IF('My investments'!$H$24="",0,IF('My investments'!$F222='My investments'!$H$24,$X222,0))</f>
        <v>0</v>
      </c>
      <c r="AL222" s="3" t="str">
        <f>IF('My investments'!$B222="","",IF($D$10=0,"",IFERROR(INDEX('Index history'!$B$8:$B$5007,MATCH('My investments'!$B222,'Index history'!$A$8:$A$5007,1)),"")))</f>
        <v/>
      </c>
      <c r="AM222" s="3">
        <f>IF($AL222="",0,IF('My investments'!$D222="",0,IF('My investments'!$C222="Money in",'My investments'!$D222/$AL222,IF('My investments'!$C222="Money out",-'My investments'!$D222/$AL222,0))))</f>
        <v>0</v>
      </c>
    </row>
    <row r="223">
      <c r="X223" s="3">
        <f>IF('My investments'!$B223="",0,IF('My investments'!$E223="",0,'My investments'!$E223))</f>
        <v>0</v>
      </c>
      <c r="Y223" s="25">
        <f>IF('My investments'!$B223="",$D$8,'My investments'!$B223)</f>
        <v>0</v>
      </c>
      <c r="Z223" s="3">
        <f>IF('My investments'!$C223="Worth today",0,$X223)</f>
        <v>0</v>
      </c>
      <c r="AA223" s="3">
        <f>IF('My investments'!$H$15="",0,IF('My investments'!$F223='My investments'!$H$15,$X223,0))</f>
        <v>0</v>
      </c>
      <c r="AB223" s="3">
        <f>IF('My investments'!$H$16="",0,IF('My investments'!$F223='My investments'!$H$16,$X223,0))</f>
        <v>0</v>
      </c>
      <c r="AC223" s="3">
        <f>IF('My investments'!$H$17="",0,IF('My investments'!$F223='My investments'!$H$17,$X223,0))</f>
        <v>0</v>
      </c>
      <c r="AD223" s="3">
        <f>IF('My investments'!$H$18="",0,IF('My investments'!$F223='My investments'!$H$18,$X223,0))</f>
        <v>0</v>
      </c>
      <c r="AE223" s="3">
        <f>IF('My investments'!$H$19="",0,IF('My investments'!$F223='My investments'!$H$19,$X223,0))</f>
        <v>0</v>
      </c>
      <c r="AF223" s="3">
        <f>IF('My investments'!$H$20="",0,IF('My investments'!$F223='My investments'!$H$20,$X223,0))</f>
        <v>0</v>
      </c>
      <c r="AG223" s="3">
        <f>IF('My investments'!$H$21="",0,IF('My investments'!$F223='My investments'!$H$21,$X223,0))</f>
        <v>0</v>
      </c>
      <c r="AH223" s="3">
        <f>IF('My investments'!$H$22="",0,IF('My investments'!$F223='My investments'!$H$22,$X223,0))</f>
        <v>0</v>
      </c>
      <c r="AI223" s="3">
        <f>IF('My investments'!$H$23="",0,IF('My investments'!$F223='My investments'!$H$23,$X223,0))</f>
        <v>0</v>
      </c>
      <c r="AJ223" s="3">
        <f>IF('My investments'!$H$24="",0,IF('My investments'!$F223='My investments'!$H$24,$X223,0))</f>
        <v>0</v>
      </c>
      <c r="AL223" s="3" t="str">
        <f>IF('My investments'!$B223="","",IF($D$10=0,"",IFERROR(INDEX('Index history'!$B$8:$B$5007,MATCH('My investments'!$B223,'Index history'!$A$8:$A$5007,1)),"")))</f>
        <v/>
      </c>
      <c r="AM223" s="3">
        <f>IF($AL223="",0,IF('My investments'!$D223="",0,IF('My investments'!$C223="Money in",'My investments'!$D223/$AL223,IF('My investments'!$C223="Money out",-'My investments'!$D223/$AL223,0))))</f>
        <v>0</v>
      </c>
    </row>
    <row r="224">
      <c r="X224" s="3">
        <f>IF('My investments'!$B224="",0,IF('My investments'!$E224="",0,'My investments'!$E224))</f>
        <v>0</v>
      </c>
      <c r="Y224" s="25">
        <f>IF('My investments'!$B224="",$D$8,'My investments'!$B224)</f>
        <v>0</v>
      </c>
      <c r="Z224" s="3">
        <f>IF('My investments'!$C224="Worth today",0,$X224)</f>
        <v>0</v>
      </c>
      <c r="AA224" s="3">
        <f>IF('My investments'!$H$15="",0,IF('My investments'!$F224='My investments'!$H$15,$X224,0))</f>
        <v>0</v>
      </c>
      <c r="AB224" s="3">
        <f>IF('My investments'!$H$16="",0,IF('My investments'!$F224='My investments'!$H$16,$X224,0))</f>
        <v>0</v>
      </c>
      <c r="AC224" s="3">
        <f>IF('My investments'!$H$17="",0,IF('My investments'!$F224='My investments'!$H$17,$X224,0))</f>
        <v>0</v>
      </c>
      <c r="AD224" s="3">
        <f>IF('My investments'!$H$18="",0,IF('My investments'!$F224='My investments'!$H$18,$X224,0))</f>
        <v>0</v>
      </c>
      <c r="AE224" s="3">
        <f>IF('My investments'!$H$19="",0,IF('My investments'!$F224='My investments'!$H$19,$X224,0))</f>
        <v>0</v>
      </c>
      <c r="AF224" s="3">
        <f>IF('My investments'!$H$20="",0,IF('My investments'!$F224='My investments'!$H$20,$X224,0))</f>
        <v>0</v>
      </c>
      <c r="AG224" s="3">
        <f>IF('My investments'!$H$21="",0,IF('My investments'!$F224='My investments'!$H$21,$X224,0))</f>
        <v>0</v>
      </c>
      <c r="AH224" s="3">
        <f>IF('My investments'!$H$22="",0,IF('My investments'!$F224='My investments'!$H$22,$X224,0))</f>
        <v>0</v>
      </c>
      <c r="AI224" s="3">
        <f>IF('My investments'!$H$23="",0,IF('My investments'!$F224='My investments'!$H$23,$X224,0))</f>
        <v>0</v>
      </c>
      <c r="AJ224" s="3">
        <f>IF('My investments'!$H$24="",0,IF('My investments'!$F224='My investments'!$H$24,$X224,0))</f>
        <v>0</v>
      </c>
      <c r="AL224" s="3" t="str">
        <f>IF('My investments'!$B224="","",IF($D$10=0,"",IFERROR(INDEX('Index history'!$B$8:$B$5007,MATCH('My investments'!$B224,'Index history'!$A$8:$A$5007,1)),"")))</f>
        <v/>
      </c>
      <c r="AM224" s="3">
        <f>IF($AL224="",0,IF('My investments'!$D224="",0,IF('My investments'!$C224="Money in",'My investments'!$D224/$AL224,IF('My investments'!$C224="Money out",-'My investments'!$D224/$AL224,0))))</f>
        <v>0</v>
      </c>
    </row>
    <row r="225">
      <c r="X225" s="3">
        <f>IF('My investments'!$B225="",0,IF('My investments'!$E225="",0,'My investments'!$E225))</f>
        <v>0</v>
      </c>
      <c r="Y225" s="25">
        <f>IF('My investments'!$B225="",$D$8,'My investments'!$B225)</f>
        <v>0</v>
      </c>
      <c r="Z225" s="3">
        <f>IF('My investments'!$C225="Worth today",0,$X225)</f>
        <v>0</v>
      </c>
      <c r="AA225" s="3">
        <f>IF('My investments'!$H$15="",0,IF('My investments'!$F225='My investments'!$H$15,$X225,0))</f>
        <v>0</v>
      </c>
      <c r="AB225" s="3">
        <f>IF('My investments'!$H$16="",0,IF('My investments'!$F225='My investments'!$H$16,$X225,0))</f>
        <v>0</v>
      </c>
      <c r="AC225" s="3">
        <f>IF('My investments'!$H$17="",0,IF('My investments'!$F225='My investments'!$H$17,$X225,0))</f>
        <v>0</v>
      </c>
      <c r="AD225" s="3">
        <f>IF('My investments'!$H$18="",0,IF('My investments'!$F225='My investments'!$H$18,$X225,0))</f>
        <v>0</v>
      </c>
      <c r="AE225" s="3">
        <f>IF('My investments'!$H$19="",0,IF('My investments'!$F225='My investments'!$H$19,$X225,0))</f>
        <v>0</v>
      </c>
      <c r="AF225" s="3">
        <f>IF('My investments'!$H$20="",0,IF('My investments'!$F225='My investments'!$H$20,$X225,0))</f>
        <v>0</v>
      </c>
      <c r="AG225" s="3">
        <f>IF('My investments'!$H$21="",0,IF('My investments'!$F225='My investments'!$H$21,$X225,0))</f>
        <v>0</v>
      </c>
      <c r="AH225" s="3">
        <f>IF('My investments'!$H$22="",0,IF('My investments'!$F225='My investments'!$H$22,$X225,0))</f>
        <v>0</v>
      </c>
      <c r="AI225" s="3">
        <f>IF('My investments'!$H$23="",0,IF('My investments'!$F225='My investments'!$H$23,$X225,0))</f>
        <v>0</v>
      </c>
      <c r="AJ225" s="3">
        <f>IF('My investments'!$H$24="",0,IF('My investments'!$F225='My investments'!$H$24,$X225,0))</f>
        <v>0</v>
      </c>
      <c r="AL225" s="3" t="str">
        <f>IF('My investments'!$B225="","",IF($D$10=0,"",IFERROR(INDEX('Index history'!$B$8:$B$5007,MATCH('My investments'!$B225,'Index history'!$A$8:$A$5007,1)),"")))</f>
        <v/>
      </c>
      <c r="AM225" s="3">
        <f>IF($AL225="",0,IF('My investments'!$D225="",0,IF('My investments'!$C225="Money in",'My investments'!$D225/$AL225,IF('My investments'!$C225="Money out",-'My investments'!$D225/$AL225,0))))</f>
        <v>0</v>
      </c>
    </row>
    <row r="226">
      <c r="X226" s="3">
        <f>IF('My investments'!$B226="",0,IF('My investments'!$E226="",0,'My investments'!$E226))</f>
        <v>0</v>
      </c>
      <c r="Y226" s="25">
        <f>IF('My investments'!$B226="",$D$8,'My investments'!$B226)</f>
        <v>0</v>
      </c>
      <c r="Z226" s="3">
        <f>IF('My investments'!$C226="Worth today",0,$X226)</f>
        <v>0</v>
      </c>
      <c r="AA226" s="3">
        <f>IF('My investments'!$H$15="",0,IF('My investments'!$F226='My investments'!$H$15,$X226,0))</f>
        <v>0</v>
      </c>
      <c r="AB226" s="3">
        <f>IF('My investments'!$H$16="",0,IF('My investments'!$F226='My investments'!$H$16,$X226,0))</f>
        <v>0</v>
      </c>
      <c r="AC226" s="3">
        <f>IF('My investments'!$H$17="",0,IF('My investments'!$F226='My investments'!$H$17,$X226,0))</f>
        <v>0</v>
      </c>
      <c r="AD226" s="3">
        <f>IF('My investments'!$H$18="",0,IF('My investments'!$F226='My investments'!$H$18,$X226,0))</f>
        <v>0</v>
      </c>
      <c r="AE226" s="3">
        <f>IF('My investments'!$H$19="",0,IF('My investments'!$F226='My investments'!$H$19,$X226,0))</f>
        <v>0</v>
      </c>
      <c r="AF226" s="3">
        <f>IF('My investments'!$H$20="",0,IF('My investments'!$F226='My investments'!$H$20,$X226,0))</f>
        <v>0</v>
      </c>
      <c r="AG226" s="3">
        <f>IF('My investments'!$H$21="",0,IF('My investments'!$F226='My investments'!$H$21,$X226,0))</f>
        <v>0</v>
      </c>
      <c r="AH226" s="3">
        <f>IF('My investments'!$H$22="",0,IF('My investments'!$F226='My investments'!$H$22,$X226,0))</f>
        <v>0</v>
      </c>
      <c r="AI226" s="3">
        <f>IF('My investments'!$H$23="",0,IF('My investments'!$F226='My investments'!$H$23,$X226,0))</f>
        <v>0</v>
      </c>
      <c r="AJ226" s="3">
        <f>IF('My investments'!$H$24="",0,IF('My investments'!$F226='My investments'!$H$24,$X226,0))</f>
        <v>0</v>
      </c>
      <c r="AL226" s="3" t="str">
        <f>IF('My investments'!$B226="","",IF($D$10=0,"",IFERROR(INDEX('Index history'!$B$8:$B$5007,MATCH('My investments'!$B226,'Index history'!$A$8:$A$5007,1)),"")))</f>
        <v/>
      </c>
      <c r="AM226" s="3">
        <f>IF($AL226="",0,IF('My investments'!$D226="",0,IF('My investments'!$C226="Money in",'My investments'!$D226/$AL226,IF('My investments'!$C226="Money out",-'My investments'!$D226/$AL226,0))))</f>
        <v>0</v>
      </c>
    </row>
    <row r="227">
      <c r="X227" s="3">
        <f>IF('My investments'!$B227="",0,IF('My investments'!$E227="",0,'My investments'!$E227))</f>
        <v>0</v>
      </c>
      <c r="Y227" s="25">
        <f>IF('My investments'!$B227="",$D$8,'My investments'!$B227)</f>
        <v>0</v>
      </c>
      <c r="Z227" s="3">
        <f>IF('My investments'!$C227="Worth today",0,$X227)</f>
        <v>0</v>
      </c>
      <c r="AA227" s="3">
        <f>IF('My investments'!$H$15="",0,IF('My investments'!$F227='My investments'!$H$15,$X227,0))</f>
        <v>0</v>
      </c>
      <c r="AB227" s="3">
        <f>IF('My investments'!$H$16="",0,IF('My investments'!$F227='My investments'!$H$16,$X227,0))</f>
        <v>0</v>
      </c>
      <c r="AC227" s="3">
        <f>IF('My investments'!$H$17="",0,IF('My investments'!$F227='My investments'!$H$17,$X227,0))</f>
        <v>0</v>
      </c>
      <c r="AD227" s="3">
        <f>IF('My investments'!$H$18="",0,IF('My investments'!$F227='My investments'!$H$18,$X227,0))</f>
        <v>0</v>
      </c>
      <c r="AE227" s="3">
        <f>IF('My investments'!$H$19="",0,IF('My investments'!$F227='My investments'!$H$19,$X227,0))</f>
        <v>0</v>
      </c>
      <c r="AF227" s="3">
        <f>IF('My investments'!$H$20="",0,IF('My investments'!$F227='My investments'!$H$20,$X227,0))</f>
        <v>0</v>
      </c>
      <c r="AG227" s="3">
        <f>IF('My investments'!$H$21="",0,IF('My investments'!$F227='My investments'!$H$21,$X227,0))</f>
        <v>0</v>
      </c>
      <c r="AH227" s="3">
        <f>IF('My investments'!$H$22="",0,IF('My investments'!$F227='My investments'!$H$22,$X227,0))</f>
        <v>0</v>
      </c>
      <c r="AI227" s="3">
        <f>IF('My investments'!$H$23="",0,IF('My investments'!$F227='My investments'!$H$23,$X227,0))</f>
        <v>0</v>
      </c>
      <c r="AJ227" s="3">
        <f>IF('My investments'!$H$24="",0,IF('My investments'!$F227='My investments'!$H$24,$X227,0))</f>
        <v>0</v>
      </c>
      <c r="AL227" s="3" t="str">
        <f>IF('My investments'!$B227="","",IF($D$10=0,"",IFERROR(INDEX('Index history'!$B$8:$B$5007,MATCH('My investments'!$B227,'Index history'!$A$8:$A$5007,1)),"")))</f>
        <v/>
      </c>
      <c r="AM227" s="3">
        <f>IF($AL227="",0,IF('My investments'!$D227="",0,IF('My investments'!$C227="Money in",'My investments'!$D227/$AL227,IF('My investments'!$C227="Money out",-'My investments'!$D227/$AL227,0))))</f>
        <v>0</v>
      </c>
    </row>
    <row r="228">
      <c r="X228" s="3">
        <f>IF('My investments'!$B228="",0,IF('My investments'!$E228="",0,'My investments'!$E228))</f>
        <v>0</v>
      </c>
      <c r="Y228" s="25">
        <f>IF('My investments'!$B228="",$D$8,'My investments'!$B228)</f>
        <v>0</v>
      </c>
      <c r="Z228" s="3">
        <f>IF('My investments'!$C228="Worth today",0,$X228)</f>
        <v>0</v>
      </c>
      <c r="AA228" s="3">
        <f>IF('My investments'!$H$15="",0,IF('My investments'!$F228='My investments'!$H$15,$X228,0))</f>
        <v>0</v>
      </c>
      <c r="AB228" s="3">
        <f>IF('My investments'!$H$16="",0,IF('My investments'!$F228='My investments'!$H$16,$X228,0))</f>
        <v>0</v>
      </c>
      <c r="AC228" s="3">
        <f>IF('My investments'!$H$17="",0,IF('My investments'!$F228='My investments'!$H$17,$X228,0))</f>
        <v>0</v>
      </c>
      <c r="AD228" s="3">
        <f>IF('My investments'!$H$18="",0,IF('My investments'!$F228='My investments'!$H$18,$X228,0))</f>
        <v>0</v>
      </c>
      <c r="AE228" s="3">
        <f>IF('My investments'!$H$19="",0,IF('My investments'!$F228='My investments'!$H$19,$X228,0))</f>
        <v>0</v>
      </c>
      <c r="AF228" s="3">
        <f>IF('My investments'!$H$20="",0,IF('My investments'!$F228='My investments'!$H$20,$X228,0))</f>
        <v>0</v>
      </c>
      <c r="AG228" s="3">
        <f>IF('My investments'!$H$21="",0,IF('My investments'!$F228='My investments'!$H$21,$X228,0))</f>
        <v>0</v>
      </c>
      <c r="AH228" s="3">
        <f>IF('My investments'!$H$22="",0,IF('My investments'!$F228='My investments'!$H$22,$X228,0))</f>
        <v>0</v>
      </c>
      <c r="AI228" s="3">
        <f>IF('My investments'!$H$23="",0,IF('My investments'!$F228='My investments'!$H$23,$X228,0))</f>
        <v>0</v>
      </c>
      <c r="AJ228" s="3">
        <f>IF('My investments'!$H$24="",0,IF('My investments'!$F228='My investments'!$H$24,$X228,0))</f>
        <v>0</v>
      </c>
      <c r="AL228" s="3" t="str">
        <f>IF('My investments'!$B228="","",IF($D$10=0,"",IFERROR(INDEX('Index history'!$B$8:$B$5007,MATCH('My investments'!$B228,'Index history'!$A$8:$A$5007,1)),"")))</f>
        <v/>
      </c>
      <c r="AM228" s="3">
        <f>IF($AL228="",0,IF('My investments'!$D228="",0,IF('My investments'!$C228="Money in",'My investments'!$D228/$AL228,IF('My investments'!$C228="Money out",-'My investments'!$D228/$AL228,0))))</f>
        <v>0</v>
      </c>
    </row>
    <row r="229">
      <c r="X229" s="3">
        <f>IF('My investments'!$B229="",0,IF('My investments'!$E229="",0,'My investments'!$E229))</f>
        <v>0</v>
      </c>
      <c r="Y229" s="25">
        <f>IF('My investments'!$B229="",$D$8,'My investments'!$B229)</f>
        <v>0</v>
      </c>
      <c r="Z229" s="3">
        <f>IF('My investments'!$C229="Worth today",0,$X229)</f>
        <v>0</v>
      </c>
      <c r="AA229" s="3">
        <f>IF('My investments'!$H$15="",0,IF('My investments'!$F229='My investments'!$H$15,$X229,0))</f>
        <v>0</v>
      </c>
      <c r="AB229" s="3">
        <f>IF('My investments'!$H$16="",0,IF('My investments'!$F229='My investments'!$H$16,$X229,0))</f>
        <v>0</v>
      </c>
      <c r="AC229" s="3">
        <f>IF('My investments'!$H$17="",0,IF('My investments'!$F229='My investments'!$H$17,$X229,0))</f>
        <v>0</v>
      </c>
      <c r="AD229" s="3">
        <f>IF('My investments'!$H$18="",0,IF('My investments'!$F229='My investments'!$H$18,$X229,0))</f>
        <v>0</v>
      </c>
      <c r="AE229" s="3">
        <f>IF('My investments'!$H$19="",0,IF('My investments'!$F229='My investments'!$H$19,$X229,0))</f>
        <v>0</v>
      </c>
      <c r="AF229" s="3">
        <f>IF('My investments'!$H$20="",0,IF('My investments'!$F229='My investments'!$H$20,$X229,0))</f>
        <v>0</v>
      </c>
      <c r="AG229" s="3">
        <f>IF('My investments'!$H$21="",0,IF('My investments'!$F229='My investments'!$H$21,$X229,0))</f>
        <v>0</v>
      </c>
      <c r="AH229" s="3">
        <f>IF('My investments'!$H$22="",0,IF('My investments'!$F229='My investments'!$H$22,$X229,0))</f>
        <v>0</v>
      </c>
      <c r="AI229" s="3">
        <f>IF('My investments'!$H$23="",0,IF('My investments'!$F229='My investments'!$H$23,$X229,0))</f>
        <v>0</v>
      </c>
      <c r="AJ229" s="3">
        <f>IF('My investments'!$H$24="",0,IF('My investments'!$F229='My investments'!$H$24,$X229,0))</f>
        <v>0</v>
      </c>
      <c r="AL229" s="3" t="str">
        <f>IF('My investments'!$B229="","",IF($D$10=0,"",IFERROR(INDEX('Index history'!$B$8:$B$5007,MATCH('My investments'!$B229,'Index history'!$A$8:$A$5007,1)),"")))</f>
        <v/>
      </c>
      <c r="AM229" s="3">
        <f>IF($AL229="",0,IF('My investments'!$D229="",0,IF('My investments'!$C229="Money in",'My investments'!$D229/$AL229,IF('My investments'!$C229="Money out",-'My investments'!$D229/$AL229,0))))</f>
        <v>0</v>
      </c>
    </row>
    <row r="230">
      <c r="X230" s="3">
        <f>IF('My investments'!$B230="",0,IF('My investments'!$E230="",0,'My investments'!$E230))</f>
        <v>0</v>
      </c>
      <c r="Y230" s="25">
        <f>IF('My investments'!$B230="",$D$8,'My investments'!$B230)</f>
        <v>0</v>
      </c>
      <c r="Z230" s="3">
        <f>IF('My investments'!$C230="Worth today",0,$X230)</f>
        <v>0</v>
      </c>
      <c r="AA230" s="3">
        <f>IF('My investments'!$H$15="",0,IF('My investments'!$F230='My investments'!$H$15,$X230,0))</f>
        <v>0</v>
      </c>
      <c r="AB230" s="3">
        <f>IF('My investments'!$H$16="",0,IF('My investments'!$F230='My investments'!$H$16,$X230,0))</f>
        <v>0</v>
      </c>
      <c r="AC230" s="3">
        <f>IF('My investments'!$H$17="",0,IF('My investments'!$F230='My investments'!$H$17,$X230,0))</f>
        <v>0</v>
      </c>
      <c r="AD230" s="3">
        <f>IF('My investments'!$H$18="",0,IF('My investments'!$F230='My investments'!$H$18,$X230,0))</f>
        <v>0</v>
      </c>
      <c r="AE230" s="3">
        <f>IF('My investments'!$H$19="",0,IF('My investments'!$F230='My investments'!$H$19,$X230,0))</f>
        <v>0</v>
      </c>
      <c r="AF230" s="3">
        <f>IF('My investments'!$H$20="",0,IF('My investments'!$F230='My investments'!$H$20,$X230,0))</f>
        <v>0</v>
      </c>
      <c r="AG230" s="3">
        <f>IF('My investments'!$H$21="",0,IF('My investments'!$F230='My investments'!$H$21,$X230,0))</f>
        <v>0</v>
      </c>
      <c r="AH230" s="3">
        <f>IF('My investments'!$H$22="",0,IF('My investments'!$F230='My investments'!$H$22,$X230,0))</f>
        <v>0</v>
      </c>
      <c r="AI230" s="3">
        <f>IF('My investments'!$H$23="",0,IF('My investments'!$F230='My investments'!$H$23,$X230,0))</f>
        <v>0</v>
      </c>
      <c r="AJ230" s="3">
        <f>IF('My investments'!$H$24="",0,IF('My investments'!$F230='My investments'!$H$24,$X230,0))</f>
        <v>0</v>
      </c>
      <c r="AL230" s="3" t="str">
        <f>IF('My investments'!$B230="","",IF($D$10=0,"",IFERROR(INDEX('Index history'!$B$8:$B$5007,MATCH('My investments'!$B230,'Index history'!$A$8:$A$5007,1)),"")))</f>
        <v/>
      </c>
      <c r="AM230" s="3">
        <f>IF($AL230="",0,IF('My investments'!$D230="",0,IF('My investments'!$C230="Money in",'My investments'!$D230/$AL230,IF('My investments'!$C230="Money out",-'My investments'!$D230/$AL230,0))))</f>
        <v>0</v>
      </c>
    </row>
    <row r="231">
      <c r="X231" s="3">
        <f>IF('My investments'!$B231="",0,IF('My investments'!$E231="",0,'My investments'!$E231))</f>
        <v>0</v>
      </c>
      <c r="Y231" s="25">
        <f>IF('My investments'!$B231="",$D$8,'My investments'!$B231)</f>
        <v>0</v>
      </c>
      <c r="Z231" s="3">
        <f>IF('My investments'!$C231="Worth today",0,$X231)</f>
        <v>0</v>
      </c>
      <c r="AA231" s="3">
        <f>IF('My investments'!$H$15="",0,IF('My investments'!$F231='My investments'!$H$15,$X231,0))</f>
        <v>0</v>
      </c>
      <c r="AB231" s="3">
        <f>IF('My investments'!$H$16="",0,IF('My investments'!$F231='My investments'!$H$16,$X231,0))</f>
        <v>0</v>
      </c>
      <c r="AC231" s="3">
        <f>IF('My investments'!$H$17="",0,IF('My investments'!$F231='My investments'!$H$17,$X231,0))</f>
        <v>0</v>
      </c>
      <c r="AD231" s="3">
        <f>IF('My investments'!$H$18="",0,IF('My investments'!$F231='My investments'!$H$18,$X231,0))</f>
        <v>0</v>
      </c>
      <c r="AE231" s="3">
        <f>IF('My investments'!$H$19="",0,IF('My investments'!$F231='My investments'!$H$19,$X231,0))</f>
        <v>0</v>
      </c>
      <c r="AF231" s="3">
        <f>IF('My investments'!$H$20="",0,IF('My investments'!$F231='My investments'!$H$20,$X231,0))</f>
        <v>0</v>
      </c>
      <c r="AG231" s="3">
        <f>IF('My investments'!$H$21="",0,IF('My investments'!$F231='My investments'!$H$21,$X231,0))</f>
        <v>0</v>
      </c>
      <c r="AH231" s="3">
        <f>IF('My investments'!$H$22="",0,IF('My investments'!$F231='My investments'!$H$22,$X231,0))</f>
        <v>0</v>
      </c>
      <c r="AI231" s="3">
        <f>IF('My investments'!$H$23="",0,IF('My investments'!$F231='My investments'!$H$23,$X231,0))</f>
        <v>0</v>
      </c>
      <c r="AJ231" s="3">
        <f>IF('My investments'!$H$24="",0,IF('My investments'!$F231='My investments'!$H$24,$X231,0))</f>
        <v>0</v>
      </c>
      <c r="AL231" s="3" t="str">
        <f>IF('My investments'!$B231="","",IF($D$10=0,"",IFERROR(INDEX('Index history'!$B$8:$B$5007,MATCH('My investments'!$B231,'Index history'!$A$8:$A$5007,1)),"")))</f>
        <v/>
      </c>
      <c r="AM231" s="3">
        <f>IF($AL231="",0,IF('My investments'!$D231="",0,IF('My investments'!$C231="Money in",'My investments'!$D231/$AL231,IF('My investments'!$C231="Money out",-'My investments'!$D231/$AL231,0))))</f>
        <v>0</v>
      </c>
    </row>
    <row r="232">
      <c r="X232" s="3">
        <f>IF('My investments'!$B232="",0,IF('My investments'!$E232="",0,'My investments'!$E232))</f>
        <v>0</v>
      </c>
      <c r="Y232" s="25">
        <f>IF('My investments'!$B232="",$D$8,'My investments'!$B232)</f>
        <v>0</v>
      </c>
      <c r="Z232" s="3">
        <f>IF('My investments'!$C232="Worth today",0,$X232)</f>
        <v>0</v>
      </c>
      <c r="AA232" s="3">
        <f>IF('My investments'!$H$15="",0,IF('My investments'!$F232='My investments'!$H$15,$X232,0))</f>
        <v>0</v>
      </c>
      <c r="AB232" s="3">
        <f>IF('My investments'!$H$16="",0,IF('My investments'!$F232='My investments'!$H$16,$X232,0))</f>
        <v>0</v>
      </c>
      <c r="AC232" s="3">
        <f>IF('My investments'!$H$17="",0,IF('My investments'!$F232='My investments'!$H$17,$X232,0))</f>
        <v>0</v>
      </c>
      <c r="AD232" s="3">
        <f>IF('My investments'!$H$18="",0,IF('My investments'!$F232='My investments'!$H$18,$X232,0))</f>
        <v>0</v>
      </c>
      <c r="AE232" s="3">
        <f>IF('My investments'!$H$19="",0,IF('My investments'!$F232='My investments'!$H$19,$X232,0))</f>
        <v>0</v>
      </c>
      <c r="AF232" s="3">
        <f>IF('My investments'!$H$20="",0,IF('My investments'!$F232='My investments'!$H$20,$X232,0))</f>
        <v>0</v>
      </c>
      <c r="AG232" s="3">
        <f>IF('My investments'!$H$21="",0,IF('My investments'!$F232='My investments'!$H$21,$X232,0))</f>
        <v>0</v>
      </c>
      <c r="AH232" s="3">
        <f>IF('My investments'!$H$22="",0,IF('My investments'!$F232='My investments'!$H$22,$X232,0))</f>
        <v>0</v>
      </c>
      <c r="AI232" s="3">
        <f>IF('My investments'!$H$23="",0,IF('My investments'!$F232='My investments'!$H$23,$X232,0))</f>
        <v>0</v>
      </c>
      <c r="AJ232" s="3">
        <f>IF('My investments'!$H$24="",0,IF('My investments'!$F232='My investments'!$H$24,$X232,0))</f>
        <v>0</v>
      </c>
      <c r="AL232" s="3" t="str">
        <f>IF('My investments'!$B232="","",IF($D$10=0,"",IFERROR(INDEX('Index history'!$B$8:$B$5007,MATCH('My investments'!$B232,'Index history'!$A$8:$A$5007,1)),"")))</f>
        <v/>
      </c>
      <c r="AM232" s="3">
        <f>IF($AL232="",0,IF('My investments'!$D232="",0,IF('My investments'!$C232="Money in",'My investments'!$D232/$AL232,IF('My investments'!$C232="Money out",-'My investments'!$D232/$AL232,0))))</f>
        <v>0</v>
      </c>
    </row>
    <row r="233">
      <c r="X233" s="3">
        <f>IF('My investments'!$B233="",0,IF('My investments'!$E233="",0,'My investments'!$E233))</f>
        <v>0</v>
      </c>
      <c r="Y233" s="25">
        <f>IF('My investments'!$B233="",$D$8,'My investments'!$B233)</f>
        <v>0</v>
      </c>
      <c r="Z233" s="3">
        <f>IF('My investments'!$C233="Worth today",0,$X233)</f>
        <v>0</v>
      </c>
      <c r="AA233" s="3">
        <f>IF('My investments'!$H$15="",0,IF('My investments'!$F233='My investments'!$H$15,$X233,0))</f>
        <v>0</v>
      </c>
      <c r="AB233" s="3">
        <f>IF('My investments'!$H$16="",0,IF('My investments'!$F233='My investments'!$H$16,$X233,0))</f>
        <v>0</v>
      </c>
      <c r="AC233" s="3">
        <f>IF('My investments'!$H$17="",0,IF('My investments'!$F233='My investments'!$H$17,$X233,0))</f>
        <v>0</v>
      </c>
      <c r="AD233" s="3">
        <f>IF('My investments'!$H$18="",0,IF('My investments'!$F233='My investments'!$H$18,$X233,0))</f>
        <v>0</v>
      </c>
      <c r="AE233" s="3">
        <f>IF('My investments'!$H$19="",0,IF('My investments'!$F233='My investments'!$H$19,$X233,0))</f>
        <v>0</v>
      </c>
      <c r="AF233" s="3">
        <f>IF('My investments'!$H$20="",0,IF('My investments'!$F233='My investments'!$H$20,$X233,0))</f>
        <v>0</v>
      </c>
      <c r="AG233" s="3">
        <f>IF('My investments'!$H$21="",0,IF('My investments'!$F233='My investments'!$H$21,$X233,0))</f>
        <v>0</v>
      </c>
      <c r="AH233" s="3">
        <f>IF('My investments'!$H$22="",0,IF('My investments'!$F233='My investments'!$H$22,$X233,0))</f>
        <v>0</v>
      </c>
      <c r="AI233" s="3">
        <f>IF('My investments'!$H$23="",0,IF('My investments'!$F233='My investments'!$H$23,$X233,0))</f>
        <v>0</v>
      </c>
      <c r="AJ233" s="3">
        <f>IF('My investments'!$H$24="",0,IF('My investments'!$F233='My investments'!$H$24,$X233,0))</f>
        <v>0</v>
      </c>
      <c r="AL233" s="3" t="str">
        <f>IF('My investments'!$B233="","",IF($D$10=0,"",IFERROR(INDEX('Index history'!$B$8:$B$5007,MATCH('My investments'!$B233,'Index history'!$A$8:$A$5007,1)),"")))</f>
        <v/>
      </c>
      <c r="AM233" s="3">
        <f>IF($AL233="",0,IF('My investments'!$D233="",0,IF('My investments'!$C233="Money in",'My investments'!$D233/$AL233,IF('My investments'!$C233="Money out",-'My investments'!$D233/$AL233,0))))</f>
        <v>0</v>
      </c>
    </row>
    <row r="234">
      <c r="X234" s="3">
        <f>IF('My investments'!$B234="",0,IF('My investments'!$E234="",0,'My investments'!$E234))</f>
        <v>0</v>
      </c>
      <c r="Y234" s="25">
        <f>IF('My investments'!$B234="",$D$8,'My investments'!$B234)</f>
        <v>0</v>
      </c>
      <c r="Z234" s="3">
        <f>IF('My investments'!$C234="Worth today",0,$X234)</f>
        <v>0</v>
      </c>
      <c r="AA234" s="3">
        <f>IF('My investments'!$H$15="",0,IF('My investments'!$F234='My investments'!$H$15,$X234,0))</f>
        <v>0</v>
      </c>
      <c r="AB234" s="3">
        <f>IF('My investments'!$H$16="",0,IF('My investments'!$F234='My investments'!$H$16,$X234,0))</f>
        <v>0</v>
      </c>
      <c r="AC234" s="3">
        <f>IF('My investments'!$H$17="",0,IF('My investments'!$F234='My investments'!$H$17,$X234,0))</f>
        <v>0</v>
      </c>
      <c r="AD234" s="3">
        <f>IF('My investments'!$H$18="",0,IF('My investments'!$F234='My investments'!$H$18,$X234,0))</f>
        <v>0</v>
      </c>
      <c r="AE234" s="3">
        <f>IF('My investments'!$H$19="",0,IF('My investments'!$F234='My investments'!$H$19,$X234,0))</f>
        <v>0</v>
      </c>
      <c r="AF234" s="3">
        <f>IF('My investments'!$H$20="",0,IF('My investments'!$F234='My investments'!$H$20,$X234,0))</f>
        <v>0</v>
      </c>
      <c r="AG234" s="3">
        <f>IF('My investments'!$H$21="",0,IF('My investments'!$F234='My investments'!$H$21,$X234,0))</f>
        <v>0</v>
      </c>
      <c r="AH234" s="3">
        <f>IF('My investments'!$H$22="",0,IF('My investments'!$F234='My investments'!$H$22,$X234,0))</f>
        <v>0</v>
      </c>
      <c r="AI234" s="3">
        <f>IF('My investments'!$H$23="",0,IF('My investments'!$F234='My investments'!$H$23,$X234,0))</f>
        <v>0</v>
      </c>
      <c r="AJ234" s="3">
        <f>IF('My investments'!$H$24="",0,IF('My investments'!$F234='My investments'!$H$24,$X234,0))</f>
        <v>0</v>
      </c>
      <c r="AL234" s="3" t="str">
        <f>IF('My investments'!$B234="","",IF($D$10=0,"",IFERROR(INDEX('Index history'!$B$8:$B$5007,MATCH('My investments'!$B234,'Index history'!$A$8:$A$5007,1)),"")))</f>
        <v/>
      </c>
      <c r="AM234" s="3">
        <f>IF($AL234="",0,IF('My investments'!$D234="",0,IF('My investments'!$C234="Money in",'My investments'!$D234/$AL234,IF('My investments'!$C234="Money out",-'My investments'!$D234/$AL234,0))))</f>
        <v>0</v>
      </c>
    </row>
    <row r="235">
      <c r="X235" s="3">
        <f>IF('My investments'!$B235="",0,IF('My investments'!$E235="",0,'My investments'!$E235))</f>
        <v>0</v>
      </c>
      <c r="Y235" s="25">
        <f>IF('My investments'!$B235="",$D$8,'My investments'!$B235)</f>
        <v>0</v>
      </c>
      <c r="Z235" s="3">
        <f>IF('My investments'!$C235="Worth today",0,$X235)</f>
        <v>0</v>
      </c>
      <c r="AA235" s="3">
        <f>IF('My investments'!$H$15="",0,IF('My investments'!$F235='My investments'!$H$15,$X235,0))</f>
        <v>0</v>
      </c>
      <c r="AB235" s="3">
        <f>IF('My investments'!$H$16="",0,IF('My investments'!$F235='My investments'!$H$16,$X235,0))</f>
        <v>0</v>
      </c>
      <c r="AC235" s="3">
        <f>IF('My investments'!$H$17="",0,IF('My investments'!$F235='My investments'!$H$17,$X235,0))</f>
        <v>0</v>
      </c>
      <c r="AD235" s="3">
        <f>IF('My investments'!$H$18="",0,IF('My investments'!$F235='My investments'!$H$18,$X235,0))</f>
        <v>0</v>
      </c>
      <c r="AE235" s="3">
        <f>IF('My investments'!$H$19="",0,IF('My investments'!$F235='My investments'!$H$19,$X235,0))</f>
        <v>0</v>
      </c>
      <c r="AF235" s="3">
        <f>IF('My investments'!$H$20="",0,IF('My investments'!$F235='My investments'!$H$20,$X235,0))</f>
        <v>0</v>
      </c>
      <c r="AG235" s="3">
        <f>IF('My investments'!$H$21="",0,IF('My investments'!$F235='My investments'!$H$21,$X235,0))</f>
        <v>0</v>
      </c>
      <c r="AH235" s="3">
        <f>IF('My investments'!$H$22="",0,IF('My investments'!$F235='My investments'!$H$22,$X235,0))</f>
        <v>0</v>
      </c>
      <c r="AI235" s="3">
        <f>IF('My investments'!$H$23="",0,IF('My investments'!$F235='My investments'!$H$23,$X235,0))</f>
        <v>0</v>
      </c>
      <c r="AJ235" s="3">
        <f>IF('My investments'!$H$24="",0,IF('My investments'!$F235='My investments'!$H$24,$X235,0))</f>
        <v>0</v>
      </c>
      <c r="AL235" s="3" t="str">
        <f>IF('My investments'!$B235="","",IF($D$10=0,"",IFERROR(INDEX('Index history'!$B$8:$B$5007,MATCH('My investments'!$B235,'Index history'!$A$8:$A$5007,1)),"")))</f>
        <v/>
      </c>
      <c r="AM235" s="3">
        <f>IF($AL235="",0,IF('My investments'!$D235="",0,IF('My investments'!$C235="Money in",'My investments'!$D235/$AL235,IF('My investments'!$C235="Money out",-'My investments'!$D235/$AL235,0))))</f>
        <v>0</v>
      </c>
    </row>
    <row r="236">
      <c r="X236" s="3">
        <f>IF('My investments'!$B236="",0,IF('My investments'!$E236="",0,'My investments'!$E236))</f>
        <v>0</v>
      </c>
      <c r="Y236" s="25">
        <f>IF('My investments'!$B236="",$D$8,'My investments'!$B236)</f>
        <v>0</v>
      </c>
      <c r="Z236" s="3">
        <f>IF('My investments'!$C236="Worth today",0,$X236)</f>
        <v>0</v>
      </c>
      <c r="AA236" s="3">
        <f>IF('My investments'!$H$15="",0,IF('My investments'!$F236='My investments'!$H$15,$X236,0))</f>
        <v>0</v>
      </c>
      <c r="AB236" s="3">
        <f>IF('My investments'!$H$16="",0,IF('My investments'!$F236='My investments'!$H$16,$X236,0))</f>
        <v>0</v>
      </c>
      <c r="AC236" s="3">
        <f>IF('My investments'!$H$17="",0,IF('My investments'!$F236='My investments'!$H$17,$X236,0))</f>
        <v>0</v>
      </c>
      <c r="AD236" s="3">
        <f>IF('My investments'!$H$18="",0,IF('My investments'!$F236='My investments'!$H$18,$X236,0))</f>
        <v>0</v>
      </c>
      <c r="AE236" s="3">
        <f>IF('My investments'!$H$19="",0,IF('My investments'!$F236='My investments'!$H$19,$X236,0))</f>
        <v>0</v>
      </c>
      <c r="AF236" s="3">
        <f>IF('My investments'!$H$20="",0,IF('My investments'!$F236='My investments'!$H$20,$X236,0))</f>
        <v>0</v>
      </c>
      <c r="AG236" s="3">
        <f>IF('My investments'!$H$21="",0,IF('My investments'!$F236='My investments'!$H$21,$X236,0))</f>
        <v>0</v>
      </c>
      <c r="AH236" s="3">
        <f>IF('My investments'!$H$22="",0,IF('My investments'!$F236='My investments'!$H$22,$X236,0))</f>
        <v>0</v>
      </c>
      <c r="AI236" s="3">
        <f>IF('My investments'!$H$23="",0,IF('My investments'!$F236='My investments'!$H$23,$X236,0))</f>
        <v>0</v>
      </c>
      <c r="AJ236" s="3">
        <f>IF('My investments'!$H$24="",0,IF('My investments'!$F236='My investments'!$H$24,$X236,0))</f>
        <v>0</v>
      </c>
      <c r="AL236" s="3" t="str">
        <f>IF('My investments'!$B236="","",IF($D$10=0,"",IFERROR(INDEX('Index history'!$B$8:$B$5007,MATCH('My investments'!$B236,'Index history'!$A$8:$A$5007,1)),"")))</f>
        <v/>
      </c>
      <c r="AM236" s="3">
        <f>IF($AL236="",0,IF('My investments'!$D236="",0,IF('My investments'!$C236="Money in",'My investments'!$D236/$AL236,IF('My investments'!$C236="Money out",-'My investments'!$D236/$AL236,0))))</f>
        <v>0</v>
      </c>
    </row>
    <row r="237">
      <c r="X237" s="3">
        <f>IF('My investments'!$B237="",0,IF('My investments'!$E237="",0,'My investments'!$E237))</f>
        <v>0</v>
      </c>
      <c r="Y237" s="25">
        <f>IF('My investments'!$B237="",$D$8,'My investments'!$B237)</f>
        <v>0</v>
      </c>
      <c r="Z237" s="3">
        <f>IF('My investments'!$C237="Worth today",0,$X237)</f>
        <v>0</v>
      </c>
      <c r="AA237" s="3">
        <f>IF('My investments'!$H$15="",0,IF('My investments'!$F237='My investments'!$H$15,$X237,0))</f>
        <v>0</v>
      </c>
      <c r="AB237" s="3">
        <f>IF('My investments'!$H$16="",0,IF('My investments'!$F237='My investments'!$H$16,$X237,0))</f>
        <v>0</v>
      </c>
      <c r="AC237" s="3">
        <f>IF('My investments'!$H$17="",0,IF('My investments'!$F237='My investments'!$H$17,$X237,0))</f>
        <v>0</v>
      </c>
      <c r="AD237" s="3">
        <f>IF('My investments'!$H$18="",0,IF('My investments'!$F237='My investments'!$H$18,$X237,0))</f>
        <v>0</v>
      </c>
      <c r="AE237" s="3">
        <f>IF('My investments'!$H$19="",0,IF('My investments'!$F237='My investments'!$H$19,$X237,0))</f>
        <v>0</v>
      </c>
      <c r="AF237" s="3">
        <f>IF('My investments'!$H$20="",0,IF('My investments'!$F237='My investments'!$H$20,$X237,0))</f>
        <v>0</v>
      </c>
      <c r="AG237" s="3">
        <f>IF('My investments'!$H$21="",0,IF('My investments'!$F237='My investments'!$H$21,$X237,0))</f>
        <v>0</v>
      </c>
      <c r="AH237" s="3">
        <f>IF('My investments'!$H$22="",0,IF('My investments'!$F237='My investments'!$H$22,$X237,0))</f>
        <v>0</v>
      </c>
      <c r="AI237" s="3">
        <f>IF('My investments'!$H$23="",0,IF('My investments'!$F237='My investments'!$H$23,$X237,0))</f>
        <v>0</v>
      </c>
      <c r="AJ237" s="3">
        <f>IF('My investments'!$H$24="",0,IF('My investments'!$F237='My investments'!$H$24,$X237,0))</f>
        <v>0</v>
      </c>
      <c r="AL237" s="3" t="str">
        <f>IF('My investments'!$B237="","",IF($D$10=0,"",IFERROR(INDEX('Index history'!$B$8:$B$5007,MATCH('My investments'!$B237,'Index history'!$A$8:$A$5007,1)),"")))</f>
        <v/>
      </c>
      <c r="AM237" s="3">
        <f>IF($AL237="",0,IF('My investments'!$D237="",0,IF('My investments'!$C237="Money in",'My investments'!$D237/$AL237,IF('My investments'!$C237="Money out",-'My investments'!$D237/$AL237,0))))</f>
        <v>0</v>
      </c>
    </row>
    <row r="238">
      <c r="X238" s="3">
        <f>IF('My investments'!$B238="",0,IF('My investments'!$E238="",0,'My investments'!$E238))</f>
        <v>0</v>
      </c>
      <c r="Y238" s="25">
        <f>IF('My investments'!$B238="",$D$8,'My investments'!$B238)</f>
        <v>0</v>
      </c>
      <c r="Z238" s="3">
        <f>IF('My investments'!$C238="Worth today",0,$X238)</f>
        <v>0</v>
      </c>
      <c r="AA238" s="3">
        <f>IF('My investments'!$H$15="",0,IF('My investments'!$F238='My investments'!$H$15,$X238,0))</f>
        <v>0</v>
      </c>
      <c r="AB238" s="3">
        <f>IF('My investments'!$H$16="",0,IF('My investments'!$F238='My investments'!$H$16,$X238,0))</f>
        <v>0</v>
      </c>
      <c r="AC238" s="3">
        <f>IF('My investments'!$H$17="",0,IF('My investments'!$F238='My investments'!$H$17,$X238,0))</f>
        <v>0</v>
      </c>
      <c r="AD238" s="3">
        <f>IF('My investments'!$H$18="",0,IF('My investments'!$F238='My investments'!$H$18,$X238,0))</f>
        <v>0</v>
      </c>
      <c r="AE238" s="3">
        <f>IF('My investments'!$H$19="",0,IF('My investments'!$F238='My investments'!$H$19,$X238,0))</f>
        <v>0</v>
      </c>
      <c r="AF238" s="3">
        <f>IF('My investments'!$H$20="",0,IF('My investments'!$F238='My investments'!$H$20,$X238,0))</f>
        <v>0</v>
      </c>
      <c r="AG238" s="3">
        <f>IF('My investments'!$H$21="",0,IF('My investments'!$F238='My investments'!$H$21,$X238,0))</f>
        <v>0</v>
      </c>
      <c r="AH238" s="3">
        <f>IF('My investments'!$H$22="",0,IF('My investments'!$F238='My investments'!$H$22,$X238,0))</f>
        <v>0</v>
      </c>
      <c r="AI238" s="3">
        <f>IF('My investments'!$H$23="",0,IF('My investments'!$F238='My investments'!$H$23,$X238,0))</f>
        <v>0</v>
      </c>
      <c r="AJ238" s="3">
        <f>IF('My investments'!$H$24="",0,IF('My investments'!$F238='My investments'!$H$24,$X238,0))</f>
        <v>0</v>
      </c>
      <c r="AL238" s="3" t="str">
        <f>IF('My investments'!$B238="","",IF($D$10=0,"",IFERROR(INDEX('Index history'!$B$8:$B$5007,MATCH('My investments'!$B238,'Index history'!$A$8:$A$5007,1)),"")))</f>
        <v/>
      </c>
      <c r="AM238" s="3">
        <f>IF($AL238="",0,IF('My investments'!$D238="",0,IF('My investments'!$C238="Money in",'My investments'!$D238/$AL238,IF('My investments'!$C238="Money out",-'My investments'!$D238/$AL238,0))))</f>
        <v>0</v>
      </c>
    </row>
    <row r="239">
      <c r="X239" s="3">
        <f>IF('My investments'!$B239="",0,IF('My investments'!$E239="",0,'My investments'!$E239))</f>
        <v>0</v>
      </c>
      <c r="Y239" s="25">
        <f>IF('My investments'!$B239="",$D$8,'My investments'!$B239)</f>
        <v>0</v>
      </c>
      <c r="Z239" s="3">
        <f>IF('My investments'!$C239="Worth today",0,$X239)</f>
        <v>0</v>
      </c>
      <c r="AA239" s="3">
        <f>IF('My investments'!$H$15="",0,IF('My investments'!$F239='My investments'!$H$15,$X239,0))</f>
        <v>0</v>
      </c>
      <c r="AB239" s="3">
        <f>IF('My investments'!$H$16="",0,IF('My investments'!$F239='My investments'!$H$16,$X239,0))</f>
        <v>0</v>
      </c>
      <c r="AC239" s="3">
        <f>IF('My investments'!$H$17="",0,IF('My investments'!$F239='My investments'!$H$17,$X239,0))</f>
        <v>0</v>
      </c>
      <c r="AD239" s="3">
        <f>IF('My investments'!$H$18="",0,IF('My investments'!$F239='My investments'!$H$18,$X239,0))</f>
        <v>0</v>
      </c>
      <c r="AE239" s="3">
        <f>IF('My investments'!$H$19="",0,IF('My investments'!$F239='My investments'!$H$19,$X239,0))</f>
        <v>0</v>
      </c>
      <c r="AF239" s="3">
        <f>IF('My investments'!$H$20="",0,IF('My investments'!$F239='My investments'!$H$20,$X239,0))</f>
        <v>0</v>
      </c>
      <c r="AG239" s="3">
        <f>IF('My investments'!$H$21="",0,IF('My investments'!$F239='My investments'!$H$21,$X239,0))</f>
        <v>0</v>
      </c>
      <c r="AH239" s="3">
        <f>IF('My investments'!$H$22="",0,IF('My investments'!$F239='My investments'!$H$22,$X239,0))</f>
        <v>0</v>
      </c>
      <c r="AI239" s="3">
        <f>IF('My investments'!$H$23="",0,IF('My investments'!$F239='My investments'!$H$23,$X239,0))</f>
        <v>0</v>
      </c>
      <c r="AJ239" s="3">
        <f>IF('My investments'!$H$24="",0,IF('My investments'!$F239='My investments'!$H$24,$X239,0))</f>
        <v>0</v>
      </c>
      <c r="AL239" s="3" t="str">
        <f>IF('My investments'!$B239="","",IF($D$10=0,"",IFERROR(INDEX('Index history'!$B$8:$B$5007,MATCH('My investments'!$B239,'Index history'!$A$8:$A$5007,1)),"")))</f>
        <v/>
      </c>
      <c r="AM239" s="3">
        <f>IF($AL239="",0,IF('My investments'!$D239="",0,IF('My investments'!$C239="Money in",'My investments'!$D239/$AL239,IF('My investments'!$C239="Money out",-'My investments'!$D239/$AL239,0))))</f>
        <v>0</v>
      </c>
    </row>
    <row r="240">
      <c r="X240" s="3">
        <f>IF('My investments'!$B240="",0,IF('My investments'!$E240="",0,'My investments'!$E240))</f>
        <v>0</v>
      </c>
      <c r="Y240" s="25">
        <f>IF('My investments'!$B240="",$D$8,'My investments'!$B240)</f>
        <v>0</v>
      </c>
      <c r="Z240" s="3">
        <f>IF('My investments'!$C240="Worth today",0,$X240)</f>
        <v>0</v>
      </c>
      <c r="AA240" s="3">
        <f>IF('My investments'!$H$15="",0,IF('My investments'!$F240='My investments'!$H$15,$X240,0))</f>
        <v>0</v>
      </c>
      <c r="AB240" s="3">
        <f>IF('My investments'!$H$16="",0,IF('My investments'!$F240='My investments'!$H$16,$X240,0))</f>
        <v>0</v>
      </c>
      <c r="AC240" s="3">
        <f>IF('My investments'!$H$17="",0,IF('My investments'!$F240='My investments'!$H$17,$X240,0))</f>
        <v>0</v>
      </c>
      <c r="AD240" s="3">
        <f>IF('My investments'!$H$18="",0,IF('My investments'!$F240='My investments'!$H$18,$X240,0))</f>
        <v>0</v>
      </c>
      <c r="AE240" s="3">
        <f>IF('My investments'!$H$19="",0,IF('My investments'!$F240='My investments'!$H$19,$X240,0))</f>
        <v>0</v>
      </c>
      <c r="AF240" s="3">
        <f>IF('My investments'!$H$20="",0,IF('My investments'!$F240='My investments'!$H$20,$X240,0))</f>
        <v>0</v>
      </c>
      <c r="AG240" s="3">
        <f>IF('My investments'!$H$21="",0,IF('My investments'!$F240='My investments'!$H$21,$X240,0))</f>
        <v>0</v>
      </c>
      <c r="AH240" s="3">
        <f>IF('My investments'!$H$22="",0,IF('My investments'!$F240='My investments'!$H$22,$X240,0))</f>
        <v>0</v>
      </c>
      <c r="AI240" s="3">
        <f>IF('My investments'!$H$23="",0,IF('My investments'!$F240='My investments'!$H$23,$X240,0))</f>
        <v>0</v>
      </c>
      <c r="AJ240" s="3">
        <f>IF('My investments'!$H$24="",0,IF('My investments'!$F240='My investments'!$H$24,$X240,0))</f>
        <v>0</v>
      </c>
      <c r="AL240" s="3" t="str">
        <f>IF('My investments'!$B240="","",IF($D$10=0,"",IFERROR(INDEX('Index history'!$B$8:$B$5007,MATCH('My investments'!$B240,'Index history'!$A$8:$A$5007,1)),"")))</f>
        <v/>
      </c>
      <c r="AM240" s="3">
        <f>IF($AL240="",0,IF('My investments'!$D240="",0,IF('My investments'!$C240="Money in",'My investments'!$D240/$AL240,IF('My investments'!$C240="Money out",-'My investments'!$D240/$AL240,0))))</f>
        <v>0</v>
      </c>
    </row>
    <row r="241">
      <c r="X241" s="3">
        <f>IF('My investments'!$B241="",0,IF('My investments'!$E241="",0,'My investments'!$E241))</f>
        <v>0</v>
      </c>
      <c r="Y241" s="25">
        <f>IF('My investments'!$B241="",$D$8,'My investments'!$B241)</f>
        <v>0</v>
      </c>
      <c r="Z241" s="3">
        <f>IF('My investments'!$C241="Worth today",0,$X241)</f>
        <v>0</v>
      </c>
      <c r="AA241" s="3">
        <f>IF('My investments'!$H$15="",0,IF('My investments'!$F241='My investments'!$H$15,$X241,0))</f>
        <v>0</v>
      </c>
      <c r="AB241" s="3">
        <f>IF('My investments'!$H$16="",0,IF('My investments'!$F241='My investments'!$H$16,$X241,0))</f>
        <v>0</v>
      </c>
      <c r="AC241" s="3">
        <f>IF('My investments'!$H$17="",0,IF('My investments'!$F241='My investments'!$H$17,$X241,0))</f>
        <v>0</v>
      </c>
      <c r="AD241" s="3">
        <f>IF('My investments'!$H$18="",0,IF('My investments'!$F241='My investments'!$H$18,$X241,0))</f>
        <v>0</v>
      </c>
      <c r="AE241" s="3">
        <f>IF('My investments'!$H$19="",0,IF('My investments'!$F241='My investments'!$H$19,$X241,0))</f>
        <v>0</v>
      </c>
      <c r="AF241" s="3">
        <f>IF('My investments'!$H$20="",0,IF('My investments'!$F241='My investments'!$H$20,$X241,0))</f>
        <v>0</v>
      </c>
      <c r="AG241" s="3">
        <f>IF('My investments'!$H$21="",0,IF('My investments'!$F241='My investments'!$H$21,$X241,0))</f>
        <v>0</v>
      </c>
      <c r="AH241" s="3">
        <f>IF('My investments'!$H$22="",0,IF('My investments'!$F241='My investments'!$H$22,$X241,0))</f>
        <v>0</v>
      </c>
      <c r="AI241" s="3">
        <f>IF('My investments'!$H$23="",0,IF('My investments'!$F241='My investments'!$H$23,$X241,0))</f>
        <v>0</v>
      </c>
      <c r="AJ241" s="3">
        <f>IF('My investments'!$H$24="",0,IF('My investments'!$F241='My investments'!$H$24,$X241,0))</f>
        <v>0</v>
      </c>
      <c r="AL241" s="3" t="str">
        <f>IF('My investments'!$B241="","",IF($D$10=0,"",IFERROR(INDEX('Index history'!$B$8:$B$5007,MATCH('My investments'!$B241,'Index history'!$A$8:$A$5007,1)),"")))</f>
        <v/>
      </c>
      <c r="AM241" s="3">
        <f>IF($AL241="",0,IF('My investments'!$D241="",0,IF('My investments'!$C241="Money in",'My investments'!$D241/$AL241,IF('My investments'!$C241="Money out",-'My investments'!$D241/$AL241,0))))</f>
        <v>0</v>
      </c>
    </row>
    <row r="242">
      <c r="X242" s="3">
        <f>IF('My investments'!$B242="",0,IF('My investments'!$E242="",0,'My investments'!$E242))</f>
        <v>0</v>
      </c>
      <c r="Y242" s="25">
        <f>IF('My investments'!$B242="",$D$8,'My investments'!$B242)</f>
        <v>0</v>
      </c>
      <c r="Z242" s="3">
        <f>IF('My investments'!$C242="Worth today",0,$X242)</f>
        <v>0</v>
      </c>
      <c r="AA242" s="3">
        <f>IF('My investments'!$H$15="",0,IF('My investments'!$F242='My investments'!$H$15,$X242,0))</f>
        <v>0</v>
      </c>
      <c r="AB242" s="3">
        <f>IF('My investments'!$H$16="",0,IF('My investments'!$F242='My investments'!$H$16,$X242,0))</f>
        <v>0</v>
      </c>
      <c r="AC242" s="3">
        <f>IF('My investments'!$H$17="",0,IF('My investments'!$F242='My investments'!$H$17,$X242,0))</f>
        <v>0</v>
      </c>
      <c r="AD242" s="3">
        <f>IF('My investments'!$H$18="",0,IF('My investments'!$F242='My investments'!$H$18,$X242,0))</f>
        <v>0</v>
      </c>
      <c r="AE242" s="3">
        <f>IF('My investments'!$H$19="",0,IF('My investments'!$F242='My investments'!$H$19,$X242,0))</f>
        <v>0</v>
      </c>
      <c r="AF242" s="3">
        <f>IF('My investments'!$H$20="",0,IF('My investments'!$F242='My investments'!$H$20,$X242,0))</f>
        <v>0</v>
      </c>
      <c r="AG242" s="3">
        <f>IF('My investments'!$H$21="",0,IF('My investments'!$F242='My investments'!$H$21,$X242,0))</f>
        <v>0</v>
      </c>
      <c r="AH242" s="3">
        <f>IF('My investments'!$H$22="",0,IF('My investments'!$F242='My investments'!$H$22,$X242,0))</f>
        <v>0</v>
      </c>
      <c r="AI242" s="3">
        <f>IF('My investments'!$H$23="",0,IF('My investments'!$F242='My investments'!$H$23,$X242,0))</f>
        <v>0</v>
      </c>
      <c r="AJ242" s="3">
        <f>IF('My investments'!$H$24="",0,IF('My investments'!$F242='My investments'!$H$24,$X242,0))</f>
        <v>0</v>
      </c>
      <c r="AL242" s="3" t="str">
        <f>IF('My investments'!$B242="","",IF($D$10=0,"",IFERROR(INDEX('Index history'!$B$8:$B$5007,MATCH('My investments'!$B242,'Index history'!$A$8:$A$5007,1)),"")))</f>
        <v/>
      </c>
      <c r="AM242" s="3">
        <f>IF($AL242="",0,IF('My investments'!$D242="",0,IF('My investments'!$C242="Money in",'My investments'!$D242/$AL242,IF('My investments'!$C242="Money out",-'My investments'!$D242/$AL242,0))))</f>
        <v>0</v>
      </c>
    </row>
    <row r="243">
      <c r="X243" s="3">
        <f>IF('My investments'!$B243="",0,IF('My investments'!$E243="",0,'My investments'!$E243))</f>
        <v>0</v>
      </c>
      <c r="Y243" s="25">
        <f>IF('My investments'!$B243="",$D$8,'My investments'!$B243)</f>
        <v>0</v>
      </c>
      <c r="Z243" s="3">
        <f>IF('My investments'!$C243="Worth today",0,$X243)</f>
        <v>0</v>
      </c>
      <c r="AA243" s="3">
        <f>IF('My investments'!$H$15="",0,IF('My investments'!$F243='My investments'!$H$15,$X243,0))</f>
        <v>0</v>
      </c>
      <c r="AB243" s="3">
        <f>IF('My investments'!$H$16="",0,IF('My investments'!$F243='My investments'!$H$16,$X243,0))</f>
        <v>0</v>
      </c>
      <c r="AC243" s="3">
        <f>IF('My investments'!$H$17="",0,IF('My investments'!$F243='My investments'!$H$17,$X243,0))</f>
        <v>0</v>
      </c>
      <c r="AD243" s="3">
        <f>IF('My investments'!$H$18="",0,IF('My investments'!$F243='My investments'!$H$18,$X243,0))</f>
        <v>0</v>
      </c>
      <c r="AE243" s="3">
        <f>IF('My investments'!$H$19="",0,IF('My investments'!$F243='My investments'!$H$19,$X243,0))</f>
        <v>0</v>
      </c>
      <c r="AF243" s="3">
        <f>IF('My investments'!$H$20="",0,IF('My investments'!$F243='My investments'!$H$20,$X243,0))</f>
        <v>0</v>
      </c>
      <c r="AG243" s="3">
        <f>IF('My investments'!$H$21="",0,IF('My investments'!$F243='My investments'!$H$21,$X243,0))</f>
        <v>0</v>
      </c>
      <c r="AH243" s="3">
        <f>IF('My investments'!$H$22="",0,IF('My investments'!$F243='My investments'!$H$22,$X243,0))</f>
        <v>0</v>
      </c>
      <c r="AI243" s="3">
        <f>IF('My investments'!$H$23="",0,IF('My investments'!$F243='My investments'!$H$23,$X243,0))</f>
        <v>0</v>
      </c>
      <c r="AJ243" s="3">
        <f>IF('My investments'!$H$24="",0,IF('My investments'!$F243='My investments'!$H$24,$X243,0))</f>
        <v>0</v>
      </c>
      <c r="AL243" s="3" t="str">
        <f>IF('My investments'!$B243="","",IF($D$10=0,"",IFERROR(INDEX('Index history'!$B$8:$B$5007,MATCH('My investments'!$B243,'Index history'!$A$8:$A$5007,1)),"")))</f>
        <v/>
      </c>
      <c r="AM243" s="3">
        <f>IF($AL243="",0,IF('My investments'!$D243="",0,IF('My investments'!$C243="Money in",'My investments'!$D243/$AL243,IF('My investments'!$C243="Money out",-'My investments'!$D243/$AL243,0))))</f>
        <v>0</v>
      </c>
    </row>
    <row r="244">
      <c r="X244" s="3">
        <f>IF('My investments'!$B244="",0,IF('My investments'!$E244="",0,'My investments'!$E244))</f>
        <v>0</v>
      </c>
      <c r="Y244" s="25">
        <f>IF('My investments'!$B244="",$D$8,'My investments'!$B244)</f>
        <v>0</v>
      </c>
      <c r="Z244" s="3">
        <f>IF('My investments'!$C244="Worth today",0,$X244)</f>
        <v>0</v>
      </c>
      <c r="AA244" s="3">
        <f>IF('My investments'!$H$15="",0,IF('My investments'!$F244='My investments'!$H$15,$X244,0))</f>
        <v>0</v>
      </c>
      <c r="AB244" s="3">
        <f>IF('My investments'!$H$16="",0,IF('My investments'!$F244='My investments'!$H$16,$X244,0))</f>
        <v>0</v>
      </c>
      <c r="AC244" s="3">
        <f>IF('My investments'!$H$17="",0,IF('My investments'!$F244='My investments'!$H$17,$X244,0))</f>
        <v>0</v>
      </c>
      <c r="AD244" s="3">
        <f>IF('My investments'!$H$18="",0,IF('My investments'!$F244='My investments'!$H$18,$X244,0))</f>
        <v>0</v>
      </c>
      <c r="AE244" s="3">
        <f>IF('My investments'!$H$19="",0,IF('My investments'!$F244='My investments'!$H$19,$X244,0))</f>
        <v>0</v>
      </c>
      <c r="AF244" s="3">
        <f>IF('My investments'!$H$20="",0,IF('My investments'!$F244='My investments'!$H$20,$X244,0))</f>
        <v>0</v>
      </c>
      <c r="AG244" s="3">
        <f>IF('My investments'!$H$21="",0,IF('My investments'!$F244='My investments'!$H$21,$X244,0))</f>
        <v>0</v>
      </c>
      <c r="AH244" s="3">
        <f>IF('My investments'!$H$22="",0,IF('My investments'!$F244='My investments'!$H$22,$X244,0))</f>
        <v>0</v>
      </c>
      <c r="AI244" s="3">
        <f>IF('My investments'!$H$23="",0,IF('My investments'!$F244='My investments'!$H$23,$X244,0))</f>
        <v>0</v>
      </c>
      <c r="AJ244" s="3">
        <f>IF('My investments'!$H$24="",0,IF('My investments'!$F244='My investments'!$H$24,$X244,0))</f>
        <v>0</v>
      </c>
      <c r="AL244" s="3" t="str">
        <f>IF('My investments'!$B244="","",IF($D$10=0,"",IFERROR(INDEX('Index history'!$B$8:$B$5007,MATCH('My investments'!$B244,'Index history'!$A$8:$A$5007,1)),"")))</f>
        <v/>
      </c>
      <c r="AM244" s="3">
        <f>IF($AL244="",0,IF('My investments'!$D244="",0,IF('My investments'!$C244="Money in",'My investments'!$D244/$AL244,IF('My investments'!$C244="Money out",-'My investments'!$D244/$AL244,0))))</f>
        <v>0</v>
      </c>
    </row>
    <row r="245">
      <c r="X245" s="3">
        <f>IF('My investments'!$B245="",0,IF('My investments'!$E245="",0,'My investments'!$E245))</f>
        <v>0</v>
      </c>
      <c r="Y245" s="25">
        <f>IF('My investments'!$B245="",$D$8,'My investments'!$B245)</f>
        <v>0</v>
      </c>
      <c r="Z245" s="3">
        <f>IF('My investments'!$C245="Worth today",0,$X245)</f>
        <v>0</v>
      </c>
      <c r="AA245" s="3">
        <f>IF('My investments'!$H$15="",0,IF('My investments'!$F245='My investments'!$H$15,$X245,0))</f>
        <v>0</v>
      </c>
      <c r="AB245" s="3">
        <f>IF('My investments'!$H$16="",0,IF('My investments'!$F245='My investments'!$H$16,$X245,0))</f>
        <v>0</v>
      </c>
      <c r="AC245" s="3">
        <f>IF('My investments'!$H$17="",0,IF('My investments'!$F245='My investments'!$H$17,$X245,0))</f>
        <v>0</v>
      </c>
      <c r="AD245" s="3">
        <f>IF('My investments'!$H$18="",0,IF('My investments'!$F245='My investments'!$H$18,$X245,0))</f>
        <v>0</v>
      </c>
      <c r="AE245" s="3">
        <f>IF('My investments'!$H$19="",0,IF('My investments'!$F245='My investments'!$H$19,$X245,0))</f>
        <v>0</v>
      </c>
      <c r="AF245" s="3">
        <f>IF('My investments'!$H$20="",0,IF('My investments'!$F245='My investments'!$H$20,$X245,0))</f>
        <v>0</v>
      </c>
      <c r="AG245" s="3">
        <f>IF('My investments'!$H$21="",0,IF('My investments'!$F245='My investments'!$H$21,$X245,0))</f>
        <v>0</v>
      </c>
      <c r="AH245" s="3">
        <f>IF('My investments'!$H$22="",0,IF('My investments'!$F245='My investments'!$H$22,$X245,0))</f>
        <v>0</v>
      </c>
      <c r="AI245" s="3">
        <f>IF('My investments'!$H$23="",0,IF('My investments'!$F245='My investments'!$H$23,$X245,0))</f>
        <v>0</v>
      </c>
      <c r="AJ245" s="3">
        <f>IF('My investments'!$H$24="",0,IF('My investments'!$F245='My investments'!$H$24,$X245,0))</f>
        <v>0</v>
      </c>
      <c r="AL245" s="3" t="str">
        <f>IF('My investments'!$B245="","",IF($D$10=0,"",IFERROR(INDEX('Index history'!$B$8:$B$5007,MATCH('My investments'!$B245,'Index history'!$A$8:$A$5007,1)),"")))</f>
        <v/>
      </c>
      <c r="AM245" s="3">
        <f>IF($AL245="",0,IF('My investments'!$D245="",0,IF('My investments'!$C245="Money in",'My investments'!$D245/$AL245,IF('My investments'!$C245="Money out",-'My investments'!$D245/$AL245,0))))</f>
        <v>0</v>
      </c>
    </row>
    <row r="246">
      <c r="X246" s="3">
        <f>IF('My investments'!$B246="",0,IF('My investments'!$E246="",0,'My investments'!$E246))</f>
        <v>0</v>
      </c>
      <c r="Y246" s="25">
        <f>IF('My investments'!$B246="",$D$8,'My investments'!$B246)</f>
        <v>0</v>
      </c>
      <c r="Z246" s="3">
        <f>IF('My investments'!$C246="Worth today",0,$X246)</f>
        <v>0</v>
      </c>
      <c r="AA246" s="3">
        <f>IF('My investments'!$H$15="",0,IF('My investments'!$F246='My investments'!$H$15,$X246,0))</f>
        <v>0</v>
      </c>
      <c r="AB246" s="3">
        <f>IF('My investments'!$H$16="",0,IF('My investments'!$F246='My investments'!$H$16,$X246,0))</f>
        <v>0</v>
      </c>
      <c r="AC246" s="3">
        <f>IF('My investments'!$H$17="",0,IF('My investments'!$F246='My investments'!$H$17,$X246,0))</f>
        <v>0</v>
      </c>
      <c r="AD246" s="3">
        <f>IF('My investments'!$H$18="",0,IF('My investments'!$F246='My investments'!$H$18,$X246,0))</f>
        <v>0</v>
      </c>
      <c r="AE246" s="3">
        <f>IF('My investments'!$H$19="",0,IF('My investments'!$F246='My investments'!$H$19,$X246,0))</f>
        <v>0</v>
      </c>
      <c r="AF246" s="3">
        <f>IF('My investments'!$H$20="",0,IF('My investments'!$F246='My investments'!$H$20,$X246,0))</f>
        <v>0</v>
      </c>
      <c r="AG246" s="3">
        <f>IF('My investments'!$H$21="",0,IF('My investments'!$F246='My investments'!$H$21,$X246,0))</f>
        <v>0</v>
      </c>
      <c r="AH246" s="3">
        <f>IF('My investments'!$H$22="",0,IF('My investments'!$F246='My investments'!$H$22,$X246,0))</f>
        <v>0</v>
      </c>
      <c r="AI246" s="3">
        <f>IF('My investments'!$H$23="",0,IF('My investments'!$F246='My investments'!$H$23,$X246,0))</f>
        <v>0</v>
      </c>
      <c r="AJ246" s="3">
        <f>IF('My investments'!$H$24="",0,IF('My investments'!$F246='My investments'!$H$24,$X246,0))</f>
        <v>0</v>
      </c>
      <c r="AL246" s="3" t="str">
        <f>IF('My investments'!$B246="","",IF($D$10=0,"",IFERROR(INDEX('Index history'!$B$8:$B$5007,MATCH('My investments'!$B246,'Index history'!$A$8:$A$5007,1)),"")))</f>
        <v/>
      </c>
      <c r="AM246" s="3">
        <f>IF($AL246="",0,IF('My investments'!$D246="",0,IF('My investments'!$C246="Money in",'My investments'!$D246/$AL246,IF('My investments'!$C246="Money out",-'My investments'!$D246/$AL246,0))))</f>
        <v>0</v>
      </c>
    </row>
    <row r="247">
      <c r="X247" s="3">
        <f>IF('My investments'!$B247="",0,IF('My investments'!$E247="",0,'My investments'!$E247))</f>
        <v>0</v>
      </c>
      <c r="Y247" s="25">
        <f>IF('My investments'!$B247="",$D$8,'My investments'!$B247)</f>
        <v>0</v>
      </c>
      <c r="Z247" s="3">
        <f>IF('My investments'!$C247="Worth today",0,$X247)</f>
        <v>0</v>
      </c>
      <c r="AA247" s="3">
        <f>IF('My investments'!$H$15="",0,IF('My investments'!$F247='My investments'!$H$15,$X247,0))</f>
        <v>0</v>
      </c>
      <c r="AB247" s="3">
        <f>IF('My investments'!$H$16="",0,IF('My investments'!$F247='My investments'!$H$16,$X247,0))</f>
        <v>0</v>
      </c>
      <c r="AC247" s="3">
        <f>IF('My investments'!$H$17="",0,IF('My investments'!$F247='My investments'!$H$17,$X247,0))</f>
        <v>0</v>
      </c>
      <c r="AD247" s="3">
        <f>IF('My investments'!$H$18="",0,IF('My investments'!$F247='My investments'!$H$18,$X247,0))</f>
        <v>0</v>
      </c>
      <c r="AE247" s="3">
        <f>IF('My investments'!$H$19="",0,IF('My investments'!$F247='My investments'!$H$19,$X247,0))</f>
        <v>0</v>
      </c>
      <c r="AF247" s="3">
        <f>IF('My investments'!$H$20="",0,IF('My investments'!$F247='My investments'!$H$20,$X247,0))</f>
        <v>0</v>
      </c>
      <c r="AG247" s="3">
        <f>IF('My investments'!$H$21="",0,IF('My investments'!$F247='My investments'!$H$21,$X247,0))</f>
        <v>0</v>
      </c>
      <c r="AH247" s="3">
        <f>IF('My investments'!$H$22="",0,IF('My investments'!$F247='My investments'!$H$22,$X247,0))</f>
        <v>0</v>
      </c>
      <c r="AI247" s="3">
        <f>IF('My investments'!$H$23="",0,IF('My investments'!$F247='My investments'!$H$23,$X247,0))</f>
        <v>0</v>
      </c>
      <c r="AJ247" s="3">
        <f>IF('My investments'!$H$24="",0,IF('My investments'!$F247='My investments'!$H$24,$X247,0))</f>
        <v>0</v>
      </c>
      <c r="AL247" s="3" t="str">
        <f>IF('My investments'!$B247="","",IF($D$10=0,"",IFERROR(INDEX('Index history'!$B$8:$B$5007,MATCH('My investments'!$B247,'Index history'!$A$8:$A$5007,1)),"")))</f>
        <v/>
      </c>
      <c r="AM247" s="3">
        <f>IF($AL247="",0,IF('My investments'!$D247="",0,IF('My investments'!$C247="Money in",'My investments'!$D247/$AL247,IF('My investments'!$C247="Money out",-'My investments'!$D247/$AL247,0))))</f>
        <v>0</v>
      </c>
    </row>
    <row r="248">
      <c r="X248" s="3">
        <f>IF('My investments'!$B248="",0,IF('My investments'!$E248="",0,'My investments'!$E248))</f>
        <v>0</v>
      </c>
      <c r="Y248" s="25">
        <f>IF('My investments'!$B248="",$D$8,'My investments'!$B248)</f>
        <v>0</v>
      </c>
      <c r="Z248" s="3">
        <f>IF('My investments'!$C248="Worth today",0,$X248)</f>
        <v>0</v>
      </c>
      <c r="AA248" s="3">
        <f>IF('My investments'!$H$15="",0,IF('My investments'!$F248='My investments'!$H$15,$X248,0))</f>
        <v>0</v>
      </c>
      <c r="AB248" s="3">
        <f>IF('My investments'!$H$16="",0,IF('My investments'!$F248='My investments'!$H$16,$X248,0))</f>
        <v>0</v>
      </c>
      <c r="AC248" s="3">
        <f>IF('My investments'!$H$17="",0,IF('My investments'!$F248='My investments'!$H$17,$X248,0))</f>
        <v>0</v>
      </c>
      <c r="AD248" s="3">
        <f>IF('My investments'!$H$18="",0,IF('My investments'!$F248='My investments'!$H$18,$X248,0))</f>
        <v>0</v>
      </c>
      <c r="AE248" s="3">
        <f>IF('My investments'!$H$19="",0,IF('My investments'!$F248='My investments'!$H$19,$X248,0))</f>
        <v>0</v>
      </c>
      <c r="AF248" s="3">
        <f>IF('My investments'!$H$20="",0,IF('My investments'!$F248='My investments'!$H$20,$X248,0))</f>
        <v>0</v>
      </c>
      <c r="AG248" s="3">
        <f>IF('My investments'!$H$21="",0,IF('My investments'!$F248='My investments'!$H$21,$X248,0))</f>
        <v>0</v>
      </c>
      <c r="AH248" s="3">
        <f>IF('My investments'!$H$22="",0,IF('My investments'!$F248='My investments'!$H$22,$X248,0))</f>
        <v>0</v>
      </c>
      <c r="AI248" s="3">
        <f>IF('My investments'!$H$23="",0,IF('My investments'!$F248='My investments'!$H$23,$X248,0))</f>
        <v>0</v>
      </c>
      <c r="AJ248" s="3">
        <f>IF('My investments'!$H$24="",0,IF('My investments'!$F248='My investments'!$H$24,$X248,0))</f>
        <v>0</v>
      </c>
      <c r="AL248" s="3" t="str">
        <f>IF('My investments'!$B248="","",IF($D$10=0,"",IFERROR(INDEX('Index history'!$B$8:$B$5007,MATCH('My investments'!$B248,'Index history'!$A$8:$A$5007,1)),"")))</f>
        <v/>
      </c>
      <c r="AM248" s="3">
        <f>IF($AL248="",0,IF('My investments'!$D248="",0,IF('My investments'!$C248="Money in",'My investments'!$D248/$AL248,IF('My investments'!$C248="Money out",-'My investments'!$D248/$AL248,0))))</f>
        <v>0</v>
      </c>
    </row>
    <row r="249">
      <c r="X249" s="3">
        <f>IF('My investments'!$B249="",0,IF('My investments'!$E249="",0,'My investments'!$E249))</f>
        <v>0</v>
      </c>
      <c r="Y249" s="25">
        <f>IF('My investments'!$B249="",$D$8,'My investments'!$B249)</f>
        <v>0</v>
      </c>
      <c r="Z249" s="3">
        <f>IF('My investments'!$C249="Worth today",0,$X249)</f>
        <v>0</v>
      </c>
      <c r="AA249" s="3">
        <f>IF('My investments'!$H$15="",0,IF('My investments'!$F249='My investments'!$H$15,$X249,0))</f>
        <v>0</v>
      </c>
      <c r="AB249" s="3">
        <f>IF('My investments'!$H$16="",0,IF('My investments'!$F249='My investments'!$H$16,$X249,0))</f>
        <v>0</v>
      </c>
      <c r="AC249" s="3">
        <f>IF('My investments'!$H$17="",0,IF('My investments'!$F249='My investments'!$H$17,$X249,0))</f>
        <v>0</v>
      </c>
      <c r="AD249" s="3">
        <f>IF('My investments'!$H$18="",0,IF('My investments'!$F249='My investments'!$H$18,$X249,0))</f>
        <v>0</v>
      </c>
      <c r="AE249" s="3">
        <f>IF('My investments'!$H$19="",0,IF('My investments'!$F249='My investments'!$H$19,$X249,0))</f>
        <v>0</v>
      </c>
      <c r="AF249" s="3">
        <f>IF('My investments'!$H$20="",0,IF('My investments'!$F249='My investments'!$H$20,$X249,0))</f>
        <v>0</v>
      </c>
      <c r="AG249" s="3">
        <f>IF('My investments'!$H$21="",0,IF('My investments'!$F249='My investments'!$H$21,$X249,0))</f>
        <v>0</v>
      </c>
      <c r="AH249" s="3">
        <f>IF('My investments'!$H$22="",0,IF('My investments'!$F249='My investments'!$H$22,$X249,0))</f>
        <v>0</v>
      </c>
      <c r="AI249" s="3">
        <f>IF('My investments'!$H$23="",0,IF('My investments'!$F249='My investments'!$H$23,$X249,0))</f>
        <v>0</v>
      </c>
      <c r="AJ249" s="3">
        <f>IF('My investments'!$H$24="",0,IF('My investments'!$F249='My investments'!$H$24,$X249,0))</f>
        <v>0</v>
      </c>
      <c r="AL249" s="3" t="str">
        <f>IF('My investments'!$B249="","",IF($D$10=0,"",IFERROR(INDEX('Index history'!$B$8:$B$5007,MATCH('My investments'!$B249,'Index history'!$A$8:$A$5007,1)),"")))</f>
        <v/>
      </c>
      <c r="AM249" s="3">
        <f>IF($AL249="",0,IF('My investments'!$D249="",0,IF('My investments'!$C249="Money in",'My investments'!$D249/$AL249,IF('My investments'!$C249="Money out",-'My investments'!$D249/$AL249,0))))</f>
        <v>0</v>
      </c>
    </row>
    <row r="250">
      <c r="X250" s="3">
        <f>IF('My investments'!$B250="",0,IF('My investments'!$E250="",0,'My investments'!$E250))</f>
        <v>0</v>
      </c>
      <c r="Y250" s="25">
        <f>IF('My investments'!$B250="",$D$8,'My investments'!$B250)</f>
        <v>0</v>
      </c>
      <c r="Z250" s="3">
        <f>IF('My investments'!$C250="Worth today",0,$X250)</f>
        <v>0</v>
      </c>
      <c r="AA250" s="3">
        <f>IF('My investments'!$H$15="",0,IF('My investments'!$F250='My investments'!$H$15,$X250,0))</f>
        <v>0</v>
      </c>
      <c r="AB250" s="3">
        <f>IF('My investments'!$H$16="",0,IF('My investments'!$F250='My investments'!$H$16,$X250,0))</f>
        <v>0</v>
      </c>
      <c r="AC250" s="3">
        <f>IF('My investments'!$H$17="",0,IF('My investments'!$F250='My investments'!$H$17,$X250,0))</f>
        <v>0</v>
      </c>
      <c r="AD250" s="3">
        <f>IF('My investments'!$H$18="",0,IF('My investments'!$F250='My investments'!$H$18,$X250,0))</f>
        <v>0</v>
      </c>
      <c r="AE250" s="3">
        <f>IF('My investments'!$H$19="",0,IF('My investments'!$F250='My investments'!$H$19,$X250,0))</f>
        <v>0</v>
      </c>
      <c r="AF250" s="3">
        <f>IF('My investments'!$H$20="",0,IF('My investments'!$F250='My investments'!$H$20,$X250,0))</f>
        <v>0</v>
      </c>
      <c r="AG250" s="3">
        <f>IF('My investments'!$H$21="",0,IF('My investments'!$F250='My investments'!$H$21,$X250,0))</f>
        <v>0</v>
      </c>
      <c r="AH250" s="3">
        <f>IF('My investments'!$H$22="",0,IF('My investments'!$F250='My investments'!$H$22,$X250,0))</f>
        <v>0</v>
      </c>
      <c r="AI250" s="3">
        <f>IF('My investments'!$H$23="",0,IF('My investments'!$F250='My investments'!$H$23,$X250,0))</f>
        <v>0</v>
      </c>
      <c r="AJ250" s="3">
        <f>IF('My investments'!$H$24="",0,IF('My investments'!$F250='My investments'!$H$24,$X250,0))</f>
        <v>0</v>
      </c>
      <c r="AL250" s="3" t="str">
        <f>IF('My investments'!$B250="","",IF($D$10=0,"",IFERROR(INDEX('Index history'!$B$8:$B$5007,MATCH('My investments'!$B250,'Index history'!$A$8:$A$5007,1)),"")))</f>
        <v/>
      </c>
      <c r="AM250" s="3">
        <f>IF($AL250="",0,IF('My investments'!$D250="",0,IF('My investments'!$C250="Money in",'My investments'!$D250/$AL250,IF('My investments'!$C250="Money out",-'My investments'!$D250/$AL250,0))))</f>
        <v>0</v>
      </c>
    </row>
    <row r="251">
      <c r="X251" s="3">
        <f>IF('My investments'!$B251="",0,IF('My investments'!$E251="",0,'My investments'!$E251))</f>
        <v>0</v>
      </c>
      <c r="Y251" s="25">
        <f>IF('My investments'!$B251="",$D$8,'My investments'!$B251)</f>
        <v>0</v>
      </c>
      <c r="Z251" s="3">
        <f>IF('My investments'!$C251="Worth today",0,$X251)</f>
        <v>0</v>
      </c>
      <c r="AA251" s="3">
        <f>IF('My investments'!$H$15="",0,IF('My investments'!$F251='My investments'!$H$15,$X251,0))</f>
        <v>0</v>
      </c>
      <c r="AB251" s="3">
        <f>IF('My investments'!$H$16="",0,IF('My investments'!$F251='My investments'!$H$16,$X251,0))</f>
        <v>0</v>
      </c>
      <c r="AC251" s="3">
        <f>IF('My investments'!$H$17="",0,IF('My investments'!$F251='My investments'!$H$17,$X251,0))</f>
        <v>0</v>
      </c>
      <c r="AD251" s="3">
        <f>IF('My investments'!$H$18="",0,IF('My investments'!$F251='My investments'!$H$18,$X251,0))</f>
        <v>0</v>
      </c>
      <c r="AE251" s="3">
        <f>IF('My investments'!$H$19="",0,IF('My investments'!$F251='My investments'!$H$19,$X251,0))</f>
        <v>0</v>
      </c>
      <c r="AF251" s="3">
        <f>IF('My investments'!$H$20="",0,IF('My investments'!$F251='My investments'!$H$20,$X251,0))</f>
        <v>0</v>
      </c>
      <c r="AG251" s="3">
        <f>IF('My investments'!$H$21="",0,IF('My investments'!$F251='My investments'!$H$21,$X251,0))</f>
        <v>0</v>
      </c>
      <c r="AH251" s="3">
        <f>IF('My investments'!$H$22="",0,IF('My investments'!$F251='My investments'!$H$22,$X251,0))</f>
        <v>0</v>
      </c>
      <c r="AI251" s="3">
        <f>IF('My investments'!$H$23="",0,IF('My investments'!$F251='My investments'!$H$23,$X251,0))</f>
        <v>0</v>
      </c>
      <c r="AJ251" s="3">
        <f>IF('My investments'!$H$24="",0,IF('My investments'!$F251='My investments'!$H$24,$X251,0))</f>
        <v>0</v>
      </c>
      <c r="AL251" s="3" t="str">
        <f>IF('My investments'!$B251="","",IF($D$10=0,"",IFERROR(INDEX('Index history'!$B$8:$B$5007,MATCH('My investments'!$B251,'Index history'!$A$8:$A$5007,1)),"")))</f>
        <v/>
      </c>
      <c r="AM251" s="3">
        <f>IF($AL251="",0,IF('My investments'!$D251="",0,IF('My investments'!$C251="Money in",'My investments'!$D251/$AL251,IF('My investments'!$C251="Money out",-'My investments'!$D251/$AL251,0))))</f>
        <v>0</v>
      </c>
    </row>
    <row r="252">
      <c r="X252" s="3">
        <f>IF('My investments'!$B252="",0,IF('My investments'!$E252="",0,'My investments'!$E252))</f>
        <v>0</v>
      </c>
      <c r="Y252" s="25">
        <f>IF('My investments'!$B252="",$D$8,'My investments'!$B252)</f>
        <v>0</v>
      </c>
      <c r="Z252" s="3">
        <f>IF('My investments'!$C252="Worth today",0,$X252)</f>
        <v>0</v>
      </c>
      <c r="AA252" s="3">
        <f>IF('My investments'!$H$15="",0,IF('My investments'!$F252='My investments'!$H$15,$X252,0))</f>
        <v>0</v>
      </c>
      <c r="AB252" s="3">
        <f>IF('My investments'!$H$16="",0,IF('My investments'!$F252='My investments'!$H$16,$X252,0))</f>
        <v>0</v>
      </c>
      <c r="AC252" s="3">
        <f>IF('My investments'!$H$17="",0,IF('My investments'!$F252='My investments'!$H$17,$X252,0))</f>
        <v>0</v>
      </c>
      <c r="AD252" s="3">
        <f>IF('My investments'!$H$18="",0,IF('My investments'!$F252='My investments'!$H$18,$X252,0))</f>
        <v>0</v>
      </c>
      <c r="AE252" s="3">
        <f>IF('My investments'!$H$19="",0,IF('My investments'!$F252='My investments'!$H$19,$X252,0))</f>
        <v>0</v>
      </c>
      <c r="AF252" s="3">
        <f>IF('My investments'!$H$20="",0,IF('My investments'!$F252='My investments'!$H$20,$X252,0))</f>
        <v>0</v>
      </c>
      <c r="AG252" s="3">
        <f>IF('My investments'!$H$21="",0,IF('My investments'!$F252='My investments'!$H$21,$X252,0))</f>
        <v>0</v>
      </c>
      <c r="AH252" s="3">
        <f>IF('My investments'!$H$22="",0,IF('My investments'!$F252='My investments'!$H$22,$X252,0))</f>
        <v>0</v>
      </c>
      <c r="AI252" s="3">
        <f>IF('My investments'!$H$23="",0,IF('My investments'!$F252='My investments'!$H$23,$X252,0))</f>
        <v>0</v>
      </c>
      <c r="AJ252" s="3">
        <f>IF('My investments'!$H$24="",0,IF('My investments'!$F252='My investments'!$H$24,$X252,0))</f>
        <v>0</v>
      </c>
      <c r="AL252" s="3" t="str">
        <f>IF('My investments'!$B252="","",IF($D$10=0,"",IFERROR(INDEX('Index history'!$B$8:$B$5007,MATCH('My investments'!$B252,'Index history'!$A$8:$A$5007,1)),"")))</f>
        <v/>
      </c>
      <c r="AM252" s="3">
        <f>IF($AL252="",0,IF('My investments'!$D252="",0,IF('My investments'!$C252="Money in",'My investments'!$D252/$AL252,IF('My investments'!$C252="Money out",-'My investments'!$D252/$AL252,0))))</f>
        <v>0</v>
      </c>
    </row>
    <row r="253">
      <c r="X253" s="3">
        <f>IF('My investments'!$B253="",0,IF('My investments'!$E253="",0,'My investments'!$E253))</f>
        <v>0</v>
      </c>
      <c r="Y253" s="25">
        <f>IF('My investments'!$B253="",$D$8,'My investments'!$B253)</f>
        <v>0</v>
      </c>
      <c r="Z253" s="3">
        <f>IF('My investments'!$C253="Worth today",0,$X253)</f>
        <v>0</v>
      </c>
      <c r="AA253" s="3">
        <f>IF('My investments'!$H$15="",0,IF('My investments'!$F253='My investments'!$H$15,$X253,0))</f>
        <v>0</v>
      </c>
      <c r="AB253" s="3">
        <f>IF('My investments'!$H$16="",0,IF('My investments'!$F253='My investments'!$H$16,$X253,0))</f>
        <v>0</v>
      </c>
      <c r="AC253" s="3">
        <f>IF('My investments'!$H$17="",0,IF('My investments'!$F253='My investments'!$H$17,$X253,0))</f>
        <v>0</v>
      </c>
      <c r="AD253" s="3">
        <f>IF('My investments'!$H$18="",0,IF('My investments'!$F253='My investments'!$H$18,$X253,0))</f>
        <v>0</v>
      </c>
      <c r="AE253" s="3">
        <f>IF('My investments'!$H$19="",0,IF('My investments'!$F253='My investments'!$H$19,$X253,0))</f>
        <v>0</v>
      </c>
      <c r="AF253" s="3">
        <f>IF('My investments'!$H$20="",0,IF('My investments'!$F253='My investments'!$H$20,$X253,0))</f>
        <v>0</v>
      </c>
      <c r="AG253" s="3">
        <f>IF('My investments'!$H$21="",0,IF('My investments'!$F253='My investments'!$H$21,$X253,0))</f>
        <v>0</v>
      </c>
      <c r="AH253" s="3">
        <f>IF('My investments'!$H$22="",0,IF('My investments'!$F253='My investments'!$H$22,$X253,0))</f>
        <v>0</v>
      </c>
      <c r="AI253" s="3">
        <f>IF('My investments'!$H$23="",0,IF('My investments'!$F253='My investments'!$H$23,$X253,0))</f>
        <v>0</v>
      </c>
      <c r="AJ253" s="3">
        <f>IF('My investments'!$H$24="",0,IF('My investments'!$F253='My investments'!$H$24,$X253,0))</f>
        <v>0</v>
      </c>
      <c r="AL253" s="3" t="str">
        <f>IF('My investments'!$B253="","",IF($D$10=0,"",IFERROR(INDEX('Index history'!$B$8:$B$5007,MATCH('My investments'!$B253,'Index history'!$A$8:$A$5007,1)),"")))</f>
        <v/>
      </c>
      <c r="AM253" s="3">
        <f>IF($AL253="",0,IF('My investments'!$D253="",0,IF('My investments'!$C253="Money in",'My investments'!$D253/$AL253,IF('My investments'!$C253="Money out",-'My investments'!$D253/$AL253,0))))</f>
        <v>0</v>
      </c>
    </row>
    <row r="254">
      <c r="X254" s="3">
        <f>IF('My investments'!$B254="",0,IF('My investments'!$E254="",0,'My investments'!$E254))</f>
        <v>0</v>
      </c>
      <c r="Y254" s="25">
        <f>IF('My investments'!$B254="",$D$8,'My investments'!$B254)</f>
        <v>0</v>
      </c>
      <c r="Z254" s="3">
        <f>IF('My investments'!$C254="Worth today",0,$X254)</f>
        <v>0</v>
      </c>
      <c r="AA254" s="3">
        <f>IF('My investments'!$H$15="",0,IF('My investments'!$F254='My investments'!$H$15,$X254,0))</f>
        <v>0</v>
      </c>
      <c r="AB254" s="3">
        <f>IF('My investments'!$H$16="",0,IF('My investments'!$F254='My investments'!$H$16,$X254,0))</f>
        <v>0</v>
      </c>
      <c r="AC254" s="3">
        <f>IF('My investments'!$H$17="",0,IF('My investments'!$F254='My investments'!$H$17,$X254,0))</f>
        <v>0</v>
      </c>
      <c r="AD254" s="3">
        <f>IF('My investments'!$H$18="",0,IF('My investments'!$F254='My investments'!$H$18,$X254,0))</f>
        <v>0</v>
      </c>
      <c r="AE254" s="3">
        <f>IF('My investments'!$H$19="",0,IF('My investments'!$F254='My investments'!$H$19,$X254,0))</f>
        <v>0</v>
      </c>
      <c r="AF254" s="3">
        <f>IF('My investments'!$H$20="",0,IF('My investments'!$F254='My investments'!$H$20,$X254,0))</f>
        <v>0</v>
      </c>
      <c r="AG254" s="3">
        <f>IF('My investments'!$H$21="",0,IF('My investments'!$F254='My investments'!$H$21,$X254,0))</f>
        <v>0</v>
      </c>
      <c r="AH254" s="3">
        <f>IF('My investments'!$H$22="",0,IF('My investments'!$F254='My investments'!$H$22,$X254,0))</f>
        <v>0</v>
      </c>
      <c r="AI254" s="3">
        <f>IF('My investments'!$H$23="",0,IF('My investments'!$F254='My investments'!$H$23,$X254,0))</f>
        <v>0</v>
      </c>
      <c r="AJ254" s="3">
        <f>IF('My investments'!$H$24="",0,IF('My investments'!$F254='My investments'!$H$24,$X254,0))</f>
        <v>0</v>
      </c>
      <c r="AL254" s="3" t="str">
        <f>IF('My investments'!$B254="","",IF($D$10=0,"",IFERROR(INDEX('Index history'!$B$8:$B$5007,MATCH('My investments'!$B254,'Index history'!$A$8:$A$5007,1)),"")))</f>
        <v/>
      </c>
      <c r="AM254" s="3">
        <f>IF($AL254="",0,IF('My investments'!$D254="",0,IF('My investments'!$C254="Money in",'My investments'!$D254/$AL254,IF('My investments'!$C254="Money out",-'My investments'!$D254/$AL254,0))))</f>
        <v>0</v>
      </c>
    </row>
    <row r="255">
      <c r="X255" s="3">
        <f>IF('My investments'!$B255="",0,IF('My investments'!$E255="",0,'My investments'!$E255))</f>
        <v>0</v>
      </c>
      <c r="Y255" s="25">
        <f>IF('My investments'!$B255="",$D$8,'My investments'!$B255)</f>
        <v>0</v>
      </c>
      <c r="Z255" s="3">
        <f>IF('My investments'!$C255="Worth today",0,$X255)</f>
        <v>0</v>
      </c>
      <c r="AA255" s="3">
        <f>IF('My investments'!$H$15="",0,IF('My investments'!$F255='My investments'!$H$15,$X255,0))</f>
        <v>0</v>
      </c>
      <c r="AB255" s="3">
        <f>IF('My investments'!$H$16="",0,IF('My investments'!$F255='My investments'!$H$16,$X255,0))</f>
        <v>0</v>
      </c>
      <c r="AC255" s="3">
        <f>IF('My investments'!$H$17="",0,IF('My investments'!$F255='My investments'!$H$17,$X255,0))</f>
        <v>0</v>
      </c>
      <c r="AD255" s="3">
        <f>IF('My investments'!$H$18="",0,IF('My investments'!$F255='My investments'!$H$18,$X255,0))</f>
        <v>0</v>
      </c>
      <c r="AE255" s="3">
        <f>IF('My investments'!$H$19="",0,IF('My investments'!$F255='My investments'!$H$19,$X255,0))</f>
        <v>0</v>
      </c>
      <c r="AF255" s="3">
        <f>IF('My investments'!$H$20="",0,IF('My investments'!$F255='My investments'!$H$20,$X255,0))</f>
        <v>0</v>
      </c>
      <c r="AG255" s="3">
        <f>IF('My investments'!$H$21="",0,IF('My investments'!$F255='My investments'!$H$21,$X255,0))</f>
        <v>0</v>
      </c>
      <c r="AH255" s="3">
        <f>IF('My investments'!$H$22="",0,IF('My investments'!$F255='My investments'!$H$22,$X255,0))</f>
        <v>0</v>
      </c>
      <c r="AI255" s="3">
        <f>IF('My investments'!$H$23="",0,IF('My investments'!$F255='My investments'!$H$23,$X255,0))</f>
        <v>0</v>
      </c>
      <c r="AJ255" s="3">
        <f>IF('My investments'!$H$24="",0,IF('My investments'!$F255='My investments'!$H$24,$X255,0))</f>
        <v>0</v>
      </c>
      <c r="AL255" s="3" t="str">
        <f>IF('My investments'!$B255="","",IF($D$10=0,"",IFERROR(INDEX('Index history'!$B$8:$B$5007,MATCH('My investments'!$B255,'Index history'!$A$8:$A$5007,1)),"")))</f>
        <v/>
      </c>
      <c r="AM255" s="3">
        <f>IF($AL255="",0,IF('My investments'!$D255="",0,IF('My investments'!$C255="Money in",'My investments'!$D255/$AL255,IF('My investments'!$C255="Money out",-'My investments'!$D255/$AL255,0))))</f>
        <v>0</v>
      </c>
    </row>
    <row r="256">
      <c r="X256" s="3">
        <f>IF('My investments'!$B256="",0,IF('My investments'!$E256="",0,'My investments'!$E256))</f>
        <v>0</v>
      </c>
      <c r="Y256" s="25">
        <f>IF('My investments'!$B256="",$D$8,'My investments'!$B256)</f>
        <v>0</v>
      </c>
      <c r="Z256" s="3">
        <f>IF('My investments'!$C256="Worth today",0,$X256)</f>
        <v>0</v>
      </c>
      <c r="AA256" s="3">
        <f>IF('My investments'!$H$15="",0,IF('My investments'!$F256='My investments'!$H$15,$X256,0))</f>
        <v>0</v>
      </c>
      <c r="AB256" s="3">
        <f>IF('My investments'!$H$16="",0,IF('My investments'!$F256='My investments'!$H$16,$X256,0))</f>
        <v>0</v>
      </c>
      <c r="AC256" s="3">
        <f>IF('My investments'!$H$17="",0,IF('My investments'!$F256='My investments'!$H$17,$X256,0))</f>
        <v>0</v>
      </c>
      <c r="AD256" s="3">
        <f>IF('My investments'!$H$18="",0,IF('My investments'!$F256='My investments'!$H$18,$X256,0))</f>
        <v>0</v>
      </c>
      <c r="AE256" s="3">
        <f>IF('My investments'!$H$19="",0,IF('My investments'!$F256='My investments'!$H$19,$X256,0))</f>
        <v>0</v>
      </c>
      <c r="AF256" s="3">
        <f>IF('My investments'!$H$20="",0,IF('My investments'!$F256='My investments'!$H$20,$X256,0))</f>
        <v>0</v>
      </c>
      <c r="AG256" s="3">
        <f>IF('My investments'!$H$21="",0,IF('My investments'!$F256='My investments'!$H$21,$X256,0))</f>
        <v>0</v>
      </c>
      <c r="AH256" s="3">
        <f>IF('My investments'!$H$22="",0,IF('My investments'!$F256='My investments'!$H$22,$X256,0))</f>
        <v>0</v>
      </c>
      <c r="AI256" s="3">
        <f>IF('My investments'!$H$23="",0,IF('My investments'!$F256='My investments'!$H$23,$X256,0))</f>
        <v>0</v>
      </c>
      <c r="AJ256" s="3">
        <f>IF('My investments'!$H$24="",0,IF('My investments'!$F256='My investments'!$H$24,$X256,0))</f>
        <v>0</v>
      </c>
      <c r="AL256" s="3" t="str">
        <f>IF('My investments'!$B256="","",IF($D$10=0,"",IFERROR(INDEX('Index history'!$B$8:$B$5007,MATCH('My investments'!$B256,'Index history'!$A$8:$A$5007,1)),"")))</f>
        <v/>
      </c>
      <c r="AM256" s="3">
        <f>IF($AL256="",0,IF('My investments'!$D256="",0,IF('My investments'!$C256="Money in",'My investments'!$D256/$AL256,IF('My investments'!$C256="Money out",-'My investments'!$D256/$AL256,0))))</f>
        <v>0</v>
      </c>
    </row>
    <row r="257">
      <c r="X257" s="3">
        <f>IF('My investments'!$B257="",0,IF('My investments'!$E257="",0,'My investments'!$E257))</f>
        <v>0</v>
      </c>
      <c r="Y257" s="25">
        <f>IF('My investments'!$B257="",$D$8,'My investments'!$B257)</f>
        <v>0</v>
      </c>
      <c r="Z257" s="3">
        <f>IF('My investments'!$C257="Worth today",0,$X257)</f>
        <v>0</v>
      </c>
      <c r="AA257" s="3">
        <f>IF('My investments'!$H$15="",0,IF('My investments'!$F257='My investments'!$H$15,$X257,0))</f>
        <v>0</v>
      </c>
      <c r="AB257" s="3">
        <f>IF('My investments'!$H$16="",0,IF('My investments'!$F257='My investments'!$H$16,$X257,0))</f>
        <v>0</v>
      </c>
      <c r="AC257" s="3">
        <f>IF('My investments'!$H$17="",0,IF('My investments'!$F257='My investments'!$H$17,$X257,0))</f>
        <v>0</v>
      </c>
      <c r="AD257" s="3">
        <f>IF('My investments'!$H$18="",0,IF('My investments'!$F257='My investments'!$H$18,$X257,0))</f>
        <v>0</v>
      </c>
      <c r="AE257" s="3">
        <f>IF('My investments'!$H$19="",0,IF('My investments'!$F257='My investments'!$H$19,$X257,0))</f>
        <v>0</v>
      </c>
      <c r="AF257" s="3">
        <f>IF('My investments'!$H$20="",0,IF('My investments'!$F257='My investments'!$H$20,$X257,0))</f>
        <v>0</v>
      </c>
      <c r="AG257" s="3">
        <f>IF('My investments'!$H$21="",0,IF('My investments'!$F257='My investments'!$H$21,$X257,0))</f>
        <v>0</v>
      </c>
      <c r="AH257" s="3">
        <f>IF('My investments'!$H$22="",0,IF('My investments'!$F257='My investments'!$H$22,$X257,0))</f>
        <v>0</v>
      </c>
      <c r="AI257" s="3">
        <f>IF('My investments'!$H$23="",0,IF('My investments'!$F257='My investments'!$H$23,$X257,0))</f>
        <v>0</v>
      </c>
      <c r="AJ257" s="3">
        <f>IF('My investments'!$H$24="",0,IF('My investments'!$F257='My investments'!$H$24,$X257,0))</f>
        <v>0</v>
      </c>
      <c r="AL257" s="3" t="str">
        <f>IF('My investments'!$B257="","",IF($D$10=0,"",IFERROR(INDEX('Index history'!$B$8:$B$5007,MATCH('My investments'!$B257,'Index history'!$A$8:$A$5007,1)),"")))</f>
        <v/>
      </c>
      <c r="AM257" s="3">
        <f>IF($AL257="",0,IF('My investments'!$D257="",0,IF('My investments'!$C257="Money in",'My investments'!$D257/$AL257,IF('My investments'!$C257="Money out",-'My investments'!$D257/$AL257,0))))</f>
        <v>0</v>
      </c>
    </row>
    <row r="258">
      <c r="X258" s="3">
        <f>IF('My investments'!$B258="",0,IF('My investments'!$E258="",0,'My investments'!$E258))</f>
        <v>0</v>
      </c>
      <c r="Y258" s="25">
        <f>IF('My investments'!$B258="",$D$8,'My investments'!$B258)</f>
        <v>0</v>
      </c>
      <c r="Z258" s="3">
        <f>IF('My investments'!$C258="Worth today",0,$X258)</f>
        <v>0</v>
      </c>
      <c r="AA258" s="3">
        <f>IF('My investments'!$H$15="",0,IF('My investments'!$F258='My investments'!$H$15,$X258,0))</f>
        <v>0</v>
      </c>
      <c r="AB258" s="3">
        <f>IF('My investments'!$H$16="",0,IF('My investments'!$F258='My investments'!$H$16,$X258,0))</f>
        <v>0</v>
      </c>
      <c r="AC258" s="3">
        <f>IF('My investments'!$H$17="",0,IF('My investments'!$F258='My investments'!$H$17,$X258,0))</f>
        <v>0</v>
      </c>
      <c r="AD258" s="3">
        <f>IF('My investments'!$H$18="",0,IF('My investments'!$F258='My investments'!$H$18,$X258,0))</f>
        <v>0</v>
      </c>
      <c r="AE258" s="3">
        <f>IF('My investments'!$H$19="",0,IF('My investments'!$F258='My investments'!$H$19,$X258,0))</f>
        <v>0</v>
      </c>
      <c r="AF258" s="3">
        <f>IF('My investments'!$H$20="",0,IF('My investments'!$F258='My investments'!$H$20,$X258,0))</f>
        <v>0</v>
      </c>
      <c r="AG258" s="3">
        <f>IF('My investments'!$H$21="",0,IF('My investments'!$F258='My investments'!$H$21,$X258,0))</f>
        <v>0</v>
      </c>
      <c r="AH258" s="3">
        <f>IF('My investments'!$H$22="",0,IF('My investments'!$F258='My investments'!$H$22,$X258,0))</f>
        <v>0</v>
      </c>
      <c r="AI258" s="3">
        <f>IF('My investments'!$H$23="",0,IF('My investments'!$F258='My investments'!$H$23,$X258,0))</f>
        <v>0</v>
      </c>
      <c r="AJ258" s="3">
        <f>IF('My investments'!$H$24="",0,IF('My investments'!$F258='My investments'!$H$24,$X258,0))</f>
        <v>0</v>
      </c>
      <c r="AL258" s="3" t="str">
        <f>IF('My investments'!$B258="","",IF($D$10=0,"",IFERROR(INDEX('Index history'!$B$8:$B$5007,MATCH('My investments'!$B258,'Index history'!$A$8:$A$5007,1)),"")))</f>
        <v/>
      </c>
      <c r="AM258" s="3">
        <f>IF($AL258="",0,IF('My investments'!$D258="",0,IF('My investments'!$C258="Money in",'My investments'!$D258/$AL258,IF('My investments'!$C258="Money out",-'My investments'!$D258/$AL258,0))))</f>
        <v>0</v>
      </c>
    </row>
    <row r="259">
      <c r="X259" s="3">
        <f>IF('My investments'!$B259="",0,IF('My investments'!$E259="",0,'My investments'!$E259))</f>
        <v>0</v>
      </c>
      <c r="Y259" s="25">
        <f>IF('My investments'!$B259="",$D$8,'My investments'!$B259)</f>
        <v>0</v>
      </c>
      <c r="Z259" s="3">
        <f>IF('My investments'!$C259="Worth today",0,$X259)</f>
        <v>0</v>
      </c>
      <c r="AA259" s="3">
        <f>IF('My investments'!$H$15="",0,IF('My investments'!$F259='My investments'!$H$15,$X259,0))</f>
        <v>0</v>
      </c>
      <c r="AB259" s="3">
        <f>IF('My investments'!$H$16="",0,IF('My investments'!$F259='My investments'!$H$16,$X259,0))</f>
        <v>0</v>
      </c>
      <c r="AC259" s="3">
        <f>IF('My investments'!$H$17="",0,IF('My investments'!$F259='My investments'!$H$17,$X259,0))</f>
        <v>0</v>
      </c>
      <c r="AD259" s="3">
        <f>IF('My investments'!$H$18="",0,IF('My investments'!$F259='My investments'!$H$18,$X259,0))</f>
        <v>0</v>
      </c>
      <c r="AE259" s="3">
        <f>IF('My investments'!$H$19="",0,IF('My investments'!$F259='My investments'!$H$19,$X259,0))</f>
        <v>0</v>
      </c>
      <c r="AF259" s="3">
        <f>IF('My investments'!$H$20="",0,IF('My investments'!$F259='My investments'!$H$20,$X259,0))</f>
        <v>0</v>
      </c>
      <c r="AG259" s="3">
        <f>IF('My investments'!$H$21="",0,IF('My investments'!$F259='My investments'!$H$21,$X259,0))</f>
        <v>0</v>
      </c>
      <c r="AH259" s="3">
        <f>IF('My investments'!$H$22="",0,IF('My investments'!$F259='My investments'!$H$22,$X259,0))</f>
        <v>0</v>
      </c>
      <c r="AI259" s="3">
        <f>IF('My investments'!$H$23="",0,IF('My investments'!$F259='My investments'!$H$23,$X259,0))</f>
        <v>0</v>
      </c>
      <c r="AJ259" s="3">
        <f>IF('My investments'!$H$24="",0,IF('My investments'!$F259='My investments'!$H$24,$X259,0))</f>
        <v>0</v>
      </c>
      <c r="AL259" s="3" t="str">
        <f>IF('My investments'!$B259="","",IF($D$10=0,"",IFERROR(INDEX('Index history'!$B$8:$B$5007,MATCH('My investments'!$B259,'Index history'!$A$8:$A$5007,1)),"")))</f>
        <v/>
      </c>
      <c r="AM259" s="3">
        <f>IF($AL259="",0,IF('My investments'!$D259="",0,IF('My investments'!$C259="Money in",'My investments'!$D259/$AL259,IF('My investments'!$C259="Money out",-'My investments'!$D259/$AL259,0))))</f>
        <v>0</v>
      </c>
    </row>
    <row r="260">
      <c r="X260" s="3">
        <f>IF('My investments'!$B260="",0,IF('My investments'!$E260="",0,'My investments'!$E260))</f>
        <v>0</v>
      </c>
      <c r="Y260" s="25">
        <f>IF('My investments'!$B260="",$D$8,'My investments'!$B260)</f>
        <v>0</v>
      </c>
      <c r="Z260" s="3">
        <f>IF('My investments'!$C260="Worth today",0,$X260)</f>
        <v>0</v>
      </c>
      <c r="AA260" s="3">
        <f>IF('My investments'!$H$15="",0,IF('My investments'!$F260='My investments'!$H$15,$X260,0))</f>
        <v>0</v>
      </c>
      <c r="AB260" s="3">
        <f>IF('My investments'!$H$16="",0,IF('My investments'!$F260='My investments'!$H$16,$X260,0))</f>
        <v>0</v>
      </c>
      <c r="AC260" s="3">
        <f>IF('My investments'!$H$17="",0,IF('My investments'!$F260='My investments'!$H$17,$X260,0))</f>
        <v>0</v>
      </c>
      <c r="AD260" s="3">
        <f>IF('My investments'!$H$18="",0,IF('My investments'!$F260='My investments'!$H$18,$X260,0))</f>
        <v>0</v>
      </c>
      <c r="AE260" s="3">
        <f>IF('My investments'!$H$19="",0,IF('My investments'!$F260='My investments'!$H$19,$X260,0))</f>
        <v>0</v>
      </c>
      <c r="AF260" s="3">
        <f>IF('My investments'!$H$20="",0,IF('My investments'!$F260='My investments'!$H$20,$X260,0))</f>
        <v>0</v>
      </c>
      <c r="AG260" s="3">
        <f>IF('My investments'!$H$21="",0,IF('My investments'!$F260='My investments'!$H$21,$X260,0))</f>
        <v>0</v>
      </c>
      <c r="AH260" s="3">
        <f>IF('My investments'!$H$22="",0,IF('My investments'!$F260='My investments'!$H$22,$X260,0))</f>
        <v>0</v>
      </c>
      <c r="AI260" s="3">
        <f>IF('My investments'!$H$23="",0,IF('My investments'!$F260='My investments'!$H$23,$X260,0))</f>
        <v>0</v>
      </c>
      <c r="AJ260" s="3">
        <f>IF('My investments'!$H$24="",0,IF('My investments'!$F260='My investments'!$H$24,$X260,0))</f>
        <v>0</v>
      </c>
      <c r="AL260" s="3" t="str">
        <f>IF('My investments'!$B260="","",IF($D$10=0,"",IFERROR(INDEX('Index history'!$B$8:$B$5007,MATCH('My investments'!$B260,'Index history'!$A$8:$A$5007,1)),"")))</f>
        <v/>
      </c>
      <c r="AM260" s="3">
        <f>IF($AL260="",0,IF('My investments'!$D260="",0,IF('My investments'!$C260="Money in",'My investments'!$D260/$AL260,IF('My investments'!$C260="Money out",-'My investments'!$D260/$AL260,0))))</f>
        <v>0</v>
      </c>
    </row>
    <row r="261">
      <c r="X261" s="3">
        <f>IF('My investments'!$B261="",0,IF('My investments'!$E261="",0,'My investments'!$E261))</f>
        <v>0</v>
      </c>
      <c r="Y261" s="25">
        <f>IF('My investments'!$B261="",$D$8,'My investments'!$B261)</f>
        <v>0</v>
      </c>
      <c r="Z261" s="3">
        <f>IF('My investments'!$C261="Worth today",0,$X261)</f>
        <v>0</v>
      </c>
      <c r="AA261" s="3">
        <f>IF('My investments'!$H$15="",0,IF('My investments'!$F261='My investments'!$H$15,$X261,0))</f>
        <v>0</v>
      </c>
      <c r="AB261" s="3">
        <f>IF('My investments'!$H$16="",0,IF('My investments'!$F261='My investments'!$H$16,$X261,0))</f>
        <v>0</v>
      </c>
      <c r="AC261" s="3">
        <f>IF('My investments'!$H$17="",0,IF('My investments'!$F261='My investments'!$H$17,$X261,0))</f>
        <v>0</v>
      </c>
      <c r="AD261" s="3">
        <f>IF('My investments'!$H$18="",0,IF('My investments'!$F261='My investments'!$H$18,$X261,0))</f>
        <v>0</v>
      </c>
      <c r="AE261" s="3">
        <f>IF('My investments'!$H$19="",0,IF('My investments'!$F261='My investments'!$H$19,$X261,0))</f>
        <v>0</v>
      </c>
      <c r="AF261" s="3">
        <f>IF('My investments'!$H$20="",0,IF('My investments'!$F261='My investments'!$H$20,$X261,0))</f>
        <v>0</v>
      </c>
      <c r="AG261" s="3">
        <f>IF('My investments'!$H$21="",0,IF('My investments'!$F261='My investments'!$H$21,$X261,0))</f>
        <v>0</v>
      </c>
      <c r="AH261" s="3">
        <f>IF('My investments'!$H$22="",0,IF('My investments'!$F261='My investments'!$H$22,$X261,0))</f>
        <v>0</v>
      </c>
      <c r="AI261" s="3">
        <f>IF('My investments'!$H$23="",0,IF('My investments'!$F261='My investments'!$H$23,$X261,0))</f>
        <v>0</v>
      </c>
      <c r="AJ261" s="3">
        <f>IF('My investments'!$H$24="",0,IF('My investments'!$F261='My investments'!$H$24,$X261,0))</f>
        <v>0</v>
      </c>
      <c r="AL261" s="3" t="str">
        <f>IF('My investments'!$B261="","",IF($D$10=0,"",IFERROR(INDEX('Index history'!$B$8:$B$5007,MATCH('My investments'!$B261,'Index history'!$A$8:$A$5007,1)),"")))</f>
        <v/>
      </c>
      <c r="AM261" s="3">
        <f>IF($AL261="",0,IF('My investments'!$D261="",0,IF('My investments'!$C261="Money in",'My investments'!$D261/$AL261,IF('My investments'!$C261="Money out",-'My investments'!$D261/$AL261,0))))</f>
        <v>0</v>
      </c>
    </row>
    <row r="262">
      <c r="X262" s="3">
        <f>IF('My investments'!$B262="",0,IF('My investments'!$E262="",0,'My investments'!$E262))</f>
        <v>0</v>
      </c>
      <c r="Y262" s="25">
        <f>IF('My investments'!$B262="",$D$8,'My investments'!$B262)</f>
        <v>0</v>
      </c>
      <c r="Z262" s="3">
        <f>IF('My investments'!$C262="Worth today",0,$X262)</f>
        <v>0</v>
      </c>
      <c r="AA262" s="3">
        <f>IF('My investments'!$H$15="",0,IF('My investments'!$F262='My investments'!$H$15,$X262,0))</f>
        <v>0</v>
      </c>
      <c r="AB262" s="3">
        <f>IF('My investments'!$H$16="",0,IF('My investments'!$F262='My investments'!$H$16,$X262,0))</f>
        <v>0</v>
      </c>
      <c r="AC262" s="3">
        <f>IF('My investments'!$H$17="",0,IF('My investments'!$F262='My investments'!$H$17,$X262,0))</f>
        <v>0</v>
      </c>
      <c r="AD262" s="3">
        <f>IF('My investments'!$H$18="",0,IF('My investments'!$F262='My investments'!$H$18,$X262,0))</f>
        <v>0</v>
      </c>
      <c r="AE262" s="3">
        <f>IF('My investments'!$H$19="",0,IF('My investments'!$F262='My investments'!$H$19,$X262,0))</f>
        <v>0</v>
      </c>
      <c r="AF262" s="3">
        <f>IF('My investments'!$H$20="",0,IF('My investments'!$F262='My investments'!$H$20,$X262,0))</f>
        <v>0</v>
      </c>
      <c r="AG262" s="3">
        <f>IF('My investments'!$H$21="",0,IF('My investments'!$F262='My investments'!$H$21,$X262,0))</f>
        <v>0</v>
      </c>
      <c r="AH262" s="3">
        <f>IF('My investments'!$H$22="",0,IF('My investments'!$F262='My investments'!$H$22,$X262,0))</f>
        <v>0</v>
      </c>
      <c r="AI262" s="3">
        <f>IF('My investments'!$H$23="",0,IF('My investments'!$F262='My investments'!$H$23,$X262,0))</f>
        <v>0</v>
      </c>
      <c r="AJ262" s="3">
        <f>IF('My investments'!$H$24="",0,IF('My investments'!$F262='My investments'!$H$24,$X262,0))</f>
        <v>0</v>
      </c>
      <c r="AL262" s="3" t="str">
        <f>IF('My investments'!$B262="","",IF($D$10=0,"",IFERROR(INDEX('Index history'!$B$8:$B$5007,MATCH('My investments'!$B262,'Index history'!$A$8:$A$5007,1)),"")))</f>
        <v/>
      </c>
      <c r="AM262" s="3">
        <f>IF($AL262="",0,IF('My investments'!$D262="",0,IF('My investments'!$C262="Money in",'My investments'!$D262/$AL262,IF('My investments'!$C262="Money out",-'My investments'!$D262/$AL262,0))))</f>
        <v>0</v>
      </c>
    </row>
    <row r="263">
      <c r="X263" s="3">
        <f>IF('My investments'!$B263="",0,IF('My investments'!$E263="",0,'My investments'!$E263))</f>
        <v>0</v>
      </c>
      <c r="Y263" s="25">
        <f>IF('My investments'!$B263="",$D$8,'My investments'!$B263)</f>
        <v>0</v>
      </c>
      <c r="Z263" s="3">
        <f>IF('My investments'!$C263="Worth today",0,$X263)</f>
        <v>0</v>
      </c>
      <c r="AA263" s="3">
        <f>IF('My investments'!$H$15="",0,IF('My investments'!$F263='My investments'!$H$15,$X263,0))</f>
        <v>0</v>
      </c>
      <c r="AB263" s="3">
        <f>IF('My investments'!$H$16="",0,IF('My investments'!$F263='My investments'!$H$16,$X263,0))</f>
        <v>0</v>
      </c>
      <c r="AC263" s="3">
        <f>IF('My investments'!$H$17="",0,IF('My investments'!$F263='My investments'!$H$17,$X263,0))</f>
        <v>0</v>
      </c>
      <c r="AD263" s="3">
        <f>IF('My investments'!$H$18="",0,IF('My investments'!$F263='My investments'!$H$18,$X263,0))</f>
        <v>0</v>
      </c>
      <c r="AE263" s="3">
        <f>IF('My investments'!$H$19="",0,IF('My investments'!$F263='My investments'!$H$19,$X263,0))</f>
        <v>0</v>
      </c>
      <c r="AF263" s="3">
        <f>IF('My investments'!$H$20="",0,IF('My investments'!$F263='My investments'!$H$20,$X263,0))</f>
        <v>0</v>
      </c>
      <c r="AG263" s="3">
        <f>IF('My investments'!$H$21="",0,IF('My investments'!$F263='My investments'!$H$21,$X263,0))</f>
        <v>0</v>
      </c>
      <c r="AH263" s="3">
        <f>IF('My investments'!$H$22="",0,IF('My investments'!$F263='My investments'!$H$22,$X263,0))</f>
        <v>0</v>
      </c>
      <c r="AI263" s="3">
        <f>IF('My investments'!$H$23="",0,IF('My investments'!$F263='My investments'!$H$23,$X263,0))</f>
        <v>0</v>
      </c>
      <c r="AJ263" s="3">
        <f>IF('My investments'!$H$24="",0,IF('My investments'!$F263='My investments'!$H$24,$X263,0))</f>
        <v>0</v>
      </c>
      <c r="AL263" s="3" t="str">
        <f>IF('My investments'!$B263="","",IF($D$10=0,"",IFERROR(INDEX('Index history'!$B$8:$B$5007,MATCH('My investments'!$B263,'Index history'!$A$8:$A$5007,1)),"")))</f>
        <v/>
      </c>
      <c r="AM263" s="3">
        <f>IF($AL263="",0,IF('My investments'!$D263="",0,IF('My investments'!$C263="Money in",'My investments'!$D263/$AL263,IF('My investments'!$C263="Money out",-'My investments'!$D263/$AL263,0))))</f>
        <v>0</v>
      </c>
    </row>
    <row r="264">
      <c r="X264" s="3">
        <f>IF('My investments'!$B264="",0,IF('My investments'!$E264="",0,'My investments'!$E264))</f>
        <v>0</v>
      </c>
      <c r="Y264" s="25">
        <f>IF('My investments'!$B264="",$D$8,'My investments'!$B264)</f>
        <v>0</v>
      </c>
      <c r="Z264" s="3">
        <f>IF('My investments'!$C264="Worth today",0,$X264)</f>
        <v>0</v>
      </c>
      <c r="AA264" s="3">
        <f>IF('My investments'!$H$15="",0,IF('My investments'!$F264='My investments'!$H$15,$X264,0))</f>
        <v>0</v>
      </c>
      <c r="AB264" s="3">
        <f>IF('My investments'!$H$16="",0,IF('My investments'!$F264='My investments'!$H$16,$X264,0))</f>
        <v>0</v>
      </c>
      <c r="AC264" s="3">
        <f>IF('My investments'!$H$17="",0,IF('My investments'!$F264='My investments'!$H$17,$X264,0))</f>
        <v>0</v>
      </c>
      <c r="AD264" s="3">
        <f>IF('My investments'!$H$18="",0,IF('My investments'!$F264='My investments'!$H$18,$X264,0))</f>
        <v>0</v>
      </c>
      <c r="AE264" s="3">
        <f>IF('My investments'!$H$19="",0,IF('My investments'!$F264='My investments'!$H$19,$X264,0))</f>
        <v>0</v>
      </c>
      <c r="AF264" s="3">
        <f>IF('My investments'!$H$20="",0,IF('My investments'!$F264='My investments'!$H$20,$X264,0))</f>
        <v>0</v>
      </c>
      <c r="AG264" s="3">
        <f>IF('My investments'!$H$21="",0,IF('My investments'!$F264='My investments'!$H$21,$X264,0))</f>
        <v>0</v>
      </c>
      <c r="AH264" s="3">
        <f>IF('My investments'!$H$22="",0,IF('My investments'!$F264='My investments'!$H$22,$X264,0))</f>
        <v>0</v>
      </c>
      <c r="AI264" s="3">
        <f>IF('My investments'!$H$23="",0,IF('My investments'!$F264='My investments'!$H$23,$X264,0))</f>
        <v>0</v>
      </c>
      <c r="AJ264" s="3">
        <f>IF('My investments'!$H$24="",0,IF('My investments'!$F264='My investments'!$H$24,$X264,0))</f>
        <v>0</v>
      </c>
      <c r="AL264" s="3" t="str">
        <f>IF('My investments'!$B264="","",IF($D$10=0,"",IFERROR(INDEX('Index history'!$B$8:$B$5007,MATCH('My investments'!$B264,'Index history'!$A$8:$A$5007,1)),"")))</f>
        <v/>
      </c>
      <c r="AM264" s="3">
        <f>IF($AL264="",0,IF('My investments'!$D264="",0,IF('My investments'!$C264="Money in",'My investments'!$D264/$AL264,IF('My investments'!$C264="Money out",-'My investments'!$D264/$AL264,0))))</f>
        <v>0</v>
      </c>
    </row>
    <row r="265">
      <c r="X265" s="3">
        <f>IF('My investments'!$B265="",0,IF('My investments'!$E265="",0,'My investments'!$E265))</f>
        <v>0</v>
      </c>
      <c r="Y265" s="25">
        <f>IF('My investments'!$B265="",$D$8,'My investments'!$B265)</f>
        <v>0</v>
      </c>
      <c r="Z265" s="3">
        <f>IF('My investments'!$C265="Worth today",0,$X265)</f>
        <v>0</v>
      </c>
      <c r="AA265" s="3">
        <f>IF('My investments'!$H$15="",0,IF('My investments'!$F265='My investments'!$H$15,$X265,0))</f>
        <v>0</v>
      </c>
      <c r="AB265" s="3">
        <f>IF('My investments'!$H$16="",0,IF('My investments'!$F265='My investments'!$H$16,$X265,0))</f>
        <v>0</v>
      </c>
      <c r="AC265" s="3">
        <f>IF('My investments'!$H$17="",0,IF('My investments'!$F265='My investments'!$H$17,$X265,0))</f>
        <v>0</v>
      </c>
      <c r="AD265" s="3">
        <f>IF('My investments'!$H$18="",0,IF('My investments'!$F265='My investments'!$H$18,$X265,0))</f>
        <v>0</v>
      </c>
      <c r="AE265" s="3">
        <f>IF('My investments'!$H$19="",0,IF('My investments'!$F265='My investments'!$H$19,$X265,0))</f>
        <v>0</v>
      </c>
      <c r="AF265" s="3">
        <f>IF('My investments'!$H$20="",0,IF('My investments'!$F265='My investments'!$H$20,$X265,0))</f>
        <v>0</v>
      </c>
      <c r="AG265" s="3">
        <f>IF('My investments'!$H$21="",0,IF('My investments'!$F265='My investments'!$H$21,$X265,0))</f>
        <v>0</v>
      </c>
      <c r="AH265" s="3">
        <f>IF('My investments'!$H$22="",0,IF('My investments'!$F265='My investments'!$H$22,$X265,0))</f>
        <v>0</v>
      </c>
      <c r="AI265" s="3">
        <f>IF('My investments'!$H$23="",0,IF('My investments'!$F265='My investments'!$H$23,$X265,0))</f>
        <v>0</v>
      </c>
      <c r="AJ265" s="3">
        <f>IF('My investments'!$H$24="",0,IF('My investments'!$F265='My investments'!$H$24,$X265,0))</f>
        <v>0</v>
      </c>
      <c r="AL265" s="3" t="str">
        <f>IF('My investments'!$B265="","",IF($D$10=0,"",IFERROR(INDEX('Index history'!$B$8:$B$5007,MATCH('My investments'!$B265,'Index history'!$A$8:$A$5007,1)),"")))</f>
        <v/>
      </c>
      <c r="AM265" s="3">
        <f>IF($AL265="",0,IF('My investments'!$D265="",0,IF('My investments'!$C265="Money in",'My investments'!$D265/$AL265,IF('My investments'!$C265="Money out",-'My investments'!$D265/$AL265,0))))</f>
        <v>0</v>
      </c>
    </row>
    <row r="266">
      <c r="X266" s="3">
        <f>IF('My investments'!$B266="",0,IF('My investments'!$E266="",0,'My investments'!$E266))</f>
        <v>0</v>
      </c>
      <c r="Y266" s="25">
        <f>IF('My investments'!$B266="",$D$8,'My investments'!$B266)</f>
        <v>0</v>
      </c>
      <c r="Z266" s="3">
        <f>IF('My investments'!$C266="Worth today",0,$X266)</f>
        <v>0</v>
      </c>
      <c r="AA266" s="3">
        <f>IF('My investments'!$H$15="",0,IF('My investments'!$F266='My investments'!$H$15,$X266,0))</f>
        <v>0</v>
      </c>
      <c r="AB266" s="3">
        <f>IF('My investments'!$H$16="",0,IF('My investments'!$F266='My investments'!$H$16,$X266,0))</f>
        <v>0</v>
      </c>
      <c r="AC266" s="3">
        <f>IF('My investments'!$H$17="",0,IF('My investments'!$F266='My investments'!$H$17,$X266,0))</f>
        <v>0</v>
      </c>
      <c r="AD266" s="3">
        <f>IF('My investments'!$H$18="",0,IF('My investments'!$F266='My investments'!$H$18,$X266,0))</f>
        <v>0</v>
      </c>
      <c r="AE266" s="3">
        <f>IF('My investments'!$H$19="",0,IF('My investments'!$F266='My investments'!$H$19,$X266,0))</f>
        <v>0</v>
      </c>
      <c r="AF266" s="3">
        <f>IF('My investments'!$H$20="",0,IF('My investments'!$F266='My investments'!$H$20,$X266,0))</f>
        <v>0</v>
      </c>
      <c r="AG266" s="3">
        <f>IF('My investments'!$H$21="",0,IF('My investments'!$F266='My investments'!$H$21,$X266,0))</f>
        <v>0</v>
      </c>
      <c r="AH266" s="3">
        <f>IF('My investments'!$H$22="",0,IF('My investments'!$F266='My investments'!$H$22,$X266,0))</f>
        <v>0</v>
      </c>
      <c r="AI266" s="3">
        <f>IF('My investments'!$H$23="",0,IF('My investments'!$F266='My investments'!$H$23,$X266,0))</f>
        <v>0</v>
      </c>
      <c r="AJ266" s="3">
        <f>IF('My investments'!$H$24="",0,IF('My investments'!$F266='My investments'!$H$24,$X266,0))</f>
        <v>0</v>
      </c>
      <c r="AL266" s="3" t="str">
        <f>IF('My investments'!$B266="","",IF($D$10=0,"",IFERROR(INDEX('Index history'!$B$8:$B$5007,MATCH('My investments'!$B266,'Index history'!$A$8:$A$5007,1)),"")))</f>
        <v/>
      </c>
      <c r="AM266" s="3">
        <f>IF($AL266="",0,IF('My investments'!$D266="",0,IF('My investments'!$C266="Money in",'My investments'!$D266/$AL266,IF('My investments'!$C266="Money out",-'My investments'!$D266/$AL266,0))))</f>
        <v>0</v>
      </c>
    </row>
    <row r="267">
      <c r="X267" s="3">
        <f>IF('My investments'!$B267="",0,IF('My investments'!$E267="",0,'My investments'!$E267))</f>
        <v>0</v>
      </c>
      <c r="Y267" s="25">
        <f>IF('My investments'!$B267="",$D$8,'My investments'!$B267)</f>
        <v>0</v>
      </c>
      <c r="Z267" s="3">
        <f>IF('My investments'!$C267="Worth today",0,$X267)</f>
        <v>0</v>
      </c>
      <c r="AA267" s="3">
        <f>IF('My investments'!$H$15="",0,IF('My investments'!$F267='My investments'!$H$15,$X267,0))</f>
        <v>0</v>
      </c>
      <c r="AB267" s="3">
        <f>IF('My investments'!$H$16="",0,IF('My investments'!$F267='My investments'!$H$16,$X267,0))</f>
        <v>0</v>
      </c>
      <c r="AC267" s="3">
        <f>IF('My investments'!$H$17="",0,IF('My investments'!$F267='My investments'!$H$17,$X267,0))</f>
        <v>0</v>
      </c>
      <c r="AD267" s="3">
        <f>IF('My investments'!$H$18="",0,IF('My investments'!$F267='My investments'!$H$18,$X267,0))</f>
        <v>0</v>
      </c>
      <c r="AE267" s="3">
        <f>IF('My investments'!$H$19="",0,IF('My investments'!$F267='My investments'!$H$19,$X267,0))</f>
        <v>0</v>
      </c>
      <c r="AF267" s="3">
        <f>IF('My investments'!$H$20="",0,IF('My investments'!$F267='My investments'!$H$20,$X267,0))</f>
        <v>0</v>
      </c>
      <c r="AG267" s="3">
        <f>IF('My investments'!$H$21="",0,IF('My investments'!$F267='My investments'!$H$21,$X267,0))</f>
        <v>0</v>
      </c>
      <c r="AH267" s="3">
        <f>IF('My investments'!$H$22="",0,IF('My investments'!$F267='My investments'!$H$22,$X267,0))</f>
        <v>0</v>
      </c>
      <c r="AI267" s="3">
        <f>IF('My investments'!$H$23="",0,IF('My investments'!$F267='My investments'!$H$23,$X267,0))</f>
        <v>0</v>
      </c>
      <c r="AJ267" s="3">
        <f>IF('My investments'!$H$24="",0,IF('My investments'!$F267='My investments'!$H$24,$X267,0))</f>
        <v>0</v>
      </c>
      <c r="AL267" s="3" t="str">
        <f>IF('My investments'!$B267="","",IF($D$10=0,"",IFERROR(INDEX('Index history'!$B$8:$B$5007,MATCH('My investments'!$B267,'Index history'!$A$8:$A$5007,1)),"")))</f>
        <v/>
      </c>
      <c r="AM267" s="3">
        <f>IF($AL267="",0,IF('My investments'!$D267="",0,IF('My investments'!$C267="Money in",'My investments'!$D267/$AL267,IF('My investments'!$C267="Money out",-'My investments'!$D267/$AL267,0))))</f>
        <v>0</v>
      </c>
    </row>
    <row r="268">
      <c r="X268" s="3">
        <f>IF('My investments'!$B268="",0,IF('My investments'!$E268="",0,'My investments'!$E268))</f>
        <v>0</v>
      </c>
      <c r="Y268" s="25">
        <f>IF('My investments'!$B268="",$D$8,'My investments'!$B268)</f>
        <v>0</v>
      </c>
      <c r="Z268" s="3">
        <f>IF('My investments'!$C268="Worth today",0,$X268)</f>
        <v>0</v>
      </c>
      <c r="AA268" s="3">
        <f>IF('My investments'!$H$15="",0,IF('My investments'!$F268='My investments'!$H$15,$X268,0))</f>
        <v>0</v>
      </c>
      <c r="AB268" s="3">
        <f>IF('My investments'!$H$16="",0,IF('My investments'!$F268='My investments'!$H$16,$X268,0))</f>
        <v>0</v>
      </c>
      <c r="AC268" s="3">
        <f>IF('My investments'!$H$17="",0,IF('My investments'!$F268='My investments'!$H$17,$X268,0))</f>
        <v>0</v>
      </c>
      <c r="AD268" s="3">
        <f>IF('My investments'!$H$18="",0,IF('My investments'!$F268='My investments'!$H$18,$X268,0))</f>
        <v>0</v>
      </c>
      <c r="AE268" s="3">
        <f>IF('My investments'!$H$19="",0,IF('My investments'!$F268='My investments'!$H$19,$X268,0))</f>
        <v>0</v>
      </c>
      <c r="AF268" s="3">
        <f>IF('My investments'!$H$20="",0,IF('My investments'!$F268='My investments'!$H$20,$X268,0))</f>
        <v>0</v>
      </c>
      <c r="AG268" s="3">
        <f>IF('My investments'!$H$21="",0,IF('My investments'!$F268='My investments'!$H$21,$X268,0))</f>
        <v>0</v>
      </c>
      <c r="AH268" s="3">
        <f>IF('My investments'!$H$22="",0,IF('My investments'!$F268='My investments'!$H$22,$X268,0))</f>
        <v>0</v>
      </c>
      <c r="AI268" s="3">
        <f>IF('My investments'!$H$23="",0,IF('My investments'!$F268='My investments'!$H$23,$X268,0))</f>
        <v>0</v>
      </c>
      <c r="AJ268" s="3">
        <f>IF('My investments'!$H$24="",0,IF('My investments'!$F268='My investments'!$H$24,$X268,0))</f>
        <v>0</v>
      </c>
      <c r="AL268" s="3" t="str">
        <f>IF('My investments'!$B268="","",IF($D$10=0,"",IFERROR(INDEX('Index history'!$B$8:$B$5007,MATCH('My investments'!$B268,'Index history'!$A$8:$A$5007,1)),"")))</f>
        <v/>
      </c>
      <c r="AM268" s="3">
        <f>IF($AL268="",0,IF('My investments'!$D268="",0,IF('My investments'!$C268="Money in",'My investments'!$D268/$AL268,IF('My investments'!$C268="Money out",-'My investments'!$D268/$AL268,0))))</f>
        <v>0</v>
      </c>
    </row>
    <row r="269">
      <c r="X269" s="3">
        <f>IF('My investments'!$B269="",0,IF('My investments'!$E269="",0,'My investments'!$E269))</f>
        <v>0</v>
      </c>
      <c r="Y269" s="25">
        <f>IF('My investments'!$B269="",$D$8,'My investments'!$B269)</f>
        <v>0</v>
      </c>
      <c r="Z269" s="3">
        <f>IF('My investments'!$C269="Worth today",0,$X269)</f>
        <v>0</v>
      </c>
      <c r="AA269" s="3">
        <f>IF('My investments'!$H$15="",0,IF('My investments'!$F269='My investments'!$H$15,$X269,0))</f>
        <v>0</v>
      </c>
      <c r="AB269" s="3">
        <f>IF('My investments'!$H$16="",0,IF('My investments'!$F269='My investments'!$H$16,$X269,0))</f>
        <v>0</v>
      </c>
      <c r="AC269" s="3">
        <f>IF('My investments'!$H$17="",0,IF('My investments'!$F269='My investments'!$H$17,$X269,0))</f>
        <v>0</v>
      </c>
      <c r="AD269" s="3">
        <f>IF('My investments'!$H$18="",0,IF('My investments'!$F269='My investments'!$H$18,$X269,0))</f>
        <v>0</v>
      </c>
      <c r="AE269" s="3">
        <f>IF('My investments'!$H$19="",0,IF('My investments'!$F269='My investments'!$H$19,$X269,0))</f>
        <v>0</v>
      </c>
      <c r="AF269" s="3">
        <f>IF('My investments'!$H$20="",0,IF('My investments'!$F269='My investments'!$H$20,$X269,0))</f>
        <v>0</v>
      </c>
      <c r="AG269" s="3">
        <f>IF('My investments'!$H$21="",0,IF('My investments'!$F269='My investments'!$H$21,$X269,0))</f>
        <v>0</v>
      </c>
      <c r="AH269" s="3">
        <f>IF('My investments'!$H$22="",0,IF('My investments'!$F269='My investments'!$H$22,$X269,0))</f>
        <v>0</v>
      </c>
      <c r="AI269" s="3">
        <f>IF('My investments'!$H$23="",0,IF('My investments'!$F269='My investments'!$H$23,$X269,0))</f>
        <v>0</v>
      </c>
      <c r="AJ269" s="3">
        <f>IF('My investments'!$H$24="",0,IF('My investments'!$F269='My investments'!$H$24,$X269,0))</f>
        <v>0</v>
      </c>
      <c r="AL269" s="3" t="str">
        <f>IF('My investments'!$B269="","",IF($D$10=0,"",IFERROR(INDEX('Index history'!$B$8:$B$5007,MATCH('My investments'!$B269,'Index history'!$A$8:$A$5007,1)),"")))</f>
        <v/>
      </c>
      <c r="AM269" s="3">
        <f>IF($AL269="",0,IF('My investments'!$D269="",0,IF('My investments'!$C269="Money in",'My investments'!$D269/$AL269,IF('My investments'!$C269="Money out",-'My investments'!$D269/$AL269,0))))</f>
        <v>0</v>
      </c>
    </row>
    <row r="270">
      <c r="X270" s="3">
        <f>IF('My investments'!$B270="",0,IF('My investments'!$E270="",0,'My investments'!$E270))</f>
        <v>0</v>
      </c>
      <c r="Y270" s="25">
        <f>IF('My investments'!$B270="",$D$8,'My investments'!$B270)</f>
        <v>0</v>
      </c>
      <c r="Z270" s="3">
        <f>IF('My investments'!$C270="Worth today",0,$X270)</f>
        <v>0</v>
      </c>
      <c r="AA270" s="3">
        <f>IF('My investments'!$H$15="",0,IF('My investments'!$F270='My investments'!$H$15,$X270,0))</f>
        <v>0</v>
      </c>
      <c r="AB270" s="3">
        <f>IF('My investments'!$H$16="",0,IF('My investments'!$F270='My investments'!$H$16,$X270,0))</f>
        <v>0</v>
      </c>
      <c r="AC270" s="3">
        <f>IF('My investments'!$H$17="",0,IF('My investments'!$F270='My investments'!$H$17,$X270,0))</f>
        <v>0</v>
      </c>
      <c r="AD270" s="3">
        <f>IF('My investments'!$H$18="",0,IF('My investments'!$F270='My investments'!$H$18,$X270,0))</f>
        <v>0</v>
      </c>
      <c r="AE270" s="3">
        <f>IF('My investments'!$H$19="",0,IF('My investments'!$F270='My investments'!$H$19,$X270,0))</f>
        <v>0</v>
      </c>
      <c r="AF270" s="3">
        <f>IF('My investments'!$H$20="",0,IF('My investments'!$F270='My investments'!$H$20,$X270,0))</f>
        <v>0</v>
      </c>
      <c r="AG270" s="3">
        <f>IF('My investments'!$H$21="",0,IF('My investments'!$F270='My investments'!$H$21,$X270,0))</f>
        <v>0</v>
      </c>
      <c r="AH270" s="3">
        <f>IF('My investments'!$H$22="",0,IF('My investments'!$F270='My investments'!$H$22,$X270,0))</f>
        <v>0</v>
      </c>
      <c r="AI270" s="3">
        <f>IF('My investments'!$H$23="",0,IF('My investments'!$F270='My investments'!$H$23,$X270,0))</f>
        <v>0</v>
      </c>
      <c r="AJ270" s="3">
        <f>IF('My investments'!$H$24="",0,IF('My investments'!$F270='My investments'!$H$24,$X270,0))</f>
        <v>0</v>
      </c>
      <c r="AL270" s="3" t="str">
        <f>IF('My investments'!$B270="","",IF($D$10=0,"",IFERROR(INDEX('Index history'!$B$8:$B$5007,MATCH('My investments'!$B270,'Index history'!$A$8:$A$5007,1)),"")))</f>
        <v/>
      </c>
      <c r="AM270" s="3">
        <f>IF($AL270="",0,IF('My investments'!$D270="",0,IF('My investments'!$C270="Money in",'My investments'!$D270/$AL270,IF('My investments'!$C270="Money out",-'My investments'!$D270/$AL270,0))))</f>
        <v>0</v>
      </c>
    </row>
    <row r="271">
      <c r="X271" s="3">
        <f>IF('My investments'!$B271="",0,IF('My investments'!$E271="",0,'My investments'!$E271))</f>
        <v>0</v>
      </c>
      <c r="Y271" s="25">
        <f>IF('My investments'!$B271="",$D$8,'My investments'!$B271)</f>
        <v>0</v>
      </c>
      <c r="Z271" s="3">
        <f>IF('My investments'!$C271="Worth today",0,$X271)</f>
        <v>0</v>
      </c>
      <c r="AA271" s="3">
        <f>IF('My investments'!$H$15="",0,IF('My investments'!$F271='My investments'!$H$15,$X271,0))</f>
        <v>0</v>
      </c>
      <c r="AB271" s="3">
        <f>IF('My investments'!$H$16="",0,IF('My investments'!$F271='My investments'!$H$16,$X271,0))</f>
        <v>0</v>
      </c>
      <c r="AC271" s="3">
        <f>IF('My investments'!$H$17="",0,IF('My investments'!$F271='My investments'!$H$17,$X271,0))</f>
        <v>0</v>
      </c>
      <c r="AD271" s="3">
        <f>IF('My investments'!$H$18="",0,IF('My investments'!$F271='My investments'!$H$18,$X271,0))</f>
        <v>0</v>
      </c>
      <c r="AE271" s="3">
        <f>IF('My investments'!$H$19="",0,IF('My investments'!$F271='My investments'!$H$19,$X271,0))</f>
        <v>0</v>
      </c>
      <c r="AF271" s="3">
        <f>IF('My investments'!$H$20="",0,IF('My investments'!$F271='My investments'!$H$20,$X271,0))</f>
        <v>0</v>
      </c>
      <c r="AG271" s="3">
        <f>IF('My investments'!$H$21="",0,IF('My investments'!$F271='My investments'!$H$21,$X271,0))</f>
        <v>0</v>
      </c>
      <c r="AH271" s="3">
        <f>IF('My investments'!$H$22="",0,IF('My investments'!$F271='My investments'!$H$22,$X271,0))</f>
        <v>0</v>
      </c>
      <c r="AI271" s="3">
        <f>IF('My investments'!$H$23="",0,IF('My investments'!$F271='My investments'!$H$23,$X271,0))</f>
        <v>0</v>
      </c>
      <c r="AJ271" s="3">
        <f>IF('My investments'!$H$24="",0,IF('My investments'!$F271='My investments'!$H$24,$X271,0))</f>
        <v>0</v>
      </c>
      <c r="AL271" s="3" t="str">
        <f>IF('My investments'!$B271="","",IF($D$10=0,"",IFERROR(INDEX('Index history'!$B$8:$B$5007,MATCH('My investments'!$B271,'Index history'!$A$8:$A$5007,1)),"")))</f>
        <v/>
      </c>
      <c r="AM271" s="3">
        <f>IF($AL271="",0,IF('My investments'!$D271="",0,IF('My investments'!$C271="Money in",'My investments'!$D271/$AL271,IF('My investments'!$C271="Money out",-'My investments'!$D271/$AL271,0))))</f>
        <v>0</v>
      </c>
    </row>
    <row r="272">
      <c r="X272" s="3">
        <f>IF('My investments'!$B272="",0,IF('My investments'!$E272="",0,'My investments'!$E272))</f>
        <v>0</v>
      </c>
      <c r="Y272" s="25">
        <f>IF('My investments'!$B272="",$D$8,'My investments'!$B272)</f>
        <v>0</v>
      </c>
      <c r="Z272" s="3">
        <f>IF('My investments'!$C272="Worth today",0,$X272)</f>
        <v>0</v>
      </c>
      <c r="AA272" s="3">
        <f>IF('My investments'!$H$15="",0,IF('My investments'!$F272='My investments'!$H$15,$X272,0))</f>
        <v>0</v>
      </c>
      <c r="AB272" s="3">
        <f>IF('My investments'!$H$16="",0,IF('My investments'!$F272='My investments'!$H$16,$X272,0))</f>
        <v>0</v>
      </c>
      <c r="AC272" s="3">
        <f>IF('My investments'!$H$17="",0,IF('My investments'!$F272='My investments'!$H$17,$X272,0))</f>
        <v>0</v>
      </c>
      <c r="AD272" s="3">
        <f>IF('My investments'!$H$18="",0,IF('My investments'!$F272='My investments'!$H$18,$X272,0))</f>
        <v>0</v>
      </c>
      <c r="AE272" s="3">
        <f>IF('My investments'!$H$19="",0,IF('My investments'!$F272='My investments'!$H$19,$X272,0))</f>
        <v>0</v>
      </c>
      <c r="AF272" s="3">
        <f>IF('My investments'!$H$20="",0,IF('My investments'!$F272='My investments'!$H$20,$X272,0))</f>
        <v>0</v>
      </c>
      <c r="AG272" s="3">
        <f>IF('My investments'!$H$21="",0,IF('My investments'!$F272='My investments'!$H$21,$X272,0))</f>
        <v>0</v>
      </c>
      <c r="AH272" s="3">
        <f>IF('My investments'!$H$22="",0,IF('My investments'!$F272='My investments'!$H$22,$X272,0))</f>
        <v>0</v>
      </c>
      <c r="AI272" s="3">
        <f>IF('My investments'!$H$23="",0,IF('My investments'!$F272='My investments'!$H$23,$X272,0))</f>
        <v>0</v>
      </c>
      <c r="AJ272" s="3">
        <f>IF('My investments'!$H$24="",0,IF('My investments'!$F272='My investments'!$H$24,$X272,0))</f>
        <v>0</v>
      </c>
      <c r="AL272" s="3" t="str">
        <f>IF('My investments'!$B272="","",IF($D$10=0,"",IFERROR(INDEX('Index history'!$B$8:$B$5007,MATCH('My investments'!$B272,'Index history'!$A$8:$A$5007,1)),"")))</f>
        <v/>
      </c>
      <c r="AM272" s="3">
        <f>IF($AL272="",0,IF('My investments'!$D272="",0,IF('My investments'!$C272="Money in",'My investments'!$D272/$AL272,IF('My investments'!$C272="Money out",-'My investments'!$D272/$AL272,0))))</f>
        <v>0</v>
      </c>
    </row>
    <row r="273">
      <c r="X273" s="3">
        <f>IF('My investments'!$B273="",0,IF('My investments'!$E273="",0,'My investments'!$E273))</f>
        <v>0</v>
      </c>
      <c r="Y273" s="25">
        <f>IF('My investments'!$B273="",$D$8,'My investments'!$B273)</f>
        <v>0</v>
      </c>
      <c r="Z273" s="3">
        <f>IF('My investments'!$C273="Worth today",0,$X273)</f>
        <v>0</v>
      </c>
      <c r="AA273" s="3">
        <f>IF('My investments'!$H$15="",0,IF('My investments'!$F273='My investments'!$H$15,$X273,0))</f>
        <v>0</v>
      </c>
      <c r="AB273" s="3">
        <f>IF('My investments'!$H$16="",0,IF('My investments'!$F273='My investments'!$H$16,$X273,0))</f>
        <v>0</v>
      </c>
      <c r="AC273" s="3">
        <f>IF('My investments'!$H$17="",0,IF('My investments'!$F273='My investments'!$H$17,$X273,0))</f>
        <v>0</v>
      </c>
      <c r="AD273" s="3">
        <f>IF('My investments'!$H$18="",0,IF('My investments'!$F273='My investments'!$H$18,$X273,0))</f>
        <v>0</v>
      </c>
      <c r="AE273" s="3">
        <f>IF('My investments'!$H$19="",0,IF('My investments'!$F273='My investments'!$H$19,$X273,0))</f>
        <v>0</v>
      </c>
      <c r="AF273" s="3">
        <f>IF('My investments'!$H$20="",0,IF('My investments'!$F273='My investments'!$H$20,$X273,0))</f>
        <v>0</v>
      </c>
      <c r="AG273" s="3">
        <f>IF('My investments'!$H$21="",0,IF('My investments'!$F273='My investments'!$H$21,$X273,0))</f>
        <v>0</v>
      </c>
      <c r="AH273" s="3">
        <f>IF('My investments'!$H$22="",0,IF('My investments'!$F273='My investments'!$H$22,$X273,0))</f>
        <v>0</v>
      </c>
      <c r="AI273" s="3">
        <f>IF('My investments'!$H$23="",0,IF('My investments'!$F273='My investments'!$H$23,$X273,0))</f>
        <v>0</v>
      </c>
      <c r="AJ273" s="3">
        <f>IF('My investments'!$H$24="",0,IF('My investments'!$F273='My investments'!$H$24,$X273,0))</f>
        <v>0</v>
      </c>
      <c r="AL273" s="3" t="str">
        <f>IF('My investments'!$B273="","",IF($D$10=0,"",IFERROR(INDEX('Index history'!$B$8:$B$5007,MATCH('My investments'!$B273,'Index history'!$A$8:$A$5007,1)),"")))</f>
        <v/>
      </c>
      <c r="AM273" s="3">
        <f>IF($AL273="",0,IF('My investments'!$D273="",0,IF('My investments'!$C273="Money in",'My investments'!$D273/$AL273,IF('My investments'!$C273="Money out",-'My investments'!$D273/$AL273,0))))</f>
        <v>0</v>
      </c>
    </row>
    <row r="274">
      <c r="X274" s="3">
        <f>IF('My investments'!$B274="",0,IF('My investments'!$E274="",0,'My investments'!$E274))</f>
        <v>0</v>
      </c>
      <c r="Y274" s="25">
        <f>IF('My investments'!$B274="",$D$8,'My investments'!$B274)</f>
        <v>0</v>
      </c>
      <c r="Z274" s="3">
        <f>IF('My investments'!$C274="Worth today",0,$X274)</f>
        <v>0</v>
      </c>
      <c r="AA274" s="3">
        <f>IF('My investments'!$H$15="",0,IF('My investments'!$F274='My investments'!$H$15,$X274,0))</f>
        <v>0</v>
      </c>
      <c r="AB274" s="3">
        <f>IF('My investments'!$H$16="",0,IF('My investments'!$F274='My investments'!$H$16,$X274,0))</f>
        <v>0</v>
      </c>
      <c r="AC274" s="3">
        <f>IF('My investments'!$H$17="",0,IF('My investments'!$F274='My investments'!$H$17,$X274,0))</f>
        <v>0</v>
      </c>
      <c r="AD274" s="3">
        <f>IF('My investments'!$H$18="",0,IF('My investments'!$F274='My investments'!$H$18,$X274,0))</f>
        <v>0</v>
      </c>
      <c r="AE274" s="3">
        <f>IF('My investments'!$H$19="",0,IF('My investments'!$F274='My investments'!$H$19,$X274,0))</f>
        <v>0</v>
      </c>
      <c r="AF274" s="3">
        <f>IF('My investments'!$H$20="",0,IF('My investments'!$F274='My investments'!$H$20,$X274,0))</f>
        <v>0</v>
      </c>
      <c r="AG274" s="3">
        <f>IF('My investments'!$H$21="",0,IF('My investments'!$F274='My investments'!$H$21,$X274,0))</f>
        <v>0</v>
      </c>
      <c r="AH274" s="3">
        <f>IF('My investments'!$H$22="",0,IF('My investments'!$F274='My investments'!$H$22,$X274,0))</f>
        <v>0</v>
      </c>
      <c r="AI274" s="3">
        <f>IF('My investments'!$H$23="",0,IF('My investments'!$F274='My investments'!$H$23,$X274,0))</f>
        <v>0</v>
      </c>
      <c r="AJ274" s="3">
        <f>IF('My investments'!$H$24="",0,IF('My investments'!$F274='My investments'!$H$24,$X274,0))</f>
        <v>0</v>
      </c>
      <c r="AL274" s="3" t="str">
        <f>IF('My investments'!$B274="","",IF($D$10=0,"",IFERROR(INDEX('Index history'!$B$8:$B$5007,MATCH('My investments'!$B274,'Index history'!$A$8:$A$5007,1)),"")))</f>
        <v/>
      </c>
      <c r="AM274" s="3">
        <f>IF($AL274="",0,IF('My investments'!$D274="",0,IF('My investments'!$C274="Money in",'My investments'!$D274/$AL274,IF('My investments'!$C274="Money out",-'My investments'!$D274/$AL274,0))))</f>
        <v>0</v>
      </c>
    </row>
    <row r="275">
      <c r="X275" s="3">
        <f>IF('My investments'!$B275="",0,IF('My investments'!$E275="",0,'My investments'!$E275))</f>
        <v>0</v>
      </c>
      <c r="Y275" s="25">
        <f>IF('My investments'!$B275="",$D$8,'My investments'!$B275)</f>
        <v>0</v>
      </c>
      <c r="Z275" s="3">
        <f>IF('My investments'!$C275="Worth today",0,$X275)</f>
        <v>0</v>
      </c>
      <c r="AA275" s="3">
        <f>IF('My investments'!$H$15="",0,IF('My investments'!$F275='My investments'!$H$15,$X275,0))</f>
        <v>0</v>
      </c>
      <c r="AB275" s="3">
        <f>IF('My investments'!$H$16="",0,IF('My investments'!$F275='My investments'!$H$16,$X275,0))</f>
        <v>0</v>
      </c>
      <c r="AC275" s="3">
        <f>IF('My investments'!$H$17="",0,IF('My investments'!$F275='My investments'!$H$17,$X275,0))</f>
        <v>0</v>
      </c>
      <c r="AD275" s="3">
        <f>IF('My investments'!$H$18="",0,IF('My investments'!$F275='My investments'!$H$18,$X275,0))</f>
        <v>0</v>
      </c>
      <c r="AE275" s="3">
        <f>IF('My investments'!$H$19="",0,IF('My investments'!$F275='My investments'!$H$19,$X275,0))</f>
        <v>0</v>
      </c>
      <c r="AF275" s="3">
        <f>IF('My investments'!$H$20="",0,IF('My investments'!$F275='My investments'!$H$20,$X275,0))</f>
        <v>0</v>
      </c>
      <c r="AG275" s="3">
        <f>IF('My investments'!$H$21="",0,IF('My investments'!$F275='My investments'!$H$21,$X275,0))</f>
        <v>0</v>
      </c>
      <c r="AH275" s="3">
        <f>IF('My investments'!$H$22="",0,IF('My investments'!$F275='My investments'!$H$22,$X275,0))</f>
        <v>0</v>
      </c>
      <c r="AI275" s="3">
        <f>IF('My investments'!$H$23="",0,IF('My investments'!$F275='My investments'!$H$23,$X275,0))</f>
        <v>0</v>
      </c>
      <c r="AJ275" s="3">
        <f>IF('My investments'!$H$24="",0,IF('My investments'!$F275='My investments'!$H$24,$X275,0))</f>
        <v>0</v>
      </c>
      <c r="AL275" s="3" t="str">
        <f>IF('My investments'!$B275="","",IF($D$10=0,"",IFERROR(INDEX('Index history'!$B$8:$B$5007,MATCH('My investments'!$B275,'Index history'!$A$8:$A$5007,1)),"")))</f>
        <v/>
      </c>
      <c r="AM275" s="3">
        <f>IF($AL275="",0,IF('My investments'!$D275="",0,IF('My investments'!$C275="Money in",'My investments'!$D275/$AL275,IF('My investments'!$C275="Money out",-'My investments'!$D275/$AL275,0))))</f>
        <v>0</v>
      </c>
    </row>
    <row r="276">
      <c r="X276" s="3">
        <f>IF('My investments'!$B276="",0,IF('My investments'!$E276="",0,'My investments'!$E276))</f>
        <v>0</v>
      </c>
      <c r="Y276" s="25">
        <f>IF('My investments'!$B276="",$D$8,'My investments'!$B276)</f>
        <v>0</v>
      </c>
      <c r="Z276" s="3">
        <f>IF('My investments'!$C276="Worth today",0,$X276)</f>
        <v>0</v>
      </c>
      <c r="AA276" s="3">
        <f>IF('My investments'!$H$15="",0,IF('My investments'!$F276='My investments'!$H$15,$X276,0))</f>
        <v>0</v>
      </c>
      <c r="AB276" s="3">
        <f>IF('My investments'!$H$16="",0,IF('My investments'!$F276='My investments'!$H$16,$X276,0))</f>
        <v>0</v>
      </c>
      <c r="AC276" s="3">
        <f>IF('My investments'!$H$17="",0,IF('My investments'!$F276='My investments'!$H$17,$X276,0))</f>
        <v>0</v>
      </c>
      <c r="AD276" s="3">
        <f>IF('My investments'!$H$18="",0,IF('My investments'!$F276='My investments'!$H$18,$X276,0))</f>
        <v>0</v>
      </c>
      <c r="AE276" s="3">
        <f>IF('My investments'!$H$19="",0,IF('My investments'!$F276='My investments'!$H$19,$X276,0))</f>
        <v>0</v>
      </c>
      <c r="AF276" s="3">
        <f>IF('My investments'!$H$20="",0,IF('My investments'!$F276='My investments'!$H$20,$X276,0))</f>
        <v>0</v>
      </c>
      <c r="AG276" s="3">
        <f>IF('My investments'!$H$21="",0,IF('My investments'!$F276='My investments'!$H$21,$X276,0))</f>
        <v>0</v>
      </c>
      <c r="AH276" s="3">
        <f>IF('My investments'!$H$22="",0,IF('My investments'!$F276='My investments'!$H$22,$X276,0))</f>
        <v>0</v>
      </c>
      <c r="AI276" s="3">
        <f>IF('My investments'!$H$23="",0,IF('My investments'!$F276='My investments'!$H$23,$X276,0))</f>
        <v>0</v>
      </c>
      <c r="AJ276" s="3">
        <f>IF('My investments'!$H$24="",0,IF('My investments'!$F276='My investments'!$H$24,$X276,0))</f>
        <v>0</v>
      </c>
      <c r="AL276" s="3" t="str">
        <f>IF('My investments'!$B276="","",IF($D$10=0,"",IFERROR(INDEX('Index history'!$B$8:$B$5007,MATCH('My investments'!$B276,'Index history'!$A$8:$A$5007,1)),"")))</f>
        <v/>
      </c>
      <c r="AM276" s="3">
        <f>IF($AL276="",0,IF('My investments'!$D276="",0,IF('My investments'!$C276="Money in",'My investments'!$D276/$AL276,IF('My investments'!$C276="Money out",-'My investments'!$D276/$AL276,0))))</f>
        <v>0</v>
      </c>
    </row>
    <row r="277">
      <c r="X277" s="3">
        <f>IF('My investments'!$B277="",0,IF('My investments'!$E277="",0,'My investments'!$E277))</f>
        <v>0</v>
      </c>
      <c r="Y277" s="25">
        <f>IF('My investments'!$B277="",$D$8,'My investments'!$B277)</f>
        <v>0</v>
      </c>
      <c r="Z277" s="3">
        <f>IF('My investments'!$C277="Worth today",0,$X277)</f>
        <v>0</v>
      </c>
      <c r="AA277" s="3">
        <f>IF('My investments'!$H$15="",0,IF('My investments'!$F277='My investments'!$H$15,$X277,0))</f>
        <v>0</v>
      </c>
      <c r="AB277" s="3">
        <f>IF('My investments'!$H$16="",0,IF('My investments'!$F277='My investments'!$H$16,$X277,0))</f>
        <v>0</v>
      </c>
      <c r="AC277" s="3">
        <f>IF('My investments'!$H$17="",0,IF('My investments'!$F277='My investments'!$H$17,$X277,0))</f>
        <v>0</v>
      </c>
      <c r="AD277" s="3">
        <f>IF('My investments'!$H$18="",0,IF('My investments'!$F277='My investments'!$H$18,$X277,0))</f>
        <v>0</v>
      </c>
      <c r="AE277" s="3">
        <f>IF('My investments'!$H$19="",0,IF('My investments'!$F277='My investments'!$H$19,$X277,0))</f>
        <v>0</v>
      </c>
      <c r="AF277" s="3">
        <f>IF('My investments'!$H$20="",0,IF('My investments'!$F277='My investments'!$H$20,$X277,0))</f>
        <v>0</v>
      </c>
      <c r="AG277" s="3">
        <f>IF('My investments'!$H$21="",0,IF('My investments'!$F277='My investments'!$H$21,$X277,0))</f>
        <v>0</v>
      </c>
      <c r="AH277" s="3">
        <f>IF('My investments'!$H$22="",0,IF('My investments'!$F277='My investments'!$H$22,$X277,0))</f>
        <v>0</v>
      </c>
      <c r="AI277" s="3">
        <f>IF('My investments'!$H$23="",0,IF('My investments'!$F277='My investments'!$H$23,$X277,0))</f>
        <v>0</v>
      </c>
      <c r="AJ277" s="3">
        <f>IF('My investments'!$H$24="",0,IF('My investments'!$F277='My investments'!$H$24,$X277,0))</f>
        <v>0</v>
      </c>
      <c r="AL277" s="3" t="str">
        <f>IF('My investments'!$B277="","",IF($D$10=0,"",IFERROR(INDEX('Index history'!$B$8:$B$5007,MATCH('My investments'!$B277,'Index history'!$A$8:$A$5007,1)),"")))</f>
        <v/>
      </c>
      <c r="AM277" s="3">
        <f>IF($AL277="",0,IF('My investments'!$D277="",0,IF('My investments'!$C277="Money in",'My investments'!$D277/$AL277,IF('My investments'!$C277="Money out",-'My investments'!$D277/$AL277,0))))</f>
        <v>0</v>
      </c>
    </row>
    <row r="278">
      <c r="X278" s="3">
        <f>IF('My investments'!$B278="",0,IF('My investments'!$E278="",0,'My investments'!$E278))</f>
        <v>0</v>
      </c>
      <c r="Y278" s="25">
        <f>IF('My investments'!$B278="",$D$8,'My investments'!$B278)</f>
        <v>0</v>
      </c>
      <c r="Z278" s="3">
        <f>IF('My investments'!$C278="Worth today",0,$X278)</f>
        <v>0</v>
      </c>
      <c r="AA278" s="3">
        <f>IF('My investments'!$H$15="",0,IF('My investments'!$F278='My investments'!$H$15,$X278,0))</f>
        <v>0</v>
      </c>
      <c r="AB278" s="3">
        <f>IF('My investments'!$H$16="",0,IF('My investments'!$F278='My investments'!$H$16,$X278,0))</f>
        <v>0</v>
      </c>
      <c r="AC278" s="3">
        <f>IF('My investments'!$H$17="",0,IF('My investments'!$F278='My investments'!$H$17,$X278,0))</f>
        <v>0</v>
      </c>
      <c r="AD278" s="3">
        <f>IF('My investments'!$H$18="",0,IF('My investments'!$F278='My investments'!$H$18,$X278,0))</f>
        <v>0</v>
      </c>
      <c r="AE278" s="3">
        <f>IF('My investments'!$H$19="",0,IF('My investments'!$F278='My investments'!$H$19,$X278,0))</f>
        <v>0</v>
      </c>
      <c r="AF278" s="3">
        <f>IF('My investments'!$H$20="",0,IF('My investments'!$F278='My investments'!$H$20,$X278,0))</f>
        <v>0</v>
      </c>
      <c r="AG278" s="3">
        <f>IF('My investments'!$H$21="",0,IF('My investments'!$F278='My investments'!$H$21,$X278,0))</f>
        <v>0</v>
      </c>
      <c r="AH278" s="3">
        <f>IF('My investments'!$H$22="",0,IF('My investments'!$F278='My investments'!$H$22,$X278,0))</f>
        <v>0</v>
      </c>
      <c r="AI278" s="3">
        <f>IF('My investments'!$H$23="",0,IF('My investments'!$F278='My investments'!$H$23,$X278,0))</f>
        <v>0</v>
      </c>
      <c r="AJ278" s="3">
        <f>IF('My investments'!$H$24="",0,IF('My investments'!$F278='My investments'!$H$24,$X278,0))</f>
        <v>0</v>
      </c>
      <c r="AL278" s="3" t="str">
        <f>IF('My investments'!$B278="","",IF($D$10=0,"",IFERROR(INDEX('Index history'!$B$8:$B$5007,MATCH('My investments'!$B278,'Index history'!$A$8:$A$5007,1)),"")))</f>
        <v/>
      </c>
      <c r="AM278" s="3">
        <f>IF($AL278="",0,IF('My investments'!$D278="",0,IF('My investments'!$C278="Money in",'My investments'!$D278/$AL278,IF('My investments'!$C278="Money out",-'My investments'!$D278/$AL278,0))))</f>
        <v>0</v>
      </c>
    </row>
    <row r="279">
      <c r="X279" s="3">
        <f>IF('My investments'!$B279="",0,IF('My investments'!$E279="",0,'My investments'!$E279))</f>
        <v>0</v>
      </c>
      <c r="Y279" s="25">
        <f>IF('My investments'!$B279="",$D$8,'My investments'!$B279)</f>
        <v>0</v>
      </c>
      <c r="Z279" s="3">
        <f>IF('My investments'!$C279="Worth today",0,$X279)</f>
        <v>0</v>
      </c>
      <c r="AA279" s="3">
        <f>IF('My investments'!$H$15="",0,IF('My investments'!$F279='My investments'!$H$15,$X279,0))</f>
        <v>0</v>
      </c>
      <c r="AB279" s="3">
        <f>IF('My investments'!$H$16="",0,IF('My investments'!$F279='My investments'!$H$16,$X279,0))</f>
        <v>0</v>
      </c>
      <c r="AC279" s="3">
        <f>IF('My investments'!$H$17="",0,IF('My investments'!$F279='My investments'!$H$17,$X279,0))</f>
        <v>0</v>
      </c>
      <c r="AD279" s="3">
        <f>IF('My investments'!$H$18="",0,IF('My investments'!$F279='My investments'!$H$18,$X279,0))</f>
        <v>0</v>
      </c>
      <c r="AE279" s="3">
        <f>IF('My investments'!$H$19="",0,IF('My investments'!$F279='My investments'!$H$19,$X279,0))</f>
        <v>0</v>
      </c>
      <c r="AF279" s="3">
        <f>IF('My investments'!$H$20="",0,IF('My investments'!$F279='My investments'!$H$20,$X279,0))</f>
        <v>0</v>
      </c>
      <c r="AG279" s="3">
        <f>IF('My investments'!$H$21="",0,IF('My investments'!$F279='My investments'!$H$21,$X279,0))</f>
        <v>0</v>
      </c>
      <c r="AH279" s="3">
        <f>IF('My investments'!$H$22="",0,IF('My investments'!$F279='My investments'!$H$22,$X279,0))</f>
        <v>0</v>
      </c>
      <c r="AI279" s="3">
        <f>IF('My investments'!$H$23="",0,IF('My investments'!$F279='My investments'!$H$23,$X279,0))</f>
        <v>0</v>
      </c>
      <c r="AJ279" s="3">
        <f>IF('My investments'!$H$24="",0,IF('My investments'!$F279='My investments'!$H$24,$X279,0))</f>
        <v>0</v>
      </c>
      <c r="AL279" s="3" t="str">
        <f>IF('My investments'!$B279="","",IF($D$10=0,"",IFERROR(INDEX('Index history'!$B$8:$B$5007,MATCH('My investments'!$B279,'Index history'!$A$8:$A$5007,1)),"")))</f>
        <v/>
      </c>
      <c r="AM279" s="3">
        <f>IF($AL279="",0,IF('My investments'!$D279="",0,IF('My investments'!$C279="Money in",'My investments'!$D279/$AL279,IF('My investments'!$C279="Money out",-'My investments'!$D279/$AL279,0))))</f>
        <v>0</v>
      </c>
    </row>
    <row r="280">
      <c r="X280" s="3">
        <f>IF('My investments'!$B280="",0,IF('My investments'!$E280="",0,'My investments'!$E280))</f>
        <v>0</v>
      </c>
      <c r="Y280" s="25">
        <f>IF('My investments'!$B280="",$D$8,'My investments'!$B280)</f>
        <v>0</v>
      </c>
      <c r="Z280" s="3">
        <f>IF('My investments'!$C280="Worth today",0,$X280)</f>
        <v>0</v>
      </c>
      <c r="AA280" s="3">
        <f>IF('My investments'!$H$15="",0,IF('My investments'!$F280='My investments'!$H$15,$X280,0))</f>
        <v>0</v>
      </c>
      <c r="AB280" s="3">
        <f>IF('My investments'!$H$16="",0,IF('My investments'!$F280='My investments'!$H$16,$X280,0))</f>
        <v>0</v>
      </c>
      <c r="AC280" s="3">
        <f>IF('My investments'!$H$17="",0,IF('My investments'!$F280='My investments'!$H$17,$X280,0))</f>
        <v>0</v>
      </c>
      <c r="AD280" s="3">
        <f>IF('My investments'!$H$18="",0,IF('My investments'!$F280='My investments'!$H$18,$X280,0))</f>
        <v>0</v>
      </c>
      <c r="AE280" s="3">
        <f>IF('My investments'!$H$19="",0,IF('My investments'!$F280='My investments'!$H$19,$X280,0))</f>
        <v>0</v>
      </c>
      <c r="AF280" s="3">
        <f>IF('My investments'!$H$20="",0,IF('My investments'!$F280='My investments'!$H$20,$X280,0))</f>
        <v>0</v>
      </c>
      <c r="AG280" s="3">
        <f>IF('My investments'!$H$21="",0,IF('My investments'!$F280='My investments'!$H$21,$X280,0))</f>
        <v>0</v>
      </c>
      <c r="AH280" s="3">
        <f>IF('My investments'!$H$22="",0,IF('My investments'!$F280='My investments'!$H$22,$X280,0))</f>
        <v>0</v>
      </c>
      <c r="AI280" s="3">
        <f>IF('My investments'!$H$23="",0,IF('My investments'!$F280='My investments'!$H$23,$X280,0))</f>
        <v>0</v>
      </c>
      <c r="AJ280" s="3">
        <f>IF('My investments'!$H$24="",0,IF('My investments'!$F280='My investments'!$H$24,$X280,0))</f>
        <v>0</v>
      </c>
      <c r="AL280" s="3" t="str">
        <f>IF('My investments'!$B280="","",IF($D$10=0,"",IFERROR(INDEX('Index history'!$B$8:$B$5007,MATCH('My investments'!$B280,'Index history'!$A$8:$A$5007,1)),"")))</f>
        <v/>
      </c>
      <c r="AM280" s="3">
        <f>IF($AL280="",0,IF('My investments'!$D280="",0,IF('My investments'!$C280="Money in",'My investments'!$D280/$AL280,IF('My investments'!$C280="Money out",-'My investments'!$D280/$AL280,0))))</f>
        <v>0</v>
      </c>
    </row>
    <row r="281">
      <c r="X281" s="3">
        <f>IF('My investments'!$B281="",0,IF('My investments'!$E281="",0,'My investments'!$E281))</f>
        <v>0</v>
      </c>
      <c r="Y281" s="25">
        <f>IF('My investments'!$B281="",$D$8,'My investments'!$B281)</f>
        <v>0</v>
      </c>
      <c r="Z281" s="3">
        <f>IF('My investments'!$C281="Worth today",0,$X281)</f>
        <v>0</v>
      </c>
      <c r="AA281" s="3">
        <f>IF('My investments'!$H$15="",0,IF('My investments'!$F281='My investments'!$H$15,$X281,0))</f>
        <v>0</v>
      </c>
      <c r="AB281" s="3">
        <f>IF('My investments'!$H$16="",0,IF('My investments'!$F281='My investments'!$H$16,$X281,0))</f>
        <v>0</v>
      </c>
      <c r="AC281" s="3">
        <f>IF('My investments'!$H$17="",0,IF('My investments'!$F281='My investments'!$H$17,$X281,0))</f>
        <v>0</v>
      </c>
      <c r="AD281" s="3">
        <f>IF('My investments'!$H$18="",0,IF('My investments'!$F281='My investments'!$H$18,$X281,0))</f>
        <v>0</v>
      </c>
      <c r="AE281" s="3">
        <f>IF('My investments'!$H$19="",0,IF('My investments'!$F281='My investments'!$H$19,$X281,0))</f>
        <v>0</v>
      </c>
      <c r="AF281" s="3">
        <f>IF('My investments'!$H$20="",0,IF('My investments'!$F281='My investments'!$H$20,$X281,0))</f>
        <v>0</v>
      </c>
      <c r="AG281" s="3">
        <f>IF('My investments'!$H$21="",0,IF('My investments'!$F281='My investments'!$H$21,$X281,0))</f>
        <v>0</v>
      </c>
      <c r="AH281" s="3">
        <f>IF('My investments'!$H$22="",0,IF('My investments'!$F281='My investments'!$H$22,$X281,0))</f>
        <v>0</v>
      </c>
      <c r="AI281" s="3">
        <f>IF('My investments'!$H$23="",0,IF('My investments'!$F281='My investments'!$H$23,$X281,0))</f>
        <v>0</v>
      </c>
      <c r="AJ281" s="3">
        <f>IF('My investments'!$H$24="",0,IF('My investments'!$F281='My investments'!$H$24,$X281,0))</f>
        <v>0</v>
      </c>
      <c r="AL281" s="3" t="str">
        <f>IF('My investments'!$B281="","",IF($D$10=0,"",IFERROR(INDEX('Index history'!$B$8:$B$5007,MATCH('My investments'!$B281,'Index history'!$A$8:$A$5007,1)),"")))</f>
        <v/>
      </c>
      <c r="AM281" s="3">
        <f>IF($AL281="",0,IF('My investments'!$D281="",0,IF('My investments'!$C281="Money in",'My investments'!$D281/$AL281,IF('My investments'!$C281="Money out",-'My investments'!$D281/$AL281,0))))</f>
        <v>0</v>
      </c>
    </row>
    <row r="282">
      <c r="X282" s="3">
        <f>IF('My investments'!$B282="",0,IF('My investments'!$E282="",0,'My investments'!$E282))</f>
        <v>0</v>
      </c>
      <c r="Y282" s="25">
        <f>IF('My investments'!$B282="",$D$8,'My investments'!$B282)</f>
        <v>0</v>
      </c>
      <c r="Z282" s="3">
        <f>IF('My investments'!$C282="Worth today",0,$X282)</f>
        <v>0</v>
      </c>
      <c r="AA282" s="3">
        <f>IF('My investments'!$H$15="",0,IF('My investments'!$F282='My investments'!$H$15,$X282,0))</f>
        <v>0</v>
      </c>
      <c r="AB282" s="3">
        <f>IF('My investments'!$H$16="",0,IF('My investments'!$F282='My investments'!$H$16,$X282,0))</f>
        <v>0</v>
      </c>
      <c r="AC282" s="3">
        <f>IF('My investments'!$H$17="",0,IF('My investments'!$F282='My investments'!$H$17,$X282,0))</f>
        <v>0</v>
      </c>
      <c r="AD282" s="3">
        <f>IF('My investments'!$H$18="",0,IF('My investments'!$F282='My investments'!$H$18,$X282,0))</f>
        <v>0</v>
      </c>
      <c r="AE282" s="3">
        <f>IF('My investments'!$H$19="",0,IF('My investments'!$F282='My investments'!$H$19,$X282,0))</f>
        <v>0</v>
      </c>
      <c r="AF282" s="3">
        <f>IF('My investments'!$H$20="",0,IF('My investments'!$F282='My investments'!$H$20,$X282,0))</f>
        <v>0</v>
      </c>
      <c r="AG282" s="3">
        <f>IF('My investments'!$H$21="",0,IF('My investments'!$F282='My investments'!$H$21,$X282,0))</f>
        <v>0</v>
      </c>
      <c r="AH282" s="3">
        <f>IF('My investments'!$H$22="",0,IF('My investments'!$F282='My investments'!$H$22,$X282,0))</f>
        <v>0</v>
      </c>
      <c r="AI282" s="3">
        <f>IF('My investments'!$H$23="",0,IF('My investments'!$F282='My investments'!$H$23,$X282,0))</f>
        <v>0</v>
      </c>
      <c r="AJ282" s="3">
        <f>IF('My investments'!$H$24="",0,IF('My investments'!$F282='My investments'!$H$24,$X282,0))</f>
        <v>0</v>
      </c>
      <c r="AL282" s="3" t="str">
        <f>IF('My investments'!$B282="","",IF($D$10=0,"",IFERROR(INDEX('Index history'!$B$8:$B$5007,MATCH('My investments'!$B282,'Index history'!$A$8:$A$5007,1)),"")))</f>
        <v/>
      </c>
      <c r="AM282" s="3">
        <f>IF($AL282="",0,IF('My investments'!$D282="",0,IF('My investments'!$C282="Money in",'My investments'!$D282/$AL282,IF('My investments'!$C282="Money out",-'My investments'!$D282/$AL282,0))))</f>
        <v>0</v>
      </c>
    </row>
    <row r="283">
      <c r="X283" s="3">
        <f>IF('My investments'!$B283="",0,IF('My investments'!$E283="",0,'My investments'!$E283))</f>
        <v>0</v>
      </c>
      <c r="Y283" s="25">
        <f>IF('My investments'!$B283="",$D$8,'My investments'!$B283)</f>
        <v>0</v>
      </c>
      <c r="Z283" s="3">
        <f>IF('My investments'!$C283="Worth today",0,$X283)</f>
        <v>0</v>
      </c>
      <c r="AA283" s="3">
        <f>IF('My investments'!$H$15="",0,IF('My investments'!$F283='My investments'!$H$15,$X283,0))</f>
        <v>0</v>
      </c>
      <c r="AB283" s="3">
        <f>IF('My investments'!$H$16="",0,IF('My investments'!$F283='My investments'!$H$16,$X283,0))</f>
        <v>0</v>
      </c>
      <c r="AC283" s="3">
        <f>IF('My investments'!$H$17="",0,IF('My investments'!$F283='My investments'!$H$17,$X283,0))</f>
        <v>0</v>
      </c>
      <c r="AD283" s="3">
        <f>IF('My investments'!$H$18="",0,IF('My investments'!$F283='My investments'!$H$18,$X283,0))</f>
        <v>0</v>
      </c>
      <c r="AE283" s="3">
        <f>IF('My investments'!$H$19="",0,IF('My investments'!$F283='My investments'!$H$19,$X283,0))</f>
        <v>0</v>
      </c>
      <c r="AF283" s="3">
        <f>IF('My investments'!$H$20="",0,IF('My investments'!$F283='My investments'!$H$20,$X283,0))</f>
        <v>0</v>
      </c>
      <c r="AG283" s="3">
        <f>IF('My investments'!$H$21="",0,IF('My investments'!$F283='My investments'!$H$21,$X283,0))</f>
        <v>0</v>
      </c>
      <c r="AH283" s="3">
        <f>IF('My investments'!$H$22="",0,IF('My investments'!$F283='My investments'!$H$22,$X283,0))</f>
        <v>0</v>
      </c>
      <c r="AI283" s="3">
        <f>IF('My investments'!$H$23="",0,IF('My investments'!$F283='My investments'!$H$23,$X283,0))</f>
        <v>0</v>
      </c>
      <c r="AJ283" s="3">
        <f>IF('My investments'!$H$24="",0,IF('My investments'!$F283='My investments'!$H$24,$X283,0))</f>
        <v>0</v>
      </c>
      <c r="AL283" s="3" t="str">
        <f>IF('My investments'!$B283="","",IF($D$10=0,"",IFERROR(INDEX('Index history'!$B$8:$B$5007,MATCH('My investments'!$B283,'Index history'!$A$8:$A$5007,1)),"")))</f>
        <v/>
      </c>
      <c r="AM283" s="3">
        <f>IF($AL283="",0,IF('My investments'!$D283="",0,IF('My investments'!$C283="Money in",'My investments'!$D283/$AL283,IF('My investments'!$C283="Money out",-'My investments'!$D283/$AL283,0))))</f>
        <v>0</v>
      </c>
    </row>
    <row r="284">
      <c r="X284" s="3">
        <f>IF('My investments'!$B284="",0,IF('My investments'!$E284="",0,'My investments'!$E284))</f>
        <v>0</v>
      </c>
      <c r="Y284" s="25">
        <f>IF('My investments'!$B284="",$D$8,'My investments'!$B284)</f>
        <v>0</v>
      </c>
      <c r="Z284" s="3">
        <f>IF('My investments'!$C284="Worth today",0,$X284)</f>
        <v>0</v>
      </c>
      <c r="AA284" s="3">
        <f>IF('My investments'!$H$15="",0,IF('My investments'!$F284='My investments'!$H$15,$X284,0))</f>
        <v>0</v>
      </c>
      <c r="AB284" s="3">
        <f>IF('My investments'!$H$16="",0,IF('My investments'!$F284='My investments'!$H$16,$X284,0))</f>
        <v>0</v>
      </c>
      <c r="AC284" s="3">
        <f>IF('My investments'!$H$17="",0,IF('My investments'!$F284='My investments'!$H$17,$X284,0))</f>
        <v>0</v>
      </c>
      <c r="AD284" s="3">
        <f>IF('My investments'!$H$18="",0,IF('My investments'!$F284='My investments'!$H$18,$X284,0))</f>
        <v>0</v>
      </c>
      <c r="AE284" s="3">
        <f>IF('My investments'!$H$19="",0,IF('My investments'!$F284='My investments'!$H$19,$X284,0))</f>
        <v>0</v>
      </c>
      <c r="AF284" s="3">
        <f>IF('My investments'!$H$20="",0,IF('My investments'!$F284='My investments'!$H$20,$X284,0))</f>
        <v>0</v>
      </c>
      <c r="AG284" s="3">
        <f>IF('My investments'!$H$21="",0,IF('My investments'!$F284='My investments'!$H$21,$X284,0))</f>
        <v>0</v>
      </c>
      <c r="AH284" s="3">
        <f>IF('My investments'!$H$22="",0,IF('My investments'!$F284='My investments'!$H$22,$X284,0))</f>
        <v>0</v>
      </c>
      <c r="AI284" s="3">
        <f>IF('My investments'!$H$23="",0,IF('My investments'!$F284='My investments'!$H$23,$X284,0))</f>
        <v>0</v>
      </c>
      <c r="AJ284" s="3">
        <f>IF('My investments'!$H$24="",0,IF('My investments'!$F284='My investments'!$H$24,$X284,0))</f>
        <v>0</v>
      </c>
      <c r="AL284" s="3" t="str">
        <f>IF('My investments'!$B284="","",IF($D$10=0,"",IFERROR(INDEX('Index history'!$B$8:$B$5007,MATCH('My investments'!$B284,'Index history'!$A$8:$A$5007,1)),"")))</f>
        <v/>
      </c>
      <c r="AM284" s="3">
        <f>IF($AL284="",0,IF('My investments'!$D284="",0,IF('My investments'!$C284="Money in",'My investments'!$D284/$AL284,IF('My investments'!$C284="Money out",-'My investments'!$D284/$AL284,0))))</f>
        <v>0</v>
      </c>
    </row>
    <row r="285">
      <c r="X285" s="3">
        <f>IF('My investments'!$B285="",0,IF('My investments'!$E285="",0,'My investments'!$E285))</f>
        <v>0</v>
      </c>
      <c r="Y285" s="25">
        <f>IF('My investments'!$B285="",$D$8,'My investments'!$B285)</f>
        <v>0</v>
      </c>
      <c r="Z285" s="3">
        <f>IF('My investments'!$C285="Worth today",0,$X285)</f>
        <v>0</v>
      </c>
      <c r="AA285" s="3">
        <f>IF('My investments'!$H$15="",0,IF('My investments'!$F285='My investments'!$H$15,$X285,0))</f>
        <v>0</v>
      </c>
      <c r="AB285" s="3">
        <f>IF('My investments'!$H$16="",0,IF('My investments'!$F285='My investments'!$H$16,$X285,0))</f>
        <v>0</v>
      </c>
      <c r="AC285" s="3">
        <f>IF('My investments'!$H$17="",0,IF('My investments'!$F285='My investments'!$H$17,$X285,0))</f>
        <v>0</v>
      </c>
      <c r="AD285" s="3">
        <f>IF('My investments'!$H$18="",0,IF('My investments'!$F285='My investments'!$H$18,$X285,0))</f>
        <v>0</v>
      </c>
      <c r="AE285" s="3">
        <f>IF('My investments'!$H$19="",0,IF('My investments'!$F285='My investments'!$H$19,$X285,0))</f>
        <v>0</v>
      </c>
      <c r="AF285" s="3">
        <f>IF('My investments'!$H$20="",0,IF('My investments'!$F285='My investments'!$H$20,$X285,0))</f>
        <v>0</v>
      </c>
      <c r="AG285" s="3">
        <f>IF('My investments'!$H$21="",0,IF('My investments'!$F285='My investments'!$H$21,$X285,0))</f>
        <v>0</v>
      </c>
      <c r="AH285" s="3">
        <f>IF('My investments'!$H$22="",0,IF('My investments'!$F285='My investments'!$H$22,$X285,0))</f>
        <v>0</v>
      </c>
      <c r="AI285" s="3">
        <f>IF('My investments'!$H$23="",0,IF('My investments'!$F285='My investments'!$H$23,$X285,0))</f>
        <v>0</v>
      </c>
      <c r="AJ285" s="3">
        <f>IF('My investments'!$H$24="",0,IF('My investments'!$F285='My investments'!$H$24,$X285,0))</f>
        <v>0</v>
      </c>
      <c r="AL285" s="3" t="str">
        <f>IF('My investments'!$B285="","",IF($D$10=0,"",IFERROR(INDEX('Index history'!$B$8:$B$5007,MATCH('My investments'!$B285,'Index history'!$A$8:$A$5007,1)),"")))</f>
        <v/>
      </c>
      <c r="AM285" s="3">
        <f>IF($AL285="",0,IF('My investments'!$D285="",0,IF('My investments'!$C285="Money in",'My investments'!$D285/$AL285,IF('My investments'!$C285="Money out",-'My investments'!$D285/$AL285,0))))</f>
        <v>0</v>
      </c>
    </row>
    <row r="286">
      <c r="X286" s="3">
        <f>IF('My investments'!$B286="",0,IF('My investments'!$E286="",0,'My investments'!$E286))</f>
        <v>0</v>
      </c>
      <c r="Y286" s="25">
        <f>IF('My investments'!$B286="",$D$8,'My investments'!$B286)</f>
        <v>0</v>
      </c>
      <c r="Z286" s="3">
        <f>IF('My investments'!$C286="Worth today",0,$X286)</f>
        <v>0</v>
      </c>
      <c r="AA286" s="3">
        <f>IF('My investments'!$H$15="",0,IF('My investments'!$F286='My investments'!$H$15,$X286,0))</f>
        <v>0</v>
      </c>
      <c r="AB286" s="3">
        <f>IF('My investments'!$H$16="",0,IF('My investments'!$F286='My investments'!$H$16,$X286,0))</f>
        <v>0</v>
      </c>
      <c r="AC286" s="3">
        <f>IF('My investments'!$H$17="",0,IF('My investments'!$F286='My investments'!$H$17,$X286,0))</f>
        <v>0</v>
      </c>
      <c r="AD286" s="3">
        <f>IF('My investments'!$H$18="",0,IF('My investments'!$F286='My investments'!$H$18,$X286,0))</f>
        <v>0</v>
      </c>
      <c r="AE286" s="3">
        <f>IF('My investments'!$H$19="",0,IF('My investments'!$F286='My investments'!$H$19,$X286,0))</f>
        <v>0</v>
      </c>
      <c r="AF286" s="3">
        <f>IF('My investments'!$H$20="",0,IF('My investments'!$F286='My investments'!$H$20,$X286,0))</f>
        <v>0</v>
      </c>
      <c r="AG286" s="3">
        <f>IF('My investments'!$H$21="",0,IF('My investments'!$F286='My investments'!$H$21,$X286,0))</f>
        <v>0</v>
      </c>
      <c r="AH286" s="3">
        <f>IF('My investments'!$H$22="",0,IF('My investments'!$F286='My investments'!$H$22,$X286,0))</f>
        <v>0</v>
      </c>
      <c r="AI286" s="3">
        <f>IF('My investments'!$H$23="",0,IF('My investments'!$F286='My investments'!$H$23,$X286,0))</f>
        <v>0</v>
      </c>
      <c r="AJ286" s="3">
        <f>IF('My investments'!$H$24="",0,IF('My investments'!$F286='My investments'!$H$24,$X286,0))</f>
        <v>0</v>
      </c>
      <c r="AL286" s="3" t="str">
        <f>IF('My investments'!$B286="","",IF($D$10=0,"",IFERROR(INDEX('Index history'!$B$8:$B$5007,MATCH('My investments'!$B286,'Index history'!$A$8:$A$5007,1)),"")))</f>
        <v/>
      </c>
      <c r="AM286" s="3">
        <f>IF($AL286="",0,IF('My investments'!$D286="",0,IF('My investments'!$C286="Money in",'My investments'!$D286/$AL286,IF('My investments'!$C286="Money out",-'My investments'!$D286/$AL286,0))))</f>
        <v>0</v>
      </c>
    </row>
    <row r="287">
      <c r="X287" s="3">
        <f>IF('My investments'!$B287="",0,IF('My investments'!$E287="",0,'My investments'!$E287))</f>
        <v>0</v>
      </c>
      <c r="Y287" s="25">
        <f>IF('My investments'!$B287="",$D$8,'My investments'!$B287)</f>
        <v>0</v>
      </c>
      <c r="Z287" s="3">
        <f>IF('My investments'!$C287="Worth today",0,$X287)</f>
        <v>0</v>
      </c>
      <c r="AA287" s="3">
        <f>IF('My investments'!$H$15="",0,IF('My investments'!$F287='My investments'!$H$15,$X287,0))</f>
        <v>0</v>
      </c>
      <c r="AB287" s="3">
        <f>IF('My investments'!$H$16="",0,IF('My investments'!$F287='My investments'!$H$16,$X287,0))</f>
        <v>0</v>
      </c>
      <c r="AC287" s="3">
        <f>IF('My investments'!$H$17="",0,IF('My investments'!$F287='My investments'!$H$17,$X287,0))</f>
        <v>0</v>
      </c>
      <c r="AD287" s="3">
        <f>IF('My investments'!$H$18="",0,IF('My investments'!$F287='My investments'!$H$18,$X287,0))</f>
        <v>0</v>
      </c>
      <c r="AE287" s="3">
        <f>IF('My investments'!$H$19="",0,IF('My investments'!$F287='My investments'!$H$19,$X287,0))</f>
        <v>0</v>
      </c>
      <c r="AF287" s="3">
        <f>IF('My investments'!$H$20="",0,IF('My investments'!$F287='My investments'!$H$20,$X287,0))</f>
        <v>0</v>
      </c>
      <c r="AG287" s="3">
        <f>IF('My investments'!$H$21="",0,IF('My investments'!$F287='My investments'!$H$21,$X287,0))</f>
        <v>0</v>
      </c>
      <c r="AH287" s="3">
        <f>IF('My investments'!$H$22="",0,IF('My investments'!$F287='My investments'!$H$22,$X287,0))</f>
        <v>0</v>
      </c>
      <c r="AI287" s="3">
        <f>IF('My investments'!$H$23="",0,IF('My investments'!$F287='My investments'!$H$23,$X287,0))</f>
        <v>0</v>
      </c>
      <c r="AJ287" s="3">
        <f>IF('My investments'!$H$24="",0,IF('My investments'!$F287='My investments'!$H$24,$X287,0))</f>
        <v>0</v>
      </c>
      <c r="AL287" s="3" t="str">
        <f>IF('My investments'!$B287="","",IF($D$10=0,"",IFERROR(INDEX('Index history'!$B$8:$B$5007,MATCH('My investments'!$B287,'Index history'!$A$8:$A$5007,1)),"")))</f>
        <v/>
      </c>
      <c r="AM287" s="3">
        <f>IF($AL287="",0,IF('My investments'!$D287="",0,IF('My investments'!$C287="Money in",'My investments'!$D287/$AL287,IF('My investments'!$C287="Money out",-'My investments'!$D287/$AL287,0))))</f>
        <v>0</v>
      </c>
    </row>
    <row r="288">
      <c r="X288" s="3">
        <f>IF('My investments'!$B288="",0,IF('My investments'!$E288="",0,'My investments'!$E288))</f>
        <v>0</v>
      </c>
      <c r="Y288" s="25">
        <f>IF('My investments'!$B288="",$D$8,'My investments'!$B288)</f>
        <v>0</v>
      </c>
      <c r="Z288" s="3">
        <f>IF('My investments'!$C288="Worth today",0,$X288)</f>
        <v>0</v>
      </c>
      <c r="AA288" s="3">
        <f>IF('My investments'!$H$15="",0,IF('My investments'!$F288='My investments'!$H$15,$X288,0))</f>
        <v>0</v>
      </c>
      <c r="AB288" s="3">
        <f>IF('My investments'!$H$16="",0,IF('My investments'!$F288='My investments'!$H$16,$X288,0))</f>
        <v>0</v>
      </c>
      <c r="AC288" s="3">
        <f>IF('My investments'!$H$17="",0,IF('My investments'!$F288='My investments'!$H$17,$X288,0))</f>
        <v>0</v>
      </c>
      <c r="AD288" s="3">
        <f>IF('My investments'!$H$18="",0,IF('My investments'!$F288='My investments'!$H$18,$X288,0))</f>
        <v>0</v>
      </c>
      <c r="AE288" s="3">
        <f>IF('My investments'!$H$19="",0,IF('My investments'!$F288='My investments'!$H$19,$X288,0))</f>
        <v>0</v>
      </c>
      <c r="AF288" s="3">
        <f>IF('My investments'!$H$20="",0,IF('My investments'!$F288='My investments'!$H$20,$X288,0))</f>
        <v>0</v>
      </c>
      <c r="AG288" s="3">
        <f>IF('My investments'!$H$21="",0,IF('My investments'!$F288='My investments'!$H$21,$X288,0))</f>
        <v>0</v>
      </c>
      <c r="AH288" s="3">
        <f>IF('My investments'!$H$22="",0,IF('My investments'!$F288='My investments'!$H$22,$X288,0))</f>
        <v>0</v>
      </c>
      <c r="AI288" s="3">
        <f>IF('My investments'!$H$23="",0,IF('My investments'!$F288='My investments'!$H$23,$X288,0))</f>
        <v>0</v>
      </c>
      <c r="AJ288" s="3">
        <f>IF('My investments'!$H$24="",0,IF('My investments'!$F288='My investments'!$H$24,$X288,0))</f>
        <v>0</v>
      </c>
      <c r="AL288" s="3" t="str">
        <f>IF('My investments'!$B288="","",IF($D$10=0,"",IFERROR(INDEX('Index history'!$B$8:$B$5007,MATCH('My investments'!$B288,'Index history'!$A$8:$A$5007,1)),"")))</f>
        <v/>
      </c>
      <c r="AM288" s="3">
        <f>IF($AL288="",0,IF('My investments'!$D288="",0,IF('My investments'!$C288="Money in",'My investments'!$D288/$AL288,IF('My investments'!$C288="Money out",-'My investments'!$D288/$AL288,0))))</f>
        <v>0</v>
      </c>
    </row>
    <row r="289">
      <c r="X289" s="3">
        <f>IF('My investments'!$B289="",0,IF('My investments'!$E289="",0,'My investments'!$E289))</f>
        <v>0</v>
      </c>
      <c r="Y289" s="25">
        <f>IF('My investments'!$B289="",$D$8,'My investments'!$B289)</f>
        <v>0</v>
      </c>
      <c r="Z289" s="3">
        <f>IF('My investments'!$C289="Worth today",0,$X289)</f>
        <v>0</v>
      </c>
      <c r="AA289" s="3">
        <f>IF('My investments'!$H$15="",0,IF('My investments'!$F289='My investments'!$H$15,$X289,0))</f>
        <v>0</v>
      </c>
      <c r="AB289" s="3">
        <f>IF('My investments'!$H$16="",0,IF('My investments'!$F289='My investments'!$H$16,$X289,0))</f>
        <v>0</v>
      </c>
      <c r="AC289" s="3">
        <f>IF('My investments'!$H$17="",0,IF('My investments'!$F289='My investments'!$H$17,$X289,0))</f>
        <v>0</v>
      </c>
      <c r="AD289" s="3">
        <f>IF('My investments'!$H$18="",0,IF('My investments'!$F289='My investments'!$H$18,$X289,0))</f>
        <v>0</v>
      </c>
      <c r="AE289" s="3">
        <f>IF('My investments'!$H$19="",0,IF('My investments'!$F289='My investments'!$H$19,$X289,0))</f>
        <v>0</v>
      </c>
      <c r="AF289" s="3">
        <f>IF('My investments'!$H$20="",0,IF('My investments'!$F289='My investments'!$H$20,$X289,0))</f>
        <v>0</v>
      </c>
      <c r="AG289" s="3">
        <f>IF('My investments'!$H$21="",0,IF('My investments'!$F289='My investments'!$H$21,$X289,0))</f>
        <v>0</v>
      </c>
      <c r="AH289" s="3">
        <f>IF('My investments'!$H$22="",0,IF('My investments'!$F289='My investments'!$H$22,$X289,0))</f>
        <v>0</v>
      </c>
      <c r="AI289" s="3">
        <f>IF('My investments'!$H$23="",0,IF('My investments'!$F289='My investments'!$H$23,$X289,0))</f>
        <v>0</v>
      </c>
      <c r="AJ289" s="3">
        <f>IF('My investments'!$H$24="",0,IF('My investments'!$F289='My investments'!$H$24,$X289,0))</f>
        <v>0</v>
      </c>
      <c r="AL289" s="3" t="str">
        <f>IF('My investments'!$B289="","",IF($D$10=0,"",IFERROR(INDEX('Index history'!$B$8:$B$5007,MATCH('My investments'!$B289,'Index history'!$A$8:$A$5007,1)),"")))</f>
        <v/>
      </c>
      <c r="AM289" s="3">
        <f>IF($AL289="",0,IF('My investments'!$D289="",0,IF('My investments'!$C289="Money in",'My investments'!$D289/$AL289,IF('My investments'!$C289="Money out",-'My investments'!$D289/$AL289,0))))</f>
        <v>0</v>
      </c>
    </row>
    <row r="290">
      <c r="X290" s="3">
        <f>IF('My investments'!$B290="",0,IF('My investments'!$E290="",0,'My investments'!$E290))</f>
        <v>0</v>
      </c>
      <c r="Y290" s="25">
        <f>IF('My investments'!$B290="",$D$8,'My investments'!$B290)</f>
        <v>0</v>
      </c>
      <c r="Z290" s="3">
        <f>IF('My investments'!$C290="Worth today",0,$X290)</f>
        <v>0</v>
      </c>
      <c r="AA290" s="3">
        <f>IF('My investments'!$H$15="",0,IF('My investments'!$F290='My investments'!$H$15,$X290,0))</f>
        <v>0</v>
      </c>
      <c r="AB290" s="3">
        <f>IF('My investments'!$H$16="",0,IF('My investments'!$F290='My investments'!$H$16,$X290,0))</f>
        <v>0</v>
      </c>
      <c r="AC290" s="3">
        <f>IF('My investments'!$H$17="",0,IF('My investments'!$F290='My investments'!$H$17,$X290,0))</f>
        <v>0</v>
      </c>
      <c r="AD290" s="3">
        <f>IF('My investments'!$H$18="",0,IF('My investments'!$F290='My investments'!$H$18,$X290,0))</f>
        <v>0</v>
      </c>
      <c r="AE290" s="3">
        <f>IF('My investments'!$H$19="",0,IF('My investments'!$F290='My investments'!$H$19,$X290,0))</f>
        <v>0</v>
      </c>
      <c r="AF290" s="3">
        <f>IF('My investments'!$H$20="",0,IF('My investments'!$F290='My investments'!$H$20,$X290,0))</f>
        <v>0</v>
      </c>
      <c r="AG290" s="3">
        <f>IF('My investments'!$H$21="",0,IF('My investments'!$F290='My investments'!$H$21,$X290,0))</f>
        <v>0</v>
      </c>
      <c r="AH290" s="3">
        <f>IF('My investments'!$H$22="",0,IF('My investments'!$F290='My investments'!$H$22,$X290,0))</f>
        <v>0</v>
      </c>
      <c r="AI290" s="3">
        <f>IF('My investments'!$H$23="",0,IF('My investments'!$F290='My investments'!$H$23,$X290,0))</f>
        <v>0</v>
      </c>
      <c r="AJ290" s="3">
        <f>IF('My investments'!$H$24="",0,IF('My investments'!$F290='My investments'!$H$24,$X290,0))</f>
        <v>0</v>
      </c>
      <c r="AL290" s="3" t="str">
        <f>IF('My investments'!$B290="","",IF($D$10=0,"",IFERROR(INDEX('Index history'!$B$8:$B$5007,MATCH('My investments'!$B290,'Index history'!$A$8:$A$5007,1)),"")))</f>
        <v/>
      </c>
      <c r="AM290" s="3">
        <f>IF($AL290="",0,IF('My investments'!$D290="",0,IF('My investments'!$C290="Money in",'My investments'!$D290/$AL290,IF('My investments'!$C290="Money out",-'My investments'!$D290/$AL290,0))))</f>
        <v>0</v>
      </c>
    </row>
    <row r="291">
      <c r="X291" s="3">
        <f>IF('My investments'!$B291="",0,IF('My investments'!$E291="",0,'My investments'!$E291))</f>
        <v>0</v>
      </c>
      <c r="Y291" s="25">
        <f>IF('My investments'!$B291="",$D$8,'My investments'!$B291)</f>
        <v>0</v>
      </c>
      <c r="Z291" s="3">
        <f>IF('My investments'!$C291="Worth today",0,$X291)</f>
        <v>0</v>
      </c>
      <c r="AA291" s="3">
        <f>IF('My investments'!$H$15="",0,IF('My investments'!$F291='My investments'!$H$15,$X291,0))</f>
        <v>0</v>
      </c>
      <c r="AB291" s="3">
        <f>IF('My investments'!$H$16="",0,IF('My investments'!$F291='My investments'!$H$16,$X291,0))</f>
        <v>0</v>
      </c>
      <c r="AC291" s="3">
        <f>IF('My investments'!$H$17="",0,IF('My investments'!$F291='My investments'!$H$17,$X291,0))</f>
        <v>0</v>
      </c>
      <c r="AD291" s="3">
        <f>IF('My investments'!$H$18="",0,IF('My investments'!$F291='My investments'!$H$18,$X291,0))</f>
        <v>0</v>
      </c>
      <c r="AE291" s="3">
        <f>IF('My investments'!$H$19="",0,IF('My investments'!$F291='My investments'!$H$19,$X291,0))</f>
        <v>0</v>
      </c>
      <c r="AF291" s="3">
        <f>IF('My investments'!$H$20="",0,IF('My investments'!$F291='My investments'!$H$20,$X291,0))</f>
        <v>0</v>
      </c>
      <c r="AG291" s="3">
        <f>IF('My investments'!$H$21="",0,IF('My investments'!$F291='My investments'!$H$21,$X291,0))</f>
        <v>0</v>
      </c>
      <c r="AH291" s="3">
        <f>IF('My investments'!$H$22="",0,IF('My investments'!$F291='My investments'!$H$22,$X291,0))</f>
        <v>0</v>
      </c>
      <c r="AI291" s="3">
        <f>IF('My investments'!$H$23="",0,IF('My investments'!$F291='My investments'!$H$23,$X291,0))</f>
        <v>0</v>
      </c>
      <c r="AJ291" s="3">
        <f>IF('My investments'!$H$24="",0,IF('My investments'!$F291='My investments'!$H$24,$X291,0))</f>
        <v>0</v>
      </c>
      <c r="AL291" s="3" t="str">
        <f>IF('My investments'!$B291="","",IF($D$10=0,"",IFERROR(INDEX('Index history'!$B$8:$B$5007,MATCH('My investments'!$B291,'Index history'!$A$8:$A$5007,1)),"")))</f>
        <v/>
      </c>
      <c r="AM291" s="3">
        <f>IF($AL291="",0,IF('My investments'!$D291="",0,IF('My investments'!$C291="Money in",'My investments'!$D291/$AL291,IF('My investments'!$C291="Money out",-'My investments'!$D291/$AL291,0))))</f>
        <v>0</v>
      </c>
    </row>
    <row r="292">
      <c r="X292" s="3">
        <f>IF('My investments'!$B292="",0,IF('My investments'!$E292="",0,'My investments'!$E292))</f>
        <v>0</v>
      </c>
      <c r="Y292" s="25">
        <f>IF('My investments'!$B292="",$D$8,'My investments'!$B292)</f>
        <v>0</v>
      </c>
      <c r="Z292" s="3">
        <f>IF('My investments'!$C292="Worth today",0,$X292)</f>
        <v>0</v>
      </c>
      <c r="AA292" s="3">
        <f>IF('My investments'!$H$15="",0,IF('My investments'!$F292='My investments'!$H$15,$X292,0))</f>
        <v>0</v>
      </c>
      <c r="AB292" s="3">
        <f>IF('My investments'!$H$16="",0,IF('My investments'!$F292='My investments'!$H$16,$X292,0))</f>
        <v>0</v>
      </c>
      <c r="AC292" s="3">
        <f>IF('My investments'!$H$17="",0,IF('My investments'!$F292='My investments'!$H$17,$X292,0))</f>
        <v>0</v>
      </c>
      <c r="AD292" s="3">
        <f>IF('My investments'!$H$18="",0,IF('My investments'!$F292='My investments'!$H$18,$X292,0))</f>
        <v>0</v>
      </c>
      <c r="AE292" s="3">
        <f>IF('My investments'!$H$19="",0,IF('My investments'!$F292='My investments'!$H$19,$X292,0))</f>
        <v>0</v>
      </c>
      <c r="AF292" s="3">
        <f>IF('My investments'!$H$20="",0,IF('My investments'!$F292='My investments'!$H$20,$X292,0))</f>
        <v>0</v>
      </c>
      <c r="AG292" s="3">
        <f>IF('My investments'!$H$21="",0,IF('My investments'!$F292='My investments'!$H$21,$X292,0))</f>
        <v>0</v>
      </c>
      <c r="AH292" s="3">
        <f>IF('My investments'!$H$22="",0,IF('My investments'!$F292='My investments'!$H$22,$X292,0))</f>
        <v>0</v>
      </c>
      <c r="AI292" s="3">
        <f>IF('My investments'!$H$23="",0,IF('My investments'!$F292='My investments'!$H$23,$X292,0))</f>
        <v>0</v>
      </c>
      <c r="AJ292" s="3">
        <f>IF('My investments'!$H$24="",0,IF('My investments'!$F292='My investments'!$H$24,$X292,0))</f>
        <v>0</v>
      </c>
      <c r="AL292" s="3" t="str">
        <f>IF('My investments'!$B292="","",IF($D$10=0,"",IFERROR(INDEX('Index history'!$B$8:$B$5007,MATCH('My investments'!$B292,'Index history'!$A$8:$A$5007,1)),"")))</f>
        <v/>
      </c>
      <c r="AM292" s="3">
        <f>IF($AL292="",0,IF('My investments'!$D292="",0,IF('My investments'!$C292="Money in",'My investments'!$D292/$AL292,IF('My investments'!$C292="Money out",-'My investments'!$D292/$AL292,0))))</f>
        <v>0</v>
      </c>
    </row>
    <row r="293">
      <c r="X293" s="3">
        <f>IF('My investments'!$B293="",0,IF('My investments'!$E293="",0,'My investments'!$E293))</f>
        <v>0</v>
      </c>
      <c r="Y293" s="25">
        <f>IF('My investments'!$B293="",$D$8,'My investments'!$B293)</f>
        <v>0</v>
      </c>
      <c r="Z293" s="3">
        <f>IF('My investments'!$C293="Worth today",0,$X293)</f>
        <v>0</v>
      </c>
      <c r="AA293" s="3">
        <f>IF('My investments'!$H$15="",0,IF('My investments'!$F293='My investments'!$H$15,$X293,0))</f>
        <v>0</v>
      </c>
      <c r="AB293" s="3">
        <f>IF('My investments'!$H$16="",0,IF('My investments'!$F293='My investments'!$H$16,$X293,0))</f>
        <v>0</v>
      </c>
      <c r="AC293" s="3">
        <f>IF('My investments'!$H$17="",0,IF('My investments'!$F293='My investments'!$H$17,$X293,0))</f>
        <v>0</v>
      </c>
      <c r="AD293" s="3">
        <f>IF('My investments'!$H$18="",0,IF('My investments'!$F293='My investments'!$H$18,$X293,0))</f>
        <v>0</v>
      </c>
      <c r="AE293" s="3">
        <f>IF('My investments'!$H$19="",0,IF('My investments'!$F293='My investments'!$H$19,$X293,0))</f>
        <v>0</v>
      </c>
      <c r="AF293" s="3">
        <f>IF('My investments'!$H$20="",0,IF('My investments'!$F293='My investments'!$H$20,$X293,0))</f>
        <v>0</v>
      </c>
      <c r="AG293" s="3">
        <f>IF('My investments'!$H$21="",0,IF('My investments'!$F293='My investments'!$H$21,$X293,0))</f>
        <v>0</v>
      </c>
      <c r="AH293" s="3">
        <f>IF('My investments'!$H$22="",0,IF('My investments'!$F293='My investments'!$H$22,$X293,0))</f>
        <v>0</v>
      </c>
      <c r="AI293" s="3">
        <f>IF('My investments'!$H$23="",0,IF('My investments'!$F293='My investments'!$H$23,$X293,0))</f>
        <v>0</v>
      </c>
      <c r="AJ293" s="3">
        <f>IF('My investments'!$H$24="",0,IF('My investments'!$F293='My investments'!$H$24,$X293,0))</f>
        <v>0</v>
      </c>
      <c r="AL293" s="3" t="str">
        <f>IF('My investments'!$B293="","",IF($D$10=0,"",IFERROR(INDEX('Index history'!$B$8:$B$5007,MATCH('My investments'!$B293,'Index history'!$A$8:$A$5007,1)),"")))</f>
        <v/>
      </c>
      <c r="AM293" s="3">
        <f>IF($AL293="",0,IF('My investments'!$D293="",0,IF('My investments'!$C293="Money in",'My investments'!$D293/$AL293,IF('My investments'!$C293="Money out",-'My investments'!$D293/$AL293,0))))</f>
        <v>0</v>
      </c>
    </row>
    <row r="294">
      <c r="X294" s="3">
        <f>IF('My investments'!$B294="",0,IF('My investments'!$E294="",0,'My investments'!$E294))</f>
        <v>0</v>
      </c>
      <c r="Y294" s="25">
        <f>IF('My investments'!$B294="",$D$8,'My investments'!$B294)</f>
        <v>0</v>
      </c>
      <c r="Z294" s="3">
        <f>IF('My investments'!$C294="Worth today",0,$X294)</f>
        <v>0</v>
      </c>
      <c r="AA294" s="3">
        <f>IF('My investments'!$H$15="",0,IF('My investments'!$F294='My investments'!$H$15,$X294,0))</f>
        <v>0</v>
      </c>
      <c r="AB294" s="3">
        <f>IF('My investments'!$H$16="",0,IF('My investments'!$F294='My investments'!$H$16,$X294,0))</f>
        <v>0</v>
      </c>
      <c r="AC294" s="3">
        <f>IF('My investments'!$H$17="",0,IF('My investments'!$F294='My investments'!$H$17,$X294,0))</f>
        <v>0</v>
      </c>
      <c r="AD294" s="3">
        <f>IF('My investments'!$H$18="",0,IF('My investments'!$F294='My investments'!$H$18,$X294,0))</f>
        <v>0</v>
      </c>
      <c r="AE294" s="3">
        <f>IF('My investments'!$H$19="",0,IF('My investments'!$F294='My investments'!$H$19,$X294,0))</f>
        <v>0</v>
      </c>
      <c r="AF294" s="3">
        <f>IF('My investments'!$H$20="",0,IF('My investments'!$F294='My investments'!$H$20,$X294,0))</f>
        <v>0</v>
      </c>
      <c r="AG294" s="3">
        <f>IF('My investments'!$H$21="",0,IF('My investments'!$F294='My investments'!$H$21,$X294,0))</f>
        <v>0</v>
      </c>
      <c r="AH294" s="3">
        <f>IF('My investments'!$H$22="",0,IF('My investments'!$F294='My investments'!$H$22,$X294,0))</f>
        <v>0</v>
      </c>
      <c r="AI294" s="3">
        <f>IF('My investments'!$H$23="",0,IF('My investments'!$F294='My investments'!$H$23,$X294,0))</f>
        <v>0</v>
      </c>
      <c r="AJ294" s="3">
        <f>IF('My investments'!$H$24="",0,IF('My investments'!$F294='My investments'!$H$24,$X294,0))</f>
        <v>0</v>
      </c>
      <c r="AL294" s="3" t="str">
        <f>IF('My investments'!$B294="","",IF($D$10=0,"",IFERROR(INDEX('Index history'!$B$8:$B$5007,MATCH('My investments'!$B294,'Index history'!$A$8:$A$5007,1)),"")))</f>
        <v/>
      </c>
      <c r="AM294" s="3">
        <f>IF($AL294="",0,IF('My investments'!$D294="",0,IF('My investments'!$C294="Money in",'My investments'!$D294/$AL294,IF('My investments'!$C294="Money out",-'My investments'!$D294/$AL294,0))))</f>
        <v>0</v>
      </c>
    </row>
    <row r="295">
      <c r="X295" s="3">
        <f>IF('My investments'!$B295="",0,IF('My investments'!$E295="",0,'My investments'!$E295))</f>
        <v>0</v>
      </c>
      <c r="Y295" s="25">
        <f>IF('My investments'!$B295="",$D$8,'My investments'!$B295)</f>
        <v>0</v>
      </c>
      <c r="Z295" s="3">
        <f>IF('My investments'!$C295="Worth today",0,$X295)</f>
        <v>0</v>
      </c>
      <c r="AA295" s="3">
        <f>IF('My investments'!$H$15="",0,IF('My investments'!$F295='My investments'!$H$15,$X295,0))</f>
        <v>0</v>
      </c>
      <c r="AB295" s="3">
        <f>IF('My investments'!$H$16="",0,IF('My investments'!$F295='My investments'!$H$16,$X295,0))</f>
        <v>0</v>
      </c>
      <c r="AC295" s="3">
        <f>IF('My investments'!$H$17="",0,IF('My investments'!$F295='My investments'!$H$17,$X295,0))</f>
        <v>0</v>
      </c>
      <c r="AD295" s="3">
        <f>IF('My investments'!$H$18="",0,IF('My investments'!$F295='My investments'!$H$18,$X295,0))</f>
        <v>0</v>
      </c>
      <c r="AE295" s="3">
        <f>IF('My investments'!$H$19="",0,IF('My investments'!$F295='My investments'!$H$19,$X295,0))</f>
        <v>0</v>
      </c>
      <c r="AF295" s="3">
        <f>IF('My investments'!$H$20="",0,IF('My investments'!$F295='My investments'!$H$20,$X295,0))</f>
        <v>0</v>
      </c>
      <c r="AG295" s="3">
        <f>IF('My investments'!$H$21="",0,IF('My investments'!$F295='My investments'!$H$21,$X295,0))</f>
        <v>0</v>
      </c>
      <c r="AH295" s="3">
        <f>IF('My investments'!$H$22="",0,IF('My investments'!$F295='My investments'!$H$22,$X295,0))</f>
        <v>0</v>
      </c>
      <c r="AI295" s="3">
        <f>IF('My investments'!$H$23="",0,IF('My investments'!$F295='My investments'!$H$23,$X295,0))</f>
        <v>0</v>
      </c>
      <c r="AJ295" s="3">
        <f>IF('My investments'!$H$24="",0,IF('My investments'!$F295='My investments'!$H$24,$X295,0))</f>
        <v>0</v>
      </c>
      <c r="AL295" s="3" t="str">
        <f>IF('My investments'!$B295="","",IF($D$10=0,"",IFERROR(INDEX('Index history'!$B$8:$B$5007,MATCH('My investments'!$B295,'Index history'!$A$8:$A$5007,1)),"")))</f>
        <v/>
      </c>
      <c r="AM295" s="3">
        <f>IF($AL295="",0,IF('My investments'!$D295="",0,IF('My investments'!$C295="Money in",'My investments'!$D295/$AL295,IF('My investments'!$C295="Money out",-'My investments'!$D295/$AL295,0))))</f>
        <v>0</v>
      </c>
    </row>
    <row r="296">
      <c r="X296" s="3">
        <f>IF('My investments'!$B296="",0,IF('My investments'!$E296="",0,'My investments'!$E296))</f>
        <v>0</v>
      </c>
      <c r="Y296" s="25">
        <f>IF('My investments'!$B296="",$D$8,'My investments'!$B296)</f>
        <v>0</v>
      </c>
      <c r="Z296" s="3">
        <f>IF('My investments'!$C296="Worth today",0,$X296)</f>
        <v>0</v>
      </c>
      <c r="AA296" s="3">
        <f>IF('My investments'!$H$15="",0,IF('My investments'!$F296='My investments'!$H$15,$X296,0))</f>
        <v>0</v>
      </c>
      <c r="AB296" s="3">
        <f>IF('My investments'!$H$16="",0,IF('My investments'!$F296='My investments'!$H$16,$X296,0))</f>
        <v>0</v>
      </c>
      <c r="AC296" s="3">
        <f>IF('My investments'!$H$17="",0,IF('My investments'!$F296='My investments'!$H$17,$X296,0))</f>
        <v>0</v>
      </c>
      <c r="AD296" s="3">
        <f>IF('My investments'!$H$18="",0,IF('My investments'!$F296='My investments'!$H$18,$X296,0))</f>
        <v>0</v>
      </c>
      <c r="AE296" s="3">
        <f>IF('My investments'!$H$19="",0,IF('My investments'!$F296='My investments'!$H$19,$X296,0))</f>
        <v>0</v>
      </c>
      <c r="AF296" s="3">
        <f>IF('My investments'!$H$20="",0,IF('My investments'!$F296='My investments'!$H$20,$X296,0))</f>
        <v>0</v>
      </c>
      <c r="AG296" s="3">
        <f>IF('My investments'!$H$21="",0,IF('My investments'!$F296='My investments'!$H$21,$X296,0))</f>
        <v>0</v>
      </c>
      <c r="AH296" s="3">
        <f>IF('My investments'!$H$22="",0,IF('My investments'!$F296='My investments'!$H$22,$X296,0))</f>
        <v>0</v>
      </c>
      <c r="AI296" s="3">
        <f>IF('My investments'!$H$23="",0,IF('My investments'!$F296='My investments'!$H$23,$X296,0))</f>
        <v>0</v>
      </c>
      <c r="AJ296" s="3">
        <f>IF('My investments'!$H$24="",0,IF('My investments'!$F296='My investments'!$H$24,$X296,0))</f>
        <v>0</v>
      </c>
      <c r="AL296" s="3" t="str">
        <f>IF('My investments'!$B296="","",IF($D$10=0,"",IFERROR(INDEX('Index history'!$B$8:$B$5007,MATCH('My investments'!$B296,'Index history'!$A$8:$A$5007,1)),"")))</f>
        <v/>
      </c>
      <c r="AM296" s="3">
        <f>IF($AL296="",0,IF('My investments'!$D296="",0,IF('My investments'!$C296="Money in",'My investments'!$D296/$AL296,IF('My investments'!$C296="Money out",-'My investments'!$D296/$AL296,0))))</f>
        <v>0</v>
      </c>
    </row>
    <row r="297">
      <c r="X297" s="3">
        <f>IF('My investments'!$B297="",0,IF('My investments'!$E297="",0,'My investments'!$E297))</f>
        <v>0</v>
      </c>
      <c r="Y297" s="25">
        <f>IF('My investments'!$B297="",$D$8,'My investments'!$B297)</f>
        <v>0</v>
      </c>
      <c r="Z297" s="3">
        <f>IF('My investments'!$C297="Worth today",0,$X297)</f>
        <v>0</v>
      </c>
      <c r="AA297" s="3">
        <f>IF('My investments'!$H$15="",0,IF('My investments'!$F297='My investments'!$H$15,$X297,0))</f>
        <v>0</v>
      </c>
      <c r="AB297" s="3">
        <f>IF('My investments'!$H$16="",0,IF('My investments'!$F297='My investments'!$H$16,$X297,0))</f>
        <v>0</v>
      </c>
      <c r="AC297" s="3">
        <f>IF('My investments'!$H$17="",0,IF('My investments'!$F297='My investments'!$H$17,$X297,0))</f>
        <v>0</v>
      </c>
      <c r="AD297" s="3">
        <f>IF('My investments'!$H$18="",0,IF('My investments'!$F297='My investments'!$H$18,$X297,0))</f>
        <v>0</v>
      </c>
      <c r="AE297" s="3">
        <f>IF('My investments'!$H$19="",0,IF('My investments'!$F297='My investments'!$H$19,$X297,0))</f>
        <v>0</v>
      </c>
      <c r="AF297" s="3">
        <f>IF('My investments'!$H$20="",0,IF('My investments'!$F297='My investments'!$H$20,$X297,0))</f>
        <v>0</v>
      </c>
      <c r="AG297" s="3">
        <f>IF('My investments'!$H$21="",0,IF('My investments'!$F297='My investments'!$H$21,$X297,0))</f>
        <v>0</v>
      </c>
      <c r="AH297" s="3">
        <f>IF('My investments'!$H$22="",0,IF('My investments'!$F297='My investments'!$H$22,$X297,0))</f>
        <v>0</v>
      </c>
      <c r="AI297" s="3">
        <f>IF('My investments'!$H$23="",0,IF('My investments'!$F297='My investments'!$H$23,$X297,0))</f>
        <v>0</v>
      </c>
      <c r="AJ297" s="3">
        <f>IF('My investments'!$H$24="",0,IF('My investments'!$F297='My investments'!$H$24,$X297,0))</f>
        <v>0</v>
      </c>
      <c r="AL297" s="3" t="str">
        <f>IF('My investments'!$B297="","",IF($D$10=0,"",IFERROR(INDEX('Index history'!$B$8:$B$5007,MATCH('My investments'!$B297,'Index history'!$A$8:$A$5007,1)),"")))</f>
        <v/>
      </c>
      <c r="AM297" s="3">
        <f>IF($AL297="",0,IF('My investments'!$D297="",0,IF('My investments'!$C297="Money in",'My investments'!$D297/$AL297,IF('My investments'!$C297="Money out",-'My investments'!$D297/$AL297,0))))</f>
        <v>0</v>
      </c>
    </row>
    <row r="298">
      <c r="X298" s="3">
        <f>IF('My investments'!$B298="",0,IF('My investments'!$E298="",0,'My investments'!$E298))</f>
        <v>0</v>
      </c>
      <c r="Y298" s="25">
        <f>IF('My investments'!$B298="",$D$8,'My investments'!$B298)</f>
        <v>0</v>
      </c>
      <c r="Z298" s="3">
        <f>IF('My investments'!$C298="Worth today",0,$X298)</f>
        <v>0</v>
      </c>
      <c r="AA298" s="3">
        <f>IF('My investments'!$H$15="",0,IF('My investments'!$F298='My investments'!$H$15,$X298,0))</f>
        <v>0</v>
      </c>
      <c r="AB298" s="3">
        <f>IF('My investments'!$H$16="",0,IF('My investments'!$F298='My investments'!$H$16,$X298,0))</f>
        <v>0</v>
      </c>
      <c r="AC298" s="3">
        <f>IF('My investments'!$H$17="",0,IF('My investments'!$F298='My investments'!$H$17,$X298,0))</f>
        <v>0</v>
      </c>
      <c r="AD298" s="3">
        <f>IF('My investments'!$H$18="",0,IF('My investments'!$F298='My investments'!$H$18,$X298,0))</f>
        <v>0</v>
      </c>
      <c r="AE298" s="3">
        <f>IF('My investments'!$H$19="",0,IF('My investments'!$F298='My investments'!$H$19,$X298,0))</f>
        <v>0</v>
      </c>
      <c r="AF298" s="3">
        <f>IF('My investments'!$H$20="",0,IF('My investments'!$F298='My investments'!$H$20,$X298,0))</f>
        <v>0</v>
      </c>
      <c r="AG298" s="3">
        <f>IF('My investments'!$H$21="",0,IF('My investments'!$F298='My investments'!$H$21,$X298,0))</f>
        <v>0</v>
      </c>
      <c r="AH298" s="3">
        <f>IF('My investments'!$H$22="",0,IF('My investments'!$F298='My investments'!$H$22,$X298,0))</f>
        <v>0</v>
      </c>
      <c r="AI298" s="3">
        <f>IF('My investments'!$H$23="",0,IF('My investments'!$F298='My investments'!$H$23,$X298,0))</f>
        <v>0</v>
      </c>
      <c r="AJ298" s="3">
        <f>IF('My investments'!$H$24="",0,IF('My investments'!$F298='My investments'!$H$24,$X298,0))</f>
        <v>0</v>
      </c>
      <c r="AL298" s="3" t="str">
        <f>IF('My investments'!$B298="","",IF($D$10=0,"",IFERROR(INDEX('Index history'!$B$8:$B$5007,MATCH('My investments'!$B298,'Index history'!$A$8:$A$5007,1)),"")))</f>
        <v/>
      </c>
      <c r="AM298" s="3">
        <f>IF($AL298="",0,IF('My investments'!$D298="",0,IF('My investments'!$C298="Money in",'My investments'!$D298/$AL298,IF('My investments'!$C298="Money out",-'My investments'!$D298/$AL298,0))))</f>
        <v>0</v>
      </c>
    </row>
    <row r="299">
      <c r="X299" s="3">
        <f>IF('My investments'!$B299="",0,IF('My investments'!$E299="",0,'My investments'!$E299))</f>
        <v>0</v>
      </c>
      <c r="Y299" s="25">
        <f>IF('My investments'!$B299="",$D$8,'My investments'!$B299)</f>
        <v>0</v>
      </c>
      <c r="Z299" s="3">
        <f>IF('My investments'!$C299="Worth today",0,$X299)</f>
        <v>0</v>
      </c>
      <c r="AA299" s="3">
        <f>IF('My investments'!$H$15="",0,IF('My investments'!$F299='My investments'!$H$15,$X299,0))</f>
        <v>0</v>
      </c>
      <c r="AB299" s="3">
        <f>IF('My investments'!$H$16="",0,IF('My investments'!$F299='My investments'!$H$16,$X299,0))</f>
        <v>0</v>
      </c>
      <c r="AC299" s="3">
        <f>IF('My investments'!$H$17="",0,IF('My investments'!$F299='My investments'!$H$17,$X299,0))</f>
        <v>0</v>
      </c>
      <c r="AD299" s="3">
        <f>IF('My investments'!$H$18="",0,IF('My investments'!$F299='My investments'!$H$18,$X299,0))</f>
        <v>0</v>
      </c>
      <c r="AE299" s="3">
        <f>IF('My investments'!$H$19="",0,IF('My investments'!$F299='My investments'!$H$19,$X299,0))</f>
        <v>0</v>
      </c>
      <c r="AF299" s="3">
        <f>IF('My investments'!$H$20="",0,IF('My investments'!$F299='My investments'!$H$20,$X299,0))</f>
        <v>0</v>
      </c>
      <c r="AG299" s="3">
        <f>IF('My investments'!$H$21="",0,IF('My investments'!$F299='My investments'!$H$21,$X299,0))</f>
        <v>0</v>
      </c>
      <c r="AH299" s="3">
        <f>IF('My investments'!$H$22="",0,IF('My investments'!$F299='My investments'!$H$22,$X299,0))</f>
        <v>0</v>
      </c>
      <c r="AI299" s="3">
        <f>IF('My investments'!$H$23="",0,IF('My investments'!$F299='My investments'!$H$23,$X299,0))</f>
        <v>0</v>
      </c>
      <c r="AJ299" s="3">
        <f>IF('My investments'!$H$24="",0,IF('My investments'!$F299='My investments'!$H$24,$X299,0))</f>
        <v>0</v>
      </c>
      <c r="AL299" s="3" t="str">
        <f>IF('My investments'!$B299="","",IF($D$10=0,"",IFERROR(INDEX('Index history'!$B$8:$B$5007,MATCH('My investments'!$B299,'Index history'!$A$8:$A$5007,1)),"")))</f>
        <v/>
      </c>
      <c r="AM299" s="3">
        <f>IF($AL299="",0,IF('My investments'!$D299="",0,IF('My investments'!$C299="Money in",'My investments'!$D299/$AL299,IF('My investments'!$C299="Money out",-'My investments'!$D299/$AL299,0))))</f>
        <v>0</v>
      </c>
    </row>
    <row r="300">
      <c r="X300" s="3">
        <f>IF('My investments'!$B300="",0,IF('My investments'!$E300="",0,'My investments'!$E300))</f>
        <v>0</v>
      </c>
      <c r="Y300" s="25">
        <f>IF('My investments'!$B300="",$D$8,'My investments'!$B300)</f>
        <v>0</v>
      </c>
      <c r="Z300" s="3">
        <f>IF('My investments'!$C300="Worth today",0,$X300)</f>
        <v>0</v>
      </c>
      <c r="AA300" s="3">
        <f>IF('My investments'!$H$15="",0,IF('My investments'!$F300='My investments'!$H$15,$X300,0))</f>
        <v>0</v>
      </c>
      <c r="AB300" s="3">
        <f>IF('My investments'!$H$16="",0,IF('My investments'!$F300='My investments'!$H$16,$X300,0))</f>
        <v>0</v>
      </c>
      <c r="AC300" s="3">
        <f>IF('My investments'!$H$17="",0,IF('My investments'!$F300='My investments'!$H$17,$X300,0))</f>
        <v>0</v>
      </c>
      <c r="AD300" s="3">
        <f>IF('My investments'!$H$18="",0,IF('My investments'!$F300='My investments'!$H$18,$X300,0))</f>
        <v>0</v>
      </c>
      <c r="AE300" s="3">
        <f>IF('My investments'!$H$19="",0,IF('My investments'!$F300='My investments'!$H$19,$X300,0))</f>
        <v>0</v>
      </c>
      <c r="AF300" s="3">
        <f>IF('My investments'!$H$20="",0,IF('My investments'!$F300='My investments'!$H$20,$X300,0))</f>
        <v>0</v>
      </c>
      <c r="AG300" s="3">
        <f>IF('My investments'!$H$21="",0,IF('My investments'!$F300='My investments'!$H$21,$X300,0))</f>
        <v>0</v>
      </c>
      <c r="AH300" s="3">
        <f>IF('My investments'!$H$22="",0,IF('My investments'!$F300='My investments'!$H$22,$X300,0))</f>
        <v>0</v>
      </c>
      <c r="AI300" s="3">
        <f>IF('My investments'!$H$23="",0,IF('My investments'!$F300='My investments'!$H$23,$X300,0))</f>
        <v>0</v>
      </c>
      <c r="AJ300" s="3">
        <f>IF('My investments'!$H$24="",0,IF('My investments'!$F300='My investments'!$H$24,$X300,0))</f>
        <v>0</v>
      </c>
      <c r="AL300" s="3" t="str">
        <f>IF('My investments'!$B300="","",IF($D$10=0,"",IFERROR(INDEX('Index history'!$B$8:$B$5007,MATCH('My investments'!$B300,'Index history'!$A$8:$A$5007,1)),"")))</f>
        <v/>
      </c>
      <c r="AM300" s="3">
        <f>IF($AL300="",0,IF('My investments'!$D300="",0,IF('My investments'!$C300="Money in",'My investments'!$D300/$AL300,IF('My investments'!$C300="Money out",-'My investments'!$D300/$AL300,0))))</f>
        <v>0</v>
      </c>
    </row>
    <row r="301">
      <c r="X301" s="3">
        <f>IF('My investments'!$B301="",0,IF('My investments'!$E301="",0,'My investments'!$E301))</f>
        <v>0</v>
      </c>
      <c r="Y301" s="25">
        <f>IF('My investments'!$B301="",$D$8,'My investments'!$B301)</f>
        <v>0</v>
      </c>
      <c r="Z301" s="3">
        <f>IF('My investments'!$C301="Worth today",0,$X301)</f>
        <v>0</v>
      </c>
      <c r="AA301" s="3">
        <f>IF('My investments'!$H$15="",0,IF('My investments'!$F301='My investments'!$H$15,$X301,0))</f>
        <v>0</v>
      </c>
      <c r="AB301" s="3">
        <f>IF('My investments'!$H$16="",0,IF('My investments'!$F301='My investments'!$H$16,$X301,0))</f>
        <v>0</v>
      </c>
      <c r="AC301" s="3">
        <f>IF('My investments'!$H$17="",0,IF('My investments'!$F301='My investments'!$H$17,$X301,0))</f>
        <v>0</v>
      </c>
      <c r="AD301" s="3">
        <f>IF('My investments'!$H$18="",0,IF('My investments'!$F301='My investments'!$H$18,$X301,0))</f>
        <v>0</v>
      </c>
      <c r="AE301" s="3">
        <f>IF('My investments'!$H$19="",0,IF('My investments'!$F301='My investments'!$H$19,$X301,0))</f>
        <v>0</v>
      </c>
      <c r="AF301" s="3">
        <f>IF('My investments'!$H$20="",0,IF('My investments'!$F301='My investments'!$H$20,$X301,0))</f>
        <v>0</v>
      </c>
      <c r="AG301" s="3">
        <f>IF('My investments'!$H$21="",0,IF('My investments'!$F301='My investments'!$H$21,$X301,0))</f>
        <v>0</v>
      </c>
      <c r="AH301" s="3">
        <f>IF('My investments'!$H$22="",0,IF('My investments'!$F301='My investments'!$H$22,$X301,0))</f>
        <v>0</v>
      </c>
      <c r="AI301" s="3">
        <f>IF('My investments'!$H$23="",0,IF('My investments'!$F301='My investments'!$H$23,$X301,0))</f>
        <v>0</v>
      </c>
      <c r="AJ301" s="3">
        <f>IF('My investments'!$H$24="",0,IF('My investments'!$F301='My investments'!$H$24,$X301,0))</f>
        <v>0</v>
      </c>
      <c r="AL301" s="3" t="str">
        <f>IF('My investments'!$B301="","",IF($D$10=0,"",IFERROR(INDEX('Index history'!$B$8:$B$5007,MATCH('My investments'!$B301,'Index history'!$A$8:$A$5007,1)),"")))</f>
        <v/>
      </c>
      <c r="AM301" s="3">
        <f>IF($AL301="",0,IF('My investments'!$D301="",0,IF('My investments'!$C301="Money in",'My investments'!$D301/$AL301,IF('My investments'!$C301="Money out",-'My investments'!$D301/$AL301,0))))</f>
        <v>0</v>
      </c>
    </row>
    <row r="302">
      <c r="X302" s="3">
        <f>IF('My investments'!$B302="",0,IF('My investments'!$E302="",0,'My investments'!$E302))</f>
        <v>0</v>
      </c>
      <c r="Y302" s="25">
        <f>IF('My investments'!$B302="",$D$8,'My investments'!$B302)</f>
        <v>0</v>
      </c>
      <c r="Z302" s="3">
        <f>IF('My investments'!$C302="Worth today",0,$X302)</f>
        <v>0</v>
      </c>
      <c r="AA302" s="3">
        <f>IF('My investments'!$H$15="",0,IF('My investments'!$F302='My investments'!$H$15,$X302,0))</f>
        <v>0</v>
      </c>
      <c r="AB302" s="3">
        <f>IF('My investments'!$H$16="",0,IF('My investments'!$F302='My investments'!$H$16,$X302,0))</f>
        <v>0</v>
      </c>
      <c r="AC302" s="3">
        <f>IF('My investments'!$H$17="",0,IF('My investments'!$F302='My investments'!$H$17,$X302,0))</f>
        <v>0</v>
      </c>
      <c r="AD302" s="3">
        <f>IF('My investments'!$H$18="",0,IF('My investments'!$F302='My investments'!$H$18,$X302,0))</f>
        <v>0</v>
      </c>
      <c r="AE302" s="3">
        <f>IF('My investments'!$H$19="",0,IF('My investments'!$F302='My investments'!$H$19,$X302,0))</f>
        <v>0</v>
      </c>
      <c r="AF302" s="3">
        <f>IF('My investments'!$H$20="",0,IF('My investments'!$F302='My investments'!$H$20,$X302,0))</f>
        <v>0</v>
      </c>
      <c r="AG302" s="3">
        <f>IF('My investments'!$H$21="",0,IF('My investments'!$F302='My investments'!$H$21,$X302,0))</f>
        <v>0</v>
      </c>
      <c r="AH302" s="3">
        <f>IF('My investments'!$H$22="",0,IF('My investments'!$F302='My investments'!$H$22,$X302,0))</f>
        <v>0</v>
      </c>
      <c r="AI302" s="3">
        <f>IF('My investments'!$H$23="",0,IF('My investments'!$F302='My investments'!$H$23,$X302,0))</f>
        <v>0</v>
      </c>
      <c r="AJ302" s="3">
        <f>IF('My investments'!$H$24="",0,IF('My investments'!$F302='My investments'!$H$24,$X302,0))</f>
        <v>0</v>
      </c>
      <c r="AL302" s="3" t="str">
        <f>IF('My investments'!$B302="","",IF($D$10=0,"",IFERROR(INDEX('Index history'!$B$8:$B$5007,MATCH('My investments'!$B302,'Index history'!$A$8:$A$5007,1)),"")))</f>
        <v/>
      </c>
      <c r="AM302" s="3">
        <f>IF($AL302="",0,IF('My investments'!$D302="",0,IF('My investments'!$C302="Money in",'My investments'!$D302/$AL302,IF('My investments'!$C302="Money out",-'My investments'!$D302/$AL302,0))))</f>
        <v>0</v>
      </c>
    </row>
    <row r="303">
      <c r="X303" s="3">
        <f>IF('My investments'!$B303="",0,IF('My investments'!$E303="",0,'My investments'!$E303))</f>
        <v>0</v>
      </c>
      <c r="Y303" s="25">
        <f>IF('My investments'!$B303="",$D$8,'My investments'!$B303)</f>
        <v>0</v>
      </c>
      <c r="Z303" s="3">
        <f>IF('My investments'!$C303="Worth today",0,$X303)</f>
        <v>0</v>
      </c>
      <c r="AA303" s="3">
        <f>IF('My investments'!$H$15="",0,IF('My investments'!$F303='My investments'!$H$15,$X303,0))</f>
        <v>0</v>
      </c>
      <c r="AB303" s="3">
        <f>IF('My investments'!$H$16="",0,IF('My investments'!$F303='My investments'!$H$16,$X303,0))</f>
        <v>0</v>
      </c>
      <c r="AC303" s="3">
        <f>IF('My investments'!$H$17="",0,IF('My investments'!$F303='My investments'!$H$17,$X303,0))</f>
        <v>0</v>
      </c>
      <c r="AD303" s="3">
        <f>IF('My investments'!$H$18="",0,IF('My investments'!$F303='My investments'!$H$18,$X303,0))</f>
        <v>0</v>
      </c>
      <c r="AE303" s="3">
        <f>IF('My investments'!$H$19="",0,IF('My investments'!$F303='My investments'!$H$19,$X303,0))</f>
        <v>0</v>
      </c>
      <c r="AF303" s="3">
        <f>IF('My investments'!$H$20="",0,IF('My investments'!$F303='My investments'!$H$20,$X303,0))</f>
        <v>0</v>
      </c>
      <c r="AG303" s="3">
        <f>IF('My investments'!$H$21="",0,IF('My investments'!$F303='My investments'!$H$21,$X303,0))</f>
        <v>0</v>
      </c>
      <c r="AH303" s="3">
        <f>IF('My investments'!$H$22="",0,IF('My investments'!$F303='My investments'!$H$22,$X303,0))</f>
        <v>0</v>
      </c>
      <c r="AI303" s="3">
        <f>IF('My investments'!$H$23="",0,IF('My investments'!$F303='My investments'!$H$23,$X303,0))</f>
        <v>0</v>
      </c>
      <c r="AJ303" s="3">
        <f>IF('My investments'!$H$24="",0,IF('My investments'!$F303='My investments'!$H$24,$X303,0))</f>
        <v>0</v>
      </c>
      <c r="AL303" s="3" t="str">
        <f>IF('My investments'!$B303="","",IF($D$10=0,"",IFERROR(INDEX('Index history'!$B$8:$B$5007,MATCH('My investments'!$B303,'Index history'!$A$8:$A$5007,1)),"")))</f>
        <v/>
      </c>
      <c r="AM303" s="3">
        <f>IF($AL303="",0,IF('My investments'!$D303="",0,IF('My investments'!$C303="Money in",'My investments'!$D303/$AL303,IF('My investments'!$C303="Money out",-'My investments'!$D303/$AL303,0))))</f>
        <v>0</v>
      </c>
    </row>
    <row r="304">
      <c r="X304" s="3">
        <f>IF('My investments'!$B304="",0,IF('My investments'!$E304="",0,'My investments'!$E304))</f>
        <v>0</v>
      </c>
      <c r="Y304" s="25">
        <f>IF('My investments'!$B304="",$D$8,'My investments'!$B304)</f>
        <v>0</v>
      </c>
      <c r="Z304" s="3">
        <f>IF('My investments'!$C304="Worth today",0,$X304)</f>
        <v>0</v>
      </c>
      <c r="AA304" s="3">
        <f>IF('My investments'!$H$15="",0,IF('My investments'!$F304='My investments'!$H$15,$X304,0))</f>
        <v>0</v>
      </c>
      <c r="AB304" s="3">
        <f>IF('My investments'!$H$16="",0,IF('My investments'!$F304='My investments'!$H$16,$X304,0))</f>
        <v>0</v>
      </c>
      <c r="AC304" s="3">
        <f>IF('My investments'!$H$17="",0,IF('My investments'!$F304='My investments'!$H$17,$X304,0))</f>
        <v>0</v>
      </c>
      <c r="AD304" s="3">
        <f>IF('My investments'!$H$18="",0,IF('My investments'!$F304='My investments'!$H$18,$X304,0))</f>
        <v>0</v>
      </c>
      <c r="AE304" s="3">
        <f>IF('My investments'!$H$19="",0,IF('My investments'!$F304='My investments'!$H$19,$X304,0))</f>
        <v>0</v>
      </c>
      <c r="AF304" s="3">
        <f>IF('My investments'!$H$20="",0,IF('My investments'!$F304='My investments'!$H$20,$X304,0))</f>
        <v>0</v>
      </c>
      <c r="AG304" s="3">
        <f>IF('My investments'!$H$21="",0,IF('My investments'!$F304='My investments'!$H$21,$X304,0))</f>
        <v>0</v>
      </c>
      <c r="AH304" s="3">
        <f>IF('My investments'!$H$22="",0,IF('My investments'!$F304='My investments'!$H$22,$X304,0))</f>
        <v>0</v>
      </c>
      <c r="AI304" s="3">
        <f>IF('My investments'!$H$23="",0,IF('My investments'!$F304='My investments'!$H$23,$X304,0))</f>
        <v>0</v>
      </c>
      <c r="AJ304" s="3">
        <f>IF('My investments'!$H$24="",0,IF('My investments'!$F304='My investments'!$H$24,$X304,0))</f>
        <v>0</v>
      </c>
      <c r="AL304" s="3" t="str">
        <f>IF('My investments'!$B304="","",IF($D$10=0,"",IFERROR(INDEX('Index history'!$B$8:$B$5007,MATCH('My investments'!$B304,'Index history'!$A$8:$A$5007,1)),"")))</f>
        <v/>
      </c>
      <c r="AM304" s="3">
        <f>IF($AL304="",0,IF('My investments'!$D304="",0,IF('My investments'!$C304="Money in",'My investments'!$D304/$AL304,IF('My investments'!$C304="Money out",-'My investments'!$D304/$AL304,0))))</f>
        <v>0</v>
      </c>
    </row>
    <row r="305">
      <c r="X305" s="3">
        <f>IF('My investments'!$B305="",0,IF('My investments'!$E305="",0,'My investments'!$E305))</f>
        <v>0</v>
      </c>
      <c r="Y305" s="25">
        <f>IF('My investments'!$B305="",$D$8,'My investments'!$B305)</f>
        <v>0</v>
      </c>
      <c r="Z305" s="3">
        <f>IF('My investments'!$C305="Worth today",0,$X305)</f>
        <v>0</v>
      </c>
      <c r="AA305" s="3">
        <f>IF('My investments'!$H$15="",0,IF('My investments'!$F305='My investments'!$H$15,$X305,0))</f>
        <v>0</v>
      </c>
      <c r="AB305" s="3">
        <f>IF('My investments'!$H$16="",0,IF('My investments'!$F305='My investments'!$H$16,$X305,0))</f>
        <v>0</v>
      </c>
      <c r="AC305" s="3">
        <f>IF('My investments'!$H$17="",0,IF('My investments'!$F305='My investments'!$H$17,$X305,0))</f>
        <v>0</v>
      </c>
      <c r="AD305" s="3">
        <f>IF('My investments'!$H$18="",0,IF('My investments'!$F305='My investments'!$H$18,$X305,0))</f>
        <v>0</v>
      </c>
      <c r="AE305" s="3">
        <f>IF('My investments'!$H$19="",0,IF('My investments'!$F305='My investments'!$H$19,$X305,0))</f>
        <v>0</v>
      </c>
      <c r="AF305" s="3">
        <f>IF('My investments'!$H$20="",0,IF('My investments'!$F305='My investments'!$H$20,$X305,0))</f>
        <v>0</v>
      </c>
      <c r="AG305" s="3">
        <f>IF('My investments'!$H$21="",0,IF('My investments'!$F305='My investments'!$H$21,$X305,0))</f>
        <v>0</v>
      </c>
      <c r="AH305" s="3">
        <f>IF('My investments'!$H$22="",0,IF('My investments'!$F305='My investments'!$H$22,$X305,0))</f>
        <v>0</v>
      </c>
      <c r="AI305" s="3">
        <f>IF('My investments'!$H$23="",0,IF('My investments'!$F305='My investments'!$H$23,$X305,0))</f>
        <v>0</v>
      </c>
      <c r="AJ305" s="3">
        <f>IF('My investments'!$H$24="",0,IF('My investments'!$F305='My investments'!$H$24,$X305,0))</f>
        <v>0</v>
      </c>
      <c r="AL305" s="3" t="str">
        <f>IF('My investments'!$B305="","",IF($D$10=0,"",IFERROR(INDEX('Index history'!$B$8:$B$5007,MATCH('My investments'!$B305,'Index history'!$A$8:$A$5007,1)),"")))</f>
        <v/>
      </c>
      <c r="AM305" s="3">
        <f>IF($AL305="",0,IF('My investments'!$D305="",0,IF('My investments'!$C305="Money in",'My investments'!$D305/$AL305,IF('My investments'!$C305="Money out",-'My investments'!$D305/$AL305,0))))</f>
        <v>0</v>
      </c>
    </row>
    <row r="306">
      <c r="X306" s="3">
        <f>IF('My investments'!$B306="",0,IF('My investments'!$E306="",0,'My investments'!$E306))</f>
        <v>0</v>
      </c>
      <c r="Y306" s="25">
        <f>IF('My investments'!$B306="",$D$8,'My investments'!$B306)</f>
        <v>0</v>
      </c>
      <c r="Z306" s="3">
        <f>IF('My investments'!$C306="Worth today",0,$X306)</f>
        <v>0</v>
      </c>
      <c r="AA306" s="3">
        <f>IF('My investments'!$H$15="",0,IF('My investments'!$F306='My investments'!$H$15,$X306,0))</f>
        <v>0</v>
      </c>
      <c r="AB306" s="3">
        <f>IF('My investments'!$H$16="",0,IF('My investments'!$F306='My investments'!$H$16,$X306,0))</f>
        <v>0</v>
      </c>
      <c r="AC306" s="3">
        <f>IF('My investments'!$H$17="",0,IF('My investments'!$F306='My investments'!$H$17,$X306,0))</f>
        <v>0</v>
      </c>
      <c r="AD306" s="3">
        <f>IF('My investments'!$H$18="",0,IF('My investments'!$F306='My investments'!$H$18,$X306,0))</f>
        <v>0</v>
      </c>
      <c r="AE306" s="3">
        <f>IF('My investments'!$H$19="",0,IF('My investments'!$F306='My investments'!$H$19,$X306,0))</f>
        <v>0</v>
      </c>
      <c r="AF306" s="3">
        <f>IF('My investments'!$H$20="",0,IF('My investments'!$F306='My investments'!$H$20,$X306,0))</f>
        <v>0</v>
      </c>
      <c r="AG306" s="3">
        <f>IF('My investments'!$H$21="",0,IF('My investments'!$F306='My investments'!$H$21,$X306,0))</f>
        <v>0</v>
      </c>
      <c r="AH306" s="3">
        <f>IF('My investments'!$H$22="",0,IF('My investments'!$F306='My investments'!$H$22,$X306,0))</f>
        <v>0</v>
      </c>
      <c r="AI306" s="3">
        <f>IF('My investments'!$H$23="",0,IF('My investments'!$F306='My investments'!$H$23,$X306,0))</f>
        <v>0</v>
      </c>
      <c r="AJ306" s="3">
        <f>IF('My investments'!$H$24="",0,IF('My investments'!$F306='My investments'!$H$24,$X306,0))</f>
        <v>0</v>
      </c>
      <c r="AL306" s="3" t="str">
        <f>IF('My investments'!$B306="","",IF($D$10=0,"",IFERROR(INDEX('Index history'!$B$8:$B$5007,MATCH('My investments'!$B306,'Index history'!$A$8:$A$5007,1)),"")))</f>
        <v/>
      </c>
      <c r="AM306" s="3">
        <f>IF($AL306="",0,IF('My investments'!$D306="",0,IF('My investments'!$C306="Money in",'My investments'!$D306/$AL306,IF('My investments'!$C306="Money out",-'My investments'!$D306/$AL306,0))))</f>
        <v>0</v>
      </c>
    </row>
    <row r="307">
      <c r="X307" s="3">
        <f>IF('My investments'!$B307="",0,IF('My investments'!$E307="",0,'My investments'!$E307))</f>
        <v>0</v>
      </c>
      <c r="Y307" s="25">
        <f>IF('My investments'!$B307="",$D$8,'My investments'!$B307)</f>
        <v>0</v>
      </c>
      <c r="Z307" s="3">
        <f>IF('My investments'!$C307="Worth today",0,$X307)</f>
        <v>0</v>
      </c>
      <c r="AA307" s="3">
        <f>IF('My investments'!$H$15="",0,IF('My investments'!$F307='My investments'!$H$15,$X307,0))</f>
        <v>0</v>
      </c>
      <c r="AB307" s="3">
        <f>IF('My investments'!$H$16="",0,IF('My investments'!$F307='My investments'!$H$16,$X307,0))</f>
        <v>0</v>
      </c>
      <c r="AC307" s="3">
        <f>IF('My investments'!$H$17="",0,IF('My investments'!$F307='My investments'!$H$17,$X307,0))</f>
        <v>0</v>
      </c>
      <c r="AD307" s="3">
        <f>IF('My investments'!$H$18="",0,IF('My investments'!$F307='My investments'!$H$18,$X307,0))</f>
        <v>0</v>
      </c>
      <c r="AE307" s="3">
        <f>IF('My investments'!$H$19="",0,IF('My investments'!$F307='My investments'!$H$19,$X307,0))</f>
        <v>0</v>
      </c>
      <c r="AF307" s="3">
        <f>IF('My investments'!$H$20="",0,IF('My investments'!$F307='My investments'!$H$20,$X307,0))</f>
        <v>0</v>
      </c>
      <c r="AG307" s="3">
        <f>IF('My investments'!$H$21="",0,IF('My investments'!$F307='My investments'!$H$21,$X307,0))</f>
        <v>0</v>
      </c>
      <c r="AH307" s="3">
        <f>IF('My investments'!$H$22="",0,IF('My investments'!$F307='My investments'!$H$22,$X307,0))</f>
        <v>0</v>
      </c>
      <c r="AI307" s="3">
        <f>IF('My investments'!$H$23="",0,IF('My investments'!$F307='My investments'!$H$23,$X307,0))</f>
        <v>0</v>
      </c>
      <c r="AJ307" s="3">
        <f>IF('My investments'!$H$24="",0,IF('My investments'!$F307='My investments'!$H$24,$X307,0))</f>
        <v>0</v>
      </c>
      <c r="AL307" s="3" t="str">
        <f>IF('My investments'!$B307="","",IF($D$10=0,"",IFERROR(INDEX('Index history'!$B$8:$B$5007,MATCH('My investments'!$B307,'Index history'!$A$8:$A$5007,1)),"")))</f>
        <v/>
      </c>
      <c r="AM307" s="3">
        <f>IF($AL307="",0,IF('My investments'!$D307="",0,IF('My investments'!$C307="Money in",'My investments'!$D307/$AL307,IF('My investments'!$C307="Money out",-'My investments'!$D307/$AL307,0))))</f>
        <v>0</v>
      </c>
    </row>
    <row r="308">
      <c r="X308" s="3">
        <f>IF('My investments'!$B308="",0,IF('My investments'!$E308="",0,'My investments'!$E308))</f>
        <v>0</v>
      </c>
      <c r="Y308" s="25">
        <f>IF('My investments'!$B308="",$D$8,'My investments'!$B308)</f>
        <v>0</v>
      </c>
      <c r="Z308" s="3">
        <f>IF('My investments'!$C308="Worth today",0,$X308)</f>
        <v>0</v>
      </c>
      <c r="AA308" s="3">
        <f>IF('My investments'!$H$15="",0,IF('My investments'!$F308='My investments'!$H$15,$X308,0))</f>
        <v>0</v>
      </c>
      <c r="AB308" s="3">
        <f>IF('My investments'!$H$16="",0,IF('My investments'!$F308='My investments'!$H$16,$X308,0))</f>
        <v>0</v>
      </c>
      <c r="AC308" s="3">
        <f>IF('My investments'!$H$17="",0,IF('My investments'!$F308='My investments'!$H$17,$X308,0))</f>
        <v>0</v>
      </c>
      <c r="AD308" s="3">
        <f>IF('My investments'!$H$18="",0,IF('My investments'!$F308='My investments'!$H$18,$X308,0))</f>
        <v>0</v>
      </c>
      <c r="AE308" s="3">
        <f>IF('My investments'!$H$19="",0,IF('My investments'!$F308='My investments'!$H$19,$X308,0))</f>
        <v>0</v>
      </c>
      <c r="AF308" s="3">
        <f>IF('My investments'!$H$20="",0,IF('My investments'!$F308='My investments'!$H$20,$X308,0))</f>
        <v>0</v>
      </c>
      <c r="AG308" s="3">
        <f>IF('My investments'!$H$21="",0,IF('My investments'!$F308='My investments'!$H$21,$X308,0))</f>
        <v>0</v>
      </c>
      <c r="AH308" s="3">
        <f>IF('My investments'!$H$22="",0,IF('My investments'!$F308='My investments'!$H$22,$X308,0))</f>
        <v>0</v>
      </c>
      <c r="AI308" s="3">
        <f>IF('My investments'!$H$23="",0,IF('My investments'!$F308='My investments'!$H$23,$X308,0))</f>
        <v>0</v>
      </c>
      <c r="AJ308" s="3">
        <f>IF('My investments'!$H$24="",0,IF('My investments'!$F308='My investments'!$H$24,$X308,0))</f>
        <v>0</v>
      </c>
      <c r="AL308" s="3" t="str">
        <f>IF('My investments'!$B308="","",IF($D$10=0,"",IFERROR(INDEX('Index history'!$B$8:$B$5007,MATCH('My investments'!$B308,'Index history'!$A$8:$A$5007,1)),"")))</f>
        <v/>
      </c>
      <c r="AM308" s="3">
        <f>IF($AL308="",0,IF('My investments'!$D308="",0,IF('My investments'!$C308="Money in",'My investments'!$D308/$AL308,IF('My investments'!$C308="Money out",-'My investments'!$D308/$AL308,0))))</f>
        <v>0</v>
      </c>
    </row>
    <row r="309">
      <c r="X309" s="3">
        <f>IF('My investments'!$B309="",0,IF('My investments'!$E309="",0,'My investments'!$E309))</f>
        <v>0</v>
      </c>
      <c r="Y309" s="25">
        <f>IF('My investments'!$B309="",$D$8,'My investments'!$B309)</f>
        <v>0</v>
      </c>
      <c r="Z309" s="3">
        <f>IF('My investments'!$C309="Worth today",0,$X309)</f>
        <v>0</v>
      </c>
      <c r="AA309" s="3">
        <f>IF('My investments'!$H$15="",0,IF('My investments'!$F309='My investments'!$H$15,$X309,0))</f>
        <v>0</v>
      </c>
      <c r="AB309" s="3">
        <f>IF('My investments'!$H$16="",0,IF('My investments'!$F309='My investments'!$H$16,$X309,0))</f>
        <v>0</v>
      </c>
      <c r="AC309" s="3">
        <f>IF('My investments'!$H$17="",0,IF('My investments'!$F309='My investments'!$H$17,$X309,0))</f>
        <v>0</v>
      </c>
      <c r="AD309" s="3">
        <f>IF('My investments'!$H$18="",0,IF('My investments'!$F309='My investments'!$H$18,$X309,0))</f>
        <v>0</v>
      </c>
      <c r="AE309" s="3">
        <f>IF('My investments'!$H$19="",0,IF('My investments'!$F309='My investments'!$H$19,$X309,0))</f>
        <v>0</v>
      </c>
      <c r="AF309" s="3">
        <f>IF('My investments'!$H$20="",0,IF('My investments'!$F309='My investments'!$H$20,$X309,0))</f>
        <v>0</v>
      </c>
      <c r="AG309" s="3">
        <f>IF('My investments'!$H$21="",0,IF('My investments'!$F309='My investments'!$H$21,$X309,0))</f>
        <v>0</v>
      </c>
      <c r="AH309" s="3">
        <f>IF('My investments'!$H$22="",0,IF('My investments'!$F309='My investments'!$H$22,$X309,0))</f>
        <v>0</v>
      </c>
      <c r="AI309" s="3">
        <f>IF('My investments'!$H$23="",0,IF('My investments'!$F309='My investments'!$H$23,$X309,0))</f>
        <v>0</v>
      </c>
      <c r="AJ309" s="3">
        <f>IF('My investments'!$H$24="",0,IF('My investments'!$F309='My investments'!$H$24,$X309,0))</f>
        <v>0</v>
      </c>
      <c r="AL309" s="3" t="str">
        <f>IF('My investments'!$B309="","",IF($D$10=0,"",IFERROR(INDEX('Index history'!$B$8:$B$5007,MATCH('My investments'!$B309,'Index history'!$A$8:$A$5007,1)),"")))</f>
        <v/>
      </c>
      <c r="AM309" s="3">
        <f>IF($AL309="",0,IF('My investments'!$D309="",0,IF('My investments'!$C309="Money in",'My investments'!$D309/$AL309,IF('My investments'!$C309="Money out",-'My investments'!$D309/$AL309,0))))</f>
        <v>0</v>
      </c>
    </row>
    <row r="310">
      <c r="X310" s="3">
        <f>IF('My investments'!$B310="",0,IF('My investments'!$E310="",0,'My investments'!$E310))</f>
        <v>0</v>
      </c>
      <c r="Y310" s="25">
        <f>IF('My investments'!$B310="",$D$8,'My investments'!$B310)</f>
        <v>0</v>
      </c>
      <c r="Z310" s="3">
        <f>IF('My investments'!$C310="Worth today",0,$X310)</f>
        <v>0</v>
      </c>
      <c r="AA310" s="3">
        <f>IF('My investments'!$H$15="",0,IF('My investments'!$F310='My investments'!$H$15,$X310,0))</f>
        <v>0</v>
      </c>
      <c r="AB310" s="3">
        <f>IF('My investments'!$H$16="",0,IF('My investments'!$F310='My investments'!$H$16,$X310,0))</f>
        <v>0</v>
      </c>
      <c r="AC310" s="3">
        <f>IF('My investments'!$H$17="",0,IF('My investments'!$F310='My investments'!$H$17,$X310,0))</f>
        <v>0</v>
      </c>
      <c r="AD310" s="3">
        <f>IF('My investments'!$H$18="",0,IF('My investments'!$F310='My investments'!$H$18,$X310,0))</f>
        <v>0</v>
      </c>
      <c r="AE310" s="3">
        <f>IF('My investments'!$H$19="",0,IF('My investments'!$F310='My investments'!$H$19,$X310,0))</f>
        <v>0</v>
      </c>
      <c r="AF310" s="3">
        <f>IF('My investments'!$H$20="",0,IF('My investments'!$F310='My investments'!$H$20,$X310,0))</f>
        <v>0</v>
      </c>
      <c r="AG310" s="3">
        <f>IF('My investments'!$H$21="",0,IF('My investments'!$F310='My investments'!$H$21,$X310,0))</f>
        <v>0</v>
      </c>
      <c r="AH310" s="3">
        <f>IF('My investments'!$H$22="",0,IF('My investments'!$F310='My investments'!$H$22,$X310,0))</f>
        <v>0</v>
      </c>
      <c r="AI310" s="3">
        <f>IF('My investments'!$H$23="",0,IF('My investments'!$F310='My investments'!$H$23,$X310,0))</f>
        <v>0</v>
      </c>
      <c r="AJ310" s="3">
        <f>IF('My investments'!$H$24="",0,IF('My investments'!$F310='My investments'!$H$24,$X310,0))</f>
        <v>0</v>
      </c>
      <c r="AL310" s="3" t="str">
        <f>IF('My investments'!$B310="","",IF($D$10=0,"",IFERROR(INDEX('Index history'!$B$8:$B$5007,MATCH('My investments'!$B310,'Index history'!$A$8:$A$5007,1)),"")))</f>
        <v/>
      </c>
      <c r="AM310" s="3">
        <f>IF($AL310="",0,IF('My investments'!$D310="",0,IF('My investments'!$C310="Money in",'My investments'!$D310/$AL310,IF('My investments'!$C310="Money out",-'My investments'!$D310/$AL310,0))))</f>
        <v>0</v>
      </c>
    </row>
    <row r="311">
      <c r="X311" s="3">
        <f>IF('My investments'!$B311="",0,IF('My investments'!$E311="",0,'My investments'!$E311))</f>
        <v>0</v>
      </c>
      <c r="Y311" s="25">
        <f>IF('My investments'!$B311="",$D$8,'My investments'!$B311)</f>
        <v>0</v>
      </c>
      <c r="Z311" s="3">
        <f>IF('My investments'!$C311="Worth today",0,$X311)</f>
        <v>0</v>
      </c>
      <c r="AA311" s="3">
        <f>IF('My investments'!$H$15="",0,IF('My investments'!$F311='My investments'!$H$15,$X311,0))</f>
        <v>0</v>
      </c>
      <c r="AB311" s="3">
        <f>IF('My investments'!$H$16="",0,IF('My investments'!$F311='My investments'!$H$16,$X311,0))</f>
        <v>0</v>
      </c>
      <c r="AC311" s="3">
        <f>IF('My investments'!$H$17="",0,IF('My investments'!$F311='My investments'!$H$17,$X311,0))</f>
        <v>0</v>
      </c>
      <c r="AD311" s="3">
        <f>IF('My investments'!$H$18="",0,IF('My investments'!$F311='My investments'!$H$18,$X311,0))</f>
        <v>0</v>
      </c>
      <c r="AE311" s="3">
        <f>IF('My investments'!$H$19="",0,IF('My investments'!$F311='My investments'!$H$19,$X311,0))</f>
        <v>0</v>
      </c>
      <c r="AF311" s="3">
        <f>IF('My investments'!$H$20="",0,IF('My investments'!$F311='My investments'!$H$20,$X311,0))</f>
        <v>0</v>
      </c>
      <c r="AG311" s="3">
        <f>IF('My investments'!$H$21="",0,IF('My investments'!$F311='My investments'!$H$21,$X311,0))</f>
        <v>0</v>
      </c>
      <c r="AH311" s="3">
        <f>IF('My investments'!$H$22="",0,IF('My investments'!$F311='My investments'!$H$22,$X311,0))</f>
        <v>0</v>
      </c>
      <c r="AI311" s="3">
        <f>IF('My investments'!$H$23="",0,IF('My investments'!$F311='My investments'!$H$23,$X311,0))</f>
        <v>0</v>
      </c>
      <c r="AJ311" s="3">
        <f>IF('My investments'!$H$24="",0,IF('My investments'!$F311='My investments'!$H$24,$X311,0))</f>
        <v>0</v>
      </c>
      <c r="AL311" s="3" t="str">
        <f>IF('My investments'!$B311="","",IF($D$10=0,"",IFERROR(INDEX('Index history'!$B$8:$B$5007,MATCH('My investments'!$B311,'Index history'!$A$8:$A$5007,1)),"")))</f>
        <v/>
      </c>
      <c r="AM311" s="3">
        <f>IF($AL311="",0,IF('My investments'!$D311="",0,IF('My investments'!$C311="Money in",'My investments'!$D311/$AL311,IF('My investments'!$C311="Money out",-'My investments'!$D311/$AL311,0))))</f>
        <v>0</v>
      </c>
    </row>
    <row r="312">
      <c r="X312" s="3">
        <f>IF('My investments'!$B312="",0,IF('My investments'!$E312="",0,'My investments'!$E312))</f>
        <v>0</v>
      </c>
      <c r="Y312" s="25">
        <f>IF('My investments'!$B312="",$D$8,'My investments'!$B312)</f>
        <v>0</v>
      </c>
      <c r="Z312" s="3">
        <f>IF('My investments'!$C312="Worth today",0,$X312)</f>
        <v>0</v>
      </c>
      <c r="AA312" s="3">
        <f>IF('My investments'!$H$15="",0,IF('My investments'!$F312='My investments'!$H$15,$X312,0))</f>
        <v>0</v>
      </c>
      <c r="AB312" s="3">
        <f>IF('My investments'!$H$16="",0,IF('My investments'!$F312='My investments'!$H$16,$X312,0))</f>
        <v>0</v>
      </c>
      <c r="AC312" s="3">
        <f>IF('My investments'!$H$17="",0,IF('My investments'!$F312='My investments'!$H$17,$X312,0))</f>
        <v>0</v>
      </c>
      <c r="AD312" s="3">
        <f>IF('My investments'!$H$18="",0,IF('My investments'!$F312='My investments'!$H$18,$X312,0))</f>
        <v>0</v>
      </c>
      <c r="AE312" s="3">
        <f>IF('My investments'!$H$19="",0,IF('My investments'!$F312='My investments'!$H$19,$X312,0))</f>
        <v>0</v>
      </c>
      <c r="AF312" s="3">
        <f>IF('My investments'!$H$20="",0,IF('My investments'!$F312='My investments'!$H$20,$X312,0))</f>
        <v>0</v>
      </c>
      <c r="AG312" s="3">
        <f>IF('My investments'!$H$21="",0,IF('My investments'!$F312='My investments'!$H$21,$X312,0))</f>
        <v>0</v>
      </c>
      <c r="AH312" s="3">
        <f>IF('My investments'!$H$22="",0,IF('My investments'!$F312='My investments'!$H$22,$X312,0))</f>
        <v>0</v>
      </c>
      <c r="AI312" s="3">
        <f>IF('My investments'!$H$23="",0,IF('My investments'!$F312='My investments'!$H$23,$X312,0))</f>
        <v>0</v>
      </c>
      <c r="AJ312" s="3">
        <f>IF('My investments'!$H$24="",0,IF('My investments'!$F312='My investments'!$H$24,$X312,0))</f>
        <v>0</v>
      </c>
      <c r="AL312" s="3" t="str">
        <f>IF('My investments'!$B312="","",IF($D$10=0,"",IFERROR(INDEX('Index history'!$B$8:$B$5007,MATCH('My investments'!$B312,'Index history'!$A$8:$A$5007,1)),"")))</f>
        <v/>
      </c>
      <c r="AM312" s="3">
        <f>IF($AL312="",0,IF('My investments'!$D312="",0,IF('My investments'!$C312="Money in",'My investments'!$D312/$AL312,IF('My investments'!$C312="Money out",-'My investments'!$D312/$AL312,0))))</f>
        <v>0</v>
      </c>
    </row>
    <row r="313">
      <c r="X313" s="3">
        <f>IF('My investments'!$B313="",0,IF('My investments'!$E313="",0,'My investments'!$E313))</f>
        <v>0</v>
      </c>
      <c r="Y313" s="25">
        <f>IF('My investments'!$B313="",$D$8,'My investments'!$B313)</f>
        <v>0</v>
      </c>
      <c r="Z313" s="3">
        <f>IF('My investments'!$C313="Worth today",0,$X313)</f>
        <v>0</v>
      </c>
      <c r="AA313" s="3">
        <f>IF('My investments'!$H$15="",0,IF('My investments'!$F313='My investments'!$H$15,$X313,0))</f>
        <v>0</v>
      </c>
      <c r="AB313" s="3">
        <f>IF('My investments'!$H$16="",0,IF('My investments'!$F313='My investments'!$H$16,$X313,0))</f>
        <v>0</v>
      </c>
      <c r="AC313" s="3">
        <f>IF('My investments'!$H$17="",0,IF('My investments'!$F313='My investments'!$H$17,$X313,0))</f>
        <v>0</v>
      </c>
      <c r="AD313" s="3">
        <f>IF('My investments'!$H$18="",0,IF('My investments'!$F313='My investments'!$H$18,$X313,0))</f>
        <v>0</v>
      </c>
      <c r="AE313" s="3">
        <f>IF('My investments'!$H$19="",0,IF('My investments'!$F313='My investments'!$H$19,$X313,0))</f>
        <v>0</v>
      </c>
      <c r="AF313" s="3">
        <f>IF('My investments'!$H$20="",0,IF('My investments'!$F313='My investments'!$H$20,$X313,0))</f>
        <v>0</v>
      </c>
      <c r="AG313" s="3">
        <f>IF('My investments'!$H$21="",0,IF('My investments'!$F313='My investments'!$H$21,$X313,0))</f>
        <v>0</v>
      </c>
      <c r="AH313" s="3">
        <f>IF('My investments'!$H$22="",0,IF('My investments'!$F313='My investments'!$H$22,$X313,0))</f>
        <v>0</v>
      </c>
      <c r="AI313" s="3">
        <f>IF('My investments'!$H$23="",0,IF('My investments'!$F313='My investments'!$H$23,$X313,0))</f>
        <v>0</v>
      </c>
      <c r="AJ313" s="3">
        <f>IF('My investments'!$H$24="",0,IF('My investments'!$F313='My investments'!$H$24,$X313,0))</f>
        <v>0</v>
      </c>
      <c r="AL313" s="3" t="str">
        <f>IF('My investments'!$B313="","",IF($D$10=0,"",IFERROR(INDEX('Index history'!$B$8:$B$5007,MATCH('My investments'!$B313,'Index history'!$A$8:$A$5007,1)),"")))</f>
        <v/>
      </c>
      <c r="AM313" s="3">
        <f>IF($AL313="",0,IF('My investments'!$D313="",0,IF('My investments'!$C313="Money in",'My investments'!$D313/$AL313,IF('My investments'!$C313="Money out",-'My investments'!$D313/$AL313,0))))</f>
        <v>0</v>
      </c>
    </row>
    <row r="314">
      <c r="X314" s="3">
        <f>IF('My investments'!$B314="",0,IF('My investments'!$E314="",0,'My investments'!$E314))</f>
        <v>0</v>
      </c>
      <c r="Y314" s="25">
        <f>IF('My investments'!$B314="",$D$8,'My investments'!$B314)</f>
        <v>0</v>
      </c>
      <c r="Z314" s="3">
        <f>IF('My investments'!$C314="Worth today",0,$X314)</f>
        <v>0</v>
      </c>
      <c r="AA314" s="3">
        <f>IF('My investments'!$H$15="",0,IF('My investments'!$F314='My investments'!$H$15,$X314,0))</f>
        <v>0</v>
      </c>
      <c r="AB314" s="3">
        <f>IF('My investments'!$H$16="",0,IF('My investments'!$F314='My investments'!$H$16,$X314,0))</f>
        <v>0</v>
      </c>
      <c r="AC314" s="3">
        <f>IF('My investments'!$H$17="",0,IF('My investments'!$F314='My investments'!$H$17,$X314,0))</f>
        <v>0</v>
      </c>
      <c r="AD314" s="3">
        <f>IF('My investments'!$H$18="",0,IF('My investments'!$F314='My investments'!$H$18,$X314,0))</f>
        <v>0</v>
      </c>
      <c r="AE314" s="3">
        <f>IF('My investments'!$H$19="",0,IF('My investments'!$F314='My investments'!$H$19,$X314,0))</f>
        <v>0</v>
      </c>
      <c r="AF314" s="3">
        <f>IF('My investments'!$H$20="",0,IF('My investments'!$F314='My investments'!$H$20,$X314,0))</f>
        <v>0</v>
      </c>
      <c r="AG314" s="3">
        <f>IF('My investments'!$H$21="",0,IF('My investments'!$F314='My investments'!$H$21,$X314,0))</f>
        <v>0</v>
      </c>
      <c r="AH314" s="3">
        <f>IF('My investments'!$H$22="",0,IF('My investments'!$F314='My investments'!$H$22,$X314,0))</f>
        <v>0</v>
      </c>
      <c r="AI314" s="3">
        <f>IF('My investments'!$H$23="",0,IF('My investments'!$F314='My investments'!$H$23,$X314,0))</f>
        <v>0</v>
      </c>
      <c r="AJ314" s="3">
        <f>IF('My investments'!$H$24="",0,IF('My investments'!$F314='My investments'!$H$24,$X314,0))</f>
        <v>0</v>
      </c>
      <c r="AL314" s="3" t="str">
        <f>IF('My investments'!$B314="","",IF($D$10=0,"",IFERROR(INDEX('Index history'!$B$8:$B$5007,MATCH('My investments'!$B314,'Index history'!$A$8:$A$5007,1)),"")))</f>
        <v/>
      </c>
      <c r="AM314" s="3">
        <f>IF($AL314="",0,IF('My investments'!$D314="",0,IF('My investments'!$C314="Money in",'My investments'!$D314/$AL314,IF('My investments'!$C314="Money out",-'My investments'!$D314/$AL314,0))))</f>
        <v>0</v>
      </c>
    </row>
    <row r="315">
      <c r="X315" s="3">
        <f>IF('My investments'!$B315="",0,IF('My investments'!$E315="",0,'My investments'!$E315))</f>
        <v>0</v>
      </c>
      <c r="Y315" s="25">
        <f>IF('My investments'!$B315="",$D$8,'My investments'!$B315)</f>
        <v>0</v>
      </c>
      <c r="Z315" s="3">
        <f>IF('My investments'!$C315="Worth today",0,$X315)</f>
        <v>0</v>
      </c>
      <c r="AA315" s="3">
        <f>IF('My investments'!$H$15="",0,IF('My investments'!$F315='My investments'!$H$15,$X315,0))</f>
        <v>0</v>
      </c>
      <c r="AB315" s="3">
        <f>IF('My investments'!$H$16="",0,IF('My investments'!$F315='My investments'!$H$16,$X315,0))</f>
        <v>0</v>
      </c>
      <c r="AC315" s="3">
        <f>IF('My investments'!$H$17="",0,IF('My investments'!$F315='My investments'!$H$17,$X315,0))</f>
        <v>0</v>
      </c>
      <c r="AD315" s="3">
        <f>IF('My investments'!$H$18="",0,IF('My investments'!$F315='My investments'!$H$18,$X315,0))</f>
        <v>0</v>
      </c>
      <c r="AE315" s="3">
        <f>IF('My investments'!$H$19="",0,IF('My investments'!$F315='My investments'!$H$19,$X315,0))</f>
        <v>0</v>
      </c>
      <c r="AF315" s="3">
        <f>IF('My investments'!$H$20="",0,IF('My investments'!$F315='My investments'!$H$20,$X315,0))</f>
        <v>0</v>
      </c>
      <c r="AG315" s="3">
        <f>IF('My investments'!$H$21="",0,IF('My investments'!$F315='My investments'!$H$21,$X315,0))</f>
        <v>0</v>
      </c>
      <c r="AH315" s="3">
        <f>IF('My investments'!$H$22="",0,IF('My investments'!$F315='My investments'!$H$22,$X315,0))</f>
        <v>0</v>
      </c>
      <c r="AI315" s="3">
        <f>IF('My investments'!$H$23="",0,IF('My investments'!$F315='My investments'!$H$23,$X315,0))</f>
        <v>0</v>
      </c>
      <c r="AJ315" s="3">
        <f>IF('My investments'!$H$24="",0,IF('My investments'!$F315='My investments'!$H$24,$X315,0))</f>
        <v>0</v>
      </c>
      <c r="AL315" s="3" t="str">
        <f>IF('My investments'!$B315="","",IF($D$10=0,"",IFERROR(INDEX('Index history'!$B$8:$B$5007,MATCH('My investments'!$B315,'Index history'!$A$8:$A$5007,1)),"")))</f>
        <v/>
      </c>
      <c r="AM315" s="3">
        <f>IF($AL315="",0,IF('My investments'!$D315="",0,IF('My investments'!$C315="Money in",'My investments'!$D315/$AL315,IF('My investments'!$C315="Money out",-'My investments'!$D315/$AL315,0))))</f>
        <v>0</v>
      </c>
    </row>
    <row r="316">
      <c r="X316" s="3">
        <f>IF('My investments'!$B316="",0,IF('My investments'!$E316="",0,'My investments'!$E316))</f>
        <v>0</v>
      </c>
      <c r="Y316" s="25">
        <f>IF('My investments'!$B316="",$D$8,'My investments'!$B316)</f>
        <v>0</v>
      </c>
      <c r="Z316" s="3">
        <f>IF('My investments'!$C316="Worth today",0,$X316)</f>
        <v>0</v>
      </c>
      <c r="AA316" s="3">
        <f>IF('My investments'!$H$15="",0,IF('My investments'!$F316='My investments'!$H$15,$X316,0))</f>
        <v>0</v>
      </c>
      <c r="AB316" s="3">
        <f>IF('My investments'!$H$16="",0,IF('My investments'!$F316='My investments'!$H$16,$X316,0))</f>
        <v>0</v>
      </c>
      <c r="AC316" s="3">
        <f>IF('My investments'!$H$17="",0,IF('My investments'!$F316='My investments'!$H$17,$X316,0))</f>
        <v>0</v>
      </c>
      <c r="AD316" s="3">
        <f>IF('My investments'!$H$18="",0,IF('My investments'!$F316='My investments'!$H$18,$X316,0))</f>
        <v>0</v>
      </c>
      <c r="AE316" s="3">
        <f>IF('My investments'!$H$19="",0,IF('My investments'!$F316='My investments'!$H$19,$X316,0))</f>
        <v>0</v>
      </c>
      <c r="AF316" s="3">
        <f>IF('My investments'!$H$20="",0,IF('My investments'!$F316='My investments'!$H$20,$X316,0))</f>
        <v>0</v>
      </c>
      <c r="AG316" s="3">
        <f>IF('My investments'!$H$21="",0,IF('My investments'!$F316='My investments'!$H$21,$X316,0))</f>
        <v>0</v>
      </c>
      <c r="AH316" s="3">
        <f>IF('My investments'!$H$22="",0,IF('My investments'!$F316='My investments'!$H$22,$X316,0))</f>
        <v>0</v>
      </c>
      <c r="AI316" s="3">
        <f>IF('My investments'!$H$23="",0,IF('My investments'!$F316='My investments'!$H$23,$X316,0))</f>
        <v>0</v>
      </c>
      <c r="AJ316" s="3">
        <f>IF('My investments'!$H$24="",0,IF('My investments'!$F316='My investments'!$H$24,$X316,0))</f>
        <v>0</v>
      </c>
      <c r="AL316" s="3" t="str">
        <f>IF('My investments'!$B316="","",IF($D$10=0,"",IFERROR(INDEX('Index history'!$B$8:$B$5007,MATCH('My investments'!$B316,'Index history'!$A$8:$A$5007,1)),"")))</f>
        <v/>
      </c>
      <c r="AM316" s="3">
        <f>IF($AL316="",0,IF('My investments'!$D316="",0,IF('My investments'!$C316="Money in",'My investments'!$D316/$AL316,IF('My investments'!$C316="Money out",-'My investments'!$D316/$AL316,0))))</f>
        <v>0</v>
      </c>
    </row>
    <row r="317">
      <c r="X317" s="3">
        <f>IF('My investments'!$B317="",0,IF('My investments'!$E317="",0,'My investments'!$E317))</f>
        <v>0</v>
      </c>
      <c r="Y317" s="25">
        <f>IF('My investments'!$B317="",$D$8,'My investments'!$B317)</f>
        <v>0</v>
      </c>
      <c r="Z317" s="3">
        <f>IF('My investments'!$C317="Worth today",0,$X317)</f>
        <v>0</v>
      </c>
      <c r="AA317" s="3">
        <f>IF('My investments'!$H$15="",0,IF('My investments'!$F317='My investments'!$H$15,$X317,0))</f>
        <v>0</v>
      </c>
      <c r="AB317" s="3">
        <f>IF('My investments'!$H$16="",0,IF('My investments'!$F317='My investments'!$H$16,$X317,0))</f>
        <v>0</v>
      </c>
      <c r="AC317" s="3">
        <f>IF('My investments'!$H$17="",0,IF('My investments'!$F317='My investments'!$H$17,$X317,0))</f>
        <v>0</v>
      </c>
      <c r="AD317" s="3">
        <f>IF('My investments'!$H$18="",0,IF('My investments'!$F317='My investments'!$H$18,$X317,0))</f>
        <v>0</v>
      </c>
      <c r="AE317" s="3">
        <f>IF('My investments'!$H$19="",0,IF('My investments'!$F317='My investments'!$H$19,$X317,0))</f>
        <v>0</v>
      </c>
      <c r="AF317" s="3">
        <f>IF('My investments'!$H$20="",0,IF('My investments'!$F317='My investments'!$H$20,$X317,0))</f>
        <v>0</v>
      </c>
      <c r="AG317" s="3">
        <f>IF('My investments'!$H$21="",0,IF('My investments'!$F317='My investments'!$H$21,$X317,0))</f>
        <v>0</v>
      </c>
      <c r="AH317" s="3">
        <f>IF('My investments'!$H$22="",0,IF('My investments'!$F317='My investments'!$H$22,$X317,0))</f>
        <v>0</v>
      </c>
      <c r="AI317" s="3">
        <f>IF('My investments'!$H$23="",0,IF('My investments'!$F317='My investments'!$H$23,$X317,0))</f>
        <v>0</v>
      </c>
      <c r="AJ317" s="3">
        <f>IF('My investments'!$H$24="",0,IF('My investments'!$F317='My investments'!$H$24,$X317,0))</f>
        <v>0</v>
      </c>
      <c r="AL317" s="3" t="str">
        <f>IF('My investments'!$B317="","",IF($D$10=0,"",IFERROR(INDEX('Index history'!$B$8:$B$5007,MATCH('My investments'!$B317,'Index history'!$A$8:$A$5007,1)),"")))</f>
        <v/>
      </c>
      <c r="AM317" s="3">
        <f>IF($AL317="",0,IF('My investments'!$D317="",0,IF('My investments'!$C317="Money in",'My investments'!$D317/$AL317,IF('My investments'!$C317="Money out",-'My investments'!$D317/$AL317,0))))</f>
        <v>0</v>
      </c>
    </row>
    <row r="318">
      <c r="X318" s="3">
        <f>IF('My investments'!$B318="",0,IF('My investments'!$E318="",0,'My investments'!$E318))</f>
        <v>0</v>
      </c>
      <c r="Y318" s="25">
        <f>IF('My investments'!$B318="",$D$8,'My investments'!$B318)</f>
        <v>0</v>
      </c>
      <c r="Z318" s="3">
        <f>IF('My investments'!$C318="Worth today",0,$X318)</f>
        <v>0</v>
      </c>
      <c r="AA318" s="3">
        <f>IF('My investments'!$H$15="",0,IF('My investments'!$F318='My investments'!$H$15,$X318,0))</f>
        <v>0</v>
      </c>
      <c r="AB318" s="3">
        <f>IF('My investments'!$H$16="",0,IF('My investments'!$F318='My investments'!$H$16,$X318,0))</f>
        <v>0</v>
      </c>
      <c r="AC318" s="3">
        <f>IF('My investments'!$H$17="",0,IF('My investments'!$F318='My investments'!$H$17,$X318,0))</f>
        <v>0</v>
      </c>
      <c r="AD318" s="3">
        <f>IF('My investments'!$H$18="",0,IF('My investments'!$F318='My investments'!$H$18,$X318,0))</f>
        <v>0</v>
      </c>
      <c r="AE318" s="3">
        <f>IF('My investments'!$H$19="",0,IF('My investments'!$F318='My investments'!$H$19,$X318,0))</f>
        <v>0</v>
      </c>
      <c r="AF318" s="3">
        <f>IF('My investments'!$H$20="",0,IF('My investments'!$F318='My investments'!$H$20,$X318,0))</f>
        <v>0</v>
      </c>
      <c r="AG318" s="3">
        <f>IF('My investments'!$H$21="",0,IF('My investments'!$F318='My investments'!$H$21,$X318,0))</f>
        <v>0</v>
      </c>
      <c r="AH318" s="3">
        <f>IF('My investments'!$H$22="",0,IF('My investments'!$F318='My investments'!$H$22,$X318,0))</f>
        <v>0</v>
      </c>
      <c r="AI318" s="3">
        <f>IF('My investments'!$H$23="",0,IF('My investments'!$F318='My investments'!$H$23,$X318,0))</f>
        <v>0</v>
      </c>
      <c r="AJ318" s="3">
        <f>IF('My investments'!$H$24="",0,IF('My investments'!$F318='My investments'!$H$24,$X318,0))</f>
        <v>0</v>
      </c>
      <c r="AL318" s="3" t="str">
        <f>IF('My investments'!$B318="","",IF($D$10=0,"",IFERROR(INDEX('Index history'!$B$8:$B$5007,MATCH('My investments'!$B318,'Index history'!$A$8:$A$5007,1)),"")))</f>
        <v/>
      </c>
      <c r="AM318" s="3">
        <f>IF($AL318="",0,IF('My investments'!$D318="",0,IF('My investments'!$C318="Money in",'My investments'!$D318/$AL318,IF('My investments'!$C318="Money out",-'My investments'!$D318/$AL318,0))))</f>
        <v>0</v>
      </c>
    </row>
    <row r="319">
      <c r="X319" s="3">
        <f>IF('My investments'!$B319="",0,IF('My investments'!$E319="",0,'My investments'!$E319))</f>
        <v>0</v>
      </c>
      <c r="Y319" s="25">
        <f>IF('My investments'!$B319="",$D$8,'My investments'!$B319)</f>
        <v>0</v>
      </c>
      <c r="Z319" s="3">
        <f>IF('My investments'!$C319="Worth today",0,$X319)</f>
        <v>0</v>
      </c>
      <c r="AA319" s="3">
        <f>IF('My investments'!$H$15="",0,IF('My investments'!$F319='My investments'!$H$15,$X319,0))</f>
        <v>0</v>
      </c>
      <c r="AB319" s="3">
        <f>IF('My investments'!$H$16="",0,IF('My investments'!$F319='My investments'!$H$16,$X319,0))</f>
        <v>0</v>
      </c>
      <c r="AC319" s="3">
        <f>IF('My investments'!$H$17="",0,IF('My investments'!$F319='My investments'!$H$17,$X319,0))</f>
        <v>0</v>
      </c>
      <c r="AD319" s="3">
        <f>IF('My investments'!$H$18="",0,IF('My investments'!$F319='My investments'!$H$18,$X319,0))</f>
        <v>0</v>
      </c>
      <c r="AE319" s="3">
        <f>IF('My investments'!$H$19="",0,IF('My investments'!$F319='My investments'!$H$19,$X319,0))</f>
        <v>0</v>
      </c>
      <c r="AF319" s="3">
        <f>IF('My investments'!$H$20="",0,IF('My investments'!$F319='My investments'!$H$20,$X319,0))</f>
        <v>0</v>
      </c>
      <c r="AG319" s="3">
        <f>IF('My investments'!$H$21="",0,IF('My investments'!$F319='My investments'!$H$21,$X319,0))</f>
        <v>0</v>
      </c>
      <c r="AH319" s="3">
        <f>IF('My investments'!$H$22="",0,IF('My investments'!$F319='My investments'!$H$22,$X319,0))</f>
        <v>0</v>
      </c>
      <c r="AI319" s="3">
        <f>IF('My investments'!$H$23="",0,IF('My investments'!$F319='My investments'!$H$23,$X319,0))</f>
        <v>0</v>
      </c>
      <c r="AJ319" s="3">
        <f>IF('My investments'!$H$24="",0,IF('My investments'!$F319='My investments'!$H$24,$X319,0))</f>
        <v>0</v>
      </c>
      <c r="AL319" s="3" t="str">
        <f>IF('My investments'!$B319="","",IF($D$10=0,"",IFERROR(INDEX('Index history'!$B$8:$B$5007,MATCH('My investments'!$B319,'Index history'!$A$8:$A$5007,1)),"")))</f>
        <v/>
      </c>
      <c r="AM319" s="3">
        <f>IF($AL319="",0,IF('My investments'!$D319="",0,IF('My investments'!$C319="Money in",'My investments'!$D319/$AL319,IF('My investments'!$C319="Money out",-'My investments'!$D319/$AL319,0))))</f>
        <v>0</v>
      </c>
    </row>
    <row r="320">
      <c r="X320" s="3">
        <f>IF('My investments'!$B320="",0,IF('My investments'!$E320="",0,'My investments'!$E320))</f>
        <v>0</v>
      </c>
      <c r="Y320" s="25">
        <f>IF('My investments'!$B320="",$D$8,'My investments'!$B320)</f>
        <v>0</v>
      </c>
      <c r="Z320" s="3">
        <f>IF('My investments'!$C320="Worth today",0,$X320)</f>
        <v>0</v>
      </c>
      <c r="AA320" s="3">
        <f>IF('My investments'!$H$15="",0,IF('My investments'!$F320='My investments'!$H$15,$X320,0))</f>
        <v>0</v>
      </c>
      <c r="AB320" s="3">
        <f>IF('My investments'!$H$16="",0,IF('My investments'!$F320='My investments'!$H$16,$X320,0))</f>
        <v>0</v>
      </c>
      <c r="AC320" s="3">
        <f>IF('My investments'!$H$17="",0,IF('My investments'!$F320='My investments'!$H$17,$X320,0))</f>
        <v>0</v>
      </c>
      <c r="AD320" s="3">
        <f>IF('My investments'!$H$18="",0,IF('My investments'!$F320='My investments'!$H$18,$X320,0))</f>
        <v>0</v>
      </c>
      <c r="AE320" s="3">
        <f>IF('My investments'!$H$19="",0,IF('My investments'!$F320='My investments'!$H$19,$X320,0))</f>
        <v>0</v>
      </c>
      <c r="AF320" s="3">
        <f>IF('My investments'!$H$20="",0,IF('My investments'!$F320='My investments'!$H$20,$X320,0))</f>
        <v>0</v>
      </c>
      <c r="AG320" s="3">
        <f>IF('My investments'!$H$21="",0,IF('My investments'!$F320='My investments'!$H$21,$X320,0))</f>
        <v>0</v>
      </c>
      <c r="AH320" s="3">
        <f>IF('My investments'!$H$22="",0,IF('My investments'!$F320='My investments'!$H$22,$X320,0))</f>
        <v>0</v>
      </c>
      <c r="AI320" s="3">
        <f>IF('My investments'!$H$23="",0,IF('My investments'!$F320='My investments'!$H$23,$X320,0))</f>
        <v>0</v>
      </c>
      <c r="AJ320" s="3">
        <f>IF('My investments'!$H$24="",0,IF('My investments'!$F320='My investments'!$H$24,$X320,0))</f>
        <v>0</v>
      </c>
      <c r="AL320" s="3" t="str">
        <f>IF('My investments'!$B320="","",IF($D$10=0,"",IFERROR(INDEX('Index history'!$B$8:$B$5007,MATCH('My investments'!$B320,'Index history'!$A$8:$A$5007,1)),"")))</f>
        <v/>
      </c>
      <c r="AM320" s="3">
        <f>IF($AL320="",0,IF('My investments'!$D320="",0,IF('My investments'!$C320="Money in",'My investments'!$D320/$AL320,IF('My investments'!$C320="Money out",-'My investments'!$D320/$AL320,0))))</f>
        <v>0</v>
      </c>
    </row>
    <row r="321">
      <c r="X321" s="3">
        <f>IF('My investments'!$B321="",0,IF('My investments'!$E321="",0,'My investments'!$E321))</f>
        <v>0</v>
      </c>
      <c r="Y321" s="25">
        <f>IF('My investments'!$B321="",$D$8,'My investments'!$B321)</f>
        <v>0</v>
      </c>
      <c r="Z321" s="3">
        <f>IF('My investments'!$C321="Worth today",0,$X321)</f>
        <v>0</v>
      </c>
      <c r="AA321" s="3">
        <f>IF('My investments'!$H$15="",0,IF('My investments'!$F321='My investments'!$H$15,$X321,0))</f>
        <v>0</v>
      </c>
      <c r="AB321" s="3">
        <f>IF('My investments'!$H$16="",0,IF('My investments'!$F321='My investments'!$H$16,$X321,0))</f>
        <v>0</v>
      </c>
      <c r="AC321" s="3">
        <f>IF('My investments'!$H$17="",0,IF('My investments'!$F321='My investments'!$H$17,$X321,0))</f>
        <v>0</v>
      </c>
      <c r="AD321" s="3">
        <f>IF('My investments'!$H$18="",0,IF('My investments'!$F321='My investments'!$H$18,$X321,0))</f>
        <v>0</v>
      </c>
      <c r="AE321" s="3">
        <f>IF('My investments'!$H$19="",0,IF('My investments'!$F321='My investments'!$H$19,$X321,0))</f>
        <v>0</v>
      </c>
      <c r="AF321" s="3">
        <f>IF('My investments'!$H$20="",0,IF('My investments'!$F321='My investments'!$H$20,$X321,0))</f>
        <v>0</v>
      </c>
      <c r="AG321" s="3">
        <f>IF('My investments'!$H$21="",0,IF('My investments'!$F321='My investments'!$H$21,$X321,0))</f>
        <v>0</v>
      </c>
      <c r="AH321" s="3">
        <f>IF('My investments'!$H$22="",0,IF('My investments'!$F321='My investments'!$H$22,$X321,0))</f>
        <v>0</v>
      </c>
      <c r="AI321" s="3">
        <f>IF('My investments'!$H$23="",0,IF('My investments'!$F321='My investments'!$H$23,$X321,0))</f>
        <v>0</v>
      </c>
      <c r="AJ321" s="3">
        <f>IF('My investments'!$H$24="",0,IF('My investments'!$F321='My investments'!$H$24,$X321,0))</f>
        <v>0</v>
      </c>
      <c r="AL321" s="3" t="str">
        <f>IF('My investments'!$B321="","",IF($D$10=0,"",IFERROR(INDEX('Index history'!$B$8:$B$5007,MATCH('My investments'!$B321,'Index history'!$A$8:$A$5007,1)),"")))</f>
        <v/>
      </c>
      <c r="AM321" s="3">
        <f>IF($AL321="",0,IF('My investments'!$D321="",0,IF('My investments'!$C321="Money in",'My investments'!$D321/$AL321,IF('My investments'!$C321="Money out",-'My investments'!$D321/$AL321,0))))</f>
        <v>0</v>
      </c>
    </row>
    <row r="322">
      <c r="X322" s="3">
        <f>IF('My investments'!$B322="",0,IF('My investments'!$E322="",0,'My investments'!$E322))</f>
        <v>0</v>
      </c>
      <c r="Y322" s="25">
        <f>IF('My investments'!$B322="",$D$8,'My investments'!$B322)</f>
        <v>0</v>
      </c>
      <c r="Z322" s="3">
        <f>IF('My investments'!$C322="Worth today",0,$X322)</f>
        <v>0</v>
      </c>
      <c r="AA322" s="3">
        <f>IF('My investments'!$H$15="",0,IF('My investments'!$F322='My investments'!$H$15,$X322,0))</f>
        <v>0</v>
      </c>
      <c r="AB322" s="3">
        <f>IF('My investments'!$H$16="",0,IF('My investments'!$F322='My investments'!$H$16,$X322,0))</f>
        <v>0</v>
      </c>
      <c r="AC322" s="3">
        <f>IF('My investments'!$H$17="",0,IF('My investments'!$F322='My investments'!$H$17,$X322,0))</f>
        <v>0</v>
      </c>
      <c r="AD322" s="3">
        <f>IF('My investments'!$H$18="",0,IF('My investments'!$F322='My investments'!$H$18,$X322,0))</f>
        <v>0</v>
      </c>
      <c r="AE322" s="3">
        <f>IF('My investments'!$H$19="",0,IF('My investments'!$F322='My investments'!$H$19,$X322,0))</f>
        <v>0</v>
      </c>
      <c r="AF322" s="3">
        <f>IF('My investments'!$H$20="",0,IF('My investments'!$F322='My investments'!$H$20,$X322,0))</f>
        <v>0</v>
      </c>
      <c r="AG322" s="3">
        <f>IF('My investments'!$H$21="",0,IF('My investments'!$F322='My investments'!$H$21,$X322,0))</f>
        <v>0</v>
      </c>
      <c r="AH322" s="3">
        <f>IF('My investments'!$H$22="",0,IF('My investments'!$F322='My investments'!$H$22,$X322,0))</f>
        <v>0</v>
      </c>
      <c r="AI322" s="3">
        <f>IF('My investments'!$H$23="",0,IF('My investments'!$F322='My investments'!$H$23,$X322,0))</f>
        <v>0</v>
      </c>
      <c r="AJ322" s="3">
        <f>IF('My investments'!$H$24="",0,IF('My investments'!$F322='My investments'!$H$24,$X322,0))</f>
        <v>0</v>
      </c>
      <c r="AL322" s="3" t="str">
        <f>IF('My investments'!$B322="","",IF($D$10=0,"",IFERROR(INDEX('Index history'!$B$8:$B$5007,MATCH('My investments'!$B322,'Index history'!$A$8:$A$5007,1)),"")))</f>
        <v/>
      </c>
      <c r="AM322" s="3">
        <f>IF($AL322="",0,IF('My investments'!$D322="",0,IF('My investments'!$C322="Money in",'My investments'!$D322/$AL322,IF('My investments'!$C322="Money out",-'My investments'!$D322/$AL322,0))))</f>
        <v>0</v>
      </c>
    </row>
    <row r="323">
      <c r="X323" s="3">
        <f>IF('My investments'!$B323="",0,IF('My investments'!$E323="",0,'My investments'!$E323))</f>
        <v>0</v>
      </c>
      <c r="Y323" s="25">
        <f>IF('My investments'!$B323="",$D$8,'My investments'!$B323)</f>
        <v>0</v>
      </c>
      <c r="Z323" s="3">
        <f>IF('My investments'!$C323="Worth today",0,$X323)</f>
        <v>0</v>
      </c>
      <c r="AA323" s="3">
        <f>IF('My investments'!$H$15="",0,IF('My investments'!$F323='My investments'!$H$15,$X323,0))</f>
        <v>0</v>
      </c>
      <c r="AB323" s="3">
        <f>IF('My investments'!$H$16="",0,IF('My investments'!$F323='My investments'!$H$16,$X323,0))</f>
        <v>0</v>
      </c>
      <c r="AC323" s="3">
        <f>IF('My investments'!$H$17="",0,IF('My investments'!$F323='My investments'!$H$17,$X323,0))</f>
        <v>0</v>
      </c>
      <c r="AD323" s="3">
        <f>IF('My investments'!$H$18="",0,IF('My investments'!$F323='My investments'!$H$18,$X323,0))</f>
        <v>0</v>
      </c>
      <c r="AE323" s="3">
        <f>IF('My investments'!$H$19="",0,IF('My investments'!$F323='My investments'!$H$19,$X323,0))</f>
        <v>0</v>
      </c>
      <c r="AF323" s="3">
        <f>IF('My investments'!$H$20="",0,IF('My investments'!$F323='My investments'!$H$20,$X323,0))</f>
        <v>0</v>
      </c>
      <c r="AG323" s="3">
        <f>IF('My investments'!$H$21="",0,IF('My investments'!$F323='My investments'!$H$21,$X323,0))</f>
        <v>0</v>
      </c>
      <c r="AH323" s="3">
        <f>IF('My investments'!$H$22="",0,IF('My investments'!$F323='My investments'!$H$22,$X323,0))</f>
        <v>0</v>
      </c>
      <c r="AI323" s="3">
        <f>IF('My investments'!$H$23="",0,IF('My investments'!$F323='My investments'!$H$23,$X323,0))</f>
        <v>0</v>
      </c>
      <c r="AJ323" s="3">
        <f>IF('My investments'!$H$24="",0,IF('My investments'!$F323='My investments'!$H$24,$X323,0))</f>
        <v>0</v>
      </c>
      <c r="AL323" s="3" t="str">
        <f>IF('My investments'!$B323="","",IF($D$10=0,"",IFERROR(INDEX('Index history'!$B$8:$B$5007,MATCH('My investments'!$B323,'Index history'!$A$8:$A$5007,1)),"")))</f>
        <v/>
      </c>
      <c r="AM323" s="3">
        <f>IF($AL323="",0,IF('My investments'!$D323="",0,IF('My investments'!$C323="Money in",'My investments'!$D323/$AL323,IF('My investments'!$C323="Money out",-'My investments'!$D323/$AL323,0))))</f>
        <v>0</v>
      </c>
    </row>
    <row r="324">
      <c r="X324" s="3">
        <f>IF('My investments'!$B324="",0,IF('My investments'!$E324="",0,'My investments'!$E324))</f>
        <v>0</v>
      </c>
      <c r="Y324" s="25">
        <f>IF('My investments'!$B324="",$D$8,'My investments'!$B324)</f>
        <v>0</v>
      </c>
      <c r="Z324" s="3">
        <f>IF('My investments'!$C324="Worth today",0,$X324)</f>
        <v>0</v>
      </c>
      <c r="AA324" s="3">
        <f>IF('My investments'!$H$15="",0,IF('My investments'!$F324='My investments'!$H$15,$X324,0))</f>
        <v>0</v>
      </c>
      <c r="AB324" s="3">
        <f>IF('My investments'!$H$16="",0,IF('My investments'!$F324='My investments'!$H$16,$X324,0))</f>
        <v>0</v>
      </c>
      <c r="AC324" s="3">
        <f>IF('My investments'!$H$17="",0,IF('My investments'!$F324='My investments'!$H$17,$X324,0))</f>
        <v>0</v>
      </c>
      <c r="AD324" s="3">
        <f>IF('My investments'!$H$18="",0,IF('My investments'!$F324='My investments'!$H$18,$X324,0))</f>
        <v>0</v>
      </c>
      <c r="AE324" s="3">
        <f>IF('My investments'!$H$19="",0,IF('My investments'!$F324='My investments'!$H$19,$X324,0))</f>
        <v>0</v>
      </c>
      <c r="AF324" s="3">
        <f>IF('My investments'!$H$20="",0,IF('My investments'!$F324='My investments'!$H$20,$X324,0))</f>
        <v>0</v>
      </c>
      <c r="AG324" s="3">
        <f>IF('My investments'!$H$21="",0,IF('My investments'!$F324='My investments'!$H$21,$X324,0))</f>
        <v>0</v>
      </c>
      <c r="AH324" s="3">
        <f>IF('My investments'!$H$22="",0,IF('My investments'!$F324='My investments'!$H$22,$X324,0))</f>
        <v>0</v>
      </c>
      <c r="AI324" s="3">
        <f>IF('My investments'!$H$23="",0,IF('My investments'!$F324='My investments'!$H$23,$X324,0))</f>
        <v>0</v>
      </c>
      <c r="AJ324" s="3">
        <f>IF('My investments'!$H$24="",0,IF('My investments'!$F324='My investments'!$H$24,$X324,0))</f>
        <v>0</v>
      </c>
      <c r="AL324" s="3" t="str">
        <f>IF('My investments'!$B324="","",IF($D$10=0,"",IFERROR(INDEX('Index history'!$B$8:$B$5007,MATCH('My investments'!$B324,'Index history'!$A$8:$A$5007,1)),"")))</f>
        <v/>
      </c>
      <c r="AM324" s="3">
        <f>IF($AL324="",0,IF('My investments'!$D324="",0,IF('My investments'!$C324="Money in",'My investments'!$D324/$AL324,IF('My investments'!$C324="Money out",-'My investments'!$D324/$AL324,0))))</f>
        <v>0</v>
      </c>
    </row>
    <row r="325">
      <c r="X325" s="3">
        <f>IF('My investments'!$B325="",0,IF('My investments'!$E325="",0,'My investments'!$E325))</f>
        <v>0</v>
      </c>
      <c r="Y325" s="25">
        <f>IF('My investments'!$B325="",$D$8,'My investments'!$B325)</f>
        <v>0</v>
      </c>
      <c r="Z325" s="3">
        <f>IF('My investments'!$C325="Worth today",0,$X325)</f>
        <v>0</v>
      </c>
      <c r="AA325" s="3">
        <f>IF('My investments'!$H$15="",0,IF('My investments'!$F325='My investments'!$H$15,$X325,0))</f>
        <v>0</v>
      </c>
      <c r="AB325" s="3">
        <f>IF('My investments'!$H$16="",0,IF('My investments'!$F325='My investments'!$H$16,$X325,0))</f>
        <v>0</v>
      </c>
      <c r="AC325" s="3">
        <f>IF('My investments'!$H$17="",0,IF('My investments'!$F325='My investments'!$H$17,$X325,0))</f>
        <v>0</v>
      </c>
      <c r="AD325" s="3">
        <f>IF('My investments'!$H$18="",0,IF('My investments'!$F325='My investments'!$H$18,$X325,0))</f>
        <v>0</v>
      </c>
      <c r="AE325" s="3">
        <f>IF('My investments'!$H$19="",0,IF('My investments'!$F325='My investments'!$H$19,$X325,0))</f>
        <v>0</v>
      </c>
      <c r="AF325" s="3">
        <f>IF('My investments'!$H$20="",0,IF('My investments'!$F325='My investments'!$H$20,$X325,0))</f>
        <v>0</v>
      </c>
      <c r="AG325" s="3">
        <f>IF('My investments'!$H$21="",0,IF('My investments'!$F325='My investments'!$H$21,$X325,0))</f>
        <v>0</v>
      </c>
      <c r="AH325" s="3">
        <f>IF('My investments'!$H$22="",0,IF('My investments'!$F325='My investments'!$H$22,$X325,0))</f>
        <v>0</v>
      </c>
      <c r="AI325" s="3">
        <f>IF('My investments'!$H$23="",0,IF('My investments'!$F325='My investments'!$H$23,$X325,0))</f>
        <v>0</v>
      </c>
      <c r="AJ325" s="3">
        <f>IF('My investments'!$H$24="",0,IF('My investments'!$F325='My investments'!$H$24,$X325,0))</f>
        <v>0</v>
      </c>
      <c r="AL325" s="3" t="str">
        <f>IF('My investments'!$B325="","",IF($D$10=0,"",IFERROR(INDEX('Index history'!$B$8:$B$5007,MATCH('My investments'!$B325,'Index history'!$A$8:$A$5007,1)),"")))</f>
        <v/>
      </c>
      <c r="AM325" s="3">
        <f>IF($AL325="",0,IF('My investments'!$D325="",0,IF('My investments'!$C325="Money in",'My investments'!$D325/$AL325,IF('My investments'!$C325="Money out",-'My investments'!$D325/$AL325,0))))</f>
        <v>0</v>
      </c>
    </row>
    <row r="326">
      <c r="X326" s="3">
        <f>IF('My investments'!$B326="",0,IF('My investments'!$E326="",0,'My investments'!$E326))</f>
        <v>0</v>
      </c>
      <c r="Y326" s="25">
        <f>IF('My investments'!$B326="",$D$8,'My investments'!$B326)</f>
        <v>0</v>
      </c>
      <c r="Z326" s="3">
        <f>IF('My investments'!$C326="Worth today",0,$X326)</f>
        <v>0</v>
      </c>
      <c r="AA326" s="3">
        <f>IF('My investments'!$H$15="",0,IF('My investments'!$F326='My investments'!$H$15,$X326,0))</f>
        <v>0</v>
      </c>
      <c r="AB326" s="3">
        <f>IF('My investments'!$H$16="",0,IF('My investments'!$F326='My investments'!$H$16,$X326,0))</f>
        <v>0</v>
      </c>
      <c r="AC326" s="3">
        <f>IF('My investments'!$H$17="",0,IF('My investments'!$F326='My investments'!$H$17,$X326,0))</f>
        <v>0</v>
      </c>
      <c r="AD326" s="3">
        <f>IF('My investments'!$H$18="",0,IF('My investments'!$F326='My investments'!$H$18,$X326,0))</f>
        <v>0</v>
      </c>
      <c r="AE326" s="3">
        <f>IF('My investments'!$H$19="",0,IF('My investments'!$F326='My investments'!$H$19,$X326,0))</f>
        <v>0</v>
      </c>
      <c r="AF326" s="3">
        <f>IF('My investments'!$H$20="",0,IF('My investments'!$F326='My investments'!$H$20,$X326,0))</f>
        <v>0</v>
      </c>
      <c r="AG326" s="3">
        <f>IF('My investments'!$H$21="",0,IF('My investments'!$F326='My investments'!$H$21,$X326,0))</f>
        <v>0</v>
      </c>
      <c r="AH326" s="3">
        <f>IF('My investments'!$H$22="",0,IF('My investments'!$F326='My investments'!$H$22,$X326,0))</f>
        <v>0</v>
      </c>
      <c r="AI326" s="3">
        <f>IF('My investments'!$H$23="",0,IF('My investments'!$F326='My investments'!$H$23,$X326,0))</f>
        <v>0</v>
      </c>
      <c r="AJ326" s="3">
        <f>IF('My investments'!$H$24="",0,IF('My investments'!$F326='My investments'!$H$24,$X326,0))</f>
        <v>0</v>
      </c>
      <c r="AL326" s="3" t="str">
        <f>IF('My investments'!$B326="","",IF($D$10=0,"",IFERROR(INDEX('Index history'!$B$8:$B$5007,MATCH('My investments'!$B326,'Index history'!$A$8:$A$5007,1)),"")))</f>
        <v/>
      </c>
      <c r="AM326" s="3">
        <f>IF($AL326="",0,IF('My investments'!$D326="",0,IF('My investments'!$C326="Money in",'My investments'!$D326/$AL326,IF('My investments'!$C326="Money out",-'My investments'!$D326/$AL326,0))))</f>
        <v>0</v>
      </c>
    </row>
    <row r="327">
      <c r="X327" s="3">
        <f>IF('My investments'!$B327="",0,IF('My investments'!$E327="",0,'My investments'!$E327))</f>
        <v>0</v>
      </c>
      <c r="Y327" s="25">
        <f>IF('My investments'!$B327="",$D$8,'My investments'!$B327)</f>
        <v>0</v>
      </c>
      <c r="Z327" s="3">
        <f>IF('My investments'!$C327="Worth today",0,$X327)</f>
        <v>0</v>
      </c>
      <c r="AA327" s="3">
        <f>IF('My investments'!$H$15="",0,IF('My investments'!$F327='My investments'!$H$15,$X327,0))</f>
        <v>0</v>
      </c>
      <c r="AB327" s="3">
        <f>IF('My investments'!$H$16="",0,IF('My investments'!$F327='My investments'!$H$16,$X327,0))</f>
        <v>0</v>
      </c>
      <c r="AC327" s="3">
        <f>IF('My investments'!$H$17="",0,IF('My investments'!$F327='My investments'!$H$17,$X327,0))</f>
        <v>0</v>
      </c>
      <c r="AD327" s="3">
        <f>IF('My investments'!$H$18="",0,IF('My investments'!$F327='My investments'!$H$18,$X327,0))</f>
        <v>0</v>
      </c>
      <c r="AE327" s="3">
        <f>IF('My investments'!$H$19="",0,IF('My investments'!$F327='My investments'!$H$19,$X327,0))</f>
        <v>0</v>
      </c>
      <c r="AF327" s="3">
        <f>IF('My investments'!$H$20="",0,IF('My investments'!$F327='My investments'!$H$20,$X327,0))</f>
        <v>0</v>
      </c>
      <c r="AG327" s="3">
        <f>IF('My investments'!$H$21="",0,IF('My investments'!$F327='My investments'!$H$21,$X327,0))</f>
        <v>0</v>
      </c>
      <c r="AH327" s="3">
        <f>IF('My investments'!$H$22="",0,IF('My investments'!$F327='My investments'!$H$22,$X327,0))</f>
        <v>0</v>
      </c>
      <c r="AI327" s="3">
        <f>IF('My investments'!$H$23="",0,IF('My investments'!$F327='My investments'!$H$23,$X327,0))</f>
        <v>0</v>
      </c>
      <c r="AJ327" s="3">
        <f>IF('My investments'!$H$24="",0,IF('My investments'!$F327='My investments'!$H$24,$X327,0))</f>
        <v>0</v>
      </c>
      <c r="AL327" s="3" t="str">
        <f>IF('My investments'!$B327="","",IF($D$10=0,"",IFERROR(INDEX('Index history'!$B$8:$B$5007,MATCH('My investments'!$B327,'Index history'!$A$8:$A$5007,1)),"")))</f>
        <v/>
      </c>
      <c r="AM327" s="3">
        <f>IF($AL327="",0,IF('My investments'!$D327="",0,IF('My investments'!$C327="Money in",'My investments'!$D327/$AL327,IF('My investments'!$C327="Money out",-'My investments'!$D327/$AL327,0))))</f>
        <v>0</v>
      </c>
    </row>
    <row r="328">
      <c r="X328" s="3">
        <f>IF('My investments'!$B328="",0,IF('My investments'!$E328="",0,'My investments'!$E328))</f>
        <v>0</v>
      </c>
      <c r="Y328" s="25">
        <f>IF('My investments'!$B328="",$D$8,'My investments'!$B328)</f>
        <v>0</v>
      </c>
      <c r="Z328" s="3">
        <f>IF('My investments'!$C328="Worth today",0,$X328)</f>
        <v>0</v>
      </c>
      <c r="AA328" s="3">
        <f>IF('My investments'!$H$15="",0,IF('My investments'!$F328='My investments'!$H$15,$X328,0))</f>
        <v>0</v>
      </c>
      <c r="AB328" s="3">
        <f>IF('My investments'!$H$16="",0,IF('My investments'!$F328='My investments'!$H$16,$X328,0))</f>
        <v>0</v>
      </c>
      <c r="AC328" s="3">
        <f>IF('My investments'!$H$17="",0,IF('My investments'!$F328='My investments'!$H$17,$X328,0))</f>
        <v>0</v>
      </c>
      <c r="AD328" s="3">
        <f>IF('My investments'!$H$18="",0,IF('My investments'!$F328='My investments'!$H$18,$X328,0))</f>
        <v>0</v>
      </c>
      <c r="AE328" s="3">
        <f>IF('My investments'!$H$19="",0,IF('My investments'!$F328='My investments'!$H$19,$X328,0))</f>
        <v>0</v>
      </c>
      <c r="AF328" s="3">
        <f>IF('My investments'!$H$20="",0,IF('My investments'!$F328='My investments'!$H$20,$X328,0))</f>
        <v>0</v>
      </c>
      <c r="AG328" s="3">
        <f>IF('My investments'!$H$21="",0,IF('My investments'!$F328='My investments'!$H$21,$X328,0))</f>
        <v>0</v>
      </c>
      <c r="AH328" s="3">
        <f>IF('My investments'!$H$22="",0,IF('My investments'!$F328='My investments'!$H$22,$X328,0))</f>
        <v>0</v>
      </c>
      <c r="AI328" s="3">
        <f>IF('My investments'!$H$23="",0,IF('My investments'!$F328='My investments'!$H$23,$X328,0))</f>
        <v>0</v>
      </c>
      <c r="AJ328" s="3">
        <f>IF('My investments'!$H$24="",0,IF('My investments'!$F328='My investments'!$H$24,$X328,0))</f>
        <v>0</v>
      </c>
      <c r="AL328" s="3" t="str">
        <f>IF('My investments'!$B328="","",IF($D$10=0,"",IFERROR(INDEX('Index history'!$B$8:$B$5007,MATCH('My investments'!$B328,'Index history'!$A$8:$A$5007,1)),"")))</f>
        <v/>
      </c>
      <c r="AM328" s="3">
        <f>IF($AL328="",0,IF('My investments'!$D328="",0,IF('My investments'!$C328="Money in",'My investments'!$D328/$AL328,IF('My investments'!$C328="Money out",-'My investments'!$D328/$AL328,0))))</f>
        <v>0</v>
      </c>
    </row>
    <row r="329">
      <c r="X329" s="3">
        <f>IF('My investments'!$B329="",0,IF('My investments'!$E329="",0,'My investments'!$E329))</f>
        <v>0</v>
      </c>
      <c r="Y329" s="25">
        <f>IF('My investments'!$B329="",$D$8,'My investments'!$B329)</f>
        <v>0</v>
      </c>
      <c r="Z329" s="3">
        <f>IF('My investments'!$C329="Worth today",0,$X329)</f>
        <v>0</v>
      </c>
      <c r="AA329" s="3">
        <f>IF('My investments'!$H$15="",0,IF('My investments'!$F329='My investments'!$H$15,$X329,0))</f>
        <v>0</v>
      </c>
      <c r="AB329" s="3">
        <f>IF('My investments'!$H$16="",0,IF('My investments'!$F329='My investments'!$H$16,$X329,0))</f>
        <v>0</v>
      </c>
      <c r="AC329" s="3">
        <f>IF('My investments'!$H$17="",0,IF('My investments'!$F329='My investments'!$H$17,$X329,0))</f>
        <v>0</v>
      </c>
      <c r="AD329" s="3">
        <f>IF('My investments'!$H$18="",0,IF('My investments'!$F329='My investments'!$H$18,$X329,0))</f>
        <v>0</v>
      </c>
      <c r="AE329" s="3">
        <f>IF('My investments'!$H$19="",0,IF('My investments'!$F329='My investments'!$H$19,$X329,0))</f>
        <v>0</v>
      </c>
      <c r="AF329" s="3">
        <f>IF('My investments'!$H$20="",0,IF('My investments'!$F329='My investments'!$H$20,$X329,0))</f>
        <v>0</v>
      </c>
      <c r="AG329" s="3">
        <f>IF('My investments'!$H$21="",0,IF('My investments'!$F329='My investments'!$H$21,$X329,0))</f>
        <v>0</v>
      </c>
      <c r="AH329" s="3">
        <f>IF('My investments'!$H$22="",0,IF('My investments'!$F329='My investments'!$H$22,$X329,0))</f>
        <v>0</v>
      </c>
      <c r="AI329" s="3">
        <f>IF('My investments'!$H$23="",0,IF('My investments'!$F329='My investments'!$H$23,$X329,0))</f>
        <v>0</v>
      </c>
      <c r="AJ329" s="3">
        <f>IF('My investments'!$H$24="",0,IF('My investments'!$F329='My investments'!$H$24,$X329,0))</f>
        <v>0</v>
      </c>
      <c r="AL329" s="3" t="str">
        <f>IF('My investments'!$B329="","",IF($D$10=0,"",IFERROR(INDEX('Index history'!$B$8:$B$5007,MATCH('My investments'!$B329,'Index history'!$A$8:$A$5007,1)),"")))</f>
        <v/>
      </c>
      <c r="AM329" s="3">
        <f>IF($AL329="",0,IF('My investments'!$D329="",0,IF('My investments'!$C329="Money in",'My investments'!$D329/$AL329,IF('My investments'!$C329="Money out",-'My investments'!$D329/$AL329,0))))</f>
        <v>0</v>
      </c>
    </row>
    <row r="330">
      <c r="X330" s="3">
        <f>IF('My investments'!$B330="",0,IF('My investments'!$E330="",0,'My investments'!$E330))</f>
        <v>0</v>
      </c>
      <c r="Y330" s="25">
        <f>IF('My investments'!$B330="",$D$8,'My investments'!$B330)</f>
        <v>0</v>
      </c>
      <c r="Z330" s="3">
        <f>IF('My investments'!$C330="Worth today",0,$X330)</f>
        <v>0</v>
      </c>
      <c r="AA330" s="3">
        <f>IF('My investments'!$H$15="",0,IF('My investments'!$F330='My investments'!$H$15,$X330,0))</f>
        <v>0</v>
      </c>
      <c r="AB330" s="3">
        <f>IF('My investments'!$H$16="",0,IF('My investments'!$F330='My investments'!$H$16,$X330,0))</f>
        <v>0</v>
      </c>
      <c r="AC330" s="3">
        <f>IF('My investments'!$H$17="",0,IF('My investments'!$F330='My investments'!$H$17,$X330,0))</f>
        <v>0</v>
      </c>
      <c r="AD330" s="3">
        <f>IF('My investments'!$H$18="",0,IF('My investments'!$F330='My investments'!$H$18,$X330,0))</f>
        <v>0</v>
      </c>
      <c r="AE330" s="3">
        <f>IF('My investments'!$H$19="",0,IF('My investments'!$F330='My investments'!$H$19,$X330,0))</f>
        <v>0</v>
      </c>
      <c r="AF330" s="3">
        <f>IF('My investments'!$H$20="",0,IF('My investments'!$F330='My investments'!$H$20,$X330,0))</f>
        <v>0</v>
      </c>
      <c r="AG330" s="3">
        <f>IF('My investments'!$H$21="",0,IF('My investments'!$F330='My investments'!$H$21,$X330,0))</f>
        <v>0</v>
      </c>
      <c r="AH330" s="3">
        <f>IF('My investments'!$H$22="",0,IF('My investments'!$F330='My investments'!$H$22,$X330,0))</f>
        <v>0</v>
      </c>
      <c r="AI330" s="3">
        <f>IF('My investments'!$H$23="",0,IF('My investments'!$F330='My investments'!$H$23,$X330,0))</f>
        <v>0</v>
      </c>
      <c r="AJ330" s="3">
        <f>IF('My investments'!$H$24="",0,IF('My investments'!$F330='My investments'!$H$24,$X330,0))</f>
        <v>0</v>
      </c>
      <c r="AL330" s="3" t="str">
        <f>IF('My investments'!$B330="","",IF($D$10=0,"",IFERROR(INDEX('Index history'!$B$8:$B$5007,MATCH('My investments'!$B330,'Index history'!$A$8:$A$5007,1)),"")))</f>
        <v/>
      </c>
      <c r="AM330" s="3">
        <f>IF($AL330="",0,IF('My investments'!$D330="",0,IF('My investments'!$C330="Money in",'My investments'!$D330/$AL330,IF('My investments'!$C330="Money out",-'My investments'!$D330/$AL330,0))))</f>
        <v>0</v>
      </c>
    </row>
    <row r="331">
      <c r="X331" s="3">
        <f>IF('My investments'!$B331="",0,IF('My investments'!$E331="",0,'My investments'!$E331))</f>
        <v>0</v>
      </c>
      <c r="Y331" s="25">
        <f>IF('My investments'!$B331="",$D$8,'My investments'!$B331)</f>
        <v>0</v>
      </c>
      <c r="Z331" s="3">
        <f>IF('My investments'!$C331="Worth today",0,$X331)</f>
        <v>0</v>
      </c>
      <c r="AA331" s="3">
        <f>IF('My investments'!$H$15="",0,IF('My investments'!$F331='My investments'!$H$15,$X331,0))</f>
        <v>0</v>
      </c>
      <c r="AB331" s="3">
        <f>IF('My investments'!$H$16="",0,IF('My investments'!$F331='My investments'!$H$16,$X331,0))</f>
        <v>0</v>
      </c>
      <c r="AC331" s="3">
        <f>IF('My investments'!$H$17="",0,IF('My investments'!$F331='My investments'!$H$17,$X331,0))</f>
        <v>0</v>
      </c>
      <c r="AD331" s="3">
        <f>IF('My investments'!$H$18="",0,IF('My investments'!$F331='My investments'!$H$18,$X331,0))</f>
        <v>0</v>
      </c>
      <c r="AE331" s="3">
        <f>IF('My investments'!$H$19="",0,IF('My investments'!$F331='My investments'!$H$19,$X331,0))</f>
        <v>0</v>
      </c>
      <c r="AF331" s="3">
        <f>IF('My investments'!$H$20="",0,IF('My investments'!$F331='My investments'!$H$20,$X331,0))</f>
        <v>0</v>
      </c>
      <c r="AG331" s="3">
        <f>IF('My investments'!$H$21="",0,IF('My investments'!$F331='My investments'!$H$21,$X331,0))</f>
        <v>0</v>
      </c>
      <c r="AH331" s="3">
        <f>IF('My investments'!$H$22="",0,IF('My investments'!$F331='My investments'!$H$22,$X331,0))</f>
        <v>0</v>
      </c>
      <c r="AI331" s="3">
        <f>IF('My investments'!$H$23="",0,IF('My investments'!$F331='My investments'!$H$23,$X331,0))</f>
        <v>0</v>
      </c>
      <c r="AJ331" s="3">
        <f>IF('My investments'!$H$24="",0,IF('My investments'!$F331='My investments'!$H$24,$X331,0))</f>
        <v>0</v>
      </c>
      <c r="AL331" s="3" t="str">
        <f>IF('My investments'!$B331="","",IF($D$10=0,"",IFERROR(INDEX('Index history'!$B$8:$B$5007,MATCH('My investments'!$B331,'Index history'!$A$8:$A$5007,1)),"")))</f>
        <v/>
      </c>
      <c r="AM331" s="3">
        <f>IF($AL331="",0,IF('My investments'!$D331="",0,IF('My investments'!$C331="Money in",'My investments'!$D331/$AL331,IF('My investments'!$C331="Money out",-'My investments'!$D331/$AL331,0))))</f>
        <v>0</v>
      </c>
    </row>
    <row r="332">
      <c r="X332" s="3">
        <f>IF('My investments'!$B332="",0,IF('My investments'!$E332="",0,'My investments'!$E332))</f>
        <v>0</v>
      </c>
      <c r="Y332" s="25">
        <f>IF('My investments'!$B332="",$D$8,'My investments'!$B332)</f>
        <v>0</v>
      </c>
      <c r="Z332" s="3">
        <f>IF('My investments'!$C332="Worth today",0,$X332)</f>
        <v>0</v>
      </c>
      <c r="AA332" s="3">
        <f>IF('My investments'!$H$15="",0,IF('My investments'!$F332='My investments'!$H$15,$X332,0))</f>
        <v>0</v>
      </c>
      <c r="AB332" s="3">
        <f>IF('My investments'!$H$16="",0,IF('My investments'!$F332='My investments'!$H$16,$X332,0))</f>
        <v>0</v>
      </c>
      <c r="AC332" s="3">
        <f>IF('My investments'!$H$17="",0,IF('My investments'!$F332='My investments'!$H$17,$X332,0))</f>
        <v>0</v>
      </c>
      <c r="AD332" s="3">
        <f>IF('My investments'!$H$18="",0,IF('My investments'!$F332='My investments'!$H$18,$X332,0))</f>
        <v>0</v>
      </c>
      <c r="AE332" s="3">
        <f>IF('My investments'!$H$19="",0,IF('My investments'!$F332='My investments'!$H$19,$X332,0))</f>
        <v>0</v>
      </c>
      <c r="AF332" s="3">
        <f>IF('My investments'!$H$20="",0,IF('My investments'!$F332='My investments'!$H$20,$X332,0))</f>
        <v>0</v>
      </c>
      <c r="AG332" s="3">
        <f>IF('My investments'!$H$21="",0,IF('My investments'!$F332='My investments'!$H$21,$X332,0))</f>
        <v>0</v>
      </c>
      <c r="AH332" s="3">
        <f>IF('My investments'!$H$22="",0,IF('My investments'!$F332='My investments'!$H$22,$X332,0))</f>
        <v>0</v>
      </c>
      <c r="AI332" s="3">
        <f>IF('My investments'!$H$23="",0,IF('My investments'!$F332='My investments'!$H$23,$X332,0))</f>
        <v>0</v>
      </c>
      <c r="AJ332" s="3">
        <f>IF('My investments'!$H$24="",0,IF('My investments'!$F332='My investments'!$H$24,$X332,0))</f>
        <v>0</v>
      </c>
      <c r="AL332" s="3" t="str">
        <f>IF('My investments'!$B332="","",IF($D$10=0,"",IFERROR(INDEX('Index history'!$B$8:$B$5007,MATCH('My investments'!$B332,'Index history'!$A$8:$A$5007,1)),"")))</f>
        <v/>
      </c>
      <c r="AM332" s="3">
        <f>IF($AL332="",0,IF('My investments'!$D332="",0,IF('My investments'!$C332="Money in",'My investments'!$D332/$AL332,IF('My investments'!$C332="Money out",-'My investments'!$D332/$AL332,0))))</f>
        <v>0</v>
      </c>
    </row>
    <row r="333">
      <c r="X333" s="3">
        <f>IF('My investments'!$B333="",0,IF('My investments'!$E333="",0,'My investments'!$E333))</f>
        <v>0</v>
      </c>
      <c r="Y333" s="25">
        <f>IF('My investments'!$B333="",$D$8,'My investments'!$B333)</f>
        <v>0</v>
      </c>
      <c r="Z333" s="3">
        <f>IF('My investments'!$C333="Worth today",0,$X333)</f>
        <v>0</v>
      </c>
      <c r="AA333" s="3">
        <f>IF('My investments'!$H$15="",0,IF('My investments'!$F333='My investments'!$H$15,$X333,0))</f>
        <v>0</v>
      </c>
      <c r="AB333" s="3">
        <f>IF('My investments'!$H$16="",0,IF('My investments'!$F333='My investments'!$H$16,$X333,0))</f>
        <v>0</v>
      </c>
      <c r="AC333" s="3">
        <f>IF('My investments'!$H$17="",0,IF('My investments'!$F333='My investments'!$H$17,$X333,0))</f>
        <v>0</v>
      </c>
      <c r="AD333" s="3">
        <f>IF('My investments'!$H$18="",0,IF('My investments'!$F333='My investments'!$H$18,$X333,0))</f>
        <v>0</v>
      </c>
      <c r="AE333" s="3">
        <f>IF('My investments'!$H$19="",0,IF('My investments'!$F333='My investments'!$H$19,$X333,0))</f>
        <v>0</v>
      </c>
      <c r="AF333" s="3">
        <f>IF('My investments'!$H$20="",0,IF('My investments'!$F333='My investments'!$H$20,$X333,0))</f>
        <v>0</v>
      </c>
      <c r="AG333" s="3">
        <f>IF('My investments'!$H$21="",0,IF('My investments'!$F333='My investments'!$H$21,$X333,0))</f>
        <v>0</v>
      </c>
      <c r="AH333" s="3">
        <f>IF('My investments'!$H$22="",0,IF('My investments'!$F333='My investments'!$H$22,$X333,0))</f>
        <v>0</v>
      </c>
      <c r="AI333" s="3">
        <f>IF('My investments'!$H$23="",0,IF('My investments'!$F333='My investments'!$H$23,$X333,0))</f>
        <v>0</v>
      </c>
      <c r="AJ333" s="3">
        <f>IF('My investments'!$H$24="",0,IF('My investments'!$F333='My investments'!$H$24,$X333,0))</f>
        <v>0</v>
      </c>
      <c r="AL333" s="3" t="str">
        <f>IF('My investments'!$B333="","",IF($D$10=0,"",IFERROR(INDEX('Index history'!$B$8:$B$5007,MATCH('My investments'!$B333,'Index history'!$A$8:$A$5007,1)),"")))</f>
        <v/>
      </c>
      <c r="AM333" s="3">
        <f>IF($AL333="",0,IF('My investments'!$D333="",0,IF('My investments'!$C333="Money in",'My investments'!$D333/$AL333,IF('My investments'!$C333="Money out",-'My investments'!$D333/$AL333,0))))</f>
        <v>0</v>
      </c>
    </row>
    <row r="334">
      <c r="X334" s="3">
        <f>IF('My investments'!$B334="",0,IF('My investments'!$E334="",0,'My investments'!$E334))</f>
        <v>0</v>
      </c>
      <c r="Y334" s="25">
        <f>IF('My investments'!$B334="",$D$8,'My investments'!$B334)</f>
        <v>0</v>
      </c>
      <c r="Z334" s="3">
        <f>IF('My investments'!$C334="Worth today",0,$X334)</f>
        <v>0</v>
      </c>
      <c r="AA334" s="3">
        <f>IF('My investments'!$H$15="",0,IF('My investments'!$F334='My investments'!$H$15,$X334,0))</f>
        <v>0</v>
      </c>
      <c r="AB334" s="3">
        <f>IF('My investments'!$H$16="",0,IF('My investments'!$F334='My investments'!$H$16,$X334,0))</f>
        <v>0</v>
      </c>
      <c r="AC334" s="3">
        <f>IF('My investments'!$H$17="",0,IF('My investments'!$F334='My investments'!$H$17,$X334,0))</f>
        <v>0</v>
      </c>
      <c r="AD334" s="3">
        <f>IF('My investments'!$H$18="",0,IF('My investments'!$F334='My investments'!$H$18,$X334,0))</f>
        <v>0</v>
      </c>
      <c r="AE334" s="3">
        <f>IF('My investments'!$H$19="",0,IF('My investments'!$F334='My investments'!$H$19,$X334,0))</f>
        <v>0</v>
      </c>
      <c r="AF334" s="3">
        <f>IF('My investments'!$H$20="",0,IF('My investments'!$F334='My investments'!$H$20,$X334,0))</f>
        <v>0</v>
      </c>
      <c r="AG334" s="3">
        <f>IF('My investments'!$H$21="",0,IF('My investments'!$F334='My investments'!$H$21,$X334,0))</f>
        <v>0</v>
      </c>
      <c r="AH334" s="3">
        <f>IF('My investments'!$H$22="",0,IF('My investments'!$F334='My investments'!$H$22,$X334,0))</f>
        <v>0</v>
      </c>
      <c r="AI334" s="3">
        <f>IF('My investments'!$H$23="",0,IF('My investments'!$F334='My investments'!$H$23,$X334,0))</f>
        <v>0</v>
      </c>
      <c r="AJ334" s="3">
        <f>IF('My investments'!$H$24="",0,IF('My investments'!$F334='My investments'!$H$24,$X334,0))</f>
        <v>0</v>
      </c>
      <c r="AL334" s="3" t="str">
        <f>IF('My investments'!$B334="","",IF($D$10=0,"",IFERROR(INDEX('Index history'!$B$8:$B$5007,MATCH('My investments'!$B334,'Index history'!$A$8:$A$5007,1)),"")))</f>
        <v/>
      </c>
      <c r="AM334" s="3">
        <f>IF($AL334="",0,IF('My investments'!$D334="",0,IF('My investments'!$C334="Money in",'My investments'!$D334/$AL334,IF('My investments'!$C334="Money out",-'My investments'!$D334/$AL334,0))))</f>
        <v>0</v>
      </c>
    </row>
    <row r="335">
      <c r="X335" s="3">
        <f>IF('My investments'!$B335="",0,IF('My investments'!$E335="",0,'My investments'!$E335))</f>
        <v>0</v>
      </c>
      <c r="Y335" s="25">
        <f>IF('My investments'!$B335="",$D$8,'My investments'!$B335)</f>
        <v>0</v>
      </c>
      <c r="Z335" s="3">
        <f>IF('My investments'!$C335="Worth today",0,$X335)</f>
        <v>0</v>
      </c>
      <c r="AA335" s="3">
        <f>IF('My investments'!$H$15="",0,IF('My investments'!$F335='My investments'!$H$15,$X335,0))</f>
        <v>0</v>
      </c>
      <c r="AB335" s="3">
        <f>IF('My investments'!$H$16="",0,IF('My investments'!$F335='My investments'!$H$16,$X335,0))</f>
        <v>0</v>
      </c>
      <c r="AC335" s="3">
        <f>IF('My investments'!$H$17="",0,IF('My investments'!$F335='My investments'!$H$17,$X335,0))</f>
        <v>0</v>
      </c>
      <c r="AD335" s="3">
        <f>IF('My investments'!$H$18="",0,IF('My investments'!$F335='My investments'!$H$18,$X335,0))</f>
        <v>0</v>
      </c>
      <c r="AE335" s="3">
        <f>IF('My investments'!$H$19="",0,IF('My investments'!$F335='My investments'!$H$19,$X335,0))</f>
        <v>0</v>
      </c>
      <c r="AF335" s="3">
        <f>IF('My investments'!$H$20="",0,IF('My investments'!$F335='My investments'!$H$20,$X335,0))</f>
        <v>0</v>
      </c>
      <c r="AG335" s="3">
        <f>IF('My investments'!$H$21="",0,IF('My investments'!$F335='My investments'!$H$21,$X335,0))</f>
        <v>0</v>
      </c>
      <c r="AH335" s="3">
        <f>IF('My investments'!$H$22="",0,IF('My investments'!$F335='My investments'!$H$22,$X335,0))</f>
        <v>0</v>
      </c>
      <c r="AI335" s="3">
        <f>IF('My investments'!$H$23="",0,IF('My investments'!$F335='My investments'!$H$23,$X335,0))</f>
        <v>0</v>
      </c>
      <c r="AJ335" s="3">
        <f>IF('My investments'!$H$24="",0,IF('My investments'!$F335='My investments'!$H$24,$X335,0))</f>
        <v>0</v>
      </c>
      <c r="AL335" s="3" t="str">
        <f>IF('My investments'!$B335="","",IF($D$10=0,"",IFERROR(INDEX('Index history'!$B$8:$B$5007,MATCH('My investments'!$B335,'Index history'!$A$8:$A$5007,1)),"")))</f>
        <v/>
      </c>
      <c r="AM335" s="3">
        <f>IF($AL335="",0,IF('My investments'!$D335="",0,IF('My investments'!$C335="Money in",'My investments'!$D335/$AL335,IF('My investments'!$C335="Money out",-'My investments'!$D335/$AL335,0))))</f>
        <v>0</v>
      </c>
    </row>
    <row r="336">
      <c r="X336" s="3">
        <f>IF('My investments'!$B336="",0,IF('My investments'!$E336="",0,'My investments'!$E336))</f>
        <v>0</v>
      </c>
      <c r="Y336" s="25">
        <f>IF('My investments'!$B336="",$D$8,'My investments'!$B336)</f>
        <v>0</v>
      </c>
      <c r="Z336" s="3">
        <f>IF('My investments'!$C336="Worth today",0,$X336)</f>
        <v>0</v>
      </c>
      <c r="AA336" s="3">
        <f>IF('My investments'!$H$15="",0,IF('My investments'!$F336='My investments'!$H$15,$X336,0))</f>
        <v>0</v>
      </c>
      <c r="AB336" s="3">
        <f>IF('My investments'!$H$16="",0,IF('My investments'!$F336='My investments'!$H$16,$X336,0))</f>
        <v>0</v>
      </c>
      <c r="AC336" s="3">
        <f>IF('My investments'!$H$17="",0,IF('My investments'!$F336='My investments'!$H$17,$X336,0))</f>
        <v>0</v>
      </c>
      <c r="AD336" s="3">
        <f>IF('My investments'!$H$18="",0,IF('My investments'!$F336='My investments'!$H$18,$X336,0))</f>
        <v>0</v>
      </c>
      <c r="AE336" s="3">
        <f>IF('My investments'!$H$19="",0,IF('My investments'!$F336='My investments'!$H$19,$X336,0))</f>
        <v>0</v>
      </c>
      <c r="AF336" s="3">
        <f>IF('My investments'!$H$20="",0,IF('My investments'!$F336='My investments'!$H$20,$X336,0))</f>
        <v>0</v>
      </c>
      <c r="AG336" s="3">
        <f>IF('My investments'!$H$21="",0,IF('My investments'!$F336='My investments'!$H$21,$X336,0))</f>
        <v>0</v>
      </c>
      <c r="AH336" s="3">
        <f>IF('My investments'!$H$22="",0,IF('My investments'!$F336='My investments'!$H$22,$X336,0))</f>
        <v>0</v>
      </c>
      <c r="AI336" s="3">
        <f>IF('My investments'!$H$23="",0,IF('My investments'!$F336='My investments'!$H$23,$X336,0))</f>
        <v>0</v>
      </c>
      <c r="AJ336" s="3">
        <f>IF('My investments'!$H$24="",0,IF('My investments'!$F336='My investments'!$H$24,$X336,0))</f>
        <v>0</v>
      </c>
      <c r="AL336" s="3" t="str">
        <f>IF('My investments'!$B336="","",IF($D$10=0,"",IFERROR(INDEX('Index history'!$B$8:$B$5007,MATCH('My investments'!$B336,'Index history'!$A$8:$A$5007,1)),"")))</f>
        <v/>
      </c>
      <c r="AM336" s="3">
        <f>IF($AL336="",0,IF('My investments'!$D336="",0,IF('My investments'!$C336="Money in",'My investments'!$D336/$AL336,IF('My investments'!$C336="Money out",-'My investments'!$D336/$AL336,0))))</f>
        <v>0</v>
      </c>
    </row>
    <row r="337">
      <c r="X337" s="3">
        <f>IF('My investments'!$B337="",0,IF('My investments'!$E337="",0,'My investments'!$E337))</f>
        <v>0</v>
      </c>
      <c r="Y337" s="25">
        <f>IF('My investments'!$B337="",$D$8,'My investments'!$B337)</f>
        <v>0</v>
      </c>
      <c r="Z337" s="3">
        <f>IF('My investments'!$C337="Worth today",0,$X337)</f>
        <v>0</v>
      </c>
      <c r="AA337" s="3">
        <f>IF('My investments'!$H$15="",0,IF('My investments'!$F337='My investments'!$H$15,$X337,0))</f>
        <v>0</v>
      </c>
      <c r="AB337" s="3">
        <f>IF('My investments'!$H$16="",0,IF('My investments'!$F337='My investments'!$H$16,$X337,0))</f>
        <v>0</v>
      </c>
      <c r="AC337" s="3">
        <f>IF('My investments'!$H$17="",0,IF('My investments'!$F337='My investments'!$H$17,$X337,0))</f>
        <v>0</v>
      </c>
      <c r="AD337" s="3">
        <f>IF('My investments'!$H$18="",0,IF('My investments'!$F337='My investments'!$H$18,$X337,0))</f>
        <v>0</v>
      </c>
      <c r="AE337" s="3">
        <f>IF('My investments'!$H$19="",0,IF('My investments'!$F337='My investments'!$H$19,$X337,0))</f>
        <v>0</v>
      </c>
      <c r="AF337" s="3">
        <f>IF('My investments'!$H$20="",0,IF('My investments'!$F337='My investments'!$H$20,$X337,0))</f>
        <v>0</v>
      </c>
      <c r="AG337" s="3">
        <f>IF('My investments'!$H$21="",0,IF('My investments'!$F337='My investments'!$H$21,$X337,0))</f>
        <v>0</v>
      </c>
      <c r="AH337" s="3">
        <f>IF('My investments'!$H$22="",0,IF('My investments'!$F337='My investments'!$H$22,$X337,0))</f>
        <v>0</v>
      </c>
      <c r="AI337" s="3">
        <f>IF('My investments'!$H$23="",0,IF('My investments'!$F337='My investments'!$H$23,$X337,0))</f>
        <v>0</v>
      </c>
      <c r="AJ337" s="3">
        <f>IF('My investments'!$H$24="",0,IF('My investments'!$F337='My investments'!$H$24,$X337,0))</f>
        <v>0</v>
      </c>
      <c r="AL337" s="3" t="str">
        <f>IF('My investments'!$B337="","",IF($D$10=0,"",IFERROR(INDEX('Index history'!$B$8:$B$5007,MATCH('My investments'!$B337,'Index history'!$A$8:$A$5007,1)),"")))</f>
        <v/>
      </c>
      <c r="AM337" s="3">
        <f>IF($AL337="",0,IF('My investments'!$D337="",0,IF('My investments'!$C337="Money in",'My investments'!$D337/$AL337,IF('My investments'!$C337="Money out",-'My investments'!$D337/$AL337,0))))</f>
        <v>0</v>
      </c>
    </row>
    <row r="338">
      <c r="X338" s="3">
        <f>IF('My investments'!$B338="",0,IF('My investments'!$E338="",0,'My investments'!$E338))</f>
        <v>0</v>
      </c>
      <c r="Y338" s="25">
        <f>IF('My investments'!$B338="",$D$8,'My investments'!$B338)</f>
        <v>0</v>
      </c>
      <c r="Z338" s="3">
        <f>IF('My investments'!$C338="Worth today",0,$X338)</f>
        <v>0</v>
      </c>
      <c r="AA338" s="3">
        <f>IF('My investments'!$H$15="",0,IF('My investments'!$F338='My investments'!$H$15,$X338,0))</f>
        <v>0</v>
      </c>
      <c r="AB338" s="3">
        <f>IF('My investments'!$H$16="",0,IF('My investments'!$F338='My investments'!$H$16,$X338,0))</f>
        <v>0</v>
      </c>
      <c r="AC338" s="3">
        <f>IF('My investments'!$H$17="",0,IF('My investments'!$F338='My investments'!$H$17,$X338,0))</f>
        <v>0</v>
      </c>
      <c r="AD338" s="3">
        <f>IF('My investments'!$H$18="",0,IF('My investments'!$F338='My investments'!$H$18,$X338,0))</f>
        <v>0</v>
      </c>
      <c r="AE338" s="3">
        <f>IF('My investments'!$H$19="",0,IF('My investments'!$F338='My investments'!$H$19,$X338,0))</f>
        <v>0</v>
      </c>
      <c r="AF338" s="3">
        <f>IF('My investments'!$H$20="",0,IF('My investments'!$F338='My investments'!$H$20,$X338,0))</f>
        <v>0</v>
      </c>
      <c r="AG338" s="3">
        <f>IF('My investments'!$H$21="",0,IF('My investments'!$F338='My investments'!$H$21,$X338,0))</f>
        <v>0</v>
      </c>
      <c r="AH338" s="3">
        <f>IF('My investments'!$H$22="",0,IF('My investments'!$F338='My investments'!$H$22,$X338,0))</f>
        <v>0</v>
      </c>
      <c r="AI338" s="3">
        <f>IF('My investments'!$H$23="",0,IF('My investments'!$F338='My investments'!$H$23,$X338,0))</f>
        <v>0</v>
      </c>
      <c r="AJ338" s="3">
        <f>IF('My investments'!$H$24="",0,IF('My investments'!$F338='My investments'!$H$24,$X338,0))</f>
        <v>0</v>
      </c>
      <c r="AL338" s="3" t="str">
        <f>IF('My investments'!$B338="","",IF($D$10=0,"",IFERROR(INDEX('Index history'!$B$8:$B$5007,MATCH('My investments'!$B338,'Index history'!$A$8:$A$5007,1)),"")))</f>
        <v/>
      </c>
      <c r="AM338" s="3">
        <f>IF($AL338="",0,IF('My investments'!$D338="",0,IF('My investments'!$C338="Money in",'My investments'!$D338/$AL338,IF('My investments'!$C338="Money out",-'My investments'!$D338/$AL338,0))))</f>
        <v>0</v>
      </c>
    </row>
    <row r="339">
      <c r="X339" s="3">
        <f>IF('My investments'!$B339="",0,IF('My investments'!$E339="",0,'My investments'!$E339))</f>
        <v>0</v>
      </c>
      <c r="Y339" s="25">
        <f>IF('My investments'!$B339="",$D$8,'My investments'!$B339)</f>
        <v>0</v>
      </c>
      <c r="Z339" s="3">
        <f>IF('My investments'!$C339="Worth today",0,$X339)</f>
        <v>0</v>
      </c>
      <c r="AA339" s="3">
        <f>IF('My investments'!$H$15="",0,IF('My investments'!$F339='My investments'!$H$15,$X339,0))</f>
        <v>0</v>
      </c>
      <c r="AB339" s="3">
        <f>IF('My investments'!$H$16="",0,IF('My investments'!$F339='My investments'!$H$16,$X339,0))</f>
        <v>0</v>
      </c>
      <c r="AC339" s="3">
        <f>IF('My investments'!$H$17="",0,IF('My investments'!$F339='My investments'!$H$17,$X339,0))</f>
        <v>0</v>
      </c>
      <c r="AD339" s="3">
        <f>IF('My investments'!$H$18="",0,IF('My investments'!$F339='My investments'!$H$18,$X339,0))</f>
        <v>0</v>
      </c>
      <c r="AE339" s="3">
        <f>IF('My investments'!$H$19="",0,IF('My investments'!$F339='My investments'!$H$19,$X339,0))</f>
        <v>0</v>
      </c>
      <c r="AF339" s="3">
        <f>IF('My investments'!$H$20="",0,IF('My investments'!$F339='My investments'!$H$20,$X339,0))</f>
        <v>0</v>
      </c>
      <c r="AG339" s="3">
        <f>IF('My investments'!$H$21="",0,IF('My investments'!$F339='My investments'!$H$21,$X339,0))</f>
        <v>0</v>
      </c>
      <c r="AH339" s="3">
        <f>IF('My investments'!$H$22="",0,IF('My investments'!$F339='My investments'!$H$22,$X339,0))</f>
        <v>0</v>
      </c>
      <c r="AI339" s="3">
        <f>IF('My investments'!$H$23="",0,IF('My investments'!$F339='My investments'!$H$23,$X339,0))</f>
        <v>0</v>
      </c>
      <c r="AJ339" s="3">
        <f>IF('My investments'!$H$24="",0,IF('My investments'!$F339='My investments'!$H$24,$X339,0))</f>
        <v>0</v>
      </c>
      <c r="AL339" s="3" t="str">
        <f>IF('My investments'!$B339="","",IF($D$10=0,"",IFERROR(INDEX('Index history'!$B$8:$B$5007,MATCH('My investments'!$B339,'Index history'!$A$8:$A$5007,1)),"")))</f>
        <v/>
      </c>
      <c r="AM339" s="3">
        <f>IF($AL339="",0,IF('My investments'!$D339="",0,IF('My investments'!$C339="Money in",'My investments'!$D339/$AL339,IF('My investments'!$C339="Money out",-'My investments'!$D339/$AL339,0))))</f>
        <v>0</v>
      </c>
    </row>
    <row r="340">
      <c r="X340" s="3">
        <f>IF('My investments'!$B340="",0,IF('My investments'!$E340="",0,'My investments'!$E340))</f>
        <v>0</v>
      </c>
      <c r="Y340" s="25">
        <f>IF('My investments'!$B340="",$D$8,'My investments'!$B340)</f>
        <v>0</v>
      </c>
      <c r="Z340" s="3">
        <f>IF('My investments'!$C340="Worth today",0,$X340)</f>
        <v>0</v>
      </c>
      <c r="AA340" s="3">
        <f>IF('My investments'!$H$15="",0,IF('My investments'!$F340='My investments'!$H$15,$X340,0))</f>
        <v>0</v>
      </c>
      <c r="AB340" s="3">
        <f>IF('My investments'!$H$16="",0,IF('My investments'!$F340='My investments'!$H$16,$X340,0))</f>
        <v>0</v>
      </c>
      <c r="AC340" s="3">
        <f>IF('My investments'!$H$17="",0,IF('My investments'!$F340='My investments'!$H$17,$X340,0))</f>
        <v>0</v>
      </c>
      <c r="AD340" s="3">
        <f>IF('My investments'!$H$18="",0,IF('My investments'!$F340='My investments'!$H$18,$X340,0))</f>
        <v>0</v>
      </c>
      <c r="AE340" s="3">
        <f>IF('My investments'!$H$19="",0,IF('My investments'!$F340='My investments'!$H$19,$X340,0))</f>
        <v>0</v>
      </c>
      <c r="AF340" s="3">
        <f>IF('My investments'!$H$20="",0,IF('My investments'!$F340='My investments'!$H$20,$X340,0))</f>
        <v>0</v>
      </c>
      <c r="AG340" s="3">
        <f>IF('My investments'!$H$21="",0,IF('My investments'!$F340='My investments'!$H$21,$X340,0))</f>
        <v>0</v>
      </c>
      <c r="AH340" s="3">
        <f>IF('My investments'!$H$22="",0,IF('My investments'!$F340='My investments'!$H$22,$X340,0))</f>
        <v>0</v>
      </c>
      <c r="AI340" s="3">
        <f>IF('My investments'!$H$23="",0,IF('My investments'!$F340='My investments'!$H$23,$X340,0))</f>
        <v>0</v>
      </c>
      <c r="AJ340" s="3">
        <f>IF('My investments'!$H$24="",0,IF('My investments'!$F340='My investments'!$H$24,$X340,0))</f>
        <v>0</v>
      </c>
      <c r="AL340" s="3" t="str">
        <f>IF('My investments'!$B340="","",IF($D$10=0,"",IFERROR(INDEX('Index history'!$B$8:$B$5007,MATCH('My investments'!$B340,'Index history'!$A$8:$A$5007,1)),"")))</f>
        <v/>
      </c>
      <c r="AM340" s="3">
        <f>IF($AL340="",0,IF('My investments'!$D340="",0,IF('My investments'!$C340="Money in",'My investments'!$D340/$AL340,IF('My investments'!$C340="Money out",-'My investments'!$D340/$AL340,0))))</f>
        <v>0</v>
      </c>
    </row>
    <row r="341">
      <c r="X341" s="3">
        <f>IF('My investments'!$B341="",0,IF('My investments'!$E341="",0,'My investments'!$E341))</f>
        <v>0</v>
      </c>
      <c r="Y341" s="25">
        <f>IF('My investments'!$B341="",$D$8,'My investments'!$B341)</f>
        <v>0</v>
      </c>
      <c r="Z341" s="3">
        <f>IF('My investments'!$C341="Worth today",0,$X341)</f>
        <v>0</v>
      </c>
      <c r="AA341" s="3">
        <f>IF('My investments'!$H$15="",0,IF('My investments'!$F341='My investments'!$H$15,$X341,0))</f>
        <v>0</v>
      </c>
      <c r="AB341" s="3">
        <f>IF('My investments'!$H$16="",0,IF('My investments'!$F341='My investments'!$H$16,$X341,0))</f>
        <v>0</v>
      </c>
      <c r="AC341" s="3">
        <f>IF('My investments'!$H$17="",0,IF('My investments'!$F341='My investments'!$H$17,$X341,0))</f>
        <v>0</v>
      </c>
      <c r="AD341" s="3">
        <f>IF('My investments'!$H$18="",0,IF('My investments'!$F341='My investments'!$H$18,$X341,0))</f>
        <v>0</v>
      </c>
      <c r="AE341" s="3">
        <f>IF('My investments'!$H$19="",0,IF('My investments'!$F341='My investments'!$H$19,$X341,0))</f>
        <v>0</v>
      </c>
      <c r="AF341" s="3">
        <f>IF('My investments'!$H$20="",0,IF('My investments'!$F341='My investments'!$H$20,$X341,0))</f>
        <v>0</v>
      </c>
      <c r="AG341" s="3">
        <f>IF('My investments'!$H$21="",0,IF('My investments'!$F341='My investments'!$H$21,$X341,0))</f>
        <v>0</v>
      </c>
      <c r="AH341" s="3">
        <f>IF('My investments'!$H$22="",0,IF('My investments'!$F341='My investments'!$H$22,$X341,0))</f>
        <v>0</v>
      </c>
      <c r="AI341" s="3">
        <f>IF('My investments'!$H$23="",0,IF('My investments'!$F341='My investments'!$H$23,$X341,0))</f>
        <v>0</v>
      </c>
      <c r="AJ341" s="3">
        <f>IF('My investments'!$H$24="",0,IF('My investments'!$F341='My investments'!$H$24,$X341,0))</f>
        <v>0</v>
      </c>
      <c r="AL341" s="3" t="str">
        <f>IF('My investments'!$B341="","",IF($D$10=0,"",IFERROR(INDEX('Index history'!$B$8:$B$5007,MATCH('My investments'!$B341,'Index history'!$A$8:$A$5007,1)),"")))</f>
        <v/>
      </c>
      <c r="AM341" s="3">
        <f>IF($AL341="",0,IF('My investments'!$D341="",0,IF('My investments'!$C341="Money in",'My investments'!$D341/$AL341,IF('My investments'!$C341="Money out",-'My investments'!$D341/$AL341,0))))</f>
        <v>0</v>
      </c>
    </row>
    <row r="342">
      <c r="X342" s="3">
        <f>IF('My investments'!$B342="",0,IF('My investments'!$E342="",0,'My investments'!$E342))</f>
        <v>0</v>
      </c>
      <c r="Y342" s="25">
        <f>IF('My investments'!$B342="",$D$8,'My investments'!$B342)</f>
        <v>0</v>
      </c>
      <c r="Z342" s="3">
        <f>IF('My investments'!$C342="Worth today",0,$X342)</f>
        <v>0</v>
      </c>
      <c r="AA342" s="3">
        <f>IF('My investments'!$H$15="",0,IF('My investments'!$F342='My investments'!$H$15,$X342,0))</f>
        <v>0</v>
      </c>
      <c r="AB342" s="3">
        <f>IF('My investments'!$H$16="",0,IF('My investments'!$F342='My investments'!$H$16,$X342,0))</f>
        <v>0</v>
      </c>
      <c r="AC342" s="3">
        <f>IF('My investments'!$H$17="",0,IF('My investments'!$F342='My investments'!$H$17,$X342,0))</f>
        <v>0</v>
      </c>
      <c r="AD342" s="3">
        <f>IF('My investments'!$H$18="",0,IF('My investments'!$F342='My investments'!$H$18,$X342,0))</f>
        <v>0</v>
      </c>
      <c r="AE342" s="3">
        <f>IF('My investments'!$H$19="",0,IF('My investments'!$F342='My investments'!$H$19,$X342,0))</f>
        <v>0</v>
      </c>
      <c r="AF342" s="3">
        <f>IF('My investments'!$H$20="",0,IF('My investments'!$F342='My investments'!$H$20,$X342,0))</f>
        <v>0</v>
      </c>
      <c r="AG342" s="3">
        <f>IF('My investments'!$H$21="",0,IF('My investments'!$F342='My investments'!$H$21,$X342,0))</f>
        <v>0</v>
      </c>
      <c r="AH342" s="3">
        <f>IF('My investments'!$H$22="",0,IF('My investments'!$F342='My investments'!$H$22,$X342,0))</f>
        <v>0</v>
      </c>
      <c r="AI342" s="3">
        <f>IF('My investments'!$H$23="",0,IF('My investments'!$F342='My investments'!$H$23,$X342,0))</f>
        <v>0</v>
      </c>
      <c r="AJ342" s="3">
        <f>IF('My investments'!$H$24="",0,IF('My investments'!$F342='My investments'!$H$24,$X342,0))</f>
        <v>0</v>
      </c>
      <c r="AL342" s="3" t="str">
        <f>IF('My investments'!$B342="","",IF($D$10=0,"",IFERROR(INDEX('Index history'!$B$8:$B$5007,MATCH('My investments'!$B342,'Index history'!$A$8:$A$5007,1)),"")))</f>
        <v/>
      </c>
      <c r="AM342" s="3">
        <f>IF($AL342="",0,IF('My investments'!$D342="",0,IF('My investments'!$C342="Money in",'My investments'!$D342/$AL342,IF('My investments'!$C342="Money out",-'My investments'!$D342/$AL342,0))))</f>
        <v>0</v>
      </c>
    </row>
    <row r="343">
      <c r="X343" s="3">
        <f>IF('My investments'!$B343="",0,IF('My investments'!$E343="",0,'My investments'!$E343))</f>
        <v>0</v>
      </c>
      <c r="Y343" s="25">
        <f>IF('My investments'!$B343="",$D$8,'My investments'!$B343)</f>
        <v>0</v>
      </c>
      <c r="Z343" s="3">
        <f>IF('My investments'!$C343="Worth today",0,$X343)</f>
        <v>0</v>
      </c>
      <c r="AA343" s="3">
        <f>IF('My investments'!$H$15="",0,IF('My investments'!$F343='My investments'!$H$15,$X343,0))</f>
        <v>0</v>
      </c>
      <c r="AB343" s="3">
        <f>IF('My investments'!$H$16="",0,IF('My investments'!$F343='My investments'!$H$16,$X343,0))</f>
        <v>0</v>
      </c>
      <c r="AC343" s="3">
        <f>IF('My investments'!$H$17="",0,IF('My investments'!$F343='My investments'!$H$17,$X343,0))</f>
        <v>0</v>
      </c>
      <c r="AD343" s="3">
        <f>IF('My investments'!$H$18="",0,IF('My investments'!$F343='My investments'!$H$18,$X343,0))</f>
        <v>0</v>
      </c>
      <c r="AE343" s="3">
        <f>IF('My investments'!$H$19="",0,IF('My investments'!$F343='My investments'!$H$19,$X343,0))</f>
        <v>0</v>
      </c>
      <c r="AF343" s="3">
        <f>IF('My investments'!$H$20="",0,IF('My investments'!$F343='My investments'!$H$20,$X343,0))</f>
        <v>0</v>
      </c>
      <c r="AG343" s="3">
        <f>IF('My investments'!$H$21="",0,IF('My investments'!$F343='My investments'!$H$21,$X343,0))</f>
        <v>0</v>
      </c>
      <c r="AH343" s="3">
        <f>IF('My investments'!$H$22="",0,IF('My investments'!$F343='My investments'!$H$22,$X343,0))</f>
        <v>0</v>
      </c>
      <c r="AI343" s="3">
        <f>IF('My investments'!$H$23="",0,IF('My investments'!$F343='My investments'!$H$23,$X343,0))</f>
        <v>0</v>
      </c>
      <c r="AJ343" s="3">
        <f>IF('My investments'!$H$24="",0,IF('My investments'!$F343='My investments'!$H$24,$X343,0))</f>
        <v>0</v>
      </c>
      <c r="AL343" s="3" t="str">
        <f>IF('My investments'!$B343="","",IF($D$10=0,"",IFERROR(INDEX('Index history'!$B$8:$B$5007,MATCH('My investments'!$B343,'Index history'!$A$8:$A$5007,1)),"")))</f>
        <v/>
      </c>
      <c r="AM343" s="3">
        <f>IF($AL343="",0,IF('My investments'!$D343="",0,IF('My investments'!$C343="Money in",'My investments'!$D343/$AL343,IF('My investments'!$C343="Money out",-'My investments'!$D343/$AL343,0))))</f>
        <v>0</v>
      </c>
    </row>
    <row r="344">
      <c r="X344" s="3">
        <f>IF('My investments'!$B344="",0,IF('My investments'!$E344="",0,'My investments'!$E344))</f>
        <v>0</v>
      </c>
      <c r="Y344" s="25">
        <f>IF('My investments'!$B344="",$D$8,'My investments'!$B344)</f>
        <v>0</v>
      </c>
      <c r="Z344" s="3">
        <f>IF('My investments'!$C344="Worth today",0,$X344)</f>
        <v>0</v>
      </c>
      <c r="AA344" s="3">
        <f>IF('My investments'!$H$15="",0,IF('My investments'!$F344='My investments'!$H$15,$X344,0))</f>
        <v>0</v>
      </c>
      <c r="AB344" s="3">
        <f>IF('My investments'!$H$16="",0,IF('My investments'!$F344='My investments'!$H$16,$X344,0))</f>
        <v>0</v>
      </c>
      <c r="AC344" s="3">
        <f>IF('My investments'!$H$17="",0,IF('My investments'!$F344='My investments'!$H$17,$X344,0))</f>
        <v>0</v>
      </c>
      <c r="AD344" s="3">
        <f>IF('My investments'!$H$18="",0,IF('My investments'!$F344='My investments'!$H$18,$X344,0))</f>
        <v>0</v>
      </c>
      <c r="AE344" s="3">
        <f>IF('My investments'!$H$19="",0,IF('My investments'!$F344='My investments'!$H$19,$X344,0))</f>
        <v>0</v>
      </c>
      <c r="AF344" s="3">
        <f>IF('My investments'!$H$20="",0,IF('My investments'!$F344='My investments'!$H$20,$X344,0))</f>
        <v>0</v>
      </c>
      <c r="AG344" s="3">
        <f>IF('My investments'!$H$21="",0,IF('My investments'!$F344='My investments'!$H$21,$X344,0))</f>
        <v>0</v>
      </c>
      <c r="AH344" s="3">
        <f>IF('My investments'!$H$22="",0,IF('My investments'!$F344='My investments'!$H$22,$X344,0))</f>
        <v>0</v>
      </c>
      <c r="AI344" s="3">
        <f>IF('My investments'!$H$23="",0,IF('My investments'!$F344='My investments'!$H$23,$X344,0))</f>
        <v>0</v>
      </c>
      <c r="AJ344" s="3">
        <f>IF('My investments'!$H$24="",0,IF('My investments'!$F344='My investments'!$H$24,$X344,0))</f>
        <v>0</v>
      </c>
      <c r="AL344" s="3" t="str">
        <f>IF('My investments'!$B344="","",IF($D$10=0,"",IFERROR(INDEX('Index history'!$B$8:$B$5007,MATCH('My investments'!$B344,'Index history'!$A$8:$A$5007,1)),"")))</f>
        <v/>
      </c>
      <c r="AM344" s="3">
        <f>IF($AL344="",0,IF('My investments'!$D344="",0,IF('My investments'!$C344="Money in",'My investments'!$D344/$AL344,IF('My investments'!$C344="Money out",-'My investments'!$D344/$AL344,0))))</f>
        <v>0</v>
      </c>
    </row>
    <row r="345">
      <c r="X345" s="3">
        <f>IF('My investments'!$B345="",0,IF('My investments'!$E345="",0,'My investments'!$E345))</f>
        <v>0</v>
      </c>
      <c r="Y345" s="25">
        <f>IF('My investments'!$B345="",$D$8,'My investments'!$B345)</f>
        <v>0</v>
      </c>
      <c r="Z345" s="3">
        <f>IF('My investments'!$C345="Worth today",0,$X345)</f>
        <v>0</v>
      </c>
      <c r="AA345" s="3">
        <f>IF('My investments'!$H$15="",0,IF('My investments'!$F345='My investments'!$H$15,$X345,0))</f>
        <v>0</v>
      </c>
      <c r="AB345" s="3">
        <f>IF('My investments'!$H$16="",0,IF('My investments'!$F345='My investments'!$H$16,$X345,0))</f>
        <v>0</v>
      </c>
      <c r="AC345" s="3">
        <f>IF('My investments'!$H$17="",0,IF('My investments'!$F345='My investments'!$H$17,$X345,0))</f>
        <v>0</v>
      </c>
      <c r="AD345" s="3">
        <f>IF('My investments'!$H$18="",0,IF('My investments'!$F345='My investments'!$H$18,$X345,0))</f>
        <v>0</v>
      </c>
      <c r="AE345" s="3">
        <f>IF('My investments'!$H$19="",0,IF('My investments'!$F345='My investments'!$H$19,$X345,0))</f>
        <v>0</v>
      </c>
      <c r="AF345" s="3">
        <f>IF('My investments'!$H$20="",0,IF('My investments'!$F345='My investments'!$H$20,$X345,0))</f>
        <v>0</v>
      </c>
      <c r="AG345" s="3">
        <f>IF('My investments'!$H$21="",0,IF('My investments'!$F345='My investments'!$H$21,$X345,0))</f>
        <v>0</v>
      </c>
      <c r="AH345" s="3">
        <f>IF('My investments'!$H$22="",0,IF('My investments'!$F345='My investments'!$H$22,$X345,0))</f>
        <v>0</v>
      </c>
      <c r="AI345" s="3">
        <f>IF('My investments'!$H$23="",0,IF('My investments'!$F345='My investments'!$H$23,$X345,0))</f>
        <v>0</v>
      </c>
      <c r="AJ345" s="3">
        <f>IF('My investments'!$H$24="",0,IF('My investments'!$F345='My investments'!$H$24,$X345,0))</f>
        <v>0</v>
      </c>
      <c r="AL345" s="3" t="str">
        <f>IF('My investments'!$B345="","",IF($D$10=0,"",IFERROR(INDEX('Index history'!$B$8:$B$5007,MATCH('My investments'!$B345,'Index history'!$A$8:$A$5007,1)),"")))</f>
        <v/>
      </c>
      <c r="AM345" s="3">
        <f>IF($AL345="",0,IF('My investments'!$D345="",0,IF('My investments'!$C345="Money in",'My investments'!$D345/$AL345,IF('My investments'!$C345="Money out",-'My investments'!$D345/$AL345,0))))</f>
        <v>0</v>
      </c>
    </row>
    <row r="346">
      <c r="X346" s="3">
        <f>IF('My investments'!$B346="",0,IF('My investments'!$E346="",0,'My investments'!$E346))</f>
        <v>0</v>
      </c>
      <c r="Y346" s="25">
        <f>IF('My investments'!$B346="",$D$8,'My investments'!$B346)</f>
        <v>0</v>
      </c>
      <c r="Z346" s="3">
        <f>IF('My investments'!$C346="Worth today",0,$X346)</f>
        <v>0</v>
      </c>
      <c r="AA346" s="3">
        <f>IF('My investments'!$H$15="",0,IF('My investments'!$F346='My investments'!$H$15,$X346,0))</f>
        <v>0</v>
      </c>
      <c r="AB346" s="3">
        <f>IF('My investments'!$H$16="",0,IF('My investments'!$F346='My investments'!$H$16,$X346,0))</f>
        <v>0</v>
      </c>
      <c r="AC346" s="3">
        <f>IF('My investments'!$H$17="",0,IF('My investments'!$F346='My investments'!$H$17,$X346,0))</f>
        <v>0</v>
      </c>
      <c r="AD346" s="3">
        <f>IF('My investments'!$H$18="",0,IF('My investments'!$F346='My investments'!$H$18,$X346,0))</f>
        <v>0</v>
      </c>
      <c r="AE346" s="3">
        <f>IF('My investments'!$H$19="",0,IF('My investments'!$F346='My investments'!$H$19,$X346,0))</f>
        <v>0</v>
      </c>
      <c r="AF346" s="3">
        <f>IF('My investments'!$H$20="",0,IF('My investments'!$F346='My investments'!$H$20,$X346,0))</f>
        <v>0</v>
      </c>
      <c r="AG346" s="3">
        <f>IF('My investments'!$H$21="",0,IF('My investments'!$F346='My investments'!$H$21,$X346,0))</f>
        <v>0</v>
      </c>
      <c r="AH346" s="3">
        <f>IF('My investments'!$H$22="",0,IF('My investments'!$F346='My investments'!$H$22,$X346,0))</f>
        <v>0</v>
      </c>
      <c r="AI346" s="3">
        <f>IF('My investments'!$H$23="",0,IF('My investments'!$F346='My investments'!$H$23,$X346,0))</f>
        <v>0</v>
      </c>
      <c r="AJ346" s="3">
        <f>IF('My investments'!$H$24="",0,IF('My investments'!$F346='My investments'!$H$24,$X346,0))</f>
        <v>0</v>
      </c>
      <c r="AL346" s="3" t="str">
        <f>IF('My investments'!$B346="","",IF($D$10=0,"",IFERROR(INDEX('Index history'!$B$8:$B$5007,MATCH('My investments'!$B346,'Index history'!$A$8:$A$5007,1)),"")))</f>
        <v/>
      </c>
      <c r="AM346" s="3">
        <f>IF($AL346="",0,IF('My investments'!$D346="",0,IF('My investments'!$C346="Money in",'My investments'!$D346/$AL346,IF('My investments'!$C346="Money out",-'My investments'!$D346/$AL346,0))))</f>
        <v>0</v>
      </c>
    </row>
    <row r="347">
      <c r="X347" s="3">
        <f>IF('My investments'!$B347="",0,IF('My investments'!$E347="",0,'My investments'!$E347))</f>
        <v>0</v>
      </c>
      <c r="Y347" s="25">
        <f>IF('My investments'!$B347="",$D$8,'My investments'!$B347)</f>
        <v>0</v>
      </c>
      <c r="Z347" s="3">
        <f>IF('My investments'!$C347="Worth today",0,$X347)</f>
        <v>0</v>
      </c>
      <c r="AA347" s="3">
        <f>IF('My investments'!$H$15="",0,IF('My investments'!$F347='My investments'!$H$15,$X347,0))</f>
        <v>0</v>
      </c>
      <c r="AB347" s="3">
        <f>IF('My investments'!$H$16="",0,IF('My investments'!$F347='My investments'!$H$16,$X347,0))</f>
        <v>0</v>
      </c>
      <c r="AC347" s="3">
        <f>IF('My investments'!$H$17="",0,IF('My investments'!$F347='My investments'!$H$17,$X347,0))</f>
        <v>0</v>
      </c>
      <c r="AD347" s="3">
        <f>IF('My investments'!$H$18="",0,IF('My investments'!$F347='My investments'!$H$18,$X347,0))</f>
        <v>0</v>
      </c>
      <c r="AE347" s="3">
        <f>IF('My investments'!$H$19="",0,IF('My investments'!$F347='My investments'!$H$19,$X347,0))</f>
        <v>0</v>
      </c>
      <c r="AF347" s="3">
        <f>IF('My investments'!$H$20="",0,IF('My investments'!$F347='My investments'!$H$20,$X347,0))</f>
        <v>0</v>
      </c>
      <c r="AG347" s="3">
        <f>IF('My investments'!$H$21="",0,IF('My investments'!$F347='My investments'!$H$21,$X347,0))</f>
        <v>0</v>
      </c>
      <c r="AH347" s="3">
        <f>IF('My investments'!$H$22="",0,IF('My investments'!$F347='My investments'!$H$22,$X347,0))</f>
        <v>0</v>
      </c>
      <c r="AI347" s="3">
        <f>IF('My investments'!$H$23="",0,IF('My investments'!$F347='My investments'!$H$23,$X347,0))</f>
        <v>0</v>
      </c>
      <c r="AJ347" s="3">
        <f>IF('My investments'!$H$24="",0,IF('My investments'!$F347='My investments'!$H$24,$X347,0))</f>
        <v>0</v>
      </c>
      <c r="AL347" s="3" t="str">
        <f>IF('My investments'!$B347="","",IF($D$10=0,"",IFERROR(INDEX('Index history'!$B$8:$B$5007,MATCH('My investments'!$B347,'Index history'!$A$8:$A$5007,1)),"")))</f>
        <v/>
      </c>
      <c r="AM347" s="3">
        <f>IF($AL347="",0,IF('My investments'!$D347="",0,IF('My investments'!$C347="Money in",'My investments'!$D347/$AL347,IF('My investments'!$C347="Money out",-'My investments'!$D347/$AL347,0))))</f>
        <v>0</v>
      </c>
    </row>
    <row r="348">
      <c r="X348" s="3">
        <f>IF('My investments'!$B348="",0,IF('My investments'!$E348="",0,'My investments'!$E348))</f>
        <v>0</v>
      </c>
      <c r="Y348" s="25">
        <f>IF('My investments'!$B348="",$D$8,'My investments'!$B348)</f>
        <v>0</v>
      </c>
      <c r="Z348" s="3">
        <f>IF('My investments'!$C348="Worth today",0,$X348)</f>
        <v>0</v>
      </c>
      <c r="AA348" s="3">
        <f>IF('My investments'!$H$15="",0,IF('My investments'!$F348='My investments'!$H$15,$X348,0))</f>
        <v>0</v>
      </c>
      <c r="AB348" s="3">
        <f>IF('My investments'!$H$16="",0,IF('My investments'!$F348='My investments'!$H$16,$X348,0))</f>
        <v>0</v>
      </c>
      <c r="AC348" s="3">
        <f>IF('My investments'!$H$17="",0,IF('My investments'!$F348='My investments'!$H$17,$X348,0))</f>
        <v>0</v>
      </c>
      <c r="AD348" s="3">
        <f>IF('My investments'!$H$18="",0,IF('My investments'!$F348='My investments'!$H$18,$X348,0))</f>
        <v>0</v>
      </c>
      <c r="AE348" s="3">
        <f>IF('My investments'!$H$19="",0,IF('My investments'!$F348='My investments'!$H$19,$X348,0))</f>
        <v>0</v>
      </c>
      <c r="AF348" s="3">
        <f>IF('My investments'!$H$20="",0,IF('My investments'!$F348='My investments'!$H$20,$X348,0))</f>
        <v>0</v>
      </c>
      <c r="AG348" s="3">
        <f>IF('My investments'!$H$21="",0,IF('My investments'!$F348='My investments'!$H$21,$X348,0))</f>
        <v>0</v>
      </c>
      <c r="AH348" s="3">
        <f>IF('My investments'!$H$22="",0,IF('My investments'!$F348='My investments'!$H$22,$X348,0))</f>
        <v>0</v>
      </c>
      <c r="AI348" s="3">
        <f>IF('My investments'!$H$23="",0,IF('My investments'!$F348='My investments'!$H$23,$X348,0))</f>
        <v>0</v>
      </c>
      <c r="AJ348" s="3">
        <f>IF('My investments'!$H$24="",0,IF('My investments'!$F348='My investments'!$H$24,$X348,0))</f>
        <v>0</v>
      </c>
      <c r="AL348" s="3" t="str">
        <f>IF('My investments'!$B348="","",IF($D$10=0,"",IFERROR(INDEX('Index history'!$B$8:$B$5007,MATCH('My investments'!$B348,'Index history'!$A$8:$A$5007,1)),"")))</f>
        <v/>
      </c>
      <c r="AM348" s="3">
        <f>IF($AL348="",0,IF('My investments'!$D348="",0,IF('My investments'!$C348="Money in",'My investments'!$D348/$AL348,IF('My investments'!$C348="Money out",-'My investments'!$D348/$AL348,0))))</f>
        <v>0</v>
      </c>
    </row>
    <row r="349">
      <c r="X349" s="3">
        <f>IF('My investments'!$B349="",0,IF('My investments'!$E349="",0,'My investments'!$E349))</f>
        <v>0</v>
      </c>
      <c r="Y349" s="25">
        <f>IF('My investments'!$B349="",$D$8,'My investments'!$B349)</f>
        <v>0</v>
      </c>
      <c r="Z349" s="3">
        <f>IF('My investments'!$C349="Worth today",0,$X349)</f>
        <v>0</v>
      </c>
      <c r="AA349" s="3">
        <f>IF('My investments'!$H$15="",0,IF('My investments'!$F349='My investments'!$H$15,$X349,0))</f>
        <v>0</v>
      </c>
      <c r="AB349" s="3">
        <f>IF('My investments'!$H$16="",0,IF('My investments'!$F349='My investments'!$H$16,$X349,0))</f>
        <v>0</v>
      </c>
      <c r="AC349" s="3">
        <f>IF('My investments'!$H$17="",0,IF('My investments'!$F349='My investments'!$H$17,$X349,0))</f>
        <v>0</v>
      </c>
      <c r="AD349" s="3">
        <f>IF('My investments'!$H$18="",0,IF('My investments'!$F349='My investments'!$H$18,$X349,0))</f>
        <v>0</v>
      </c>
      <c r="AE349" s="3">
        <f>IF('My investments'!$H$19="",0,IF('My investments'!$F349='My investments'!$H$19,$X349,0))</f>
        <v>0</v>
      </c>
      <c r="AF349" s="3">
        <f>IF('My investments'!$H$20="",0,IF('My investments'!$F349='My investments'!$H$20,$X349,0))</f>
        <v>0</v>
      </c>
      <c r="AG349" s="3">
        <f>IF('My investments'!$H$21="",0,IF('My investments'!$F349='My investments'!$H$21,$X349,0))</f>
        <v>0</v>
      </c>
      <c r="AH349" s="3">
        <f>IF('My investments'!$H$22="",0,IF('My investments'!$F349='My investments'!$H$22,$X349,0))</f>
        <v>0</v>
      </c>
      <c r="AI349" s="3">
        <f>IF('My investments'!$H$23="",0,IF('My investments'!$F349='My investments'!$H$23,$X349,0))</f>
        <v>0</v>
      </c>
      <c r="AJ349" s="3">
        <f>IF('My investments'!$H$24="",0,IF('My investments'!$F349='My investments'!$H$24,$X349,0))</f>
        <v>0</v>
      </c>
      <c r="AL349" s="3" t="str">
        <f>IF('My investments'!$B349="","",IF($D$10=0,"",IFERROR(INDEX('Index history'!$B$8:$B$5007,MATCH('My investments'!$B349,'Index history'!$A$8:$A$5007,1)),"")))</f>
        <v/>
      </c>
      <c r="AM349" s="3">
        <f>IF($AL349="",0,IF('My investments'!$D349="",0,IF('My investments'!$C349="Money in",'My investments'!$D349/$AL349,IF('My investments'!$C349="Money out",-'My investments'!$D349/$AL349,0))))</f>
        <v>0</v>
      </c>
    </row>
    <row r="350">
      <c r="X350" s="3">
        <f>IF('My investments'!$B350="",0,IF('My investments'!$E350="",0,'My investments'!$E350))</f>
        <v>0</v>
      </c>
      <c r="Y350" s="25">
        <f>IF('My investments'!$B350="",$D$8,'My investments'!$B350)</f>
        <v>0</v>
      </c>
      <c r="Z350" s="3">
        <f>IF('My investments'!$C350="Worth today",0,$X350)</f>
        <v>0</v>
      </c>
      <c r="AA350" s="3">
        <f>IF('My investments'!$H$15="",0,IF('My investments'!$F350='My investments'!$H$15,$X350,0))</f>
        <v>0</v>
      </c>
      <c r="AB350" s="3">
        <f>IF('My investments'!$H$16="",0,IF('My investments'!$F350='My investments'!$H$16,$X350,0))</f>
        <v>0</v>
      </c>
      <c r="AC350" s="3">
        <f>IF('My investments'!$H$17="",0,IF('My investments'!$F350='My investments'!$H$17,$X350,0))</f>
        <v>0</v>
      </c>
      <c r="AD350" s="3">
        <f>IF('My investments'!$H$18="",0,IF('My investments'!$F350='My investments'!$H$18,$X350,0))</f>
        <v>0</v>
      </c>
      <c r="AE350" s="3">
        <f>IF('My investments'!$H$19="",0,IF('My investments'!$F350='My investments'!$H$19,$X350,0))</f>
        <v>0</v>
      </c>
      <c r="AF350" s="3">
        <f>IF('My investments'!$H$20="",0,IF('My investments'!$F350='My investments'!$H$20,$X350,0))</f>
        <v>0</v>
      </c>
      <c r="AG350" s="3">
        <f>IF('My investments'!$H$21="",0,IF('My investments'!$F350='My investments'!$H$21,$X350,0))</f>
        <v>0</v>
      </c>
      <c r="AH350" s="3">
        <f>IF('My investments'!$H$22="",0,IF('My investments'!$F350='My investments'!$H$22,$X350,0))</f>
        <v>0</v>
      </c>
      <c r="AI350" s="3">
        <f>IF('My investments'!$H$23="",0,IF('My investments'!$F350='My investments'!$H$23,$X350,0))</f>
        <v>0</v>
      </c>
      <c r="AJ350" s="3">
        <f>IF('My investments'!$H$24="",0,IF('My investments'!$F350='My investments'!$H$24,$X350,0))</f>
        <v>0</v>
      </c>
      <c r="AL350" s="3" t="str">
        <f>IF('My investments'!$B350="","",IF($D$10=0,"",IFERROR(INDEX('Index history'!$B$8:$B$5007,MATCH('My investments'!$B350,'Index history'!$A$8:$A$5007,1)),"")))</f>
        <v/>
      </c>
      <c r="AM350" s="3">
        <f>IF($AL350="",0,IF('My investments'!$D350="",0,IF('My investments'!$C350="Money in",'My investments'!$D350/$AL350,IF('My investments'!$C350="Money out",-'My investments'!$D350/$AL350,0))))</f>
        <v>0</v>
      </c>
    </row>
    <row r="351">
      <c r="X351" s="3">
        <f>IF('My investments'!$B351="",0,IF('My investments'!$E351="",0,'My investments'!$E351))</f>
        <v>0</v>
      </c>
      <c r="Y351" s="25">
        <f>IF('My investments'!$B351="",$D$8,'My investments'!$B351)</f>
        <v>0</v>
      </c>
      <c r="Z351" s="3">
        <f>IF('My investments'!$C351="Worth today",0,$X351)</f>
        <v>0</v>
      </c>
      <c r="AA351" s="3">
        <f>IF('My investments'!$H$15="",0,IF('My investments'!$F351='My investments'!$H$15,$X351,0))</f>
        <v>0</v>
      </c>
      <c r="AB351" s="3">
        <f>IF('My investments'!$H$16="",0,IF('My investments'!$F351='My investments'!$H$16,$X351,0))</f>
        <v>0</v>
      </c>
      <c r="AC351" s="3">
        <f>IF('My investments'!$H$17="",0,IF('My investments'!$F351='My investments'!$H$17,$X351,0))</f>
        <v>0</v>
      </c>
      <c r="AD351" s="3">
        <f>IF('My investments'!$H$18="",0,IF('My investments'!$F351='My investments'!$H$18,$X351,0))</f>
        <v>0</v>
      </c>
      <c r="AE351" s="3">
        <f>IF('My investments'!$H$19="",0,IF('My investments'!$F351='My investments'!$H$19,$X351,0))</f>
        <v>0</v>
      </c>
      <c r="AF351" s="3">
        <f>IF('My investments'!$H$20="",0,IF('My investments'!$F351='My investments'!$H$20,$X351,0))</f>
        <v>0</v>
      </c>
      <c r="AG351" s="3">
        <f>IF('My investments'!$H$21="",0,IF('My investments'!$F351='My investments'!$H$21,$X351,0))</f>
        <v>0</v>
      </c>
      <c r="AH351" s="3">
        <f>IF('My investments'!$H$22="",0,IF('My investments'!$F351='My investments'!$H$22,$X351,0))</f>
        <v>0</v>
      </c>
      <c r="AI351" s="3">
        <f>IF('My investments'!$H$23="",0,IF('My investments'!$F351='My investments'!$H$23,$X351,0))</f>
        <v>0</v>
      </c>
      <c r="AJ351" s="3">
        <f>IF('My investments'!$H$24="",0,IF('My investments'!$F351='My investments'!$H$24,$X351,0))</f>
        <v>0</v>
      </c>
      <c r="AL351" s="3" t="str">
        <f>IF('My investments'!$B351="","",IF($D$10=0,"",IFERROR(INDEX('Index history'!$B$8:$B$5007,MATCH('My investments'!$B351,'Index history'!$A$8:$A$5007,1)),"")))</f>
        <v/>
      </c>
      <c r="AM351" s="3">
        <f>IF($AL351="",0,IF('My investments'!$D351="",0,IF('My investments'!$C351="Money in",'My investments'!$D351/$AL351,IF('My investments'!$C351="Money out",-'My investments'!$D351/$AL351,0))))</f>
        <v>0</v>
      </c>
    </row>
    <row r="352">
      <c r="X352" s="3">
        <f>IF('My investments'!$B352="",0,IF('My investments'!$E352="",0,'My investments'!$E352))</f>
        <v>0</v>
      </c>
      <c r="Y352" s="25">
        <f>IF('My investments'!$B352="",$D$8,'My investments'!$B352)</f>
        <v>0</v>
      </c>
      <c r="Z352" s="3">
        <f>IF('My investments'!$C352="Worth today",0,$X352)</f>
        <v>0</v>
      </c>
      <c r="AA352" s="3">
        <f>IF('My investments'!$H$15="",0,IF('My investments'!$F352='My investments'!$H$15,$X352,0))</f>
        <v>0</v>
      </c>
      <c r="AB352" s="3">
        <f>IF('My investments'!$H$16="",0,IF('My investments'!$F352='My investments'!$H$16,$X352,0))</f>
        <v>0</v>
      </c>
      <c r="AC352" s="3">
        <f>IF('My investments'!$H$17="",0,IF('My investments'!$F352='My investments'!$H$17,$X352,0))</f>
        <v>0</v>
      </c>
      <c r="AD352" s="3">
        <f>IF('My investments'!$H$18="",0,IF('My investments'!$F352='My investments'!$H$18,$X352,0))</f>
        <v>0</v>
      </c>
      <c r="AE352" s="3">
        <f>IF('My investments'!$H$19="",0,IF('My investments'!$F352='My investments'!$H$19,$X352,0))</f>
        <v>0</v>
      </c>
      <c r="AF352" s="3">
        <f>IF('My investments'!$H$20="",0,IF('My investments'!$F352='My investments'!$H$20,$X352,0))</f>
        <v>0</v>
      </c>
      <c r="AG352" s="3">
        <f>IF('My investments'!$H$21="",0,IF('My investments'!$F352='My investments'!$H$21,$X352,0))</f>
        <v>0</v>
      </c>
      <c r="AH352" s="3">
        <f>IF('My investments'!$H$22="",0,IF('My investments'!$F352='My investments'!$H$22,$X352,0))</f>
        <v>0</v>
      </c>
      <c r="AI352" s="3">
        <f>IF('My investments'!$H$23="",0,IF('My investments'!$F352='My investments'!$H$23,$X352,0))</f>
        <v>0</v>
      </c>
      <c r="AJ352" s="3">
        <f>IF('My investments'!$H$24="",0,IF('My investments'!$F352='My investments'!$H$24,$X352,0))</f>
        <v>0</v>
      </c>
      <c r="AL352" s="3" t="str">
        <f>IF('My investments'!$B352="","",IF($D$10=0,"",IFERROR(INDEX('Index history'!$B$8:$B$5007,MATCH('My investments'!$B352,'Index history'!$A$8:$A$5007,1)),"")))</f>
        <v/>
      </c>
      <c r="AM352" s="3">
        <f>IF($AL352="",0,IF('My investments'!$D352="",0,IF('My investments'!$C352="Money in",'My investments'!$D352/$AL352,IF('My investments'!$C352="Money out",-'My investments'!$D352/$AL352,0))))</f>
        <v>0</v>
      </c>
    </row>
    <row r="353">
      <c r="X353" s="3">
        <f>IF('My investments'!$B353="",0,IF('My investments'!$E353="",0,'My investments'!$E353))</f>
        <v>0</v>
      </c>
      <c r="Y353" s="25">
        <f>IF('My investments'!$B353="",$D$8,'My investments'!$B353)</f>
        <v>0</v>
      </c>
      <c r="Z353" s="3">
        <f>IF('My investments'!$C353="Worth today",0,$X353)</f>
        <v>0</v>
      </c>
      <c r="AA353" s="3">
        <f>IF('My investments'!$H$15="",0,IF('My investments'!$F353='My investments'!$H$15,$X353,0))</f>
        <v>0</v>
      </c>
      <c r="AB353" s="3">
        <f>IF('My investments'!$H$16="",0,IF('My investments'!$F353='My investments'!$H$16,$X353,0))</f>
        <v>0</v>
      </c>
      <c r="AC353" s="3">
        <f>IF('My investments'!$H$17="",0,IF('My investments'!$F353='My investments'!$H$17,$X353,0))</f>
        <v>0</v>
      </c>
      <c r="AD353" s="3">
        <f>IF('My investments'!$H$18="",0,IF('My investments'!$F353='My investments'!$H$18,$X353,0))</f>
        <v>0</v>
      </c>
      <c r="AE353" s="3">
        <f>IF('My investments'!$H$19="",0,IF('My investments'!$F353='My investments'!$H$19,$X353,0))</f>
        <v>0</v>
      </c>
      <c r="AF353" s="3">
        <f>IF('My investments'!$H$20="",0,IF('My investments'!$F353='My investments'!$H$20,$X353,0))</f>
        <v>0</v>
      </c>
      <c r="AG353" s="3">
        <f>IF('My investments'!$H$21="",0,IF('My investments'!$F353='My investments'!$H$21,$X353,0))</f>
        <v>0</v>
      </c>
      <c r="AH353" s="3">
        <f>IF('My investments'!$H$22="",0,IF('My investments'!$F353='My investments'!$H$22,$X353,0))</f>
        <v>0</v>
      </c>
      <c r="AI353" s="3">
        <f>IF('My investments'!$H$23="",0,IF('My investments'!$F353='My investments'!$H$23,$X353,0))</f>
        <v>0</v>
      </c>
      <c r="AJ353" s="3">
        <f>IF('My investments'!$H$24="",0,IF('My investments'!$F353='My investments'!$H$24,$X353,0))</f>
        <v>0</v>
      </c>
      <c r="AL353" s="3" t="str">
        <f>IF('My investments'!$B353="","",IF($D$10=0,"",IFERROR(INDEX('Index history'!$B$8:$B$5007,MATCH('My investments'!$B353,'Index history'!$A$8:$A$5007,1)),"")))</f>
        <v/>
      </c>
      <c r="AM353" s="3">
        <f>IF($AL353="",0,IF('My investments'!$D353="",0,IF('My investments'!$C353="Money in",'My investments'!$D353/$AL353,IF('My investments'!$C353="Money out",-'My investments'!$D353/$AL353,0))))</f>
        <v>0</v>
      </c>
    </row>
    <row r="354">
      <c r="X354" s="3">
        <f>IF('My investments'!$B354="",0,IF('My investments'!$E354="",0,'My investments'!$E354))</f>
        <v>0</v>
      </c>
      <c r="Y354" s="25">
        <f>IF('My investments'!$B354="",$D$8,'My investments'!$B354)</f>
        <v>0</v>
      </c>
      <c r="Z354" s="3">
        <f>IF('My investments'!$C354="Worth today",0,$X354)</f>
        <v>0</v>
      </c>
      <c r="AA354" s="3">
        <f>IF('My investments'!$H$15="",0,IF('My investments'!$F354='My investments'!$H$15,$X354,0))</f>
        <v>0</v>
      </c>
      <c r="AB354" s="3">
        <f>IF('My investments'!$H$16="",0,IF('My investments'!$F354='My investments'!$H$16,$X354,0))</f>
        <v>0</v>
      </c>
      <c r="AC354" s="3">
        <f>IF('My investments'!$H$17="",0,IF('My investments'!$F354='My investments'!$H$17,$X354,0))</f>
        <v>0</v>
      </c>
      <c r="AD354" s="3">
        <f>IF('My investments'!$H$18="",0,IF('My investments'!$F354='My investments'!$H$18,$X354,0))</f>
        <v>0</v>
      </c>
      <c r="AE354" s="3">
        <f>IF('My investments'!$H$19="",0,IF('My investments'!$F354='My investments'!$H$19,$X354,0))</f>
        <v>0</v>
      </c>
      <c r="AF354" s="3">
        <f>IF('My investments'!$H$20="",0,IF('My investments'!$F354='My investments'!$H$20,$X354,0))</f>
        <v>0</v>
      </c>
      <c r="AG354" s="3">
        <f>IF('My investments'!$H$21="",0,IF('My investments'!$F354='My investments'!$H$21,$X354,0))</f>
        <v>0</v>
      </c>
      <c r="AH354" s="3">
        <f>IF('My investments'!$H$22="",0,IF('My investments'!$F354='My investments'!$H$22,$X354,0))</f>
        <v>0</v>
      </c>
      <c r="AI354" s="3">
        <f>IF('My investments'!$H$23="",0,IF('My investments'!$F354='My investments'!$H$23,$X354,0))</f>
        <v>0</v>
      </c>
      <c r="AJ354" s="3">
        <f>IF('My investments'!$H$24="",0,IF('My investments'!$F354='My investments'!$H$24,$X354,0))</f>
        <v>0</v>
      </c>
      <c r="AL354" s="3" t="str">
        <f>IF('My investments'!$B354="","",IF($D$10=0,"",IFERROR(INDEX('Index history'!$B$8:$B$5007,MATCH('My investments'!$B354,'Index history'!$A$8:$A$5007,1)),"")))</f>
        <v/>
      </c>
      <c r="AM354" s="3">
        <f>IF($AL354="",0,IF('My investments'!$D354="",0,IF('My investments'!$C354="Money in",'My investments'!$D354/$AL354,IF('My investments'!$C354="Money out",-'My investments'!$D354/$AL354,0))))</f>
        <v>0</v>
      </c>
    </row>
    <row r="355">
      <c r="X355" s="3">
        <f>IF('My investments'!$B355="",0,IF('My investments'!$E355="",0,'My investments'!$E355))</f>
        <v>0</v>
      </c>
      <c r="Y355" s="25">
        <f>IF('My investments'!$B355="",$D$8,'My investments'!$B355)</f>
        <v>0</v>
      </c>
      <c r="Z355" s="3">
        <f>IF('My investments'!$C355="Worth today",0,$X355)</f>
        <v>0</v>
      </c>
      <c r="AA355" s="3">
        <f>IF('My investments'!$H$15="",0,IF('My investments'!$F355='My investments'!$H$15,$X355,0))</f>
        <v>0</v>
      </c>
      <c r="AB355" s="3">
        <f>IF('My investments'!$H$16="",0,IF('My investments'!$F355='My investments'!$H$16,$X355,0))</f>
        <v>0</v>
      </c>
      <c r="AC355" s="3">
        <f>IF('My investments'!$H$17="",0,IF('My investments'!$F355='My investments'!$H$17,$X355,0))</f>
        <v>0</v>
      </c>
      <c r="AD355" s="3">
        <f>IF('My investments'!$H$18="",0,IF('My investments'!$F355='My investments'!$H$18,$X355,0))</f>
        <v>0</v>
      </c>
      <c r="AE355" s="3">
        <f>IF('My investments'!$H$19="",0,IF('My investments'!$F355='My investments'!$H$19,$X355,0))</f>
        <v>0</v>
      </c>
      <c r="AF355" s="3">
        <f>IF('My investments'!$H$20="",0,IF('My investments'!$F355='My investments'!$H$20,$X355,0))</f>
        <v>0</v>
      </c>
      <c r="AG355" s="3">
        <f>IF('My investments'!$H$21="",0,IF('My investments'!$F355='My investments'!$H$21,$X355,0))</f>
        <v>0</v>
      </c>
      <c r="AH355" s="3">
        <f>IF('My investments'!$H$22="",0,IF('My investments'!$F355='My investments'!$H$22,$X355,0))</f>
        <v>0</v>
      </c>
      <c r="AI355" s="3">
        <f>IF('My investments'!$H$23="",0,IF('My investments'!$F355='My investments'!$H$23,$X355,0))</f>
        <v>0</v>
      </c>
      <c r="AJ355" s="3">
        <f>IF('My investments'!$H$24="",0,IF('My investments'!$F355='My investments'!$H$24,$X355,0))</f>
        <v>0</v>
      </c>
      <c r="AL355" s="3" t="str">
        <f>IF('My investments'!$B355="","",IF($D$10=0,"",IFERROR(INDEX('Index history'!$B$8:$B$5007,MATCH('My investments'!$B355,'Index history'!$A$8:$A$5007,1)),"")))</f>
        <v/>
      </c>
      <c r="AM355" s="3">
        <f>IF($AL355="",0,IF('My investments'!$D355="",0,IF('My investments'!$C355="Money in",'My investments'!$D355/$AL355,IF('My investments'!$C355="Money out",-'My investments'!$D355/$AL355,0))))</f>
        <v>0</v>
      </c>
    </row>
    <row r="356">
      <c r="X356" s="3">
        <f>IF('My investments'!$B356="",0,IF('My investments'!$E356="",0,'My investments'!$E356))</f>
        <v>0</v>
      </c>
      <c r="Y356" s="25">
        <f>IF('My investments'!$B356="",$D$8,'My investments'!$B356)</f>
        <v>0</v>
      </c>
      <c r="Z356" s="3">
        <f>IF('My investments'!$C356="Worth today",0,$X356)</f>
        <v>0</v>
      </c>
      <c r="AA356" s="3">
        <f>IF('My investments'!$H$15="",0,IF('My investments'!$F356='My investments'!$H$15,$X356,0))</f>
        <v>0</v>
      </c>
      <c r="AB356" s="3">
        <f>IF('My investments'!$H$16="",0,IF('My investments'!$F356='My investments'!$H$16,$X356,0))</f>
        <v>0</v>
      </c>
      <c r="AC356" s="3">
        <f>IF('My investments'!$H$17="",0,IF('My investments'!$F356='My investments'!$H$17,$X356,0))</f>
        <v>0</v>
      </c>
      <c r="AD356" s="3">
        <f>IF('My investments'!$H$18="",0,IF('My investments'!$F356='My investments'!$H$18,$X356,0))</f>
        <v>0</v>
      </c>
      <c r="AE356" s="3">
        <f>IF('My investments'!$H$19="",0,IF('My investments'!$F356='My investments'!$H$19,$X356,0))</f>
        <v>0</v>
      </c>
      <c r="AF356" s="3">
        <f>IF('My investments'!$H$20="",0,IF('My investments'!$F356='My investments'!$H$20,$X356,0))</f>
        <v>0</v>
      </c>
      <c r="AG356" s="3">
        <f>IF('My investments'!$H$21="",0,IF('My investments'!$F356='My investments'!$H$21,$X356,0))</f>
        <v>0</v>
      </c>
      <c r="AH356" s="3">
        <f>IF('My investments'!$H$22="",0,IF('My investments'!$F356='My investments'!$H$22,$X356,0))</f>
        <v>0</v>
      </c>
      <c r="AI356" s="3">
        <f>IF('My investments'!$H$23="",0,IF('My investments'!$F356='My investments'!$H$23,$X356,0))</f>
        <v>0</v>
      </c>
      <c r="AJ356" s="3">
        <f>IF('My investments'!$H$24="",0,IF('My investments'!$F356='My investments'!$H$24,$X356,0))</f>
        <v>0</v>
      </c>
      <c r="AL356" s="3" t="str">
        <f>IF('My investments'!$B356="","",IF($D$10=0,"",IFERROR(INDEX('Index history'!$B$8:$B$5007,MATCH('My investments'!$B356,'Index history'!$A$8:$A$5007,1)),"")))</f>
        <v/>
      </c>
      <c r="AM356" s="3">
        <f>IF($AL356="",0,IF('My investments'!$D356="",0,IF('My investments'!$C356="Money in",'My investments'!$D356/$AL356,IF('My investments'!$C356="Money out",-'My investments'!$D356/$AL356,0))))</f>
        <v>0</v>
      </c>
    </row>
    <row r="357">
      <c r="X357" s="3">
        <f>IF('My investments'!$B357="",0,IF('My investments'!$E357="",0,'My investments'!$E357))</f>
        <v>0</v>
      </c>
      <c r="Y357" s="25">
        <f>IF('My investments'!$B357="",$D$8,'My investments'!$B357)</f>
        <v>0</v>
      </c>
      <c r="Z357" s="3">
        <f>IF('My investments'!$C357="Worth today",0,$X357)</f>
        <v>0</v>
      </c>
      <c r="AA357" s="3">
        <f>IF('My investments'!$H$15="",0,IF('My investments'!$F357='My investments'!$H$15,$X357,0))</f>
        <v>0</v>
      </c>
      <c r="AB357" s="3">
        <f>IF('My investments'!$H$16="",0,IF('My investments'!$F357='My investments'!$H$16,$X357,0))</f>
        <v>0</v>
      </c>
      <c r="AC357" s="3">
        <f>IF('My investments'!$H$17="",0,IF('My investments'!$F357='My investments'!$H$17,$X357,0))</f>
        <v>0</v>
      </c>
      <c r="AD357" s="3">
        <f>IF('My investments'!$H$18="",0,IF('My investments'!$F357='My investments'!$H$18,$X357,0))</f>
        <v>0</v>
      </c>
      <c r="AE357" s="3">
        <f>IF('My investments'!$H$19="",0,IF('My investments'!$F357='My investments'!$H$19,$X357,0))</f>
        <v>0</v>
      </c>
      <c r="AF357" s="3">
        <f>IF('My investments'!$H$20="",0,IF('My investments'!$F357='My investments'!$H$20,$X357,0))</f>
        <v>0</v>
      </c>
      <c r="AG357" s="3">
        <f>IF('My investments'!$H$21="",0,IF('My investments'!$F357='My investments'!$H$21,$X357,0))</f>
        <v>0</v>
      </c>
      <c r="AH357" s="3">
        <f>IF('My investments'!$H$22="",0,IF('My investments'!$F357='My investments'!$H$22,$X357,0))</f>
        <v>0</v>
      </c>
      <c r="AI357" s="3">
        <f>IF('My investments'!$H$23="",0,IF('My investments'!$F357='My investments'!$H$23,$X357,0))</f>
        <v>0</v>
      </c>
      <c r="AJ357" s="3">
        <f>IF('My investments'!$H$24="",0,IF('My investments'!$F357='My investments'!$H$24,$X357,0))</f>
        <v>0</v>
      </c>
      <c r="AL357" s="3" t="str">
        <f>IF('My investments'!$B357="","",IF($D$10=0,"",IFERROR(INDEX('Index history'!$B$8:$B$5007,MATCH('My investments'!$B357,'Index history'!$A$8:$A$5007,1)),"")))</f>
        <v/>
      </c>
      <c r="AM357" s="3">
        <f>IF($AL357="",0,IF('My investments'!$D357="",0,IF('My investments'!$C357="Money in",'My investments'!$D357/$AL357,IF('My investments'!$C357="Money out",-'My investments'!$D357/$AL357,0))))</f>
        <v>0</v>
      </c>
    </row>
    <row r="358">
      <c r="X358" s="3">
        <f>IF('My investments'!$B358="",0,IF('My investments'!$E358="",0,'My investments'!$E358))</f>
        <v>0</v>
      </c>
      <c r="Y358" s="25">
        <f>IF('My investments'!$B358="",$D$8,'My investments'!$B358)</f>
        <v>0</v>
      </c>
      <c r="Z358" s="3">
        <f>IF('My investments'!$C358="Worth today",0,$X358)</f>
        <v>0</v>
      </c>
      <c r="AA358" s="3">
        <f>IF('My investments'!$H$15="",0,IF('My investments'!$F358='My investments'!$H$15,$X358,0))</f>
        <v>0</v>
      </c>
      <c r="AB358" s="3">
        <f>IF('My investments'!$H$16="",0,IF('My investments'!$F358='My investments'!$H$16,$X358,0))</f>
        <v>0</v>
      </c>
      <c r="AC358" s="3">
        <f>IF('My investments'!$H$17="",0,IF('My investments'!$F358='My investments'!$H$17,$X358,0))</f>
        <v>0</v>
      </c>
      <c r="AD358" s="3">
        <f>IF('My investments'!$H$18="",0,IF('My investments'!$F358='My investments'!$H$18,$X358,0))</f>
        <v>0</v>
      </c>
      <c r="AE358" s="3">
        <f>IF('My investments'!$H$19="",0,IF('My investments'!$F358='My investments'!$H$19,$X358,0))</f>
        <v>0</v>
      </c>
      <c r="AF358" s="3">
        <f>IF('My investments'!$H$20="",0,IF('My investments'!$F358='My investments'!$H$20,$X358,0))</f>
        <v>0</v>
      </c>
      <c r="AG358" s="3">
        <f>IF('My investments'!$H$21="",0,IF('My investments'!$F358='My investments'!$H$21,$X358,0))</f>
        <v>0</v>
      </c>
      <c r="AH358" s="3">
        <f>IF('My investments'!$H$22="",0,IF('My investments'!$F358='My investments'!$H$22,$X358,0))</f>
        <v>0</v>
      </c>
      <c r="AI358" s="3">
        <f>IF('My investments'!$H$23="",0,IF('My investments'!$F358='My investments'!$H$23,$X358,0))</f>
        <v>0</v>
      </c>
      <c r="AJ358" s="3">
        <f>IF('My investments'!$H$24="",0,IF('My investments'!$F358='My investments'!$H$24,$X358,0))</f>
        <v>0</v>
      </c>
      <c r="AL358" s="3" t="str">
        <f>IF('My investments'!$B358="","",IF($D$10=0,"",IFERROR(INDEX('Index history'!$B$8:$B$5007,MATCH('My investments'!$B358,'Index history'!$A$8:$A$5007,1)),"")))</f>
        <v/>
      </c>
      <c r="AM358" s="3">
        <f>IF($AL358="",0,IF('My investments'!$D358="",0,IF('My investments'!$C358="Money in",'My investments'!$D358/$AL358,IF('My investments'!$C358="Money out",-'My investments'!$D358/$AL358,0))))</f>
        <v>0</v>
      </c>
    </row>
    <row r="359">
      <c r="X359" s="3">
        <f>IF('My investments'!$B359="",0,IF('My investments'!$E359="",0,'My investments'!$E359))</f>
        <v>0</v>
      </c>
      <c r="Y359" s="25">
        <f>IF('My investments'!$B359="",$D$8,'My investments'!$B359)</f>
        <v>0</v>
      </c>
      <c r="Z359" s="3">
        <f>IF('My investments'!$C359="Worth today",0,$X359)</f>
        <v>0</v>
      </c>
      <c r="AA359" s="3">
        <f>IF('My investments'!$H$15="",0,IF('My investments'!$F359='My investments'!$H$15,$X359,0))</f>
        <v>0</v>
      </c>
      <c r="AB359" s="3">
        <f>IF('My investments'!$H$16="",0,IF('My investments'!$F359='My investments'!$H$16,$X359,0))</f>
        <v>0</v>
      </c>
      <c r="AC359" s="3">
        <f>IF('My investments'!$H$17="",0,IF('My investments'!$F359='My investments'!$H$17,$X359,0))</f>
        <v>0</v>
      </c>
      <c r="AD359" s="3">
        <f>IF('My investments'!$H$18="",0,IF('My investments'!$F359='My investments'!$H$18,$X359,0))</f>
        <v>0</v>
      </c>
      <c r="AE359" s="3">
        <f>IF('My investments'!$H$19="",0,IF('My investments'!$F359='My investments'!$H$19,$X359,0))</f>
        <v>0</v>
      </c>
      <c r="AF359" s="3">
        <f>IF('My investments'!$H$20="",0,IF('My investments'!$F359='My investments'!$H$20,$X359,0))</f>
        <v>0</v>
      </c>
      <c r="AG359" s="3">
        <f>IF('My investments'!$H$21="",0,IF('My investments'!$F359='My investments'!$H$21,$X359,0))</f>
        <v>0</v>
      </c>
      <c r="AH359" s="3">
        <f>IF('My investments'!$H$22="",0,IF('My investments'!$F359='My investments'!$H$22,$X359,0))</f>
        <v>0</v>
      </c>
      <c r="AI359" s="3">
        <f>IF('My investments'!$H$23="",0,IF('My investments'!$F359='My investments'!$H$23,$X359,0))</f>
        <v>0</v>
      </c>
      <c r="AJ359" s="3">
        <f>IF('My investments'!$H$24="",0,IF('My investments'!$F359='My investments'!$H$24,$X359,0))</f>
        <v>0</v>
      </c>
      <c r="AL359" s="3" t="str">
        <f>IF('My investments'!$B359="","",IF($D$10=0,"",IFERROR(INDEX('Index history'!$B$8:$B$5007,MATCH('My investments'!$B359,'Index history'!$A$8:$A$5007,1)),"")))</f>
        <v/>
      </c>
      <c r="AM359" s="3">
        <f>IF($AL359="",0,IF('My investments'!$D359="",0,IF('My investments'!$C359="Money in",'My investments'!$D359/$AL359,IF('My investments'!$C359="Money out",-'My investments'!$D359/$AL359,0))))</f>
        <v>0</v>
      </c>
    </row>
    <row r="360">
      <c r="X360" s="3">
        <f>IF('My investments'!$B360="",0,IF('My investments'!$E360="",0,'My investments'!$E360))</f>
        <v>0</v>
      </c>
      <c r="Y360" s="25">
        <f>IF('My investments'!$B360="",$D$8,'My investments'!$B360)</f>
        <v>0</v>
      </c>
      <c r="Z360" s="3">
        <f>IF('My investments'!$C360="Worth today",0,$X360)</f>
        <v>0</v>
      </c>
      <c r="AA360" s="3">
        <f>IF('My investments'!$H$15="",0,IF('My investments'!$F360='My investments'!$H$15,$X360,0))</f>
        <v>0</v>
      </c>
      <c r="AB360" s="3">
        <f>IF('My investments'!$H$16="",0,IF('My investments'!$F360='My investments'!$H$16,$X360,0))</f>
        <v>0</v>
      </c>
      <c r="AC360" s="3">
        <f>IF('My investments'!$H$17="",0,IF('My investments'!$F360='My investments'!$H$17,$X360,0))</f>
        <v>0</v>
      </c>
      <c r="AD360" s="3">
        <f>IF('My investments'!$H$18="",0,IF('My investments'!$F360='My investments'!$H$18,$X360,0))</f>
        <v>0</v>
      </c>
      <c r="AE360" s="3">
        <f>IF('My investments'!$H$19="",0,IF('My investments'!$F360='My investments'!$H$19,$X360,0))</f>
        <v>0</v>
      </c>
      <c r="AF360" s="3">
        <f>IF('My investments'!$H$20="",0,IF('My investments'!$F360='My investments'!$H$20,$X360,0))</f>
        <v>0</v>
      </c>
      <c r="AG360" s="3">
        <f>IF('My investments'!$H$21="",0,IF('My investments'!$F360='My investments'!$H$21,$X360,0))</f>
        <v>0</v>
      </c>
      <c r="AH360" s="3">
        <f>IF('My investments'!$H$22="",0,IF('My investments'!$F360='My investments'!$H$22,$X360,0))</f>
        <v>0</v>
      </c>
      <c r="AI360" s="3">
        <f>IF('My investments'!$H$23="",0,IF('My investments'!$F360='My investments'!$H$23,$X360,0))</f>
        <v>0</v>
      </c>
      <c r="AJ360" s="3">
        <f>IF('My investments'!$H$24="",0,IF('My investments'!$F360='My investments'!$H$24,$X360,0))</f>
        <v>0</v>
      </c>
      <c r="AL360" s="3" t="str">
        <f>IF('My investments'!$B360="","",IF($D$10=0,"",IFERROR(INDEX('Index history'!$B$8:$B$5007,MATCH('My investments'!$B360,'Index history'!$A$8:$A$5007,1)),"")))</f>
        <v/>
      </c>
      <c r="AM360" s="3">
        <f>IF($AL360="",0,IF('My investments'!$D360="",0,IF('My investments'!$C360="Money in",'My investments'!$D360/$AL360,IF('My investments'!$C360="Money out",-'My investments'!$D360/$AL360,0))))</f>
        <v>0</v>
      </c>
    </row>
    <row r="361">
      <c r="X361" s="3">
        <f>IF('My investments'!$B361="",0,IF('My investments'!$E361="",0,'My investments'!$E361))</f>
        <v>0</v>
      </c>
      <c r="Y361" s="25">
        <f>IF('My investments'!$B361="",$D$8,'My investments'!$B361)</f>
        <v>0</v>
      </c>
      <c r="Z361" s="3">
        <f>IF('My investments'!$C361="Worth today",0,$X361)</f>
        <v>0</v>
      </c>
      <c r="AA361" s="3">
        <f>IF('My investments'!$H$15="",0,IF('My investments'!$F361='My investments'!$H$15,$X361,0))</f>
        <v>0</v>
      </c>
      <c r="AB361" s="3">
        <f>IF('My investments'!$H$16="",0,IF('My investments'!$F361='My investments'!$H$16,$X361,0))</f>
        <v>0</v>
      </c>
      <c r="AC361" s="3">
        <f>IF('My investments'!$H$17="",0,IF('My investments'!$F361='My investments'!$H$17,$X361,0))</f>
        <v>0</v>
      </c>
      <c r="AD361" s="3">
        <f>IF('My investments'!$H$18="",0,IF('My investments'!$F361='My investments'!$H$18,$X361,0))</f>
        <v>0</v>
      </c>
      <c r="AE361" s="3">
        <f>IF('My investments'!$H$19="",0,IF('My investments'!$F361='My investments'!$H$19,$X361,0))</f>
        <v>0</v>
      </c>
      <c r="AF361" s="3">
        <f>IF('My investments'!$H$20="",0,IF('My investments'!$F361='My investments'!$H$20,$X361,0))</f>
        <v>0</v>
      </c>
      <c r="AG361" s="3">
        <f>IF('My investments'!$H$21="",0,IF('My investments'!$F361='My investments'!$H$21,$X361,0))</f>
        <v>0</v>
      </c>
      <c r="AH361" s="3">
        <f>IF('My investments'!$H$22="",0,IF('My investments'!$F361='My investments'!$H$22,$X361,0))</f>
        <v>0</v>
      </c>
      <c r="AI361" s="3">
        <f>IF('My investments'!$H$23="",0,IF('My investments'!$F361='My investments'!$H$23,$X361,0))</f>
        <v>0</v>
      </c>
      <c r="AJ361" s="3">
        <f>IF('My investments'!$H$24="",0,IF('My investments'!$F361='My investments'!$H$24,$X361,0))</f>
        <v>0</v>
      </c>
      <c r="AL361" s="3" t="str">
        <f>IF('My investments'!$B361="","",IF($D$10=0,"",IFERROR(INDEX('Index history'!$B$8:$B$5007,MATCH('My investments'!$B361,'Index history'!$A$8:$A$5007,1)),"")))</f>
        <v/>
      </c>
      <c r="AM361" s="3">
        <f>IF($AL361="",0,IF('My investments'!$D361="",0,IF('My investments'!$C361="Money in",'My investments'!$D361/$AL361,IF('My investments'!$C361="Money out",-'My investments'!$D361/$AL361,0))))</f>
        <v>0</v>
      </c>
    </row>
    <row r="362">
      <c r="X362" s="3">
        <f>IF('My investments'!$B362="",0,IF('My investments'!$E362="",0,'My investments'!$E362))</f>
        <v>0</v>
      </c>
      <c r="Y362" s="25">
        <f>IF('My investments'!$B362="",$D$8,'My investments'!$B362)</f>
        <v>0</v>
      </c>
      <c r="Z362" s="3">
        <f>IF('My investments'!$C362="Worth today",0,$X362)</f>
        <v>0</v>
      </c>
      <c r="AA362" s="3">
        <f>IF('My investments'!$H$15="",0,IF('My investments'!$F362='My investments'!$H$15,$X362,0))</f>
        <v>0</v>
      </c>
      <c r="AB362" s="3">
        <f>IF('My investments'!$H$16="",0,IF('My investments'!$F362='My investments'!$H$16,$X362,0))</f>
        <v>0</v>
      </c>
      <c r="AC362" s="3">
        <f>IF('My investments'!$H$17="",0,IF('My investments'!$F362='My investments'!$H$17,$X362,0))</f>
        <v>0</v>
      </c>
      <c r="AD362" s="3">
        <f>IF('My investments'!$H$18="",0,IF('My investments'!$F362='My investments'!$H$18,$X362,0))</f>
        <v>0</v>
      </c>
      <c r="AE362" s="3">
        <f>IF('My investments'!$H$19="",0,IF('My investments'!$F362='My investments'!$H$19,$X362,0))</f>
        <v>0</v>
      </c>
      <c r="AF362" s="3">
        <f>IF('My investments'!$H$20="",0,IF('My investments'!$F362='My investments'!$H$20,$X362,0))</f>
        <v>0</v>
      </c>
      <c r="AG362" s="3">
        <f>IF('My investments'!$H$21="",0,IF('My investments'!$F362='My investments'!$H$21,$X362,0))</f>
        <v>0</v>
      </c>
      <c r="AH362" s="3">
        <f>IF('My investments'!$H$22="",0,IF('My investments'!$F362='My investments'!$H$22,$X362,0))</f>
        <v>0</v>
      </c>
      <c r="AI362" s="3">
        <f>IF('My investments'!$H$23="",0,IF('My investments'!$F362='My investments'!$H$23,$X362,0))</f>
        <v>0</v>
      </c>
      <c r="AJ362" s="3">
        <f>IF('My investments'!$H$24="",0,IF('My investments'!$F362='My investments'!$H$24,$X362,0))</f>
        <v>0</v>
      </c>
      <c r="AL362" s="3" t="str">
        <f>IF('My investments'!$B362="","",IF($D$10=0,"",IFERROR(INDEX('Index history'!$B$8:$B$5007,MATCH('My investments'!$B362,'Index history'!$A$8:$A$5007,1)),"")))</f>
        <v/>
      </c>
      <c r="AM362" s="3">
        <f>IF($AL362="",0,IF('My investments'!$D362="",0,IF('My investments'!$C362="Money in",'My investments'!$D362/$AL362,IF('My investments'!$C362="Money out",-'My investments'!$D362/$AL362,0))))</f>
        <v>0</v>
      </c>
    </row>
    <row r="363">
      <c r="X363" s="3">
        <f>IF('My investments'!$B363="",0,IF('My investments'!$E363="",0,'My investments'!$E363))</f>
        <v>0</v>
      </c>
      <c r="Y363" s="25">
        <f>IF('My investments'!$B363="",$D$8,'My investments'!$B363)</f>
        <v>0</v>
      </c>
      <c r="Z363" s="3">
        <f>IF('My investments'!$C363="Worth today",0,$X363)</f>
        <v>0</v>
      </c>
      <c r="AA363" s="3">
        <f>IF('My investments'!$H$15="",0,IF('My investments'!$F363='My investments'!$H$15,$X363,0))</f>
        <v>0</v>
      </c>
      <c r="AB363" s="3">
        <f>IF('My investments'!$H$16="",0,IF('My investments'!$F363='My investments'!$H$16,$X363,0))</f>
        <v>0</v>
      </c>
      <c r="AC363" s="3">
        <f>IF('My investments'!$H$17="",0,IF('My investments'!$F363='My investments'!$H$17,$X363,0))</f>
        <v>0</v>
      </c>
      <c r="AD363" s="3">
        <f>IF('My investments'!$H$18="",0,IF('My investments'!$F363='My investments'!$H$18,$X363,0))</f>
        <v>0</v>
      </c>
      <c r="AE363" s="3">
        <f>IF('My investments'!$H$19="",0,IF('My investments'!$F363='My investments'!$H$19,$X363,0))</f>
        <v>0</v>
      </c>
      <c r="AF363" s="3">
        <f>IF('My investments'!$H$20="",0,IF('My investments'!$F363='My investments'!$H$20,$X363,0))</f>
        <v>0</v>
      </c>
      <c r="AG363" s="3">
        <f>IF('My investments'!$H$21="",0,IF('My investments'!$F363='My investments'!$H$21,$X363,0))</f>
        <v>0</v>
      </c>
      <c r="AH363" s="3">
        <f>IF('My investments'!$H$22="",0,IF('My investments'!$F363='My investments'!$H$22,$X363,0))</f>
        <v>0</v>
      </c>
      <c r="AI363" s="3">
        <f>IF('My investments'!$H$23="",0,IF('My investments'!$F363='My investments'!$H$23,$X363,0))</f>
        <v>0</v>
      </c>
      <c r="AJ363" s="3">
        <f>IF('My investments'!$H$24="",0,IF('My investments'!$F363='My investments'!$H$24,$X363,0))</f>
        <v>0</v>
      </c>
      <c r="AL363" s="3" t="str">
        <f>IF('My investments'!$B363="","",IF($D$10=0,"",IFERROR(INDEX('Index history'!$B$8:$B$5007,MATCH('My investments'!$B363,'Index history'!$A$8:$A$5007,1)),"")))</f>
        <v/>
      </c>
      <c r="AM363" s="3">
        <f>IF($AL363="",0,IF('My investments'!$D363="",0,IF('My investments'!$C363="Money in",'My investments'!$D363/$AL363,IF('My investments'!$C363="Money out",-'My investments'!$D363/$AL363,0))))</f>
        <v>0</v>
      </c>
    </row>
    <row r="364">
      <c r="X364" s="3">
        <f>IF('My investments'!$B364="",0,IF('My investments'!$E364="",0,'My investments'!$E364))</f>
        <v>0</v>
      </c>
      <c r="Y364" s="25">
        <f>IF('My investments'!$B364="",$D$8,'My investments'!$B364)</f>
        <v>0</v>
      </c>
      <c r="Z364" s="3">
        <f>IF('My investments'!$C364="Worth today",0,$X364)</f>
        <v>0</v>
      </c>
      <c r="AA364" s="3">
        <f>IF('My investments'!$H$15="",0,IF('My investments'!$F364='My investments'!$H$15,$X364,0))</f>
        <v>0</v>
      </c>
      <c r="AB364" s="3">
        <f>IF('My investments'!$H$16="",0,IF('My investments'!$F364='My investments'!$H$16,$X364,0))</f>
        <v>0</v>
      </c>
      <c r="AC364" s="3">
        <f>IF('My investments'!$H$17="",0,IF('My investments'!$F364='My investments'!$H$17,$X364,0))</f>
        <v>0</v>
      </c>
      <c r="AD364" s="3">
        <f>IF('My investments'!$H$18="",0,IF('My investments'!$F364='My investments'!$H$18,$X364,0))</f>
        <v>0</v>
      </c>
      <c r="AE364" s="3">
        <f>IF('My investments'!$H$19="",0,IF('My investments'!$F364='My investments'!$H$19,$X364,0))</f>
        <v>0</v>
      </c>
      <c r="AF364" s="3">
        <f>IF('My investments'!$H$20="",0,IF('My investments'!$F364='My investments'!$H$20,$X364,0))</f>
        <v>0</v>
      </c>
      <c r="AG364" s="3">
        <f>IF('My investments'!$H$21="",0,IF('My investments'!$F364='My investments'!$H$21,$X364,0))</f>
        <v>0</v>
      </c>
      <c r="AH364" s="3">
        <f>IF('My investments'!$H$22="",0,IF('My investments'!$F364='My investments'!$H$22,$X364,0))</f>
        <v>0</v>
      </c>
      <c r="AI364" s="3">
        <f>IF('My investments'!$H$23="",0,IF('My investments'!$F364='My investments'!$H$23,$X364,0))</f>
        <v>0</v>
      </c>
      <c r="AJ364" s="3">
        <f>IF('My investments'!$H$24="",0,IF('My investments'!$F364='My investments'!$H$24,$X364,0))</f>
        <v>0</v>
      </c>
      <c r="AL364" s="3" t="str">
        <f>IF('My investments'!$B364="","",IF($D$10=0,"",IFERROR(INDEX('Index history'!$B$8:$B$5007,MATCH('My investments'!$B364,'Index history'!$A$8:$A$5007,1)),"")))</f>
        <v/>
      </c>
      <c r="AM364" s="3">
        <f>IF($AL364="",0,IF('My investments'!$D364="",0,IF('My investments'!$C364="Money in",'My investments'!$D364/$AL364,IF('My investments'!$C364="Money out",-'My investments'!$D364/$AL364,0))))</f>
        <v>0</v>
      </c>
    </row>
    <row r="365">
      <c r="X365" s="3">
        <f>IF('My investments'!$B365="",0,IF('My investments'!$E365="",0,'My investments'!$E365))</f>
        <v>0</v>
      </c>
      <c r="Y365" s="25">
        <f>IF('My investments'!$B365="",$D$8,'My investments'!$B365)</f>
        <v>0</v>
      </c>
      <c r="Z365" s="3">
        <f>IF('My investments'!$C365="Worth today",0,$X365)</f>
        <v>0</v>
      </c>
      <c r="AA365" s="3">
        <f>IF('My investments'!$H$15="",0,IF('My investments'!$F365='My investments'!$H$15,$X365,0))</f>
        <v>0</v>
      </c>
      <c r="AB365" s="3">
        <f>IF('My investments'!$H$16="",0,IF('My investments'!$F365='My investments'!$H$16,$X365,0))</f>
        <v>0</v>
      </c>
      <c r="AC365" s="3">
        <f>IF('My investments'!$H$17="",0,IF('My investments'!$F365='My investments'!$H$17,$X365,0))</f>
        <v>0</v>
      </c>
      <c r="AD365" s="3">
        <f>IF('My investments'!$H$18="",0,IF('My investments'!$F365='My investments'!$H$18,$X365,0))</f>
        <v>0</v>
      </c>
      <c r="AE365" s="3">
        <f>IF('My investments'!$H$19="",0,IF('My investments'!$F365='My investments'!$H$19,$X365,0))</f>
        <v>0</v>
      </c>
      <c r="AF365" s="3">
        <f>IF('My investments'!$H$20="",0,IF('My investments'!$F365='My investments'!$H$20,$X365,0))</f>
        <v>0</v>
      </c>
      <c r="AG365" s="3">
        <f>IF('My investments'!$H$21="",0,IF('My investments'!$F365='My investments'!$H$21,$X365,0))</f>
        <v>0</v>
      </c>
      <c r="AH365" s="3">
        <f>IF('My investments'!$H$22="",0,IF('My investments'!$F365='My investments'!$H$22,$X365,0))</f>
        <v>0</v>
      </c>
      <c r="AI365" s="3">
        <f>IF('My investments'!$H$23="",0,IF('My investments'!$F365='My investments'!$H$23,$X365,0))</f>
        <v>0</v>
      </c>
      <c r="AJ365" s="3">
        <f>IF('My investments'!$H$24="",0,IF('My investments'!$F365='My investments'!$H$24,$X365,0))</f>
        <v>0</v>
      </c>
      <c r="AL365" s="3" t="str">
        <f>IF('My investments'!$B365="","",IF($D$10=0,"",IFERROR(INDEX('Index history'!$B$8:$B$5007,MATCH('My investments'!$B365,'Index history'!$A$8:$A$5007,1)),"")))</f>
        <v/>
      </c>
      <c r="AM365" s="3">
        <f>IF($AL365="",0,IF('My investments'!$D365="",0,IF('My investments'!$C365="Money in",'My investments'!$D365/$AL365,IF('My investments'!$C365="Money out",-'My investments'!$D365/$AL365,0))))</f>
        <v>0</v>
      </c>
    </row>
    <row r="366">
      <c r="X366" s="3">
        <f>IF('My investments'!$B366="",0,IF('My investments'!$E366="",0,'My investments'!$E366))</f>
        <v>0</v>
      </c>
      <c r="Y366" s="25">
        <f>IF('My investments'!$B366="",$D$8,'My investments'!$B366)</f>
        <v>0</v>
      </c>
      <c r="Z366" s="3">
        <f>IF('My investments'!$C366="Worth today",0,$X366)</f>
        <v>0</v>
      </c>
      <c r="AA366" s="3">
        <f>IF('My investments'!$H$15="",0,IF('My investments'!$F366='My investments'!$H$15,$X366,0))</f>
        <v>0</v>
      </c>
      <c r="AB366" s="3">
        <f>IF('My investments'!$H$16="",0,IF('My investments'!$F366='My investments'!$H$16,$X366,0))</f>
        <v>0</v>
      </c>
      <c r="AC366" s="3">
        <f>IF('My investments'!$H$17="",0,IF('My investments'!$F366='My investments'!$H$17,$X366,0))</f>
        <v>0</v>
      </c>
      <c r="AD366" s="3">
        <f>IF('My investments'!$H$18="",0,IF('My investments'!$F366='My investments'!$H$18,$X366,0))</f>
        <v>0</v>
      </c>
      <c r="AE366" s="3">
        <f>IF('My investments'!$H$19="",0,IF('My investments'!$F366='My investments'!$H$19,$X366,0))</f>
        <v>0</v>
      </c>
      <c r="AF366" s="3">
        <f>IF('My investments'!$H$20="",0,IF('My investments'!$F366='My investments'!$H$20,$X366,0))</f>
        <v>0</v>
      </c>
      <c r="AG366" s="3">
        <f>IF('My investments'!$H$21="",0,IF('My investments'!$F366='My investments'!$H$21,$X366,0))</f>
        <v>0</v>
      </c>
      <c r="AH366" s="3">
        <f>IF('My investments'!$H$22="",0,IF('My investments'!$F366='My investments'!$H$22,$X366,0))</f>
        <v>0</v>
      </c>
      <c r="AI366" s="3">
        <f>IF('My investments'!$H$23="",0,IF('My investments'!$F366='My investments'!$H$23,$X366,0))</f>
        <v>0</v>
      </c>
      <c r="AJ366" s="3">
        <f>IF('My investments'!$H$24="",0,IF('My investments'!$F366='My investments'!$H$24,$X366,0))</f>
        <v>0</v>
      </c>
      <c r="AL366" s="3" t="str">
        <f>IF('My investments'!$B366="","",IF($D$10=0,"",IFERROR(INDEX('Index history'!$B$8:$B$5007,MATCH('My investments'!$B366,'Index history'!$A$8:$A$5007,1)),"")))</f>
        <v/>
      </c>
      <c r="AM366" s="3">
        <f>IF($AL366="",0,IF('My investments'!$D366="",0,IF('My investments'!$C366="Money in",'My investments'!$D366/$AL366,IF('My investments'!$C366="Money out",-'My investments'!$D366/$AL366,0))))</f>
        <v>0</v>
      </c>
    </row>
    <row r="367">
      <c r="X367" s="3">
        <f>IF('My investments'!$B367="",0,IF('My investments'!$E367="",0,'My investments'!$E367))</f>
        <v>0</v>
      </c>
      <c r="Y367" s="25">
        <f>IF('My investments'!$B367="",$D$8,'My investments'!$B367)</f>
        <v>0</v>
      </c>
      <c r="Z367" s="3">
        <f>IF('My investments'!$C367="Worth today",0,$X367)</f>
        <v>0</v>
      </c>
      <c r="AA367" s="3">
        <f>IF('My investments'!$H$15="",0,IF('My investments'!$F367='My investments'!$H$15,$X367,0))</f>
        <v>0</v>
      </c>
      <c r="AB367" s="3">
        <f>IF('My investments'!$H$16="",0,IF('My investments'!$F367='My investments'!$H$16,$X367,0))</f>
        <v>0</v>
      </c>
      <c r="AC367" s="3">
        <f>IF('My investments'!$H$17="",0,IF('My investments'!$F367='My investments'!$H$17,$X367,0))</f>
        <v>0</v>
      </c>
      <c r="AD367" s="3">
        <f>IF('My investments'!$H$18="",0,IF('My investments'!$F367='My investments'!$H$18,$X367,0))</f>
        <v>0</v>
      </c>
      <c r="AE367" s="3">
        <f>IF('My investments'!$H$19="",0,IF('My investments'!$F367='My investments'!$H$19,$X367,0))</f>
        <v>0</v>
      </c>
      <c r="AF367" s="3">
        <f>IF('My investments'!$H$20="",0,IF('My investments'!$F367='My investments'!$H$20,$X367,0))</f>
        <v>0</v>
      </c>
      <c r="AG367" s="3">
        <f>IF('My investments'!$H$21="",0,IF('My investments'!$F367='My investments'!$H$21,$X367,0))</f>
        <v>0</v>
      </c>
      <c r="AH367" s="3">
        <f>IF('My investments'!$H$22="",0,IF('My investments'!$F367='My investments'!$H$22,$X367,0))</f>
        <v>0</v>
      </c>
      <c r="AI367" s="3">
        <f>IF('My investments'!$H$23="",0,IF('My investments'!$F367='My investments'!$H$23,$X367,0))</f>
        <v>0</v>
      </c>
      <c r="AJ367" s="3">
        <f>IF('My investments'!$H$24="",0,IF('My investments'!$F367='My investments'!$H$24,$X367,0))</f>
        <v>0</v>
      </c>
      <c r="AL367" s="3" t="str">
        <f>IF('My investments'!$B367="","",IF($D$10=0,"",IFERROR(INDEX('Index history'!$B$8:$B$5007,MATCH('My investments'!$B367,'Index history'!$A$8:$A$5007,1)),"")))</f>
        <v/>
      </c>
      <c r="AM367" s="3">
        <f>IF($AL367="",0,IF('My investments'!$D367="",0,IF('My investments'!$C367="Money in",'My investments'!$D367/$AL367,IF('My investments'!$C367="Money out",-'My investments'!$D367/$AL367,0))))</f>
        <v>0</v>
      </c>
    </row>
    <row r="368">
      <c r="X368" s="3">
        <f>IF('My investments'!$B368="",0,IF('My investments'!$E368="",0,'My investments'!$E368))</f>
        <v>0</v>
      </c>
      <c r="Y368" s="25">
        <f>IF('My investments'!$B368="",$D$8,'My investments'!$B368)</f>
        <v>0</v>
      </c>
      <c r="Z368" s="3">
        <f>IF('My investments'!$C368="Worth today",0,$X368)</f>
        <v>0</v>
      </c>
      <c r="AA368" s="3">
        <f>IF('My investments'!$H$15="",0,IF('My investments'!$F368='My investments'!$H$15,$X368,0))</f>
        <v>0</v>
      </c>
      <c r="AB368" s="3">
        <f>IF('My investments'!$H$16="",0,IF('My investments'!$F368='My investments'!$H$16,$X368,0))</f>
        <v>0</v>
      </c>
      <c r="AC368" s="3">
        <f>IF('My investments'!$H$17="",0,IF('My investments'!$F368='My investments'!$H$17,$X368,0))</f>
        <v>0</v>
      </c>
      <c r="AD368" s="3">
        <f>IF('My investments'!$H$18="",0,IF('My investments'!$F368='My investments'!$H$18,$X368,0))</f>
        <v>0</v>
      </c>
      <c r="AE368" s="3">
        <f>IF('My investments'!$H$19="",0,IF('My investments'!$F368='My investments'!$H$19,$X368,0))</f>
        <v>0</v>
      </c>
      <c r="AF368" s="3">
        <f>IF('My investments'!$H$20="",0,IF('My investments'!$F368='My investments'!$H$20,$X368,0))</f>
        <v>0</v>
      </c>
      <c r="AG368" s="3">
        <f>IF('My investments'!$H$21="",0,IF('My investments'!$F368='My investments'!$H$21,$X368,0))</f>
        <v>0</v>
      </c>
      <c r="AH368" s="3">
        <f>IF('My investments'!$H$22="",0,IF('My investments'!$F368='My investments'!$H$22,$X368,0))</f>
        <v>0</v>
      </c>
      <c r="AI368" s="3">
        <f>IF('My investments'!$H$23="",0,IF('My investments'!$F368='My investments'!$H$23,$X368,0))</f>
        <v>0</v>
      </c>
      <c r="AJ368" s="3">
        <f>IF('My investments'!$H$24="",0,IF('My investments'!$F368='My investments'!$H$24,$X368,0))</f>
        <v>0</v>
      </c>
      <c r="AL368" s="3" t="str">
        <f>IF('My investments'!$B368="","",IF($D$10=0,"",IFERROR(INDEX('Index history'!$B$8:$B$5007,MATCH('My investments'!$B368,'Index history'!$A$8:$A$5007,1)),"")))</f>
        <v/>
      </c>
      <c r="AM368" s="3">
        <f>IF($AL368="",0,IF('My investments'!$D368="",0,IF('My investments'!$C368="Money in",'My investments'!$D368/$AL368,IF('My investments'!$C368="Money out",-'My investments'!$D368/$AL368,0))))</f>
        <v>0</v>
      </c>
    </row>
    <row r="369">
      <c r="X369" s="3">
        <f>IF('My investments'!$B369="",0,IF('My investments'!$E369="",0,'My investments'!$E369))</f>
        <v>0</v>
      </c>
      <c r="Y369" s="25">
        <f>IF('My investments'!$B369="",$D$8,'My investments'!$B369)</f>
        <v>0</v>
      </c>
      <c r="Z369" s="3">
        <f>IF('My investments'!$C369="Worth today",0,$X369)</f>
        <v>0</v>
      </c>
      <c r="AA369" s="3">
        <f>IF('My investments'!$H$15="",0,IF('My investments'!$F369='My investments'!$H$15,$X369,0))</f>
        <v>0</v>
      </c>
      <c r="AB369" s="3">
        <f>IF('My investments'!$H$16="",0,IF('My investments'!$F369='My investments'!$H$16,$X369,0))</f>
        <v>0</v>
      </c>
      <c r="AC369" s="3">
        <f>IF('My investments'!$H$17="",0,IF('My investments'!$F369='My investments'!$H$17,$X369,0))</f>
        <v>0</v>
      </c>
      <c r="AD369" s="3">
        <f>IF('My investments'!$H$18="",0,IF('My investments'!$F369='My investments'!$H$18,$X369,0))</f>
        <v>0</v>
      </c>
      <c r="AE369" s="3">
        <f>IF('My investments'!$H$19="",0,IF('My investments'!$F369='My investments'!$H$19,$X369,0))</f>
        <v>0</v>
      </c>
      <c r="AF369" s="3">
        <f>IF('My investments'!$H$20="",0,IF('My investments'!$F369='My investments'!$H$20,$X369,0))</f>
        <v>0</v>
      </c>
      <c r="AG369" s="3">
        <f>IF('My investments'!$H$21="",0,IF('My investments'!$F369='My investments'!$H$21,$X369,0))</f>
        <v>0</v>
      </c>
      <c r="AH369" s="3">
        <f>IF('My investments'!$H$22="",0,IF('My investments'!$F369='My investments'!$H$22,$X369,0))</f>
        <v>0</v>
      </c>
      <c r="AI369" s="3">
        <f>IF('My investments'!$H$23="",0,IF('My investments'!$F369='My investments'!$H$23,$X369,0))</f>
        <v>0</v>
      </c>
      <c r="AJ369" s="3">
        <f>IF('My investments'!$H$24="",0,IF('My investments'!$F369='My investments'!$H$24,$X369,0))</f>
        <v>0</v>
      </c>
      <c r="AL369" s="3" t="str">
        <f>IF('My investments'!$B369="","",IF($D$10=0,"",IFERROR(INDEX('Index history'!$B$8:$B$5007,MATCH('My investments'!$B369,'Index history'!$A$8:$A$5007,1)),"")))</f>
        <v/>
      </c>
      <c r="AM369" s="3">
        <f>IF($AL369="",0,IF('My investments'!$D369="",0,IF('My investments'!$C369="Money in",'My investments'!$D369/$AL369,IF('My investments'!$C369="Money out",-'My investments'!$D369/$AL369,0))))</f>
        <v>0</v>
      </c>
    </row>
    <row r="370">
      <c r="X370" s="3">
        <f>IF('My investments'!$B370="",0,IF('My investments'!$E370="",0,'My investments'!$E370))</f>
        <v>0</v>
      </c>
      <c r="Y370" s="25">
        <f>IF('My investments'!$B370="",$D$8,'My investments'!$B370)</f>
        <v>0</v>
      </c>
      <c r="Z370" s="3">
        <f>IF('My investments'!$C370="Worth today",0,$X370)</f>
        <v>0</v>
      </c>
      <c r="AA370" s="3">
        <f>IF('My investments'!$H$15="",0,IF('My investments'!$F370='My investments'!$H$15,$X370,0))</f>
        <v>0</v>
      </c>
      <c r="AB370" s="3">
        <f>IF('My investments'!$H$16="",0,IF('My investments'!$F370='My investments'!$H$16,$X370,0))</f>
        <v>0</v>
      </c>
      <c r="AC370" s="3">
        <f>IF('My investments'!$H$17="",0,IF('My investments'!$F370='My investments'!$H$17,$X370,0))</f>
        <v>0</v>
      </c>
      <c r="AD370" s="3">
        <f>IF('My investments'!$H$18="",0,IF('My investments'!$F370='My investments'!$H$18,$X370,0))</f>
        <v>0</v>
      </c>
      <c r="AE370" s="3">
        <f>IF('My investments'!$H$19="",0,IF('My investments'!$F370='My investments'!$H$19,$X370,0))</f>
        <v>0</v>
      </c>
      <c r="AF370" s="3">
        <f>IF('My investments'!$H$20="",0,IF('My investments'!$F370='My investments'!$H$20,$X370,0))</f>
        <v>0</v>
      </c>
      <c r="AG370" s="3">
        <f>IF('My investments'!$H$21="",0,IF('My investments'!$F370='My investments'!$H$21,$X370,0))</f>
        <v>0</v>
      </c>
      <c r="AH370" s="3">
        <f>IF('My investments'!$H$22="",0,IF('My investments'!$F370='My investments'!$H$22,$X370,0))</f>
        <v>0</v>
      </c>
      <c r="AI370" s="3">
        <f>IF('My investments'!$H$23="",0,IF('My investments'!$F370='My investments'!$H$23,$X370,0))</f>
        <v>0</v>
      </c>
      <c r="AJ370" s="3">
        <f>IF('My investments'!$H$24="",0,IF('My investments'!$F370='My investments'!$H$24,$X370,0))</f>
        <v>0</v>
      </c>
      <c r="AL370" s="3" t="str">
        <f>IF('My investments'!$B370="","",IF($D$10=0,"",IFERROR(INDEX('Index history'!$B$8:$B$5007,MATCH('My investments'!$B370,'Index history'!$A$8:$A$5007,1)),"")))</f>
        <v/>
      </c>
      <c r="AM370" s="3">
        <f>IF($AL370="",0,IF('My investments'!$D370="",0,IF('My investments'!$C370="Money in",'My investments'!$D370/$AL370,IF('My investments'!$C370="Money out",-'My investments'!$D370/$AL370,0))))</f>
        <v>0</v>
      </c>
    </row>
    <row r="371">
      <c r="X371" s="3">
        <f>IF('My investments'!$B371="",0,IF('My investments'!$E371="",0,'My investments'!$E371))</f>
        <v>0</v>
      </c>
      <c r="Y371" s="25">
        <f>IF('My investments'!$B371="",$D$8,'My investments'!$B371)</f>
        <v>0</v>
      </c>
      <c r="Z371" s="3">
        <f>IF('My investments'!$C371="Worth today",0,$X371)</f>
        <v>0</v>
      </c>
      <c r="AA371" s="3">
        <f>IF('My investments'!$H$15="",0,IF('My investments'!$F371='My investments'!$H$15,$X371,0))</f>
        <v>0</v>
      </c>
      <c r="AB371" s="3">
        <f>IF('My investments'!$H$16="",0,IF('My investments'!$F371='My investments'!$H$16,$X371,0))</f>
        <v>0</v>
      </c>
      <c r="AC371" s="3">
        <f>IF('My investments'!$H$17="",0,IF('My investments'!$F371='My investments'!$H$17,$X371,0))</f>
        <v>0</v>
      </c>
      <c r="AD371" s="3">
        <f>IF('My investments'!$H$18="",0,IF('My investments'!$F371='My investments'!$H$18,$X371,0))</f>
        <v>0</v>
      </c>
      <c r="AE371" s="3">
        <f>IF('My investments'!$H$19="",0,IF('My investments'!$F371='My investments'!$H$19,$X371,0))</f>
        <v>0</v>
      </c>
      <c r="AF371" s="3">
        <f>IF('My investments'!$H$20="",0,IF('My investments'!$F371='My investments'!$H$20,$X371,0))</f>
        <v>0</v>
      </c>
      <c r="AG371" s="3">
        <f>IF('My investments'!$H$21="",0,IF('My investments'!$F371='My investments'!$H$21,$X371,0))</f>
        <v>0</v>
      </c>
      <c r="AH371" s="3">
        <f>IF('My investments'!$H$22="",0,IF('My investments'!$F371='My investments'!$H$22,$X371,0))</f>
        <v>0</v>
      </c>
      <c r="AI371" s="3">
        <f>IF('My investments'!$H$23="",0,IF('My investments'!$F371='My investments'!$H$23,$X371,0))</f>
        <v>0</v>
      </c>
      <c r="AJ371" s="3">
        <f>IF('My investments'!$H$24="",0,IF('My investments'!$F371='My investments'!$H$24,$X371,0))</f>
        <v>0</v>
      </c>
      <c r="AL371" s="3" t="str">
        <f>IF('My investments'!$B371="","",IF($D$10=0,"",IFERROR(INDEX('Index history'!$B$8:$B$5007,MATCH('My investments'!$B371,'Index history'!$A$8:$A$5007,1)),"")))</f>
        <v/>
      </c>
      <c r="AM371" s="3">
        <f>IF($AL371="",0,IF('My investments'!$D371="",0,IF('My investments'!$C371="Money in",'My investments'!$D371/$AL371,IF('My investments'!$C371="Money out",-'My investments'!$D371/$AL371,0))))</f>
        <v>0</v>
      </c>
    </row>
    <row r="372">
      <c r="X372" s="3">
        <f>IF('My investments'!$B372="",0,IF('My investments'!$E372="",0,'My investments'!$E372))</f>
        <v>0</v>
      </c>
      <c r="Y372" s="25">
        <f>IF('My investments'!$B372="",$D$8,'My investments'!$B372)</f>
        <v>0</v>
      </c>
      <c r="Z372" s="3">
        <f>IF('My investments'!$C372="Worth today",0,$X372)</f>
        <v>0</v>
      </c>
      <c r="AA372" s="3">
        <f>IF('My investments'!$H$15="",0,IF('My investments'!$F372='My investments'!$H$15,$X372,0))</f>
        <v>0</v>
      </c>
      <c r="AB372" s="3">
        <f>IF('My investments'!$H$16="",0,IF('My investments'!$F372='My investments'!$H$16,$X372,0))</f>
        <v>0</v>
      </c>
      <c r="AC372" s="3">
        <f>IF('My investments'!$H$17="",0,IF('My investments'!$F372='My investments'!$H$17,$X372,0))</f>
        <v>0</v>
      </c>
      <c r="AD372" s="3">
        <f>IF('My investments'!$H$18="",0,IF('My investments'!$F372='My investments'!$H$18,$X372,0))</f>
        <v>0</v>
      </c>
      <c r="AE372" s="3">
        <f>IF('My investments'!$H$19="",0,IF('My investments'!$F372='My investments'!$H$19,$X372,0))</f>
        <v>0</v>
      </c>
      <c r="AF372" s="3">
        <f>IF('My investments'!$H$20="",0,IF('My investments'!$F372='My investments'!$H$20,$X372,0))</f>
        <v>0</v>
      </c>
      <c r="AG372" s="3">
        <f>IF('My investments'!$H$21="",0,IF('My investments'!$F372='My investments'!$H$21,$X372,0))</f>
        <v>0</v>
      </c>
      <c r="AH372" s="3">
        <f>IF('My investments'!$H$22="",0,IF('My investments'!$F372='My investments'!$H$22,$X372,0))</f>
        <v>0</v>
      </c>
      <c r="AI372" s="3">
        <f>IF('My investments'!$H$23="",0,IF('My investments'!$F372='My investments'!$H$23,$X372,0))</f>
        <v>0</v>
      </c>
      <c r="AJ372" s="3">
        <f>IF('My investments'!$H$24="",0,IF('My investments'!$F372='My investments'!$H$24,$X372,0))</f>
        <v>0</v>
      </c>
      <c r="AL372" s="3" t="str">
        <f>IF('My investments'!$B372="","",IF($D$10=0,"",IFERROR(INDEX('Index history'!$B$8:$B$5007,MATCH('My investments'!$B372,'Index history'!$A$8:$A$5007,1)),"")))</f>
        <v/>
      </c>
      <c r="AM372" s="3">
        <f>IF($AL372="",0,IF('My investments'!$D372="",0,IF('My investments'!$C372="Money in",'My investments'!$D372/$AL372,IF('My investments'!$C372="Money out",-'My investments'!$D372/$AL372,0))))</f>
        <v>0</v>
      </c>
    </row>
    <row r="373">
      <c r="X373" s="3">
        <f>IF('My investments'!$B373="",0,IF('My investments'!$E373="",0,'My investments'!$E373))</f>
        <v>0</v>
      </c>
      <c r="Y373" s="25">
        <f>IF('My investments'!$B373="",$D$8,'My investments'!$B373)</f>
        <v>0</v>
      </c>
      <c r="Z373" s="3">
        <f>IF('My investments'!$C373="Worth today",0,$X373)</f>
        <v>0</v>
      </c>
      <c r="AA373" s="3">
        <f>IF('My investments'!$H$15="",0,IF('My investments'!$F373='My investments'!$H$15,$X373,0))</f>
        <v>0</v>
      </c>
      <c r="AB373" s="3">
        <f>IF('My investments'!$H$16="",0,IF('My investments'!$F373='My investments'!$H$16,$X373,0))</f>
        <v>0</v>
      </c>
      <c r="AC373" s="3">
        <f>IF('My investments'!$H$17="",0,IF('My investments'!$F373='My investments'!$H$17,$X373,0))</f>
        <v>0</v>
      </c>
      <c r="AD373" s="3">
        <f>IF('My investments'!$H$18="",0,IF('My investments'!$F373='My investments'!$H$18,$X373,0))</f>
        <v>0</v>
      </c>
      <c r="AE373" s="3">
        <f>IF('My investments'!$H$19="",0,IF('My investments'!$F373='My investments'!$H$19,$X373,0))</f>
        <v>0</v>
      </c>
      <c r="AF373" s="3">
        <f>IF('My investments'!$H$20="",0,IF('My investments'!$F373='My investments'!$H$20,$X373,0))</f>
        <v>0</v>
      </c>
      <c r="AG373" s="3">
        <f>IF('My investments'!$H$21="",0,IF('My investments'!$F373='My investments'!$H$21,$X373,0))</f>
        <v>0</v>
      </c>
      <c r="AH373" s="3">
        <f>IF('My investments'!$H$22="",0,IF('My investments'!$F373='My investments'!$H$22,$X373,0))</f>
        <v>0</v>
      </c>
      <c r="AI373" s="3">
        <f>IF('My investments'!$H$23="",0,IF('My investments'!$F373='My investments'!$H$23,$X373,0))</f>
        <v>0</v>
      </c>
      <c r="AJ373" s="3">
        <f>IF('My investments'!$H$24="",0,IF('My investments'!$F373='My investments'!$H$24,$X373,0))</f>
        <v>0</v>
      </c>
      <c r="AL373" s="3" t="str">
        <f>IF('My investments'!$B373="","",IF($D$10=0,"",IFERROR(INDEX('Index history'!$B$8:$B$5007,MATCH('My investments'!$B373,'Index history'!$A$8:$A$5007,1)),"")))</f>
        <v/>
      </c>
      <c r="AM373" s="3">
        <f>IF($AL373="",0,IF('My investments'!$D373="",0,IF('My investments'!$C373="Money in",'My investments'!$D373/$AL373,IF('My investments'!$C373="Money out",-'My investments'!$D373/$AL373,0))))</f>
        <v>0</v>
      </c>
    </row>
    <row r="374">
      <c r="X374" s="3">
        <f>IF('My investments'!$B374="",0,IF('My investments'!$E374="",0,'My investments'!$E374))</f>
        <v>0</v>
      </c>
      <c r="Y374" s="25">
        <f>IF('My investments'!$B374="",$D$8,'My investments'!$B374)</f>
        <v>0</v>
      </c>
      <c r="Z374" s="3">
        <f>IF('My investments'!$C374="Worth today",0,$X374)</f>
        <v>0</v>
      </c>
      <c r="AA374" s="3">
        <f>IF('My investments'!$H$15="",0,IF('My investments'!$F374='My investments'!$H$15,$X374,0))</f>
        <v>0</v>
      </c>
      <c r="AB374" s="3">
        <f>IF('My investments'!$H$16="",0,IF('My investments'!$F374='My investments'!$H$16,$X374,0))</f>
        <v>0</v>
      </c>
      <c r="AC374" s="3">
        <f>IF('My investments'!$H$17="",0,IF('My investments'!$F374='My investments'!$H$17,$X374,0))</f>
        <v>0</v>
      </c>
      <c r="AD374" s="3">
        <f>IF('My investments'!$H$18="",0,IF('My investments'!$F374='My investments'!$H$18,$X374,0))</f>
        <v>0</v>
      </c>
      <c r="AE374" s="3">
        <f>IF('My investments'!$H$19="",0,IF('My investments'!$F374='My investments'!$H$19,$X374,0))</f>
        <v>0</v>
      </c>
      <c r="AF374" s="3">
        <f>IF('My investments'!$H$20="",0,IF('My investments'!$F374='My investments'!$H$20,$X374,0))</f>
        <v>0</v>
      </c>
      <c r="AG374" s="3">
        <f>IF('My investments'!$H$21="",0,IF('My investments'!$F374='My investments'!$H$21,$X374,0))</f>
        <v>0</v>
      </c>
      <c r="AH374" s="3">
        <f>IF('My investments'!$H$22="",0,IF('My investments'!$F374='My investments'!$H$22,$X374,0))</f>
        <v>0</v>
      </c>
      <c r="AI374" s="3">
        <f>IF('My investments'!$H$23="",0,IF('My investments'!$F374='My investments'!$H$23,$X374,0))</f>
        <v>0</v>
      </c>
      <c r="AJ374" s="3">
        <f>IF('My investments'!$H$24="",0,IF('My investments'!$F374='My investments'!$H$24,$X374,0))</f>
        <v>0</v>
      </c>
      <c r="AL374" s="3" t="str">
        <f>IF('My investments'!$B374="","",IF($D$10=0,"",IFERROR(INDEX('Index history'!$B$8:$B$5007,MATCH('My investments'!$B374,'Index history'!$A$8:$A$5007,1)),"")))</f>
        <v/>
      </c>
      <c r="AM374" s="3">
        <f>IF($AL374="",0,IF('My investments'!$D374="",0,IF('My investments'!$C374="Money in",'My investments'!$D374/$AL374,IF('My investments'!$C374="Money out",-'My investments'!$D374/$AL374,0))))</f>
        <v>0</v>
      </c>
    </row>
    <row r="375">
      <c r="X375" s="3">
        <f>IF('My investments'!$B375="",0,IF('My investments'!$E375="",0,'My investments'!$E375))</f>
        <v>0</v>
      </c>
      <c r="Y375" s="25">
        <f>IF('My investments'!$B375="",$D$8,'My investments'!$B375)</f>
        <v>0</v>
      </c>
      <c r="Z375" s="3">
        <f>IF('My investments'!$C375="Worth today",0,$X375)</f>
        <v>0</v>
      </c>
      <c r="AA375" s="3">
        <f>IF('My investments'!$H$15="",0,IF('My investments'!$F375='My investments'!$H$15,$X375,0))</f>
        <v>0</v>
      </c>
      <c r="AB375" s="3">
        <f>IF('My investments'!$H$16="",0,IF('My investments'!$F375='My investments'!$H$16,$X375,0))</f>
        <v>0</v>
      </c>
      <c r="AC375" s="3">
        <f>IF('My investments'!$H$17="",0,IF('My investments'!$F375='My investments'!$H$17,$X375,0))</f>
        <v>0</v>
      </c>
      <c r="AD375" s="3">
        <f>IF('My investments'!$H$18="",0,IF('My investments'!$F375='My investments'!$H$18,$X375,0))</f>
        <v>0</v>
      </c>
      <c r="AE375" s="3">
        <f>IF('My investments'!$H$19="",0,IF('My investments'!$F375='My investments'!$H$19,$X375,0))</f>
        <v>0</v>
      </c>
      <c r="AF375" s="3">
        <f>IF('My investments'!$H$20="",0,IF('My investments'!$F375='My investments'!$H$20,$X375,0))</f>
        <v>0</v>
      </c>
      <c r="AG375" s="3">
        <f>IF('My investments'!$H$21="",0,IF('My investments'!$F375='My investments'!$H$21,$X375,0))</f>
        <v>0</v>
      </c>
      <c r="AH375" s="3">
        <f>IF('My investments'!$H$22="",0,IF('My investments'!$F375='My investments'!$H$22,$X375,0))</f>
        <v>0</v>
      </c>
      <c r="AI375" s="3">
        <f>IF('My investments'!$H$23="",0,IF('My investments'!$F375='My investments'!$H$23,$X375,0))</f>
        <v>0</v>
      </c>
      <c r="AJ375" s="3">
        <f>IF('My investments'!$H$24="",0,IF('My investments'!$F375='My investments'!$H$24,$X375,0))</f>
        <v>0</v>
      </c>
      <c r="AL375" s="3" t="str">
        <f>IF('My investments'!$B375="","",IF($D$10=0,"",IFERROR(INDEX('Index history'!$B$8:$B$5007,MATCH('My investments'!$B375,'Index history'!$A$8:$A$5007,1)),"")))</f>
        <v/>
      </c>
      <c r="AM375" s="3">
        <f>IF($AL375="",0,IF('My investments'!$D375="",0,IF('My investments'!$C375="Money in",'My investments'!$D375/$AL375,IF('My investments'!$C375="Money out",-'My investments'!$D375/$AL375,0))))</f>
        <v>0</v>
      </c>
    </row>
    <row r="376">
      <c r="X376" s="3">
        <f>IF('My investments'!$B376="",0,IF('My investments'!$E376="",0,'My investments'!$E376))</f>
        <v>0</v>
      </c>
      <c r="Y376" s="25">
        <f>IF('My investments'!$B376="",$D$8,'My investments'!$B376)</f>
        <v>0</v>
      </c>
      <c r="Z376" s="3">
        <f>IF('My investments'!$C376="Worth today",0,$X376)</f>
        <v>0</v>
      </c>
      <c r="AA376" s="3">
        <f>IF('My investments'!$H$15="",0,IF('My investments'!$F376='My investments'!$H$15,$X376,0))</f>
        <v>0</v>
      </c>
      <c r="AB376" s="3">
        <f>IF('My investments'!$H$16="",0,IF('My investments'!$F376='My investments'!$H$16,$X376,0))</f>
        <v>0</v>
      </c>
      <c r="AC376" s="3">
        <f>IF('My investments'!$H$17="",0,IF('My investments'!$F376='My investments'!$H$17,$X376,0))</f>
        <v>0</v>
      </c>
      <c r="AD376" s="3">
        <f>IF('My investments'!$H$18="",0,IF('My investments'!$F376='My investments'!$H$18,$X376,0))</f>
        <v>0</v>
      </c>
      <c r="AE376" s="3">
        <f>IF('My investments'!$H$19="",0,IF('My investments'!$F376='My investments'!$H$19,$X376,0))</f>
        <v>0</v>
      </c>
      <c r="AF376" s="3">
        <f>IF('My investments'!$H$20="",0,IF('My investments'!$F376='My investments'!$H$20,$X376,0))</f>
        <v>0</v>
      </c>
      <c r="AG376" s="3">
        <f>IF('My investments'!$H$21="",0,IF('My investments'!$F376='My investments'!$H$21,$X376,0))</f>
        <v>0</v>
      </c>
      <c r="AH376" s="3">
        <f>IF('My investments'!$H$22="",0,IF('My investments'!$F376='My investments'!$H$22,$X376,0))</f>
        <v>0</v>
      </c>
      <c r="AI376" s="3">
        <f>IF('My investments'!$H$23="",0,IF('My investments'!$F376='My investments'!$H$23,$X376,0))</f>
        <v>0</v>
      </c>
      <c r="AJ376" s="3">
        <f>IF('My investments'!$H$24="",0,IF('My investments'!$F376='My investments'!$H$24,$X376,0))</f>
        <v>0</v>
      </c>
      <c r="AL376" s="3" t="str">
        <f>IF('My investments'!$B376="","",IF($D$10=0,"",IFERROR(INDEX('Index history'!$B$8:$B$5007,MATCH('My investments'!$B376,'Index history'!$A$8:$A$5007,1)),"")))</f>
        <v/>
      </c>
      <c r="AM376" s="3">
        <f>IF($AL376="",0,IF('My investments'!$D376="",0,IF('My investments'!$C376="Money in",'My investments'!$D376/$AL376,IF('My investments'!$C376="Money out",-'My investments'!$D376/$AL376,0))))</f>
        <v>0</v>
      </c>
    </row>
    <row r="377">
      <c r="X377" s="3">
        <f>IF('My investments'!$B377="",0,IF('My investments'!$E377="",0,'My investments'!$E377))</f>
        <v>0</v>
      </c>
      <c r="Y377" s="25">
        <f>IF('My investments'!$B377="",$D$8,'My investments'!$B377)</f>
        <v>0</v>
      </c>
      <c r="Z377" s="3">
        <f>IF('My investments'!$C377="Worth today",0,$X377)</f>
        <v>0</v>
      </c>
      <c r="AA377" s="3">
        <f>IF('My investments'!$H$15="",0,IF('My investments'!$F377='My investments'!$H$15,$X377,0))</f>
        <v>0</v>
      </c>
      <c r="AB377" s="3">
        <f>IF('My investments'!$H$16="",0,IF('My investments'!$F377='My investments'!$H$16,$X377,0))</f>
        <v>0</v>
      </c>
      <c r="AC377" s="3">
        <f>IF('My investments'!$H$17="",0,IF('My investments'!$F377='My investments'!$H$17,$X377,0))</f>
        <v>0</v>
      </c>
      <c r="AD377" s="3">
        <f>IF('My investments'!$H$18="",0,IF('My investments'!$F377='My investments'!$H$18,$X377,0))</f>
        <v>0</v>
      </c>
      <c r="AE377" s="3">
        <f>IF('My investments'!$H$19="",0,IF('My investments'!$F377='My investments'!$H$19,$X377,0))</f>
        <v>0</v>
      </c>
      <c r="AF377" s="3">
        <f>IF('My investments'!$H$20="",0,IF('My investments'!$F377='My investments'!$H$20,$X377,0))</f>
        <v>0</v>
      </c>
      <c r="AG377" s="3">
        <f>IF('My investments'!$H$21="",0,IF('My investments'!$F377='My investments'!$H$21,$X377,0))</f>
        <v>0</v>
      </c>
      <c r="AH377" s="3">
        <f>IF('My investments'!$H$22="",0,IF('My investments'!$F377='My investments'!$H$22,$X377,0))</f>
        <v>0</v>
      </c>
      <c r="AI377" s="3">
        <f>IF('My investments'!$H$23="",0,IF('My investments'!$F377='My investments'!$H$23,$X377,0))</f>
        <v>0</v>
      </c>
      <c r="AJ377" s="3">
        <f>IF('My investments'!$H$24="",0,IF('My investments'!$F377='My investments'!$H$24,$X377,0))</f>
        <v>0</v>
      </c>
      <c r="AL377" s="3" t="str">
        <f>IF('My investments'!$B377="","",IF($D$10=0,"",IFERROR(INDEX('Index history'!$B$8:$B$5007,MATCH('My investments'!$B377,'Index history'!$A$8:$A$5007,1)),"")))</f>
        <v/>
      </c>
      <c r="AM377" s="3">
        <f>IF($AL377="",0,IF('My investments'!$D377="",0,IF('My investments'!$C377="Money in",'My investments'!$D377/$AL377,IF('My investments'!$C377="Money out",-'My investments'!$D377/$AL377,0))))</f>
        <v>0</v>
      </c>
    </row>
    <row r="378">
      <c r="X378" s="3">
        <f>IF('My investments'!$B378="",0,IF('My investments'!$E378="",0,'My investments'!$E378))</f>
        <v>0</v>
      </c>
      <c r="Y378" s="25">
        <f>IF('My investments'!$B378="",$D$8,'My investments'!$B378)</f>
        <v>0</v>
      </c>
      <c r="Z378" s="3">
        <f>IF('My investments'!$C378="Worth today",0,$X378)</f>
        <v>0</v>
      </c>
      <c r="AA378" s="3">
        <f>IF('My investments'!$H$15="",0,IF('My investments'!$F378='My investments'!$H$15,$X378,0))</f>
        <v>0</v>
      </c>
      <c r="AB378" s="3">
        <f>IF('My investments'!$H$16="",0,IF('My investments'!$F378='My investments'!$H$16,$X378,0))</f>
        <v>0</v>
      </c>
      <c r="AC378" s="3">
        <f>IF('My investments'!$H$17="",0,IF('My investments'!$F378='My investments'!$H$17,$X378,0))</f>
        <v>0</v>
      </c>
      <c r="AD378" s="3">
        <f>IF('My investments'!$H$18="",0,IF('My investments'!$F378='My investments'!$H$18,$X378,0))</f>
        <v>0</v>
      </c>
      <c r="AE378" s="3">
        <f>IF('My investments'!$H$19="",0,IF('My investments'!$F378='My investments'!$H$19,$X378,0))</f>
        <v>0</v>
      </c>
      <c r="AF378" s="3">
        <f>IF('My investments'!$H$20="",0,IF('My investments'!$F378='My investments'!$H$20,$X378,0))</f>
        <v>0</v>
      </c>
      <c r="AG378" s="3">
        <f>IF('My investments'!$H$21="",0,IF('My investments'!$F378='My investments'!$H$21,$X378,0))</f>
        <v>0</v>
      </c>
      <c r="AH378" s="3">
        <f>IF('My investments'!$H$22="",0,IF('My investments'!$F378='My investments'!$H$22,$X378,0))</f>
        <v>0</v>
      </c>
      <c r="AI378" s="3">
        <f>IF('My investments'!$H$23="",0,IF('My investments'!$F378='My investments'!$H$23,$X378,0))</f>
        <v>0</v>
      </c>
      <c r="AJ378" s="3">
        <f>IF('My investments'!$H$24="",0,IF('My investments'!$F378='My investments'!$H$24,$X378,0))</f>
        <v>0</v>
      </c>
      <c r="AL378" s="3" t="str">
        <f>IF('My investments'!$B378="","",IF($D$10=0,"",IFERROR(INDEX('Index history'!$B$8:$B$5007,MATCH('My investments'!$B378,'Index history'!$A$8:$A$5007,1)),"")))</f>
        <v/>
      </c>
      <c r="AM378" s="3">
        <f>IF($AL378="",0,IF('My investments'!$D378="",0,IF('My investments'!$C378="Money in",'My investments'!$D378/$AL378,IF('My investments'!$C378="Money out",-'My investments'!$D378/$AL378,0))))</f>
        <v>0</v>
      </c>
    </row>
    <row r="379">
      <c r="X379" s="3">
        <f>IF('My investments'!$B379="",0,IF('My investments'!$E379="",0,'My investments'!$E379))</f>
        <v>0</v>
      </c>
      <c r="Y379" s="25">
        <f>IF('My investments'!$B379="",$D$8,'My investments'!$B379)</f>
        <v>0</v>
      </c>
      <c r="Z379" s="3">
        <f>IF('My investments'!$C379="Worth today",0,$X379)</f>
        <v>0</v>
      </c>
      <c r="AA379" s="3">
        <f>IF('My investments'!$H$15="",0,IF('My investments'!$F379='My investments'!$H$15,$X379,0))</f>
        <v>0</v>
      </c>
      <c r="AB379" s="3">
        <f>IF('My investments'!$H$16="",0,IF('My investments'!$F379='My investments'!$H$16,$X379,0))</f>
        <v>0</v>
      </c>
      <c r="AC379" s="3">
        <f>IF('My investments'!$H$17="",0,IF('My investments'!$F379='My investments'!$H$17,$X379,0))</f>
        <v>0</v>
      </c>
      <c r="AD379" s="3">
        <f>IF('My investments'!$H$18="",0,IF('My investments'!$F379='My investments'!$H$18,$X379,0))</f>
        <v>0</v>
      </c>
      <c r="AE379" s="3">
        <f>IF('My investments'!$H$19="",0,IF('My investments'!$F379='My investments'!$H$19,$X379,0))</f>
        <v>0</v>
      </c>
      <c r="AF379" s="3">
        <f>IF('My investments'!$H$20="",0,IF('My investments'!$F379='My investments'!$H$20,$X379,0))</f>
        <v>0</v>
      </c>
      <c r="AG379" s="3">
        <f>IF('My investments'!$H$21="",0,IF('My investments'!$F379='My investments'!$H$21,$X379,0))</f>
        <v>0</v>
      </c>
      <c r="AH379" s="3">
        <f>IF('My investments'!$H$22="",0,IF('My investments'!$F379='My investments'!$H$22,$X379,0))</f>
        <v>0</v>
      </c>
      <c r="AI379" s="3">
        <f>IF('My investments'!$H$23="",0,IF('My investments'!$F379='My investments'!$H$23,$X379,0))</f>
        <v>0</v>
      </c>
      <c r="AJ379" s="3">
        <f>IF('My investments'!$H$24="",0,IF('My investments'!$F379='My investments'!$H$24,$X379,0))</f>
        <v>0</v>
      </c>
      <c r="AL379" s="3" t="str">
        <f>IF('My investments'!$B379="","",IF($D$10=0,"",IFERROR(INDEX('Index history'!$B$8:$B$5007,MATCH('My investments'!$B379,'Index history'!$A$8:$A$5007,1)),"")))</f>
        <v/>
      </c>
      <c r="AM379" s="3">
        <f>IF($AL379="",0,IF('My investments'!$D379="",0,IF('My investments'!$C379="Money in",'My investments'!$D379/$AL379,IF('My investments'!$C379="Money out",-'My investments'!$D379/$AL379,0))))</f>
        <v>0</v>
      </c>
    </row>
    <row r="380">
      <c r="X380" s="3">
        <f>IF('My investments'!$B380="",0,IF('My investments'!$E380="",0,'My investments'!$E380))</f>
        <v>0</v>
      </c>
      <c r="Y380" s="25">
        <f>IF('My investments'!$B380="",$D$8,'My investments'!$B380)</f>
        <v>0</v>
      </c>
      <c r="Z380" s="3">
        <f>IF('My investments'!$C380="Worth today",0,$X380)</f>
        <v>0</v>
      </c>
      <c r="AA380" s="3">
        <f>IF('My investments'!$H$15="",0,IF('My investments'!$F380='My investments'!$H$15,$X380,0))</f>
        <v>0</v>
      </c>
      <c r="AB380" s="3">
        <f>IF('My investments'!$H$16="",0,IF('My investments'!$F380='My investments'!$H$16,$X380,0))</f>
        <v>0</v>
      </c>
      <c r="AC380" s="3">
        <f>IF('My investments'!$H$17="",0,IF('My investments'!$F380='My investments'!$H$17,$X380,0))</f>
        <v>0</v>
      </c>
      <c r="AD380" s="3">
        <f>IF('My investments'!$H$18="",0,IF('My investments'!$F380='My investments'!$H$18,$X380,0))</f>
        <v>0</v>
      </c>
      <c r="AE380" s="3">
        <f>IF('My investments'!$H$19="",0,IF('My investments'!$F380='My investments'!$H$19,$X380,0))</f>
        <v>0</v>
      </c>
      <c r="AF380" s="3">
        <f>IF('My investments'!$H$20="",0,IF('My investments'!$F380='My investments'!$H$20,$X380,0))</f>
        <v>0</v>
      </c>
      <c r="AG380" s="3">
        <f>IF('My investments'!$H$21="",0,IF('My investments'!$F380='My investments'!$H$21,$X380,0))</f>
        <v>0</v>
      </c>
      <c r="AH380" s="3">
        <f>IF('My investments'!$H$22="",0,IF('My investments'!$F380='My investments'!$H$22,$X380,0))</f>
        <v>0</v>
      </c>
      <c r="AI380" s="3">
        <f>IF('My investments'!$H$23="",0,IF('My investments'!$F380='My investments'!$H$23,$X380,0))</f>
        <v>0</v>
      </c>
      <c r="AJ380" s="3">
        <f>IF('My investments'!$H$24="",0,IF('My investments'!$F380='My investments'!$H$24,$X380,0))</f>
        <v>0</v>
      </c>
      <c r="AL380" s="3" t="str">
        <f>IF('My investments'!$B380="","",IF($D$10=0,"",IFERROR(INDEX('Index history'!$B$8:$B$5007,MATCH('My investments'!$B380,'Index history'!$A$8:$A$5007,1)),"")))</f>
        <v/>
      </c>
      <c r="AM380" s="3">
        <f>IF($AL380="",0,IF('My investments'!$D380="",0,IF('My investments'!$C380="Money in",'My investments'!$D380/$AL380,IF('My investments'!$C380="Money out",-'My investments'!$D380/$AL380,0))))</f>
        <v>0</v>
      </c>
    </row>
    <row r="381">
      <c r="X381" s="3">
        <f>IF('My investments'!$B381="",0,IF('My investments'!$E381="",0,'My investments'!$E381))</f>
        <v>0</v>
      </c>
      <c r="Y381" s="25">
        <f>IF('My investments'!$B381="",$D$8,'My investments'!$B381)</f>
        <v>0</v>
      </c>
      <c r="Z381" s="3">
        <f>IF('My investments'!$C381="Worth today",0,$X381)</f>
        <v>0</v>
      </c>
      <c r="AA381" s="3">
        <f>IF('My investments'!$H$15="",0,IF('My investments'!$F381='My investments'!$H$15,$X381,0))</f>
        <v>0</v>
      </c>
      <c r="AB381" s="3">
        <f>IF('My investments'!$H$16="",0,IF('My investments'!$F381='My investments'!$H$16,$X381,0))</f>
        <v>0</v>
      </c>
      <c r="AC381" s="3">
        <f>IF('My investments'!$H$17="",0,IF('My investments'!$F381='My investments'!$H$17,$X381,0))</f>
        <v>0</v>
      </c>
      <c r="AD381" s="3">
        <f>IF('My investments'!$H$18="",0,IF('My investments'!$F381='My investments'!$H$18,$X381,0))</f>
        <v>0</v>
      </c>
      <c r="AE381" s="3">
        <f>IF('My investments'!$H$19="",0,IF('My investments'!$F381='My investments'!$H$19,$X381,0))</f>
        <v>0</v>
      </c>
      <c r="AF381" s="3">
        <f>IF('My investments'!$H$20="",0,IF('My investments'!$F381='My investments'!$H$20,$X381,0))</f>
        <v>0</v>
      </c>
      <c r="AG381" s="3">
        <f>IF('My investments'!$H$21="",0,IF('My investments'!$F381='My investments'!$H$21,$X381,0))</f>
        <v>0</v>
      </c>
      <c r="AH381" s="3">
        <f>IF('My investments'!$H$22="",0,IF('My investments'!$F381='My investments'!$H$22,$X381,0))</f>
        <v>0</v>
      </c>
      <c r="AI381" s="3">
        <f>IF('My investments'!$H$23="",0,IF('My investments'!$F381='My investments'!$H$23,$X381,0))</f>
        <v>0</v>
      </c>
      <c r="AJ381" s="3">
        <f>IF('My investments'!$H$24="",0,IF('My investments'!$F381='My investments'!$H$24,$X381,0))</f>
        <v>0</v>
      </c>
      <c r="AL381" s="3" t="str">
        <f>IF('My investments'!$B381="","",IF($D$10=0,"",IFERROR(INDEX('Index history'!$B$8:$B$5007,MATCH('My investments'!$B381,'Index history'!$A$8:$A$5007,1)),"")))</f>
        <v/>
      </c>
      <c r="AM381" s="3">
        <f>IF($AL381="",0,IF('My investments'!$D381="",0,IF('My investments'!$C381="Money in",'My investments'!$D381/$AL381,IF('My investments'!$C381="Money out",-'My investments'!$D381/$AL381,0))))</f>
        <v>0</v>
      </c>
    </row>
    <row r="382">
      <c r="X382" s="3">
        <f>IF('My investments'!$B382="",0,IF('My investments'!$E382="",0,'My investments'!$E382))</f>
        <v>0</v>
      </c>
      <c r="Y382" s="25">
        <f>IF('My investments'!$B382="",$D$8,'My investments'!$B382)</f>
        <v>0</v>
      </c>
      <c r="Z382" s="3">
        <f>IF('My investments'!$C382="Worth today",0,$X382)</f>
        <v>0</v>
      </c>
      <c r="AA382" s="3">
        <f>IF('My investments'!$H$15="",0,IF('My investments'!$F382='My investments'!$H$15,$X382,0))</f>
        <v>0</v>
      </c>
      <c r="AB382" s="3">
        <f>IF('My investments'!$H$16="",0,IF('My investments'!$F382='My investments'!$H$16,$X382,0))</f>
        <v>0</v>
      </c>
      <c r="AC382" s="3">
        <f>IF('My investments'!$H$17="",0,IF('My investments'!$F382='My investments'!$H$17,$X382,0))</f>
        <v>0</v>
      </c>
      <c r="AD382" s="3">
        <f>IF('My investments'!$H$18="",0,IF('My investments'!$F382='My investments'!$H$18,$X382,0))</f>
        <v>0</v>
      </c>
      <c r="AE382" s="3">
        <f>IF('My investments'!$H$19="",0,IF('My investments'!$F382='My investments'!$H$19,$X382,0))</f>
        <v>0</v>
      </c>
      <c r="AF382" s="3">
        <f>IF('My investments'!$H$20="",0,IF('My investments'!$F382='My investments'!$H$20,$X382,0))</f>
        <v>0</v>
      </c>
      <c r="AG382" s="3">
        <f>IF('My investments'!$H$21="",0,IF('My investments'!$F382='My investments'!$H$21,$X382,0))</f>
        <v>0</v>
      </c>
      <c r="AH382" s="3">
        <f>IF('My investments'!$H$22="",0,IF('My investments'!$F382='My investments'!$H$22,$X382,0))</f>
        <v>0</v>
      </c>
      <c r="AI382" s="3">
        <f>IF('My investments'!$H$23="",0,IF('My investments'!$F382='My investments'!$H$23,$X382,0))</f>
        <v>0</v>
      </c>
      <c r="AJ382" s="3">
        <f>IF('My investments'!$H$24="",0,IF('My investments'!$F382='My investments'!$H$24,$X382,0))</f>
        <v>0</v>
      </c>
      <c r="AL382" s="3" t="str">
        <f>IF('My investments'!$B382="","",IF($D$10=0,"",IFERROR(INDEX('Index history'!$B$8:$B$5007,MATCH('My investments'!$B382,'Index history'!$A$8:$A$5007,1)),"")))</f>
        <v/>
      </c>
      <c r="AM382" s="3">
        <f>IF($AL382="",0,IF('My investments'!$D382="",0,IF('My investments'!$C382="Money in",'My investments'!$D382/$AL382,IF('My investments'!$C382="Money out",-'My investments'!$D382/$AL382,0))))</f>
        <v>0</v>
      </c>
    </row>
    <row r="383">
      <c r="X383" s="3">
        <f>IF('My investments'!$B383="",0,IF('My investments'!$E383="",0,'My investments'!$E383))</f>
        <v>0</v>
      </c>
      <c r="Y383" s="25">
        <f>IF('My investments'!$B383="",$D$8,'My investments'!$B383)</f>
        <v>0</v>
      </c>
      <c r="Z383" s="3">
        <f>IF('My investments'!$C383="Worth today",0,$X383)</f>
        <v>0</v>
      </c>
      <c r="AA383" s="3">
        <f>IF('My investments'!$H$15="",0,IF('My investments'!$F383='My investments'!$H$15,$X383,0))</f>
        <v>0</v>
      </c>
      <c r="AB383" s="3">
        <f>IF('My investments'!$H$16="",0,IF('My investments'!$F383='My investments'!$H$16,$X383,0))</f>
        <v>0</v>
      </c>
      <c r="AC383" s="3">
        <f>IF('My investments'!$H$17="",0,IF('My investments'!$F383='My investments'!$H$17,$X383,0))</f>
        <v>0</v>
      </c>
      <c r="AD383" s="3">
        <f>IF('My investments'!$H$18="",0,IF('My investments'!$F383='My investments'!$H$18,$X383,0))</f>
        <v>0</v>
      </c>
      <c r="AE383" s="3">
        <f>IF('My investments'!$H$19="",0,IF('My investments'!$F383='My investments'!$H$19,$X383,0))</f>
        <v>0</v>
      </c>
      <c r="AF383" s="3">
        <f>IF('My investments'!$H$20="",0,IF('My investments'!$F383='My investments'!$H$20,$X383,0))</f>
        <v>0</v>
      </c>
      <c r="AG383" s="3">
        <f>IF('My investments'!$H$21="",0,IF('My investments'!$F383='My investments'!$H$21,$X383,0))</f>
        <v>0</v>
      </c>
      <c r="AH383" s="3">
        <f>IF('My investments'!$H$22="",0,IF('My investments'!$F383='My investments'!$H$22,$X383,0))</f>
        <v>0</v>
      </c>
      <c r="AI383" s="3">
        <f>IF('My investments'!$H$23="",0,IF('My investments'!$F383='My investments'!$H$23,$X383,0))</f>
        <v>0</v>
      </c>
      <c r="AJ383" s="3">
        <f>IF('My investments'!$H$24="",0,IF('My investments'!$F383='My investments'!$H$24,$X383,0))</f>
        <v>0</v>
      </c>
      <c r="AL383" s="3" t="str">
        <f>IF('My investments'!$B383="","",IF($D$10=0,"",IFERROR(INDEX('Index history'!$B$8:$B$5007,MATCH('My investments'!$B383,'Index history'!$A$8:$A$5007,1)),"")))</f>
        <v/>
      </c>
      <c r="AM383" s="3">
        <f>IF($AL383="",0,IF('My investments'!$D383="",0,IF('My investments'!$C383="Money in",'My investments'!$D383/$AL383,IF('My investments'!$C383="Money out",-'My investments'!$D383/$AL383,0))))</f>
        <v>0</v>
      </c>
    </row>
    <row r="384">
      <c r="X384" s="3">
        <f>IF('My investments'!$B384="",0,IF('My investments'!$E384="",0,'My investments'!$E384))</f>
        <v>0</v>
      </c>
      <c r="Y384" s="25">
        <f>IF('My investments'!$B384="",$D$8,'My investments'!$B384)</f>
        <v>0</v>
      </c>
      <c r="Z384" s="3">
        <f>IF('My investments'!$C384="Worth today",0,$X384)</f>
        <v>0</v>
      </c>
      <c r="AA384" s="3">
        <f>IF('My investments'!$H$15="",0,IF('My investments'!$F384='My investments'!$H$15,$X384,0))</f>
        <v>0</v>
      </c>
      <c r="AB384" s="3">
        <f>IF('My investments'!$H$16="",0,IF('My investments'!$F384='My investments'!$H$16,$X384,0))</f>
        <v>0</v>
      </c>
      <c r="AC384" s="3">
        <f>IF('My investments'!$H$17="",0,IF('My investments'!$F384='My investments'!$H$17,$X384,0))</f>
        <v>0</v>
      </c>
      <c r="AD384" s="3">
        <f>IF('My investments'!$H$18="",0,IF('My investments'!$F384='My investments'!$H$18,$X384,0))</f>
        <v>0</v>
      </c>
      <c r="AE384" s="3">
        <f>IF('My investments'!$H$19="",0,IF('My investments'!$F384='My investments'!$H$19,$X384,0))</f>
        <v>0</v>
      </c>
      <c r="AF384" s="3">
        <f>IF('My investments'!$H$20="",0,IF('My investments'!$F384='My investments'!$H$20,$X384,0))</f>
        <v>0</v>
      </c>
      <c r="AG384" s="3">
        <f>IF('My investments'!$H$21="",0,IF('My investments'!$F384='My investments'!$H$21,$X384,0))</f>
        <v>0</v>
      </c>
      <c r="AH384" s="3">
        <f>IF('My investments'!$H$22="",0,IF('My investments'!$F384='My investments'!$H$22,$X384,0))</f>
        <v>0</v>
      </c>
      <c r="AI384" s="3">
        <f>IF('My investments'!$H$23="",0,IF('My investments'!$F384='My investments'!$H$23,$X384,0))</f>
        <v>0</v>
      </c>
      <c r="AJ384" s="3">
        <f>IF('My investments'!$H$24="",0,IF('My investments'!$F384='My investments'!$H$24,$X384,0))</f>
        <v>0</v>
      </c>
      <c r="AL384" s="3" t="str">
        <f>IF('My investments'!$B384="","",IF($D$10=0,"",IFERROR(INDEX('Index history'!$B$8:$B$5007,MATCH('My investments'!$B384,'Index history'!$A$8:$A$5007,1)),"")))</f>
        <v/>
      </c>
      <c r="AM384" s="3">
        <f>IF($AL384="",0,IF('My investments'!$D384="",0,IF('My investments'!$C384="Money in",'My investments'!$D384/$AL384,IF('My investments'!$C384="Money out",-'My investments'!$D384/$AL384,0))))</f>
        <v>0</v>
      </c>
    </row>
    <row r="385">
      <c r="X385" s="3">
        <f>IF('My investments'!$B385="",0,IF('My investments'!$E385="",0,'My investments'!$E385))</f>
        <v>0</v>
      </c>
      <c r="Y385" s="25">
        <f>IF('My investments'!$B385="",$D$8,'My investments'!$B385)</f>
        <v>0</v>
      </c>
      <c r="Z385" s="3">
        <f>IF('My investments'!$C385="Worth today",0,$X385)</f>
        <v>0</v>
      </c>
      <c r="AA385" s="3">
        <f>IF('My investments'!$H$15="",0,IF('My investments'!$F385='My investments'!$H$15,$X385,0))</f>
        <v>0</v>
      </c>
      <c r="AB385" s="3">
        <f>IF('My investments'!$H$16="",0,IF('My investments'!$F385='My investments'!$H$16,$X385,0))</f>
        <v>0</v>
      </c>
      <c r="AC385" s="3">
        <f>IF('My investments'!$H$17="",0,IF('My investments'!$F385='My investments'!$H$17,$X385,0))</f>
        <v>0</v>
      </c>
      <c r="AD385" s="3">
        <f>IF('My investments'!$H$18="",0,IF('My investments'!$F385='My investments'!$H$18,$X385,0))</f>
        <v>0</v>
      </c>
      <c r="AE385" s="3">
        <f>IF('My investments'!$H$19="",0,IF('My investments'!$F385='My investments'!$H$19,$X385,0))</f>
        <v>0</v>
      </c>
      <c r="AF385" s="3">
        <f>IF('My investments'!$H$20="",0,IF('My investments'!$F385='My investments'!$H$20,$X385,0))</f>
        <v>0</v>
      </c>
      <c r="AG385" s="3">
        <f>IF('My investments'!$H$21="",0,IF('My investments'!$F385='My investments'!$H$21,$X385,0))</f>
        <v>0</v>
      </c>
      <c r="AH385" s="3">
        <f>IF('My investments'!$H$22="",0,IF('My investments'!$F385='My investments'!$H$22,$X385,0))</f>
        <v>0</v>
      </c>
      <c r="AI385" s="3">
        <f>IF('My investments'!$H$23="",0,IF('My investments'!$F385='My investments'!$H$23,$X385,0))</f>
        <v>0</v>
      </c>
      <c r="AJ385" s="3">
        <f>IF('My investments'!$H$24="",0,IF('My investments'!$F385='My investments'!$H$24,$X385,0))</f>
        <v>0</v>
      </c>
      <c r="AL385" s="3" t="str">
        <f>IF('My investments'!$B385="","",IF($D$10=0,"",IFERROR(INDEX('Index history'!$B$8:$B$5007,MATCH('My investments'!$B385,'Index history'!$A$8:$A$5007,1)),"")))</f>
        <v/>
      </c>
      <c r="AM385" s="3">
        <f>IF($AL385="",0,IF('My investments'!$D385="",0,IF('My investments'!$C385="Money in",'My investments'!$D385/$AL385,IF('My investments'!$C385="Money out",-'My investments'!$D385/$AL385,0))))</f>
        <v>0</v>
      </c>
    </row>
    <row r="386">
      <c r="X386" s="3">
        <f>IF('My investments'!$B386="",0,IF('My investments'!$E386="",0,'My investments'!$E386))</f>
        <v>0</v>
      </c>
      <c r="Y386" s="25">
        <f>IF('My investments'!$B386="",$D$8,'My investments'!$B386)</f>
        <v>0</v>
      </c>
      <c r="Z386" s="3">
        <f>IF('My investments'!$C386="Worth today",0,$X386)</f>
        <v>0</v>
      </c>
      <c r="AA386" s="3">
        <f>IF('My investments'!$H$15="",0,IF('My investments'!$F386='My investments'!$H$15,$X386,0))</f>
        <v>0</v>
      </c>
      <c r="AB386" s="3">
        <f>IF('My investments'!$H$16="",0,IF('My investments'!$F386='My investments'!$H$16,$X386,0))</f>
        <v>0</v>
      </c>
      <c r="AC386" s="3">
        <f>IF('My investments'!$H$17="",0,IF('My investments'!$F386='My investments'!$H$17,$X386,0))</f>
        <v>0</v>
      </c>
      <c r="AD386" s="3">
        <f>IF('My investments'!$H$18="",0,IF('My investments'!$F386='My investments'!$H$18,$X386,0))</f>
        <v>0</v>
      </c>
      <c r="AE386" s="3">
        <f>IF('My investments'!$H$19="",0,IF('My investments'!$F386='My investments'!$H$19,$X386,0))</f>
        <v>0</v>
      </c>
      <c r="AF386" s="3">
        <f>IF('My investments'!$H$20="",0,IF('My investments'!$F386='My investments'!$H$20,$X386,0))</f>
        <v>0</v>
      </c>
      <c r="AG386" s="3">
        <f>IF('My investments'!$H$21="",0,IF('My investments'!$F386='My investments'!$H$21,$X386,0))</f>
        <v>0</v>
      </c>
      <c r="AH386" s="3">
        <f>IF('My investments'!$H$22="",0,IF('My investments'!$F386='My investments'!$H$22,$X386,0))</f>
        <v>0</v>
      </c>
      <c r="AI386" s="3">
        <f>IF('My investments'!$H$23="",0,IF('My investments'!$F386='My investments'!$H$23,$X386,0))</f>
        <v>0</v>
      </c>
      <c r="AJ386" s="3">
        <f>IF('My investments'!$H$24="",0,IF('My investments'!$F386='My investments'!$H$24,$X386,0))</f>
        <v>0</v>
      </c>
      <c r="AL386" s="3" t="str">
        <f>IF('My investments'!$B386="","",IF($D$10=0,"",IFERROR(INDEX('Index history'!$B$8:$B$5007,MATCH('My investments'!$B386,'Index history'!$A$8:$A$5007,1)),"")))</f>
        <v/>
      </c>
      <c r="AM386" s="3">
        <f>IF($AL386="",0,IF('My investments'!$D386="",0,IF('My investments'!$C386="Money in",'My investments'!$D386/$AL386,IF('My investments'!$C386="Money out",-'My investments'!$D386/$AL386,0))))</f>
        <v>0</v>
      </c>
    </row>
    <row r="387">
      <c r="X387" s="3">
        <f>IF('My investments'!$B387="",0,IF('My investments'!$E387="",0,'My investments'!$E387))</f>
        <v>0</v>
      </c>
      <c r="Y387" s="25">
        <f>IF('My investments'!$B387="",$D$8,'My investments'!$B387)</f>
        <v>0</v>
      </c>
      <c r="Z387" s="3">
        <f>IF('My investments'!$C387="Worth today",0,$X387)</f>
        <v>0</v>
      </c>
      <c r="AA387" s="3">
        <f>IF('My investments'!$H$15="",0,IF('My investments'!$F387='My investments'!$H$15,$X387,0))</f>
        <v>0</v>
      </c>
      <c r="AB387" s="3">
        <f>IF('My investments'!$H$16="",0,IF('My investments'!$F387='My investments'!$H$16,$X387,0))</f>
        <v>0</v>
      </c>
      <c r="AC387" s="3">
        <f>IF('My investments'!$H$17="",0,IF('My investments'!$F387='My investments'!$H$17,$X387,0))</f>
        <v>0</v>
      </c>
      <c r="AD387" s="3">
        <f>IF('My investments'!$H$18="",0,IF('My investments'!$F387='My investments'!$H$18,$X387,0))</f>
        <v>0</v>
      </c>
      <c r="AE387" s="3">
        <f>IF('My investments'!$H$19="",0,IF('My investments'!$F387='My investments'!$H$19,$X387,0))</f>
        <v>0</v>
      </c>
      <c r="AF387" s="3">
        <f>IF('My investments'!$H$20="",0,IF('My investments'!$F387='My investments'!$H$20,$X387,0))</f>
        <v>0</v>
      </c>
      <c r="AG387" s="3">
        <f>IF('My investments'!$H$21="",0,IF('My investments'!$F387='My investments'!$H$21,$X387,0))</f>
        <v>0</v>
      </c>
      <c r="AH387" s="3">
        <f>IF('My investments'!$H$22="",0,IF('My investments'!$F387='My investments'!$H$22,$X387,0))</f>
        <v>0</v>
      </c>
      <c r="AI387" s="3">
        <f>IF('My investments'!$H$23="",0,IF('My investments'!$F387='My investments'!$H$23,$X387,0))</f>
        <v>0</v>
      </c>
      <c r="AJ387" s="3">
        <f>IF('My investments'!$H$24="",0,IF('My investments'!$F387='My investments'!$H$24,$X387,0))</f>
        <v>0</v>
      </c>
      <c r="AL387" s="3" t="str">
        <f>IF('My investments'!$B387="","",IF($D$10=0,"",IFERROR(INDEX('Index history'!$B$8:$B$5007,MATCH('My investments'!$B387,'Index history'!$A$8:$A$5007,1)),"")))</f>
        <v/>
      </c>
      <c r="AM387" s="3">
        <f>IF($AL387="",0,IF('My investments'!$D387="",0,IF('My investments'!$C387="Money in",'My investments'!$D387/$AL387,IF('My investments'!$C387="Money out",-'My investments'!$D387/$AL387,0))))</f>
        <v>0</v>
      </c>
    </row>
    <row r="388">
      <c r="X388" s="3">
        <f>IF('My investments'!$B388="",0,IF('My investments'!$E388="",0,'My investments'!$E388))</f>
        <v>0</v>
      </c>
      <c r="Y388" s="25">
        <f>IF('My investments'!$B388="",$D$8,'My investments'!$B388)</f>
        <v>0</v>
      </c>
      <c r="Z388" s="3">
        <f>IF('My investments'!$C388="Worth today",0,$X388)</f>
        <v>0</v>
      </c>
      <c r="AA388" s="3">
        <f>IF('My investments'!$H$15="",0,IF('My investments'!$F388='My investments'!$H$15,$X388,0))</f>
        <v>0</v>
      </c>
      <c r="AB388" s="3">
        <f>IF('My investments'!$H$16="",0,IF('My investments'!$F388='My investments'!$H$16,$X388,0))</f>
        <v>0</v>
      </c>
      <c r="AC388" s="3">
        <f>IF('My investments'!$H$17="",0,IF('My investments'!$F388='My investments'!$H$17,$X388,0))</f>
        <v>0</v>
      </c>
      <c r="AD388" s="3">
        <f>IF('My investments'!$H$18="",0,IF('My investments'!$F388='My investments'!$H$18,$X388,0))</f>
        <v>0</v>
      </c>
      <c r="AE388" s="3">
        <f>IF('My investments'!$H$19="",0,IF('My investments'!$F388='My investments'!$H$19,$X388,0))</f>
        <v>0</v>
      </c>
      <c r="AF388" s="3">
        <f>IF('My investments'!$H$20="",0,IF('My investments'!$F388='My investments'!$H$20,$X388,0))</f>
        <v>0</v>
      </c>
      <c r="AG388" s="3">
        <f>IF('My investments'!$H$21="",0,IF('My investments'!$F388='My investments'!$H$21,$X388,0))</f>
        <v>0</v>
      </c>
      <c r="AH388" s="3">
        <f>IF('My investments'!$H$22="",0,IF('My investments'!$F388='My investments'!$H$22,$X388,0))</f>
        <v>0</v>
      </c>
      <c r="AI388" s="3">
        <f>IF('My investments'!$H$23="",0,IF('My investments'!$F388='My investments'!$H$23,$X388,0))</f>
        <v>0</v>
      </c>
      <c r="AJ388" s="3">
        <f>IF('My investments'!$H$24="",0,IF('My investments'!$F388='My investments'!$H$24,$X388,0))</f>
        <v>0</v>
      </c>
      <c r="AL388" s="3" t="str">
        <f>IF('My investments'!$B388="","",IF($D$10=0,"",IFERROR(INDEX('Index history'!$B$8:$B$5007,MATCH('My investments'!$B388,'Index history'!$A$8:$A$5007,1)),"")))</f>
        <v/>
      </c>
      <c r="AM388" s="3">
        <f>IF($AL388="",0,IF('My investments'!$D388="",0,IF('My investments'!$C388="Money in",'My investments'!$D388/$AL388,IF('My investments'!$C388="Money out",-'My investments'!$D388/$AL388,0))))</f>
        <v>0</v>
      </c>
    </row>
    <row r="389">
      <c r="X389" s="3">
        <f>IF('My investments'!$B389="",0,IF('My investments'!$E389="",0,'My investments'!$E389))</f>
        <v>0</v>
      </c>
      <c r="Y389" s="25">
        <f>IF('My investments'!$B389="",$D$8,'My investments'!$B389)</f>
        <v>0</v>
      </c>
      <c r="Z389" s="3">
        <f>IF('My investments'!$C389="Worth today",0,$X389)</f>
        <v>0</v>
      </c>
      <c r="AA389" s="3">
        <f>IF('My investments'!$H$15="",0,IF('My investments'!$F389='My investments'!$H$15,$X389,0))</f>
        <v>0</v>
      </c>
      <c r="AB389" s="3">
        <f>IF('My investments'!$H$16="",0,IF('My investments'!$F389='My investments'!$H$16,$X389,0))</f>
        <v>0</v>
      </c>
      <c r="AC389" s="3">
        <f>IF('My investments'!$H$17="",0,IF('My investments'!$F389='My investments'!$H$17,$X389,0))</f>
        <v>0</v>
      </c>
      <c r="AD389" s="3">
        <f>IF('My investments'!$H$18="",0,IF('My investments'!$F389='My investments'!$H$18,$X389,0))</f>
        <v>0</v>
      </c>
      <c r="AE389" s="3">
        <f>IF('My investments'!$H$19="",0,IF('My investments'!$F389='My investments'!$H$19,$X389,0))</f>
        <v>0</v>
      </c>
      <c r="AF389" s="3">
        <f>IF('My investments'!$H$20="",0,IF('My investments'!$F389='My investments'!$H$20,$X389,0))</f>
        <v>0</v>
      </c>
      <c r="AG389" s="3">
        <f>IF('My investments'!$H$21="",0,IF('My investments'!$F389='My investments'!$H$21,$X389,0))</f>
        <v>0</v>
      </c>
      <c r="AH389" s="3">
        <f>IF('My investments'!$H$22="",0,IF('My investments'!$F389='My investments'!$H$22,$X389,0))</f>
        <v>0</v>
      </c>
      <c r="AI389" s="3">
        <f>IF('My investments'!$H$23="",0,IF('My investments'!$F389='My investments'!$H$23,$X389,0))</f>
        <v>0</v>
      </c>
      <c r="AJ389" s="3">
        <f>IF('My investments'!$H$24="",0,IF('My investments'!$F389='My investments'!$H$24,$X389,0))</f>
        <v>0</v>
      </c>
      <c r="AL389" s="3" t="str">
        <f>IF('My investments'!$B389="","",IF($D$10=0,"",IFERROR(INDEX('Index history'!$B$8:$B$5007,MATCH('My investments'!$B389,'Index history'!$A$8:$A$5007,1)),"")))</f>
        <v/>
      </c>
      <c r="AM389" s="3">
        <f>IF($AL389="",0,IF('My investments'!$D389="",0,IF('My investments'!$C389="Money in",'My investments'!$D389/$AL389,IF('My investments'!$C389="Money out",-'My investments'!$D389/$AL389,0))))</f>
        <v>0</v>
      </c>
    </row>
    <row r="390">
      <c r="X390" s="3">
        <f>IF('My investments'!$B390="",0,IF('My investments'!$E390="",0,'My investments'!$E390))</f>
        <v>0</v>
      </c>
      <c r="Y390" s="25">
        <f>IF('My investments'!$B390="",$D$8,'My investments'!$B390)</f>
        <v>0</v>
      </c>
      <c r="Z390" s="3">
        <f>IF('My investments'!$C390="Worth today",0,$X390)</f>
        <v>0</v>
      </c>
      <c r="AA390" s="3">
        <f>IF('My investments'!$H$15="",0,IF('My investments'!$F390='My investments'!$H$15,$X390,0))</f>
        <v>0</v>
      </c>
      <c r="AB390" s="3">
        <f>IF('My investments'!$H$16="",0,IF('My investments'!$F390='My investments'!$H$16,$X390,0))</f>
        <v>0</v>
      </c>
      <c r="AC390" s="3">
        <f>IF('My investments'!$H$17="",0,IF('My investments'!$F390='My investments'!$H$17,$X390,0))</f>
        <v>0</v>
      </c>
      <c r="AD390" s="3">
        <f>IF('My investments'!$H$18="",0,IF('My investments'!$F390='My investments'!$H$18,$X390,0))</f>
        <v>0</v>
      </c>
      <c r="AE390" s="3">
        <f>IF('My investments'!$H$19="",0,IF('My investments'!$F390='My investments'!$H$19,$X390,0))</f>
        <v>0</v>
      </c>
      <c r="AF390" s="3">
        <f>IF('My investments'!$H$20="",0,IF('My investments'!$F390='My investments'!$H$20,$X390,0))</f>
        <v>0</v>
      </c>
      <c r="AG390" s="3">
        <f>IF('My investments'!$H$21="",0,IF('My investments'!$F390='My investments'!$H$21,$X390,0))</f>
        <v>0</v>
      </c>
      <c r="AH390" s="3">
        <f>IF('My investments'!$H$22="",0,IF('My investments'!$F390='My investments'!$H$22,$X390,0))</f>
        <v>0</v>
      </c>
      <c r="AI390" s="3">
        <f>IF('My investments'!$H$23="",0,IF('My investments'!$F390='My investments'!$H$23,$X390,0))</f>
        <v>0</v>
      </c>
      <c r="AJ390" s="3">
        <f>IF('My investments'!$H$24="",0,IF('My investments'!$F390='My investments'!$H$24,$X390,0))</f>
        <v>0</v>
      </c>
      <c r="AL390" s="3" t="str">
        <f>IF('My investments'!$B390="","",IF($D$10=0,"",IFERROR(INDEX('Index history'!$B$8:$B$5007,MATCH('My investments'!$B390,'Index history'!$A$8:$A$5007,1)),"")))</f>
        <v/>
      </c>
      <c r="AM390" s="3">
        <f>IF($AL390="",0,IF('My investments'!$D390="",0,IF('My investments'!$C390="Money in",'My investments'!$D390/$AL390,IF('My investments'!$C390="Money out",-'My investments'!$D390/$AL390,0))))</f>
        <v>0</v>
      </c>
    </row>
    <row r="391">
      <c r="X391" s="3">
        <f>IF('My investments'!$B391="",0,IF('My investments'!$E391="",0,'My investments'!$E391))</f>
        <v>0</v>
      </c>
      <c r="Y391" s="25">
        <f>IF('My investments'!$B391="",$D$8,'My investments'!$B391)</f>
        <v>0</v>
      </c>
      <c r="Z391" s="3">
        <f>IF('My investments'!$C391="Worth today",0,$X391)</f>
        <v>0</v>
      </c>
      <c r="AA391" s="3">
        <f>IF('My investments'!$H$15="",0,IF('My investments'!$F391='My investments'!$H$15,$X391,0))</f>
        <v>0</v>
      </c>
      <c r="AB391" s="3">
        <f>IF('My investments'!$H$16="",0,IF('My investments'!$F391='My investments'!$H$16,$X391,0))</f>
        <v>0</v>
      </c>
      <c r="AC391" s="3">
        <f>IF('My investments'!$H$17="",0,IF('My investments'!$F391='My investments'!$H$17,$X391,0))</f>
        <v>0</v>
      </c>
      <c r="AD391" s="3">
        <f>IF('My investments'!$H$18="",0,IF('My investments'!$F391='My investments'!$H$18,$X391,0))</f>
        <v>0</v>
      </c>
      <c r="AE391" s="3">
        <f>IF('My investments'!$H$19="",0,IF('My investments'!$F391='My investments'!$H$19,$X391,0))</f>
        <v>0</v>
      </c>
      <c r="AF391" s="3">
        <f>IF('My investments'!$H$20="",0,IF('My investments'!$F391='My investments'!$H$20,$X391,0))</f>
        <v>0</v>
      </c>
      <c r="AG391" s="3">
        <f>IF('My investments'!$H$21="",0,IF('My investments'!$F391='My investments'!$H$21,$X391,0))</f>
        <v>0</v>
      </c>
      <c r="AH391" s="3">
        <f>IF('My investments'!$H$22="",0,IF('My investments'!$F391='My investments'!$H$22,$X391,0))</f>
        <v>0</v>
      </c>
      <c r="AI391" s="3">
        <f>IF('My investments'!$H$23="",0,IF('My investments'!$F391='My investments'!$H$23,$X391,0))</f>
        <v>0</v>
      </c>
      <c r="AJ391" s="3">
        <f>IF('My investments'!$H$24="",0,IF('My investments'!$F391='My investments'!$H$24,$X391,0))</f>
        <v>0</v>
      </c>
      <c r="AL391" s="3" t="str">
        <f>IF('My investments'!$B391="","",IF($D$10=0,"",IFERROR(INDEX('Index history'!$B$8:$B$5007,MATCH('My investments'!$B391,'Index history'!$A$8:$A$5007,1)),"")))</f>
        <v/>
      </c>
      <c r="AM391" s="3">
        <f>IF($AL391="",0,IF('My investments'!$D391="",0,IF('My investments'!$C391="Money in",'My investments'!$D391/$AL391,IF('My investments'!$C391="Money out",-'My investments'!$D391/$AL391,0))))</f>
        <v>0</v>
      </c>
    </row>
    <row r="392">
      <c r="X392" s="3">
        <f>IF('My investments'!$B392="",0,IF('My investments'!$E392="",0,'My investments'!$E392))</f>
        <v>0</v>
      </c>
      <c r="Y392" s="25">
        <f>IF('My investments'!$B392="",$D$8,'My investments'!$B392)</f>
        <v>0</v>
      </c>
      <c r="Z392" s="3">
        <f>IF('My investments'!$C392="Worth today",0,$X392)</f>
        <v>0</v>
      </c>
      <c r="AA392" s="3">
        <f>IF('My investments'!$H$15="",0,IF('My investments'!$F392='My investments'!$H$15,$X392,0))</f>
        <v>0</v>
      </c>
      <c r="AB392" s="3">
        <f>IF('My investments'!$H$16="",0,IF('My investments'!$F392='My investments'!$H$16,$X392,0))</f>
        <v>0</v>
      </c>
      <c r="AC392" s="3">
        <f>IF('My investments'!$H$17="",0,IF('My investments'!$F392='My investments'!$H$17,$X392,0))</f>
        <v>0</v>
      </c>
      <c r="AD392" s="3">
        <f>IF('My investments'!$H$18="",0,IF('My investments'!$F392='My investments'!$H$18,$X392,0))</f>
        <v>0</v>
      </c>
      <c r="AE392" s="3">
        <f>IF('My investments'!$H$19="",0,IF('My investments'!$F392='My investments'!$H$19,$X392,0))</f>
        <v>0</v>
      </c>
      <c r="AF392" s="3">
        <f>IF('My investments'!$H$20="",0,IF('My investments'!$F392='My investments'!$H$20,$X392,0))</f>
        <v>0</v>
      </c>
      <c r="AG392" s="3">
        <f>IF('My investments'!$H$21="",0,IF('My investments'!$F392='My investments'!$H$21,$X392,0))</f>
        <v>0</v>
      </c>
      <c r="AH392" s="3">
        <f>IF('My investments'!$H$22="",0,IF('My investments'!$F392='My investments'!$H$22,$X392,0))</f>
        <v>0</v>
      </c>
      <c r="AI392" s="3">
        <f>IF('My investments'!$H$23="",0,IF('My investments'!$F392='My investments'!$H$23,$X392,0))</f>
        <v>0</v>
      </c>
      <c r="AJ392" s="3">
        <f>IF('My investments'!$H$24="",0,IF('My investments'!$F392='My investments'!$H$24,$X392,0))</f>
        <v>0</v>
      </c>
      <c r="AL392" s="3" t="str">
        <f>IF('My investments'!$B392="","",IF($D$10=0,"",IFERROR(INDEX('Index history'!$B$8:$B$5007,MATCH('My investments'!$B392,'Index history'!$A$8:$A$5007,1)),"")))</f>
        <v/>
      </c>
      <c r="AM392" s="3">
        <f>IF($AL392="",0,IF('My investments'!$D392="",0,IF('My investments'!$C392="Money in",'My investments'!$D392/$AL392,IF('My investments'!$C392="Money out",-'My investments'!$D392/$AL392,0))))</f>
        <v>0</v>
      </c>
    </row>
    <row r="393">
      <c r="X393" s="3">
        <f>IF('My investments'!$B393="",0,IF('My investments'!$E393="",0,'My investments'!$E393))</f>
        <v>0</v>
      </c>
      <c r="Y393" s="25">
        <f>IF('My investments'!$B393="",$D$8,'My investments'!$B393)</f>
        <v>0</v>
      </c>
      <c r="Z393" s="3">
        <f>IF('My investments'!$C393="Worth today",0,$X393)</f>
        <v>0</v>
      </c>
      <c r="AA393" s="3">
        <f>IF('My investments'!$H$15="",0,IF('My investments'!$F393='My investments'!$H$15,$X393,0))</f>
        <v>0</v>
      </c>
      <c r="AB393" s="3">
        <f>IF('My investments'!$H$16="",0,IF('My investments'!$F393='My investments'!$H$16,$X393,0))</f>
        <v>0</v>
      </c>
      <c r="AC393" s="3">
        <f>IF('My investments'!$H$17="",0,IF('My investments'!$F393='My investments'!$H$17,$X393,0))</f>
        <v>0</v>
      </c>
      <c r="AD393" s="3">
        <f>IF('My investments'!$H$18="",0,IF('My investments'!$F393='My investments'!$H$18,$X393,0))</f>
        <v>0</v>
      </c>
      <c r="AE393" s="3">
        <f>IF('My investments'!$H$19="",0,IF('My investments'!$F393='My investments'!$H$19,$X393,0))</f>
        <v>0</v>
      </c>
      <c r="AF393" s="3">
        <f>IF('My investments'!$H$20="",0,IF('My investments'!$F393='My investments'!$H$20,$X393,0))</f>
        <v>0</v>
      </c>
      <c r="AG393" s="3">
        <f>IF('My investments'!$H$21="",0,IF('My investments'!$F393='My investments'!$H$21,$X393,0))</f>
        <v>0</v>
      </c>
      <c r="AH393" s="3">
        <f>IF('My investments'!$H$22="",0,IF('My investments'!$F393='My investments'!$H$22,$X393,0))</f>
        <v>0</v>
      </c>
      <c r="AI393" s="3">
        <f>IF('My investments'!$H$23="",0,IF('My investments'!$F393='My investments'!$H$23,$X393,0))</f>
        <v>0</v>
      </c>
      <c r="AJ393" s="3">
        <f>IF('My investments'!$H$24="",0,IF('My investments'!$F393='My investments'!$H$24,$X393,0))</f>
        <v>0</v>
      </c>
      <c r="AL393" s="3" t="str">
        <f>IF('My investments'!$B393="","",IF($D$10=0,"",IFERROR(INDEX('Index history'!$B$8:$B$5007,MATCH('My investments'!$B393,'Index history'!$A$8:$A$5007,1)),"")))</f>
        <v/>
      </c>
      <c r="AM393" s="3">
        <f>IF($AL393="",0,IF('My investments'!$D393="",0,IF('My investments'!$C393="Money in",'My investments'!$D393/$AL393,IF('My investments'!$C393="Money out",-'My investments'!$D393/$AL393,0))))</f>
        <v>0</v>
      </c>
    </row>
    <row r="394">
      <c r="X394" s="3">
        <f>IF('My investments'!$B394="",0,IF('My investments'!$E394="",0,'My investments'!$E394))</f>
        <v>0</v>
      </c>
      <c r="Y394" s="25">
        <f>IF('My investments'!$B394="",$D$8,'My investments'!$B394)</f>
        <v>0</v>
      </c>
      <c r="Z394" s="3">
        <f>IF('My investments'!$C394="Worth today",0,$X394)</f>
        <v>0</v>
      </c>
      <c r="AA394" s="3">
        <f>IF('My investments'!$H$15="",0,IF('My investments'!$F394='My investments'!$H$15,$X394,0))</f>
        <v>0</v>
      </c>
      <c r="AB394" s="3">
        <f>IF('My investments'!$H$16="",0,IF('My investments'!$F394='My investments'!$H$16,$X394,0))</f>
        <v>0</v>
      </c>
      <c r="AC394" s="3">
        <f>IF('My investments'!$H$17="",0,IF('My investments'!$F394='My investments'!$H$17,$X394,0))</f>
        <v>0</v>
      </c>
      <c r="AD394" s="3">
        <f>IF('My investments'!$H$18="",0,IF('My investments'!$F394='My investments'!$H$18,$X394,0))</f>
        <v>0</v>
      </c>
      <c r="AE394" s="3">
        <f>IF('My investments'!$H$19="",0,IF('My investments'!$F394='My investments'!$H$19,$X394,0))</f>
        <v>0</v>
      </c>
      <c r="AF394" s="3">
        <f>IF('My investments'!$H$20="",0,IF('My investments'!$F394='My investments'!$H$20,$X394,0))</f>
        <v>0</v>
      </c>
      <c r="AG394" s="3">
        <f>IF('My investments'!$H$21="",0,IF('My investments'!$F394='My investments'!$H$21,$X394,0))</f>
        <v>0</v>
      </c>
      <c r="AH394" s="3">
        <f>IF('My investments'!$H$22="",0,IF('My investments'!$F394='My investments'!$H$22,$X394,0))</f>
        <v>0</v>
      </c>
      <c r="AI394" s="3">
        <f>IF('My investments'!$H$23="",0,IF('My investments'!$F394='My investments'!$H$23,$X394,0))</f>
        <v>0</v>
      </c>
      <c r="AJ394" s="3">
        <f>IF('My investments'!$H$24="",0,IF('My investments'!$F394='My investments'!$H$24,$X394,0))</f>
        <v>0</v>
      </c>
      <c r="AL394" s="3" t="str">
        <f>IF('My investments'!$B394="","",IF($D$10=0,"",IFERROR(INDEX('Index history'!$B$8:$B$5007,MATCH('My investments'!$B394,'Index history'!$A$8:$A$5007,1)),"")))</f>
        <v/>
      </c>
      <c r="AM394" s="3">
        <f>IF($AL394="",0,IF('My investments'!$D394="",0,IF('My investments'!$C394="Money in",'My investments'!$D394/$AL394,IF('My investments'!$C394="Money out",-'My investments'!$D394/$AL394,0))))</f>
        <v>0</v>
      </c>
    </row>
    <row r="395">
      <c r="X395" s="3">
        <f>IF('My investments'!$B395="",0,IF('My investments'!$E395="",0,'My investments'!$E395))</f>
        <v>0</v>
      </c>
      <c r="Y395" s="25">
        <f>IF('My investments'!$B395="",$D$8,'My investments'!$B395)</f>
        <v>0</v>
      </c>
      <c r="Z395" s="3">
        <f>IF('My investments'!$C395="Worth today",0,$X395)</f>
        <v>0</v>
      </c>
      <c r="AA395" s="3">
        <f>IF('My investments'!$H$15="",0,IF('My investments'!$F395='My investments'!$H$15,$X395,0))</f>
        <v>0</v>
      </c>
      <c r="AB395" s="3">
        <f>IF('My investments'!$H$16="",0,IF('My investments'!$F395='My investments'!$H$16,$X395,0))</f>
        <v>0</v>
      </c>
      <c r="AC395" s="3">
        <f>IF('My investments'!$H$17="",0,IF('My investments'!$F395='My investments'!$H$17,$X395,0))</f>
        <v>0</v>
      </c>
      <c r="AD395" s="3">
        <f>IF('My investments'!$H$18="",0,IF('My investments'!$F395='My investments'!$H$18,$X395,0))</f>
        <v>0</v>
      </c>
      <c r="AE395" s="3">
        <f>IF('My investments'!$H$19="",0,IF('My investments'!$F395='My investments'!$H$19,$X395,0))</f>
        <v>0</v>
      </c>
      <c r="AF395" s="3">
        <f>IF('My investments'!$H$20="",0,IF('My investments'!$F395='My investments'!$H$20,$X395,0))</f>
        <v>0</v>
      </c>
      <c r="AG395" s="3">
        <f>IF('My investments'!$H$21="",0,IF('My investments'!$F395='My investments'!$H$21,$X395,0))</f>
        <v>0</v>
      </c>
      <c r="AH395" s="3">
        <f>IF('My investments'!$H$22="",0,IF('My investments'!$F395='My investments'!$H$22,$X395,0))</f>
        <v>0</v>
      </c>
      <c r="AI395" s="3">
        <f>IF('My investments'!$H$23="",0,IF('My investments'!$F395='My investments'!$H$23,$X395,0))</f>
        <v>0</v>
      </c>
      <c r="AJ395" s="3">
        <f>IF('My investments'!$H$24="",0,IF('My investments'!$F395='My investments'!$H$24,$X395,0))</f>
        <v>0</v>
      </c>
      <c r="AL395" s="3" t="str">
        <f>IF('My investments'!$B395="","",IF($D$10=0,"",IFERROR(INDEX('Index history'!$B$8:$B$5007,MATCH('My investments'!$B395,'Index history'!$A$8:$A$5007,1)),"")))</f>
        <v/>
      </c>
      <c r="AM395" s="3">
        <f>IF($AL395="",0,IF('My investments'!$D395="",0,IF('My investments'!$C395="Money in",'My investments'!$D395/$AL395,IF('My investments'!$C395="Money out",-'My investments'!$D395/$AL395,0))))</f>
        <v>0</v>
      </c>
    </row>
    <row r="396">
      <c r="X396" s="3">
        <f>IF('My investments'!$B396="",0,IF('My investments'!$E396="",0,'My investments'!$E396))</f>
        <v>0</v>
      </c>
      <c r="Y396" s="25">
        <f>IF('My investments'!$B396="",$D$8,'My investments'!$B396)</f>
        <v>0</v>
      </c>
      <c r="Z396" s="3">
        <f>IF('My investments'!$C396="Worth today",0,$X396)</f>
        <v>0</v>
      </c>
      <c r="AA396" s="3">
        <f>IF('My investments'!$H$15="",0,IF('My investments'!$F396='My investments'!$H$15,$X396,0))</f>
        <v>0</v>
      </c>
      <c r="AB396" s="3">
        <f>IF('My investments'!$H$16="",0,IF('My investments'!$F396='My investments'!$H$16,$X396,0))</f>
        <v>0</v>
      </c>
      <c r="AC396" s="3">
        <f>IF('My investments'!$H$17="",0,IF('My investments'!$F396='My investments'!$H$17,$X396,0))</f>
        <v>0</v>
      </c>
      <c r="AD396" s="3">
        <f>IF('My investments'!$H$18="",0,IF('My investments'!$F396='My investments'!$H$18,$X396,0))</f>
        <v>0</v>
      </c>
      <c r="AE396" s="3">
        <f>IF('My investments'!$H$19="",0,IF('My investments'!$F396='My investments'!$H$19,$X396,0))</f>
        <v>0</v>
      </c>
      <c r="AF396" s="3">
        <f>IF('My investments'!$H$20="",0,IF('My investments'!$F396='My investments'!$H$20,$X396,0))</f>
        <v>0</v>
      </c>
      <c r="AG396" s="3">
        <f>IF('My investments'!$H$21="",0,IF('My investments'!$F396='My investments'!$H$21,$X396,0))</f>
        <v>0</v>
      </c>
      <c r="AH396" s="3">
        <f>IF('My investments'!$H$22="",0,IF('My investments'!$F396='My investments'!$H$22,$X396,0))</f>
        <v>0</v>
      </c>
      <c r="AI396" s="3">
        <f>IF('My investments'!$H$23="",0,IF('My investments'!$F396='My investments'!$H$23,$X396,0))</f>
        <v>0</v>
      </c>
      <c r="AJ396" s="3">
        <f>IF('My investments'!$H$24="",0,IF('My investments'!$F396='My investments'!$H$24,$X396,0))</f>
        <v>0</v>
      </c>
      <c r="AL396" s="3" t="str">
        <f>IF('My investments'!$B396="","",IF($D$10=0,"",IFERROR(INDEX('Index history'!$B$8:$B$5007,MATCH('My investments'!$B396,'Index history'!$A$8:$A$5007,1)),"")))</f>
        <v/>
      </c>
      <c r="AM396" s="3">
        <f>IF($AL396="",0,IF('My investments'!$D396="",0,IF('My investments'!$C396="Money in",'My investments'!$D396/$AL396,IF('My investments'!$C396="Money out",-'My investments'!$D396/$AL396,0))))</f>
        <v>0</v>
      </c>
    </row>
    <row r="397">
      <c r="X397" s="3">
        <f>IF('My investments'!$B397="",0,IF('My investments'!$E397="",0,'My investments'!$E397))</f>
        <v>0</v>
      </c>
      <c r="Y397" s="25">
        <f>IF('My investments'!$B397="",$D$8,'My investments'!$B397)</f>
        <v>0</v>
      </c>
      <c r="Z397" s="3">
        <f>IF('My investments'!$C397="Worth today",0,$X397)</f>
        <v>0</v>
      </c>
      <c r="AA397" s="3">
        <f>IF('My investments'!$H$15="",0,IF('My investments'!$F397='My investments'!$H$15,$X397,0))</f>
        <v>0</v>
      </c>
      <c r="AB397" s="3">
        <f>IF('My investments'!$H$16="",0,IF('My investments'!$F397='My investments'!$H$16,$X397,0))</f>
        <v>0</v>
      </c>
      <c r="AC397" s="3">
        <f>IF('My investments'!$H$17="",0,IF('My investments'!$F397='My investments'!$H$17,$X397,0))</f>
        <v>0</v>
      </c>
      <c r="AD397" s="3">
        <f>IF('My investments'!$H$18="",0,IF('My investments'!$F397='My investments'!$H$18,$X397,0))</f>
        <v>0</v>
      </c>
      <c r="AE397" s="3">
        <f>IF('My investments'!$H$19="",0,IF('My investments'!$F397='My investments'!$H$19,$X397,0))</f>
        <v>0</v>
      </c>
      <c r="AF397" s="3">
        <f>IF('My investments'!$H$20="",0,IF('My investments'!$F397='My investments'!$H$20,$X397,0))</f>
        <v>0</v>
      </c>
      <c r="AG397" s="3">
        <f>IF('My investments'!$H$21="",0,IF('My investments'!$F397='My investments'!$H$21,$X397,0))</f>
        <v>0</v>
      </c>
      <c r="AH397" s="3">
        <f>IF('My investments'!$H$22="",0,IF('My investments'!$F397='My investments'!$H$22,$X397,0))</f>
        <v>0</v>
      </c>
      <c r="AI397" s="3">
        <f>IF('My investments'!$H$23="",0,IF('My investments'!$F397='My investments'!$H$23,$X397,0))</f>
        <v>0</v>
      </c>
      <c r="AJ397" s="3">
        <f>IF('My investments'!$H$24="",0,IF('My investments'!$F397='My investments'!$H$24,$X397,0))</f>
        <v>0</v>
      </c>
      <c r="AL397" s="3" t="str">
        <f>IF('My investments'!$B397="","",IF($D$10=0,"",IFERROR(INDEX('Index history'!$B$8:$B$5007,MATCH('My investments'!$B397,'Index history'!$A$8:$A$5007,1)),"")))</f>
        <v/>
      </c>
      <c r="AM397" s="3">
        <f>IF($AL397="",0,IF('My investments'!$D397="",0,IF('My investments'!$C397="Money in",'My investments'!$D397/$AL397,IF('My investments'!$C397="Money out",-'My investments'!$D397/$AL397,0))))</f>
        <v>0</v>
      </c>
    </row>
    <row r="398">
      <c r="X398" s="3">
        <f>IF('My investments'!$B398="",0,IF('My investments'!$E398="",0,'My investments'!$E398))</f>
        <v>0</v>
      </c>
      <c r="Y398" s="25">
        <f>IF('My investments'!$B398="",$D$8,'My investments'!$B398)</f>
        <v>0</v>
      </c>
      <c r="Z398" s="3">
        <f>IF('My investments'!$C398="Worth today",0,$X398)</f>
        <v>0</v>
      </c>
      <c r="AA398" s="3">
        <f>IF('My investments'!$H$15="",0,IF('My investments'!$F398='My investments'!$H$15,$X398,0))</f>
        <v>0</v>
      </c>
      <c r="AB398" s="3">
        <f>IF('My investments'!$H$16="",0,IF('My investments'!$F398='My investments'!$H$16,$X398,0))</f>
        <v>0</v>
      </c>
      <c r="AC398" s="3">
        <f>IF('My investments'!$H$17="",0,IF('My investments'!$F398='My investments'!$H$17,$X398,0))</f>
        <v>0</v>
      </c>
      <c r="AD398" s="3">
        <f>IF('My investments'!$H$18="",0,IF('My investments'!$F398='My investments'!$H$18,$X398,0))</f>
        <v>0</v>
      </c>
      <c r="AE398" s="3">
        <f>IF('My investments'!$H$19="",0,IF('My investments'!$F398='My investments'!$H$19,$X398,0))</f>
        <v>0</v>
      </c>
      <c r="AF398" s="3">
        <f>IF('My investments'!$H$20="",0,IF('My investments'!$F398='My investments'!$H$20,$X398,0))</f>
        <v>0</v>
      </c>
      <c r="AG398" s="3">
        <f>IF('My investments'!$H$21="",0,IF('My investments'!$F398='My investments'!$H$21,$X398,0))</f>
        <v>0</v>
      </c>
      <c r="AH398" s="3">
        <f>IF('My investments'!$H$22="",0,IF('My investments'!$F398='My investments'!$H$22,$X398,0))</f>
        <v>0</v>
      </c>
      <c r="AI398" s="3">
        <f>IF('My investments'!$H$23="",0,IF('My investments'!$F398='My investments'!$H$23,$X398,0))</f>
        <v>0</v>
      </c>
      <c r="AJ398" s="3">
        <f>IF('My investments'!$H$24="",0,IF('My investments'!$F398='My investments'!$H$24,$X398,0))</f>
        <v>0</v>
      </c>
      <c r="AL398" s="3" t="str">
        <f>IF('My investments'!$B398="","",IF($D$10=0,"",IFERROR(INDEX('Index history'!$B$8:$B$5007,MATCH('My investments'!$B398,'Index history'!$A$8:$A$5007,1)),"")))</f>
        <v/>
      </c>
      <c r="AM398" s="3">
        <f>IF($AL398="",0,IF('My investments'!$D398="",0,IF('My investments'!$C398="Money in",'My investments'!$D398/$AL398,IF('My investments'!$C398="Money out",-'My investments'!$D398/$AL398,0))))</f>
        <v>0</v>
      </c>
    </row>
    <row r="399">
      <c r="X399" s="3">
        <f>IF('My investments'!$B399="",0,IF('My investments'!$E399="",0,'My investments'!$E399))</f>
        <v>0</v>
      </c>
      <c r="Y399" s="25">
        <f>IF('My investments'!$B399="",$D$8,'My investments'!$B399)</f>
        <v>0</v>
      </c>
      <c r="Z399" s="3">
        <f>IF('My investments'!$C399="Worth today",0,$X399)</f>
        <v>0</v>
      </c>
      <c r="AA399" s="3">
        <f>IF('My investments'!$H$15="",0,IF('My investments'!$F399='My investments'!$H$15,$X399,0))</f>
        <v>0</v>
      </c>
      <c r="AB399" s="3">
        <f>IF('My investments'!$H$16="",0,IF('My investments'!$F399='My investments'!$H$16,$X399,0))</f>
        <v>0</v>
      </c>
      <c r="AC399" s="3">
        <f>IF('My investments'!$H$17="",0,IF('My investments'!$F399='My investments'!$H$17,$X399,0))</f>
        <v>0</v>
      </c>
      <c r="AD399" s="3">
        <f>IF('My investments'!$H$18="",0,IF('My investments'!$F399='My investments'!$H$18,$X399,0))</f>
        <v>0</v>
      </c>
      <c r="AE399" s="3">
        <f>IF('My investments'!$H$19="",0,IF('My investments'!$F399='My investments'!$H$19,$X399,0))</f>
        <v>0</v>
      </c>
      <c r="AF399" s="3">
        <f>IF('My investments'!$H$20="",0,IF('My investments'!$F399='My investments'!$H$20,$X399,0))</f>
        <v>0</v>
      </c>
      <c r="AG399" s="3">
        <f>IF('My investments'!$H$21="",0,IF('My investments'!$F399='My investments'!$H$21,$X399,0))</f>
        <v>0</v>
      </c>
      <c r="AH399" s="3">
        <f>IF('My investments'!$H$22="",0,IF('My investments'!$F399='My investments'!$H$22,$X399,0))</f>
        <v>0</v>
      </c>
      <c r="AI399" s="3">
        <f>IF('My investments'!$H$23="",0,IF('My investments'!$F399='My investments'!$H$23,$X399,0))</f>
        <v>0</v>
      </c>
      <c r="AJ399" s="3">
        <f>IF('My investments'!$H$24="",0,IF('My investments'!$F399='My investments'!$H$24,$X399,0))</f>
        <v>0</v>
      </c>
      <c r="AL399" s="3" t="str">
        <f>IF('My investments'!$B399="","",IF($D$10=0,"",IFERROR(INDEX('Index history'!$B$8:$B$5007,MATCH('My investments'!$B399,'Index history'!$A$8:$A$5007,1)),"")))</f>
        <v/>
      </c>
      <c r="AM399" s="3">
        <f>IF($AL399="",0,IF('My investments'!$D399="",0,IF('My investments'!$C399="Money in",'My investments'!$D399/$AL399,IF('My investments'!$C399="Money out",-'My investments'!$D399/$AL399,0))))</f>
        <v>0</v>
      </c>
    </row>
    <row r="400">
      <c r="X400" s="3">
        <f>IF('My investments'!$B400="",0,IF('My investments'!$E400="",0,'My investments'!$E400))</f>
        <v>0</v>
      </c>
      <c r="Y400" s="25">
        <f>IF('My investments'!$B400="",$D$8,'My investments'!$B400)</f>
        <v>0</v>
      </c>
      <c r="Z400" s="3">
        <f>IF('My investments'!$C400="Worth today",0,$X400)</f>
        <v>0</v>
      </c>
      <c r="AA400" s="3">
        <f>IF('My investments'!$H$15="",0,IF('My investments'!$F400='My investments'!$H$15,$X400,0))</f>
        <v>0</v>
      </c>
      <c r="AB400" s="3">
        <f>IF('My investments'!$H$16="",0,IF('My investments'!$F400='My investments'!$H$16,$X400,0))</f>
        <v>0</v>
      </c>
      <c r="AC400" s="3">
        <f>IF('My investments'!$H$17="",0,IF('My investments'!$F400='My investments'!$H$17,$X400,0))</f>
        <v>0</v>
      </c>
      <c r="AD400" s="3">
        <f>IF('My investments'!$H$18="",0,IF('My investments'!$F400='My investments'!$H$18,$X400,0))</f>
        <v>0</v>
      </c>
      <c r="AE400" s="3">
        <f>IF('My investments'!$H$19="",0,IF('My investments'!$F400='My investments'!$H$19,$X400,0))</f>
        <v>0</v>
      </c>
      <c r="AF400" s="3">
        <f>IF('My investments'!$H$20="",0,IF('My investments'!$F400='My investments'!$H$20,$X400,0))</f>
        <v>0</v>
      </c>
      <c r="AG400" s="3">
        <f>IF('My investments'!$H$21="",0,IF('My investments'!$F400='My investments'!$H$21,$X400,0))</f>
        <v>0</v>
      </c>
      <c r="AH400" s="3">
        <f>IF('My investments'!$H$22="",0,IF('My investments'!$F400='My investments'!$H$22,$X400,0))</f>
        <v>0</v>
      </c>
      <c r="AI400" s="3">
        <f>IF('My investments'!$H$23="",0,IF('My investments'!$F400='My investments'!$H$23,$X400,0))</f>
        <v>0</v>
      </c>
      <c r="AJ400" s="3">
        <f>IF('My investments'!$H$24="",0,IF('My investments'!$F400='My investments'!$H$24,$X400,0))</f>
        <v>0</v>
      </c>
      <c r="AL400" s="3" t="str">
        <f>IF('My investments'!$B400="","",IF($D$10=0,"",IFERROR(INDEX('Index history'!$B$8:$B$5007,MATCH('My investments'!$B400,'Index history'!$A$8:$A$5007,1)),"")))</f>
        <v/>
      </c>
      <c r="AM400" s="3">
        <f>IF($AL400="",0,IF('My investments'!$D400="",0,IF('My investments'!$C400="Money in",'My investments'!$D400/$AL400,IF('My investments'!$C400="Money out",-'My investments'!$D400/$AL400,0))))</f>
        <v>0</v>
      </c>
    </row>
    <row r="401">
      <c r="X401" s="3">
        <f>IF('My investments'!$B401="",0,IF('My investments'!$E401="",0,'My investments'!$E401))</f>
        <v>0</v>
      </c>
      <c r="Y401" s="25">
        <f>IF('My investments'!$B401="",$D$8,'My investments'!$B401)</f>
        <v>0</v>
      </c>
      <c r="Z401" s="3">
        <f>IF('My investments'!$C401="Worth today",0,$X401)</f>
        <v>0</v>
      </c>
      <c r="AA401" s="3">
        <f>IF('My investments'!$H$15="",0,IF('My investments'!$F401='My investments'!$H$15,$X401,0))</f>
        <v>0</v>
      </c>
      <c r="AB401" s="3">
        <f>IF('My investments'!$H$16="",0,IF('My investments'!$F401='My investments'!$H$16,$X401,0))</f>
        <v>0</v>
      </c>
      <c r="AC401" s="3">
        <f>IF('My investments'!$H$17="",0,IF('My investments'!$F401='My investments'!$H$17,$X401,0))</f>
        <v>0</v>
      </c>
      <c r="AD401" s="3">
        <f>IF('My investments'!$H$18="",0,IF('My investments'!$F401='My investments'!$H$18,$X401,0))</f>
        <v>0</v>
      </c>
      <c r="AE401" s="3">
        <f>IF('My investments'!$H$19="",0,IF('My investments'!$F401='My investments'!$H$19,$X401,0))</f>
        <v>0</v>
      </c>
      <c r="AF401" s="3">
        <f>IF('My investments'!$H$20="",0,IF('My investments'!$F401='My investments'!$H$20,$X401,0))</f>
        <v>0</v>
      </c>
      <c r="AG401" s="3">
        <f>IF('My investments'!$H$21="",0,IF('My investments'!$F401='My investments'!$H$21,$X401,0))</f>
        <v>0</v>
      </c>
      <c r="AH401" s="3">
        <f>IF('My investments'!$H$22="",0,IF('My investments'!$F401='My investments'!$H$22,$X401,0))</f>
        <v>0</v>
      </c>
      <c r="AI401" s="3">
        <f>IF('My investments'!$H$23="",0,IF('My investments'!$F401='My investments'!$H$23,$X401,0))</f>
        <v>0</v>
      </c>
      <c r="AJ401" s="3">
        <f>IF('My investments'!$H$24="",0,IF('My investments'!$F401='My investments'!$H$24,$X401,0))</f>
        <v>0</v>
      </c>
      <c r="AL401" s="3" t="str">
        <f>IF('My investments'!$B401="","",IF($D$10=0,"",IFERROR(INDEX('Index history'!$B$8:$B$5007,MATCH('My investments'!$B401,'Index history'!$A$8:$A$5007,1)),"")))</f>
        <v/>
      </c>
      <c r="AM401" s="3">
        <f>IF($AL401="",0,IF('My investments'!$D401="",0,IF('My investments'!$C401="Money in",'My investments'!$D401/$AL401,IF('My investments'!$C401="Money out",-'My investments'!$D401/$AL401,0))))</f>
        <v>0</v>
      </c>
    </row>
    <row r="402">
      <c r="X402" s="3">
        <f>IF('My investments'!$B402="",0,IF('My investments'!$E402="",0,'My investments'!$E402))</f>
        <v>0</v>
      </c>
      <c r="Y402" s="25">
        <f>IF('My investments'!$B402="",$D$8,'My investments'!$B402)</f>
        <v>0</v>
      </c>
      <c r="Z402" s="3">
        <f>IF('My investments'!$C402="Worth today",0,$X402)</f>
        <v>0</v>
      </c>
      <c r="AA402" s="3">
        <f>IF('My investments'!$H$15="",0,IF('My investments'!$F402='My investments'!$H$15,$X402,0))</f>
        <v>0</v>
      </c>
      <c r="AB402" s="3">
        <f>IF('My investments'!$H$16="",0,IF('My investments'!$F402='My investments'!$H$16,$X402,0))</f>
        <v>0</v>
      </c>
      <c r="AC402" s="3">
        <f>IF('My investments'!$H$17="",0,IF('My investments'!$F402='My investments'!$H$17,$X402,0))</f>
        <v>0</v>
      </c>
      <c r="AD402" s="3">
        <f>IF('My investments'!$H$18="",0,IF('My investments'!$F402='My investments'!$H$18,$X402,0))</f>
        <v>0</v>
      </c>
      <c r="AE402" s="3">
        <f>IF('My investments'!$H$19="",0,IF('My investments'!$F402='My investments'!$H$19,$X402,0))</f>
        <v>0</v>
      </c>
      <c r="AF402" s="3">
        <f>IF('My investments'!$H$20="",0,IF('My investments'!$F402='My investments'!$H$20,$X402,0))</f>
        <v>0</v>
      </c>
      <c r="AG402" s="3">
        <f>IF('My investments'!$H$21="",0,IF('My investments'!$F402='My investments'!$H$21,$X402,0))</f>
        <v>0</v>
      </c>
      <c r="AH402" s="3">
        <f>IF('My investments'!$H$22="",0,IF('My investments'!$F402='My investments'!$H$22,$X402,0))</f>
        <v>0</v>
      </c>
      <c r="AI402" s="3">
        <f>IF('My investments'!$H$23="",0,IF('My investments'!$F402='My investments'!$H$23,$X402,0))</f>
        <v>0</v>
      </c>
      <c r="AJ402" s="3">
        <f>IF('My investments'!$H$24="",0,IF('My investments'!$F402='My investments'!$H$24,$X402,0))</f>
        <v>0</v>
      </c>
      <c r="AL402" s="3" t="str">
        <f>IF('My investments'!$B402="","",IF($D$10=0,"",IFERROR(INDEX('Index history'!$B$8:$B$5007,MATCH('My investments'!$B402,'Index history'!$A$8:$A$5007,1)),"")))</f>
        <v/>
      </c>
      <c r="AM402" s="3">
        <f>IF($AL402="",0,IF('My investments'!$D402="",0,IF('My investments'!$C402="Money in",'My investments'!$D402/$AL402,IF('My investments'!$C402="Money out",-'My investments'!$D402/$AL402,0))))</f>
        <v>0</v>
      </c>
    </row>
    <row r="403">
      <c r="X403" s="3">
        <f>IF('My investments'!$B403="",0,IF('My investments'!$E403="",0,'My investments'!$E403))</f>
        <v>0</v>
      </c>
      <c r="Y403" s="25">
        <f>IF('My investments'!$B403="",$D$8,'My investments'!$B403)</f>
        <v>0</v>
      </c>
      <c r="Z403" s="3">
        <f>IF('My investments'!$C403="Worth today",0,$X403)</f>
        <v>0</v>
      </c>
      <c r="AA403" s="3">
        <f>IF('My investments'!$H$15="",0,IF('My investments'!$F403='My investments'!$H$15,$X403,0))</f>
        <v>0</v>
      </c>
      <c r="AB403" s="3">
        <f>IF('My investments'!$H$16="",0,IF('My investments'!$F403='My investments'!$H$16,$X403,0))</f>
        <v>0</v>
      </c>
      <c r="AC403" s="3">
        <f>IF('My investments'!$H$17="",0,IF('My investments'!$F403='My investments'!$H$17,$X403,0))</f>
        <v>0</v>
      </c>
      <c r="AD403" s="3">
        <f>IF('My investments'!$H$18="",0,IF('My investments'!$F403='My investments'!$H$18,$X403,0))</f>
        <v>0</v>
      </c>
      <c r="AE403" s="3">
        <f>IF('My investments'!$H$19="",0,IF('My investments'!$F403='My investments'!$H$19,$X403,0))</f>
        <v>0</v>
      </c>
      <c r="AF403" s="3">
        <f>IF('My investments'!$H$20="",0,IF('My investments'!$F403='My investments'!$H$20,$X403,0))</f>
        <v>0</v>
      </c>
      <c r="AG403" s="3">
        <f>IF('My investments'!$H$21="",0,IF('My investments'!$F403='My investments'!$H$21,$X403,0))</f>
        <v>0</v>
      </c>
      <c r="AH403" s="3">
        <f>IF('My investments'!$H$22="",0,IF('My investments'!$F403='My investments'!$H$22,$X403,0))</f>
        <v>0</v>
      </c>
      <c r="AI403" s="3">
        <f>IF('My investments'!$H$23="",0,IF('My investments'!$F403='My investments'!$H$23,$X403,0))</f>
        <v>0</v>
      </c>
      <c r="AJ403" s="3">
        <f>IF('My investments'!$H$24="",0,IF('My investments'!$F403='My investments'!$H$24,$X403,0))</f>
        <v>0</v>
      </c>
      <c r="AL403" s="3" t="str">
        <f>IF('My investments'!$B403="","",IF($D$10=0,"",IFERROR(INDEX('Index history'!$B$8:$B$5007,MATCH('My investments'!$B403,'Index history'!$A$8:$A$5007,1)),"")))</f>
        <v/>
      </c>
      <c r="AM403" s="3">
        <f>IF($AL403="",0,IF('My investments'!$D403="",0,IF('My investments'!$C403="Money in",'My investments'!$D403/$AL403,IF('My investments'!$C403="Money out",-'My investments'!$D403/$AL403,0))))</f>
        <v>0</v>
      </c>
    </row>
    <row r="404">
      <c r="X404" s="3">
        <f>IF('My investments'!$B404="",0,IF('My investments'!$E404="",0,'My investments'!$E404))</f>
        <v>0</v>
      </c>
      <c r="Y404" s="25">
        <f>IF('My investments'!$B404="",$D$8,'My investments'!$B404)</f>
        <v>0</v>
      </c>
      <c r="Z404" s="3">
        <f>IF('My investments'!$C404="Worth today",0,$X404)</f>
        <v>0</v>
      </c>
      <c r="AA404" s="3">
        <f>IF('My investments'!$H$15="",0,IF('My investments'!$F404='My investments'!$H$15,$X404,0))</f>
        <v>0</v>
      </c>
      <c r="AB404" s="3">
        <f>IF('My investments'!$H$16="",0,IF('My investments'!$F404='My investments'!$H$16,$X404,0))</f>
        <v>0</v>
      </c>
      <c r="AC404" s="3">
        <f>IF('My investments'!$H$17="",0,IF('My investments'!$F404='My investments'!$H$17,$X404,0))</f>
        <v>0</v>
      </c>
      <c r="AD404" s="3">
        <f>IF('My investments'!$H$18="",0,IF('My investments'!$F404='My investments'!$H$18,$X404,0))</f>
        <v>0</v>
      </c>
      <c r="AE404" s="3">
        <f>IF('My investments'!$H$19="",0,IF('My investments'!$F404='My investments'!$H$19,$X404,0))</f>
        <v>0</v>
      </c>
      <c r="AF404" s="3">
        <f>IF('My investments'!$H$20="",0,IF('My investments'!$F404='My investments'!$H$20,$X404,0))</f>
        <v>0</v>
      </c>
      <c r="AG404" s="3">
        <f>IF('My investments'!$H$21="",0,IF('My investments'!$F404='My investments'!$H$21,$X404,0))</f>
        <v>0</v>
      </c>
      <c r="AH404" s="3">
        <f>IF('My investments'!$H$22="",0,IF('My investments'!$F404='My investments'!$H$22,$X404,0))</f>
        <v>0</v>
      </c>
      <c r="AI404" s="3">
        <f>IF('My investments'!$H$23="",0,IF('My investments'!$F404='My investments'!$H$23,$X404,0))</f>
        <v>0</v>
      </c>
      <c r="AJ404" s="3">
        <f>IF('My investments'!$H$24="",0,IF('My investments'!$F404='My investments'!$H$24,$X404,0))</f>
        <v>0</v>
      </c>
      <c r="AL404" s="3" t="str">
        <f>IF('My investments'!$B404="","",IF($D$10=0,"",IFERROR(INDEX('Index history'!$B$8:$B$5007,MATCH('My investments'!$B404,'Index history'!$A$8:$A$5007,1)),"")))</f>
        <v/>
      </c>
      <c r="AM404" s="3">
        <f>IF($AL404="",0,IF('My investments'!$D404="",0,IF('My investments'!$C404="Money in",'My investments'!$D404/$AL404,IF('My investments'!$C404="Money out",-'My investments'!$D404/$AL404,0))))</f>
        <v>0</v>
      </c>
    </row>
    <row r="405">
      <c r="X405" s="3">
        <f>IF('My investments'!$B405="",0,IF('My investments'!$E405="",0,'My investments'!$E405))</f>
        <v>0</v>
      </c>
      <c r="Y405" s="25">
        <f>IF('My investments'!$B405="",$D$8,'My investments'!$B405)</f>
        <v>0</v>
      </c>
      <c r="Z405" s="3">
        <f>IF('My investments'!$C405="Worth today",0,$X405)</f>
        <v>0</v>
      </c>
      <c r="AA405" s="3">
        <f>IF('My investments'!$H$15="",0,IF('My investments'!$F405='My investments'!$H$15,$X405,0))</f>
        <v>0</v>
      </c>
      <c r="AB405" s="3">
        <f>IF('My investments'!$H$16="",0,IF('My investments'!$F405='My investments'!$H$16,$X405,0))</f>
        <v>0</v>
      </c>
      <c r="AC405" s="3">
        <f>IF('My investments'!$H$17="",0,IF('My investments'!$F405='My investments'!$H$17,$X405,0))</f>
        <v>0</v>
      </c>
      <c r="AD405" s="3">
        <f>IF('My investments'!$H$18="",0,IF('My investments'!$F405='My investments'!$H$18,$X405,0))</f>
        <v>0</v>
      </c>
      <c r="AE405" s="3">
        <f>IF('My investments'!$H$19="",0,IF('My investments'!$F405='My investments'!$H$19,$X405,0))</f>
        <v>0</v>
      </c>
      <c r="AF405" s="3">
        <f>IF('My investments'!$H$20="",0,IF('My investments'!$F405='My investments'!$H$20,$X405,0))</f>
        <v>0</v>
      </c>
      <c r="AG405" s="3">
        <f>IF('My investments'!$H$21="",0,IF('My investments'!$F405='My investments'!$H$21,$X405,0))</f>
        <v>0</v>
      </c>
      <c r="AH405" s="3">
        <f>IF('My investments'!$H$22="",0,IF('My investments'!$F405='My investments'!$H$22,$X405,0))</f>
        <v>0</v>
      </c>
      <c r="AI405" s="3">
        <f>IF('My investments'!$H$23="",0,IF('My investments'!$F405='My investments'!$H$23,$X405,0))</f>
        <v>0</v>
      </c>
      <c r="AJ405" s="3">
        <f>IF('My investments'!$H$24="",0,IF('My investments'!$F405='My investments'!$H$24,$X405,0))</f>
        <v>0</v>
      </c>
      <c r="AL405" s="3" t="str">
        <f>IF('My investments'!$B405="","",IF($D$10=0,"",IFERROR(INDEX('Index history'!$B$8:$B$5007,MATCH('My investments'!$B405,'Index history'!$A$8:$A$5007,1)),"")))</f>
        <v/>
      </c>
      <c r="AM405" s="3">
        <f>IF($AL405="",0,IF('My investments'!$D405="",0,IF('My investments'!$C405="Money in",'My investments'!$D405/$AL405,IF('My investments'!$C405="Money out",-'My investments'!$D405/$AL405,0))))</f>
        <v>0</v>
      </c>
    </row>
    <row r="406">
      <c r="X406" s="3">
        <f>IF('My investments'!$B406="",0,IF('My investments'!$E406="",0,'My investments'!$E406))</f>
        <v>0</v>
      </c>
      <c r="Y406" s="25">
        <f>IF('My investments'!$B406="",$D$8,'My investments'!$B406)</f>
        <v>0</v>
      </c>
      <c r="Z406" s="3">
        <f>IF('My investments'!$C406="Worth today",0,$X406)</f>
        <v>0</v>
      </c>
      <c r="AA406" s="3">
        <f>IF('My investments'!$H$15="",0,IF('My investments'!$F406='My investments'!$H$15,$X406,0))</f>
        <v>0</v>
      </c>
      <c r="AB406" s="3">
        <f>IF('My investments'!$H$16="",0,IF('My investments'!$F406='My investments'!$H$16,$X406,0))</f>
        <v>0</v>
      </c>
      <c r="AC406" s="3">
        <f>IF('My investments'!$H$17="",0,IF('My investments'!$F406='My investments'!$H$17,$X406,0))</f>
        <v>0</v>
      </c>
      <c r="AD406" s="3">
        <f>IF('My investments'!$H$18="",0,IF('My investments'!$F406='My investments'!$H$18,$X406,0))</f>
        <v>0</v>
      </c>
      <c r="AE406" s="3">
        <f>IF('My investments'!$H$19="",0,IF('My investments'!$F406='My investments'!$H$19,$X406,0))</f>
        <v>0</v>
      </c>
      <c r="AF406" s="3">
        <f>IF('My investments'!$H$20="",0,IF('My investments'!$F406='My investments'!$H$20,$X406,0))</f>
        <v>0</v>
      </c>
      <c r="AG406" s="3">
        <f>IF('My investments'!$H$21="",0,IF('My investments'!$F406='My investments'!$H$21,$X406,0))</f>
        <v>0</v>
      </c>
      <c r="AH406" s="3">
        <f>IF('My investments'!$H$22="",0,IF('My investments'!$F406='My investments'!$H$22,$X406,0))</f>
        <v>0</v>
      </c>
      <c r="AI406" s="3">
        <f>IF('My investments'!$H$23="",0,IF('My investments'!$F406='My investments'!$H$23,$X406,0))</f>
        <v>0</v>
      </c>
      <c r="AJ406" s="3">
        <f>IF('My investments'!$H$24="",0,IF('My investments'!$F406='My investments'!$H$24,$X406,0))</f>
        <v>0</v>
      </c>
      <c r="AL406" s="3" t="str">
        <f>IF('My investments'!$B406="","",IF($D$10=0,"",IFERROR(INDEX('Index history'!$B$8:$B$5007,MATCH('My investments'!$B406,'Index history'!$A$8:$A$5007,1)),"")))</f>
        <v/>
      </c>
      <c r="AM406" s="3">
        <f>IF($AL406="",0,IF('My investments'!$D406="",0,IF('My investments'!$C406="Money in",'My investments'!$D406/$AL406,IF('My investments'!$C406="Money out",-'My investments'!$D406/$AL406,0))))</f>
        <v>0</v>
      </c>
    </row>
    <row r="407">
      <c r="X407" s="3">
        <f>IF('My investments'!$B407="",0,IF('My investments'!$E407="",0,'My investments'!$E407))</f>
        <v>0</v>
      </c>
      <c r="Y407" s="25">
        <f>IF('My investments'!$B407="",$D$8,'My investments'!$B407)</f>
        <v>0</v>
      </c>
      <c r="Z407" s="3">
        <f>IF('My investments'!$C407="Worth today",0,$X407)</f>
        <v>0</v>
      </c>
      <c r="AA407" s="3">
        <f>IF('My investments'!$H$15="",0,IF('My investments'!$F407='My investments'!$H$15,$X407,0))</f>
        <v>0</v>
      </c>
      <c r="AB407" s="3">
        <f>IF('My investments'!$H$16="",0,IF('My investments'!$F407='My investments'!$H$16,$X407,0))</f>
        <v>0</v>
      </c>
      <c r="AC407" s="3">
        <f>IF('My investments'!$H$17="",0,IF('My investments'!$F407='My investments'!$H$17,$X407,0))</f>
        <v>0</v>
      </c>
      <c r="AD407" s="3">
        <f>IF('My investments'!$H$18="",0,IF('My investments'!$F407='My investments'!$H$18,$X407,0))</f>
        <v>0</v>
      </c>
      <c r="AE407" s="3">
        <f>IF('My investments'!$H$19="",0,IF('My investments'!$F407='My investments'!$H$19,$X407,0))</f>
        <v>0</v>
      </c>
      <c r="AF407" s="3">
        <f>IF('My investments'!$H$20="",0,IF('My investments'!$F407='My investments'!$H$20,$X407,0))</f>
        <v>0</v>
      </c>
      <c r="AG407" s="3">
        <f>IF('My investments'!$H$21="",0,IF('My investments'!$F407='My investments'!$H$21,$X407,0))</f>
        <v>0</v>
      </c>
      <c r="AH407" s="3">
        <f>IF('My investments'!$H$22="",0,IF('My investments'!$F407='My investments'!$H$22,$X407,0))</f>
        <v>0</v>
      </c>
      <c r="AI407" s="3">
        <f>IF('My investments'!$H$23="",0,IF('My investments'!$F407='My investments'!$H$23,$X407,0))</f>
        <v>0</v>
      </c>
      <c r="AJ407" s="3">
        <f>IF('My investments'!$H$24="",0,IF('My investments'!$F407='My investments'!$H$24,$X407,0))</f>
        <v>0</v>
      </c>
      <c r="AL407" s="3" t="str">
        <f>IF('My investments'!$B407="","",IF($D$10=0,"",IFERROR(INDEX('Index history'!$B$8:$B$5007,MATCH('My investments'!$B407,'Index history'!$A$8:$A$5007,1)),"")))</f>
        <v/>
      </c>
      <c r="AM407" s="3">
        <f>IF($AL407="",0,IF('My investments'!$D407="",0,IF('My investments'!$C407="Money in",'My investments'!$D407/$AL407,IF('My investments'!$C407="Money out",-'My investments'!$D407/$AL407,0))))</f>
        <v>0</v>
      </c>
    </row>
    <row r="408">
      <c r="X408" s="3">
        <f>IF('My investments'!$B408="",0,IF('My investments'!$E408="",0,'My investments'!$E408))</f>
        <v>0</v>
      </c>
      <c r="Y408" s="25">
        <f>IF('My investments'!$B408="",$D$8,'My investments'!$B408)</f>
        <v>0</v>
      </c>
      <c r="Z408" s="3">
        <f>IF('My investments'!$C408="Worth today",0,$X408)</f>
        <v>0</v>
      </c>
      <c r="AA408" s="3">
        <f>IF('My investments'!$H$15="",0,IF('My investments'!$F408='My investments'!$H$15,$X408,0))</f>
        <v>0</v>
      </c>
      <c r="AB408" s="3">
        <f>IF('My investments'!$H$16="",0,IF('My investments'!$F408='My investments'!$H$16,$X408,0))</f>
        <v>0</v>
      </c>
      <c r="AC408" s="3">
        <f>IF('My investments'!$H$17="",0,IF('My investments'!$F408='My investments'!$H$17,$X408,0))</f>
        <v>0</v>
      </c>
      <c r="AD408" s="3">
        <f>IF('My investments'!$H$18="",0,IF('My investments'!$F408='My investments'!$H$18,$X408,0))</f>
        <v>0</v>
      </c>
      <c r="AE408" s="3">
        <f>IF('My investments'!$H$19="",0,IF('My investments'!$F408='My investments'!$H$19,$X408,0))</f>
        <v>0</v>
      </c>
      <c r="AF408" s="3">
        <f>IF('My investments'!$H$20="",0,IF('My investments'!$F408='My investments'!$H$20,$X408,0))</f>
        <v>0</v>
      </c>
      <c r="AG408" s="3">
        <f>IF('My investments'!$H$21="",0,IF('My investments'!$F408='My investments'!$H$21,$X408,0))</f>
        <v>0</v>
      </c>
      <c r="AH408" s="3">
        <f>IF('My investments'!$H$22="",0,IF('My investments'!$F408='My investments'!$H$22,$X408,0))</f>
        <v>0</v>
      </c>
      <c r="AI408" s="3">
        <f>IF('My investments'!$H$23="",0,IF('My investments'!$F408='My investments'!$H$23,$X408,0))</f>
        <v>0</v>
      </c>
      <c r="AJ408" s="3">
        <f>IF('My investments'!$H$24="",0,IF('My investments'!$F408='My investments'!$H$24,$X408,0))</f>
        <v>0</v>
      </c>
      <c r="AL408" s="3" t="str">
        <f>IF('My investments'!$B408="","",IF($D$10=0,"",IFERROR(INDEX('Index history'!$B$8:$B$5007,MATCH('My investments'!$B408,'Index history'!$A$8:$A$5007,1)),"")))</f>
        <v/>
      </c>
      <c r="AM408" s="3">
        <f>IF($AL408="",0,IF('My investments'!$D408="",0,IF('My investments'!$C408="Money in",'My investments'!$D408/$AL408,IF('My investments'!$C408="Money out",-'My investments'!$D408/$AL408,0))))</f>
        <v>0</v>
      </c>
    </row>
    <row r="409">
      <c r="X409" s="3">
        <f>IF('My investments'!$B409="",0,IF('My investments'!$E409="",0,'My investments'!$E409))</f>
        <v>0</v>
      </c>
      <c r="Y409" s="25">
        <f>IF('My investments'!$B409="",$D$8,'My investments'!$B409)</f>
        <v>0</v>
      </c>
      <c r="Z409" s="3">
        <f>IF('My investments'!$C409="Worth today",0,$X409)</f>
        <v>0</v>
      </c>
      <c r="AA409" s="3">
        <f>IF('My investments'!$H$15="",0,IF('My investments'!$F409='My investments'!$H$15,$X409,0))</f>
        <v>0</v>
      </c>
      <c r="AB409" s="3">
        <f>IF('My investments'!$H$16="",0,IF('My investments'!$F409='My investments'!$H$16,$X409,0))</f>
        <v>0</v>
      </c>
      <c r="AC409" s="3">
        <f>IF('My investments'!$H$17="",0,IF('My investments'!$F409='My investments'!$H$17,$X409,0))</f>
        <v>0</v>
      </c>
      <c r="AD409" s="3">
        <f>IF('My investments'!$H$18="",0,IF('My investments'!$F409='My investments'!$H$18,$X409,0))</f>
        <v>0</v>
      </c>
      <c r="AE409" s="3">
        <f>IF('My investments'!$H$19="",0,IF('My investments'!$F409='My investments'!$H$19,$X409,0))</f>
        <v>0</v>
      </c>
      <c r="AF409" s="3">
        <f>IF('My investments'!$H$20="",0,IF('My investments'!$F409='My investments'!$H$20,$X409,0))</f>
        <v>0</v>
      </c>
      <c r="AG409" s="3">
        <f>IF('My investments'!$H$21="",0,IF('My investments'!$F409='My investments'!$H$21,$X409,0))</f>
        <v>0</v>
      </c>
      <c r="AH409" s="3">
        <f>IF('My investments'!$H$22="",0,IF('My investments'!$F409='My investments'!$H$22,$X409,0))</f>
        <v>0</v>
      </c>
      <c r="AI409" s="3">
        <f>IF('My investments'!$H$23="",0,IF('My investments'!$F409='My investments'!$H$23,$X409,0))</f>
        <v>0</v>
      </c>
      <c r="AJ409" s="3">
        <f>IF('My investments'!$H$24="",0,IF('My investments'!$F409='My investments'!$H$24,$X409,0))</f>
        <v>0</v>
      </c>
      <c r="AL409" s="3" t="str">
        <f>IF('My investments'!$B409="","",IF($D$10=0,"",IFERROR(INDEX('Index history'!$B$8:$B$5007,MATCH('My investments'!$B409,'Index history'!$A$8:$A$5007,1)),"")))</f>
        <v/>
      </c>
      <c r="AM409" s="3">
        <f>IF($AL409="",0,IF('My investments'!$D409="",0,IF('My investments'!$C409="Money in",'My investments'!$D409/$AL409,IF('My investments'!$C409="Money out",-'My investments'!$D409/$AL409,0))))</f>
        <v>0</v>
      </c>
    </row>
    <row r="410">
      <c r="X410" s="3">
        <f>IF('My investments'!$B410="",0,IF('My investments'!$E410="",0,'My investments'!$E410))</f>
        <v>0</v>
      </c>
      <c r="Y410" s="25">
        <f>IF('My investments'!$B410="",$D$8,'My investments'!$B410)</f>
        <v>0</v>
      </c>
      <c r="Z410" s="3">
        <f>IF('My investments'!$C410="Worth today",0,$X410)</f>
        <v>0</v>
      </c>
      <c r="AA410" s="3">
        <f>IF('My investments'!$H$15="",0,IF('My investments'!$F410='My investments'!$H$15,$X410,0))</f>
        <v>0</v>
      </c>
      <c r="AB410" s="3">
        <f>IF('My investments'!$H$16="",0,IF('My investments'!$F410='My investments'!$H$16,$X410,0))</f>
        <v>0</v>
      </c>
      <c r="AC410" s="3">
        <f>IF('My investments'!$H$17="",0,IF('My investments'!$F410='My investments'!$H$17,$X410,0))</f>
        <v>0</v>
      </c>
      <c r="AD410" s="3">
        <f>IF('My investments'!$H$18="",0,IF('My investments'!$F410='My investments'!$H$18,$X410,0))</f>
        <v>0</v>
      </c>
      <c r="AE410" s="3">
        <f>IF('My investments'!$H$19="",0,IF('My investments'!$F410='My investments'!$H$19,$X410,0))</f>
        <v>0</v>
      </c>
      <c r="AF410" s="3">
        <f>IF('My investments'!$H$20="",0,IF('My investments'!$F410='My investments'!$H$20,$X410,0))</f>
        <v>0</v>
      </c>
      <c r="AG410" s="3">
        <f>IF('My investments'!$H$21="",0,IF('My investments'!$F410='My investments'!$H$21,$X410,0))</f>
        <v>0</v>
      </c>
      <c r="AH410" s="3">
        <f>IF('My investments'!$H$22="",0,IF('My investments'!$F410='My investments'!$H$22,$X410,0))</f>
        <v>0</v>
      </c>
      <c r="AI410" s="3">
        <f>IF('My investments'!$H$23="",0,IF('My investments'!$F410='My investments'!$H$23,$X410,0))</f>
        <v>0</v>
      </c>
      <c r="AJ410" s="3">
        <f>IF('My investments'!$H$24="",0,IF('My investments'!$F410='My investments'!$H$24,$X410,0))</f>
        <v>0</v>
      </c>
      <c r="AL410" s="3" t="str">
        <f>IF('My investments'!$B410="","",IF($D$10=0,"",IFERROR(INDEX('Index history'!$B$8:$B$5007,MATCH('My investments'!$B410,'Index history'!$A$8:$A$5007,1)),"")))</f>
        <v/>
      </c>
      <c r="AM410" s="3">
        <f>IF($AL410="",0,IF('My investments'!$D410="",0,IF('My investments'!$C410="Money in",'My investments'!$D410/$AL410,IF('My investments'!$C410="Money out",-'My investments'!$D410/$AL410,0))))</f>
        <v>0</v>
      </c>
    </row>
    <row r="411">
      <c r="X411" s="3">
        <f>IF('My investments'!$B411="",0,IF('My investments'!$E411="",0,'My investments'!$E411))</f>
        <v>0</v>
      </c>
      <c r="Y411" s="25">
        <f>IF('My investments'!$B411="",$D$8,'My investments'!$B411)</f>
        <v>0</v>
      </c>
      <c r="Z411" s="3">
        <f>IF('My investments'!$C411="Worth today",0,$X411)</f>
        <v>0</v>
      </c>
      <c r="AA411" s="3">
        <f>IF('My investments'!$H$15="",0,IF('My investments'!$F411='My investments'!$H$15,$X411,0))</f>
        <v>0</v>
      </c>
      <c r="AB411" s="3">
        <f>IF('My investments'!$H$16="",0,IF('My investments'!$F411='My investments'!$H$16,$X411,0))</f>
        <v>0</v>
      </c>
      <c r="AC411" s="3">
        <f>IF('My investments'!$H$17="",0,IF('My investments'!$F411='My investments'!$H$17,$X411,0))</f>
        <v>0</v>
      </c>
      <c r="AD411" s="3">
        <f>IF('My investments'!$H$18="",0,IF('My investments'!$F411='My investments'!$H$18,$X411,0))</f>
        <v>0</v>
      </c>
      <c r="AE411" s="3">
        <f>IF('My investments'!$H$19="",0,IF('My investments'!$F411='My investments'!$H$19,$X411,0))</f>
        <v>0</v>
      </c>
      <c r="AF411" s="3">
        <f>IF('My investments'!$H$20="",0,IF('My investments'!$F411='My investments'!$H$20,$X411,0))</f>
        <v>0</v>
      </c>
      <c r="AG411" s="3">
        <f>IF('My investments'!$H$21="",0,IF('My investments'!$F411='My investments'!$H$21,$X411,0))</f>
        <v>0</v>
      </c>
      <c r="AH411" s="3">
        <f>IF('My investments'!$H$22="",0,IF('My investments'!$F411='My investments'!$H$22,$X411,0))</f>
        <v>0</v>
      </c>
      <c r="AI411" s="3">
        <f>IF('My investments'!$H$23="",0,IF('My investments'!$F411='My investments'!$H$23,$X411,0))</f>
        <v>0</v>
      </c>
      <c r="AJ411" s="3">
        <f>IF('My investments'!$H$24="",0,IF('My investments'!$F411='My investments'!$H$24,$X411,0))</f>
        <v>0</v>
      </c>
      <c r="AL411" s="3" t="str">
        <f>IF('My investments'!$B411="","",IF($D$10=0,"",IFERROR(INDEX('Index history'!$B$8:$B$5007,MATCH('My investments'!$B411,'Index history'!$A$8:$A$5007,1)),"")))</f>
        <v/>
      </c>
      <c r="AM411" s="3">
        <f>IF($AL411="",0,IF('My investments'!$D411="",0,IF('My investments'!$C411="Money in",'My investments'!$D411/$AL411,IF('My investments'!$C411="Money out",-'My investments'!$D411/$AL411,0))))</f>
        <v>0</v>
      </c>
    </row>
    <row r="412">
      <c r="X412" s="3">
        <f>IF('My investments'!$B412="",0,IF('My investments'!$E412="",0,'My investments'!$E412))</f>
        <v>0</v>
      </c>
      <c r="Y412" s="25">
        <f>IF('My investments'!$B412="",$D$8,'My investments'!$B412)</f>
        <v>0</v>
      </c>
      <c r="Z412" s="3">
        <f>IF('My investments'!$C412="Worth today",0,$X412)</f>
        <v>0</v>
      </c>
      <c r="AA412" s="3">
        <f>IF('My investments'!$H$15="",0,IF('My investments'!$F412='My investments'!$H$15,$X412,0))</f>
        <v>0</v>
      </c>
      <c r="AB412" s="3">
        <f>IF('My investments'!$H$16="",0,IF('My investments'!$F412='My investments'!$H$16,$X412,0))</f>
        <v>0</v>
      </c>
      <c r="AC412" s="3">
        <f>IF('My investments'!$H$17="",0,IF('My investments'!$F412='My investments'!$H$17,$X412,0))</f>
        <v>0</v>
      </c>
      <c r="AD412" s="3">
        <f>IF('My investments'!$H$18="",0,IF('My investments'!$F412='My investments'!$H$18,$X412,0))</f>
        <v>0</v>
      </c>
      <c r="AE412" s="3">
        <f>IF('My investments'!$H$19="",0,IF('My investments'!$F412='My investments'!$H$19,$X412,0))</f>
        <v>0</v>
      </c>
      <c r="AF412" s="3">
        <f>IF('My investments'!$H$20="",0,IF('My investments'!$F412='My investments'!$H$20,$X412,0))</f>
        <v>0</v>
      </c>
      <c r="AG412" s="3">
        <f>IF('My investments'!$H$21="",0,IF('My investments'!$F412='My investments'!$H$21,$X412,0))</f>
        <v>0</v>
      </c>
      <c r="AH412" s="3">
        <f>IF('My investments'!$H$22="",0,IF('My investments'!$F412='My investments'!$H$22,$X412,0))</f>
        <v>0</v>
      </c>
      <c r="AI412" s="3">
        <f>IF('My investments'!$H$23="",0,IF('My investments'!$F412='My investments'!$H$23,$X412,0))</f>
        <v>0</v>
      </c>
      <c r="AJ412" s="3">
        <f>IF('My investments'!$H$24="",0,IF('My investments'!$F412='My investments'!$H$24,$X412,0))</f>
        <v>0</v>
      </c>
      <c r="AL412" s="3" t="str">
        <f>IF('My investments'!$B412="","",IF($D$10=0,"",IFERROR(INDEX('Index history'!$B$8:$B$5007,MATCH('My investments'!$B412,'Index history'!$A$8:$A$5007,1)),"")))</f>
        <v/>
      </c>
      <c r="AM412" s="3">
        <f>IF($AL412="",0,IF('My investments'!$D412="",0,IF('My investments'!$C412="Money in",'My investments'!$D412/$AL412,IF('My investments'!$C412="Money out",-'My investments'!$D412/$AL412,0))))</f>
        <v>0</v>
      </c>
    </row>
    <row r="413">
      <c r="X413" s="3">
        <f>IF('My investments'!$B413="",0,IF('My investments'!$E413="",0,'My investments'!$E413))</f>
        <v>0</v>
      </c>
      <c r="Y413" s="25">
        <f>IF('My investments'!$B413="",$D$8,'My investments'!$B413)</f>
        <v>0</v>
      </c>
      <c r="Z413" s="3">
        <f>IF('My investments'!$C413="Worth today",0,$X413)</f>
        <v>0</v>
      </c>
      <c r="AA413" s="3">
        <f>IF('My investments'!$H$15="",0,IF('My investments'!$F413='My investments'!$H$15,$X413,0))</f>
        <v>0</v>
      </c>
      <c r="AB413" s="3">
        <f>IF('My investments'!$H$16="",0,IF('My investments'!$F413='My investments'!$H$16,$X413,0))</f>
        <v>0</v>
      </c>
      <c r="AC413" s="3">
        <f>IF('My investments'!$H$17="",0,IF('My investments'!$F413='My investments'!$H$17,$X413,0))</f>
        <v>0</v>
      </c>
      <c r="AD413" s="3">
        <f>IF('My investments'!$H$18="",0,IF('My investments'!$F413='My investments'!$H$18,$X413,0))</f>
        <v>0</v>
      </c>
      <c r="AE413" s="3">
        <f>IF('My investments'!$H$19="",0,IF('My investments'!$F413='My investments'!$H$19,$X413,0))</f>
        <v>0</v>
      </c>
      <c r="AF413" s="3">
        <f>IF('My investments'!$H$20="",0,IF('My investments'!$F413='My investments'!$H$20,$X413,0))</f>
        <v>0</v>
      </c>
      <c r="AG413" s="3">
        <f>IF('My investments'!$H$21="",0,IF('My investments'!$F413='My investments'!$H$21,$X413,0))</f>
        <v>0</v>
      </c>
      <c r="AH413" s="3">
        <f>IF('My investments'!$H$22="",0,IF('My investments'!$F413='My investments'!$H$22,$X413,0))</f>
        <v>0</v>
      </c>
      <c r="AI413" s="3">
        <f>IF('My investments'!$H$23="",0,IF('My investments'!$F413='My investments'!$H$23,$X413,0))</f>
        <v>0</v>
      </c>
      <c r="AJ413" s="3">
        <f>IF('My investments'!$H$24="",0,IF('My investments'!$F413='My investments'!$H$24,$X413,0))</f>
        <v>0</v>
      </c>
      <c r="AL413" s="3" t="str">
        <f>IF('My investments'!$B413="","",IF($D$10=0,"",IFERROR(INDEX('Index history'!$B$8:$B$5007,MATCH('My investments'!$B413,'Index history'!$A$8:$A$5007,1)),"")))</f>
        <v/>
      </c>
      <c r="AM413" s="3">
        <f>IF($AL413="",0,IF('My investments'!$D413="",0,IF('My investments'!$C413="Money in",'My investments'!$D413/$AL413,IF('My investments'!$C413="Money out",-'My investments'!$D413/$AL413,0))))</f>
        <v>0</v>
      </c>
    </row>
    <row r="414">
      <c r="X414" s="3">
        <f>IF('My investments'!$B414="",0,IF('My investments'!$E414="",0,'My investments'!$E414))</f>
        <v>0</v>
      </c>
      <c r="Y414" s="25">
        <f>IF('My investments'!$B414="",$D$8,'My investments'!$B414)</f>
        <v>0</v>
      </c>
      <c r="Z414" s="3">
        <f>IF('My investments'!$C414="Worth today",0,$X414)</f>
        <v>0</v>
      </c>
      <c r="AA414" s="3">
        <f>IF('My investments'!$H$15="",0,IF('My investments'!$F414='My investments'!$H$15,$X414,0))</f>
        <v>0</v>
      </c>
      <c r="AB414" s="3">
        <f>IF('My investments'!$H$16="",0,IF('My investments'!$F414='My investments'!$H$16,$X414,0))</f>
        <v>0</v>
      </c>
      <c r="AC414" s="3">
        <f>IF('My investments'!$H$17="",0,IF('My investments'!$F414='My investments'!$H$17,$X414,0))</f>
        <v>0</v>
      </c>
      <c r="AD414" s="3">
        <f>IF('My investments'!$H$18="",0,IF('My investments'!$F414='My investments'!$H$18,$X414,0))</f>
        <v>0</v>
      </c>
      <c r="AE414" s="3">
        <f>IF('My investments'!$H$19="",0,IF('My investments'!$F414='My investments'!$H$19,$X414,0))</f>
        <v>0</v>
      </c>
      <c r="AF414" s="3">
        <f>IF('My investments'!$H$20="",0,IF('My investments'!$F414='My investments'!$H$20,$X414,0))</f>
        <v>0</v>
      </c>
      <c r="AG414" s="3">
        <f>IF('My investments'!$H$21="",0,IF('My investments'!$F414='My investments'!$H$21,$X414,0))</f>
        <v>0</v>
      </c>
      <c r="AH414" s="3">
        <f>IF('My investments'!$H$22="",0,IF('My investments'!$F414='My investments'!$H$22,$X414,0))</f>
        <v>0</v>
      </c>
      <c r="AI414" s="3">
        <f>IF('My investments'!$H$23="",0,IF('My investments'!$F414='My investments'!$H$23,$X414,0))</f>
        <v>0</v>
      </c>
      <c r="AJ414" s="3">
        <f>IF('My investments'!$H$24="",0,IF('My investments'!$F414='My investments'!$H$24,$X414,0))</f>
        <v>0</v>
      </c>
      <c r="AL414" s="3" t="str">
        <f>IF('My investments'!$B414="","",IF($D$10=0,"",IFERROR(INDEX('Index history'!$B$8:$B$5007,MATCH('My investments'!$B414,'Index history'!$A$8:$A$5007,1)),"")))</f>
        <v/>
      </c>
      <c r="AM414" s="3">
        <f>IF($AL414="",0,IF('My investments'!$D414="",0,IF('My investments'!$C414="Money in",'My investments'!$D414/$AL414,IF('My investments'!$C414="Money out",-'My investments'!$D414/$AL414,0))))</f>
        <v>0</v>
      </c>
    </row>
    <row r="415">
      <c r="X415" s="3">
        <f>IF('My investments'!$B415="",0,IF('My investments'!$E415="",0,'My investments'!$E415))</f>
        <v>0</v>
      </c>
      <c r="Y415" s="25">
        <f>IF('My investments'!$B415="",$D$8,'My investments'!$B415)</f>
        <v>0</v>
      </c>
      <c r="Z415" s="3">
        <f>IF('My investments'!$C415="Worth today",0,$X415)</f>
        <v>0</v>
      </c>
      <c r="AA415" s="3">
        <f>IF('My investments'!$H$15="",0,IF('My investments'!$F415='My investments'!$H$15,$X415,0))</f>
        <v>0</v>
      </c>
      <c r="AB415" s="3">
        <f>IF('My investments'!$H$16="",0,IF('My investments'!$F415='My investments'!$H$16,$X415,0))</f>
        <v>0</v>
      </c>
      <c r="AC415" s="3">
        <f>IF('My investments'!$H$17="",0,IF('My investments'!$F415='My investments'!$H$17,$X415,0))</f>
        <v>0</v>
      </c>
      <c r="AD415" s="3">
        <f>IF('My investments'!$H$18="",0,IF('My investments'!$F415='My investments'!$H$18,$X415,0))</f>
        <v>0</v>
      </c>
      <c r="AE415" s="3">
        <f>IF('My investments'!$H$19="",0,IF('My investments'!$F415='My investments'!$H$19,$X415,0))</f>
        <v>0</v>
      </c>
      <c r="AF415" s="3">
        <f>IF('My investments'!$H$20="",0,IF('My investments'!$F415='My investments'!$H$20,$X415,0))</f>
        <v>0</v>
      </c>
      <c r="AG415" s="3">
        <f>IF('My investments'!$H$21="",0,IF('My investments'!$F415='My investments'!$H$21,$X415,0))</f>
        <v>0</v>
      </c>
      <c r="AH415" s="3">
        <f>IF('My investments'!$H$22="",0,IF('My investments'!$F415='My investments'!$H$22,$X415,0))</f>
        <v>0</v>
      </c>
      <c r="AI415" s="3">
        <f>IF('My investments'!$H$23="",0,IF('My investments'!$F415='My investments'!$H$23,$X415,0))</f>
        <v>0</v>
      </c>
      <c r="AJ415" s="3">
        <f>IF('My investments'!$H$24="",0,IF('My investments'!$F415='My investments'!$H$24,$X415,0))</f>
        <v>0</v>
      </c>
      <c r="AL415" s="3" t="str">
        <f>IF('My investments'!$B415="","",IF($D$10=0,"",IFERROR(INDEX('Index history'!$B$8:$B$5007,MATCH('My investments'!$B415,'Index history'!$A$8:$A$5007,1)),"")))</f>
        <v/>
      </c>
      <c r="AM415" s="3">
        <f>IF($AL415="",0,IF('My investments'!$D415="",0,IF('My investments'!$C415="Money in",'My investments'!$D415/$AL415,IF('My investments'!$C415="Money out",-'My investments'!$D415/$AL415,0))))</f>
        <v>0</v>
      </c>
    </row>
    <row r="416">
      <c r="X416" s="3">
        <f>IF('My investments'!$B416="",0,IF('My investments'!$E416="",0,'My investments'!$E416))</f>
        <v>0</v>
      </c>
      <c r="Y416" s="25">
        <f>IF('My investments'!$B416="",$D$8,'My investments'!$B416)</f>
        <v>0</v>
      </c>
      <c r="Z416" s="3">
        <f>IF('My investments'!$C416="Worth today",0,$X416)</f>
        <v>0</v>
      </c>
      <c r="AA416" s="3">
        <f>IF('My investments'!$H$15="",0,IF('My investments'!$F416='My investments'!$H$15,$X416,0))</f>
        <v>0</v>
      </c>
      <c r="AB416" s="3">
        <f>IF('My investments'!$H$16="",0,IF('My investments'!$F416='My investments'!$H$16,$X416,0))</f>
        <v>0</v>
      </c>
      <c r="AC416" s="3">
        <f>IF('My investments'!$H$17="",0,IF('My investments'!$F416='My investments'!$H$17,$X416,0))</f>
        <v>0</v>
      </c>
      <c r="AD416" s="3">
        <f>IF('My investments'!$H$18="",0,IF('My investments'!$F416='My investments'!$H$18,$X416,0))</f>
        <v>0</v>
      </c>
      <c r="AE416" s="3">
        <f>IF('My investments'!$H$19="",0,IF('My investments'!$F416='My investments'!$H$19,$X416,0))</f>
        <v>0</v>
      </c>
      <c r="AF416" s="3">
        <f>IF('My investments'!$H$20="",0,IF('My investments'!$F416='My investments'!$H$20,$X416,0))</f>
        <v>0</v>
      </c>
      <c r="AG416" s="3">
        <f>IF('My investments'!$H$21="",0,IF('My investments'!$F416='My investments'!$H$21,$X416,0))</f>
        <v>0</v>
      </c>
      <c r="AH416" s="3">
        <f>IF('My investments'!$H$22="",0,IF('My investments'!$F416='My investments'!$H$22,$X416,0))</f>
        <v>0</v>
      </c>
      <c r="AI416" s="3">
        <f>IF('My investments'!$H$23="",0,IF('My investments'!$F416='My investments'!$H$23,$X416,0))</f>
        <v>0</v>
      </c>
      <c r="AJ416" s="3">
        <f>IF('My investments'!$H$24="",0,IF('My investments'!$F416='My investments'!$H$24,$X416,0))</f>
        <v>0</v>
      </c>
      <c r="AL416" s="3" t="str">
        <f>IF('My investments'!$B416="","",IF($D$10=0,"",IFERROR(INDEX('Index history'!$B$8:$B$5007,MATCH('My investments'!$B416,'Index history'!$A$8:$A$5007,1)),"")))</f>
        <v/>
      </c>
      <c r="AM416" s="3">
        <f>IF($AL416="",0,IF('My investments'!$D416="",0,IF('My investments'!$C416="Money in",'My investments'!$D416/$AL416,IF('My investments'!$C416="Money out",-'My investments'!$D416/$AL416,0))))</f>
        <v>0</v>
      </c>
    </row>
    <row r="417">
      <c r="X417" s="3">
        <f>IF('My investments'!$B417="",0,IF('My investments'!$E417="",0,'My investments'!$E417))</f>
        <v>0</v>
      </c>
      <c r="Y417" s="25">
        <f>IF('My investments'!$B417="",$D$8,'My investments'!$B417)</f>
        <v>0</v>
      </c>
      <c r="Z417" s="3">
        <f>IF('My investments'!$C417="Worth today",0,$X417)</f>
        <v>0</v>
      </c>
      <c r="AA417" s="3">
        <f>IF('My investments'!$H$15="",0,IF('My investments'!$F417='My investments'!$H$15,$X417,0))</f>
        <v>0</v>
      </c>
      <c r="AB417" s="3">
        <f>IF('My investments'!$H$16="",0,IF('My investments'!$F417='My investments'!$H$16,$X417,0))</f>
        <v>0</v>
      </c>
      <c r="AC417" s="3">
        <f>IF('My investments'!$H$17="",0,IF('My investments'!$F417='My investments'!$H$17,$X417,0))</f>
        <v>0</v>
      </c>
      <c r="AD417" s="3">
        <f>IF('My investments'!$H$18="",0,IF('My investments'!$F417='My investments'!$H$18,$X417,0))</f>
        <v>0</v>
      </c>
      <c r="AE417" s="3">
        <f>IF('My investments'!$H$19="",0,IF('My investments'!$F417='My investments'!$H$19,$X417,0))</f>
        <v>0</v>
      </c>
      <c r="AF417" s="3">
        <f>IF('My investments'!$H$20="",0,IF('My investments'!$F417='My investments'!$H$20,$X417,0))</f>
        <v>0</v>
      </c>
      <c r="AG417" s="3">
        <f>IF('My investments'!$H$21="",0,IF('My investments'!$F417='My investments'!$H$21,$X417,0))</f>
        <v>0</v>
      </c>
      <c r="AH417" s="3">
        <f>IF('My investments'!$H$22="",0,IF('My investments'!$F417='My investments'!$H$22,$X417,0))</f>
        <v>0</v>
      </c>
      <c r="AI417" s="3">
        <f>IF('My investments'!$H$23="",0,IF('My investments'!$F417='My investments'!$H$23,$X417,0))</f>
        <v>0</v>
      </c>
      <c r="AJ417" s="3">
        <f>IF('My investments'!$H$24="",0,IF('My investments'!$F417='My investments'!$H$24,$X417,0))</f>
        <v>0</v>
      </c>
      <c r="AL417" s="3" t="str">
        <f>IF('My investments'!$B417="","",IF($D$10=0,"",IFERROR(INDEX('Index history'!$B$8:$B$5007,MATCH('My investments'!$B417,'Index history'!$A$8:$A$5007,1)),"")))</f>
        <v/>
      </c>
      <c r="AM417" s="3">
        <f>IF($AL417="",0,IF('My investments'!$D417="",0,IF('My investments'!$C417="Money in",'My investments'!$D417/$AL417,IF('My investments'!$C417="Money out",-'My investments'!$D417/$AL417,0))))</f>
        <v>0</v>
      </c>
    </row>
    <row r="418">
      <c r="X418" s="3">
        <f>IF('My investments'!$B418="",0,IF('My investments'!$E418="",0,'My investments'!$E418))</f>
        <v>0</v>
      </c>
      <c r="Y418" s="25">
        <f>IF('My investments'!$B418="",$D$8,'My investments'!$B418)</f>
        <v>0</v>
      </c>
      <c r="Z418" s="3">
        <f>IF('My investments'!$C418="Worth today",0,$X418)</f>
        <v>0</v>
      </c>
      <c r="AA418" s="3">
        <f>IF('My investments'!$H$15="",0,IF('My investments'!$F418='My investments'!$H$15,$X418,0))</f>
        <v>0</v>
      </c>
      <c r="AB418" s="3">
        <f>IF('My investments'!$H$16="",0,IF('My investments'!$F418='My investments'!$H$16,$X418,0))</f>
        <v>0</v>
      </c>
      <c r="AC418" s="3">
        <f>IF('My investments'!$H$17="",0,IF('My investments'!$F418='My investments'!$H$17,$X418,0))</f>
        <v>0</v>
      </c>
      <c r="AD418" s="3">
        <f>IF('My investments'!$H$18="",0,IF('My investments'!$F418='My investments'!$H$18,$X418,0))</f>
        <v>0</v>
      </c>
      <c r="AE418" s="3">
        <f>IF('My investments'!$H$19="",0,IF('My investments'!$F418='My investments'!$H$19,$X418,0))</f>
        <v>0</v>
      </c>
      <c r="AF418" s="3">
        <f>IF('My investments'!$H$20="",0,IF('My investments'!$F418='My investments'!$H$20,$X418,0))</f>
        <v>0</v>
      </c>
      <c r="AG418" s="3">
        <f>IF('My investments'!$H$21="",0,IF('My investments'!$F418='My investments'!$H$21,$X418,0))</f>
        <v>0</v>
      </c>
      <c r="AH418" s="3">
        <f>IF('My investments'!$H$22="",0,IF('My investments'!$F418='My investments'!$H$22,$X418,0))</f>
        <v>0</v>
      </c>
      <c r="AI418" s="3">
        <f>IF('My investments'!$H$23="",0,IF('My investments'!$F418='My investments'!$H$23,$X418,0))</f>
        <v>0</v>
      </c>
      <c r="AJ418" s="3">
        <f>IF('My investments'!$H$24="",0,IF('My investments'!$F418='My investments'!$H$24,$X418,0))</f>
        <v>0</v>
      </c>
      <c r="AL418" s="3" t="str">
        <f>IF('My investments'!$B418="","",IF($D$10=0,"",IFERROR(INDEX('Index history'!$B$8:$B$5007,MATCH('My investments'!$B418,'Index history'!$A$8:$A$5007,1)),"")))</f>
        <v/>
      </c>
      <c r="AM418" s="3">
        <f>IF($AL418="",0,IF('My investments'!$D418="",0,IF('My investments'!$C418="Money in",'My investments'!$D418/$AL418,IF('My investments'!$C418="Money out",-'My investments'!$D418/$AL418,0))))</f>
        <v>0</v>
      </c>
    </row>
    <row r="419">
      <c r="X419" s="3">
        <f>IF('My investments'!$B419="",0,IF('My investments'!$E419="",0,'My investments'!$E419))</f>
        <v>0</v>
      </c>
      <c r="Y419" s="25">
        <f>IF('My investments'!$B419="",$D$8,'My investments'!$B419)</f>
        <v>0</v>
      </c>
      <c r="Z419" s="3">
        <f>IF('My investments'!$C419="Worth today",0,$X419)</f>
        <v>0</v>
      </c>
      <c r="AA419" s="3">
        <f>IF('My investments'!$H$15="",0,IF('My investments'!$F419='My investments'!$H$15,$X419,0))</f>
        <v>0</v>
      </c>
      <c r="AB419" s="3">
        <f>IF('My investments'!$H$16="",0,IF('My investments'!$F419='My investments'!$H$16,$X419,0))</f>
        <v>0</v>
      </c>
      <c r="AC419" s="3">
        <f>IF('My investments'!$H$17="",0,IF('My investments'!$F419='My investments'!$H$17,$X419,0))</f>
        <v>0</v>
      </c>
      <c r="AD419" s="3">
        <f>IF('My investments'!$H$18="",0,IF('My investments'!$F419='My investments'!$H$18,$X419,0))</f>
        <v>0</v>
      </c>
      <c r="AE419" s="3">
        <f>IF('My investments'!$H$19="",0,IF('My investments'!$F419='My investments'!$H$19,$X419,0))</f>
        <v>0</v>
      </c>
      <c r="AF419" s="3">
        <f>IF('My investments'!$H$20="",0,IF('My investments'!$F419='My investments'!$H$20,$X419,0))</f>
        <v>0</v>
      </c>
      <c r="AG419" s="3">
        <f>IF('My investments'!$H$21="",0,IF('My investments'!$F419='My investments'!$H$21,$X419,0))</f>
        <v>0</v>
      </c>
      <c r="AH419" s="3">
        <f>IF('My investments'!$H$22="",0,IF('My investments'!$F419='My investments'!$H$22,$X419,0))</f>
        <v>0</v>
      </c>
      <c r="AI419" s="3">
        <f>IF('My investments'!$H$23="",0,IF('My investments'!$F419='My investments'!$H$23,$X419,0))</f>
        <v>0</v>
      </c>
      <c r="AJ419" s="3">
        <f>IF('My investments'!$H$24="",0,IF('My investments'!$F419='My investments'!$H$24,$X419,0))</f>
        <v>0</v>
      </c>
      <c r="AL419" s="3" t="str">
        <f>IF('My investments'!$B419="","",IF($D$10=0,"",IFERROR(INDEX('Index history'!$B$8:$B$5007,MATCH('My investments'!$B419,'Index history'!$A$8:$A$5007,1)),"")))</f>
        <v/>
      </c>
      <c r="AM419" s="3">
        <f>IF($AL419="",0,IF('My investments'!$D419="",0,IF('My investments'!$C419="Money in",'My investments'!$D419/$AL419,IF('My investments'!$C419="Money out",-'My investments'!$D419/$AL419,0))))</f>
        <v>0</v>
      </c>
    </row>
    <row r="420">
      <c r="X420" s="3">
        <f>IF('My investments'!$B420="",0,IF('My investments'!$E420="",0,'My investments'!$E420))</f>
        <v>0</v>
      </c>
      <c r="Y420" s="25">
        <f>IF('My investments'!$B420="",$D$8,'My investments'!$B420)</f>
        <v>0</v>
      </c>
      <c r="Z420" s="3">
        <f>IF('My investments'!$C420="Worth today",0,$X420)</f>
        <v>0</v>
      </c>
      <c r="AA420" s="3">
        <f>IF('My investments'!$H$15="",0,IF('My investments'!$F420='My investments'!$H$15,$X420,0))</f>
        <v>0</v>
      </c>
      <c r="AB420" s="3">
        <f>IF('My investments'!$H$16="",0,IF('My investments'!$F420='My investments'!$H$16,$X420,0))</f>
        <v>0</v>
      </c>
      <c r="AC420" s="3">
        <f>IF('My investments'!$H$17="",0,IF('My investments'!$F420='My investments'!$H$17,$X420,0))</f>
        <v>0</v>
      </c>
      <c r="AD420" s="3">
        <f>IF('My investments'!$H$18="",0,IF('My investments'!$F420='My investments'!$H$18,$X420,0))</f>
        <v>0</v>
      </c>
      <c r="AE420" s="3">
        <f>IF('My investments'!$H$19="",0,IF('My investments'!$F420='My investments'!$H$19,$X420,0))</f>
        <v>0</v>
      </c>
      <c r="AF420" s="3">
        <f>IF('My investments'!$H$20="",0,IF('My investments'!$F420='My investments'!$H$20,$X420,0))</f>
        <v>0</v>
      </c>
      <c r="AG420" s="3">
        <f>IF('My investments'!$H$21="",0,IF('My investments'!$F420='My investments'!$H$21,$X420,0))</f>
        <v>0</v>
      </c>
      <c r="AH420" s="3">
        <f>IF('My investments'!$H$22="",0,IF('My investments'!$F420='My investments'!$H$22,$X420,0))</f>
        <v>0</v>
      </c>
      <c r="AI420" s="3">
        <f>IF('My investments'!$H$23="",0,IF('My investments'!$F420='My investments'!$H$23,$X420,0))</f>
        <v>0</v>
      </c>
      <c r="AJ420" s="3">
        <f>IF('My investments'!$H$24="",0,IF('My investments'!$F420='My investments'!$H$24,$X420,0))</f>
        <v>0</v>
      </c>
      <c r="AL420" s="3" t="str">
        <f>IF('My investments'!$B420="","",IF($D$10=0,"",IFERROR(INDEX('Index history'!$B$8:$B$5007,MATCH('My investments'!$B420,'Index history'!$A$8:$A$5007,1)),"")))</f>
        <v/>
      </c>
      <c r="AM420" s="3">
        <f>IF($AL420="",0,IF('My investments'!$D420="",0,IF('My investments'!$C420="Money in",'My investments'!$D420/$AL420,IF('My investments'!$C420="Money out",-'My investments'!$D420/$AL420,0))))</f>
        <v>0</v>
      </c>
    </row>
    <row r="421">
      <c r="X421" s="3">
        <f>IF('My investments'!$B421="",0,IF('My investments'!$E421="",0,'My investments'!$E421))</f>
        <v>0</v>
      </c>
      <c r="Y421" s="25">
        <f>IF('My investments'!$B421="",$D$8,'My investments'!$B421)</f>
        <v>0</v>
      </c>
      <c r="Z421" s="3">
        <f>IF('My investments'!$C421="Worth today",0,$X421)</f>
        <v>0</v>
      </c>
      <c r="AA421" s="3">
        <f>IF('My investments'!$H$15="",0,IF('My investments'!$F421='My investments'!$H$15,$X421,0))</f>
        <v>0</v>
      </c>
      <c r="AB421" s="3">
        <f>IF('My investments'!$H$16="",0,IF('My investments'!$F421='My investments'!$H$16,$X421,0))</f>
        <v>0</v>
      </c>
      <c r="AC421" s="3">
        <f>IF('My investments'!$H$17="",0,IF('My investments'!$F421='My investments'!$H$17,$X421,0))</f>
        <v>0</v>
      </c>
      <c r="AD421" s="3">
        <f>IF('My investments'!$H$18="",0,IF('My investments'!$F421='My investments'!$H$18,$X421,0))</f>
        <v>0</v>
      </c>
      <c r="AE421" s="3">
        <f>IF('My investments'!$H$19="",0,IF('My investments'!$F421='My investments'!$H$19,$X421,0))</f>
        <v>0</v>
      </c>
      <c r="AF421" s="3">
        <f>IF('My investments'!$H$20="",0,IF('My investments'!$F421='My investments'!$H$20,$X421,0))</f>
        <v>0</v>
      </c>
      <c r="AG421" s="3">
        <f>IF('My investments'!$H$21="",0,IF('My investments'!$F421='My investments'!$H$21,$X421,0))</f>
        <v>0</v>
      </c>
      <c r="AH421" s="3">
        <f>IF('My investments'!$H$22="",0,IF('My investments'!$F421='My investments'!$H$22,$X421,0))</f>
        <v>0</v>
      </c>
      <c r="AI421" s="3">
        <f>IF('My investments'!$H$23="",0,IF('My investments'!$F421='My investments'!$H$23,$X421,0))</f>
        <v>0</v>
      </c>
      <c r="AJ421" s="3">
        <f>IF('My investments'!$H$24="",0,IF('My investments'!$F421='My investments'!$H$24,$X421,0))</f>
        <v>0</v>
      </c>
      <c r="AL421" s="3" t="str">
        <f>IF('My investments'!$B421="","",IF($D$10=0,"",IFERROR(INDEX('Index history'!$B$8:$B$5007,MATCH('My investments'!$B421,'Index history'!$A$8:$A$5007,1)),"")))</f>
        <v/>
      </c>
      <c r="AM421" s="3">
        <f>IF($AL421="",0,IF('My investments'!$D421="",0,IF('My investments'!$C421="Money in",'My investments'!$D421/$AL421,IF('My investments'!$C421="Money out",-'My investments'!$D421/$AL421,0))))</f>
        <v>0</v>
      </c>
    </row>
    <row r="422">
      <c r="X422" s="3">
        <f>IF('My investments'!$B422="",0,IF('My investments'!$E422="",0,'My investments'!$E422))</f>
        <v>0</v>
      </c>
      <c r="Y422" s="25">
        <f>IF('My investments'!$B422="",$D$8,'My investments'!$B422)</f>
        <v>0</v>
      </c>
      <c r="Z422" s="3">
        <f>IF('My investments'!$C422="Worth today",0,$X422)</f>
        <v>0</v>
      </c>
      <c r="AA422" s="3">
        <f>IF('My investments'!$H$15="",0,IF('My investments'!$F422='My investments'!$H$15,$X422,0))</f>
        <v>0</v>
      </c>
      <c r="AB422" s="3">
        <f>IF('My investments'!$H$16="",0,IF('My investments'!$F422='My investments'!$H$16,$X422,0))</f>
        <v>0</v>
      </c>
      <c r="AC422" s="3">
        <f>IF('My investments'!$H$17="",0,IF('My investments'!$F422='My investments'!$H$17,$X422,0))</f>
        <v>0</v>
      </c>
      <c r="AD422" s="3">
        <f>IF('My investments'!$H$18="",0,IF('My investments'!$F422='My investments'!$H$18,$X422,0))</f>
        <v>0</v>
      </c>
      <c r="AE422" s="3">
        <f>IF('My investments'!$H$19="",0,IF('My investments'!$F422='My investments'!$H$19,$X422,0))</f>
        <v>0</v>
      </c>
      <c r="AF422" s="3">
        <f>IF('My investments'!$H$20="",0,IF('My investments'!$F422='My investments'!$H$20,$X422,0))</f>
        <v>0</v>
      </c>
      <c r="AG422" s="3">
        <f>IF('My investments'!$H$21="",0,IF('My investments'!$F422='My investments'!$H$21,$X422,0))</f>
        <v>0</v>
      </c>
      <c r="AH422" s="3">
        <f>IF('My investments'!$H$22="",0,IF('My investments'!$F422='My investments'!$H$22,$X422,0))</f>
        <v>0</v>
      </c>
      <c r="AI422" s="3">
        <f>IF('My investments'!$H$23="",0,IF('My investments'!$F422='My investments'!$H$23,$X422,0))</f>
        <v>0</v>
      </c>
      <c r="AJ422" s="3">
        <f>IF('My investments'!$H$24="",0,IF('My investments'!$F422='My investments'!$H$24,$X422,0))</f>
        <v>0</v>
      </c>
      <c r="AL422" s="3" t="str">
        <f>IF('My investments'!$B422="","",IF($D$10=0,"",IFERROR(INDEX('Index history'!$B$8:$B$5007,MATCH('My investments'!$B422,'Index history'!$A$8:$A$5007,1)),"")))</f>
        <v/>
      </c>
      <c r="AM422" s="3">
        <f>IF($AL422="",0,IF('My investments'!$D422="",0,IF('My investments'!$C422="Money in",'My investments'!$D422/$AL422,IF('My investments'!$C422="Money out",-'My investments'!$D422/$AL422,0))))</f>
        <v>0</v>
      </c>
    </row>
    <row r="423">
      <c r="X423" s="3">
        <f>IF('My investments'!$B423="",0,IF('My investments'!$E423="",0,'My investments'!$E423))</f>
        <v>0</v>
      </c>
      <c r="Y423" s="25">
        <f>IF('My investments'!$B423="",$D$8,'My investments'!$B423)</f>
        <v>0</v>
      </c>
      <c r="Z423" s="3">
        <f>IF('My investments'!$C423="Worth today",0,$X423)</f>
        <v>0</v>
      </c>
      <c r="AA423" s="3">
        <f>IF('My investments'!$H$15="",0,IF('My investments'!$F423='My investments'!$H$15,$X423,0))</f>
        <v>0</v>
      </c>
      <c r="AB423" s="3">
        <f>IF('My investments'!$H$16="",0,IF('My investments'!$F423='My investments'!$H$16,$X423,0))</f>
        <v>0</v>
      </c>
      <c r="AC423" s="3">
        <f>IF('My investments'!$H$17="",0,IF('My investments'!$F423='My investments'!$H$17,$X423,0))</f>
        <v>0</v>
      </c>
      <c r="AD423" s="3">
        <f>IF('My investments'!$H$18="",0,IF('My investments'!$F423='My investments'!$H$18,$X423,0))</f>
        <v>0</v>
      </c>
      <c r="AE423" s="3">
        <f>IF('My investments'!$H$19="",0,IF('My investments'!$F423='My investments'!$H$19,$X423,0))</f>
        <v>0</v>
      </c>
      <c r="AF423" s="3">
        <f>IF('My investments'!$H$20="",0,IF('My investments'!$F423='My investments'!$H$20,$X423,0))</f>
        <v>0</v>
      </c>
      <c r="AG423" s="3">
        <f>IF('My investments'!$H$21="",0,IF('My investments'!$F423='My investments'!$H$21,$X423,0))</f>
        <v>0</v>
      </c>
      <c r="AH423" s="3">
        <f>IF('My investments'!$H$22="",0,IF('My investments'!$F423='My investments'!$H$22,$X423,0))</f>
        <v>0</v>
      </c>
      <c r="AI423" s="3">
        <f>IF('My investments'!$H$23="",0,IF('My investments'!$F423='My investments'!$H$23,$X423,0))</f>
        <v>0</v>
      </c>
      <c r="AJ423" s="3">
        <f>IF('My investments'!$H$24="",0,IF('My investments'!$F423='My investments'!$H$24,$X423,0))</f>
        <v>0</v>
      </c>
      <c r="AL423" s="3" t="str">
        <f>IF('My investments'!$B423="","",IF($D$10=0,"",IFERROR(INDEX('Index history'!$B$8:$B$5007,MATCH('My investments'!$B423,'Index history'!$A$8:$A$5007,1)),"")))</f>
        <v/>
      </c>
      <c r="AM423" s="3">
        <f>IF($AL423="",0,IF('My investments'!$D423="",0,IF('My investments'!$C423="Money in",'My investments'!$D423/$AL423,IF('My investments'!$C423="Money out",-'My investments'!$D423/$AL423,0))))</f>
        <v>0</v>
      </c>
    </row>
    <row r="424">
      <c r="X424" s="3">
        <f>IF('My investments'!$B424="",0,IF('My investments'!$E424="",0,'My investments'!$E424))</f>
        <v>0</v>
      </c>
      <c r="Y424" s="25">
        <f>IF('My investments'!$B424="",$D$8,'My investments'!$B424)</f>
        <v>0</v>
      </c>
      <c r="Z424" s="3">
        <f>IF('My investments'!$C424="Worth today",0,$X424)</f>
        <v>0</v>
      </c>
      <c r="AA424" s="3">
        <f>IF('My investments'!$H$15="",0,IF('My investments'!$F424='My investments'!$H$15,$X424,0))</f>
        <v>0</v>
      </c>
      <c r="AB424" s="3">
        <f>IF('My investments'!$H$16="",0,IF('My investments'!$F424='My investments'!$H$16,$X424,0))</f>
        <v>0</v>
      </c>
      <c r="AC424" s="3">
        <f>IF('My investments'!$H$17="",0,IF('My investments'!$F424='My investments'!$H$17,$X424,0))</f>
        <v>0</v>
      </c>
      <c r="AD424" s="3">
        <f>IF('My investments'!$H$18="",0,IF('My investments'!$F424='My investments'!$H$18,$X424,0))</f>
        <v>0</v>
      </c>
      <c r="AE424" s="3">
        <f>IF('My investments'!$H$19="",0,IF('My investments'!$F424='My investments'!$H$19,$X424,0))</f>
        <v>0</v>
      </c>
      <c r="AF424" s="3">
        <f>IF('My investments'!$H$20="",0,IF('My investments'!$F424='My investments'!$H$20,$X424,0))</f>
        <v>0</v>
      </c>
      <c r="AG424" s="3">
        <f>IF('My investments'!$H$21="",0,IF('My investments'!$F424='My investments'!$H$21,$X424,0))</f>
        <v>0</v>
      </c>
      <c r="AH424" s="3">
        <f>IF('My investments'!$H$22="",0,IF('My investments'!$F424='My investments'!$H$22,$X424,0))</f>
        <v>0</v>
      </c>
      <c r="AI424" s="3">
        <f>IF('My investments'!$H$23="",0,IF('My investments'!$F424='My investments'!$H$23,$X424,0))</f>
        <v>0</v>
      </c>
      <c r="AJ424" s="3">
        <f>IF('My investments'!$H$24="",0,IF('My investments'!$F424='My investments'!$H$24,$X424,0))</f>
        <v>0</v>
      </c>
      <c r="AL424" s="3" t="str">
        <f>IF('My investments'!$B424="","",IF($D$10=0,"",IFERROR(INDEX('Index history'!$B$8:$B$5007,MATCH('My investments'!$B424,'Index history'!$A$8:$A$5007,1)),"")))</f>
        <v/>
      </c>
      <c r="AM424" s="3">
        <f>IF($AL424="",0,IF('My investments'!$D424="",0,IF('My investments'!$C424="Money in",'My investments'!$D424/$AL424,IF('My investments'!$C424="Money out",-'My investments'!$D424/$AL424,0))))</f>
        <v>0</v>
      </c>
    </row>
    <row r="425">
      <c r="X425" s="3">
        <f>IF('My investments'!$B425="",0,IF('My investments'!$E425="",0,'My investments'!$E425))</f>
        <v>0</v>
      </c>
      <c r="Y425" s="25">
        <f>IF('My investments'!$B425="",$D$8,'My investments'!$B425)</f>
        <v>0</v>
      </c>
      <c r="Z425" s="3">
        <f>IF('My investments'!$C425="Worth today",0,$X425)</f>
        <v>0</v>
      </c>
      <c r="AA425" s="3">
        <f>IF('My investments'!$H$15="",0,IF('My investments'!$F425='My investments'!$H$15,$X425,0))</f>
        <v>0</v>
      </c>
      <c r="AB425" s="3">
        <f>IF('My investments'!$H$16="",0,IF('My investments'!$F425='My investments'!$H$16,$X425,0))</f>
        <v>0</v>
      </c>
      <c r="AC425" s="3">
        <f>IF('My investments'!$H$17="",0,IF('My investments'!$F425='My investments'!$H$17,$X425,0))</f>
        <v>0</v>
      </c>
      <c r="AD425" s="3">
        <f>IF('My investments'!$H$18="",0,IF('My investments'!$F425='My investments'!$H$18,$X425,0))</f>
        <v>0</v>
      </c>
      <c r="AE425" s="3">
        <f>IF('My investments'!$H$19="",0,IF('My investments'!$F425='My investments'!$H$19,$X425,0))</f>
        <v>0</v>
      </c>
      <c r="AF425" s="3">
        <f>IF('My investments'!$H$20="",0,IF('My investments'!$F425='My investments'!$H$20,$X425,0))</f>
        <v>0</v>
      </c>
      <c r="AG425" s="3">
        <f>IF('My investments'!$H$21="",0,IF('My investments'!$F425='My investments'!$H$21,$X425,0))</f>
        <v>0</v>
      </c>
      <c r="AH425" s="3">
        <f>IF('My investments'!$H$22="",0,IF('My investments'!$F425='My investments'!$H$22,$X425,0))</f>
        <v>0</v>
      </c>
      <c r="AI425" s="3">
        <f>IF('My investments'!$H$23="",0,IF('My investments'!$F425='My investments'!$H$23,$X425,0))</f>
        <v>0</v>
      </c>
      <c r="AJ425" s="3">
        <f>IF('My investments'!$H$24="",0,IF('My investments'!$F425='My investments'!$H$24,$X425,0))</f>
        <v>0</v>
      </c>
      <c r="AL425" s="3" t="str">
        <f>IF('My investments'!$B425="","",IF($D$10=0,"",IFERROR(INDEX('Index history'!$B$8:$B$5007,MATCH('My investments'!$B425,'Index history'!$A$8:$A$5007,1)),"")))</f>
        <v/>
      </c>
      <c r="AM425" s="3">
        <f>IF($AL425="",0,IF('My investments'!$D425="",0,IF('My investments'!$C425="Money in",'My investments'!$D425/$AL425,IF('My investments'!$C425="Money out",-'My investments'!$D425/$AL425,0))))</f>
        <v>0</v>
      </c>
    </row>
    <row r="426">
      <c r="X426" s="3">
        <f>IF('My investments'!$B426="",0,IF('My investments'!$E426="",0,'My investments'!$E426))</f>
        <v>0</v>
      </c>
      <c r="Y426" s="25">
        <f>IF('My investments'!$B426="",$D$8,'My investments'!$B426)</f>
        <v>0</v>
      </c>
      <c r="Z426" s="3">
        <f>IF('My investments'!$C426="Worth today",0,$X426)</f>
        <v>0</v>
      </c>
      <c r="AA426" s="3">
        <f>IF('My investments'!$H$15="",0,IF('My investments'!$F426='My investments'!$H$15,$X426,0))</f>
        <v>0</v>
      </c>
      <c r="AB426" s="3">
        <f>IF('My investments'!$H$16="",0,IF('My investments'!$F426='My investments'!$H$16,$X426,0))</f>
        <v>0</v>
      </c>
      <c r="AC426" s="3">
        <f>IF('My investments'!$H$17="",0,IF('My investments'!$F426='My investments'!$H$17,$X426,0))</f>
        <v>0</v>
      </c>
      <c r="AD426" s="3">
        <f>IF('My investments'!$H$18="",0,IF('My investments'!$F426='My investments'!$H$18,$X426,0))</f>
        <v>0</v>
      </c>
      <c r="AE426" s="3">
        <f>IF('My investments'!$H$19="",0,IF('My investments'!$F426='My investments'!$H$19,$X426,0))</f>
        <v>0</v>
      </c>
      <c r="AF426" s="3">
        <f>IF('My investments'!$H$20="",0,IF('My investments'!$F426='My investments'!$H$20,$X426,0))</f>
        <v>0</v>
      </c>
      <c r="AG426" s="3">
        <f>IF('My investments'!$H$21="",0,IF('My investments'!$F426='My investments'!$H$21,$X426,0))</f>
        <v>0</v>
      </c>
      <c r="AH426" s="3">
        <f>IF('My investments'!$H$22="",0,IF('My investments'!$F426='My investments'!$H$22,$X426,0))</f>
        <v>0</v>
      </c>
      <c r="AI426" s="3">
        <f>IF('My investments'!$H$23="",0,IF('My investments'!$F426='My investments'!$H$23,$X426,0))</f>
        <v>0</v>
      </c>
      <c r="AJ426" s="3">
        <f>IF('My investments'!$H$24="",0,IF('My investments'!$F426='My investments'!$H$24,$X426,0))</f>
        <v>0</v>
      </c>
      <c r="AL426" s="3" t="str">
        <f>IF('My investments'!$B426="","",IF($D$10=0,"",IFERROR(INDEX('Index history'!$B$8:$B$5007,MATCH('My investments'!$B426,'Index history'!$A$8:$A$5007,1)),"")))</f>
        <v/>
      </c>
      <c r="AM426" s="3">
        <f>IF($AL426="",0,IF('My investments'!$D426="",0,IF('My investments'!$C426="Money in",'My investments'!$D426/$AL426,IF('My investments'!$C426="Money out",-'My investments'!$D426/$AL426,0))))</f>
        <v>0</v>
      </c>
    </row>
    <row r="427">
      <c r="X427" s="3">
        <f>IF('My investments'!$B427="",0,IF('My investments'!$E427="",0,'My investments'!$E427))</f>
        <v>0</v>
      </c>
      <c r="Y427" s="25">
        <f>IF('My investments'!$B427="",$D$8,'My investments'!$B427)</f>
        <v>0</v>
      </c>
      <c r="Z427" s="3">
        <f>IF('My investments'!$C427="Worth today",0,$X427)</f>
        <v>0</v>
      </c>
      <c r="AA427" s="3">
        <f>IF('My investments'!$H$15="",0,IF('My investments'!$F427='My investments'!$H$15,$X427,0))</f>
        <v>0</v>
      </c>
      <c r="AB427" s="3">
        <f>IF('My investments'!$H$16="",0,IF('My investments'!$F427='My investments'!$H$16,$X427,0))</f>
        <v>0</v>
      </c>
      <c r="AC427" s="3">
        <f>IF('My investments'!$H$17="",0,IF('My investments'!$F427='My investments'!$H$17,$X427,0))</f>
        <v>0</v>
      </c>
      <c r="AD427" s="3">
        <f>IF('My investments'!$H$18="",0,IF('My investments'!$F427='My investments'!$H$18,$X427,0))</f>
        <v>0</v>
      </c>
      <c r="AE427" s="3">
        <f>IF('My investments'!$H$19="",0,IF('My investments'!$F427='My investments'!$H$19,$X427,0))</f>
        <v>0</v>
      </c>
      <c r="AF427" s="3">
        <f>IF('My investments'!$H$20="",0,IF('My investments'!$F427='My investments'!$H$20,$X427,0))</f>
        <v>0</v>
      </c>
      <c r="AG427" s="3">
        <f>IF('My investments'!$H$21="",0,IF('My investments'!$F427='My investments'!$H$21,$X427,0))</f>
        <v>0</v>
      </c>
      <c r="AH427" s="3">
        <f>IF('My investments'!$H$22="",0,IF('My investments'!$F427='My investments'!$H$22,$X427,0))</f>
        <v>0</v>
      </c>
      <c r="AI427" s="3">
        <f>IF('My investments'!$H$23="",0,IF('My investments'!$F427='My investments'!$H$23,$X427,0))</f>
        <v>0</v>
      </c>
      <c r="AJ427" s="3">
        <f>IF('My investments'!$H$24="",0,IF('My investments'!$F427='My investments'!$H$24,$X427,0))</f>
        <v>0</v>
      </c>
      <c r="AL427" s="3" t="str">
        <f>IF('My investments'!$B427="","",IF($D$10=0,"",IFERROR(INDEX('Index history'!$B$8:$B$5007,MATCH('My investments'!$B427,'Index history'!$A$8:$A$5007,1)),"")))</f>
        <v/>
      </c>
      <c r="AM427" s="3">
        <f>IF($AL427="",0,IF('My investments'!$D427="",0,IF('My investments'!$C427="Money in",'My investments'!$D427/$AL427,IF('My investments'!$C427="Money out",-'My investments'!$D427/$AL427,0))))</f>
        <v>0</v>
      </c>
    </row>
    <row r="428">
      <c r="X428" s="3">
        <f>IF('My investments'!$B428="",0,IF('My investments'!$E428="",0,'My investments'!$E428))</f>
        <v>0</v>
      </c>
      <c r="Y428" s="25">
        <f>IF('My investments'!$B428="",$D$8,'My investments'!$B428)</f>
        <v>0</v>
      </c>
      <c r="Z428" s="3">
        <f>IF('My investments'!$C428="Worth today",0,$X428)</f>
        <v>0</v>
      </c>
      <c r="AA428" s="3">
        <f>IF('My investments'!$H$15="",0,IF('My investments'!$F428='My investments'!$H$15,$X428,0))</f>
        <v>0</v>
      </c>
      <c r="AB428" s="3">
        <f>IF('My investments'!$H$16="",0,IF('My investments'!$F428='My investments'!$H$16,$X428,0))</f>
        <v>0</v>
      </c>
      <c r="AC428" s="3">
        <f>IF('My investments'!$H$17="",0,IF('My investments'!$F428='My investments'!$H$17,$X428,0))</f>
        <v>0</v>
      </c>
      <c r="AD428" s="3">
        <f>IF('My investments'!$H$18="",0,IF('My investments'!$F428='My investments'!$H$18,$X428,0))</f>
        <v>0</v>
      </c>
      <c r="AE428" s="3">
        <f>IF('My investments'!$H$19="",0,IF('My investments'!$F428='My investments'!$H$19,$X428,0))</f>
        <v>0</v>
      </c>
      <c r="AF428" s="3">
        <f>IF('My investments'!$H$20="",0,IF('My investments'!$F428='My investments'!$H$20,$X428,0))</f>
        <v>0</v>
      </c>
      <c r="AG428" s="3">
        <f>IF('My investments'!$H$21="",0,IF('My investments'!$F428='My investments'!$H$21,$X428,0))</f>
        <v>0</v>
      </c>
      <c r="AH428" s="3">
        <f>IF('My investments'!$H$22="",0,IF('My investments'!$F428='My investments'!$H$22,$X428,0))</f>
        <v>0</v>
      </c>
      <c r="AI428" s="3">
        <f>IF('My investments'!$H$23="",0,IF('My investments'!$F428='My investments'!$H$23,$X428,0))</f>
        <v>0</v>
      </c>
      <c r="AJ428" s="3">
        <f>IF('My investments'!$H$24="",0,IF('My investments'!$F428='My investments'!$H$24,$X428,0))</f>
        <v>0</v>
      </c>
      <c r="AL428" s="3" t="str">
        <f>IF('My investments'!$B428="","",IF($D$10=0,"",IFERROR(INDEX('Index history'!$B$8:$B$5007,MATCH('My investments'!$B428,'Index history'!$A$8:$A$5007,1)),"")))</f>
        <v/>
      </c>
      <c r="AM428" s="3">
        <f>IF($AL428="",0,IF('My investments'!$D428="",0,IF('My investments'!$C428="Money in",'My investments'!$D428/$AL428,IF('My investments'!$C428="Money out",-'My investments'!$D428/$AL428,0))))</f>
        <v>0</v>
      </c>
    </row>
    <row r="429">
      <c r="X429" s="3">
        <f>IF('My investments'!$B429="",0,IF('My investments'!$E429="",0,'My investments'!$E429))</f>
        <v>0</v>
      </c>
      <c r="Y429" s="25">
        <f>IF('My investments'!$B429="",$D$8,'My investments'!$B429)</f>
        <v>0</v>
      </c>
      <c r="Z429" s="3">
        <f>IF('My investments'!$C429="Worth today",0,$X429)</f>
        <v>0</v>
      </c>
      <c r="AA429" s="3">
        <f>IF('My investments'!$H$15="",0,IF('My investments'!$F429='My investments'!$H$15,$X429,0))</f>
        <v>0</v>
      </c>
      <c r="AB429" s="3">
        <f>IF('My investments'!$H$16="",0,IF('My investments'!$F429='My investments'!$H$16,$X429,0))</f>
        <v>0</v>
      </c>
      <c r="AC429" s="3">
        <f>IF('My investments'!$H$17="",0,IF('My investments'!$F429='My investments'!$H$17,$X429,0))</f>
        <v>0</v>
      </c>
      <c r="AD429" s="3">
        <f>IF('My investments'!$H$18="",0,IF('My investments'!$F429='My investments'!$H$18,$X429,0))</f>
        <v>0</v>
      </c>
      <c r="AE429" s="3">
        <f>IF('My investments'!$H$19="",0,IF('My investments'!$F429='My investments'!$H$19,$X429,0))</f>
        <v>0</v>
      </c>
      <c r="AF429" s="3">
        <f>IF('My investments'!$H$20="",0,IF('My investments'!$F429='My investments'!$H$20,$X429,0))</f>
        <v>0</v>
      </c>
      <c r="AG429" s="3">
        <f>IF('My investments'!$H$21="",0,IF('My investments'!$F429='My investments'!$H$21,$X429,0))</f>
        <v>0</v>
      </c>
      <c r="AH429" s="3">
        <f>IF('My investments'!$H$22="",0,IF('My investments'!$F429='My investments'!$H$22,$X429,0))</f>
        <v>0</v>
      </c>
      <c r="AI429" s="3">
        <f>IF('My investments'!$H$23="",0,IF('My investments'!$F429='My investments'!$H$23,$X429,0))</f>
        <v>0</v>
      </c>
      <c r="AJ429" s="3">
        <f>IF('My investments'!$H$24="",0,IF('My investments'!$F429='My investments'!$H$24,$X429,0))</f>
        <v>0</v>
      </c>
      <c r="AL429" s="3" t="str">
        <f>IF('My investments'!$B429="","",IF($D$10=0,"",IFERROR(INDEX('Index history'!$B$8:$B$5007,MATCH('My investments'!$B429,'Index history'!$A$8:$A$5007,1)),"")))</f>
        <v/>
      </c>
      <c r="AM429" s="3">
        <f>IF($AL429="",0,IF('My investments'!$D429="",0,IF('My investments'!$C429="Money in",'My investments'!$D429/$AL429,IF('My investments'!$C429="Money out",-'My investments'!$D429/$AL429,0))))</f>
        <v>0</v>
      </c>
    </row>
    <row r="430">
      <c r="X430" s="3">
        <f>IF('My investments'!$B430="",0,IF('My investments'!$E430="",0,'My investments'!$E430))</f>
        <v>0</v>
      </c>
      <c r="Y430" s="25">
        <f>IF('My investments'!$B430="",$D$8,'My investments'!$B430)</f>
        <v>0</v>
      </c>
      <c r="Z430" s="3">
        <f>IF('My investments'!$C430="Worth today",0,$X430)</f>
        <v>0</v>
      </c>
      <c r="AA430" s="3">
        <f>IF('My investments'!$H$15="",0,IF('My investments'!$F430='My investments'!$H$15,$X430,0))</f>
        <v>0</v>
      </c>
      <c r="AB430" s="3">
        <f>IF('My investments'!$H$16="",0,IF('My investments'!$F430='My investments'!$H$16,$X430,0))</f>
        <v>0</v>
      </c>
      <c r="AC430" s="3">
        <f>IF('My investments'!$H$17="",0,IF('My investments'!$F430='My investments'!$H$17,$X430,0))</f>
        <v>0</v>
      </c>
      <c r="AD430" s="3">
        <f>IF('My investments'!$H$18="",0,IF('My investments'!$F430='My investments'!$H$18,$X430,0))</f>
        <v>0</v>
      </c>
      <c r="AE430" s="3">
        <f>IF('My investments'!$H$19="",0,IF('My investments'!$F430='My investments'!$H$19,$X430,0))</f>
        <v>0</v>
      </c>
      <c r="AF430" s="3">
        <f>IF('My investments'!$H$20="",0,IF('My investments'!$F430='My investments'!$H$20,$X430,0))</f>
        <v>0</v>
      </c>
      <c r="AG430" s="3">
        <f>IF('My investments'!$H$21="",0,IF('My investments'!$F430='My investments'!$H$21,$X430,0))</f>
        <v>0</v>
      </c>
      <c r="AH430" s="3">
        <f>IF('My investments'!$H$22="",0,IF('My investments'!$F430='My investments'!$H$22,$X430,0))</f>
        <v>0</v>
      </c>
      <c r="AI430" s="3">
        <f>IF('My investments'!$H$23="",0,IF('My investments'!$F430='My investments'!$H$23,$X430,0))</f>
        <v>0</v>
      </c>
      <c r="AJ430" s="3">
        <f>IF('My investments'!$H$24="",0,IF('My investments'!$F430='My investments'!$H$24,$X430,0))</f>
        <v>0</v>
      </c>
      <c r="AL430" s="3" t="str">
        <f>IF('My investments'!$B430="","",IF($D$10=0,"",IFERROR(INDEX('Index history'!$B$8:$B$5007,MATCH('My investments'!$B430,'Index history'!$A$8:$A$5007,1)),"")))</f>
        <v/>
      </c>
      <c r="AM430" s="3">
        <f>IF($AL430="",0,IF('My investments'!$D430="",0,IF('My investments'!$C430="Money in",'My investments'!$D430/$AL430,IF('My investments'!$C430="Money out",-'My investments'!$D430/$AL430,0))))</f>
        <v>0</v>
      </c>
    </row>
    <row r="431">
      <c r="X431" s="3">
        <f>IF('My investments'!$B431="",0,IF('My investments'!$E431="",0,'My investments'!$E431))</f>
        <v>0</v>
      </c>
      <c r="Y431" s="25">
        <f>IF('My investments'!$B431="",$D$8,'My investments'!$B431)</f>
        <v>0</v>
      </c>
      <c r="Z431" s="3">
        <f>IF('My investments'!$C431="Worth today",0,$X431)</f>
        <v>0</v>
      </c>
      <c r="AA431" s="3">
        <f>IF('My investments'!$H$15="",0,IF('My investments'!$F431='My investments'!$H$15,$X431,0))</f>
        <v>0</v>
      </c>
      <c r="AB431" s="3">
        <f>IF('My investments'!$H$16="",0,IF('My investments'!$F431='My investments'!$H$16,$X431,0))</f>
        <v>0</v>
      </c>
      <c r="AC431" s="3">
        <f>IF('My investments'!$H$17="",0,IF('My investments'!$F431='My investments'!$H$17,$X431,0))</f>
        <v>0</v>
      </c>
      <c r="AD431" s="3">
        <f>IF('My investments'!$H$18="",0,IF('My investments'!$F431='My investments'!$H$18,$X431,0))</f>
        <v>0</v>
      </c>
      <c r="AE431" s="3">
        <f>IF('My investments'!$H$19="",0,IF('My investments'!$F431='My investments'!$H$19,$X431,0))</f>
        <v>0</v>
      </c>
      <c r="AF431" s="3">
        <f>IF('My investments'!$H$20="",0,IF('My investments'!$F431='My investments'!$H$20,$X431,0))</f>
        <v>0</v>
      </c>
      <c r="AG431" s="3">
        <f>IF('My investments'!$H$21="",0,IF('My investments'!$F431='My investments'!$H$21,$X431,0))</f>
        <v>0</v>
      </c>
      <c r="AH431" s="3">
        <f>IF('My investments'!$H$22="",0,IF('My investments'!$F431='My investments'!$H$22,$X431,0))</f>
        <v>0</v>
      </c>
      <c r="AI431" s="3">
        <f>IF('My investments'!$H$23="",0,IF('My investments'!$F431='My investments'!$H$23,$X431,0))</f>
        <v>0</v>
      </c>
      <c r="AJ431" s="3">
        <f>IF('My investments'!$H$24="",0,IF('My investments'!$F431='My investments'!$H$24,$X431,0))</f>
        <v>0</v>
      </c>
      <c r="AL431" s="3" t="str">
        <f>IF('My investments'!$B431="","",IF($D$10=0,"",IFERROR(INDEX('Index history'!$B$8:$B$5007,MATCH('My investments'!$B431,'Index history'!$A$8:$A$5007,1)),"")))</f>
        <v/>
      </c>
      <c r="AM431" s="3">
        <f>IF($AL431="",0,IF('My investments'!$D431="",0,IF('My investments'!$C431="Money in",'My investments'!$D431/$AL431,IF('My investments'!$C431="Money out",-'My investments'!$D431/$AL431,0))))</f>
        <v>0</v>
      </c>
    </row>
    <row r="432">
      <c r="X432" s="3">
        <f>IF('My investments'!$B432="",0,IF('My investments'!$E432="",0,'My investments'!$E432))</f>
        <v>0</v>
      </c>
      <c r="Y432" s="25">
        <f>IF('My investments'!$B432="",$D$8,'My investments'!$B432)</f>
        <v>0</v>
      </c>
      <c r="Z432" s="3">
        <f>IF('My investments'!$C432="Worth today",0,$X432)</f>
        <v>0</v>
      </c>
      <c r="AA432" s="3">
        <f>IF('My investments'!$H$15="",0,IF('My investments'!$F432='My investments'!$H$15,$X432,0))</f>
        <v>0</v>
      </c>
      <c r="AB432" s="3">
        <f>IF('My investments'!$H$16="",0,IF('My investments'!$F432='My investments'!$H$16,$X432,0))</f>
        <v>0</v>
      </c>
      <c r="AC432" s="3">
        <f>IF('My investments'!$H$17="",0,IF('My investments'!$F432='My investments'!$H$17,$X432,0))</f>
        <v>0</v>
      </c>
      <c r="AD432" s="3">
        <f>IF('My investments'!$H$18="",0,IF('My investments'!$F432='My investments'!$H$18,$X432,0))</f>
        <v>0</v>
      </c>
      <c r="AE432" s="3">
        <f>IF('My investments'!$H$19="",0,IF('My investments'!$F432='My investments'!$H$19,$X432,0))</f>
        <v>0</v>
      </c>
      <c r="AF432" s="3">
        <f>IF('My investments'!$H$20="",0,IF('My investments'!$F432='My investments'!$H$20,$X432,0))</f>
        <v>0</v>
      </c>
      <c r="AG432" s="3">
        <f>IF('My investments'!$H$21="",0,IF('My investments'!$F432='My investments'!$H$21,$X432,0))</f>
        <v>0</v>
      </c>
      <c r="AH432" s="3">
        <f>IF('My investments'!$H$22="",0,IF('My investments'!$F432='My investments'!$H$22,$X432,0))</f>
        <v>0</v>
      </c>
      <c r="AI432" s="3">
        <f>IF('My investments'!$H$23="",0,IF('My investments'!$F432='My investments'!$H$23,$X432,0))</f>
        <v>0</v>
      </c>
      <c r="AJ432" s="3">
        <f>IF('My investments'!$H$24="",0,IF('My investments'!$F432='My investments'!$H$24,$X432,0))</f>
        <v>0</v>
      </c>
      <c r="AL432" s="3" t="str">
        <f>IF('My investments'!$B432="","",IF($D$10=0,"",IFERROR(INDEX('Index history'!$B$8:$B$5007,MATCH('My investments'!$B432,'Index history'!$A$8:$A$5007,1)),"")))</f>
        <v/>
      </c>
      <c r="AM432" s="3">
        <f>IF($AL432="",0,IF('My investments'!$D432="",0,IF('My investments'!$C432="Money in",'My investments'!$D432/$AL432,IF('My investments'!$C432="Money out",-'My investments'!$D432/$AL432,0))))</f>
        <v>0</v>
      </c>
    </row>
    <row r="433">
      <c r="X433" s="3">
        <f>IF('My investments'!$B433="",0,IF('My investments'!$E433="",0,'My investments'!$E433))</f>
        <v>0</v>
      </c>
      <c r="Y433" s="25">
        <f>IF('My investments'!$B433="",$D$8,'My investments'!$B433)</f>
        <v>0</v>
      </c>
      <c r="Z433" s="3">
        <f>IF('My investments'!$C433="Worth today",0,$X433)</f>
        <v>0</v>
      </c>
      <c r="AA433" s="3">
        <f>IF('My investments'!$H$15="",0,IF('My investments'!$F433='My investments'!$H$15,$X433,0))</f>
        <v>0</v>
      </c>
      <c r="AB433" s="3">
        <f>IF('My investments'!$H$16="",0,IF('My investments'!$F433='My investments'!$H$16,$X433,0))</f>
        <v>0</v>
      </c>
      <c r="AC433" s="3">
        <f>IF('My investments'!$H$17="",0,IF('My investments'!$F433='My investments'!$H$17,$X433,0))</f>
        <v>0</v>
      </c>
      <c r="AD433" s="3">
        <f>IF('My investments'!$H$18="",0,IF('My investments'!$F433='My investments'!$H$18,$X433,0))</f>
        <v>0</v>
      </c>
      <c r="AE433" s="3">
        <f>IF('My investments'!$H$19="",0,IF('My investments'!$F433='My investments'!$H$19,$X433,0))</f>
        <v>0</v>
      </c>
      <c r="AF433" s="3">
        <f>IF('My investments'!$H$20="",0,IF('My investments'!$F433='My investments'!$H$20,$X433,0))</f>
        <v>0</v>
      </c>
      <c r="AG433" s="3">
        <f>IF('My investments'!$H$21="",0,IF('My investments'!$F433='My investments'!$H$21,$X433,0))</f>
        <v>0</v>
      </c>
      <c r="AH433" s="3">
        <f>IF('My investments'!$H$22="",0,IF('My investments'!$F433='My investments'!$H$22,$X433,0))</f>
        <v>0</v>
      </c>
      <c r="AI433" s="3">
        <f>IF('My investments'!$H$23="",0,IF('My investments'!$F433='My investments'!$H$23,$X433,0))</f>
        <v>0</v>
      </c>
      <c r="AJ433" s="3">
        <f>IF('My investments'!$H$24="",0,IF('My investments'!$F433='My investments'!$H$24,$X433,0))</f>
        <v>0</v>
      </c>
      <c r="AL433" s="3" t="str">
        <f>IF('My investments'!$B433="","",IF($D$10=0,"",IFERROR(INDEX('Index history'!$B$8:$B$5007,MATCH('My investments'!$B433,'Index history'!$A$8:$A$5007,1)),"")))</f>
        <v/>
      </c>
      <c r="AM433" s="3">
        <f>IF($AL433="",0,IF('My investments'!$D433="",0,IF('My investments'!$C433="Money in",'My investments'!$D433/$AL433,IF('My investments'!$C433="Money out",-'My investments'!$D433/$AL433,0))))</f>
        <v>0</v>
      </c>
    </row>
    <row r="434">
      <c r="X434" s="3">
        <f>IF('My investments'!$B434="",0,IF('My investments'!$E434="",0,'My investments'!$E434))</f>
        <v>0</v>
      </c>
      <c r="Y434" s="25">
        <f>IF('My investments'!$B434="",$D$8,'My investments'!$B434)</f>
        <v>0</v>
      </c>
      <c r="Z434" s="3">
        <f>IF('My investments'!$C434="Worth today",0,$X434)</f>
        <v>0</v>
      </c>
      <c r="AA434" s="3">
        <f>IF('My investments'!$H$15="",0,IF('My investments'!$F434='My investments'!$H$15,$X434,0))</f>
        <v>0</v>
      </c>
      <c r="AB434" s="3">
        <f>IF('My investments'!$H$16="",0,IF('My investments'!$F434='My investments'!$H$16,$X434,0))</f>
        <v>0</v>
      </c>
      <c r="AC434" s="3">
        <f>IF('My investments'!$H$17="",0,IF('My investments'!$F434='My investments'!$H$17,$X434,0))</f>
        <v>0</v>
      </c>
      <c r="AD434" s="3">
        <f>IF('My investments'!$H$18="",0,IF('My investments'!$F434='My investments'!$H$18,$X434,0))</f>
        <v>0</v>
      </c>
      <c r="AE434" s="3">
        <f>IF('My investments'!$H$19="",0,IF('My investments'!$F434='My investments'!$H$19,$X434,0))</f>
        <v>0</v>
      </c>
      <c r="AF434" s="3">
        <f>IF('My investments'!$H$20="",0,IF('My investments'!$F434='My investments'!$H$20,$X434,0))</f>
        <v>0</v>
      </c>
      <c r="AG434" s="3">
        <f>IF('My investments'!$H$21="",0,IF('My investments'!$F434='My investments'!$H$21,$X434,0))</f>
        <v>0</v>
      </c>
      <c r="AH434" s="3">
        <f>IF('My investments'!$H$22="",0,IF('My investments'!$F434='My investments'!$H$22,$X434,0))</f>
        <v>0</v>
      </c>
      <c r="AI434" s="3">
        <f>IF('My investments'!$H$23="",0,IF('My investments'!$F434='My investments'!$H$23,$X434,0))</f>
        <v>0</v>
      </c>
      <c r="AJ434" s="3">
        <f>IF('My investments'!$H$24="",0,IF('My investments'!$F434='My investments'!$H$24,$X434,0))</f>
        <v>0</v>
      </c>
      <c r="AL434" s="3" t="str">
        <f>IF('My investments'!$B434="","",IF($D$10=0,"",IFERROR(INDEX('Index history'!$B$8:$B$5007,MATCH('My investments'!$B434,'Index history'!$A$8:$A$5007,1)),"")))</f>
        <v/>
      </c>
      <c r="AM434" s="3">
        <f>IF($AL434="",0,IF('My investments'!$D434="",0,IF('My investments'!$C434="Money in",'My investments'!$D434/$AL434,IF('My investments'!$C434="Money out",-'My investments'!$D434/$AL434,0))))</f>
        <v>0</v>
      </c>
    </row>
    <row r="435">
      <c r="X435" s="3">
        <f>IF('My investments'!$B435="",0,IF('My investments'!$E435="",0,'My investments'!$E435))</f>
        <v>0</v>
      </c>
      <c r="Y435" s="25">
        <f>IF('My investments'!$B435="",$D$8,'My investments'!$B435)</f>
        <v>0</v>
      </c>
      <c r="Z435" s="3">
        <f>IF('My investments'!$C435="Worth today",0,$X435)</f>
        <v>0</v>
      </c>
      <c r="AA435" s="3">
        <f>IF('My investments'!$H$15="",0,IF('My investments'!$F435='My investments'!$H$15,$X435,0))</f>
        <v>0</v>
      </c>
      <c r="AB435" s="3">
        <f>IF('My investments'!$H$16="",0,IF('My investments'!$F435='My investments'!$H$16,$X435,0))</f>
        <v>0</v>
      </c>
      <c r="AC435" s="3">
        <f>IF('My investments'!$H$17="",0,IF('My investments'!$F435='My investments'!$H$17,$X435,0))</f>
        <v>0</v>
      </c>
      <c r="AD435" s="3">
        <f>IF('My investments'!$H$18="",0,IF('My investments'!$F435='My investments'!$H$18,$X435,0))</f>
        <v>0</v>
      </c>
      <c r="AE435" s="3">
        <f>IF('My investments'!$H$19="",0,IF('My investments'!$F435='My investments'!$H$19,$X435,0))</f>
        <v>0</v>
      </c>
      <c r="AF435" s="3">
        <f>IF('My investments'!$H$20="",0,IF('My investments'!$F435='My investments'!$H$20,$X435,0))</f>
        <v>0</v>
      </c>
      <c r="AG435" s="3">
        <f>IF('My investments'!$H$21="",0,IF('My investments'!$F435='My investments'!$H$21,$X435,0))</f>
        <v>0</v>
      </c>
      <c r="AH435" s="3">
        <f>IF('My investments'!$H$22="",0,IF('My investments'!$F435='My investments'!$H$22,$X435,0))</f>
        <v>0</v>
      </c>
      <c r="AI435" s="3">
        <f>IF('My investments'!$H$23="",0,IF('My investments'!$F435='My investments'!$H$23,$X435,0))</f>
        <v>0</v>
      </c>
      <c r="AJ435" s="3">
        <f>IF('My investments'!$H$24="",0,IF('My investments'!$F435='My investments'!$H$24,$X435,0))</f>
        <v>0</v>
      </c>
      <c r="AL435" s="3" t="str">
        <f>IF('My investments'!$B435="","",IF($D$10=0,"",IFERROR(INDEX('Index history'!$B$8:$B$5007,MATCH('My investments'!$B435,'Index history'!$A$8:$A$5007,1)),"")))</f>
        <v/>
      </c>
      <c r="AM435" s="3">
        <f>IF($AL435="",0,IF('My investments'!$D435="",0,IF('My investments'!$C435="Money in",'My investments'!$D435/$AL435,IF('My investments'!$C435="Money out",-'My investments'!$D435/$AL435,0))))</f>
        <v>0</v>
      </c>
    </row>
    <row r="436">
      <c r="X436" s="3">
        <f>IF('My investments'!$B436="",0,IF('My investments'!$E436="",0,'My investments'!$E436))</f>
        <v>0</v>
      </c>
      <c r="Y436" s="25">
        <f>IF('My investments'!$B436="",$D$8,'My investments'!$B436)</f>
        <v>0</v>
      </c>
      <c r="Z436" s="3">
        <f>IF('My investments'!$C436="Worth today",0,$X436)</f>
        <v>0</v>
      </c>
      <c r="AA436" s="3">
        <f>IF('My investments'!$H$15="",0,IF('My investments'!$F436='My investments'!$H$15,$X436,0))</f>
        <v>0</v>
      </c>
      <c r="AB436" s="3">
        <f>IF('My investments'!$H$16="",0,IF('My investments'!$F436='My investments'!$H$16,$X436,0))</f>
        <v>0</v>
      </c>
      <c r="AC436" s="3">
        <f>IF('My investments'!$H$17="",0,IF('My investments'!$F436='My investments'!$H$17,$X436,0))</f>
        <v>0</v>
      </c>
      <c r="AD436" s="3">
        <f>IF('My investments'!$H$18="",0,IF('My investments'!$F436='My investments'!$H$18,$X436,0))</f>
        <v>0</v>
      </c>
      <c r="AE436" s="3">
        <f>IF('My investments'!$H$19="",0,IF('My investments'!$F436='My investments'!$H$19,$X436,0))</f>
        <v>0</v>
      </c>
      <c r="AF436" s="3">
        <f>IF('My investments'!$H$20="",0,IF('My investments'!$F436='My investments'!$H$20,$X436,0))</f>
        <v>0</v>
      </c>
      <c r="AG436" s="3">
        <f>IF('My investments'!$H$21="",0,IF('My investments'!$F436='My investments'!$H$21,$X436,0))</f>
        <v>0</v>
      </c>
      <c r="AH436" s="3">
        <f>IF('My investments'!$H$22="",0,IF('My investments'!$F436='My investments'!$H$22,$X436,0))</f>
        <v>0</v>
      </c>
      <c r="AI436" s="3">
        <f>IF('My investments'!$H$23="",0,IF('My investments'!$F436='My investments'!$H$23,$X436,0))</f>
        <v>0</v>
      </c>
      <c r="AJ436" s="3">
        <f>IF('My investments'!$H$24="",0,IF('My investments'!$F436='My investments'!$H$24,$X436,0))</f>
        <v>0</v>
      </c>
      <c r="AL436" s="3" t="str">
        <f>IF('My investments'!$B436="","",IF($D$10=0,"",IFERROR(INDEX('Index history'!$B$8:$B$5007,MATCH('My investments'!$B436,'Index history'!$A$8:$A$5007,1)),"")))</f>
        <v/>
      </c>
      <c r="AM436" s="3">
        <f>IF($AL436="",0,IF('My investments'!$D436="",0,IF('My investments'!$C436="Money in",'My investments'!$D436/$AL436,IF('My investments'!$C436="Money out",-'My investments'!$D436/$AL436,0))))</f>
        <v>0</v>
      </c>
    </row>
    <row r="437">
      <c r="X437" s="3">
        <f>IF('My investments'!$B437="",0,IF('My investments'!$E437="",0,'My investments'!$E437))</f>
        <v>0</v>
      </c>
      <c r="Y437" s="25">
        <f>IF('My investments'!$B437="",$D$8,'My investments'!$B437)</f>
        <v>0</v>
      </c>
      <c r="Z437" s="3">
        <f>IF('My investments'!$C437="Worth today",0,$X437)</f>
        <v>0</v>
      </c>
      <c r="AA437" s="3">
        <f>IF('My investments'!$H$15="",0,IF('My investments'!$F437='My investments'!$H$15,$X437,0))</f>
        <v>0</v>
      </c>
      <c r="AB437" s="3">
        <f>IF('My investments'!$H$16="",0,IF('My investments'!$F437='My investments'!$H$16,$X437,0))</f>
        <v>0</v>
      </c>
      <c r="AC437" s="3">
        <f>IF('My investments'!$H$17="",0,IF('My investments'!$F437='My investments'!$H$17,$X437,0))</f>
        <v>0</v>
      </c>
      <c r="AD437" s="3">
        <f>IF('My investments'!$H$18="",0,IF('My investments'!$F437='My investments'!$H$18,$X437,0))</f>
        <v>0</v>
      </c>
      <c r="AE437" s="3">
        <f>IF('My investments'!$H$19="",0,IF('My investments'!$F437='My investments'!$H$19,$X437,0))</f>
        <v>0</v>
      </c>
      <c r="AF437" s="3">
        <f>IF('My investments'!$H$20="",0,IF('My investments'!$F437='My investments'!$H$20,$X437,0))</f>
        <v>0</v>
      </c>
      <c r="AG437" s="3">
        <f>IF('My investments'!$H$21="",0,IF('My investments'!$F437='My investments'!$H$21,$X437,0))</f>
        <v>0</v>
      </c>
      <c r="AH437" s="3">
        <f>IF('My investments'!$H$22="",0,IF('My investments'!$F437='My investments'!$H$22,$X437,0))</f>
        <v>0</v>
      </c>
      <c r="AI437" s="3">
        <f>IF('My investments'!$H$23="",0,IF('My investments'!$F437='My investments'!$H$23,$X437,0))</f>
        <v>0</v>
      </c>
      <c r="AJ437" s="3">
        <f>IF('My investments'!$H$24="",0,IF('My investments'!$F437='My investments'!$H$24,$X437,0))</f>
        <v>0</v>
      </c>
      <c r="AL437" s="3" t="str">
        <f>IF('My investments'!$B437="","",IF($D$10=0,"",IFERROR(INDEX('Index history'!$B$8:$B$5007,MATCH('My investments'!$B437,'Index history'!$A$8:$A$5007,1)),"")))</f>
        <v/>
      </c>
      <c r="AM437" s="3">
        <f>IF($AL437="",0,IF('My investments'!$D437="",0,IF('My investments'!$C437="Money in",'My investments'!$D437/$AL437,IF('My investments'!$C437="Money out",-'My investments'!$D437/$AL437,0))))</f>
        <v>0</v>
      </c>
    </row>
    <row r="438">
      <c r="X438" s="3">
        <f>IF('My investments'!$B438="",0,IF('My investments'!$E438="",0,'My investments'!$E438))</f>
        <v>0</v>
      </c>
      <c r="Y438" s="25">
        <f>IF('My investments'!$B438="",$D$8,'My investments'!$B438)</f>
        <v>0</v>
      </c>
      <c r="Z438" s="3">
        <f>IF('My investments'!$C438="Worth today",0,$X438)</f>
        <v>0</v>
      </c>
      <c r="AA438" s="3">
        <f>IF('My investments'!$H$15="",0,IF('My investments'!$F438='My investments'!$H$15,$X438,0))</f>
        <v>0</v>
      </c>
      <c r="AB438" s="3">
        <f>IF('My investments'!$H$16="",0,IF('My investments'!$F438='My investments'!$H$16,$X438,0))</f>
        <v>0</v>
      </c>
      <c r="AC438" s="3">
        <f>IF('My investments'!$H$17="",0,IF('My investments'!$F438='My investments'!$H$17,$X438,0))</f>
        <v>0</v>
      </c>
      <c r="AD438" s="3">
        <f>IF('My investments'!$H$18="",0,IF('My investments'!$F438='My investments'!$H$18,$X438,0))</f>
        <v>0</v>
      </c>
      <c r="AE438" s="3">
        <f>IF('My investments'!$H$19="",0,IF('My investments'!$F438='My investments'!$H$19,$X438,0))</f>
        <v>0</v>
      </c>
      <c r="AF438" s="3">
        <f>IF('My investments'!$H$20="",0,IF('My investments'!$F438='My investments'!$H$20,$X438,0))</f>
        <v>0</v>
      </c>
      <c r="AG438" s="3">
        <f>IF('My investments'!$H$21="",0,IF('My investments'!$F438='My investments'!$H$21,$X438,0))</f>
        <v>0</v>
      </c>
      <c r="AH438" s="3">
        <f>IF('My investments'!$H$22="",0,IF('My investments'!$F438='My investments'!$H$22,$X438,0))</f>
        <v>0</v>
      </c>
      <c r="AI438" s="3">
        <f>IF('My investments'!$H$23="",0,IF('My investments'!$F438='My investments'!$H$23,$X438,0))</f>
        <v>0</v>
      </c>
      <c r="AJ438" s="3">
        <f>IF('My investments'!$H$24="",0,IF('My investments'!$F438='My investments'!$H$24,$X438,0))</f>
        <v>0</v>
      </c>
      <c r="AL438" s="3" t="str">
        <f>IF('My investments'!$B438="","",IF($D$10=0,"",IFERROR(INDEX('Index history'!$B$8:$B$5007,MATCH('My investments'!$B438,'Index history'!$A$8:$A$5007,1)),"")))</f>
        <v/>
      </c>
      <c r="AM438" s="3">
        <f>IF($AL438="",0,IF('My investments'!$D438="",0,IF('My investments'!$C438="Money in",'My investments'!$D438/$AL438,IF('My investments'!$C438="Money out",-'My investments'!$D438/$AL438,0))))</f>
        <v>0</v>
      </c>
    </row>
    <row r="439">
      <c r="X439" s="3">
        <f>IF('My investments'!$B439="",0,IF('My investments'!$E439="",0,'My investments'!$E439))</f>
        <v>0</v>
      </c>
      <c r="Y439" s="25">
        <f>IF('My investments'!$B439="",$D$8,'My investments'!$B439)</f>
        <v>0</v>
      </c>
      <c r="Z439" s="3">
        <f>IF('My investments'!$C439="Worth today",0,$X439)</f>
        <v>0</v>
      </c>
      <c r="AA439" s="3">
        <f>IF('My investments'!$H$15="",0,IF('My investments'!$F439='My investments'!$H$15,$X439,0))</f>
        <v>0</v>
      </c>
      <c r="AB439" s="3">
        <f>IF('My investments'!$H$16="",0,IF('My investments'!$F439='My investments'!$H$16,$X439,0))</f>
        <v>0</v>
      </c>
      <c r="AC439" s="3">
        <f>IF('My investments'!$H$17="",0,IF('My investments'!$F439='My investments'!$H$17,$X439,0))</f>
        <v>0</v>
      </c>
      <c r="AD439" s="3">
        <f>IF('My investments'!$H$18="",0,IF('My investments'!$F439='My investments'!$H$18,$X439,0))</f>
        <v>0</v>
      </c>
      <c r="AE439" s="3">
        <f>IF('My investments'!$H$19="",0,IF('My investments'!$F439='My investments'!$H$19,$X439,0))</f>
        <v>0</v>
      </c>
      <c r="AF439" s="3">
        <f>IF('My investments'!$H$20="",0,IF('My investments'!$F439='My investments'!$H$20,$X439,0))</f>
        <v>0</v>
      </c>
      <c r="AG439" s="3">
        <f>IF('My investments'!$H$21="",0,IF('My investments'!$F439='My investments'!$H$21,$X439,0))</f>
        <v>0</v>
      </c>
      <c r="AH439" s="3">
        <f>IF('My investments'!$H$22="",0,IF('My investments'!$F439='My investments'!$H$22,$X439,0))</f>
        <v>0</v>
      </c>
      <c r="AI439" s="3">
        <f>IF('My investments'!$H$23="",0,IF('My investments'!$F439='My investments'!$H$23,$X439,0))</f>
        <v>0</v>
      </c>
      <c r="AJ439" s="3">
        <f>IF('My investments'!$H$24="",0,IF('My investments'!$F439='My investments'!$H$24,$X439,0))</f>
        <v>0</v>
      </c>
      <c r="AL439" s="3" t="str">
        <f>IF('My investments'!$B439="","",IF($D$10=0,"",IFERROR(INDEX('Index history'!$B$8:$B$5007,MATCH('My investments'!$B439,'Index history'!$A$8:$A$5007,1)),"")))</f>
        <v/>
      </c>
      <c r="AM439" s="3">
        <f>IF($AL439="",0,IF('My investments'!$D439="",0,IF('My investments'!$C439="Money in",'My investments'!$D439/$AL439,IF('My investments'!$C439="Money out",-'My investments'!$D439/$AL439,0))))</f>
        <v>0</v>
      </c>
    </row>
    <row r="440">
      <c r="X440" s="3">
        <f>IF('My investments'!$B440="",0,IF('My investments'!$E440="",0,'My investments'!$E440))</f>
        <v>0</v>
      </c>
      <c r="Y440" s="25">
        <f>IF('My investments'!$B440="",$D$8,'My investments'!$B440)</f>
        <v>0</v>
      </c>
      <c r="Z440" s="3">
        <f>IF('My investments'!$C440="Worth today",0,$X440)</f>
        <v>0</v>
      </c>
      <c r="AA440" s="3">
        <f>IF('My investments'!$H$15="",0,IF('My investments'!$F440='My investments'!$H$15,$X440,0))</f>
        <v>0</v>
      </c>
      <c r="AB440" s="3">
        <f>IF('My investments'!$H$16="",0,IF('My investments'!$F440='My investments'!$H$16,$X440,0))</f>
        <v>0</v>
      </c>
      <c r="AC440" s="3">
        <f>IF('My investments'!$H$17="",0,IF('My investments'!$F440='My investments'!$H$17,$X440,0))</f>
        <v>0</v>
      </c>
      <c r="AD440" s="3">
        <f>IF('My investments'!$H$18="",0,IF('My investments'!$F440='My investments'!$H$18,$X440,0))</f>
        <v>0</v>
      </c>
      <c r="AE440" s="3">
        <f>IF('My investments'!$H$19="",0,IF('My investments'!$F440='My investments'!$H$19,$X440,0))</f>
        <v>0</v>
      </c>
      <c r="AF440" s="3">
        <f>IF('My investments'!$H$20="",0,IF('My investments'!$F440='My investments'!$H$20,$X440,0))</f>
        <v>0</v>
      </c>
      <c r="AG440" s="3">
        <f>IF('My investments'!$H$21="",0,IF('My investments'!$F440='My investments'!$H$21,$X440,0))</f>
        <v>0</v>
      </c>
      <c r="AH440" s="3">
        <f>IF('My investments'!$H$22="",0,IF('My investments'!$F440='My investments'!$H$22,$X440,0))</f>
        <v>0</v>
      </c>
      <c r="AI440" s="3">
        <f>IF('My investments'!$H$23="",0,IF('My investments'!$F440='My investments'!$H$23,$X440,0))</f>
        <v>0</v>
      </c>
      <c r="AJ440" s="3">
        <f>IF('My investments'!$H$24="",0,IF('My investments'!$F440='My investments'!$H$24,$X440,0))</f>
        <v>0</v>
      </c>
      <c r="AL440" s="3" t="str">
        <f>IF('My investments'!$B440="","",IF($D$10=0,"",IFERROR(INDEX('Index history'!$B$8:$B$5007,MATCH('My investments'!$B440,'Index history'!$A$8:$A$5007,1)),"")))</f>
        <v/>
      </c>
      <c r="AM440" s="3">
        <f>IF($AL440="",0,IF('My investments'!$D440="",0,IF('My investments'!$C440="Money in",'My investments'!$D440/$AL440,IF('My investments'!$C440="Money out",-'My investments'!$D440/$AL440,0))))</f>
        <v>0</v>
      </c>
    </row>
    <row r="441">
      <c r="X441" s="3">
        <f>IF('My investments'!$B441="",0,IF('My investments'!$E441="",0,'My investments'!$E441))</f>
        <v>0</v>
      </c>
      <c r="Y441" s="25">
        <f>IF('My investments'!$B441="",$D$8,'My investments'!$B441)</f>
        <v>0</v>
      </c>
      <c r="Z441" s="3">
        <f>IF('My investments'!$C441="Worth today",0,$X441)</f>
        <v>0</v>
      </c>
      <c r="AA441" s="3">
        <f>IF('My investments'!$H$15="",0,IF('My investments'!$F441='My investments'!$H$15,$X441,0))</f>
        <v>0</v>
      </c>
      <c r="AB441" s="3">
        <f>IF('My investments'!$H$16="",0,IF('My investments'!$F441='My investments'!$H$16,$X441,0))</f>
        <v>0</v>
      </c>
      <c r="AC441" s="3">
        <f>IF('My investments'!$H$17="",0,IF('My investments'!$F441='My investments'!$H$17,$X441,0))</f>
        <v>0</v>
      </c>
      <c r="AD441" s="3">
        <f>IF('My investments'!$H$18="",0,IF('My investments'!$F441='My investments'!$H$18,$X441,0))</f>
        <v>0</v>
      </c>
      <c r="AE441" s="3">
        <f>IF('My investments'!$H$19="",0,IF('My investments'!$F441='My investments'!$H$19,$X441,0))</f>
        <v>0</v>
      </c>
      <c r="AF441" s="3">
        <f>IF('My investments'!$H$20="",0,IF('My investments'!$F441='My investments'!$H$20,$X441,0))</f>
        <v>0</v>
      </c>
      <c r="AG441" s="3">
        <f>IF('My investments'!$H$21="",0,IF('My investments'!$F441='My investments'!$H$21,$X441,0))</f>
        <v>0</v>
      </c>
      <c r="AH441" s="3">
        <f>IF('My investments'!$H$22="",0,IF('My investments'!$F441='My investments'!$H$22,$X441,0))</f>
        <v>0</v>
      </c>
      <c r="AI441" s="3">
        <f>IF('My investments'!$H$23="",0,IF('My investments'!$F441='My investments'!$H$23,$X441,0))</f>
        <v>0</v>
      </c>
      <c r="AJ441" s="3">
        <f>IF('My investments'!$H$24="",0,IF('My investments'!$F441='My investments'!$H$24,$X441,0))</f>
        <v>0</v>
      </c>
      <c r="AL441" s="3" t="str">
        <f>IF('My investments'!$B441="","",IF($D$10=0,"",IFERROR(INDEX('Index history'!$B$8:$B$5007,MATCH('My investments'!$B441,'Index history'!$A$8:$A$5007,1)),"")))</f>
        <v/>
      </c>
      <c r="AM441" s="3">
        <f>IF($AL441="",0,IF('My investments'!$D441="",0,IF('My investments'!$C441="Money in",'My investments'!$D441/$AL441,IF('My investments'!$C441="Money out",-'My investments'!$D441/$AL441,0))))</f>
        <v>0</v>
      </c>
    </row>
    <row r="442">
      <c r="X442" s="3">
        <f>IF('My investments'!$B442="",0,IF('My investments'!$E442="",0,'My investments'!$E442))</f>
        <v>0</v>
      </c>
      <c r="Y442" s="25">
        <f>IF('My investments'!$B442="",$D$8,'My investments'!$B442)</f>
        <v>0</v>
      </c>
      <c r="Z442" s="3">
        <f>IF('My investments'!$C442="Worth today",0,$X442)</f>
        <v>0</v>
      </c>
      <c r="AA442" s="3">
        <f>IF('My investments'!$H$15="",0,IF('My investments'!$F442='My investments'!$H$15,$X442,0))</f>
        <v>0</v>
      </c>
      <c r="AB442" s="3">
        <f>IF('My investments'!$H$16="",0,IF('My investments'!$F442='My investments'!$H$16,$X442,0))</f>
        <v>0</v>
      </c>
      <c r="AC442" s="3">
        <f>IF('My investments'!$H$17="",0,IF('My investments'!$F442='My investments'!$H$17,$X442,0))</f>
        <v>0</v>
      </c>
      <c r="AD442" s="3">
        <f>IF('My investments'!$H$18="",0,IF('My investments'!$F442='My investments'!$H$18,$X442,0))</f>
        <v>0</v>
      </c>
      <c r="AE442" s="3">
        <f>IF('My investments'!$H$19="",0,IF('My investments'!$F442='My investments'!$H$19,$X442,0))</f>
        <v>0</v>
      </c>
      <c r="AF442" s="3">
        <f>IF('My investments'!$H$20="",0,IF('My investments'!$F442='My investments'!$H$20,$X442,0))</f>
        <v>0</v>
      </c>
      <c r="AG442" s="3">
        <f>IF('My investments'!$H$21="",0,IF('My investments'!$F442='My investments'!$H$21,$X442,0))</f>
        <v>0</v>
      </c>
      <c r="AH442" s="3">
        <f>IF('My investments'!$H$22="",0,IF('My investments'!$F442='My investments'!$H$22,$X442,0))</f>
        <v>0</v>
      </c>
      <c r="AI442" s="3">
        <f>IF('My investments'!$H$23="",0,IF('My investments'!$F442='My investments'!$H$23,$X442,0))</f>
        <v>0</v>
      </c>
      <c r="AJ442" s="3">
        <f>IF('My investments'!$H$24="",0,IF('My investments'!$F442='My investments'!$H$24,$X442,0))</f>
        <v>0</v>
      </c>
      <c r="AL442" s="3" t="str">
        <f>IF('My investments'!$B442="","",IF($D$10=0,"",IFERROR(INDEX('Index history'!$B$8:$B$5007,MATCH('My investments'!$B442,'Index history'!$A$8:$A$5007,1)),"")))</f>
        <v/>
      </c>
      <c r="AM442" s="3">
        <f>IF($AL442="",0,IF('My investments'!$D442="",0,IF('My investments'!$C442="Money in",'My investments'!$D442/$AL442,IF('My investments'!$C442="Money out",-'My investments'!$D442/$AL442,0))))</f>
        <v>0</v>
      </c>
    </row>
    <row r="443">
      <c r="X443" s="3">
        <f>IF('My investments'!$B443="",0,IF('My investments'!$E443="",0,'My investments'!$E443))</f>
        <v>0</v>
      </c>
      <c r="Y443" s="25">
        <f>IF('My investments'!$B443="",$D$8,'My investments'!$B443)</f>
        <v>0</v>
      </c>
      <c r="Z443" s="3">
        <f>IF('My investments'!$C443="Worth today",0,$X443)</f>
        <v>0</v>
      </c>
      <c r="AA443" s="3">
        <f>IF('My investments'!$H$15="",0,IF('My investments'!$F443='My investments'!$H$15,$X443,0))</f>
        <v>0</v>
      </c>
      <c r="AB443" s="3">
        <f>IF('My investments'!$H$16="",0,IF('My investments'!$F443='My investments'!$H$16,$X443,0))</f>
        <v>0</v>
      </c>
      <c r="AC443" s="3">
        <f>IF('My investments'!$H$17="",0,IF('My investments'!$F443='My investments'!$H$17,$X443,0))</f>
        <v>0</v>
      </c>
      <c r="AD443" s="3">
        <f>IF('My investments'!$H$18="",0,IF('My investments'!$F443='My investments'!$H$18,$X443,0))</f>
        <v>0</v>
      </c>
      <c r="AE443" s="3">
        <f>IF('My investments'!$H$19="",0,IF('My investments'!$F443='My investments'!$H$19,$X443,0))</f>
        <v>0</v>
      </c>
      <c r="AF443" s="3">
        <f>IF('My investments'!$H$20="",0,IF('My investments'!$F443='My investments'!$H$20,$X443,0))</f>
        <v>0</v>
      </c>
      <c r="AG443" s="3">
        <f>IF('My investments'!$H$21="",0,IF('My investments'!$F443='My investments'!$H$21,$X443,0))</f>
        <v>0</v>
      </c>
      <c r="AH443" s="3">
        <f>IF('My investments'!$H$22="",0,IF('My investments'!$F443='My investments'!$H$22,$X443,0))</f>
        <v>0</v>
      </c>
      <c r="AI443" s="3">
        <f>IF('My investments'!$H$23="",0,IF('My investments'!$F443='My investments'!$H$23,$X443,0))</f>
        <v>0</v>
      </c>
      <c r="AJ443" s="3">
        <f>IF('My investments'!$H$24="",0,IF('My investments'!$F443='My investments'!$H$24,$X443,0))</f>
        <v>0</v>
      </c>
      <c r="AL443" s="3" t="str">
        <f>IF('My investments'!$B443="","",IF($D$10=0,"",IFERROR(INDEX('Index history'!$B$8:$B$5007,MATCH('My investments'!$B443,'Index history'!$A$8:$A$5007,1)),"")))</f>
        <v/>
      </c>
      <c r="AM443" s="3">
        <f>IF($AL443="",0,IF('My investments'!$D443="",0,IF('My investments'!$C443="Money in",'My investments'!$D443/$AL443,IF('My investments'!$C443="Money out",-'My investments'!$D443/$AL443,0))))</f>
        <v>0</v>
      </c>
    </row>
    <row r="444">
      <c r="X444" s="3">
        <f>IF('My investments'!$B444="",0,IF('My investments'!$E444="",0,'My investments'!$E444))</f>
        <v>0</v>
      </c>
      <c r="Y444" s="25">
        <f>IF('My investments'!$B444="",$D$8,'My investments'!$B444)</f>
        <v>0</v>
      </c>
      <c r="Z444" s="3">
        <f>IF('My investments'!$C444="Worth today",0,$X444)</f>
        <v>0</v>
      </c>
      <c r="AA444" s="3">
        <f>IF('My investments'!$H$15="",0,IF('My investments'!$F444='My investments'!$H$15,$X444,0))</f>
        <v>0</v>
      </c>
      <c r="AB444" s="3">
        <f>IF('My investments'!$H$16="",0,IF('My investments'!$F444='My investments'!$H$16,$X444,0))</f>
        <v>0</v>
      </c>
      <c r="AC444" s="3">
        <f>IF('My investments'!$H$17="",0,IF('My investments'!$F444='My investments'!$H$17,$X444,0))</f>
        <v>0</v>
      </c>
      <c r="AD444" s="3">
        <f>IF('My investments'!$H$18="",0,IF('My investments'!$F444='My investments'!$H$18,$X444,0))</f>
        <v>0</v>
      </c>
      <c r="AE444" s="3">
        <f>IF('My investments'!$H$19="",0,IF('My investments'!$F444='My investments'!$H$19,$X444,0))</f>
        <v>0</v>
      </c>
      <c r="AF444" s="3">
        <f>IF('My investments'!$H$20="",0,IF('My investments'!$F444='My investments'!$H$20,$X444,0))</f>
        <v>0</v>
      </c>
      <c r="AG444" s="3">
        <f>IF('My investments'!$H$21="",0,IF('My investments'!$F444='My investments'!$H$21,$X444,0))</f>
        <v>0</v>
      </c>
      <c r="AH444" s="3">
        <f>IF('My investments'!$H$22="",0,IF('My investments'!$F444='My investments'!$H$22,$X444,0))</f>
        <v>0</v>
      </c>
      <c r="AI444" s="3">
        <f>IF('My investments'!$H$23="",0,IF('My investments'!$F444='My investments'!$H$23,$X444,0))</f>
        <v>0</v>
      </c>
      <c r="AJ444" s="3">
        <f>IF('My investments'!$H$24="",0,IF('My investments'!$F444='My investments'!$H$24,$X444,0))</f>
        <v>0</v>
      </c>
      <c r="AL444" s="3" t="str">
        <f>IF('My investments'!$B444="","",IF($D$10=0,"",IFERROR(INDEX('Index history'!$B$8:$B$5007,MATCH('My investments'!$B444,'Index history'!$A$8:$A$5007,1)),"")))</f>
        <v/>
      </c>
      <c r="AM444" s="3">
        <f>IF($AL444="",0,IF('My investments'!$D444="",0,IF('My investments'!$C444="Money in",'My investments'!$D444/$AL444,IF('My investments'!$C444="Money out",-'My investments'!$D444/$AL444,0))))</f>
        <v>0</v>
      </c>
    </row>
    <row r="445">
      <c r="X445" s="3">
        <f>IF('My investments'!$B445="",0,IF('My investments'!$E445="",0,'My investments'!$E445))</f>
        <v>0</v>
      </c>
      <c r="Y445" s="25">
        <f>IF('My investments'!$B445="",$D$8,'My investments'!$B445)</f>
        <v>0</v>
      </c>
      <c r="Z445" s="3">
        <f>IF('My investments'!$C445="Worth today",0,$X445)</f>
        <v>0</v>
      </c>
      <c r="AA445" s="3">
        <f>IF('My investments'!$H$15="",0,IF('My investments'!$F445='My investments'!$H$15,$X445,0))</f>
        <v>0</v>
      </c>
      <c r="AB445" s="3">
        <f>IF('My investments'!$H$16="",0,IF('My investments'!$F445='My investments'!$H$16,$X445,0))</f>
        <v>0</v>
      </c>
      <c r="AC445" s="3">
        <f>IF('My investments'!$H$17="",0,IF('My investments'!$F445='My investments'!$H$17,$X445,0))</f>
        <v>0</v>
      </c>
      <c r="AD445" s="3">
        <f>IF('My investments'!$H$18="",0,IF('My investments'!$F445='My investments'!$H$18,$X445,0))</f>
        <v>0</v>
      </c>
      <c r="AE445" s="3">
        <f>IF('My investments'!$H$19="",0,IF('My investments'!$F445='My investments'!$H$19,$X445,0))</f>
        <v>0</v>
      </c>
      <c r="AF445" s="3">
        <f>IF('My investments'!$H$20="",0,IF('My investments'!$F445='My investments'!$H$20,$X445,0))</f>
        <v>0</v>
      </c>
      <c r="AG445" s="3">
        <f>IF('My investments'!$H$21="",0,IF('My investments'!$F445='My investments'!$H$21,$X445,0))</f>
        <v>0</v>
      </c>
      <c r="AH445" s="3">
        <f>IF('My investments'!$H$22="",0,IF('My investments'!$F445='My investments'!$H$22,$X445,0))</f>
        <v>0</v>
      </c>
      <c r="AI445" s="3">
        <f>IF('My investments'!$H$23="",0,IF('My investments'!$F445='My investments'!$H$23,$X445,0))</f>
        <v>0</v>
      </c>
      <c r="AJ445" s="3">
        <f>IF('My investments'!$H$24="",0,IF('My investments'!$F445='My investments'!$H$24,$X445,0))</f>
        <v>0</v>
      </c>
      <c r="AL445" s="3" t="str">
        <f>IF('My investments'!$B445="","",IF($D$10=0,"",IFERROR(INDEX('Index history'!$B$8:$B$5007,MATCH('My investments'!$B445,'Index history'!$A$8:$A$5007,1)),"")))</f>
        <v/>
      </c>
      <c r="AM445" s="3">
        <f>IF($AL445="",0,IF('My investments'!$D445="",0,IF('My investments'!$C445="Money in",'My investments'!$D445/$AL445,IF('My investments'!$C445="Money out",-'My investments'!$D445/$AL445,0))))</f>
        <v>0</v>
      </c>
    </row>
    <row r="446">
      <c r="X446" s="3">
        <f>IF('My investments'!$B446="",0,IF('My investments'!$E446="",0,'My investments'!$E446))</f>
        <v>0</v>
      </c>
      <c r="Y446" s="25">
        <f>IF('My investments'!$B446="",$D$8,'My investments'!$B446)</f>
        <v>0</v>
      </c>
      <c r="Z446" s="3">
        <f>IF('My investments'!$C446="Worth today",0,$X446)</f>
        <v>0</v>
      </c>
      <c r="AA446" s="3">
        <f>IF('My investments'!$H$15="",0,IF('My investments'!$F446='My investments'!$H$15,$X446,0))</f>
        <v>0</v>
      </c>
      <c r="AB446" s="3">
        <f>IF('My investments'!$H$16="",0,IF('My investments'!$F446='My investments'!$H$16,$X446,0))</f>
        <v>0</v>
      </c>
      <c r="AC446" s="3">
        <f>IF('My investments'!$H$17="",0,IF('My investments'!$F446='My investments'!$H$17,$X446,0))</f>
        <v>0</v>
      </c>
      <c r="AD446" s="3">
        <f>IF('My investments'!$H$18="",0,IF('My investments'!$F446='My investments'!$H$18,$X446,0))</f>
        <v>0</v>
      </c>
      <c r="AE446" s="3">
        <f>IF('My investments'!$H$19="",0,IF('My investments'!$F446='My investments'!$H$19,$X446,0))</f>
        <v>0</v>
      </c>
      <c r="AF446" s="3">
        <f>IF('My investments'!$H$20="",0,IF('My investments'!$F446='My investments'!$H$20,$X446,0))</f>
        <v>0</v>
      </c>
      <c r="AG446" s="3">
        <f>IF('My investments'!$H$21="",0,IF('My investments'!$F446='My investments'!$H$21,$X446,0))</f>
        <v>0</v>
      </c>
      <c r="AH446" s="3">
        <f>IF('My investments'!$H$22="",0,IF('My investments'!$F446='My investments'!$H$22,$X446,0))</f>
        <v>0</v>
      </c>
      <c r="AI446" s="3">
        <f>IF('My investments'!$H$23="",0,IF('My investments'!$F446='My investments'!$H$23,$X446,0))</f>
        <v>0</v>
      </c>
      <c r="AJ446" s="3">
        <f>IF('My investments'!$H$24="",0,IF('My investments'!$F446='My investments'!$H$24,$X446,0))</f>
        <v>0</v>
      </c>
      <c r="AL446" s="3" t="str">
        <f>IF('My investments'!$B446="","",IF($D$10=0,"",IFERROR(INDEX('Index history'!$B$8:$B$5007,MATCH('My investments'!$B446,'Index history'!$A$8:$A$5007,1)),"")))</f>
        <v/>
      </c>
      <c r="AM446" s="3">
        <f>IF($AL446="",0,IF('My investments'!$D446="",0,IF('My investments'!$C446="Money in",'My investments'!$D446/$AL446,IF('My investments'!$C446="Money out",-'My investments'!$D446/$AL446,0))))</f>
        <v>0</v>
      </c>
    </row>
    <row r="447">
      <c r="X447" s="3">
        <f>IF('My investments'!$B447="",0,IF('My investments'!$E447="",0,'My investments'!$E447))</f>
        <v>0</v>
      </c>
      <c r="Y447" s="25">
        <f>IF('My investments'!$B447="",$D$8,'My investments'!$B447)</f>
        <v>0</v>
      </c>
      <c r="Z447" s="3">
        <f>IF('My investments'!$C447="Worth today",0,$X447)</f>
        <v>0</v>
      </c>
      <c r="AA447" s="3">
        <f>IF('My investments'!$H$15="",0,IF('My investments'!$F447='My investments'!$H$15,$X447,0))</f>
        <v>0</v>
      </c>
      <c r="AB447" s="3">
        <f>IF('My investments'!$H$16="",0,IF('My investments'!$F447='My investments'!$H$16,$X447,0))</f>
        <v>0</v>
      </c>
      <c r="AC447" s="3">
        <f>IF('My investments'!$H$17="",0,IF('My investments'!$F447='My investments'!$H$17,$X447,0))</f>
        <v>0</v>
      </c>
      <c r="AD447" s="3">
        <f>IF('My investments'!$H$18="",0,IF('My investments'!$F447='My investments'!$H$18,$X447,0))</f>
        <v>0</v>
      </c>
      <c r="AE447" s="3">
        <f>IF('My investments'!$H$19="",0,IF('My investments'!$F447='My investments'!$H$19,$X447,0))</f>
        <v>0</v>
      </c>
      <c r="AF447" s="3">
        <f>IF('My investments'!$H$20="",0,IF('My investments'!$F447='My investments'!$H$20,$X447,0))</f>
        <v>0</v>
      </c>
      <c r="AG447" s="3">
        <f>IF('My investments'!$H$21="",0,IF('My investments'!$F447='My investments'!$H$21,$X447,0))</f>
        <v>0</v>
      </c>
      <c r="AH447" s="3">
        <f>IF('My investments'!$H$22="",0,IF('My investments'!$F447='My investments'!$H$22,$X447,0))</f>
        <v>0</v>
      </c>
      <c r="AI447" s="3">
        <f>IF('My investments'!$H$23="",0,IF('My investments'!$F447='My investments'!$H$23,$X447,0))</f>
        <v>0</v>
      </c>
      <c r="AJ447" s="3">
        <f>IF('My investments'!$H$24="",0,IF('My investments'!$F447='My investments'!$H$24,$X447,0))</f>
        <v>0</v>
      </c>
      <c r="AL447" s="3" t="str">
        <f>IF('My investments'!$B447="","",IF($D$10=0,"",IFERROR(INDEX('Index history'!$B$8:$B$5007,MATCH('My investments'!$B447,'Index history'!$A$8:$A$5007,1)),"")))</f>
        <v/>
      </c>
      <c r="AM447" s="3">
        <f>IF($AL447="",0,IF('My investments'!$D447="",0,IF('My investments'!$C447="Money in",'My investments'!$D447/$AL447,IF('My investments'!$C447="Money out",-'My investments'!$D447/$AL447,0))))</f>
        <v>0</v>
      </c>
    </row>
    <row r="448">
      <c r="X448" s="3">
        <f>IF('My investments'!$B448="",0,IF('My investments'!$E448="",0,'My investments'!$E448))</f>
        <v>0</v>
      </c>
      <c r="Y448" s="25">
        <f>IF('My investments'!$B448="",$D$8,'My investments'!$B448)</f>
        <v>0</v>
      </c>
      <c r="Z448" s="3">
        <f>IF('My investments'!$C448="Worth today",0,$X448)</f>
        <v>0</v>
      </c>
      <c r="AA448" s="3">
        <f>IF('My investments'!$H$15="",0,IF('My investments'!$F448='My investments'!$H$15,$X448,0))</f>
        <v>0</v>
      </c>
      <c r="AB448" s="3">
        <f>IF('My investments'!$H$16="",0,IF('My investments'!$F448='My investments'!$H$16,$X448,0))</f>
        <v>0</v>
      </c>
      <c r="AC448" s="3">
        <f>IF('My investments'!$H$17="",0,IF('My investments'!$F448='My investments'!$H$17,$X448,0))</f>
        <v>0</v>
      </c>
      <c r="AD448" s="3">
        <f>IF('My investments'!$H$18="",0,IF('My investments'!$F448='My investments'!$H$18,$X448,0))</f>
        <v>0</v>
      </c>
      <c r="AE448" s="3">
        <f>IF('My investments'!$H$19="",0,IF('My investments'!$F448='My investments'!$H$19,$X448,0))</f>
        <v>0</v>
      </c>
      <c r="AF448" s="3">
        <f>IF('My investments'!$H$20="",0,IF('My investments'!$F448='My investments'!$H$20,$X448,0))</f>
        <v>0</v>
      </c>
      <c r="AG448" s="3">
        <f>IF('My investments'!$H$21="",0,IF('My investments'!$F448='My investments'!$H$21,$X448,0))</f>
        <v>0</v>
      </c>
      <c r="AH448" s="3">
        <f>IF('My investments'!$H$22="",0,IF('My investments'!$F448='My investments'!$H$22,$X448,0))</f>
        <v>0</v>
      </c>
      <c r="AI448" s="3">
        <f>IF('My investments'!$H$23="",0,IF('My investments'!$F448='My investments'!$H$23,$X448,0))</f>
        <v>0</v>
      </c>
      <c r="AJ448" s="3">
        <f>IF('My investments'!$H$24="",0,IF('My investments'!$F448='My investments'!$H$24,$X448,0))</f>
        <v>0</v>
      </c>
      <c r="AL448" s="3" t="str">
        <f>IF('My investments'!$B448="","",IF($D$10=0,"",IFERROR(INDEX('Index history'!$B$8:$B$5007,MATCH('My investments'!$B448,'Index history'!$A$8:$A$5007,1)),"")))</f>
        <v/>
      </c>
      <c r="AM448" s="3">
        <f>IF($AL448="",0,IF('My investments'!$D448="",0,IF('My investments'!$C448="Money in",'My investments'!$D448/$AL448,IF('My investments'!$C448="Money out",-'My investments'!$D448/$AL448,0))))</f>
        <v>0</v>
      </c>
    </row>
    <row r="449">
      <c r="X449" s="3">
        <f>IF('My investments'!$B449="",0,IF('My investments'!$E449="",0,'My investments'!$E449))</f>
        <v>0</v>
      </c>
      <c r="Y449" s="25">
        <f>IF('My investments'!$B449="",$D$8,'My investments'!$B449)</f>
        <v>0</v>
      </c>
      <c r="Z449" s="3">
        <f>IF('My investments'!$C449="Worth today",0,$X449)</f>
        <v>0</v>
      </c>
      <c r="AA449" s="3">
        <f>IF('My investments'!$H$15="",0,IF('My investments'!$F449='My investments'!$H$15,$X449,0))</f>
        <v>0</v>
      </c>
      <c r="AB449" s="3">
        <f>IF('My investments'!$H$16="",0,IF('My investments'!$F449='My investments'!$H$16,$X449,0))</f>
        <v>0</v>
      </c>
      <c r="AC449" s="3">
        <f>IF('My investments'!$H$17="",0,IF('My investments'!$F449='My investments'!$H$17,$X449,0))</f>
        <v>0</v>
      </c>
      <c r="AD449" s="3">
        <f>IF('My investments'!$H$18="",0,IF('My investments'!$F449='My investments'!$H$18,$X449,0))</f>
        <v>0</v>
      </c>
      <c r="AE449" s="3">
        <f>IF('My investments'!$H$19="",0,IF('My investments'!$F449='My investments'!$H$19,$X449,0))</f>
        <v>0</v>
      </c>
      <c r="AF449" s="3">
        <f>IF('My investments'!$H$20="",0,IF('My investments'!$F449='My investments'!$H$20,$X449,0))</f>
        <v>0</v>
      </c>
      <c r="AG449" s="3">
        <f>IF('My investments'!$H$21="",0,IF('My investments'!$F449='My investments'!$H$21,$X449,0))</f>
        <v>0</v>
      </c>
      <c r="AH449" s="3">
        <f>IF('My investments'!$H$22="",0,IF('My investments'!$F449='My investments'!$H$22,$X449,0))</f>
        <v>0</v>
      </c>
      <c r="AI449" s="3">
        <f>IF('My investments'!$H$23="",0,IF('My investments'!$F449='My investments'!$H$23,$X449,0))</f>
        <v>0</v>
      </c>
      <c r="AJ449" s="3">
        <f>IF('My investments'!$H$24="",0,IF('My investments'!$F449='My investments'!$H$24,$X449,0))</f>
        <v>0</v>
      </c>
      <c r="AL449" s="3" t="str">
        <f>IF('My investments'!$B449="","",IF($D$10=0,"",IFERROR(INDEX('Index history'!$B$8:$B$5007,MATCH('My investments'!$B449,'Index history'!$A$8:$A$5007,1)),"")))</f>
        <v/>
      </c>
      <c r="AM449" s="3">
        <f>IF($AL449="",0,IF('My investments'!$D449="",0,IF('My investments'!$C449="Money in",'My investments'!$D449/$AL449,IF('My investments'!$C449="Money out",-'My investments'!$D449/$AL449,0))))</f>
        <v>0</v>
      </c>
    </row>
    <row r="450">
      <c r="X450" s="3">
        <f>IF('My investments'!$B450="",0,IF('My investments'!$E450="",0,'My investments'!$E450))</f>
        <v>0</v>
      </c>
      <c r="Y450" s="25">
        <f>IF('My investments'!$B450="",$D$8,'My investments'!$B450)</f>
        <v>0</v>
      </c>
      <c r="Z450" s="3">
        <f>IF('My investments'!$C450="Worth today",0,$X450)</f>
        <v>0</v>
      </c>
      <c r="AA450" s="3">
        <f>IF('My investments'!$H$15="",0,IF('My investments'!$F450='My investments'!$H$15,$X450,0))</f>
        <v>0</v>
      </c>
      <c r="AB450" s="3">
        <f>IF('My investments'!$H$16="",0,IF('My investments'!$F450='My investments'!$H$16,$X450,0))</f>
        <v>0</v>
      </c>
      <c r="AC450" s="3">
        <f>IF('My investments'!$H$17="",0,IF('My investments'!$F450='My investments'!$H$17,$X450,0))</f>
        <v>0</v>
      </c>
      <c r="AD450" s="3">
        <f>IF('My investments'!$H$18="",0,IF('My investments'!$F450='My investments'!$H$18,$X450,0))</f>
        <v>0</v>
      </c>
      <c r="AE450" s="3">
        <f>IF('My investments'!$H$19="",0,IF('My investments'!$F450='My investments'!$H$19,$X450,0))</f>
        <v>0</v>
      </c>
      <c r="AF450" s="3">
        <f>IF('My investments'!$H$20="",0,IF('My investments'!$F450='My investments'!$H$20,$X450,0))</f>
        <v>0</v>
      </c>
      <c r="AG450" s="3">
        <f>IF('My investments'!$H$21="",0,IF('My investments'!$F450='My investments'!$H$21,$X450,0))</f>
        <v>0</v>
      </c>
      <c r="AH450" s="3">
        <f>IF('My investments'!$H$22="",0,IF('My investments'!$F450='My investments'!$H$22,$X450,0))</f>
        <v>0</v>
      </c>
      <c r="AI450" s="3">
        <f>IF('My investments'!$H$23="",0,IF('My investments'!$F450='My investments'!$H$23,$X450,0))</f>
        <v>0</v>
      </c>
      <c r="AJ450" s="3">
        <f>IF('My investments'!$H$24="",0,IF('My investments'!$F450='My investments'!$H$24,$X450,0))</f>
        <v>0</v>
      </c>
      <c r="AL450" s="3" t="str">
        <f>IF('My investments'!$B450="","",IF($D$10=0,"",IFERROR(INDEX('Index history'!$B$8:$B$5007,MATCH('My investments'!$B450,'Index history'!$A$8:$A$5007,1)),"")))</f>
        <v/>
      </c>
      <c r="AM450" s="3">
        <f>IF($AL450="",0,IF('My investments'!$D450="",0,IF('My investments'!$C450="Money in",'My investments'!$D450/$AL450,IF('My investments'!$C450="Money out",-'My investments'!$D450/$AL450,0))))</f>
        <v>0</v>
      </c>
    </row>
    <row r="451">
      <c r="X451" s="3">
        <f>IF('My investments'!$B451="",0,IF('My investments'!$E451="",0,'My investments'!$E451))</f>
        <v>0</v>
      </c>
      <c r="Y451" s="25">
        <f>IF('My investments'!$B451="",$D$8,'My investments'!$B451)</f>
        <v>0</v>
      </c>
      <c r="Z451" s="3">
        <f>IF('My investments'!$C451="Worth today",0,$X451)</f>
        <v>0</v>
      </c>
      <c r="AA451" s="3">
        <f>IF('My investments'!$H$15="",0,IF('My investments'!$F451='My investments'!$H$15,$X451,0))</f>
        <v>0</v>
      </c>
      <c r="AB451" s="3">
        <f>IF('My investments'!$H$16="",0,IF('My investments'!$F451='My investments'!$H$16,$X451,0))</f>
        <v>0</v>
      </c>
      <c r="AC451" s="3">
        <f>IF('My investments'!$H$17="",0,IF('My investments'!$F451='My investments'!$H$17,$X451,0))</f>
        <v>0</v>
      </c>
      <c r="AD451" s="3">
        <f>IF('My investments'!$H$18="",0,IF('My investments'!$F451='My investments'!$H$18,$X451,0))</f>
        <v>0</v>
      </c>
      <c r="AE451" s="3">
        <f>IF('My investments'!$H$19="",0,IF('My investments'!$F451='My investments'!$H$19,$X451,0))</f>
        <v>0</v>
      </c>
      <c r="AF451" s="3">
        <f>IF('My investments'!$H$20="",0,IF('My investments'!$F451='My investments'!$H$20,$X451,0))</f>
        <v>0</v>
      </c>
      <c r="AG451" s="3">
        <f>IF('My investments'!$H$21="",0,IF('My investments'!$F451='My investments'!$H$21,$X451,0))</f>
        <v>0</v>
      </c>
      <c r="AH451" s="3">
        <f>IF('My investments'!$H$22="",0,IF('My investments'!$F451='My investments'!$H$22,$X451,0))</f>
        <v>0</v>
      </c>
      <c r="AI451" s="3">
        <f>IF('My investments'!$H$23="",0,IF('My investments'!$F451='My investments'!$H$23,$X451,0))</f>
        <v>0</v>
      </c>
      <c r="AJ451" s="3">
        <f>IF('My investments'!$H$24="",0,IF('My investments'!$F451='My investments'!$H$24,$X451,0))</f>
        <v>0</v>
      </c>
      <c r="AL451" s="3" t="str">
        <f>IF('My investments'!$B451="","",IF($D$10=0,"",IFERROR(INDEX('Index history'!$B$8:$B$5007,MATCH('My investments'!$B451,'Index history'!$A$8:$A$5007,1)),"")))</f>
        <v/>
      </c>
      <c r="AM451" s="3">
        <f>IF($AL451="",0,IF('My investments'!$D451="",0,IF('My investments'!$C451="Money in",'My investments'!$D451/$AL451,IF('My investments'!$C451="Money out",-'My investments'!$D451/$AL451,0))))</f>
        <v>0</v>
      </c>
    </row>
    <row r="452">
      <c r="X452" s="3">
        <f>IF('My investments'!$B452="",0,IF('My investments'!$E452="",0,'My investments'!$E452))</f>
        <v>0</v>
      </c>
      <c r="Y452" s="25">
        <f>IF('My investments'!$B452="",$D$8,'My investments'!$B452)</f>
        <v>0</v>
      </c>
      <c r="Z452" s="3">
        <f>IF('My investments'!$C452="Worth today",0,$X452)</f>
        <v>0</v>
      </c>
      <c r="AA452" s="3">
        <f>IF('My investments'!$H$15="",0,IF('My investments'!$F452='My investments'!$H$15,$X452,0))</f>
        <v>0</v>
      </c>
      <c r="AB452" s="3">
        <f>IF('My investments'!$H$16="",0,IF('My investments'!$F452='My investments'!$H$16,$X452,0))</f>
        <v>0</v>
      </c>
      <c r="AC452" s="3">
        <f>IF('My investments'!$H$17="",0,IF('My investments'!$F452='My investments'!$H$17,$X452,0))</f>
        <v>0</v>
      </c>
      <c r="AD452" s="3">
        <f>IF('My investments'!$H$18="",0,IF('My investments'!$F452='My investments'!$H$18,$X452,0))</f>
        <v>0</v>
      </c>
      <c r="AE452" s="3">
        <f>IF('My investments'!$H$19="",0,IF('My investments'!$F452='My investments'!$H$19,$X452,0))</f>
        <v>0</v>
      </c>
      <c r="AF452" s="3">
        <f>IF('My investments'!$H$20="",0,IF('My investments'!$F452='My investments'!$H$20,$X452,0))</f>
        <v>0</v>
      </c>
      <c r="AG452" s="3">
        <f>IF('My investments'!$H$21="",0,IF('My investments'!$F452='My investments'!$H$21,$X452,0))</f>
        <v>0</v>
      </c>
      <c r="AH452" s="3">
        <f>IF('My investments'!$H$22="",0,IF('My investments'!$F452='My investments'!$H$22,$X452,0))</f>
        <v>0</v>
      </c>
      <c r="AI452" s="3">
        <f>IF('My investments'!$H$23="",0,IF('My investments'!$F452='My investments'!$H$23,$X452,0))</f>
        <v>0</v>
      </c>
      <c r="AJ452" s="3">
        <f>IF('My investments'!$H$24="",0,IF('My investments'!$F452='My investments'!$H$24,$X452,0))</f>
        <v>0</v>
      </c>
      <c r="AL452" s="3" t="str">
        <f>IF('My investments'!$B452="","",IF($D$10=0,"",IFERROR(INDEX('Index history'!$B$8:$B$5007,MATCH('My investments'!$B452,'Index history'!$A$8:$A$5007,1)),"")))</f>
        <v/>
      </c>
      <c r="AM452" s="3">
        <f>IF($AL452="",0,IF('My investments'!$D452="",0,IF('My investments'!$C452="Money in",'My investments'!$D452/$AL452,IF('My investments'!$C452="Money out",-'My investments'!$D452/$AL452,0))))</f>
        <v>0</v>
      </c>
    </row>
    <row r="453">
      <c r="X453" s="3">
        <f>IF('My investments'!$B453="",0,IF('My investments'!$E453="",0,'My investments'!$E453))</f>
        <v>0</v>
      </c>
      <c r="Y453" s="25">
        <f>IF('My investments'!$B453="",$D$8,'My investments'!$B453)</f>
        <v>0</v>
      </c>
      <c r="Z453" s="3">
        <f>IF('My investments'!$C453="Worth today",0,$X453)</f>
        <v>0</v>
      </c>
      <c r="AA453" s="3">
        <f>IF('My investments'!$H$15="",0,IF('My investments'!$F453='My investments'!$H$15,$X453,0))</f>
        <v>0</v>
      </c>
      <c r="AB453" s="3">
        <f>IF('My investments'!$H$16="",0,IF('My investments'!$F453='My investments'!$H$16,$X453,0))</f>
        <v>0</v>
      </c>
      <c r="AC453" s="3">
        <f>IF('My investments'!$H$17="",0,IF('My investments'!$F453='My investments'!$H$17,$X453,0))</f>
        <v>0</v>
      </c>
      <c r="AD453" s="3">
        <f>IF('My investments'!$H$18="",0,IF('My investments'!$F453='My investments'!$H$18,$X453,0))</f>
        <v>0</v>
      </c>
      <c r="AE453" s="3">
        <f>IF('My investments'!$H$19="",0,IF('My investments'!$F453='My investments'!$H$19,$X453,0))</f>
        <v>0</v>
      </c>
      <c r="AF453" s="3">
        <f>IF('My investments'!$H$20="",0,IF('My investments'!$F453='My investments'!$H$20,$X453,0))</f>
        <v>0</v>
      </c>
      <c r="AG453" s="3">
        <f>IF('My investments'!$H$21="",0,IF('My investments'!$F453='My investments'!$H$21,$X453,0))</f>
        <v>0</v>
      </c>
      <c r="AH453" s="3">
        <f>IF('My investments'!$H$22="",0,IF('My investments'!$F453='My investments'!$H$22,$X453,0))</f>
        <v>0</v>
      </c>
      <c r="AI453" s="3">
        <f>IF('My investments'!$H$23="",0,IF('My investments'!$F453='My investments'!$H$23,$X453,0))</f>
        <v>0</v>
      </c>
      <c r="AJ453" s="3">
        <f>IF('My investments'!$H$24="",0,IF('My investments'!$F453='My investments'!$H$24,$X453,0))</f>
        <v>0</v>
      </c>
      <c r="AL453" s="3" t="str">
        <f>IF('My investments'!$B453="","",IF($D$10=0,"",IFERROR(INDEX('Index history'!$B$8:$B$5007,MATCH('My investments'!$B453,'Index history'!$A$8:$A$5007,1)),"")))</f>
        <v/>
      </c>
      <c r="AM453" s="3">
        <f>IF($AL453="",0,IF('My investments'!$D453="",0,IF('My investments'!$C453="Money in",'My investments'!$D453/$AL453,IF('My investments'!$C453="Money out",-'My investments'!$D453/$AL453,0))))</f>
        <v>0</v>
      </c>
    </row>
    <row r="454">
      <c r="X454" s="3">
        <f>IF('My investments'!$B454="",0,IF('My investments'!$E454="",0,'My investments'!$E454))</f>
        <v>0</v>
      </c>
      <c r="Y454" s="25">
        <f>IF('My investments'!$B454="",$D$8,'My investments'!$B454)</f>
        <v>0</v>
      </c>
      <c r="Z454" s="3">
        <f>IF('My investments'!$C454="Worth today",0,$X454)</f>
        <v>0</v>
      </c>
      <c r="AA454" s="3">
        <f>IF('My investments'!$H$15="",0,IF('My investments'!$F454='My investments'!$H$15,$X454,0))</f>
        <v>0</v>
      </c>
      <c r="AB454" s="3">
        <f>IF('My investments'!$H$16="",0,IF('My investments'!$F454='My investments'!$H$16,$X454,0))</f>
        <v>0</v>
      </c>
      <c r="AC454" s="3">
        <f>IF('My investments'!$H$17="",0,IF('My investments'!$F454='My investments'!$H$17,$X454,0))</f>
        <v>0</v>
      </c>
      <c r="AD454" s="3">
        <f>IF('My investments'!$H$18="",0,IF('My investments'!$F454='My investments'!$H$18,$X454,0))</f>
        <v>0</v>
      </c>
      <c r="AE454" s="3">
        <f>IF('My investments'!$H$19="",0,IF('My investments'!$F454='My investments'!$H$19,$X454,0))</f>
        <v>0</v>
      </c>
      <c r="AF454" s="3">
        <f>IF('My investments'!$H$20="",0,IF('My investments'!$F454='My investments'!$H$20,$X454,0))</f>
        <v>0</v>
      </c>
      <c r="AG454" s="3">
        <f>IF('My investments'!$H$21="",0,IF('My investments'!$F454='My investments'!$H$21,$X454,0))</f>
        <v>0</v>
      </c>
      <c r="AH454" s="3">
        <f>IF('My investments'!$H$22="",0,IF('My investments'!$F454='My investments'!$H$22,$X454,0))</f>
        <v>0</v>
      </c>
      <c r="AI454" s="3">
        <f>IF('My investments'!$H$23="",0,IF('My investments'!$F454='My investments'!$H$23,$X454,0))</f>
        <v>0</v>
      </c>
      <c r="AJ454" s="3">
        <f>IF('My investments'!$H$24="",0,IF('My investments'!$F454='My investments'!$H$24,$X454,0))</f>
        <v>0</v>
      </c>
      <c r="AL454" s="3" t="str">
        <f>IF('My investments'!$B454="","",IF($D$10=0,"",IFERROR(INDEX('Index history'!$B$8:$B$5007,MATCH('My investments'!$B454,'Index history'!$A$8:$A$5007,1)),"")))</f>
        <v/>
      </c>
      <c r="AM454" s="3">
        <f>IF($AL454="",0,IF('My investments'!$D454="",0,IF('My investments'!$C454="Money in",'My investments'!$D454/$AL454,IF('My investments'!$C454="Money out",-'My investments'!$D454/$AL454,0))))</f>
        <v>0</v>
      </c>
    </row>
    <row r="455">
      <c r="X455" s="3">
        <f>IF('My investments'!$B455="",0,IF('My investments'!$E455="",0,'My investments'!$E455))</f>
        <v>0</v>
      </c>
      <c r="Y455" s="25">
        <f>IF('My investments'!$B455="",$D$8,'My investments'!$B455)</f>
        <v>0</v>
      </c>
      <c r="Z455" s="3">
        <f>IF('My investments'!$C455="Worth today",0,$X455)</f>
        <v>0</v>
      </c>
      <c r="AA455" s="3">
        <f>IF('My investments'!$H$15="",0,IF('My investments'!$F455='My investments'!$H$15,$X455,0))</f>
        <v>0</v>
      </c>
      <c r="AB455" s="3">
        <f>IF('My investments'!$H$16="",0,IF('My investments'!$F455='My investments'!$H$16,$X455,0))</f>
        <v>0</v>
      </c>
      <c r="AC455" s="3">
        <f>IF('My investments'!$H$17="",0,IF('My investments'!$F455='My investments'!$H$17,$X455,0))</f>
        <v>0</v>
      </c>
      <c r="AD455" s="3">
        <f>IF('My investments'!$H$18="",0,IF('My investments'!$F455='My investments'!$H$18,$X455,0))</f>
        <v>0</v>
      </c>
      <c r="AE455" s="3">
        <f>IF('My investments'!$H$19="",0,IF('My investments'!$F455='My investments'!$H$19,$X455,0))</f>
        <v>0</v>
      </c>
      <c r="AF455" s="3">
        <f>IF('My investments'!$H$20="",0,IF('My investments'!$F455='My investments'!$H$20,$X455,0))</f>
        <v>0</v>
      </c>
      <c r="AG455" s="3">
        <f>IF('My investments'!$H$21="",0,IF('My investments'!$F455='My investments'!$H$21,$X455,0))</f>
        <v>0</v>
      </c>
      <c r="AH455" s="3">
        <f>IF('My investments'!$H$22="",0,IF('My investments'!$F455='My investments'!$H$22,$X455,0))</f>
        <v>0</v>
      </c>
      <c r="AI455" s="3">
        <f>IF('My investments'!$H$23="",0,IF('My investments'!$F455='My investments'!$H$23,$X455,0))</f>
        <v>0</v>
      </c>
      <c r="AJ455" s="3">
        <f>IF('My investments'!$H$24="",0,IF('My investments'!$F455='My investments'!$H$24,$X455,0))</f>
        <v>0</v>
      </c>
      <c r="AL455" s="3" t="str">
        <f>IF('My investments'!$B455="","",IF($D$10=0,"",IFERROR(INDEX('Index history'!$B$8:$B$5007,MATCH('My investments'!$B455,'Index history'!$A$8:$A$5007,1)),"")))</f>
        <v/>
      </c>
      <c r="AM455" s="3">
        <f>IF($AL455="",0,IF('My investments'!$D455="",0,IF('My investments'!$C455="Money in",'My investments'!$D455/$AL455,IF('My investments'!$C455="Money out",-'My investments'!$D455/$AL455,0))))</f>
        <v>0</v>
      </c>
    </row>
    <row r="456">
      <c r="X456" s="3">
        <f>IF('My investments'!$B456="",0,IF('My investments'!$E456="",0,'My investments'!$E456))</f>
        <v>0</v>
      </c>
      <c r="Y456" s="25">
        <f>IF('My investments'!$B456="",$D$8,'My investments'!$B456)</f>
        <v>0</v>
      </c>
      <c r="Z456" s="3">
        <f>IF('My investments'!$C456="Worth today",0,$X456)</f>
        <v>0</v>
      </c>
      <c r="AA456" s="3">
        <f>IF('My investments'!$H$15="",0,IF('My investments'!$F456='My investments'!$H$15,$X456,0))</f>
        <v>0</v>
      </c>
      <c r="AB456" s="3">
        <f>IF('My investments'!$H$16="",0,IF('My investments'!$F456='My investments'!$H$16,$X456,0))</f>
        <v>0</v>
      </c>
      <c r="AC456" s="3">
        <f>IF('My investments'!$H$17="",0,IF('My investments'!$F456='My investments'!$H$17,$X456,0))</f>
        <v>0</v>
      </c>
      <c r="AD456" s="3">
        <f>IF('My investments'!$H$18="",0,IF('My investments'!$F456='My investments'!$H$18,$X456,0))</f>
        <v>0</v>
      </c>
      <c r="AE456" s="3">
        <f>IF('My investments'!$H$19="",0,IF('My investments'!$F456='My investments'!$H$19,$X456,0))</f>
        <v>0</v>
      </c>
      <c r="AF456" s="3">
        <f>IF('My investments'!$H$20="",0,IF('My investments'!$F456='My investments'!$H$20,$X456,0))</f>
        <v>0</v>
      </c>
      <c r="AG456" s="3">
        <f>IF('My investments'!$H$21="",0,IF('My investments'!$F456='My investments'!$H$21,$X456,0))</f>
        <v>0</v>
      </c>
      <c r="AH456" s="3">
        <f>IF('My investments'!$H$22="",0,IF('My investments'!$F456='My investments'!$H$22,$X456,0))</f>
        <v>0</v>
      </c>
      <c r="AI456" s="3">
        <f>IF('My investments'!$H$23="",0,IF('My investments'!$F456='My investments'!$H$23,$X456,0))</f>
        <v>0</v>
      </c>
      <c r="AJ456" s="3">
        <f>IF('My investments'!$H$24="",0,IF('My investments'!$F456='My investments'!$H$24,$X456,0))</f>
        <v>0</v>
      </c>
      <c r="AL456" s="3" t="str">
        <f>IF('My investments'!$B456="","",IF($D$10=0,"",IFERROR(INDEX('Index history'!$B$8:$B$5007,MATCH('My investments'!$B456,'Index history'!$A$8:$A$5007,1)),"")))</f>
        <v/>
      </c>
      <c r="AM456" s="3">
        <f>IF($AL456="",0,IF('My investments'!$D456="",0,IF('My investments'!$C456="Money in",'My investments'!$D456/$AL456,IF('My investments'!$C456="Money out",-'My investments'!$D456/$AL456,0))))</f>
        <v>0</v>
      </c>
    </row>
    <row r="457">
      <c r="X457" s="3">
        <f>IF('My investments'!$B457="",0,IF('My investments'!$E457="",0,'My investments'!$E457))</f>
        <v>0</v>
      </c>
      <c r="Y457" s="25">
        <f>IF('My investments'!$B457="",$D$8,'My investments'!$B457)</f>
        <v>0</v>
      </c>
      <c r="Z457" s="3">
        <f>IF('My investments'!$C457="Worth today",0,$X457)</f>
        <v>0</v>
      </c>
      <c r="AA457" s="3">
        <f>IF('My investments'!$H$15="",0,IF('My investments'!$F457='My investments'!$H$15,$X457,0))</f>
        <v>0</v>
      </c>
      <c r="AB457" s="3">
        <f>IF('My investments'!$H$16="",0,IF('My investments'!$F457='My investments'!$H$16,$X457,0))</f>
        <v>0</v>
      </c>
      <c r="AC457" s="3">
        <f>IF('My investments'!$H$17="",0,IF('My investments'!$F457='My investments'!$H$17,$X457,0))</f>
        <v>0</v>
      </c>
      <c r="AD457" s="3">
        <f>IF('My investments'!$H$18="",0,IF('My investments'!$F457='My investments'!$H$18,$X457,0))</f>
        <v>0</v>
      </c>
      <c r="AE457" s="3">
        <f>IF('My investments'!$H$19="",0,IF('My investments'!$F457='My investments'!$H$19,$X457,0))</f>
        <v>0</v>
      </c>
      <c r="AF457" s="3">
        <f>IF('My investments'!$H$20="",0,IF('My investments'!$F457='My investments'!$H$20,$X457,0))</f>
        <v>0</v>
      </c>
      <c r="AG457" s="3">
        <f>IF('My investments'!$H$21="",0,IF('My investments'!$F457='My investments'!$H$21,$X457,0))</f>
        <v>0</v>
      </c>
      <c r="AH457" s="3">
        <f>IF('My investments'!$H$22="",0,IF('My investments'!$F457='My investments'!$H$22,$X457,0))</f>
        <v>0</v>
      </c>
      <c r="AI457" s="3">
        <f>IF('My investments'!$H$23="",0,IF('My investments'!$F457='My investments'!$H$23,$X457,0))</f>
        <v>0</v>
      </c>
      <c r="AJ457" s="3">
        <f>IF('My investments'!$H$24="",0,IF('My investments'!$F457='My investments'!$H$24,$X457,0))</f>
        <v>0</v>
      </c>
      <c r="AL457" s="3" t="str">
        <f>IF('My investments'!$B457="","",IF($D$10=0,"",IFERROR(INDEX('Index history'!$B$8:$B$5007,MATCH('My investments'!$B457,'Index history'!$A$8:$A$5007,1)),"")))</f>
        <v/>
      </c>
      <c r="AM457" s="3">
        <f>IF($AL457="",0,IF('My investments'!$D457="",0,IF('My investments'!$C457="Money in",'My investments'!$D457/$AL457,IF('My investments'!$C457="Money out",-'My investments'!$D457/$AL457,0))))</f>
        <v>0</v>
      </c>
    </row>
    <row r="458">
      <c r="X458" s="3">
        <f>IF('My investments'!$B458="",0,IF('My investments'!$E458="",0,'My investments'!$E458))</f>
        <v>0</v>
      </c>
      <c r="Y458" s="25">
        <f>IF('My investments'!$B458="",$D$8,'My investments'!$B458)</f>
        <v>0</v>
      </c>
      <c r="Z458" s="3">
        <f>IF('My investments'!$C458="Worth today",0,$X458)</f>
        <v>0</v>
      </c>
      <c r="AA458" s="3">
        <f>IF('My investments'!$H$15="",0,IF('My investments'!$F458='My investments'!$H$15,$X458,0))</f>
        <v>0</v>
      </c>
      <c r="AB458" s="3">
        <f>IF('My investments'!$H$16="",0,IF('My investments'!$F458='My investments'!$H$16,$X458,0))</f>
        <v>0</v>
      </c>
      <c r="AC458" s="3">
        <f>IF('My investments'!$H$17="",0,IF('My investments'!$F458='My investments'!$H$17,$X458,0))</f>
        <v>0</v>
      </c>
      <c r="AD458" s="3">
        <f>IF('My investments'!$H$18="",0,IF('My investments'!$F458='My investments'!$H$18,$X458,0))</f>
        <v>0</v>
      </c>
      <c r="AE458" s="3">
        <f>IF('My investments'!$H$19="",0,IF('My investments'!$F458='My investments'!$H$19,$X458,0))</f>
        <v>0</v>
      </c>
      <c r="AF458" s="3">
        <f>IF('My investments'!$H$20="",0,IF('My investments'!$F458='My investments'!$H$20,$X458,0))</f>
        <v>0</v>
      </c>
      <c r="AG458" s="3">
        <f>IF('My investments'!$H$21="",0,IF('My investments'!$F458='My investments'!$H$21,$X458,0))</f>
        <v>0</v>
      </c>
      <c r="AH458" s="3">
        <f>IF('My investments'!$H$22="",0,IF('My investments'!$F458='My investments'!$H$22,$X458,0))</f>
        <v>0</v>
      </c>
      <c r="AI458" s="3">
        <f>IF('My investments'!$H$23="",0,IF('My investments'!$F458='My investments'!$H$23,$X458,0))</f>
        <v>0</v>
      </c>
      <c r="AJ458" s="3">
        <f>IF('My investments'!$H$24="",0,IF('My investments'!$F458='My investments'!$H$24,$X458,0))</f>
        <v>0</v>
      </c>
      <c r="AL458" s="3" t="str">
        <f>IF('My investments'!$B458="","",IF($D$10=0,"",IFERROR(INDEX('Index history'!$B$8:$B$5007,MATCH('My investments'!$B458,'Index history'!$A$8:$A$5007,1)),"")))</f>
        <v/>
      </c>
      <c r="AM458" s="3">
        <f>IF($AL458="",0,IF('My investments'!$D458="",0,IF('My investments'!$C458="Money in",'My investments'!$D458/$AL458,IF('My investments'!$C458="Money out",-'My investments'!$D458/$AL458,0))))</f>
        <v>0</v>
      </c>
    </row>
    <row r="459">
      <c r="X459" s="3">
        <f>IF('My investments'!$B459="",0,IF('My investments'!$E459="",0,'My investments'!$E459))</f>
        <v>0</v>
      </c>
      <c r="Y459" s="25">
        <f>IF('My investments'!$B459="",$D$8,'My investments'!$B459)</f>
        <v>0</v>
      </c>
      <c r="Z459" s="3">
        <f>IF('My investments'!$C459="Worth today",0,$X459)</f>
        <v>0</v>
      </c>
      <c r="AA459" s="3">
        <f>IF('My investments'!$H$15="",0,IF('My investments'!$F459='My investments'!$H$15,$X459,0))</f>
        <v>0</v>
      </c>
      <c r="AB459" s="3">
        <f>IF('My investments'!$H$16="",0,IF('My investments'!$F459='My investments'!$H$16,$X459,0))</f>
        <v>0</v>
      </c>
      <c r="AC459" s="3">
        <f>IF('My investments'!$H$17="",0,IF('My investments'!$F459='My investments'!$H$17,$X459,0))</f>
        <v>0</v>
      </c>
      <c r="AD459" s="3">
        <f>IF('My investments'!$H$18="",0,IF('My investments'!$F459='My investments'!$H$18,$X459,0))</f>
        <v>0</v>
      </c>
      <c r="AE459" s="3">
        <f>IF('My investments'!$H$19="",0,IF('My investments'!$F459='My investments'!$H$19,$X459,0))</f>
        <v>0</v>
      </c>
      <c r="AF459" s="3">
        <f>IF('My investments'!$H$20="",0,IF('My investments'!$F459='My investments'!$H$20,$X459,0))</f>
        <v>0</v>
      </c>
      <c r="AG459" s="3">
        <f>IF('My investments'!$H$21="",0,IF('My investments'!$F459='My investments'!$H$21,$X459,0))</f>
        <v>0</v>
      </c>
      <c r="AH459" s="3">
        <f>IF('My investments'!$H$22="",0,IF('My investments'!$F459='My investments'!$H$22,$X459,0))</f>
        <v>0</v>
      </c>
      <c r="AI459" s="3">
        <f>IF('My investments'!$H$23="",0,IF('My investments'!$F459='My investments'!$H$23,$X459,0))</f>
        <v>0</v>
      </c>
      <c r="AJ459" s="3">
        <f>IF('My investments'!$H$24="",0,IF('My investments'!$F459='My investments'!$H$24,$X459,0))</f>
        <v>0</v>
      </c>
      <c r="AL459" s="3" t="str">
        <f>IF('My investments'!$B459="","",IF($D$10=0,"",IFERROR(INDEX('Index history'!$B$8:$B$5007,MATCH('My investments'!$B459,'Index history'!$A$8:$A$5007,1)),"")))</f>
        <v/>
      </c>
      <c r="AM459" s="3">
        <f>IF($AL459="",0,IF('My investments'!$D459="",0,IF('My investments'!$C459="Money in",'My investments'!$D459/$AL459,IF('My investments'!$C459="Money out",-'My investments'!$D459/$AL459,0))))</f>
        <v>0</v>
      </c>
    </row>
    <row r="460">
      <c r="X460" s="3">
        <f>IF('My investments'!$B460="",0,IF('My investments'!$E460="",0,'My investments'!$E460))</f>
        <v>0</v>
      </c>
      <c r="Y460" s="25">
        <f>IF('My investments'!$B460="",$D$8,'My investments'!$B460)</f>
        <v>0</v>
      </c>
      <c r="Z460" s="3">
        <f>IF('My investments'!$C460="Worth today",0,$X460)</f>
        <v>0</v>
      </c>
      <c r="AA460" s="3">
        <f>IF('My investments'!$H$15="",0,IF('My investments'!$F460='My investments'!$H$15,$X460,0))</f>
        <v>0</v>
      </c>
      <c r="AB460" s="3">
        <f>IF('My investments'!$H$16="",0,IF('My investments'!$F460='My investments'!$H$16,$X460,0))</f>
        <v>0</v>
      </c>
      <c r="AC460" s="3">
        <f>IF('My investments'!$H$17="",0,IF('My investments'!$F460='My investments'!$H$17,$X460,0))</f>
        <v>0</v>
      </c>
      <c r="AD460" s="3">
        <f>IF('My investments'!$H$18="",0,IF('My investments'!$F460='My investments'!$H$18,$X460,0))</f>
        <v>0</v>
      </c>
      <c r="AE460" s="3">
        <f>IF('My investments'!$H$19="",0,IF('My investments'!$F460='My investments'!$H$19,$X460,0))</f>
        <v>0</v>
      </c>
      <c r="AF460" s="3">
        <f>IF('My investments'!$H$20="",0,IF('My investments'!$F460='My investments'!$H$20,$X460,0))</f>
        <v>0</v>
      </c>
      <c r="AG460" s="3">
        <f>IF('My investments'!$H$21="",0,IF('My investments'!$F460='My investments'!$H$21,$X460,0))</f>
        <v>0</v>
      </c>
      <c r="AH460" s="3">
        <f>IF('My investments'!$H$22="",0,IF('My investments'!$F460='My investments'!$H$22,$X460,0))</f>
        <v>0</v>
      </c>
      <c r="AI460" s="3">
        <f>IF('My investments'!$H$23="",0,IF('My investments'!$F460='My investments'!$H$23,$X460,0))</f>
        <v>0</v>
      </c>
      <c r="AJ460" s="3">
        <f>IF('My investments'!$H$24="",0,IF('My investments'!$F460='My investments'!$H$24,$X460,0))</f>
        <v>0</v>
      </c>
      <c r="AL460" s="3" t="str">
        <f>IF('My investments'!$B460="","",IF($D$10=0,"",IFERROR(INDEX('Index history'!$B$8:$B$5007,MATCH('My investments'!$B460,'Index history'!$A$8:$A$5007,1)),"")))</f>
        <v/>
      </c>
      <c r="AM460" s="3">
        <f>IF($AL460="",0,IF('My investments'!$D460="",0,IF('My investments'!$C460="Money in",'My investments'!$D460/$AL460,IF('My investments'!$C460="Money out",-'My investments'!$D460/$AL460,0))))</f>
        <v>0</v>
      </c>
    </row>
    <row r="461">
      <c r="X461" s="3">
        <f>IF('My investments'!$B461="",0,IF('My investments'!$E461="",0,'My investments'!$E461))</f>
        <v>0</v>
      </c>
      <c r="Y461" s="25">
        <f>IF('My investments'!$B461="",$D$8,'My investments'!$B461)</f>
        <v>0</v>
      </c>
      <c r="Z461" s="3">
        <f>IF('My investments'!$C461="Worth today",0,$X461)</f>
        <v>0</v>
      </c>
      <c r="AA461" s="3">
        <f>IF('My investments'!$H$15="",0,IF('My investments'!$F461='My investments'!$H$15,$X461,0))</f>
        <v>0</v>
      </c>
      <c r="AB461" s="3">
        <f>IF('My investments'!$H$16="",0,IF('My investments'!$F461='My investments'!$H$16,$X461,0))</f>
        <v>0</v>
      </c>
      <c r="AC461" s="3">
        <f>IF('My investments'!$H$17="",0,IF('My investments'!$F461='My investments'!$H$17,$X461,0))</f>
        <v>0</v>
      </c>
      <c r="AD461" s="3">
        <f>IF('My investments'!$H$18="",0,IF('My investments'!$F461='My investments'!$H$18,$X461,0))</f>
        <v>0</v>
      </c>
      <c r="AE461" s="3">
        <f>IF('My investments'!$H$19="",0,IF('My investments'!$F461='My investments'!$H$19,$X461,0))</f>
        <v>0</v>
      </c>
      <c r="AF461" s="3">
        <f>IF('My investments'!$H$20="",0,IF('My investments'!$F461='My investments'!$H$20,$X461,0))</f>
        <v>0</v>
      </c>
      <c r="AG461" s="3">
        <f>IF('My investments'!$H$21="",0,IF('My investments'!$F461='My investments'!$H$21,$X461,0))</f>
        <v>0</v>
      </c>
      <c r="AH461" s="3">
        <f>IF('My investments'!$H$22="",0,IF('My investments'!$F461='My investments'!$H$22,$X461,0))</f>
        <v>0</v>
      </c>
      <c r="AI461" s="3">
        <f>IF('My investments'!$H$23="",0,IF('My investments'!$F461='My investments'!$H$23,$X461,0))</f>
        <v>0</v>
      </c>
      <c r="AJ461" s="3">
        <f>IF('My investments'!$H$24="",0,IF('My investments'!$F461='My investments'!$H$24,$X461,0))</f>
        <v>0</v>
      </c>
      <c r="AL461" s="3" t="str">
        <f>IF('My investments'!$B461="","",IF($D$10=0,"",IFERROR(INDEX('Index history'!$B$8:$B$5007,MATCH('My investments'!$B461,'Index history'!$A$8:$A$5007,1)),"")))</f>
        <v/>
      </c>
      <c r="AM461" s="3">
        <f>IF($AL461="",0,IF('My investments'!$D461="",0,IF('My investments'!$C461="Money in",'My investments'!$D461/$AL461,IF('My investments'!$C461="Money out",-'My investments'!$D461/$AL461,0))))</f>
        <v>0</v>
      </c>
    </row>
    <row r="462">
      <c r="X462" s="3">
        <f>IF('My investments'!$B462="",0,IF('My investments'!$E462="",0,'My investments'!$E462))</f>
        <v>0</v>
      </c>
      <c r="Y462" s="25">
        <f>IF('My investments'!$B462="",$D$8,'My investments'!$B462)</f>
        <v>0</v>
      </c>
      <c r="Z462" s="3">
        <f>IF('My investments'!$C462="Worth today",0,$X462)</f>
        <v>0</v>
      </c>
      <c r="AA462" s="3">
        <f>IF('My investments'!$H$15="",0,IF('My investments'!$F462='My investments'!$H$15,$X462,0))</f>
        <v>0</v>
      </c>
      <c r="AB462" s="3">
        <f>IF('My investments'!$H$16="",0,IF('My investments'!$F462='My investments'!$H$16,$X462,0))</f>
        <v>0</v>
      </c>
      <c r="AC462" s="3">
        <f>IF('My investments'!$H$17="",0,IF('My investments'!$F462='My investments'!$H$17,$X462,0))</f>
        <v>0</v>
      </c>
      <c r="AD462" s="3">
        <f>IF('My investments'!$H$18="",0,IF('My investments'!$F462='My investments'!$H$18,$X462,0))</f>
        <v>0</v>
      </c>
      <c r="AE462" s="3">
        <f>IF('My investments'!$H$19="",0,IF('My investments'!$F462='My investments'!$H$19,$X462,0))</f>
        <v>0</v>
      </c>
      <c r="AF462" s="3">
        <f>IF('My investments'!$H$20="",0,IF('My investments'!$F462='My investments'!$H$20,$X462,0))</f>
        <v>0</v>
      </c>
      <c r="AG462" s="3">
        <f>IF('My investments'!$H$21="",0,IF('My investments'!$F462='My investments'!$H$21,$X462,0))</f>
        <v>0</v>
      </c>
      <c r="AH462" s="3">
        <f>IF('My investments'!$H$22="",0,IF('My investments'!$F462='My investments'!$H$22,$X462,0))</f>
        <v>0</v>
      </c>
      <c r="AI462" s="3">
        <f>IF('My investments'!$H$23="",0,IF('My investments'!$F462='My investments'!$H$23,$X462,0))</f>
        <v>0</v>
      </c>
      <c r="AJ462" s="3">
        <f>IF('My investments'!$H$24="",0,IF('My investments'!$F462='My investments'!$H$24,$X462,0))</f>
        <v>0</v>
      </c>
      <c r="AL462" s="3" t="str">
        <f>IF('My investments'!$B462="","",IF($D$10=0,"",IFERROR(INDEX('Index history'!$B$8:$B$5007,MATCH('My investments'!$B462,'Index history'!$A$8:$A$5007,1)),"")))</f>
        <v/>
      </c>
      <c r="AM462" s="3">
        <f>IF($AL462="",0,IF('My investments'!$D462="",0,IF('My investments'!$C462="Money in",'My investments'!$D462/$AL462,IF('My investments'!$C462="Money out",-'My investments'!$D462/$AL462,0))))</f>
        <v>0</v>
      </c>
    </row>
    <row r="463">
      <c r="X463" s="3">
        <f>IF('My investments'!$B463="",0,IF('My investments'!$E463="",0,'My investments'!$E463))</f>
        <v>0</v>
      </c>
      <c r="Y463" s="25">
        <f>IF('My investments'!$B463="",$D$8,'My investments'!$B463)</f>
        <v>0</v>
      </c>
      <c r="Z463" s="3">
        <f>IF('My investments'!$C463="Worth today",0,$X463)</f>
        <v>0</v>
      </c>
      <c r="AA463" s="3">
        <f>IF('My investments'!$H$15="",0,IF('My investments'!$F463='My investments'!$H$15,$X463,0))</f>
        <v>0</v>
      </c>
      <c r="AB463" s="3">
        <f>IF('My investments'!$H$16="",0,IF('My investments'!$F463='My investments'!$H$16,$X463,0))</f>
        <v>0</v>
      </c>
      <c r="AC463" s="3">
        <f>IF('My investments'!$H$17="",0,IF('My investments'!$F463='My investments'!$H$17,$X463,0))</f>
        <v>0</v>
      </c>
      <c r="AD463" s="3">
        <f>IF('My investments'!$H$18="",0,IF('My investments'!$F463='My investments'!$H$18,$X463,0))</f>
        <v>0</v>
      </c>
      <c r="AE463" s="3">
        <f>IF('My investments'!$H$19="",0,IF('My investments'!$F463='My investments'!$H$19,$X463,0))</f>
        <v>0</v>
      </c>
      <c r="AF463" s="3">
        <f>IF('My investments'!$H$20="",0,IF('My investments'!$F463='My investments'!$H$20,$X463,0))</f>
        <v>0</v>
      </c>
      <c r="AG463" s="3">
        <f>IF('My investments'!$H$21="",0,IF('My investments'!$F463='My investments'!$H$21,$X463,0))</f>
        <v>0</v>
      </c>
      <c r="AH463" s="3">
        <f>IF('My investments'!$H$22="",0,IF('My investments'!$F463='My investments'!$H$22,$X463,0))</f>
        <v>0</v>
      </c>
      <c r="AI463" s="3">
        <f>IF('My investments'!$H$23="",0,IF('My investments'!$F463='My investments'!$H$23,$X463,0))</f>
        <v>0</v>
      </c>
      <c r="AJ463" s="3">
        <f>IF('My investments'!$H$24="",0,IF('My investments'!$F463='My investments'!$H$24,$X463,0))</f>
        <v>0</v>
      </c>
      <c r="AL463" s="3" t="str">
        <f>IF('My investments'!$B463="","",IF($D$10=0,"",IFERROR(INDEX('Index history'!$B$8:$B$5007,MATCH('My investments'!$B463,'Index history'!$A$8:$A$5007,1)),"")))</f>
        <v/>
      </c>
      <c r="AM463" s="3">
        <f>IF($AL463="",0,IF('My investments'!$D463="",0,IF('My investments'!$C463="Money in",'My investments'!$D463/$AL463,IF('My investments'!$C463="Money out",-'My investments'!$D463/$AL463,0))))</f>
        <v>0</v>
      </c>
    </row>
    <row r="464">
      <c r="X464" s="3">
        <f>IF('My investments'!$B464="",0,IF('My investments'!$E464="",0,'My investments'!$E464))</f>
        <v>0</v>
      </c>
      <c r="Y464" s="25">
        <f>IF('My investments'!$B464="",$D$8,'My investments'!$B464)</f>
        <v>0</v>
      </c>
      <c r="Z464" s="3">
        <f>IF('My investments'!$C464="Worth today",0,$X464)</f>
        <v>0</v>
      </c>
      <c r="AA464" s="3">
        <f>IF('My investments'!$H$15="",0,IF('My investments'!$F464='My investments'!$H$15,$X464,0))</f>
        <v>0</v>
      </c>
      <c r="AB464" s="3">
        <f>IF('My investments'!$H$16="",0,IF('My investments'!$F464='My investments'!$H$16,$X464,0))</f>
        <v>0</v>
      </c>
      <c r="AC464" s="3">
        <f>IF('My investments'!$H$17="",0,IF('My investments'!$F464='My investments'!$H$17,$X464,0))</f>
        <v>0</v>
      </c>
      <c r="AD464" s="3">
        <f>IF('My investments'!$H$18="",0,IF('My investments'!$F464='My investments'!$H$18,$X464,0))</f>
        <v>0</v>
      </c>
      <c r="AE464" s="3">
        <f>IF('My investments'!$H$19="",0,IF('My investments'!$F464='My investments'!$H$19,$X464,0))</f>
        <v>0</v>
      </c>
      <c r="AF464" s="3">
        <f>IF('My investments'!$H$20="",0,IF('My investments'!$F464='My investments'!$H$20,$X464,0))</f>
        <v>0</v>
      </c>
      <c r="AG464" s="3">
        <f>IF('My investments'!$H$21="",0,IF('My investments'!$F464='My investments'!$H$21,$X464,0))</f>
        <v>0</v>
      </c>
      <c r="AH464" s="3">
        <f>IF('My investments'!$H$22="",0,IF('My investments'!$F464='My investments'!$H$22,$X464,0))</f>
        <v>0</v>
      </c>
      <c r="AI464" s="3">
        <f>IF('My investments'!$H$23="",0,IF('My investments'!$F464='My investments'!$H$23,$X464,0))</f>
        <v>0</v>
      </c>
      <c r="AJ464" s="3">
        <f>IF('My investments'!$H$24="",0,IF('My investments'!$F464='My investments'!$H$24,$X464,0))</f>
        <v>0</v>
      </c>
      <c r="AL464" s="3" t="str">
        <f>IF('My investments'!$B464="","",IF($D$10=0,"",IFERROR(INDEX('Index history'!$B$8:$B$5007,MATCH('My investments'!$B464,'Index history'!$A$8:$A$5007,1)),"")))</f>
        <v/>
      </c>
      <c r="AM464" s="3">
        <f>IF($AL464="",0,IF('My investments'!$D464="",0,IF('My investments'!$C464="Money in",'My investments'!$D464/$AL464,IF('My investments'!$C464="Money out",-'My investments'!$D464/$AL464,0))))</f>
        <v>0</v>
      </c>
    </row>
    <row r="465">
      <c r="X465" s="3">
        <f>IF('My investments'!$B465="",0,IF('My investments'!$E465="",0,'My investments'!$E465))</f>
        <v>0</v>
      </c>
      <c r="Y465" s="25">
        <f>IF('My investments'!$B465="",$D$8,'My investments'!$B465)</f>
        <v>0</v>
      </c>
      <c r="Z465" s="3">
        <f>IF('My investments'!$C465="Worth today",0,$X465)</f>
        <v>0</v>
      </c>
      <c r="AA465" s="3">
        <f>IF('My investments'!$H$15="",0,IF('My investments'!$F465='My investments'!$H$15,$X465,0))</f>
        <v>0</v>
      </c>
      <c r="AB465" s="3">
        <f>IF('My investments'!$H$16="",0,IF('My investments'!$F465='My investments'!$H$16,$X465,0))</f>
        <v>0</v>
      </c>
      <c r="AC465" s="3">
        <f>IF('My investments'!$H$17="",0,IF('My investments'!$F465='My investments'!$H$17,$X465,0))</f>
        <v>0</v>
      </c>
      <c r="AD465" s="3">
        <f>IF('My investments'!$H$18="",0,IF('My investments'!$F465='My investments'!$H$18,$X465,0))</f>
        <v>0</v>
      </c>
      <c r="AE465" s="3">
        <f>IF('My investments'!$H$19="",0,IF('My investments'!$F465='My investments'!$H$19,$X465,0))</f>
        <v>0</v>
      </c>
      <c r="AF465" s="3">
        <f>IF('My investments'!$H$20="",0,IF('My investments'!$F465='My investments'!$H$20,$X465,0))</f>
        <v>0</v>
      </c>
      <c r="AG465" s="3">
        <f>IF('My investments'!$H$21="",0,IF('My investments'!$F465='My investments'!$H$21,$X465,0))</f>
        <v>0</v>
      </c>
      <c r="AH465" s="3">
        <f>IF('My investments'!$H$22="",0,IF('My investments'!$F465='My investments'!$H$22,$X465,0))</f>
        <v>0</v>
      </c>
      <c r="AI465" s="3">
        <f>IF('My investments'!$H$23="",0,IF('My investments'!$F465='My investments'!$H$23,$X465,0))</f>
        <v>0</v>
      </c>
      <c r="AJ465" s="3">
        <f>IF('My investments'!$H$24="",0,IF('My investments'!$F465='My investments'!$H$24,$X465,0))</f>
        <v>0</v>
      </c>
      <c r="AL465" s="3" t="str">
        <f>IF('My investments'!$B465="","",IF($D$10=0,"",IFERROR(INDEX('Index history'!$B$8:$B$5007,MATCH('My investments'!$B465,'Index history'!$A$8:$A$5007,1)),"")))</f>
        <v/>
      </c>
      <c r="AM465" s="3">
        <f>IF($AL465="",0,IF('My investments'!$D465="",0,IF('My investments'!$C465="Money in",'My investments'!$D465/$AL465,IF('My investments'!$C465="Money out",-'My investments'!$D465/$AL465,0))))</f>
        <v>0</v>
      </c>
    </row>
    <row r="466">
      <c r="X466" s="3">
        <f>IF('My investments'!$B466="",0,IF('My investments'!$E466="",0,'My investments'!$E466))</f>
        <v>0</v>
      </c>
      <c r="Y466" s="25">
        <f>IF('My investments'!$B466="",$D$8,'My investments'!$B466)</f>
        <v>0</v>
      </c>
      <c r="Z466" s="3">
        <f>IF('My investments'!$C466="Worth today",0,$X466)</f>
        <v>0</v>
      </c>
      <c r="AA466" s="3">
        <f>IF('My investments'!$H$15="",0,IF('My investments'!$F466='My investments'!$H$15,$X466,0))</f>
        <v>0</v>
      </c>
      <c r="AB466" s="3">
        <f>IF('My investments'!$H$16="",0,IF('My investments'!$F466='My investments'!$H$16,$X466,0))</f>
        <v>0</v>
      </c>
      <c r="AC466" s="3">
        <f>IF('My investments'!$H$17="",0,IF('My investments'!$F466='My investments'!$H$17,$X466,0))</f>
        <v>0</v>
      </c>
      <c r="AD466" s="3">
        <f>IF('My investments'!$H$18="",0,IF('My investments'!$F466='My investments'!$H$18,$X466,0))</f>
        <v>0</v>
      </c>
      <c r="AE466" s="3">
        <f>IF('My investments'!$H$19="",0,IF('My investments'!$F466='My investments'!$H$19,$X466,0))</f>
        <v>0</v>
      </c>
      <c r="AF466" s="3">
        <f>IF('My investments'!$H$20="",0,IF('My investments'!$F466='My investments'!$H$20,$X466,0))</f>
        <v>0</v>
      </c>
      <c r="AG466" s="3">
        <f>IF('My investments'!$H$21="",0,IF('My investments'!$F466='My investments'!$H$21,$X466,0))</f>
        <v>0</v>
      </c>
      <c r="AH466" s="3">
        <f>IF('My investments'!$H$22="",0,IF('My investments'!$F466='My investments'!$H$22,$X466,0))</f>
        <v>0</v>
      </c>
      <c r="AI466" s="3">
        <f>IF('My investments'!$H$23="",0,IF('My investments'!$F466='My investments'!$H$23,$X466,0))</f>
        <v>0</v>
      </c>
      <c r="AJ466" s="3">
        <f>IF('My investments'!$H$24="",0,IF('My investments'!$F466='My investments'!$H$24,$X466,0))</f>
        <v>0</v>
      </c>
      <c r="AL466" s="3" t="str">
        <f>IF('My investments'!$B466="","",IF($D$10=0,"",IFERROR(INDEX('Index history'!$B$8:$B$5007,MATCH('My investments'!$B466,'Index history'!$A$8:$A$5007,1)),"")))</f>
        <v/>
      </c>
      <c r="AM466" s="3">
        <f>IF($AL466="",0,IF('My investments'!$D466="",0,IF('My investments'!$C466="Money in",'My investments'!$D466/$AL466,IF('My investments'!$C466="Money out",-'My investments'!$D466/$AL466,0))))</f>
        <v>0</v>
      </c>
    </row>
    <row r="467">
      <c r="X467" s="3">
        <f>IF('My investments'!$B467="",0,IF('My investments'!$E467="",0,'My investments'!$E467))</f>
        <v>0</v>
      </c>
      <c r="Y467" s="25">
        <f>IF('My investments'!$B467="",$D$8,'My investments'!$B467)</f>
        <v>0</v>
      </c>
      <c r="Z467" s="3">
        <f>IF('My investments'!$C467="Worth today",0,$X467)</f>
        <v>0</v>
      </c>
      <c r="AA467" s="3">
        <f>IF('My investments'!$H$15="",0,IF('My investments'!$F467='My investments'!$H$15,$X467,0))</f>
        <v>0</v>
      </c>
      <c r="AB467" s="3">
        <f>IF('My investments'!$H$16="",0,IF('My investments'!$F467='My investments'!$H$16,$X467,0))</f>
        <v>0</v>
      </c>
      <c r="AC467" s="3">
        <f>IF('My investments'!$H$17="",0,IF('My investments'!$F467='My investments'!$H$17,$X467,0))</f>
        <v>0</v>
      </c>
      <c r="AD467" s="3">
        <f>IF('My investments'!$H$18="",0,IF('My investments'!$F467='My investments'!$H$18,$X467,0))</f>
        <v>0</v>
      </c>
      <c r="AE467" s="3">
        <f>IF('My investments'!$H$19="",0,IF('My investments'!$F467='My investments'!$H$19,$X467,0))</f>
        <v>0</v>
      </c>
      <c r="AF467" s="3">
        <f>IF('My investments'!$H$20="",0,IF('My investments'!$F467='My investments'!$H$20,$X467,0))</f>
        <v>0</v>
      </c>
      <c r="AG467" s="3">
        <f>IF('My investments'!$H$21="",0,IF('My investments'!$F467='My investments'!$H$21,$X467,0))</f>
        <v>0</v>
      </c>
      <c r="AH467" s="3">
        <f>IF('My investments'!$H$22="",0,IF('My investments'!$F467='My investments'!$H$22,$X467,0))</f>
        <v>0</v>
      </c>
      <c r="AI467" s="3">
        <f>IF('My investments'!$H$23="",0,IF('My investments'!$F467='My investments'!$H$23,$X467,0))</f>
        <v>0</v>
      </c>
      <c r="AJ467" s="3">
        <f>IF('My investments'!$H$24="",0,IF('My investments'!$F467='My investments'!$H$24,$X467,0))</f>
        <v>0</v>
      </c>
      <c r="AL467" s="3" t="str">
        <f>IF('My investments'!$B467="","",IF($D$10=0,"",IFERROR(INDEX('Index history'!$B$8:$B$5007,MATCH('My investments'!$B467,'Index history'!$A$8:$A$5007,1)),"")))</f>
        <v/>
      </c>
      <c r="AM467" s="3">
        <f>IF($AL467="",0,IF('My investments'!$D467="",0,IF('My investments'!$C467="Money in",'My investments'!$D467/$AL467,IF('My investments'!$C467="Money out",-'My investments'!$D467/$AL467,0))))</f>
        <v>0</v>
      </c>
    </row>
    <row r="468">
      <c r="X468" s="3">
        <f>IF('My investments'!$B468="",0,IF('My investments'!$E468="",0,'My investments'!$E468))</f>
        <v>0</v>
      </c>
      <c r="Y468" s="25">
        <f>IF('My investments'!$B468="",$D$8,'My investments'!$B468)</f>
        <v>0</v>
      </c>
      <c r="Z468" s="3">
        <f>IF('My investments'!$C468="Worth today",0,$X468)</f>
        <v>0</v>
      </c>
      <c r="AA468" s="3">
        <f>IF('My investments'!$H$15="",0,IF('My investments'!$F468='My investments'!$H$15,$X468,0))</f>
        <v>0</v>
      </c>
      <c r="AB468" s="3">
        <f>IF('My investments'!$H$16="",0,IF('My investments'!$F468='My investments'!$H$16,$X468,0))</f>
        <v>0</v>
      </c>
      <c r="AC468" s="3">
        <f>IF('My investments'!$H$17="",0,IF('My investments'!$F468='My investments'!$H$17,$X468,0))</f>
        <v>0</v>
      </c>
      <c r="AD468" s="3">
        <f>IF('My investments'!$H$18="",0,IF('My investments'!$F468='My investments'!$H$18,$X468,0))</f>
        <v>0</v>
      </c>
      <c r="AE468" s="3">
        <f>IF('My investments'!$H$19="",0,IF('My investments'!$F468='My investments'!$H$19,$X468,0))</f>
        <v>0</v>
      </c>
      <c r="AF468" s="3">
        <f>IF('My investments'!$H$20="",0,IF('My investments'!$F468='My investments'!$H$20,$X468,0))</f>
        <v>0</v>
      </c>
      <c r="AG468" s="3">
        <f>IF('My investments'!$H$21="",0,IF('My investments'!$F468='My investments'!$H$21,$X468,0))</f>
        <v>0</v>
      </c>
      <c r="AH468" s="3">
        <f>IF('My investments'!$H$22="",0,IF('My investments'!$F468='My investments'!$H$22,$X468,0))</f>
        <v>0</v>
      </c>
      <c r="AI468" s="3">
        <f>IF('My investments'!$H$23="",0,IF('My investments'!$F468='My investments'!$H$23,$X468,0))</f>
        <v>0</v>
      </c>
      <c r="AJ468" s="3">
        <f>IF('My investments'!$H$24="",0,IF('My investments'!$F468='My investments'!$H$24,$X468,0))</f>
        <v>0</v>
      </c>
      <c r="AL468" s="3" t="str">
        <f>IF('My investments'!$B468="","",IF($D$10=0,"",IFERROR(INDEX('Index history'!$B$8:$B$5007,MATCH('My investments'!$B468,'Index history'!$A$8:$A$5007,1)),"")))</f>
        <v/>
      </c>
      <c r="AM468" s="3">
        <f>IF($AL468="",0,IF('My investments'!$D468="",0,IF('My investments'!$C468="Money in",'My investments'!$D468/$AL468,IF('My investments'!$C468="Money out",-'My investments'!$D468/$AL468,0))))</f>
        <v>0</v>
      </c>
    </row>
    <row r="469">
      <c r="X469" s="3">
        <f>IF('My investments'!$B469="",0,IF('My investments'!$E469="",0,'My investments'!$E469))</f>
        <v>0</v>
      </c>
      <c r="Y469" s="25">
        <f>IF('My investments'!$B469="",$D$8,'My investments'!$B469)</f>
        <v>0</v>
      </c>
      <c r="Z469" s="3">
        <f>IF('My investments'!$C469="Worth today",0,$X469)</f>
        <v>0</v>
      </c>
      <c r="AA469" s="3">
        <f>IF('My investments'!$H$15="",0,IF('My investments'!$F469='My investments'!$H$15,$X469,0))</f>
        <v>0</v>
      </c>
      <c r="AB469" s="3">
        <f>IF('My investments'!$H$16="",0,IF('My investments'!$F469='My investments'!$H$16,$X469,0))</f>
        <v>0</v>
      </c>
      <c r="AC469" s="3">
        <f>IF('My investments'!$H$17="",0,IF('My investments'!$F469='My investments'!$H$17,$X469,0))</f>
        <v>0</v>
      </c>
      <c r="AD469" s="3">
        <f>IF('My investments'!$H$18="",0,IF('My investments'!$F469='My investments'!$H$18,$X469,0))</f>
        <v>0</v>
      </c>
      <c r="AE469" s="3">
        <f>IF('My investments'!$H$19="",0,IF('My investments'!$F469='My investments'!$H$19,$X469,0))</f>
        <v>0</v>
      </c>
      <c r="AF469" s="3">
        <f>IF('My investments'!$H$20="",0,IF('My investments'!$F469='My investments'!$H$20,$X469,0))</f>
        <v>0</v>
      </c>
      <c r="AG469" s="3">
        <f>IF('My investments'!$H$21="",0,IF('My investments'!$F469='My investments'!$H$21,$X469,0))</f>
        <v>0</v>
      </c>
      <c r="AH469" s="3">
        <f>IF('My investments'!$H$22="",0,IF('My investments'!$F469='My investments'!$H$22,$X469,0))</f>
        <v>0</v>
      </c>
      <c r="AI469" s="3">
        <f>IF('My investments'!$H$23="",0,IF('My investments'!$F469='My investments'!$H$23,$X469,0))</f>
        <v>0</v>
      </c>
      <c r="AJ469" s="3">
        <f>IF('My investments'!$H$24="",0,IF('My investments'!$F469='My investments'!$H$24,$X469,0))</f>
        <v>0</v>
      </c>
      <c r="AL469" s="3" t="str">
        <f>IF('My investments'!$B469="","",IF($D$10=0,"",IFERROR(INDEX('Index history'!$B$8:$B$5007,MATCH('My investments'!$B469,'Index history'!$A$8:$A$5007,1)),"")))</f>
        <v/>
      </c>
      <c r="AM469" s="3">
        <f>IF($AL469="",0,IF('My investments'!$D469="",0,IF('My investments'!$C469="Money in",'My investments'!$D469/$AL469,IF('My investments'!$C469="Money out",-'My investments'!$D469/$AL469,0))))</f>
        <v>0</v>
      </c>
    </row>
    <row r="470">
      <c r="X470" s="3">
        <f>IF('My investments'!$B470="",0,IF('My investments'!$E470="",0,'My investments'!$E470))</f>
        <v>0</v>
      </c>
      <c r="Y470" s="25">
        <f>IF('My investments'!$B470="",$D$8,'My investments'!$B470)</f>
        <v>0</v>
      </c>
      <c r="Z470" s="3">
        <f>IF('My investments'!$C470="Worth today",0,$X470)</f>
        <v>0</v>
      </c>
      <c r="AA470" s="3">
        <f>IF('My investments'!$H$15="",0,IF('My investments'!$F470='My investments'!$H$15,$X470,0))</f>
        <v>0</v>
      </c>
      <c r="AB470" s="3">
        <f>IF('My investments'!$H$16="",0,IF('My investments'!$F470='My investments'!$H$16,$X470,0))</f>
        <v>0</v>
      </c>
      <c r="AC470" s="3">
        <f>IF('My investments'!$H$17="",0,IF('My investments'!$F470='My investments'!$H$17,$X470,0))</f>
        <v>0</v>
      </c>
      <c r="AD470" s="3">
        <f>IF('My investments'!$H$18="",0,IF('My investments'!$F470='My investments'!$H$18,$X470,0))</f>
        <v>0</v>
      </c>
      <c r="AE470" s="3">
        <f>IF('My investments'!$H$19="",0,IF('My investments'!$F470='My investments'!$H$19,$X470,0))</f>
        <v>0</v>
      </c>
      <c r="AF470" s="3">
        <f>IF('My investments'!$H$20="",0,IF('My investments'!$F470='My investments'!$H$20,$X470,0))</f>
        <v>0</v>
      </c>
      <c r="AG470" s="3">
        <f>IF('My investments'!$H$21="",0,IF('My investments'!$F470='My investments'!$H$21,$X470,0))</f>
        <v>0</v>
      </c>
      <c r="AH470" s="3">
        <f>IF('My investments'!$H$22="",0,IF('My investments'!$F470='My investments'!$H$22,$X470,0))</f>
        <v>0</v>
      </c>
      <c r="AI470" s="3">
        <f>IF('My investments'!$H$23="",0,IF('My investments'!$F470='My investments'!$H$23,$X470,0))</f>
        <v>0</v>
      </c>
      <c r="AJ470" s="3">
        <f>IF('My investments'!$H$24="",0,IF('My investments'!$F470='My investments'!$H$24,$X470,0))</f>
        <v>0</v>
      </c>
      <c r="AL470" s="3" t="str">
        <f>IF('My investments'!$B470="","",IF($D$10=0,"",IFERROR(INDEX('Index history'!$B$8:$B$5007,MATCH('My investments'!$B470,'Index history'!$A$8:$A$5007,1)),"")))</f>
        <v/>
      </c>
      <c r="AM470" s="3">
        <f>IF($AL470="",0,IF('My investments'!$D470="",0,IF('My investments'!$C470="Money in",'My investments'!$D470/$AL470,IF('My investments'!$C470="Money out",-'My investments'!$D470/$AL470,0))))</f>
        <v>0</v>
      </c>
    </row>
    <row r="471">
      <c r="X471" s="3">
        <f>IF('My investments'!$B471="",0,IF('My investments'!$E471="",0,'My investments'!$E471))</f>
        <v>0</v>
      </c>
      <c r="Y471" s="25">
        <f>IF('My investments'!$B471="",$D$8,'My investments'!$B471)</f>
        <v>0</v>
      </c>
      <c r="Z471" s="3">
        <f>IF('My investments'!$C471="Worth today",0,$X471)</f>
        <v>0</v>
      </c>
      <c r="AA471" s="3">
        <f>IF('My investments'!$H$15="",0,IF('My investments'!$F471='My investments'!$H$15,$X471,0))</f>
        <v>0</v>
      </c>
      <c r="AB471" s="3">
        <f>IF('My investments'!$H$16="",0,IF('My investments'!$F471='My investments'!$H$16,$X471,0))</f>
        <v>0</v>
      </c>
      <c r="AC471" s="3">
        <f>IF('My investments'!$H$17="",0,IF('My investments'!$F471='My investments'!$H$17,$X471,0))</f>
        <v>0</v>
      </c>
      <c r="AD471" s="3">
        <f>IF('My investments'!$H$18="",0,IF('My investments'!$F471='My investments'!$H$18,$X471,0))</f>
        <v>0</v>
      </c>
      <c r="AE471" s="3">
        <f>IF('My investments'!$H$19="",0,IF('My investments'!$F471='My investments'!$H$19,$X471,0))</f>
        <v>0</v>
      </c>
      <c r="AF471" s="3">
        <f>IF('My investments'!$H$20="",0,IF('My investments'!$F471='My investments'!$H$20,$X471,0))</f>
        <v>0</v>
      </c>
      <c r="AG471" s="3">
        <f>IF('My investments'!$H$21="",0,IF('My investments'!$F471='My investments'!$H$21,$X471,0))</f>
        <v>0</v>
      </c>
      <c r="AH471" s="3">
        <f>IF('My investments'!$H$22="",0,IF('My investments'!$F471='My investments'!$H$22,$X471,0))</f>
        <v>0</v>
      </c>
      <c r="AI471" s="3">
        <f>IF('My investments'!$H$23="",0,IF('My investments'!$F471='My investments'!$H$23,$X471,0))</f>
        <v>0</v>
      </c>
      <c r="AJ471" s="3">
        <f>IF('My investments'!$H$24="",0,IF('My investments'!$F471='My investments'!$H$24,$X471,0))</f>
        <v>0</v>
      </c>
      <c r="AL471" s="3" t="str">
        <f>IF('My investments'!$B471="","",IF($D$10=0,"",IFERROR(INDEX('Index history'!$B$8:$B$5007,MATCH('My investments'!$B471,'Index history'!$A$8:$A$5007,1)),"")))</f>
        <v/>
      </c>
      <c r="AM471" s="3">
        <f>IF($AL471="",0,IF('My investments'!$D471="",0,IF('My investments'!$C471="Money in",'My investments'!$D471/$AL471,IF('My investments'!$C471="Money out",-'My investments'!$D471/$AL471,0))))</f>
        <v>0</v>
      </c>
    </row>
    <row r="472">
      <c r="X472" s="3">
        <f>IF('My investments'!$B472="",0,IF('My investments'!$E472="",0,'My investments'!$E472))</f>
        <v>0</v>
      </c>
      <c r="Y472" s="25">
        <f>IF('My investments'!$B472="",$D$8,'My investments'!$B472)</f>
        <v>0</v>
      </c>
      <c r="Z472" s="3">
        <f>IF('My investments'!$C472="Worth today",0,$X472)</f>
        <v>0</v>
      </c>
      <c r="AA472" s="3">
        <f>IF('My investments'!$H$15="",0,IF('My investments'!$F472='My investments'!$H$15,$X472,0))</f>
        <v>0</v>
      </c>
      <c r="AB472" s="3">
        <f>IF('My investments'!$H$16="",0,IF('My investments'!$F472='My investments'!$H$16,$X472,0))</f>
        <v>0</v>
      </c>
      <c r="AC472" s="3">
        <f>IF('My investments'!$H$17="",0,IF('My investments'!$F472='My investments'!$H$17,$X472,0))</f>
        <v>0</v>
      </c>
      <c r="AD472" s="3">
        <f>IF('My investments'!$H$18="",0,IF('My investments'!$F472='My investments'!$H$18,$X472,0))</f>
        <v>0</v>
      </c>
      <c r="AE472" s="3">
        <f>IF('My investments'!$H$19="",0,IF('My investments'!$F472='My investments'!$H$19,$X472,0))</f>
        <v>0</v>
      </c>
      <c r="AF472" s="3">
        <f>IF('My investments'!$H$20="",0,IF('My investments'!$F472='My investments'!$H$20,$X472,0))</f>
        <v>0</v>
      </c>
      <c r="AG472" s="3">
        <f>IF('My investments'!$H$21="",0,IF('My investments'!$F472='My investments'!$H$21,$X472,0))</f>
        <v>0</v>
      </c>
      <c r="AH472" s="3">
        <f>IF('My investments'!$H$22="",0,IF('My investments'!$F472='My investments'!$H$22,$X472,0))</f>
        <v>0</v>
      </c>
      <c r="AI472" s="3">
        <f>IF('My investments'!$H$23="",0,IF('My investments'!$F472='My investments'!$H$23,$X472,0))</f>
        <v>0</v>
      </c>
      <c r="AJ472" s="3">
        <f>IF('My investments'!$H$24="",0,IF('My investments'!$F472='My investments'!$H$24,$X472,0))</f>
        <v>0</v>
      </c>
      <c r="AL472" s="3" t="str">
        <f>IF('My investments'!$B472="","",IF($D$10=0,"",IFERROR(INDEX('Index history'!$B$8:$B$5007,MATCH('My investments'!$B472,'Index history'!$A$8:$A$5007,1)),"")))</f>
        <v/>
      </c>
      <c r="AM472" s="3">
        <f>IF($AL472="",0,IF('My investments'!$D472="",0,IF('My investments'!$C472="Money in",'My investments'!$D472/$AL472,IF('My investments'!$C472="Money out",-'My investments'!$D472/$AL472,0))))</f>
        <v>0</v>
      </c>
    </row>
    <row r="473">
      <c r="X473" s="3">
        <f>IF('My investments'!$B473="",0,IF('My investments'!$E473="",0,'My investments'!$E473))</f>
        <v>0</v>
      </c>
      <c r="Y473" s="25">
        <f>IF('My investments'!$B473="",$D$8,'My investments'!$B473)</f>
        <v>0</v>
      </c>
      <c r="Z473" s="3">
        <f>IF('My investments'!$C473="Worth today",0,$X473)</f>
        <v>0</v>
      </c>
      <c r="AA473" s="3">
        <f>IF('My investments'!$H$15="",0,IF('My investments'!$F473='My investments'!$H$15,$X473,0))</f>
        <v>0</v>
      </c>
      <c r="AB473" s="3">
        <f>IF('My investments'!$H$16="",0,IF('My investments'!$F473='My investments'!$H$16,$X473,0))</f>
        <v>0</v>
      </c>
      <c r="AC473" s="3">
        <f>IF('My investments'!$H$17="",0,IF('My investments'!$F473='My investments'!$H$17,$X473,0))</f>
        <v>0</v>
      </c>
      <c r="AD473" s="3">
        <f>IF('My investments'!$H$18="",0,IF('My investments'!$F473='My investments'!$H$18,$X473,0))</f>
        <v>0</v>
      </c>
      <c r="AE473" s="3">
        <f>IF('My investments'!$H$19="",0,IF('My investments'!$F473='My investments'!$H$19,$X473,0))</f>
        <v>0</v>
      </c>
      <c r="AF473" s="3">
        <f>IF('My investments'!$H$20="",0,IF('My investments'!$F473='My investments'!$H$20,$X473,0))</f>
        <v>0</v>
      </c>
      <c r="AG473" s="3">
        <f>IF('My investments'!$H$21="",0,IF('My investments'!$F473='My investments'!$H$21,$X473,0))</f>
        <v>0</v>
      </c>
      <c r="AH473" s="3">
        <f>IF('My investments'!$H$22="",0,IF('My investments'!$F473='My investments'!$H$22,$X473,0))</f>
        <v>0</v>
      </c>
      <c r="AI473" s="3">
        <f>IF('My investments'!$H$23="",0,IF('My investments'!$F473='My investments'!$H$23,$X473,0))</f>
        <v>0</v>
      </c>
      <c r="AJ473" s="3">
        <f>IF('My investments'!$H$24="",0,IF('My investments'!$F473='My investments'!$H$24,$X473,0))</f>
        <v>0</v>
      </c>
      <c r="AL473" s="3" t="str">
        <f>IF('My investments'!$B473="","",IF($D$10=0,"",IFERROR(INDEX('Index history'!$B$8:$B$5007,MATCH('My investments'!$B473,'Index history'!$A$8:$A$5007,1)),"")))</f>
        <v/>
      </c>
      <c r="AM473" s="3">
        <f>IF($AL473="",0,IF('My investments'!$D473="",0,IF('My investments'!$C473="Money in",'My investments'!$D473/$AL473,IF('My investments'!$C473="Money out",-'My investments'!$D473/$AL473,0))))</f>
        <v>0</v>
      </c>
    </row>
    <row r="474">
      <c r="X474" s="3">
        <f>IF('My investments'!$B474="",0,IF('My investments'!$E474="",0,'My investments'!$E474))</f>
        <v>0</v>
      </c>
      <c r="Y474" s="25">
        <f>IF('My investments'!$B474="",$D$8,'My investments'!$B474)</f>
        <v>0</v>
      </c>
      <c r="Z474" s="3">
        <f>IF('My investments'!$C474="Worth today",0,$X474)</f>
        <v>0</v>
      </c>
      <c r="AA474" s="3">
        <f>IF('My investments'!$H$15="",0,IF('My investments'!$F474='My investments'!$H$15,$X474,0))</f>
        <v>0</v>
      </c>
      <c r="AB474" s="3">
        <f>IF('My investments'!$H$16="",0,IF('My investments'!$F474='My investments'!$H$16,$X474,0))</f>
        <v>0</v>
      </c>
      <c r="AC474" s="3">
        <f>IF('My investments'!$H$17="",0,IF('My investments'!$F474='My investments'!$H$17,$X474,0))</f>
        <v>0</v>
      </c>
      <c r="AD474" s="3">
        <f>IF('My investments'!$H$18="",0,IF('My investments'!$F474='My investments'!$H$18,$X474,0))</f>
        <v>0</v>
      </c>
      <c r="AE474" s="3">
        <f>IF('My investments'!$H$19="",0,IF('My investments'!$F474='My investments'!$H$19,$X474,0))</f>
        <v>0</v>
      </c>
      <c r="AF474" s="3">
        <f>IF('My investments'!$H$20="",0,IF('My investments'!$F474='My investments'!$H$20,$X474,0))</f>
        <v>0</v>
      </c>
      <c r="AG474" s="3">
        <f>IF('My investments'!$H$21="",0,IF('My investments'!$F474='My investments'!$H$21,$X474,0))</f>
        <v>0</v>
      </c>
      <c r="AH474" s="3">
        <f>IF('My investments'!$H$22="",0,IF('My investments'!$F474='My investments'!$H$22,$X474,0))</f>
        <v>0</v>
      </c>
      <c r="AI474" s="3">
        <f>IF('My investments'!$H$23="",0,IF('My investments'!$F474='My investments'!$H$23,$X474,0))</f>
        <v>0</v>
      </c>
      <c r="AJ474" s="3">
        <f>IF('My investments'!$H$24="",0,IF('My investments'!$F474='My investments'!$H$24,$X474,0))</f>
        <v>0</v>
      </c>
      <c r="AL474" s="3" t="str">
        <f>IF('My investments'!$B474="","",IF($D$10=0,"",IFERROR(INDEX('Index history'!$B$8:$B$5007,MATCH('My investments'!$B474,'Index history'!$A$8:$A$5007,1)),"")))</f>
        <v/>
      </c>
      <c r="AM474" s="3">
        <f>IF($AL474="",0,IF('My investments'!$D474="",0,IF('My investments'!$C474="Money in",'My investments'!$D474/$AL474,IF('My investments'!$C474="Money out",-'My investments'!$D474/$AL474,0))))</f>
        <v>0</v>
      </c>
    </row>
    <row r="475">
      <c r="X475" s="3">
        <f>IF('My investments'!$B475="",0,IF('My investments'!$E475="",0,'My investments'!$E475))</f>
        <v>0</v>
      </c>
      <c r="Y475" s="25">
        <f>IF('My investments'!$B475="",$D$8,'My investments'!$B475)</f>
        <v>0</v>
      </c>
      <c r="Z475" s="3">
        <f>IF('My investments'!$C475="Worth today",0,$X475)</f>
        <v>0</v>
      </c>
      <c r="AA475" s="3">
        <f>IF('My investments'!$H$15="",0,IF('My investments'!$F475='My investments'!$H$15,$X475,0))</f>
        <v>0</v>
      </c>
      <c r="AB475" s="3">
        <f>IF('My investments'!$H$16="",0,IF('My investments'!$F475='My investments'!$H$16,$X475,0))</f>
        <v>0</v>
      </c>
      <c r="AC475" s="3">
        <f>IF('My investments'!$H$17="",0,IF('My investments'!$F475='My investments'!$H$17,$X475,0))</f>
        <v>0</v>
      </c>
      <c r="AD475" s="3">
        <f>IF('My investments'!$H$18="",0,IF('My investments'!$F475='My investments'!$H$18,$X475,0))</f>
        <v>0</v>
      </c>
      <c r="AE475" s="3">
        <f>IF('My investments'!$H$19="",0,IF('My investments'!$F475='My investments'!$H$19,$X475,0))</f>
        <v>0</v>
      </c>
      <c r="AF475" s="3">
        <f>IF('My investments'!$H$20="",0,IF('My investments'!$F475='My investments'!$H$20,$X475,0))</f>
        <v>0</v>
      </c>
      <c r="AG475" s="3">
        <f>IF('My investments'!$H$21="",0,IF('My investments'!$F475='My investments'!$H$21,$X475,0))</f>
        <v>0</v>
      </c>
      <c r="AH475" s="3">
        <f>IF('My investments'!$H$22="",0,IF('My investments'!$F475='My investments'!$H$22,$X475,0))</f>
        <v>0</v>
      </c>
      <c r="AI475" s="3">
        <f>IF('My investments'!$H$23="",0,IF('My investments'!$F475='My investments'!$H$23,$X475,0))</f>
        <v>0</v>
      </c>
      <c r="AJ475" s="3">
        <f>IF('My investments'!$H$24="",0,IF('My investments'!$F475='My investments'!$H$24,$X475,0))</f>
        <v>0</v>
      </c>
      <c r="AL475" s="3" t="str">
        <f>IF('My investments'!$B475="","",IF($D$10=0,"",IFERROR(INDEX('Index history'!$B$8:$B$5007,MATCH('My investments'!$B475,'Index history'!$A$8:$A$5007,1)),"")))</f>
        <v/>
      </c>
      <c r="AM475" s="3">
        <f>IF($AL475="",0,IF('My investments'!$D475="",0,IF('My investments'!$C475="Money in",'My investments'!$D475/$AL475,IF('My investments'!$C475="Money out",-'My investments'!$D475/$AL475,0))))</f>
        <v>0</v>
      </c>
    </row>
    <row r="476">
      <c r="X476" s="3">
        <f>IF('My investments'!$B476="",0,IF('My investments'!$E476="",0,'My investments'!$E476))</f>
        <v>0</v>
      </c>
      <c r="Y476" s="25">
        <f>IF('My investments'!$B476="",$D$8,'My investments'!$B476)</f>
        <v>0</v>
      </c>
      <c r="Z476" s="3">
        <f>IF('My investments'!$C476="Worth today",0,$X476)</f>
        <v>0</v>
      </c>
      <c r="AA476" s="3">
        <f>IF('My investments'!$H$15="",0,IF('My investments'!$F476='My investments'!$H$15,$X476,0))</f>
        <v>0</v>
      </c>
      <c r="AB476" s="3">
        <f>IF('My investments'!$H$16="",0,IF('My investments'!$F476='My investments'!$H$16,$X476,0))</f>
        <v>0</v>
      </c>
      <c r="AC476" s="3">
        <f>IF('My investments'!$H$17="",0,IF('My investments'!$F476='My investments'!$H$17,$X476,0))</f>
        <v>0</v>
      </c>
      <c r="AD476" s="3">
        <f>IF('My investments'!$H$18="",0,IF('My investments'!$F476='My investments'!$H$18,$X476,0))</f>
        <v>0</v>
      </c>
      <c r="AE476" s="3">
        <f>IF('My investments'!$H$19="",0,IF('My investments'!$F476='My investments'!$H$19,$X476,0))</f>
        <v>0</v>
      </c>
      <c r="AF476" s="3">
        <f>IF('My investments'!$H$20="",0,IF('My investments'!$F476='My investments'!$H$20,$X476,0))</f>
        <v>0</v>
      </c>
      <c r="AG476" s="3">
        <f>IF('My investments'!$H$21="",0,IF('My investments'!$F476='My investments'!$H$21,$X476,0))</f>
        <v>0</v>
      </c>
      <c r="AH476" s="3">
        <f>IF('My investments'!$H$22="",0,IF('My investments'!$F476='My investments'!$H$22,$X476,0))</f>
        <v>0</v>
      </c>
      <c r="AI476" s="3">
        <f>IF('My investments'!$H$23="",0,IF('My investments'!$F476='My investments'!$H$23,$X476,0))</f>
        <v>0</v>
      </c>
      <c r="AJ476" s="3">
        <f>IF('My investments'!$H$24="",0,IF('My investments'!$F476='My investments'!$H$24,$X476,0))</f>
        <v>0</v>
      </c>
      <c r="AL476" s="3" t="str">
        <f>IF('My investments'!$B476="","",IF($D$10=0,"",IFERROR(INDEX('Index history'!$B$8:$B$5007,MATCH('My investments'!$B476,'Index history'!$A$8:$A$5007,1)),"")))</f>
        <v/>
      </c>
      <c r="AM476" s="3">
        <f>IF($AL476="",0,IF('My investments'!$D476="",0,IF('My investments'!$C476="Money in",'My investments'!$D476/$AL476,IF('My investments'!$C476="Money out",-'My investments'!$D476/$AL476,0))))</f>
        <v>0</v>
      </c>
    </row>
    <row r="477">
      <c r="X477" s="3">
        <f>IF('My investments'!$B477="",0,IF('My investments'!$E477="",0,'My investments'!$E477))</f>
        <v>0</v>
      </c>
      <c r="Y477" s="25">
        <f>IF('My investments'!$B477="",$D$8,'My investments'!$B477)</f>
        <v>0</v>
      </c>
      <c r="Z477" s="3">
        <f>IF('My investments'!$C477="Worth today",0,$X477)</f>
        <v>0</v>
      </c>
      <c r="AA477" s="3">
        <f>IF('My investments'!$H$15="",0,IF('My investments'!$F477='My investments'!$H$15,$X477,0))</f>
        <v>0</v>
      </c>
      <c r="AB477" s="3">
        <f>IF('My investments'!$H$16="",0,IF('My investments'!$F477='My investments'!$H$16,$X477,0))</f>
        <v>0</v>
      </c>
      <c r="AC477" s="3">
        <f>IF('My investments'!$H$17="",0,IF('My investments'!$F477='My investments'!$H$17,$X477,0))</f>
        <v>0</v>
      </c>
      <c r="AD477" s="3">
        <f>IF('My investments'!$H$18="",0,IF('My investments'!$F477='My investments'!$H$18,$X477,0))</f>
        <v>0</v>
      </c>
      <c r="AE477" s="3">
        <f>IF('My investments'!$H$19="",0,IF('My investments'!$F477='My investments'!$H$19,$X477,0))</f>
        <v>0</v>
      </c>
      <c r="AF477" s="3">
        <f>IF('My investments'!$H$20="",0,IF('My investments'!$F477='My investments'!$H$20,$X477,0))</f>
        <v>0</v>
      </c>
      <c r="AG477" s="3">
        <f>IF('My investments'!$H$21="",0,IF('My investments'!$F477='My investments'!$H$21,$X477,0))</f>
        <v>0</v>
      </c>
      <c r="AH477" s="3">
        <f>IF('My investments'!$H$22="",0,IF('My investments'!$F477='My investments'!$H$22,$X477,0))</f>
        <v>0</v>
      </c>
      <c r="AI477" s="3">
        <f>IF('My investments'!$H$23="",0,IF('My investments'!$F477='My investments'!$H$23,$X477,0))</f>
        <v>0</v>
      </c>
      <c r="AJ477" s="3">
        <f>IF('My investments'!$H$24="",0,IF('My investments'!$F477='My investments'!$H$24,$X477,0))</f>
        <v>0</v>
      </c>
      <c r="AL477" s="3" t="str">
        <f>IF('My investments'!$B477="","",IF($D$10=0,"",IFERROR(INDEX('Index history'!$B$8:$B$5007,MATCH('My investments'!$B477,'Index history'!$A$8:$A$5007,1)),"")))</f>
        <v/>
      </c>
      <c r="AM477" s="3">
        <f>IF($AL477="",0,IF('My investments'!$D477="",0,IF('My investments'!$C477="Money in",'My investments'!$D477/$AL477,IF('My investments'!$C477="Money out",-'My investments'!$D477/$AL477,0))))</f>
        <v>0</v>
      </c>
    </row>
    <row r="478">
      <c r="X478" s="3">
        <f>IF('My investments'!$B478="",0,IF('My investments'!$E478="",0,'My investments'!$E478))</f>
        <v>0</v>
      </c>
      <c r="Y478" s="25">
        <f>IF('My investments'!$B478="",$D$8,'My investments'!$B478)</f>
        <v>0</v>
      </c>
      <c r="Z478" s="3">
        <f>IF('My investments'!$C478="Worth today",0,$X478)</f>
        <v>0</v>
      </c>
      <c r="AA478" s="3">
        <f>IF('My investments'!$H$15="",0,IF('My investments'!$F478='My investments'!$H$15,$X478,0))</f>
        <v>0</v>
      </c>
      <c r="AB478" s="3">
        <f>IF('My investments'!$H$16="",0,IF('My investments'!$F478='My investments'!$H$16,$X478,0))</f>
        <v>0</v>
      </c>
      <c r="AC478" s="3">
        <f>IF('My investments'!$H$17="",0,IF('My investments'!$F478='My investments'!$H$17,$X478,0))</f>
        <v>0</v>
      </c>
      <c r="AD478" s="3">
        <f>IF('My investments'!$H$18="",0,IF('My investments'!$F478='My investments'!$H$18,$X478,0))</f>
        <v>0</v>
      </c>
      <c r="AE478" s="3">
        <f>IF('My investments'!$H$19="",0,IF('My investments'!$F478='My investments'!$H$19,$X478,0))</f>
        <v>0</v>
      </c>
      <c r="AF478" s="3">
        <f>IF('My investments'!$H$20="",0,IF('My investments'!$F478='My investments'!$H$20,$X478,0))</f>
        <v>0</v>
      </c>
      <c r="AG478" s="3">
        <f>IF('My investments'!$H$21="",0,IF('My investments'!$F478='My investments'!$H$21,$X478,0))</f>
        <v>0</v>
      </c>
      <c r="AH478" s="3">
        <f>IF('My investments'!$H$22="",0,IF('My investments'!$F478='My investments'!$H$22,$X478,0))</f>
        <v>0</v>
      </c>
      <c r="AI478" s="3">
        <f>IF('My investments'!$H$23="",0,IF('My investments'!$F478='My investments'!$H$23,$X478,0))</f>
        <v>0</v>
      </c>
      <c r="AJ478" s="3">
        <f>IF('My investments'!$H$24="",0,IF('My investments'!$F478='My investments'!$H$24,$X478,0))</f>
        <v>0</v>
      </c>
      <c r="AL478" s="3" t="str">
        <f>IF('My investments'!$B478="","",IF($D$10=0,"",IFERROR(INDEX('Index history'!$B$8:$B$5007,MATCH('My investments'!$B478,'Index history'!$A$8:$A$5007,1)),"")))</f>
        <v/>
      </c>
      <c r="AM478" s="3">
        <f>IF($AL478="",0,IF('My investments'!$D478="",0,IF('My investments'!$C478="Money in",'My investments'!$D478/$AL478,IF('My investments'!$C478="Money out",-'My investments'!$D478/$AL478,0))))</f>
        <v>0</v>
      </c>
    </row>
    <row r="479">
      <c r="X479" s="3">
        <f>IF('My investments'!$B479="",0,IF('My investments'!$E479="",0,'My investments'!$E479))</f>
        <v>0</v>
      </c>
      <c r="Y479" s="25">
        <f>IF('My investments'!$B479="",$D$8,'My investments'!$B479)</f>
        <v>0</v>
      </c>
      <c r="Z479" s="3">
        <f>IF('My investments'!$C479="Worth today",0,$X479)</f>
        <v>0</v>
      </c>
      <c r="AA479" s="3">
        <f>IF('My investments'!$H$15="",0,IF('My investments'!$F479='My investments'!$H$15,$X479,0))</f>
        <v>0</v>
      </c>
      <c r="AB479" s="3">
        <f>IF('My investments'!$H$16="",0,IF('My investments'!$F479='My investments'!$H$16,$X479,0))</f>
        <v>0</v>
      </c>
      <c r="AC479" s="3">
        <f>IF('My investments'!$H$17="",0,IF('My investments'!$F479='My investments'!$H$17,$X479,0))</f>
        <v>0</v>
      </c>
      <c r="AD479" s="3">
        <f>IF('My investments'!$H$18="",0,IF('My investments'!$F479='My investments'!$H$18,$X479,0))</f>
        <v>0</v>
      </c>
      <c r="AE479" s="3">
        <f>IF('My investments'!$H$19="",0,IF('My investments'!$F479='My investments'!$H$19,$X479,0))</f>
        <v>0</v>
      </c>
      <c r="AF479" s="3">
        <f>IF('My investments'!$H$20="",0,IF('My investments'!$F479='My investments'!$H$20,$X479,0))</f>
        <v>0</v>
      </c>
      <c r="AG479" s="3">
        <f>IF('My investments'!$H$21="",0,IF('My investments'!$F479='My investments'!$H$21,$X479,0))</f>
        <v>0</v>
      </c>
      <c r="AH479" s="3">
        <f>IF('My investments'!$H$22="",0,IF('My investments'!$F479='My investments'!$H$22,$X479,0))</f>
        <v>0</v>
      </c>
      <c r="AI479" s="3">
        <f>IF('My investments'!$H$23="",0,IF('My investments'!$F479='My investments'!$H$23,$X479,0))</f>
        <v>0</v>
      </c>
      <c r="AJ479" s="3">
        <f>IF('My investments'!$H$24="",0,IF('My investments'!$F479='My investments'!$H$24,$X479,0))</f>
        <v>0</v>
      </c>
      <c r="AL479" s="3" t="str">
        <f>IF('My investments'!$B479="","",IF($D$10=0,"",IFERROR(INDEX('Index history'!$B$8:$B$5007,MATCH('My investments'!$B479,'Index history'!$A$8:$A$5007,1)),"")))</f>
        <v/>
      </c>
      <c r="AM479" s="3">
        <f>IF($AL479="",0,IF('My investments'!$D479="",0,IF('My investments'!$C479="Money in",'My investments'!$D479/$AL479,IF('My investments'!$C479="Money out",-'My investments'!$D479/$AL479,0))))</f>
        <v>0</v>
      </c>
    </row>
    <row r="480">
      <c r="X480" s="3">
        <f>IF('My investments'!$B480="",0,IF('My investments'!$E480="",0,'My investments'!$E480))</f>
        <v>0</v>
      </c>
      <c r="Y480" s="25">
        <f>IF('My investments'!$B480="",$D$8,'My investments'!$B480)</f>
        <v>0</v>
      </c>
      <c r="Z480" s="3">
        <f>IF('My investments'!$C480="Worth today",0,$X480)</f>
        <v>0</v>
      </c>
      <c r="AA480" s="3">
        <f>IF('My investments'!$H$15="",0,IF('My investments'!$F480='My investments'!$H$15,$X480,0))</f>
        <v>0</v>
      </c>
      <c r="AB480" s="3">
        <f>IF('My investments'!$H$16="",0,IF('My investments'!$F480='My investments'!$H$16,$X480,0))</f>
        <v>0</v>
      </c>
      <c r="AC480" s="3">
        <f>IF('My investments'!$H$17="",0,IF('My investments'!$F480='My investments'!$H$17,$X480,0))</f>
        <v>0</v>
      </c>
      <c r="AD480" s="3">
        <f>IF('My investments'!$H$18="",0,IF('My investments'!$F480='My investments'!$H$18,$X480,0))</f>
        <v>0</v>
      </c>
      <c r="AE480" s="3">
        <f>IF('My investments'!$H$19="",0,IF('My investments'!$F480='My investments'!$H$19,$X480,0))</f>
        <v>0</v>
      </c>
      <c r="AF480" s="3">
        <f>IF('My investments'!$H$20="",0,IF('My investments'!$F480='My investments'!$H$20,$X480,0))</f>
        <v>0</v>
      </c>
      <c r="AG480" s="3">
        <f>IF('My investments'!$H$21="",0,IF('My investments'!$F480='My investments'!$H$21,$X480,0))</f>
        <v>0</v>
      </c>
      <c r="AH480" s="3">
        <f>IF('My investments'!$H$22="",0,IF('My investments'!$F480='My investments'!$H$22,$X480,0))</f>
        <v>0</v>
      </c>
      <c r="AI480" s="3">
        <f>IF('My investments'!$H$23="",0,IF('My investments'!$F480='My investments'!$H$23,$X480,0))</f>
        <v>0</v>
      </c>
      <c r="AJ480" s="3">
        <f>IF('My investments'!$H$24="",0,IF('My investments'!$F480='My investments'!$H$24,$X480,0))</f>
        <v>0</v>
      </c>
      <c r="AL480" s="3" t="str">
        <f>IF('My investments'!$B480="","",IF($D$10=0,"",IFERROR(INDEX('Index history'!$B$8:$B$5007,MATCH('My investments'!$B480,'Index history'!$A$8:$A$5007,1)),"")))</f>
        <v/>
      </c>
      <c r="AM480" s="3">
        <f>IF($AL480="",0,IF('My investments'!$D480="",0,IF('My investments'!$C480="Money in",'My investments'!$D480/$AL480,IF('My investments'!$C480="Money out",-'My investments'!$D480/$AL480,0))))</f>
        <v>0</v>
      </c>
    </row>
    <row r="481">
      <c r="X481" s="3">
        <f>IF('My investments'!$B481="",0,IF('My investments'!$E481="",0,'My investments'!$E481))</f>
        <v>0</v>
      </c>
      <c r="Y481" s="25">
        <f>IF('My investments'!$B481="",$D$8,'My investments'!$B481)</f>
        <v>0</v>
      </c>
      <c r="Z481" s="3">
        <f>IF('My investments'!$C481="Worth today",0,$X481)</f>
        <v>0</v>
      </c>
      <c r="AA481" s="3">
        <f>IF('My investments'!$H$15="",0,IF('My investments'!$F481='My investments'!$H$15,$X481,0))</f>
        <v>0</v>
      </c>
      <c r="AB481" s="3">
        <f>IF('My investments'!$H$16="",0,IF('My investments'!$F481='My investments'!$H$16,$X481,0))</f>
        <v>0</v>
      </c>
      <c r="AC481" s="3">
        <f>IF('My investments'!$H$17="",0,IF('My investments'!$F481='My investments'!$H$17,$X481,0))</f>
        <v>0</v>
      </c>
      <c r="AD481" s="3">
        <f>IF('My investments'!$H$18="",0,IF('My investments'!$F481='My investments'!$H$18,$X481,0))</f>
        <v>0</v>
      </c>
      <c r="AE481" s="3">
        <f>IF('My investments'!$H$19="",0,IF('My investments'!$F481='My investments'!$H$19,$X481,0))</f>
        <v>0</v>
      </c>
      <c r="AF481" s="3">
        <f>IF('My investments'!$H$20="",0,IF('My investments'!$F481='My investments'!$H$20,$X481,0))</f>
        <v>0</v>
      </c>
      <c r="AG481" s="3">
        <f>IF('My investments'!$H$21="",0,IF('My investments'!$F481='My investments'!$H$21,$X481,0))</f>
        <v>0</v>
      </c>
      <c r="AH481" s="3">
        <f>IF('My investments'!$H$22="",0,IF('My investments'!$F481='My investments'!$H$22,$X481,0))</f>
        <v>0</v>
      </c>
      <c r="AI481" s="3">
        <f>IF('My investments'!$H$23="",0,IF('My investments'!$F481='My investments'!$H$23,$X481,0))</f>
        <v>0</v>
      </c>
      <c r="AJ481" s="3">
        <f>IF('My investments'!$H$24="",0,IF('My investments'!$F481='My investments'!$H$24,$X481,0))</f>
        <v>0</v>
      </c>
      <c r="AL481" s="3" t="str">
        <f>IF('My investments'!$B481="","",IF($D$10=0,"",IFERROR(INDEX('Index history'!$B$8:$B$5007,MATCH('My investments'!$B481,'Index history'!$A$8:$A$5007,1)),"")))</f>
        <v/>
      </c>
      <c r="AM481" s="3">
        <f>IF($AL481="",0,IF('My investments'!$D481="",0,IF('My investments'!$C481="Money in",'My investments'!$D481/$AL481,IF('My investments'!$C481="Money out",-'My investments'!$D481/$AL481,0))))</f>
        <v>0</v>
      </c>
    </row>
    <row r="482">
      <c r="X482" s="3">
        <f>IF('My investments'!$B482="",0,IF('My investments'!$E482="",0,'My investments'!$E482))</f>
        <v>0</v>
      </c>
      <c r="Y482" s="25">
        <f>IF('My investments'!$B482="",$D$8,'My investments'!$B482)</f>
        <v>0</v>
      </c>
      <c r="Z482" s="3">
        <f>IF('My investments'!$C482="Worth today",0,$X482)</f>
        <v>0</v>
      </c>
      <c r="AA482" s="3">
        <f>IF('My investments'!$H$15="",0,IF('My investments'!$F482='My investments'!$H$15,$X482,0))</f>
        <v>0</v>
      </c>
      <c r="AB482" s="3">
        <f>IF('My investments'!$H$16="",0,IF('My investments'!$F482='My investments'!$H$16,$X482,0))</f>
        <v>0</v>
      </c>
      <c r="AC482" s="3">
        <f>IF('My investments'!$H$17="",0,IF('My investments'!$F482='My investments'!$H$17,$X482,0))</f>
        <v>0</v>
      </c>
      <c r="AD482" s="3">
        <f>IF('My investments'!$H$18="",0,IF('My investments'!$F482='My investments'!$H$18,$X482,0))</f>
        <v>0</v>
      </c>
      <c r="AE482" s="3">
        <f>IF('My investments'!$H$19="",0,IF('My investments'!$F482='My investments'!$H$19,$X482,0))</f>
        <v>0</v>
      </c>
      <c r="AF482" s="3">
        <f>IF('My investments'!$H$20="",0,IF('My investments'!$F482='My investments'!$H$20,$X482,0))</f>
        <v>0</v>
      </c>
      <c r="AG482" s="3">
        <f>IF('My investments'!$H$21="",0,IF('My investments'!$F482='My investments'!$H$21,$X482,0))</f>
        <v>0</v>
      </c>
      <c r="AH482" s="3">
        <f>IF('My investments'!$H$22="",0,IF('My investments'!$F482='My investments'!$H$22,$X482,0))</f>
        <v>0</v>
      </c>
      <c r="AI482" s="3">
        <f>IF('My investments'!$H$23="",0,IF('My investments'!$F482='My investments'!$H$23,$X482,0))</f>
        <v>0</v>
      </c>
      <c r="AJ482" s="3">
        <f>IF('My investments'!$H$24="",0,IF('My investments'!$F482='My investments'!$H$24,$X482,0))</f>
        <v>0</v>
      </c>
      <c r="AL482" s="3" t="str">
        <f>IF('My investments'!$B482="","",IF($D$10=0,"",IFERROR(INDEX('Index history'!$B$8:$B$5007,MATCH('My investments'!$B482,'Index history'!$A$8:$A$5007,1)),"")))</f>
        <v/>
      </c>
      <c r="AM482" s="3">
        <f>IF($AL482="",0,IF('My investments'!$D482="",0,IF('My investments'!$C482="Money in",'My investments'!$D482/$AL482,IF('My investments'!$C482="Money out",-'My investments'!$D482/$AL482,0))))</f>
        <v>0</v>
      </c>
    </row>
    <row r="483">
      <c r="X483" s="3">
        <f>IF('My investments'!$B483="",0,IF('My investments'!$E483="",0,'My investments'!$E483))</f>
        <v>0</v>
      </c>
      <c r="Y483" s="25">
        <f>IF('My investments'!$B483="",$D$8,'My investments'!$B483)</f>
        <v>0</v>
      </c>
      <c r="Z483" s="3">
        <f>IF('My investments'!$C483="Worth today",0,$X483)</f>
        <v>0</v>
      </c>
      <c r="AA483" s="3">
        <f>IF('My investments'!$H$15="",0,IF('My investments'!$F483='My investments'!$H$15,$X483,0))</f>
        <v>0</v>
      </c>
      <c r="AB483" s="3">
        <f>IF('My investments'!$H$16="",0,IF('My investments'!$F483='My investments'!$H$16,$X483,0))</f>
        <v>0</v>
      </c>
      <c r="AC483" s="3">
        <f>IF('My investments'!$H$17="",0,IF('My investments'!$F483='My investments'!$H$17,$X483,0))</f>
        <v>0</v>
      </c>
      <c r="AD483" s="3">
        <f>IF('My investments'!$H$18="",0,IF('My investments'!$F483='My investments'!$H$18,$X483,0))</f>
        <v>0</v>
      </c>
      <c r="AE483" s="3">
        <f>IF('My investments'!$H$19="",0,IF('My investments'!$F483='My investments'!$H$19,$X483,0))</f>
        <v>0</v>
      </c>
      <c r="AF483" s="3">
        <f>IF('My investments'!$H$20="",0,IF('My investments'!$F483='My investments'!$H$20,$X483,0))</f>
        <v>0</v>
      </c>
      <c r="AG483" s="3">
        <f>IF('My investments'!$H$21="",0,IF('My investments'!$F483='My investments'!$H$21,$X483,0))</f>
        <v>0</v>
      </c>
      <c r="AH483" s="3">
        <f>IF('My investments'!$H$22="",0,IF('My investments'!$F483='My investments'!$H$22,$X483,0))</f>
        <v>0</v>
      </c>
      <c r="AI483" s="3">
        <f>IF('My investments'!$H$23="",0,IF('My investments'!$F483='My investments'!$H$23,$X483,0))</f>
        <v>0</v>
      </c>
      <c r="AJ483" s="3">
        <f>IF('My investments'!$H$24="",0,IF('My investments'!$F483='My investments'!$H$24,$X483,0))</f>
        <v>0</v>
      </c>
      <c r="AL483" s="3" t="str">
        <f>IF('My investments'!$B483="","",IF($D$10=0,"",IFERROR(INDEX('Index history'!$B$8:$B$5007,MATCH('My investments'!$B483,'Index history'!$A$8:$A$5007,1)),"")))</f>
        <v/>
      </c>
      <c r="AM483" s="3">
        <f>IF($AL483="",0,IF('My investments'!$D483="",0,IF('My investments'!$C483="Money in",'My investments'!$D483/$AL483,IF('My investments'!$C483="Money out",-'My investments'!$D483/$AL483,0))))</f>
        <v>0</v>
      </c>
    </row>
    <row r="484">
      <c r="X484" s="3">
        <f>IF('My investments'!$B484="",0,IF('My investments'!$E484="",0,'My investments'!$E484))</f>
        <v>0</v>
      </c>
      <c r="Y484" s="25">
        <f>IF('My investments'!$B484="",$D$8,'My investments'!$B484)</f>
        <v>0</v>
      </c>
      <c r="Z484" s="3">
        <f>IF('My investments'!$C484="Worth today",0,$X484)</f>
        <v>0</v>
      </c>
      <c r="AA484" s="3">
        <f>IF('My investments'!$H$15="",0,IF('My investments'!$F484='My investments'!$H$15,$X484,0))</f>
        <v>0</v>
      </c>
      <c r="AB484" s="3">
        <f>IF('My investments'!$H$16="",0,IF('My investments'!$F484='My investments'!$H$16,$X484,0))</f>
        <v>0</v>
      </c>
      <c r="AC484" s="3">
        <f>IF('My investments'!$H$17="",0,IF('My investments'!$F484='My investments'!$H$17,$X484,0))</f>
        <v>0</v>
      </c>
      <c r="AD484" s="3">
        <f>IF('My investments'!$H$18="",0,IF('My investments'!$F484='My investments'!$H$18,$X484,0))</f>
        <v>0</v>
      </c>
      <c r="AE484" s="3">
        <f>IF('My investments'!$H$19="",0,IF('My investments'!$F484='My investments'!$H$19,$X484,0))</f>
        <v>0</v>
      </c>
      <c r="AF484" s="3">
        <f>IF('My investments'!$H$20="",0,IF('My investments'!$F484='My investments'!$H$20,$X484,0))</f>
        <v>0</v>
      </c>
      <c r="AG484" s="3">
        <f>IF('My investments'!$H$21="",0,IF('My investments'!$F484='My investments'!$H$21,$X484,0))</f>
        <v>0</v>
      </c>
      <c r="AH484" s="3">
        <f>IF('My investments'!$H$22="",0,IF('My investments'!$F484='My investments'!$H$22,$X484,0))</f>
        <v>0</v>
      </c>
      <c r="AI484" s="3">
        <f>IF('My investments'!$H$23="",0,IF('My investments'!$F484='My investments'!$H$23,$X484,0))</f>
        <v>0</v>
      </c>
      <c r="AJ484" s="3">
        <f>IF('My investments'!$H$24="",0,IF('My investments'!$F484='My investments'!$H$24,$X484,0))</f>
        <v>0</v>
      </c>
      <c r="AL484" s="3" t="str">
        <f>IF('My investments'!$B484="","",IF($D$10=0,"",IFERROR(INDEX('Index history'!$B$8:$B$5007,MATCH('My investments'!$B484,'Index history'!$A$8:$A$5007,1)),"")))</f>
        <v/>
      </c>
      <c r="AM484" s="3">
        <f>IF($AL484="",0,IF('My investments'!$D484="",0,IF('My investments'!$C484="Money in",'My investments'!$D484/$AL484,IF('My investments'!$C484="Money out",-'My investments'!$D484/$AL484,0))))</f>
        <v>0</v>
      </c>
    </row>
    <row r="485">
      <c r="X485" s="3">
        <f>IF('My investments'!$B485="",0,IF('My investments'!$E485="",0,'My investments'!$E485))</f>
        <v>0</v>
      </c>
      <c r="Y485" s="25">
        <f>IF('My investments'!$B485="",$D$8,'My investments'!$B485)</f>
        <v>0</v>
      </c>
      <c r="Z485" s="3">
        <f>IF('My investments'!$C485="Worth today",0,$X485)</f>
        <v>0</v>
      </c>
      <c r="AA485" s="3">
        <f>IF('My investments'!$H$15="",0,IF('My investments'!$F485='My investments'!$H$15,$X485,0))</f>
        <v>0</v>
      </c>
      <c r="AB485" s="3">
        <f>IF('My investments'!$H$16="",0,IF('My investments'!$F485='My investments'!$H$16,$X485,0))</f>
        <v>0</v>
      </c>
      <c r="AC485" s="3">
        <f>IF('My investments'!$H$17="",0,IF('My investments'!$F485='My investments'!$H$17,$X485,0))</f>
        <v>0</v>
      </c>
      <c r="AD485" s="3">
        <f>IF('My investments'!$H$18="",0,IF('My investments'!$F485='My investments'!$H$18,$X485,0))</f>
        <v>0</v>
      </c>
      <c r="AE485" s="3">
        <f>IF('My investments'!$H$19="",0,IF('My investments'!$F485='My investments'!$H$19,$X485,0))</f>
        <v>0</v>
      </c>
      <c r="AF485" s="3">
        <f>IF('My investments'!$H$20="",0,IF('My investments'!$F485='My investments'!$H$20,$X485,0))</f>
        <v>0</v>
      </c>
      <c r="AG485" s="3">
        <f>IF('My investments'!$H$21="",0,IF('My investments'!$F485='My investments'!$H$21,$X485,0))</f>
        <v>0</v>
      </c>
      <c r="AH485" s="3">
        <f>IF('My investments'!$H$22="",0,IF('My investments'!$F485='My investments'!$H$22,$X485,0))</f>
        <v>0</v>
      </c>
      <c r="AI485" s="3">
        <f>IF('My investments'!$H$23="",0,IF('My investments'!$F485='My investments'!$H$23,$X485,0))</f>
        <v>0</v>
      </c>
      <c r="AJ485" s="3">
        <f>IF('My investments'!$H$24="",0,IF('My investments'!$F485='My investments'!$H$24,$X485,0))</f>
        <v>0</v>
      </c>
      <c r="AL485" s="3" t="str">
        <f>IF('My investments'!$B485="","",IF($D$10=0,"",IFERROR(INDEX('Index history'!$B$8:$B$5007,MATCH('My investments'!$B485,'Index history'!$A$8:$A$5007,1)),"")))</f>
        <v/>
      </c>
      <c r="AM485" s="3">
        <f>IF($AL485="",0,IF('My investments'!$D485="",0,IF('My investments'!$C485="Money in",'My investments'!$D485/$AL485,IF('My investments'!$C485="Money out",-'My investments'!$D485/$AL485,0))))</f>
        <v>0</v>
      </c>
    </row>
    <row r="486">
      <c r="X486" s="3">
        <f>IF('My investments'!$B486="",0,IF('My investments'!$E486="",0,'My investments'!$E486))</f>
        <v>0</v>
      </c>
      <c r="Y486" s="25">
        <f>IF('My investments'!$B486="",$D$8,'My investments'!$B486)</f>
        <v>0</v>
      </c>
      <c r="Z486" s="3">
        <f>IF('My investments'!$C486="Worth today",0,$X486)</f>
        <v>0</v>
      </c>
      <c r="AA486" s="3">
        <f>IF('My investments'!$H$15="",0,IF('My investments'!$F486='My investments'!$H$15,$X486,0))</f>
        <v>0</v>
      </c>
      <c r="AB486" s="3">
        <f>IF('My investments'!$H$16="",0,IF('My investments'!$F486='My investments'!$H$16,$X486,0))</f>
        <v>0</v>
      </c>
      <c r="AC486" s="3">
        <f>IF('My investments'!$H$17="",0,IF('My investments'!$F486='My investments'!$H$17,$X486,0))</f>
        <v>0</v>
      </c>
      <c r="AD486" s="3">
        <f>IF('My investments'!$H$18="",0,IF('My investments'!$F486='My investments'!$H$18,$X486,0))</f>
        <v>0</v>
      </c>
      <c r="AE486" s="3">
        <f>IF('My investments'!$H$19="",0,IF('My investments'!$F486='My investments'!$H$19,$X486,0))</f>
        <v>0</v>
      </c>
      <c r="AF486" s="3">
        <f>IF('My investments'!$H$20="",0,IF('My investments'!$F486='My investments'!$H$20,$X486,0))</f>
        <v>0</v>
      </c>
      <c r="AG486" s="3">
        <f>IF('My investments'!$H$21="",0,IF('My investments'!$F486='My investments'!$H$21,$X486,0))</f>
        <v>0</v>
      </c>
      <c r="AH486" s="3">
        <f>IF('My investments'!$H$22="",0,IF('My investments'!$F486='My investments'!$H$22,$X486,0))</f>
        <v>0</v>
      </c>
      <c r="AI486" s="3">
        <f>IF('My investments'!$H$23="",0,IF('My investments'!$F486='My investments'!$H$23,$X486,0))</f>
        <v>0</v>
      </c>
      <c r="AJ486" s="3">
        <f>IF('My investments'!$H$24="",0,IF('My investments'!$F486='My investments'!$H$24,$X486,0))</f>
        <v>0</v>
      </c>
      <c r="AL486" s="3" t="str">
        <f>IF('My investments'!$B486="","",IF($D$10=0,"",IFERROR(INDEX('Index history'!$B$8:$B$5007,MATCH('My investments'!$B486,'Index history'!$A$8:$A$5007,1)),"")))</f>
        <v/>
      </c>
      <c r="AM486" s="3">
        <f>IF($AL486="",0,IF('My investments'!$D486="",0,IF('My investments'!$C486="Money in",'My investments'!$D486/$AL486,IF('My investments'!$C486="Money out",-'My investments'!$D486/$AL486,0))))</f>
        <v>0</v>
      </c>
    </row>
    <row r="487">
      <c r="X487" s="3">
        <f>IF('My investments'!$B487="",0,IF('My investments'!$E487="",0,'My investments'!$E487))</f>
        <v>0</v>
      </c>
      <c r="Y487" s="25">
        <f>IF('My investments'!$B487="",$D$8,'My investments'!$B487)</f>
        <v>0</v>
      </c>
      <c r="Z487" s="3">
        <f>IF('My investments'!$C487="Worth today",0,$X487)</f>
        <v>0</v>
      </c>
      <c r="AA487" s="3">
        <f>IF('My investments'!$H$15="",0,IF('My investments'!$F487='My investments'!$H$15,$X487,0))</f>
        <v>0</v>
      </c>
      <c r="AB487" s="3">
        <f>IF('My investments'!$H$16="",0,IF('My investments'!$F487='My investments'!$H$16,$X487,0))</f>
        <v>0</v>
      </c>
      <c r="AC487" s="3">
        <f>IF('My investments'!$H$17="",0,IF('My investments'!$F487='My investments'!$H$17,$X487,0))</f>
        <v>0</v>
      </c>
      <c r="AD487" s="3">
        <f>IF('My investments'!$H$18="",0,IF('My investments'!$F487='My investments'!$H$18,$X487,0))</f>
        <v>0</v>
      </c>
      <c r="AE487" s="3">
        <f>IF('My investments'!$H$19="",0,IF('My investments'!$F487='My investments'!$H$19,$X487,0))</f>
        <v>0</v>
      </c>
      <c r="AF487" s="3">
        <f>IF('My investments'!$H$20="",0,IF('My investments'!$F487='My investments'!$H$20,$X487,0))</f>
        <v>0</v>
      </c>
      <c r="AG487" s="3">
        <f>IF('My investments'!$H$21="",0,IF('My investments'!$F487='My investments'!$H$21,$X487,0))</f>
        <v>0</v>
      </c>
      <c r="AH487" s="3">
        <f>IF('My investments'!$H$22="",0,IF('My investments'!$F487='My investments'!$H$22,$X487,0))</f>
        <v>0</v>
      </c>
      <c r="AI487" s="3">
        <f>IF('My investments'!$H$23="",0,IF('My investments'!$F487='My investments'!$H$23,$X487,0))</f>
        <v>0</v>
      </c>
      <c r="AJ487" s="3">
        <f>IF('My investments'!$H$24="",0,IF('My investments'!$F487='My investments'!$H$24,$X487,0))</f>
        <v>0</v>
      </c>
      <c r="AL487" s="3" t="str">
        <f>IF('My investments'!$B487="","",IF($D$10=0,"",IFERROR(INDEX('Index history'!$B$8:$B$5007,MATCH('My investments'!$B487,'Index history'!$A$8:$A$5007,1)),"")))</f>
        <v/>
      </c>
      <c r="AM487" s="3">
        <f>IF($AL487="",0,IF('My investments'!$D487="",0,IF('My investments'!$C487="Money in",'My investments'!$D487/$AL487,IF('My investments'!$C487="Money out",-'My investments'!$D487/$AL487,0))))</f>
        <v>0</v>
      </c>
    </row>
    <row r="488">
      <c r="X488" s="3">
        <f>IF('My investments'!$B488="",0,IF('My investments'!$E488="",0,'My investments'!$E488))</f>
        <v>0</v>
      </c>
      <c r="Y488" s="25">
        <f>IF('My investments'!$B488="",$D$8,'My investments'!$B488)</f>
        <v>0</v>
      </c>
      <c r="Z488" s="3">
        <f>IF('My investments'!$C488="Worth today",0,$X488)</f>
        <v>0</v>
      </c>
      <c r="AA488" s="3">
        <f>IF('My investments'!$H$15="",0,IF('My investments'!$F488='My investments'!$H$15,$X488,0))</f>
        <v>0</v>
      </c>
      <c r="AB488" s="3">
        <f>IF('My investments'!$H$16="",0,IF('My investments'!$F488='My investments'!$H$16,$X488,0))</f>
        <v>0</v>
      </c>
      <c r="AC488" s="3">
        <f>IF('My investments'!$H$17="",0,IF('My investments'!$F488='My investments'!$H$17,$X488,0))</f>
        <v>0</v>
      </c>
      <c r="AD488" s="3">
        <f>IF('My investments'!$H$18="",0,IF('My investments'!$F488='My investments'!$H$18,$X488,0))</f>
        <v>0</v>
      </c>
      <c r="AE488" s="3">
        <f>IF('My investments'!$H$19="",0,IF('My investments'!$F488='My investments'!$H$19,$X488,0))</f>
        <v>0</v>
      </c>
      <c r="AF488" s="3">
        <f>IF('My investments'!$H$20="",0,IF('My investments'!$F488='My investments'!$H$20,$X488,0))</f>
        <v>0</v>
      </c>
      <c r="AG488" s="3">
        <f>IF('My investments'!$H$21="",0,IF('My investments'!$F488='My investments'!$H$21,$X488,0))</f>
        <v>0</v>
      </c>
      <c r="AH488" s="3">
        <f>IF('My investments'!$H$22="",0,IF('My investments'!$F488='My investments'!$H$22,$X488,0))</f>
        <v>0</v>
      </c>
      <c r="AI488" s="3">
        <f>IF('My investments'!$H$23="",0,IF('My investments'!$F488='My investments'!$H$23,$X488,0))</f>
        <v>0</v>
      </c>
      <c r="AJ488" s="3">
        <f>IF('My investments'!$H$24="",0,IF('My investments'!$F488='My investments'!$H$24,$X488,0))</f>
        <v>0</v>
      </c>
      <c r="AL488" s="3" t="str">
        <f>IF('My investments'!$B488="","",IF($D$10=0,"",IFERROR(INDEX('Index history'!$B$8:$B$5007,MATCH('My investments'!$B488,'Index history'!$A$8:$A$5007,1)),"")))</f>
        <v/>
      </c>
      <c r="AM488" s="3">
        <f>IF($AL488="",0,IF('My investments'!$D488="",0,IF('My investments'!$C488="Money in",'My investments'!$D488/$AL488,IF('My investments'!$C488="Money out",-'My investments'!$D488/$AL488,0))))</f>
        <v>0</v>
      </c>
    </row>
    <row r="489">
      <c r="X489" s="3">
        <f>IF('My investments'!$B489="",0,IF('My investments'!$E489="",0,'My investments'!$E489))</f>
        <v>0</v>
      </c>
      <c r="Y489" s="25">
        <f>IF('My investments'!$B489="",$D$8,'My investments'!$B489)</f>
        <v>0</v>
      </c>
      <c r="Z489" s="3">
        <f>IF('My investments'!$C489="Worth today",0,$X489)</f>
        <v>0</v>
      </c>
      <c r="AA489" s="3">
        <f>IF('My investments'!$H$15="",0,IF('My investments'!$F489='My investments'!$H$15,$X489,0))</f>
        <v>0</v>
      </c>
      <c r="AB489" s="3">
        <f>IF('My investments'!$H$16="",0,IF('My investments'!$F489='My investments'!$H$16,$X489,0))</f>
        <v>0</v>
      </c>
      <c r="AC489" s="3">
        <f>IF('My investments'!$H$17="",0,IF('My investments'!$F489='My investments'!$H$17,$X489,0))</f>
        <v>0</v>
      </c>
      <c r="AD489" s="3">
        <f>IF('My investments'!$H$18="",0,IF('My investments'!$F489='My investments'!$H$18,$X489,0))</f>
        <v>0</v>
      </c>
      <c r="AE489" s="3">
        <f>IF('My investments'!$H$19="",0,IF('My investments'!$F489='My investments'!$H$19,$X489,0))</f>
        <v>0</v>
      </c>
      <c r="AF489" s="3">
        <f>IF('My investments'!$H$20="",0,IF('My investments'!$F489='My investments'!$H$20,$X489,0))</f>
        <v>0</v>
      </c>
      <c r="AG489" s="3">
        <f>IF('My investments'!$H$21="",0,IF('My investments'!$F489='My investments'!$H$21,$X489,0))</f>
        <v>0</v>
      </c>
      <c r="AH489" s="3">
        <f>IF('My investments'!$H$22="",0,IF('My investments'!$F489='My investments'!$H$22,$X489,0))</f>
        <v>0</v>
      </c>
      <c r="AI489" s="3">
        <f>IF('My investments'!$H$23="",0,IF('My investments'!$F489='My investments'!$H$23,$X489,0))</f>
        <v>0</v>
      </c>
      <c r="AJ489" s="3">
        <f>IF('My investments'!$H$24="",0,IF('My investments'!$F489='My investments'!$H$24,$X489,0))</f>
        <v>0</v>
      </c>
      <c r="AL489" s="3" t="str">
        <f>IF('My investments'!$B489="","",IF($D$10=0,"",IFERROR(INDEX('Index history'!$B$8:$B$5007,MATCH('My investments'!$B489,'Index history'!$A$8:$A$5007,1)),"")))</f>
        <v/>
      </c>
      <c r="AM489" s="3">
        <f>IF($AL489="",0,IF('My investments'!$D489="",0,IF('My investments'!$C489="Money in",'My investments'!$D489/$AL489,IF('My investments'!$C489="Money out",-'My investments'!$D489/$AL489,0))))</f>
        <v>0</v>
      </c>
    </row>
    <row r="490">
      <c r="X490" s="3">
        <f>IF('My investments'!$B490="",0,IF('My investments'!$E490="",0,'My investments'!$E490))</f>
        <v>0</v>
      </c>
      <c r="Y490" s="25">
        <f>IF('My investments'!$B490="",$D$8,'My investments'!$B490)</f>
        <v>0</v>
      </c>
      <c r="Z490" s="3">
        <f>IF('My investments'!$C490="Worth today",0,$X490)</f>
        <v>0</v>
      </c>
      <c r="AA490" s="3">
        <f>IF('My investments'!$H$15="",0,IF('My investments'!$F490='My investments'!$H$15,$X490,0))</f>
        <v>0</v>
      </c>
      <c r="AB490" s="3">
        <f>IF('My investments'!$H$16="",0,IF('My investments'!$F490='My investments'!$H$16,$X490,0))</f>
        <v>0</v>
      </c>
      <c r="AC490" s="3">
        <f>IF('My investments'!$H$17="",0,IF('My investments'!$F490='My investments'!$H$17,$X490,0))</f>
        <v>0</v>
      </c>
      <c r="AD490" s="3">
        <f>IF('My investments'!$H$18="",0,IF('My investments'!$F490='My investments'!$H$18,$X490,0))</f>
        <v>0</v>
      </c>
      <c r="AE490" s="3">
        <f>IF('My investments'!$H$19="",0,IF('My investments'!$F490='My investments'!$H$19,$X490,0))</f>
        <v>0</v>
      </c>
      <c r="AF490" s="3">
        <f>IF('My investments'!$H$20="",0,IF('My investments'!$F490='My investments'!$H$20,$X490,0))</f>
        <v>0</v>
      </c>
      <c r="AG490" s="3">
        <f>IF('My investments'!$H$21="",0,IF('My investments'!$F490='My investments'!$H$21,$X490,0))</f>
        <v>0</v>
      </c>
      <c r="AH490" s="3">
        <f>IF('My investments'!$H$22="",0,IF('My investments'!$F490='My investments'!$H$22,$X490,0))</f>
        <v>0</v>
      </c>
      <c r="AI490" s="3">
        <f>IF('My investments'!$H$23="",0,IF('My investments'!$F490='My investments'!$H$23,$X490,0))</f>
        <v>0</v>
      </c>
      <c r="AJ490" s="3">
        <f>IF('My investments'!$H$24="",0,IF('My investments'!$F490='My investments'!$H$24,$X490,0))</f>
        <v>0</v>
      </c>
      <c r="AL490" s="3" t="str">
        <f>IF('My investments'!$B490="","",IF($D$10=0,"",IFERROR(INDEX('Index history'!$B$8:$B$5007,MATCH('My investments'!$B490,'Index history'!$A$8:$A$5007,1)),"")))</f>
        <v/>
      </c>
      <c r="AM490" s="3">
        <f>IF($AL490="",0,IF('My investments'!$D490="",0,IF('My investments'!$C490="Money in",'My investments'!$D490/$AL490,IF('My investments'!$C490="Money out",-'My investments'!$D490/$AL490,0))))</f>
        <v>0</v>
      </c>
    </row>
    <row r="491">
      <c r="X491" s="3">
        <f>IF('My investments'!$B491="",0,IF('My investments'!$E491="",0,'My investments'!$E491))</f>
        <v>0</v>
      </c>
      <c r="Y491" s="25">
        <f>IF('My investments'!$B491="",$D$8,'My investments'!$B491)</f>
        <v>0</v>
      </c>
      <c r="Z491" s="3">
        <f>IF('My investments'!$C491="Worth today",0,$X491)</f>
        <v>0</v>
      </c>
      <c r="AA491" s="3">
        <f>IF('My investments'!$H$15="",0,IF('My investments'!$F491='My investments'!$H$15,$X491,0))</f>
        <v>0</v>
      </c>
      <c r="AB491" s="3">
        <f>IF('My investments'!$H$16="",0,IF('My investments'!$F491='My investments'!$H$16,$X491,0))</f>
        <v>0</v>
      </c>
      <c r="AC491" s="3">
        <f>IF('My investments'!$H$17="",0,IF('My investments'!$F491='My investments'!$H$17,$X491,0))</f>
        <v>0</v>
      </c>
      <c r="AD491" s="3">
        <f>IF('My investments'!$H$18="",0,IF('My investments'!$F491='My investments'!$H$18,$X491,0))</f>
        <v>0</v>
      </c>
      <c r="AE491" s="3">
        <f>IF('My investments'!$H$19="",0,IF('My investments'!$F491='My investments'!$H$19,$X491,0))</f>
        <v>0</v>
      </c>
      <c r="AF491" s="3">
        <f>IF('My investments'!$H$20="",0,IF('My investments'!$F491='My investments'!$H$20,$X491,0))</f>
        <v>0</v>
      </c>
      <c r="AG491" s="3">
        <f>IF('My investments'!$H$21="",0,IF('My investments'!$F491='My investments'!$H$21,$X491,0))</f>
        <v>0</v>
      </c>
      <c r="AH491" s="3">
        <f>IF('My investments'!$H$22="",0,IF('My investments'!$F491='My investments'!$H$22,$X491,0))</f>
        <v>0</v>
      </c>
      <c r="AI491" s="3">
        <f>IF('My investments'!$H$23="",0,IF('My investments'!$F491='My investments'!$H$23,$X491,0))</f>
        <v>0</v>
      </c>
      <c r="AJ491" s="3">
        <f>IF('My investments'!$H$24="",0,IF('My investments'!$F491='My investments'!$H$24,$X491,0))</f>
        <v>0</v>
      </c>
      <c r="AL491" s="3" t="str">
        <f>IF('My investments'!$B491="","",IF($D$10=0,"",IFERROR(INDEX('Index history'!$B$8:$B$5007,MATCH('My investments'!$B491,'Index history'!$A$8:$A$5007,1)),"")))</f>
        <v/>
      </c>
      <c r="AM491" s="3">
        <f>IF($AL491="",0,IF('My investments'!$D491="",0,IF('My investments'!$C491="Money in",'My investments'!$D491/$AL491,IF('My investments'!$C491="Money out",-'My investments'!$D491/$AL491,0))))</f>
        <v>0</v>
      </c>
    </row>
    <row r="492">
      <c r="X492" s="3">
        <f>IF('My investments'!$B492="",0,IF('My investments'!$E492="",0,'My investments'!$E492))</f>
        <v>0</v>
      </c>
      <c r="Y492" s="25">
        <f>IF('My investments'!$B492="",$D$8,'My investments'!$B492)</f>
        <v>0</v>
      </c>
      <c r="Z492" s="3">
        <f>IF('My investments'!$C492="Worth today",0,$X492)</f>
        <v>0</v>
      </c>
      <c r="AA492" s="3">
        <f>IF('My investments'!$H$15="",0,IF('My investments'!$F492='My investments'!$H$15,$X492,0))</f>
        <v>0</v>
      </c>
      <c r="AB492" s="3">
        <f>IF('My investments'!$H$16="",0,IF('My investments'!$F492='My investments'!$H$16,$X492,0))</f>
        <v>0</v>
      </c>
      <c r="AC492" s="3">
        <f>IF('My investments'!$H$17="",0,IF('My investments'!$F492='My investments'!$H$17,$X492,0))</f>
        <v>0</v>
      </c>
      <c r="AD492" s="3">
        <f>IF('My investments'!$H$18="",0,IF('My investments'!$F492='My investments'!$H$18,$X492,0))</f>
        <v>0</v>
      </c>
      <c r="AE492" s="3">
        <f>IF('My investments'!$H$19="",0,IF('My investments'!$F492='My investments'!$H$19,$X492,0))</f>
        <v>0</v>
      </c>
      <c r="AF492" s="3">
        <f>IF('My investments'!$H$20="",0,IF('My investments'!$F492='My investments'!$H$20,$X492,0))</f>
        <v>0</v>
      </c>
      <c r="AG492" s="3">
        <f>IF('My investments'!$H$21="",0,IF('My investments'!$F492='My investments'!$H$21,$X492,0))</f>
        <v>0</v>
      </c>
      <c r="AH492" s="3">
        <f>IF('My investments'!$H$22="",0,IF('My investments'!$F492='My investments'!$H$22,$X492,0))</f>
        <v>0</v>
      </c>
      <c r="AI492" s="3">
        <f>IF('My investments'!$H$23="",0,IF('My investments'!$F492='My investments'!$H$23,$X492,0))</f>
        <v>0</v>
      </c>
      <c r="AJ492" s="3">
        <f>IF('My investments'!$H$24="",0,IF('My investments'!$F492='My investments'!$H$24,$X492,0))</f>
        <v>0</v>
      </c>
      <c r="AL492" s="3" t="str">
        <f>IF('My investments'!$B492="","",IF($D$10=0,"",IFERROR(INDEX('Index history'!$B$8:$B$5007,MATCH('My investments'!$B492,'Index history'!$A$8:$A$5007,1)),"")))</f>
        <v/>
      </c>
      <c r="AM492" s="3">
        <f>IF($AL492="",0,IF('My investments'!$D492="",0,IF('My investments'!$C492="Money in",'My investments'!$D492/$AL492,IF('My investments'!$C492="Money out",-'My investments'!$D492/$AL492,0))))</f>
        <v>0</v>
      </c>
    </row>
    <row r="493">
      <c r="X493" s="3">
        <f>IF('My investments'!$B493="",0,IF('My investments'!$E493="",0,'My investments'!$E493))</f>
        <v>0</v>
      </c>
      <c r="Y493" s="25">
        <f>IF('My investments'!$B493="",$D$8,'My investments'!$B493)</f>
        <v>0</v>
      </c>
      <c r="Z493" s="3">
        <f>IF('My investments'!$C493="Worth today",0,$X493)</f>
        <v>0</v>
      </c>
      <c r="AA493" s="3">
        <f>IF('My investments'!$H$15="",0,IF('My investments'!$F493='My investments'!$H$15,$X493,0))</f>
        <v>0</v>
      </c>
      <c r="AB493" s="3">
        <f>IF('My investments'!$H$16="",0,IF('My investments'!$F493='My investments'!$H$16,$X493,0))</f>
        <v>0</v>
      </c>
      <c r="AC493" s="3">
        <f>IF('My investments'!$H$17="",0,IF('My investments'!$F493='My investments'!$H$17,$X493,0))</f>
        <v>0</v>
      </c>
      <c r="AD493" s="3">
        <f>IF('My investments'!$H$18="",0,IF('My investments'!$F493='My investments'!$H$18,$X493,0))</f>
        <v>0</v>
      </c>
      <c r="AE493" s="3">
        <f>IF('My investments'!$H$19="",0,IF('My investments'!$F493='My investments'!$H$19,$X493,0))</f>
        <v>0</v>
      </c>
      <c r="AF493" s="3">
        <f>IF('My investments'!$H$20="",0,IF('My investments'!$F493='My investments'!$H$20,$X493,0))</f>
        <v>0</v>
      </c>
      <c r="AG493" s="3">
        <f>IF('My investments'!$H$21="",0,IF('My investments'!$F493='My investments'!$H$21,$X493,0))</f>
        <v>0</v>
      </c>
      <c r="AH493" s="3">
        <f>IF('My investments'!$H$22="",0,IF('My investments'!$F493='My investments'!$H$22,$X493,0))</f>
        <v>0</v>
      </c>
      <c r="AI493" s="3">
        <f>IF('My investments'!$H$23="",0,IF('My investments'!$F493='My investments'!$H$23,$X493,0))</f>
        <v>0</v>
      </c>
      <c r="AJ493" s="3">
        <f>IF('My investments'!$H$24="",0,IF('My investments'!$F493='My investments'!$H$24,$X493,0))</f>
        <v>0</v>
      </c>
      <c r="AL493" s="3" t="str">
        <f>IF('My investments'!$B493="","",IF($D$10=0,"",IFERROR(INDEX('Index history'!$B$8:$B$5007,MATCH('My investments'!$B493,'Index history'!$A$8:$A$5007,1)),"")))</f>
        <v/>
      </c>
      <c r="AM493" s="3">
        <f>IF($AL493="",0,IF('My investments'!$D493="",0,IF('My investments'!$C493="Money in",'My investments'!$D493/$AL493,IF('My investments'!$C493="Money out",-'My investments'!$D493/$AL493,0))))</f>
        <v>0</v>
      </c>
    </row>
    <row r="494">
      <c r="X494" s="3">
        <f>IF('My investments'!$B494="",0,IF('My investments'!$E494="",0,'My investments'!$E494))</f>
        <v>0</v>
      </c>
      <c r="Y494" s="25">
        <f>IF('My investments'!$B494="",$D$8,'My investments'!$B494)</f>
        <v>0</v>
      </c>
      <c r="Z494" s="3">
        <f>IF('My investments'!$C494="Worth today",0,$X494)</f>
        <v>0</v>
      </c>
      <c r="AA494" s="3">
        <f>IF('My investments'!$H$15="",0,IF('My investments'!$F494='My investments'!$H$15,$X494,0))</f>
        <v>0</v>
      </c>
      <c r="AB494" s="3">
        <f>IF('My investments'!$H$16="",0,IF('My investments'!$F494='My investments'!$H$16,$X494,0))</f>
        <v>0</v>
      </c>
      <c r="AC494" s="3">
        <f>IF('My investments'!$H$17="",0,IF('My investments'!$F494='My investments'!$H$17,$X494,0))</f>
        <v>0</v>
      </c>
      <c r="AD494" s="3">
        <f>IF('My investments'!$H$18="",0,IF('My investments'!$F494='My investments'!$H$18,$X494,0))</f>
        <v>0</v>
      </c>
      <c r="AE494" s="3">
        <f>IF('My investments'!$H$19="",0,IF('My investments'!$F494='My investments'!$H$19,$X494,0))</f>
        <v>0</v>
      </c>
      <c r="AF494" s="3">
        <f>IF('My investments'!$H$20="",0,IF('My investments'!$F494='My investments'!$H$20,$X494,0))</f>
        <v>0</v>
      </c>
      <c r="AG494" s="3">
        <f>IF('My investments'!$H$21="",0,IF('My investments'!$F494='My investments'!$H$21,$X494,0))</f>
        <v>0</v>
      </c>
      <c r="AH494" s="3">
        <f>IF('My investments'!$H$22="",0,IF('My investments'!$F494='My investments'!$H$22,$X494,0))</f>
        <v>0</v>
      </c>
      <c r="AI494" s="3">
        <f>IF('My investments'!$H$23="",0,IF('My investments'!$F494='My investments'!$H$23,$X494,0))</f>
        <v>0</v>
      </c>
      <c r="AJ494" s="3">
        <f>IF('My investments'!$H$24="",0,IF('My investments'!$F494='My investments'!$H$24,$X494,0))</f>
        <v>0</v>
      </c>
      <c r="AL494" s="3" t="str">
        <f>IF('My investments'!$B494="","",IF($D$10=0,"",IFERROR(INDEX('Index history'!$B$8:$B$5007,MATCH('My investments'!$B494,'Index history'!$A$8:$A$5007,1)),"")))</f>
        <v/>
      </c>
      <c r="AM494" s="3">
        <f>IF($AL494="",0,IF('My investments'!$D494="",0,IF('My investments'!$C494="Money in",'My investments'!$D494/$AL494,IF('My investments'!$C494="Money out",-'My investments'!$D494/$AL494,0))))</f>
        <v>0</v>
      </c>
    </row>
    <row r="495">
      <c r="X495" s="3">
        <f>IF('My investments'!$B495="",0,IF('My investments'!$E495="",0,'My investments'!$E495))</f>
        <v>0</v>
      </c>
      <c r="Y495" s="25">
        <f>IF('My investments'!$B495="",$D$8,'My investments'!$B495)</f>
        <v>0</v>
      </c>
      <c r="Z495" s="3">
        <f>IF('My investments'!$C495="Worth today",0,$X495)</f>
        <v>0</v>
      </c>
      <c r="AA495" s="3">
        <f>IF('My investments'!$H$15="",0,IF('My investments'!$F495='My investments'!$H$15,$X495,0))</f>
        <v>0</v>
      </c>
      <c r="AB495" s="3">
        <f>IF('My investments'!$H$16="",0,IF('My investments'!$F495='My investments'!$H$16,$X495,0))</f>
        <v>0</v>
      </c>
      <c r="AC495" s="3">
        <f>IF('My investments'!$H$17="",0,IF('My investments'!$F495='My investments'!$H$17,$X495,0))</f>
        <v>0</v>
      </c>
      <c r="AD495" s="3">
        <f>IF('My investments'!$H$18="",0,IF('My investments'!$F495='My investments'!$H$18,$X495,0))</f>
        <v>0</v>
      </c>
      <c r="AE495" s="3">
        <f>IF('My investments'!$H$19="",0,IF('My investments'!$F495='My investments'!$H$19,$X495,0))</f>
        <v>0</v>
      </c>
      <c r="AF495" s="3">
        <f>IF('My investments'!$H$20="",0,IF('My investments'!$F495='My investments'!$H$20,$X495,0))</f>
        <v>0</v>
      </c>
      <c r="AG495" s="3">
        <f>IF('My investments'!$H$21="",0,IF('My investments'!$F495='My investments'!$H$21,$X495,0))</f>
        <v>0</v>
      </c>
      <c r="AH495" s="3">
        <f>IF('My investments'!$H$22="",0,IF('My investments'!$F495='My investments'!$H$22,$X495,0))</f>
        <v>0</v>
      </c>
      <c r="AI495" s="3">
        <f>IF('My investments'!$H$23="",0,IF('My investments'!$F495='My investments'!$H$23,$X495,0))</f>
        <v>0</v>
      </c>
      <c r="AJ495" s="3">
        <f>IF('My investments'!$H$24="",0,IF('My investments'!$F495='My investments'!$H$24,$X495,0))</f>
        <v>0</v>
      </c>
      <c r="AL495" s="3" t="str">
        <f>IF('My investments'!$B495="","",IF($D$10=0,"",IFERROR(INDEX('Index history'!$B$8:$B$5007,MATCH('My investments'!$B495,'Index history'!$A$8:$A$5007,1)),"")))</f>
        <v/>
      </c>
      <c r="AM495" s="3">
        <f>IF($AL495="",0,IF('My investments'!$D495="",0,IF('My investments'!$C495="Money in",'My investments'!$D495/$AL495,IF('My investments'!$C495="Money out",-'My investments'!$D495/$AL495,0))))</f>
        <v>0</v>
      </c>
    </row>
    <row r="496">
      <c r="X496" s="3">
        <f>IF('My investments'!$B496="",0,IF('My investments'!$E496="",0,'My investments'!$E496))</f>
        <v>0</v>
      </c>
      <c r="Y496" s="25">
        <f>IF('My investments'!$B496="",$D$8,'My investments'!$B496)</f>
        <v>0</v>
      </c>
      <c r="Z496" s="3">
        <f>IF('My investments'!$C496="Worth today",0,$X496)</f>
        <v>0</v>
      </c>
      <c r="AA496" s="3">
        <f>IF('My investments'!$H$15="",0,IF('My investments'!$F496='My investments'!$H$15,$X496,0))</f>
        <v>0</v>
      </c>
      <c r="AB496" s="3">
        <f>IF('My investments'!$H$16="",0,IF('My investments'!$F496='My investments'!$H$16,$X496,0))</f>
        <v>0</v>
      </c>
      <c r="AC496" s="3">
        <f>IF('My investments'!$H$17="",0,IF('My investments'!$F496='My investments'!$H$17,$X496,0))</f>
        <v>0</v>
      </c>
      <c r="AD496" s="3">
        <f>IF('My investments'!$H$18="",0,IF('My investments'!$F496='My investments'!$H$18,$X496,0))</f>
        <v>0</v>
      </c>
      <c r="AE496" s="3">
        <f>IF('My investments'!$H$19="",0,IF('My investments'!$F496='My investments'!$H$19,$X496,0))</f>
        <v>0</v>
      </c>
      <c r="AF496" s="3">
        <f>IF('My investments'!$H$20="",0,IF('My investments'!$F496='My investments'!$H$20,$X496,0))</f>
        <v>0</v>
      </c>
      <c r="AG496" s="3">
        <f>IF('My investments'!$H$21="",0,IF('My investments'!$F496='My investments'!$H$21,$X496,0))</f>
        <v>0</v>
      </c>
      <c r="AH496" s="3">
        <f>IF('My investments'!$H$22="",0,IF('My investments'!$F496='My investments'!$H$22,$X496,0))</f>
        <v>0</v>
      </c>
      <c r="AI496" s="3">
        <f>IF('My investments'!$H$23="",0,IF('My investments'!$F496='My investments'!$H$23,$X496,0))</f>
        <v>0</v>
      </c>
      <c r="AJ496" s="3">
        <f>IF('My investments'!$H$24="",0,IF('My investments'!$F496='My investments'!$H$24,$X496,0))</f>
        <v>0</v>
      </c>
      <c r="AL496" s="3" t="str">
        <f>IF('My investments'!$B496="","",IF($D$10=0,"",IFERROR(INDEX('Index history'!$B$8:$B$5007,MATCH('My investments'!$B496,'Index history'!$A$8:$A$5007,1)),"")))</f>
        <v/>
      </c>
      <c r="AM496" s="3">
        <f>IF($AL496="",0,IF('My investments'!$D496="",0,IF('My investments'!$C496="Money in",'My investments'!$D496/$AL496,IF('My investments'!$C496="Money out",-'My investments'!$D496/$AL496,0))))</f>
        <v>0</v>
      </c>
    </row>
    <row r="497">
      <c r="X497" s="3">
        <f>IF('My investments'!$B497="",0,IF('My investments'!$E497="",0,'My investments'!$E497))</f>
        <v>0</v>
      </c>
      <c r="Y497" s="25">
        <f>IF('My investments'!$B497="",$D$8,'My investments'!$B497)</f>
        <v>0</v>
      </c>
      <c r="Z497" s="3">
        <f>IF('My investments'!$C497="Worth today",0,$X497)</f>
        <v>0</v>
      </c>
      <c r="AA497" s="3">
        <f>IF('My investments'!$H$15="",0,IF('My investments'!$F497='My investments'!$H$15,$X497,0))</f>
        <v>0</v>
      </c>
      <c r="AB497" s="3">
        <f>IF('My investments'!$H$16="",0,IF('My investments'!$F497='My investments'!$H$16,$X497,0))</f>
        <v>0</v>
      </c>
      <c r="AC497" s="3">
        <f>IF('My investments'!$H$17="",0,IF('My investments'!$F497='My investments'!$H$17,$X497,0))</f>
        <v>0</v>
      </c>
      <c r="AD497" s="3">
        <f>IF('My investments'!$H$18="",0,IF('My investments'!$F497='My investments'!$H$18,$X497,0))</f>
        <v>0</v>
      </c>
      <c r="AE497" s="3">
        <f>IF('My investments'!$H$19="",0,IF('My investments'!$F497='My investments'!$H$19,$X497,0))</f>
        <v>0</v>
      </c>
      <c r="AF497" s="3">
        <f>IF('My investments'!$H$20="",0,IF('My investments'!$F497='My investments'!$H$20,$X497,0))</f>
        <v>0</v>
      </c>
      <c r="AG497" s="3">
        <f>IF('My investments'!$H$21="",0,IF('My investments'!$F497='My investments'!$H$21,$X497,0))</f>
        <v>0</v>
      </c>
      <c r="AH497" s="3">
        <f>IF('My investments'!$H$22="",0,IF('My investments'!$F497='My investments'!$H$22,$X497,0))</f>
        <v>0</v>
      </c>
      <c r="AI497" s="3">
        <f>IF('My investments'!$H$23="",0,IF('My investments'!$F497='My investments'!$H$23,$X497,0))</f>
        <v>0</v>
      </c>
      <c r="AJ497" s="3">
        <f>IF('My investments'!$H$24="",0,IF('My investments'!$F497='My investments'!$H$24,$X497,0))</f>
        <v>0</v>
      </c>
      <c r="AL497" s="3" t="str">
        <f>IF('My investments'!$B497="","",IF($D$10=0,"",IFERROR(INDEX('Index history'!$B$8:$B$5007,MATCH('My investments'!$B497,'Index history'!$A$8:$A$5007,1)),"")))</f>
        <v/>
      </c>
      <c r="AM497" s="3">
        <f>IF($AL497="",0,IF('My investments'!$D497="",0,IF('My investments'!$C497="Money in",'My investments'!$D497/$AL497,IF('My investments'!$C497="Money out",-'My investments'!$D497/$AL497,0))))</f>
        <v>0</v>
      </c>
    </row>
    <row r="498">
      <c r="X498" s="3">
        <f>IF('My investments'!$B498="",0,IF('My investments'!$E498="",0,'My investments'!$E498))</f>
        <v>0</v>
      </c>
      <c r="Y498" s="25">
        <f>IF('My investments'!$B498="",$D$8,'My investments'!$B498)</f>
        <v>0</v>
      </c>
      <c r="Z498" s="3">
        <f>IF('My investments'!$C498="Worth today",0,$X498)</f>
        <v>0</v>
      </c>
      <c r="AA498" s="3">
        <f>IF('My investments'!$H$15="",0,IF('My investments'!$F498='My investments'!$H$15,$X498,0))</f>
        <v>0</v>
      </c>
      <c r="AB498" s="3">
        <f>IF('My investments'!$H$16="",0,IF('My investments'!$F498='My investments'!$H$16,$X498,0))</f>
        <v>0</v>
      </c>
      <c r="AC498" s="3">
        <f>IF('My investments'!$H$17="",0,IF('My investments'!$F498='My investments'!$H$17,$X498,0))</f>
        <v>0</v>
      </c>
      <c r="AD498" s="3">
        <f>IF('My investments'!$H$18="",0,IF('My investments'!$F498='My investments'!$H$18,$X498,0))</f>
        <v>0</v>
      </c>
      <c r="AE498" s="3">
        <f>IF('My investments'!$H$19="",0,IF('My investments'!$F498='My investments'!$H$19,$X498,0))</f>
        <v>0</v>
      </c>
      <c r="AF498" s="3">
        <f>IF('My investments'!$H$20="",0,IF('My investments'!$F498='My investments'!$H$20,$X498,0))</f>
        <v>0</v>
      </c>
      <c r="AG498" s="3">
        <f>IF('My investments'!$H$21="",0,IF('My investments'!$F498='My investments'!$H$21,$X498,0))</f>
        <v>0</v>
      </c>
      <c r="AH498" s="3">
        <f>IF('My investments'!$H$22="",0,IF('My investments'!$F498='My investments'!$H$22,$X498,0))</f>
        <v>0</v>
      </c>
      <c r="AI498" s="3">
        <f>IF('My investments'!$H$23="",0,IF('My investments'!$F498='My investments'!$H$23,$X498,0))</f>
        <v>0</v>
      </c>
      <c r="AJ498" s="3">
        <f>IF('My investments'!$H$24="",0,IF('My investments'!$F498='My investments'!$H$24,$X498,0))</f>
        <v>0</v>
      </c>
      <c r="AL498" s="3" t="str">
        <f>IF('My investments'!$B498="","",IF($D$10=0,"",IFERROR(INDEX('Index history'!$B$8:$B$5007,MATCH('My investments'!$B498,'Index history'!$A$8:$A$5007,1)),"")))</f>
        <v/>
      </c>
      <c r="AM498" s="3">
        <f>IF($AL498="",0,IF('My investments'!$D498="",0,IF('My investments'!$C498="Money in",'My investments'!$D498/$AL498,IF('My investments'!$C498="Money out",-'My investments'!$D498/$AL498,0))))</f>
        <v>0</v>
      </c>
    </row>
    <row r="499">
      <c r="X499" s="3">
        <f>IF('My investments'!$B499="",0,IF('My investments'!$E499="",0,'My investments'!$E499))</f>
        <v>0</v>
      </c>
      <c r="Y499" s="25">
        <f>IF('My investments'!$B499="",$D$8,'My investments'!$B499)</f>
        <v>0</v>
      </c>
      <c r="Z499" s="3">
        <f>IF('My investments'!$C499="Worth today",0,$X499)</f>
        <v>0</v>
      </c>
      <c r="AA499" s="3">
        <f>IF('My investments'!$H$15="",0,IF('My investments'!$F499='My investments'!$H$15,$X499,0))</f>
        <v>0</v>
      </c>
      <c r="AB499" s="3">
        <f>IF('My investments'!$H$16="",0,IF('My investments'!$F499='My investments'!$H$16,$X499,0))</f>
        <v>0</v>
      </c>
      <c r="AC499" s="3">
        <f>IF('My investments'!$H$17="",0,IF('My investments'!$F499='My investments'!$H$17,$X499,0))</f>
        <v>0</v>
      </c>
      <c r="AD499" s="3">
        <f>IF('My investments'!$H$18="",0,IF('My investments'!$F499='My investments'!$H$18,$X499,0))</f>
        <v>0</v>
      </c>
      <c r="AE499" s="3">
        <f>IF('My investments'!$H$19="",0,IF('My investments'!$F499='My investments'!$H$19,$X499,0))</f>
        <v>0</v>
      </c>
      <c r="AF499" s="3">
        <f>IF('My investments'!$H$20="",0,IF('My investments'!$F499='My investments'!$H$20,$X499,0))</f>
        <v>0</v>
      </c>
      <c r="AG499" s="3">
        <f>IF('My investments'!$H$21="",0,IF('My investments'!$F499='My investments'!$H$21,$X499,0))</f>
        <v>0</v>
      </c>
      <c r="AH499" s="3">
        <f>IF('My investments'!$H$22="",0,IF('My investments'!$F499='My investments'!$H$22,$X499,0))</f>
        <v>0</v>
      </c>
      <c r="AI499" s="3">
        <f>IF('My investments'!$H$23="",0,IF('My investments'!$F499='My investments'!$H$23,$X499,0))</f>
        <v>0</v>
      </c>
      <c r="AJ499" s="3">
        <f>IF('My investments'!$H$24="",0,IF('My investments'!$F499='My investments'!$H$24,$X499,0))</f>
        <v>0</v>
      </c>
      <c r="AL499" s="3" t="str">
        <f>IF('My investments'!$B499="","",IF($D$10=0,"",IFERROR(INDEX('Index history'!$B$8:$B$5007,MATCH('My investments'!$B499,'Index history'!$A$8:$A$5007,1)),"")))</f>
        <v/>
      </c>
      <c r="AM499" s="3">
        <f>IF($AL499="",0,IF('My investments'!$D499="",0,IF('My investments'!$C499="Money in",'My investments'!$D499/$AL499,IF('My investments'!$C499="Money out",-'My investments'!$D499/$AL499,0))))</f>
        <v>0</v>
      </c>
    </row>
    <row r="500">
      <c r="X500" s="3">
        <f>IF('My investments'!$B500="",0,IF('My investments'!$E500="",0,'My investments'!$E500))</f>
        <v>0</v>
      </c>
      <c r="Y500" s="25">
        <f>IF('My investments'!$B500="",$D$8,'My investments'!$B500)</f>
        <v>0</v>
      </c>
      <c r="Z500" s="3">
        <f>IF('My investments'!$C500="Worth today",0,$X500)</f>
        <v>0</v>
      </c>
      <c r="AA500" s="3">
        <f>IF('My investments'!$H$15="",0,IF('My investments'!$F500='My investments'!$H$15,$X500,0))</f>
        <v>0</v>
      </c>
      <c r="AB500" s="3">
        <f>IF('My investments'!$H$16="",0,IF('My investments'!$F500='My investments'!$H$16,$X500,0))</f>
        <v>0</v>
      </c>
      <c r="AC500" s="3">
        <f>IF('My investments'!$H$17="",0,IF('My investments'!$F500='My investments'!$H$17,$X500,0))</f>
        <v>0</v>
      </c>
      <c r="AD500" s="3">
        <f>IF('My investments'!$H$18="",0,IF('My investments'!$F500='My investments'!$H$18,$X500,0))</f>
        <v>0</v>
      </c>
      <c r="AE500" s="3">
        <f>IF('My investments'!$H$19="",0,IF('My investments'!$F500='My investments'!$H$19,$X500,0))</f>
        <v>0</v>
      </c>
      <c r="AF500" s="3">
        <f>IF('My investments'!$H$20="",0,IF('My investments'!$F500='My investments'!$H$20,$X500,0))</f>
        <v>0</v>
      </c>
      <c r="AG500" s="3">
        <f>IF('My investments'!$H$21="",0,IF('My investments'!$F500='My investments'!$H$21,$X500,0))</f>
        <v>0</v>
      </c>
      <c r="AH500" s="3">
        <f>IF('My investments'!$H$22="",0,IF('My investments'!$F500='My investments'!$H$22,$X500,0))</f>
        <v>0</v>
      </c>
      <c r="AI500" s="3">
        <f>IF('My investments'!$H$23="",0,IF('My investments'!$F500='My investments'!$H$23,$X500,0))</f>
        <v>0</v>
      </c>
      <c r="AJ500" s="3">
        <f>IF('My investments'!$H$24="",0,IF('My investments'!$F500='My investments'!$H$24,$X500,0))</f>
        <v>0</v>
      </c>
      <c r="AL500" s="3" t="str">
        <f>IF('My investments'!$B500="","",IF($D$10=0,"",IFERROR(INDEX('Index history'!$B$8:$B$5007,MATCH('My investments'!$B500,'Index history'!$A$8:$A$5007,1)),"")))</f>
        <v/>
      </c>
      <c r="AM500" s="3">
        <f>IF($AL500="",0,IF('My investments'!$D500="",0,IF('My investments'!$C500="Money in",'My investments'!$D500/$AL500,IF('My investments'!$C500="Money out",-'My investments'!$D500/$AL500,0))))</f>
        <v>0</v>
      </c>
    </row>
    <row r="501">
      <c r="X501" s="3">
        <f>IF('My investments'!$B501="",0,IF('My investments'!$E501="",0,'My investments'!$E501))</f>
        <v>0</v>
      </c>
      <c r="Y501" s="25">
        <f>IF('My investments'!$B501="",$D$8,'My investments'!$B501)</f>
        <v>0</v>
      </c>
      <c r="Z501" s="3">
        <f>IF('My investments'!$C501="Worth today",0,$X501)</f>
        <v>0</v>
      </c>
      <c r="AA501" s="3">
        <f>IF('My investments'!$H$15="",0,IF('My investments'!$F501='My investments'!$H$15,$X501,0))</f>
        <v>0</v>
      </c>
      <c r="AB501" s="3">
        <f>IF('My investments'!$H$16="",0,IF('My investments'!$F501='My investments'!$H$16,$X501,0))</f>
        <v>0</v>
      </c>
      <c r="AC501" s="3">
        <f>IF('My investments'!$H$17="",0,IF('My investments'!$F501='My investments'!$H$17,$X501,0))</f>
        <v>0</v>
      </c>
      <c r="AD501" s="3">
        <f>IF('My investments'!$H$18="",0,IF('My investments'!$F501='My investments'!$H$18,$X501,0))</f>
        <v>0</v>
      </c>
      <c r="AE501" s="3">
        <f>IF('My investments'!$H$19="",0,IF('My investments'!$F501='My investments'!$H$19,$X501,0))</f>
        <v>0</v>
      </c>
      <c r="AF501" s="3">
        <f>IF('My investments'!$H$20="",0,IF('My investments'!$F501='My investments'!$H$20,$X501,0))</f>
        <v>0</v>
      </c>
      <c r="AG501" s="3">
        <f>IF('My investments'!$H$21="",0,IF('My investments'!$F501='My investments'!$H$21,$X501,0))</f>
        <v>0</v>
      </c>
      <c r="AH501" s="3">
        <f>IF('My investments'!$H$22="",0,IF('My investments'!$F501='My investments'!$H$22,$X501,0))</f>
        <v>0</v>
      </c>
      <c r="AI501" s="3">
        <f>IF('My investments'!$H$23="",0,IF('My investments'!$F501='My investments'!$H$23,$X501,0))</f>
        <v>0</v>
      </c>
      <c r="AJ501" s="3">
        <f>IF('My investments'!$H$24="",0,IF('My investments'!$F501='My investments'!$H$24,$X501,0))</f>
        <v>0</v>
      </c>
      <c r="AL501" s="3" t="str">
        <f>IF('My investments'!$B501="","",IF($D$10=0,"",IFERROR(INDEX('Index history'!$B$8:$B$5007,MATCH('My investments'!$B501,'Index history'!$A$8:$A$5007,1)),"")))</f>
        <v/>
      </c>
      <c r="AM501" s="3">
        <f>IF($AL501="",0,IF('My investments'!$D501="",0,IF('My investments'!$C501="Money in",'My investments'!$D501/$AL501,IF('My investments'!$C501="Money out",-'My investments'!$D501/$AL501,0))))</f>
        <v>0</v>
      </c>
    </row>
    <row r="502">
      <c r="X502" s="3">
        <f>IF('My investments'!$B502="",0,IF('My investments'!$E502="",0,'My investments'!$E502))</f>
        <v>0</v>
      </c>
      <c r="Y502" s="25">
        <f>IF('My investments'!$B502="",$D$8,'My investments'!$B502)</f>
        <v>0</v>
      </c>
      <c r="Z502" s="3">
        <f>IF('My investments'!$C502="Worth today",0,$X502)</f>
        <v>0</v>
      </c>
      <c r="AA502" s="3">
        <f>IF('My investments'!$H$15="",0,IF('My investments'!$F502='My investments'!$H$15,$X502,0))</f>
        <v>0</v>
      </c>
      <c r="AB502" s="3">
        <f>IF('My investments'!$H$16="",0,IF('My investments'!$F502='My investments'!$H$16,$X502,0))</f>
        <v>0</v>
      </c>
      <c r="AC502" s="3">
        <f>IF('My investments'!$H$17="",0,IF('My investments'!$F502='My investments'!$H$17,$X502,0))</f>
        <v>0</v>
      </c>
      <c r="AD502" s="3">
        <f>IF('My investments'!$H$18="",0,IF('My investments'!$F502='My investments'!$H$18,$X502,0))</f>
        <v>0</v>
      </c>
      <c r="AE502" s="3">
        <f>IF('My investments'!$H$19="",0,IF('My investments'!$F502='My investments'!$H$19,$X502,0))</f>
        <v>0</v>
      </c>
      <c r="AF502" s="3">
        <f>IF('My investments'!$H$20="",0,IF('My investments'!$F502='My investments'!$H$20,$X502,0))</f>
        <v>0</v>
      </c>
      <c r="AG502" s="3">
        <f>IF('My investments'!$H$21="",0,IF('My investments'!$F502='My investments'!$H$21,$X502,0))</f>
        <v>0</v>
      </c>
      <c r="AH502" s="3">
        <f>IF('My investments'!$H$22="",0,IF('My investments'!$F502='My investments'!$H$22,$X502,0))</f>
        <v>0</v>
      </c>
      <c r="AI502" s="3">
        <f>IF('My investments'!$H$23="",0,IF('My investments'!$F502='My investments'!$H$23,$X502,0))</f>
        <v>0</v>
      </c>
      <c r="AJ502" s="3">
        <f>IF('My investments'!$H$24="",0,IF('My investments'!$F502='My investments'!$H$24,$X502,0))</f>
        <v>0</v>
      </c>
      <c r="AL502" s="3" t="str">
        <f>IF('My investments'!$B502="","",IF($D$10=0,"",IFERROR(INDEX('Index history'!$B$8:$B$5007,MATCH('My investments'!$B502,'Index history'!$A$8:$A$5007,1)),"")))</f>
        <v/>
      </c>
      <c r="AM502" s="3">
        <f>IF($AL502="",0,IF('My investments'!$D502="",0,IF('My investments'!$C502="Money in",'My investments'!$D502/$AL502,IF('My investments'!$C502="Money out",-'My investments'!$D502/$AL502,0))))</f>
        <v>0</v>
      </c>
    </row>
    <row r="503">
      <c r="X503" s="3">
        <f>IF('My investments'!$B503="",0,IF('My investments'!$E503="",0,'My investments'!$E503))</f>
        <v>0</v>
      </c>
      <c r="Y503" s="25">
        <f>IF('My investments'!$B503="",$D$8,'My investments'!$B503)</f>
        <v>0</v>
      </c>
      <c r="Z503" s="3">
        <f>IF('My investments'!$C503="Worth today",0,$X503)</f>
        <v>0</v>
      </c>
      <c r="AA503" s="3">
        <f>IF('My investments'!$H$15="",0,IF('My investments'!$F503='My investments'!$H$15,$X503,0))</f>
        <v>0</v>
      </c>
      <c r="AB503" s="3">
        <f>IF('My investments'!$H$16="",0,IF('My investments'!$F503='My investments'!$H$16,$X503,0))</f>
        <v>0</v>
      </c>
      <c r="AC503" s="3">
        <f>IF('My investments'!$H$17="",0,IF('My investments'!$F503='My investments'!$H$17,$X503,0))</f>
        <v>0</v>
      </c>
      <c r="AD503" s="3">
        <f>IF('My investments'!$H$18="",0,IF('My investments'!$F503='My investments'!$H$18,$X503,0))</f>
        <v>0</v>
      </c>
      <c r="AE503" s="3">
        <f>IF('My investments'!$H$19="",0,IF('My investments'!$F503='My investments'!$H$19,$X503,0))</f>
        <v>0</v>
      </c>
      <c r="AF503" s="3">
        <f>IF('My investments'!$H$20="",0,IF('My investments'!$F503='My investments'!$H$20,$X503,0))</f>
        <v>0</v>
      </c>
      <c r="AG503" s="3">
        <f>IF('My investments'!$H$21="",0,IF('My investments'!$F503='My investments'!$H$21,$X503,0))</f>
        <v>0</v>
      </c>
      <c r="AH503" s="3">
        <f>IF('My investments'!$H$22="",0,IF('My investments'!$F503='My investments'!$H$22,$X503,0))</f>
        <v>0</v>
      </c>
      <c r="AI503" s="3">
        <f>IF('My investments'!$H$23="",0,IF('My investments'!$F503='My investments'!$H$23,$X503,0))</f>
        <v>0</v>
      </c>
      <c r="AJ503" s="3">
        <f>IF('My investments'!$H$24="",0,IF('My investments'!$F503='My investments'!$H$24,$X503,0))</f>
        <v>0</v>
      </c>
      <c r="AL503" s="3" t="str">
        <f>IF('My investments'!$B503="","",IF($D$10=0,"",IFERROR(INDEX('Index history'!$B$8:$B$5007,MATCH('My investments'!$B503,'Index history'!$A$8:$A$5007,1)),"")))</f>
        <v/>
      </c>
      <c r="AM503" s="3">
        <f>IF($AL503="",0,IF('My investments'!$D503="",0,IF('My investments'!$C503="Money in",'My investments'!$D503/$AL503,IF('My investments'!$C503="Money out",-'My investments'!$D503/$AL503,0))))</f>
        <v>0</v>
      </c>
    </row>
    <row r="504">
      <c r="X504" s="3">
        <f>IF('My investments'!$B504="",0,IF('My investments'!$E504="",0,'My investments'!$E504))</f>
        <v>0</v>
      </c>
      <c r="Y504" s="25">
        <f>IF('My investments'!$B504="",$D$8,'My investments'!$B504)</f>
        <v>0</v>
      </c>
      <c r="Z504" s="3">
        <f>IF('My investments'!$C504="Worth today",0,$X504)</f>
        <v>0</v>
      </c>
      <c r="AA504" s="3">
        <f>IF('My investments'!$H$15="",0,IF('My investments'!$F504='My investments'!$H$15,$X504,0))</f>
        <v>0</v>
      </c>
      <c r="AB504" s="3">
        <f>IF('My investments'!$H$16="",0,IF('My investments'!$F504='My investments'!$H$16,$X504,0))</f>
        <v>0</v>
      </c>
      <c r="AC504" s="3">
        <f>IF('My investments'!$H$17="",0,IF('My investments'!$F504='My investments'!$H$17,$X504,0))</f>
        <v>0</v>
      </c>
      <c r="AD504" s="3">
        <f>IF('My investments'!$H$18="",0,IF('My investments'!$F504='My investments'!$H$18,$X504,0))</f>
        <v>0</v>
      </c>
      <c r="AE504" s="3">
        <f>IF('My investments'!$H$19="",0,IF('My investments'!$F504='My investments'!$H$19,$X504,0))</f>
        <v>0</v>
      </c>
      <c r="AF504" s="3">
        <f>IF('My investments'!$H$20="",0,IF('My investments'!$F504='My investments'!$H$20,$X504,0))</f>
        <v>0</v>
      </c>
      <c r="AG504" s="3">
        <f>IF('My investments'!$H$21="",0,IF('My investments'!$F504='My investments'!$H$21,$X504,0))</f>
        <v>0</v>
      </c>
      <c r="AH504" s="3">
        <f>IF('My investments'!$H$22="",0,IF('My investments'!$F504='My investments'!$H$22,$X504,0))</f>
        <v>0</v>
      </c>
      <c r="AI504" s="3">
        <f>IF('My investments'!$H$23="",0,IF('My investments'!$F504='My investments'!$H$23,$X504,0))</f>
        <v>0</v>
      </c>
      <c r="AJ504" s="3">
        <f>IF('My investments'!$H$24="",0,IF('My investments'!$F504='My investments'!$H$24,$X504,0))</f>
        <v>0</v>
      </c>
      <c r="AL504" s="3" t="str">
        <f>IF('My investments'!$B504="","",IF($D$10=0,"",IFERROR(INDEX('Index history'!$B$8:$B$5007,MATCH('My investments'!$B504,'Index history'!$A$8:$A$5007,1)),"")))</f>
        <v/>
      </c>
      <c r="AM504" s="3">
        <f>IF($AL504="",0,IF('My investments'!$D504="",0,IF('My investments'!$C504="Money in",'My investments'!$D504/$AL504,IF('My investments'!$C504="Money out",-'My investments'!$D504/$AL504,0))))</f>
        <v>0</v>
      </c>
    </row>
    <row r="505">
      <c r="X505" s="3">
        <f>IF('My investments'!$B505="",0,IF('My investments'!$E505="",0,'My investments'!$E505))</f>
        <v>0</v>
      </c>
      <c r="Y505" s="25">
        <f>IF('My investments'!$B505="",$D$8,'My investments'!$B505)</f>
        <v>0</v>
      </c>
      <c r="Z505" s="3">
        <f>IF('My investments'!$C505="Worth today",0,$X505)</f>
        <v>0</v>
      </c>
      <c r="AA505" s="3">
        <f>IF('My investments'!$H$15="",0,IF('My investments'!$F505='My investments'!$H$15,$X505,0))</f>
        <v>0</v>
      </c>
      <c r="AB505" s="3">
        <f>IF('My investments'!$H$16="",0,IF('My investments'!$F505='My investments'!$H$16,$X505,0))</f>
        <v>0</v>
      </c>
      <c r="AC505" s="3">
        <f>IF('My investments'!$H$17="",0,IF('My investments'!$F505='My investments'!$H$17,$X505,0))</f>
        <v>0</v>
      </c>
      <c r="AD505" s="3">
        <f>IF('My investments'!$H$18="",0,IF('My investments'!$F505='My investments'!$H$18,$X505,0))</f>
        <v>0</v>
      </c>
      <c r="AE505" s="3">
        <f>IF('My investments'!$H$19="",0,IF('My investments'!$F505='My investments'!$H$19,$X505,0))</f>
        <v>0</v>
      </c>
      <c r="AF505" s="3">
        <f>IF('My investments'!$H$20="",0,IF('My investments'!$F505='My investments'!$H$20,$X505,0))</f>
        <v>0</v>
      </c>
      <c r="AG505" s="3">
        <f>IF('My investments'!$H$21="",0,IF('My investments'!$F505='My investments'!$H$21,$X505,0))</f>
        <v>0</v>
      </c>
      <c r="AH505" s="3">
        <f>IF('My investments'!$H$22="",0,IF('My investments'!$F505='My investments'!$H$22,$X505,0))</f>
        <v>0</v>
      </c>
      <c r="AI505" s="3">
        <f>IF('My investments'!$H$23="",0,IF('My investments'!$F505='My investments'!$H$23,$X505,0))</f>
        <v>0</v>
      </c>
      <c r="AJ505" s="3">
        <f>IF('My investments'!$H$24="",0,IF('My investments'!$F505='My investments'!$H$24,$X505,0))</f>
        <v>0</v>
      </c>
      <c r="AL505" s="3" t="str">
        <f>IF('My investments'!$B505="","",IF($D$10=0,"",IFERROR(INDEX('Index history'!$B$8:$B$5007,MATCH('My investments'!$B505,'Index history'!$A$8:$A$5007,1)),"")))</f>
        <v/>
      </c>
      <c r="AM505" s="3">
        <f>IF($AL505="",0,IF('My investments'!$D505="",0,IF('My investments'!$C505="Money in",'My investments'!$D505/$AL505,IF('My investments'!$C505="Money out",-'My investments'!$D505/$AL505,0))))</f>
        <v>0</v>
      </c>
    </row>
    <row r="506">
      <c r="X506" s="3">
        <f>IF('My investments'!$B506="",0,IF('My investments'!$E506="",0,'My investments'!$E506))</f>
        <v>0</v>
      </c>
      <c r="Y506" s="25">
        <f>IF('My investments'!$B506="",$D$8,'My investments'!$B506)</f>
        <v>0</v>
      </c>
      <c r="Z506" s="3">
        <f>IF('My investments'!$C506="Worth today",0,$X506)</f>
        <v>0</v>
      </c>
      <c r="AA506" s="3">
        <f>IF('My investments'!$H$15="",0,IF('My investments'!$F506='My investments'!$H$15,$X506,0))</f>
        <v>0</v>
      </c>
      <c r="AB506" s="3">
        <f>IF('My investments'!$H$16="",0,IF('My investments'!$F506='My investments'!$H$16,$X506,0))</f>
        <v>0</v>
      </c>
      <c r="AC506" s="3">
        <f>IF('My investments'!$H$17="",0,IF('My investments'!$F506='My investments'!$H$17,$X506,0))</f>
        <v>0</v>
      </c>
      <c r="AD506" s="3">
        <f>IF('My investments'!$H$18="",0,IF('My investments'!$F506='My investments'!$H$18,$X506,0))</f>
        <v>0</v>
      </c>
      <c r="AE506" s="3">
        <f>IF('My investments'!$H$19="",0,IF('My investments'!$F506='My investments'!$H$19,$X506,0))</f>
        <v>0</v>
      </c>
      <c r="AF506" s="3">
        <f>IF('My investments'!$H$20="",0,IF('My investments'!$F506='My investments'!$H$20,$X506,0))</f>
        <v>0</v>
      </c>
      <c r="AG506" s="3">
        <f>IF('My investments'!$H$21="",0,IF('My investments'!$F506='My investments'!$H$21,$X506,0))</f>
        <v>0</v>
      </c>
      <c r="AH506" s="3">
        <f>IF('My investments'!$H$22="",0,IF('My investments'!$F506='My investments'!$H$22,$X506,0))</f>
        <v>0</v>
      </c>
      <c r="AI506" s="3">
        <f>IF('My investments'!$H$23="",0,IF('My investments'!$F506='My investments'!$H$23,$X506,0))</f>
        <v>0</v>
      </c>
      <c r="AJ506" s="3">
        <f>IF('My investments'!$H$24="",0,IF('My investments'!$F506='My investments'!$H$24,$X506,0))</f>
        <v>0</v>
      </c>
      <c r="AL506" s="3" t="str">
        <f>IF('My investments'!$B506="","",IF($D$10=0,"",IFERROR(INDEX('Index history'!$B$8:$B$5007,MATCH('My investments'!$B506,'Index history'!$A$8:$A$5007,1)),"")))</f>
        <v/>
      </c>
      <c r="AM506" s="3">
        <f>IF($AL506="",0,IF('My investments'!$D506="",0,IF('My investments'!$C506="Money in",'My investments'!$D506/$AL506,IF('My investments'!$C506="Money out",-'My investments'!$D506/$AL506,0))))</f>
        <v>0</v>
      </c>
    </row>
    <row r="507">
      <c r="X507" s="3">
        <f>IF('My investments'!$B507="",0,IF('My investments'!$E507="",0,'My investments'!$E507))</f>
        <v>0</v>
      </c>
      <c r="Y507" s="25">
        <f>IF('My investments'!$B507="",$D$8,'My investments'!$B507)</f>
        <v>0</v>
      </c>
      <c r="Z507" s="3">
        <f>IF('My investments'!$C507="Worth today",0,$X507)</f>
        <v>0</v>
      </c>
      <c r="AA507" s="3">
        <f>IF('My investments'!$H$15="",0,IF('My investments'!$F507='My investments'!$H$15,$X507,0))</f>
        <v>0</v>
      </c>
      <c r="AB507" s="3">
        <f>IF('My investments'!$H$16="",0,IF('My investments'!$F507='My investments'!$H$16,$X507,0))</f>
        <v>0</v>
      </c>
      <c r="AC507" s="3">
        <f>IF('My investments'!$H$17="",0,IF('My investments'!$F507='My investments'!$H$17,$X507,0))</f>
        <v>0</v>
      </c>
      <c r="AD507" s="3">
        <f>IF('My investments'!$H$18="",0,IF('My investments'!$F507='My investments'!$H$18,$X507,0))</f>
        <v>0</v>
      </c>
      <c r="AE507" s="3">
        <f>IF('My investments'!$H$19="",0,IF('My investments'!$F507='My investments'!$H$19,$X507,0))</f>
        <v>0</v>
      </c>
      <c r="AF507" s="3">
        <f>IF('My investments'!$H$20="",0,IF('My investments'!$F507='My investments'!$H$20,$X507,0))</f>
        <v>0</v>
      </c>
      <c r="AG507" s="3">
        <f>IF('My investments'!$H$21="",0,IF('My investments'!$F507='My investments'!$H$21,$X507,0))</f>
        <v>0</v>
      </c>
      <c r="AH507" s="3">
        <f>IF('My investments'!$H$22="",0,IF('My investments'!$F507='My investments'!$H$22,$X507,0))</f>
        <v>0</v>
      </c>
      <c r="AI507" s="3">
        <f>IF('My investments'!$H$23="",0,IF('My investments'!$F507='My investments'!$H$23,$X507,0))</f>
        <v>0</v>
      </c>
      <c r="AJ507" s="3">
        <f>IF('My investments'!$H$24="",0,IF('My investments'!$F507='My investments'!$H$24,$X507,0))</f>
        <v>0</v>
      </c>
      <c r="AL507" s="3" t="str">
        <f>IF('My investments'!$B507="","",IF($D$10=0,"",IFERROR(INDEX('Index history'!$B$8:$B$5007,MATCH('My investments'!$B507,'Index history'!$A$8:$A$5007,1)),"")))</f>
        <v/>
      </c>
      <c r="AM507" s="3">
        <f>IF($AL507="",0,IF('My investments'!$D507="",0,IF('My investments'!$C507="Money in",'My investments'!$D507/$AL507,IF('My investments'!$C507="Money out",-'My investments'!$D507/$AL507,0))))</f>
        <v>0</v>
      </c>
    </row>
    <row r="508">
      <c r="X508" s="3" t="n">
        <v>0</v>
      </c>
      <c r="Y508" s="25">
        <f>IF(AND($D$10&gt;0,$D$12=0,$D$16=0),$D$17,$D$9)</f>
        <v>0</v>
      </c>
      <c r="Z508" s="3">
        <f>IF(OR($D$12&gt;0,$D$16=1),0,$D$13*$D$14)</f>
        <v>0</v>
      </c>
      <c r="AA508" s="3" t="n">
        <v>0</v>
      </c>
      <c r="AB508" s="3" t="n">
        <v>0</v>
      </c>
      <c r="AC508" s="3" t="n">
        <v>0</v>
      </c>
      <c r="AD508" s="3" t="n">
        <v>0</v>
      </c>
      <c r="AE508" s="3" t="n">
        <v>0</v>
      </c>
      <c r="AF508" s="3" t="n">
        <v>0</v>
      </c>
      <c r="AG508" s="3" t="n">
        <v>0</v>
      </c>
      <c r="AH508" s="3" t="n">
        <v>0</v>
      </c>
      <c r="AI508" s="3" t="n">
        <v>0</v>
      </c>
      <c r="AJ508"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2026-10-02T06:07:05Z</dcterms:created>
  <dcterms:modified xsi:type="dcterms:W3CDTF">2026-10-02T06:07:06Z</dcterms:modified>
</cp:coreProperties>
</file>
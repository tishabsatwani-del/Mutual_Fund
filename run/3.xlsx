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600" firstSheet="0" activeTab="0" autoFilterDateGrouping="1"/>
  </bookViews>
  <sheets>
    <sheet name="Start here" sheetId="1" state="visible" r:id="rId1"/>
    <sheet name="My investments" sheetId="2" state="visible" r:id="rId2"/>
    <sheet name="Plan my goal" sheetId="3" state="visible" r:id="rId3"/>
    <sheet name="Example" sheetId="4" state="visible" r:id="rId4"/>
    <sheet name="About" sheetId="5" state="visible" r:id="rId5"/>
    <sheet name="Calc" sheetId="6" state="hidden" r:id="rId6"/>
  </sheets>
  <definedNames>
    <definedName name="Flow_Dates" hidden="0" function="0" vbProcedure="0">OFFSET('My investments'!$B$8,0,0,COUNT('My investments'!$B$8:$B$507),1)</definedName>
    <definedName name="Flow_Values" hidden="0" function="0" vbProcedure="0">OFFSET('My investments'!$E$8,0,0,COUNT('My investments'!$B$8:$B$507),1)</definedName>
  </definedNames>
  <calcPr calcId="124519" fullCalcOnLoad="1" refMode="A1" iterate="0" iterateCount="100" iterateDelta="0.0001"/>
</workbook>
</file>

<file path=xl/styles.xml><?xml version="1.0" encoding="utf-8"?>
<styleSheet xmlns="http://schemas.openxmlformats.org/spreadsheetml/2006/main">
  <numFmts count="4">
    <numFmt numFmtId="164" formatCode="[&gt;=10000000]&quot;₹ &quot;##\,##\,##\,##0;[&gt;=100000]&quot;₹ &quot;##\,##\,##0;&quot;₹ &quot;##,##0"/>
    <numFmt numFmtId="165" formatCode="0.0%"/>
    <numFmt numFmtId="166" formatCode="dd-mmm-yyyy"/>
    <numFmt numFmtId="167" formatCode="0.#"/>
  </numFmts>
  <fonts count="12">
    <font>
      <name val="Calibri"/>
      <charset val="1"/>
      <family val="2"/>
      <color theme="1"/>
      <sz val="11"/>
    </font>
    <font>
      <name val="Arial"/>
      <family val="0"/>
      <sz val="10"/>
    </font>
    <font>
      <name val="Arial"/>
      <family val="0"/>
      <sz val="10"/>
    </font>
    <font>
      <name val="Arial"/>
      <family val="0"/>
      <sz val="10"/>
    </font>
    <font>
      <name val="Calibri"/>
      <charset val="1"/>
      <family val="0"/>
      <sz val="12"/>
    </font>
    <font>
      <name val="Calibri"/>
      <charset val="1"/>
      <family val="0"/>
      <b val="1"/>
      <sz val="12"/>
    </font>
    <font>
      <name val="Calibri"/>
      <charset val="1"/>
      <family val="0"/>
      <b val="1"/>
      <color rgb="FFFFFFFF"/>
      <sz val="12"/>
    </font>
    <font>
      <name val="Calibri"/>
      <charset val="1"/>
      <family val="0"/>
      <b val="1"/>
      <color rgb="FF1F4E5F"/>
      <sz val="28"/>
    </font>
    <font>
      <name val="Calibri"/>
      <charset val="1"/>
      <family val="0"/>
      <color rgb="FFB00020"/>
      <sz val="12"/>
    </font>
    <font>
      <name val="Calibri"/>
      <charset val="1"/>
      <family val="0"/>
      <color rgb="FF808080"/>
      <sz val="12"/>
    </font>
    <font>
      <name val="Calibri"/>
      <charset val="1"/>
      <family val="0"/>
      <b val="1"/>
      <color rgb="FF1F4E5F"/>
      <sz val="16"/>
    </font>
    <font>
      <name val="Calibri"/>
      <charset val="1"/>
      <family val="0"/>
      <b val="1"/>
      <color rgb="FF1F4E5F"/>
      <sz val="20"/>
    </font>
  </fonts>
  <fills count="6">
    <fill>
      <patternFill/>
    </fill>
    <fill>
      <patternFill patternType="gray125"/>
    </fill>
    <fill>
      <patternFill patternType="solid">
        <fgColor rgb="FF1F4E5F"/>
        <bgColor rgb="FF333333"/>
      </patternFill>
    </fill>
    <fill>
      <patternFill patternType="solid">
        <fgColor rgb="FFEAF3F6"/>
        <bgColor rgb="FFF2F2F2"/>
      </patternFill>
    </fill>
    <fill>
      <patternFill patternType="solid">
        <fgColor rgb="FFFFFDF0"/>
        <bgColor rgb="FFFFFFFF"/>
      </patternFill>
    </fill>
    <fill>
      <patternFill patternType="solid">
        <fgColor rgb="FFF2F2F2"/>
        <bgColor rgb="FFEAF3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9">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bottom"/>
    </xf>
    <xf numFmtId="0" fontId="4" fillId="0" borderId="0" applyAlignment="1" applyProtection="1" pivotButton="0" quotePrefix="0" xfId="0">
      <alignment horizontal="general" vertical="bottom"/>
      <protection locked="0" hidden="0"/>
    </xf>
    <xf numFmtId="0" fontId="6" fillId="2" borderId="0" applyAlignment="1" pivotButton="0" quotePrefix="0" xfId="0">
      <alignment horizontal="general" vertical="bottom"/>
    </xf>
    <xf numFmtId="0" fontId="0" fillId="2" borderId="0" applyAlignment="1" pivotButton="0" quotePrefix="0" xfId="0">
      <alignment horizontal="general" vertical="bottom"/>
    </xf>
    <xf numFmtId="0" fontId="4" fillId="0" borderId="0" applyAlignment="1" pivotButton="0" quotePrefix="0" xfId="0">
      <alignment horizontal="general" vertical="bottom"/>
    </xf>
    <xf numFmtId="164" fontId="4" fillId="0" borderId="0" applyAlignment="1" pivotButton="0" quotePrefix="0" xfId="0">
      <alignment horizontal="general" vertical="bottom"/>
    </xf>
    <xf numFmtId="0" fontId="5" fillId="0" borderId="0" applyAlignment="1" pivotButton="0" quotePrefix="0" xfId="0">
      <alignment horizontal="general" vertical="center"/>
    </xf>
    <xf numFmtId="165" fontId="7" fillId="3" borderId="0" applyAlignment="1" pivotButton="0" quotePrefix="0" xfId="0">
      <alignment horizontal="left" vertical="center"/>
    </xf>
    <xf numFmtId="0" fontId="8" fillId="0" borderId="0" applyAlignment="1" pivotButton="0" quotePrefix="0" xfId="0">
      <alignment horizontal="general" vertical="center"/>
    </xf>
    <xf numFmtId="0" fontId="6" fillId="2" borderId="0" applyAlignment="1" pivotButton="0" quotePrefix="0" xfId="0">
      <alignment horizontal="center" vertical="center" wrapText="1"/>
    </xf>
    <xf numFmtId="166" fontId="4" fillId="4" borderId="1" applyAlignment="1" applyProtection="1" pivotButton="0" quotePrefix="0" xfId="0">
      <alignment horizontal="general" vertical="bottom"/>
      <protection locked="0" hidden="0"/>
    </xf>
    <xf numFmtId="0" fontId="4" fillId="4" borderId="1" applyAlignment="1" applyProtection="1" pivotButton="0" quotePrefix="0" xfId="0">
      <alignment horizontal="general" vertical="bottom"/>
      <protection locked="0" hidden="0"/>
    </xf>
    <xf numFmtId="164" fontId="4" fillId="4" borderId="1" applyAlignment="1" applyProtection="1" pivotButton="0" quotePrefix="0" xfId="0">
      <alignment horizontal="general" vertical="bottom"/>
      <protection locked="0" hidden="0"/>
    </xf>
    <xf numFmtId="164" fontId="9" fillId="5" borderId="1" applyAlignment="1" pivotButton="0" quotePrefix="0" xfId="0">
      <alignment horizontal="general" vertical="bottom"/>
    </xf>
    <xf numFmtId="165"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167" fontId="4" fillId="4" borderId="1" applyAlignment="1" applyProtection="1" pivotButton="0" quotePrefix="0" xfId="0">
      <alignment horizontal="general" vertical="bottom"/>
      <protection locked="0" hidden="0"/>
    </xf>
    <xf numFmtId="0" fontId="5" fillId="0" borderId="0" applyAlignment="1" pivotButton="0" quotePrefix="0" xfId="0">
      <alignment horizontal="general" vertical="center" wrapText="1"/>
    </xf>
    <xf numFmtId="164" fontId="11" fillId="3" borderId="0" applyAlignment="1" pivotButton="0" quotePrefix="0" xfId="0">
      <alignment horizontal="general" vertical="bottom"/>
    </xf>
    <xf numFmtId="164" fontId="5" fillId="0" borderId="0" applyAlignment="1" pivotButton="0" quotePrefix="0" xfId="0">
      <alignment horizontal="general" vertical="bottom"/>
    </xf>
    <xf numFmtId="0" fontId="6" fillId="2" borderId="0" applyAlignment="1" pivotButton="0" quotePrefix="0" xfId="0">
      <alignment horizontal="left" vertical="center"/>
    </xf>
    <xf numFmtId="166" fontId="4" fillId="0" borderId="1" applyAlignment="1" pivotButton="0" quotePrefix="0" xfId="0">
      <alignment horizontal="general" vertical="bottom"/>
    </xf>
    <xf numFmtId="0" fontId="4" fillId="0" borderId="1" applyAlignment="1" pivotButton="0" quotePrefix="0" xfId="0">
      <alignment horizontal="general" vertical="bottom"/>
    </xf>
    <xf numFmtId="164" fontId="4" fillId="0" borderId="1" applyAlignment="1" pivotButton="0" quotePrefix="0" xfId="0">
      <alignment horizontal="general" vertical="bottom"/>
    </xf>
    <xf numFmtId="0" fontId="5" fillId="0" borderId="0" applyAlignment="1" pivotButton="0" quotePrefix="0" xfId="0">
      <alignment horizontal="general" vertical="top" wrapText="1"/>
    </xf>
    <xf numFmtId="167" fontId="4"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B00020"/>
      <rgbColor rgb="FF008000"/>
      <rgbColor rgb="FF000080"/>
      <rgbColor rgb="FF808000"/>
      <rgbColor rgb="FF800080"/>
      <rgbColor rgb="FF008080"/>
      <rgbColor rgb="FFBFBFBF"/>
      <rgbColor rgb="FF808080"/>
      <rgbColor rgb="FF9999FF"/>
      <rgbColor rgb="FF993366"/>
      <rgbColor rgb="FFFFFDF0"/>
      <rgbColor rgb="FFEAF3F6"/>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4E5F"/>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2:B1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1.5" customHeight="1" s="30">
      <c r="B2" s="31" t="inlineStr">
        <is>
          <t>1. This workbook does two things: it works out what your money has actually earned, and it shows what it would take to reach a goal.</t>
        </is>
      </c>
    </row>
    <row r="4" ht="31.5" customHeight="1" s="30">
      <c r="B4" s="31" t="inlineStr">
        <is>
          <t>2. Save your own copy before you type anything, so you always have a clean one.</t>
        </is>
      </c>
    </row>
    <row r="6" ht="31.5" customHeight="1" s="30">
      <c r="B6" s="31" t="inlineStr">
        <is>
          <t>3. On the My investments tab, enter one row for every payment you made: the date, then Money in or Money out from the dropdown, then the amount as a plain positive number.</t>
        </is>
      </c>
    </row>
    <row r="8" ht="31.5" customHeight="1" s="30">
      <c r="B8" s="31" t="inlineStr">
        <is>
          <t>Dates are shown as dd-mmm-yyyy. If a date you typed reads back as a different day, your computer is set to American dates; retype it and check it reads the way you meant. 4. In the last row, enter today's date, choose Worth today, and type what the holding is worth right now. Your XIRR appears at the top of that tab.</t>
        </is>
      </c>
    </row>
    <row r="10" ht="31.5" customHeight="1" s="30">
      <c r="B10" s="31" t="inlineStr">
        <is>
          <t>5. On the Plan my goal tab, enter what you are aiming for, what you already have, and what you invest each month. It shows where you land and what would close the gap.</t>
        </is>
      </c>
    </row>
    <row r="12" ht="31.5" customHeight="1" s="30">
      <c r="B12" s="31" t="inlineStr">
        <is>
          <t>6. The Example tab is the same thing already filled in, if you get stuck.</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2:J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 width="26" customWidth="1" style="29" min="8" max="8"/>
    <col width="18" customWidth="1" style="29" min="9" max="9"/>
    <col width="16" customWidth="1" style="29" min="10" max="10"/>
  </cols>
  <sheetData>
    <row r="2" ht="15" customHeight="1" s="30">
      <c r="A2" s="32" t="inlineStr">
        <is>
          <t>Fund name</t>
        </is>
      </c>
      <c r="B2" s="33" t="n"/>
      <c r="H2" s="34" t="inlineStr">
        <is>
          <t>Your portfolio</t>
        </is>
      </c>
      <c r="I2" s="35" t="n"/>
    </row>
    <row r="3" ht="15" customHeight="1" s="30">
      <c r="H3" s="36" t="inlineStr">
        <is>
          <t>You put in</t>
        </is>
      </c>
      <c r="I3" s="37">
        <f>Calc!$D$3</f>
        <v/>
      </c>
    </row>
    <row r="4" ht="37.5" customHeight="1" s="30">
      <c r="A4" s="38" t="inlineStr">
        <is>
          <t>Your XIRR</t>
        </is>
      </c>
      <c r="B4" s="39">
        <f>IFERROR(XIRR(Flow_Values,Flow_Dates),IFERROR(XIRR(Flow_Values,Flow_Dates,-0.5),"Check the status line below"))</f>
        <v/>
      </c>
      <c r="H4" s="36" t="inlineStr">
        <is>
          <t>You took out</t>
        </is>
      </c>
      <c r="I4" s="37">
        <f>Calc!$D$4</f>
        <v/>
      </c>
    </row>
    <row r="5" ht="15" customHeight="1" s="30">
      <c r="B5" s="40">
        <f>IF(COUNT($B$8:$B$507)=0,"Add your first investment above.",IF(Calc!$D$1=0,"Add a last row: today's date, Worth today, and what the holding is worth now.",IF(Calc!$D$2=0,"Add at least one investment.","")))</f>
        <v/>
      </c>
      <c r="H5" s="36" t="inlineStr">
        <is>
          <t>Worth now</t>
        </is>
      </c>
      <c r="I5" s="37">
        <f>Calc!$D$5</f>
        <v/>
      </c>
    </row>
    <row r="6" ht="15.75" customHeight="1" s="30">
      <c r="B6" s="36" t="inlineStr">
        <is>
          <t>Type in the cream cells only — everything else is worked out for you. One row for every payment, with no blank rows in between, and the last row must be today's date, Worth today, and what the holding is worth now.</t>
        </is>
      </c>
      <c r="H6" s="36" t="inlineStr">
        <is>
          <t>Gain or loss</t>
        </is>
      </c>
      <c r="I6" s="37">
        <f>Calc!$D$5+Calc!$D$4-Calc!$D$3</f>
        <v/>
      </c>
    </row>
    <row r="7" ht="30" customHeight="1" s="30">
      <c r="B7" s="41" t="inlineStr">
        <is>
          <t>Date</t>
        </is>
      </c>
      <c r="C7" s="41" t="inlineStr">
        <is>
          <t>What happened</t>
        </is>
      </c>
      <c r="D7" s="41" t="inlineStr">
        <is>
          <t>Amount</t>
        </is>
      </c>
      <c r="E7" s="41" t="inlineStr">
        <is>
          <t>Used by the sheet</t>
        </is>
      </c>
      <c r="F7" s="41" t="inlineStr">
        <is>
          <t>Which holding</t>
        </is>
      </c>
      <c r="H7" s="36" t="inlineStr">
        <is>
          <t>How long you have held it</t>
        </is>
      </c>
      <c r="I7" s="36">
        <f>IF(COUNT($B$8:$B$507)=0,"",TEXT((OFFSET($B$8,COUNT($B$8:$B$507)-1,0)-$B$8)/365.25,"0.0")&amp;" years")</f>
        <v/>
      </c>
    </row>
    <row r="8" ht="15" customHeight="1" s="30">
      <c r="B8" s="42" t="n">
        <v>44652</v>
      </c>
      <c r="C8" s="43" t="inlineStr">
        <is>
          <t>Money in</t>
        </is>
      </c>
      <c r="D8" s="44" t="n">
        <v>500000</v>
      </c>
      <c r="E8" s="45">
        <f>IF($B8="","",IF($C8="Money in",-$D8,$D8))</f>
        <v/>
      </c>
      <c r="F8" s="43" t="n"/>
    </row>
    <row r="9" ht="15" customHeight="1" s="30">
      <c r="B9" s="42" t="n">
        <v>45383</v>
      </c>
      <c r="C9" s="43" t="inlineStr">
        <is>
          <t>Money out</t>
        </is>
      </c>
      <c r="D9" s="44" t="n">
        <v>200000</v>
      </c>
      <c r="E9" s="45">
        <f>IF($B9="","",IF($C9="Money in",-$D9,$D9))</f>
        <v/>
      </c>
      <c r="F9" s="43" t="n"/>
      <c r="H9" s="34" t="inlineStr">
        <is>
          <t>Each holding on its own</t>
        </is>
      </c>
      <c r="I9" s="35" t="n"/>
      <c r="J9" s="35" t="n"/>
    </row>
    <row r="10" ht="15" customHeight="1" s="30">
      <c r="B10" s="42" t="n">
        <v>46113</v>
      </c>
      <c r="C10" s="43" t="inlineStr">
        <is>
          <t>Worth today</t>
        </is>
      </c>
      <c r="D10" s="44" t="n">
        <v>450000</v>
      </c>
      <c r="E10" s="45">
        <f>IF($B10="","",IF($C10="Money in",-$D10,$D10))</f>
        <v/>
      </c>
      <c r="F10" s="43" t="n"/>
      <c r="H10" s="32" t="inlineStr">
        <is>
          <t>Type a holding name</t>
        </is>
      </c>
      <c r="I10" s="32" t="inlineStr">
        <is>
          <t>You put in</t>
        </is>
      </c>
      <c r="J10" s="32" t="inlineStr">
        <is>
          <t>Its own XIRR</t>
        </is>
      </c>
    </row>
    <row r="11" ht="15" customHeight="1" s="30">
      <c r="B11" s="42" t="n"/>
      <c r="C11" s="43" t="n"/>
      <c r="D11" s="44" t="n"/>
      <c r="E11" s="45">
        <f>IF($B11="","",IF($C11="Money in",-$D11,$D11))</f>
        <v/>
      </c>
      <c r="F11" s="43" t="n"/>
      <c r="H11" s="43" t="n"/>
      <c r="I11" s="37">
        <f>IF($H11="","",Calc!$L$1)</f>
        <v/>
      </c>
      <c r="J11" s="46">
        <f>IF($H11="","",IFERROR(XIRR(OFFSET(Calc!$AE$8,0,0,COUNT($B$8:$B$507),1),Flow_Dates),IFERROR(XIRR(OFFSET(Calc!$AE$8,0,0,COUNT($B$8:$B$507),1),Flow_Dates,-0.5),"not enough entries")))</f>
        <v/>
      </c>
    </row>
    <row r="12" ht="15" customHeight="1" s="30">
      <c r="B12" s="42" t="n"/>
      <c r="C12" s="43" t="n"/>
      <c r="D12" s="44" t="n"/>
      <c r="E12" s="45">
        <f>IF($B12="","",IF($C12="Money in",-$D12,$D12))</f>
        <v/>
      </c>
      <c r="F12" s="43" t="n"/>
      <c r="H12" s="43" t="n"/>
      <c r="I12" s="37">
        <f>IF($H12="","",Calc!$L$2)</f>
        <v/>
      </c>
      <c r="J12" s="46">
        <f>IF($H12="","",IFERROR(XIRR(OFFSET(Calc!$AF$8,0,0,COUNT($B$8:$B$507),1),Flow_Dates),IFERROR(XIRR(OFFSET(Calc!$AF$8,0,0,COUNT($B$8:$B$507),1),Flow_Dates,-0.5),"not enough entries")))</f>
        <v/>
      </c>
    </row>
    <row r="13" ht="15" customHeight="1" s="30">
      <c r="B13" s="42" t="n"/>
      <c r="C13" s="43" t="n"/>
      <c r="D13" s="44" t="n"/>
      <c r="E13" s="45">
        <f>IF($B13="","",IF($C13="Money in",-$D13,$D13))</f>
        <v/>
      </c>
      <c r="F13" s="43" t="n"/>
      <c r="H13" s="43" t="n"/>
      <c r="I13" s="37">
        <f>IF($H13="","",Calc!$L$3)</f>
        <v/>
      </c>
      <c r="J13" s="46">
        <f>IF($H13="","",IFERROR(XIRR(OFFSET(Calc!$AG$8,0,0,COUNT($B$8:$B$507),1),Flow_Dates),IFERROR(XIRR(OFFSET(Calc!$AG$8,0,0,COUNT($B$8:$B$507),1),Flow_Dates,-0.5),"not enough entries")))</f>
        <v/>
      </c>
    </row>
    <row r="14" ht="15" customHeight="1" s="30">
      <c r="B14" s="42" t="n"/>
      <c r="C14" s="43" t="n"/>
      <c r="D14" s="44" t="n"/>
      <c r="E14" s="45">
        <f>IF($B14="","",IF($C14="Money in",-$D14,$D14))</f>
        <v/>
      </c>
      <c r="F14" s="43" t="n"/>
      <c r="H14" s="43" t="n"/>
      <c r="I14" s="37">
        <f>IF($H14="","",Calc!$L$4)</f>
        <v/>
      </c>
      <c r="J14" s="46">
        <f>IF($H14="","",IFERROR(XIRR(OFFSET(Calc!$AH$8,0,0,COUNT($B$8:$B$507),1),Flow_Dates),IFERROR(XIRR(OFFSET(Calc!$AH$8,0,0,COUNT($B$8:$B$507),1),Flow_Dates,-0.5),"not enough entries")))</f>
        <v/>
      </c>
    </row>
    <row r="15" ht="15" customHeight="1" s="30">
      <c r="B15" s="42" t="n"/>
      <c r="C15" s="43" t="n"/>
      <c r="D15" s="44" t="n"/>
      <c r="E15" s="45">
        <f>IF($B15="","",IF($C15="Money in",-$D15,$D15))</f>
        <v/>
      </c>
      <c r="F15" s="43" t="n"/>
      <c r="H15" s="43" t="n"/>
      <c r="I15" s="37">
        <f>IF($H15="","",Calc!$L$5)</f>
        <v/>
      </c>
      <c r="J15" s="46">
        <f>IF($H15="","",IFERROR(XIRR(OFFSET(Calc!$AI$8,0,0,COUNT($B$8:$B$507),1),Flow_Dates),IFERROR(XIRR(OFFSET(Calc!$AI$8,0,0,COUNT($B$8:$B$507),1),Flow_Dates,-0.5),"not enough entries")))</f>
        <v/>
      </c>
    </row>
    <row r="16" ht="15" customHeight="1" s="30">
      <c r="B16" s="42" t="n"/>
      <c r="C16" s="43" t="n"/>
      <c r="D16" s="44" t="n"/>
      <c r="E16" s="45">
        <f>IF($B16="","",IF($C16="Money in",-$D16,$D16))</f>
        <v/>
      </c>
      <c r="F16" s="43" t="n"/>
    </row>
    <row r="17" ht="15" customHeight="1" s="30">
      <c r="B17" s="42" t="n"/>
      <c r="C17" s="43" t="n"/>
      <c r="D17" s="44" t="n"/>
      <c r="E17" s="45">
        <f>IF($B17="","",IF($C17="Money in",-$D17,$D17))</f>
        <v/>
      </c>
      <c r="F17" s="43" t="n"/>
      <c r="H17" s="47" t="inlineStr">
        <is>
          <t>Leave the names blank if you hold only one thing.</t>
        </is>
      </c>
    </row>
    <row r="18" ht="15" customHeight="1" s="30">
      <c r="B18" s="42" t="n"/>
      <c r="C18" s="43" t="n"/>
      <c r="D18" s="44" t="n"/>
      <c r="E18" s="45">
        <f>IF($B18="","",IF($C18="Money in",-$D18,$D18))</f>
        <v/>
      </c>
      <c r="F18" s="43" t="n"/>
      <c r="H18" s="32" t="inlineStr">
        <is>
          <t>Your portfolio XIRR is not the average of these.</t>
        </is>
      </c>
    </row>
    <row r="19" ht="15" customHeight="1" s="30">
      <c r="B19" s="42" t="n"/>
      <c r="C19" s="43" t="n"/>
      <c r="D19" s="44" t="n"/>
      <c r="E19" s="45">
        <f>IF($B19="","",IF($C19="Money in",-$D19,$D19))</f>
        <v/>
      </c>
      <c r="F19" s="43" t="n"/>
      <c r="H19" s="47" t="inlineStr">
        <is>
          <t>It weighs each holding by how much money you actually had in it, and for how long.</t>
        </is>
      </c>
    </row>
    <row r="20" ht="15" customHeight="1" s="30">
      <c r="B20" s="42" t="n"/>
      <c r="C20" s="43" t="n"/>
      <c r="D20" s="44" t="n"/>
      <c r="E20" s="45">
        <f>IF($B20="","",IF($C20="Money in",-$D20,$D20))</f>
        <v/>
      </c>
      <c r="F20" s="43" t="n"/>
    </row>
    <row r="21" ht="15" customHeight="1" s="30">
      <c r="B21" s="42" t="n"/>
      <c r="C21" s="43" t="n"/>
      <c r="D21" s="44" t="n"/>
      <c r="E21" s="45">
        <f>IF($B21="","",IF($C21="Money in",-$D21,$D21))</f>
        <v/>
      </c>
      <c r="F21" s="43" t="n"/>
    </row>
    <row r="22" ht="15" customHeight="1" s="30">
      <c r="B22" s="42" t="n"/>
      <c r="C22" s="43" t="n"/>
      <c r="D22" s="44" t="n"/>
      <c r="E22" s="45">
        <f>IF($B22="","",IF($C22="Money in",-$D22,$D22))</f>
        <v/>
      </c>
      <c r="F22" s="43" t="n"/>
    </row>
    <row r="23" ht="15" customHeight="1" s="30">
      <c r="B23" s="42" t="n"/>
      <c r="C23" s="43" t="n"/>
      <c r="D23" s="44" t="n"/>
      <c r="E23" s="45">
        <f>IF($B23="","",IF($C23="Money in",-$D23,$D23))</f>
        <v/>
      </c>
      <c r="F23" s="43" t="n"/>
    </row>
    <row r="24" ht="15" customHeight="1" s="30">
      <c r="B24" s="42" t="n"/>
      <c r="C24" s="43" t="n"/>
      <c r="D24" s="44" t="n"/>
      <c r="E24" s="45">
        <f>IF($B24="","",IF($C24="Money in",-$D24,$D24))</f>
        <v/>
      </c>
      <c r="F24" s="43" t="n"/>
    </row>
    <row r="25" ht="15" customHeight="1" s="30">
      <c r="B25" s="42" t="n"/>
      <c r="C25" s="43" t="n"/>
      <c r="D25" s="44" t="n"/>
      <c r="E25" s="45">
        <f>IF($B25="","",IF($C25="Money in",-$D25,$D25))</f>
        <v/>
      </c>
      <c r="F25" s="43" t="n"/>
    </row>
    <row r="26" ht="15" customHeight="1" s="30">
      <c r="B26" s="42" t="n"/>
      <c r="C26" s="43" t="n"/>
      <c r="D26" s="44" t="n"/>
      <c r="E26" s="45">
        <f>IF($B26="","",IF($C26="Money in",-$D26,$D26))</f>
        <v/>
      </c>
      <c r="F26" s="43" t="n"/>
    </row>
    <row r="27" ht="15" customHeight="1" s="30">
      <c r="B27" s="42" t="n"/>
      <c r="C27" s="43" t="n"/>
      <c r="D27" s="44" t="n"/>
      <c r="E27" s="45">
        <f>IF($B27="","",IF($C27="Money in",-$D27,$D27))</f>
        <v/>
      </c>
      <c r="F27" s="43" t="n"/>
    </row>
    <row r="28" ht="15" customHeight="1" s="30">
      <c r="B28" s="42" t="n"/>
      <c r="C28" s="43" t="n"/>
      <c r="D28" s="44" t="n"/>
      <c r="E28" s="45">
        <f>IF($B28="","",IF($C28="Money in",-$D28,$D28))</f>
        <v/>
      </c>
      <c r="F28" s="43" t="n"/>
    </row>
    <row r="29" ht="15" customHeight="1" s="30">
      <c r="B29" s="42" t="n"/>
      <c r="C29" s="43" t="n"/>
      <c r="D29" s="44" t="n"/>
      <c r="E29" s="45">
        <f>IF($B29="","",IF($C29="Money in",-$D29,$D29))</f>
        <v/>
      </c>
      <c r="F29" s="43" t="n"/>
    </row>
    <row r="30" ht="15" customHeight="1" s="30">
      <c r="B30" s="42" t="n"/>
      <c r="C30" s="43" t="n"/>
      <c r="D30" s="44" t="n"/>
      <c r="E30" s="45">
        <f>IF($B30="","",IF($C30="Money in",-$D30,$D30))</f>
        <v/>
      </c>
      <c r="F30" s="43" t="n"/>
    </row>
    <row r="31" ht="15" customHeight="1" s="30">
      <c r="B31" s="42" t="n"/>
      <c r="C31" s="43" t="n"/>
      <c r="D31" s="44" t="n"/>
      <c r="E31" s="45">
        <f>IF($B31="","",IF($C31="Money in",-$D31,$D31))</f>
        <v/>
      </c>
      <c r="F31" s="43" t="n"/>
    </row>
    <row r="32" ht="15" customHeight="1" s="30">
      <c r="B32" s="42" t="n"/>
      <c r="C32" s="43" t="n"/>
      <c r="D32" s="44" t="n"/>
      <c r="E32" s="45">
        <f>IF($B32="","",IF($C32="Money in",-$D32,$D32))</f>
        <v/>
      </c>
      <c r="F32" s="43" t="n"/>
    </row>
    <row r="33" ht="15" customHeight="1" s="30">
      <c r="B33" s="42" t="n"/>
      <c r="C33" s="43" t="n"/>
      <c r="D33" s="44" t="n"/>
      <c r="E33" s="45">
        <f>IF($B33="","",IF($C33="Money in",-$D33,$D33))</f>
        <v/>
      </c>
      <c r="F33" s="43" t="n"/>
    </row>
    <row r="34" ht="15" customHeight="1" s="30">
      <c r="B34" s="42" t="n"/>
      <c r="C34" s="43" t="n"/>
      <c r="D34" s="44" t="n"/>
      <c r="E34" s="45">
        <f>IF($B34="","",IF($C34="Money in",-$D34,$D34))</f>
        <v/>
      </c>
      <c r="F34" s="43" t="n"/>
    </row>
    <row r="35" ht="15" customHeight="1" s="30">
      <c r="B35" s="42" t="n"/>
      <c r="C35" s="43" t="n"/>
      <c r="D35" s="44" t="n"/>
      <c r="E35" s="45">
        <f>IF($B35="","",IF($C35="Money in",-$D35,$D35))</f>
        <v/>
      </c>
      <c r="F35" s="43" t="n"/>
    </row>
    <row r="36" ht="15" customHeight="1" s="30">
      <c r="B36" s="42" t="n"/>
      <c r="C36" s="43" t="n"/>
      <c r="D36" s="44" t="n"/>
      <c r="E36" s="45">
        <f>IF($B36="","",IF($C36="Money in",-$D36,$D36))</f>
        <v/>
      </c>
      <c r="F36" s="43" t="n"/>
    </row>
    <row r="37" ht="15" customHeight="1" s="30">
      <c r="B37" s="42" t="n"/>
      <c r="C37" s="43" t="n"/>
      <c r="D37" s="44" t="n"/>
      <c r="E37" s="45">
        <f>IF($B37="","",IF($C37="Money in",-$D37,$D37))</f>
        <v/>
      </c>
      <c r="F37" s="43" t="n"/>
    </row>
    <row r="38" ht="15" customHeight="1" s="30">
      <c r="B38" s="42" t="n"/>
      <c r="C38" s="43" t="n"/>
      <c r="D38" s="44" t="n"/>
      <c r="E38" s="45">
        <f>IF($B38="","",IF($C38="Money in",-$D38,$D38))</f>
        <v/>
      </c>
      <c r="F38" s="43" t="n"/>
    </row>
    <row r="39" ht="15" customHeight="1" s="30">
      <c r="B39" s="42" t="n"/>
      <c r="C39" s="43" t="n"/>
      <c r="D39" s="44" t="n"/>
      <c r="E39" s="45">
        <f>IF($B39="","",IF($C39="Money in",-$D39,$D39))</f>
        <v/>
      </c>
      <c r="F39" s="43" t="n"/>
    </row>
    <row r="40" ht="15" customHeight="1" s="30">
      <c r="B40" s="42" t="n"/>
      <c r="C40" s="43" t="n"/>
      <c r="D40" s="44" t="n"/>
      <c r="E40" s="45">
        <f>IF($B40="","",IF($C40="Money in",-$D40,$D40))</f>
        <v/>
      </c>
      <c r="F40" s="43" t="n"/>
    </row>
    <row r="41" ht="15" customHeight="1" s="30">
      <c r="B41" s="42" t="n"/>
      <c r="C41" s="43" t="n"/>
      <c r="D41" s="44" t="n"/>
      <c r="E41" s="45">
        <f>IF($B41="","",IF($C41="Money in",-$D41,$D41))</f>
        <v/>
      </c>
      <c r="F41" s="43" t="n"/>
    </row>
    <row r="42" ht="15" customHeight="1" s="30">
      <c r="B42" s="42" t="n"/>
      <c r="C42" s="43" t="n"/>
      <c r="D42" s="44" t="n"/>
      <c r="E42" s="45">
        <f>IF($B42="","",IF($C42="Money in",-$D42,$D42))</f>
        <v/>
      </c>
      <c r="F42" s="43" t="n"/>
    </row>
    <row r="43" ht="15" customHeight="1" s="30">
      <c r="B43" s="42" t="n"/>
      <c r="C43" s="43" t="n"/>
      <c r="D43" s="44" t="n"/>
      <c r="E43" s="45">
        <f>IF($B43="","",IF($C43="Money in",-$D43,$D43))</f>
        <v/>
      </c>
      <c r="F43" s="43" t="n"/>
    </row>
    <row r="44" ht="15" customHeight="1" s="30">
      <c r="B44" s="42" t="n"/>
      <c r="C44" s="43" t="n"/>
      <c r="D44" s="44" t="n"/>
      <c r="E44" s="45">
        <f>IF($B44="","",IF($C44="Money in",-$D44,$D44))</f>
        <v/>
      </c>
      <c r="F44" s="43" t="n"/>
    </row>
    <row r="45" ht="15" customHeight="1" s="30">
      <c r="B45" s="42" t="n"/>
      <c r="C45" s="43" t="n"/>
      <c r="D45" s="44" t="n"/>
      <c r="E45" s="45">
        <f>IF($B45="","",IF($C45="Money in",-$D45,$D45))</f>
        <v/>
      </c>
      <c r="F45" s="43" t="n"/>
    </row>
    <row r="46" ht="15" customHeight="1" s="30">
      <c r="B46" s="42" t="n"/>
      <c r="C46" s="43" t="n"/>
      <c r="D46" s="44" t="n"/>
      <c r="E46" s="45">
        <f>IF($B46="","",IF($C46="Money in",-$D46,$D46))</f>
        <v/>
      </c>
      <c r="F46" s="43" t="n"/>
    </row>
    <row r="47" ht="15" customHeight="1" s="30">
      <c r="B47" s="42" t="n"/>
      <c r="C47" s="43" t="n"/>
      <c r="D47" s="44" t="n"/>
      <c r="E47" s="45">
        <f>IF($B47="","",IF($C47="Money in",-$D47,$D47))</f>
        <v/>
      </c>
      <c r="F47" s="43" t="n"/>
    </row>
    <row r="48" ht="15" customHeight="1" s="30">
      <c r="B48" s="42" t="n"/>
      <c r="C48" s="43" t="n"/>
      <c r="D48" s="44" t="n"/>
      <c r="E48" s="45">
        <f>IF($B48="","",IF($C48="Money in",-$D48,$D48))</f>
        <v/>
      </c>
      <c r="F48" s="43" t="n"/>
    </row>
    <row r="49" ht="15" customHeight="1" s="30">
      <c r="B49" s="42" t="n"/>
      <c r="C49" s="43" t="n"/>
      <c r="D49" s="44" t="n"/>
      <c r="E49" s="45">
        <f>IF($B49="","",IF($C49="Money in",-$D49,$D49))</f>
        <v/>
      </c>
      <c r="F49" s="43" t="n"/>
    </row>
    <row r="50" ht="15" customHeight="1" s="30">
      <c r="B50" s="42" t="n"/>
      <c r="C50" s="43" t="n"/>
      <c r="D50" s="44" t="n"/>
      <c r="E50" s="45">
        <f>IF($B50="","",IF($C50="Money in",-$D50,$D50))</f>
        <v/>
      </c>
      <c r="F50" s="43" t="n"/>
    </row>
    <row r="51" ht="15" customHeight="1" s="30">
      <c r="B51" s="42" t="n"/>
      <c r="C51" s="43" t="n"/>
      <c r="D51" s="44" t="n"/>
      <c r="E51" s="45">
        <f>IF($B51="","",IF($C51="Money in",-$D51,$D51))</f>
        <v/>
      </c>
      <c r="F51" s="43" t="n"/>
    </row>
    <row r="52" ht="15" customHeight="1" s="30">
      <c r="B52" s="42" t="n"/>
      <c r="C52" s="43" t="n"/>
      <c r="D52" s="44" t="n"/>
      <c r="E52" s="45">
        <f>IF($B52="","",IF($C52="Money in",-$D52,$D52))</f>
        <v/>
      </c>
      <c r="F52" s="43" t="n"/>
    </row>
    <row r="53" ht="15" customHeight="1" s="30">
      <c r="B53" s="42" t="n"/>
      <c r="C53" s="43" t="n"/>
      <c r="D53" s="44" t="n"/>
      <c r="E53" s="45">
        <f>IF($B53="","",IF($C53="Money in",-$D53,$D53))</f>
        <v/>
      </c>
      <c r="F53" s="43" t="n"/>
    </row>
    <row r="54" ht="15" customHeight="1" s="30">
      <c r="B54" s="42" t="n"/>
      <c r="C54" s="43" t="n"/>
      <c r="D54" s="44" t="n"/>
      <c r="E54" s="45">
        <f>IF($B54="","",IF($C54="Money in",-$D54,$D54))</f>
        <v/>
      </c>
      <c r="F54" s="43" t="n"/>
    </row>
    <row r="55" ht="15" customHeight="1" s="30">
      <c r="B55" s="42" t="n"/>
      <c r="C55" s="43" t="n"/>
      <c r="D55" s="44" t="n"/>
      <c r="E55" s="45">
        <f>IF($B55="","",IF($C55="Money in",-$D55,$D55))</f>
        <v/>
      </c>
      <c r="F55" s="43" t="n"/>
    </row>
    <row r="56" ht="15" customHeight="1" s="30">
      <c r="B56" s="42" t="n"/>
      <c r="C56" s="43" t="n"/>
      <c r="D56" s="44" t="n"/>
      <c r="E56" s="45">
        <f>IF($B56="","",IF($C56="Money in",-$D56,$D56))</f>
        <v/>
      </c>
      <c r="F56" s="43" t="n"/>
    </row>
    <row r="57" ht="15" customHeight="1" s="30">
      <c r="B57" s="42" t="n"/>
      <c r="C57" s="43" t="n"/>
      <c r="D57" s="44" t="n"/>
      <c r="E57" s="45">
        <f>IF($B57="","",IF($C57="Money in",-$D57,$D57))</f>
        <v/>
      </c>
      <c r="F57" s="43" t="n"/>
    </row>
    <row r="58" ht="15" customHeight="1" s="30">
      <c r="B58" s="42" t="n"/>
      <c r="C58" s="43" t="n"/>
      <c r="D58" s="44" t="n"/>
      <c r="E58" s="45">
        <f>IF($B58="","",IF($C58="Money in",-$D58,$D58))</f>
        <v/>
      </c>
      <c r="F58" s="43" t="n"/>
    </row>
    <row r="59" ht="15" customHeight="1" s="30">
      <c r="B59" s="42" t="n"/>
      <c r="C59" s="43" t="n"/>
      <c r="D59" s="44" t="n"/>
      <c r="E59" s="45">
        <f>IF($B59="","",IF($C59="Money in",-$D59,$D59))</f>
        <v/>
      </c>
      <c r="F59" s="43" t="n"/>
    </row>
    <row r="60" ht="15" customHeight="1" s="30">
      <c r="B60" s="42" t="n"/>
      <c r="C60" s="43" t="n"/>
      <c r="D60" s="44" t="n"/>
      <c r="E60" s="45">
        <f>IF($B60="","",IF($C60="Money in",-$D60,$D60))</f>
        <v/>
      </c>
      <c r="F60" s="43" t="n"/>
    </row>
    <row r="61" ht="15" customHeight="1" s="30">
      <c r="B61" s="42" t="n"/>
      <c r="C61" s="43" t="n"/>
      <c r="D61" s="44" t="n"/>
      <c r="E61" s="45">
        <f>IF($B61="","",IF($C61="Money in",-$D61,$D61))</f>
        <v/>
      </c>
      <c r="F61" s="43" t="n"/>
    </row>
    <row r="62" ht="15" customHeight="1" s="30">
      <c r="B62" s="42" t="n"/>
      <c r="C62" s="43" t="n"/>
      <c r="D62" s="44" t="n"/>
      <c r="E62" s="45">
        <f>IF($B62="","",IF($C62="Money in",-$D62,$D62))</f>
        <v/>
      </c>
      <c r="F62" s="43" t="n"/>
    </row>
    <row r="63" ht="15" customHeight="1" s="30">
      <c r="B63" s="42" t="n"/>
      <c r="C63" s="43" t="n"/>
      <c r="D63" s="44" t="n"/>
      <c r="E63" s="45">
        <f>IF($B63="","",IF($C63="Money in",-$D63,$D63))</f>
        <v/>
      </c>
      <c r="F63" s="43" t="n"/>
    </row>
    <row r="64" ht="15" customHeight="1" s="30">
      <c r="B64" s="42" t="n"/>
      <c r="C64" s="43" t="n"/>
      <c r="D64" s="44" t="n"/>
      <c r="E64" s="45">
        <f>IF($B64="","",IF($C64="Money in",-$D64,$D64))</f>
        <v/>
      </c>
      <c r="F64" s="43" t="n"/>
    </row>
    <row r="65" ht="15" customHeight="1" s="30">
      <c r="B65" s="42" t="n"/>
      <c r="C65" s="43" t="n"/>
      <c r="D65" s="44" t="n"/>
      <c r="E65" s="45">
        <f>IF($B65="","",IF($C65="Money in",-$D65,$D65))</f>
        <v/>
      </c>
      <c r="F65" s="43" t="n"/>
    </row>
    <row r="66" ht="15" customHeight="1" s="30">
      <c r="B66" s="42" t="n"/>
      <c r="C66" s="43" t="n"/>
      <c r="D66" s="44" t="n"/>
      <c r="E66" s="45">
        <f>IF($B66="","",IF($C66="Money in",-$D66,$D66))</f>
        <v/>
      </c>
      <c r="F66" s="43" t="n"/>
    </row>
    <row r="67" ht="15" customHeight="1" s="30">
      <c r="B67" s="42" t="n"/>
      <c r="C67" s="43" t="n"/>
      <c r="D67" s="44" t="n"/>
      <c r="E67" s="45">
        <f>IF($B67="","",IF($C67="Money in",-$D67,$D67))</f>
        <v/>
      </c>
      <c r="F67" s="43" t="n"/>
    </row>
    <row r="68" ht="15" customHeight="1" s="30">
      <c r="B68" s="42" t="n"/>
      <c r="C68" s="43" t="n"/>
      <c r="D68" s="44" t="n"/>
      <c r="E68" s="45">
        <f>IF($B68="","",IF($C68="Money in",-$D68,$D68))</f>
        <v/>
      </c>
      <c r="F68" s="43" t="n"/>
    </row>
    <row r="69" ht="15" customHeight="1" s="30">
      <c r="B69" s="42" t="n"/>
      <c r="C69" s="43" t="n"/>
      <c r="D69" s="44" t="n"/>
      <c r="E69" s="45">
        <f>IF($B69="","",IF($C69="Money in",-$D69,$D69))</f>
        <v/>
      </c>
      <c r="F69" s="43" t="n"/>
    </row>
    <row r="70" ht="15" customHeight="1" s="30">
      <c r="B70" s="42" t="n"/>
      <c r="C70" s="43" t="n"/>
      <c r="D70" s="44" t="n"/>
      <c r="E70" s="45">
        <f>IF($B70="","",IF($C70="Money in",-$D70,$D70))</f>
        <v/>
      </c>
      <c r="F70" s="43" t="n"/>
    </row>
    <row r="71" ht="15" customHeight="1" s="30">
      <c r="B71" s="42" t="n"/>
      <c r="C71" s="43" t="n"/>
      <c r="D71" s="44" t="n"/>
      <c r="E71" s="45">
        <f>IF($B71="","",IF($C71="Money in",-$D71,$D71))</f>
        <v/>
      </c>
      <c r="F71" s="43" t="n"/>
    </row>
    <row r="72" ht="15" customHeight="1" s="30">
      <c r="B72" s="42" t="n"/>
      <c r="C72" s="43" t="n"/>
      <c r="D72" s="44" t="n"/>
      <c r="E72" s="45">
        <f>IF($B72="","",IF($C72="Money in",-$D72,$D72))</f>
        <v/>
      </c>
      <c r="F72" s="43" t="n"/>
    </row>
    <row r="73" ht="15" customHeight="1" s="30">
      <c r="B73" s="42" t="n"/>
      <c r="C73" s="43" t="n"/>
      <c r="D73" s="44" t="n"/>
      <c r="E73" s="45">
        <f>IF($B73="","",IF($C73="Money in",-$D73,$D73))</f>
        <v/>
      </c>
      <c r="F73" s="43" t="n"/>
    </row>
    <row r="74" ht="15" customHeight="1" s="30">
      <c r="B74" s="42" t="n"/>
      <c r="C74" s="43" t="n"/>
      <c r="D74" s="44" t="n"/>
      <c r="E74" s="45">
        <f>IF($B74="","",IF($C74="Money in",-$D74,$D74))</f>
        <v/>
      </c>
      <c r="F74" s="43" t="n"/>
    </row>
    <row r="75" ht="15" customHeight="1" s="30">
      <c r="B75" s="42" t="n"/>
      <c r="C75" s="43" t="n"/>
      <c r="D75" s="44" t="n"/>
      <c r="E75" s="45">
        <f>IF($B75="","",IF($C75="Money in",-$D75,$D75))</f>
        <v/>
      </c>
      <c r="F75" s="43" t="n"/>
    </row>
    <row r="76" ht="15" customHeight="1" s="30">
      <c r="B76" s="42" t="n"/>
      <c r="C76" s="43" t="n"/>
      <c r="D76" s="44" t="n"/>
      <c r="E76" s="45">
        <f>IF($B76="","",IF($C76="Money in",-$D76,$D76))</f>
        <v/>
      </c>
      <c r="F76" s="43" t="n"/>
    </row>
    <row r="77" ht="15" customHeight="1" s="30">
      <c r="B77" s="42" t="n"/>
      <c r="C77" s="43" t="n"/>
      <c r="D77" s="44" t="n"/>
      <c r="E77" s="45">
        <f>IF($B77="","",IF($C77="Money in",-$D77,$D77))</f>
        <v/>
      </c>
      <c r="F77" s="43" t="n"/>
    </row>
    <row r="78" ht="15" customHeight="1" s="30">
      <c r="B78" s="42" t="n"/>
      <c r="C78" s="43" t="n"/>
      <c r="D78" s="44" t="n"/>
      <c r="E78" s="45">
        <f>IF($B78="","",IF($C78="Money in",-$D78,$D78))</f>
        <v/>
      </c>
      <c r="F78" s="43" t="n"/>
    </row>
    <row r="79" ht="15" customHeight="1" s="30">
      <c r="B79" s="42" t="n"/>
      <c r="C79" s="43" t="n"/>
      <c r="D79" s="44" t="n"/>
      <c r="E79" s="45">
        <f>IF($B79="","",IF($C79="Money in",-$D79,$D79))</f>
        <v/>
      </c>
      <c r="F79" s="43" t="n"/>
    </row>
    <row r="80" ht="15" customHeight="1" s="30">
      <c r="B80" s="42" t="n"/>
      <c r="C80" s="43" t="n"/>
      <c r="D80" s="44" t="n"/>
      <c r="E80" s="45">
        <f>IF($B80="","",IF($C80="Money in",-$D80,$D80))</f>
        <v/>
      </c>
      <c r="F80" s="43" t="n"/>
    </row>
    <row r="81" ht="15" customHeight="1" s="30">
      <c r="B81" s="42" t="n"/>
      <c r="C81" s="43" t="n"/>
      <c r="D81" s="44" t="n"/>
      <c r="E81" s="45">
        <f>IF($B81="","",IF($C81="Money in",-$D81,$D81))</f>
        <v/>
      </c>
      <c r="F81" s="43" t="n"/>
    </row>
    <row r="82" ht="15" customHeight="1" s="30">
      <c r="B82" s="42" t="n"/>
      <c r="C82" s="43" t="n"/>
      <c r="D82" s="44" t="n"/>
      <c r="E82" s="45">
        <f>IF($B82="","",IF($C82="Money in",-$D82,$D82))</f>
        <v/>
      </c>
      <c r="F82" s="43" t="n"/>
    </row>
    <row r="83" ht="15" customHeight="1" s="30">
      <c r="B83" s="42" t="n"/>
      <c r="C83" s="43" t="n"/>
      <c r="D83" s="44" t="n"/>
      <c r="E83" s="45">
        <f>IF($B83="","",IF($C83="Money in",-$D83,$D83))</f>
        <v/>
      </c>
      <c r="F83" s="43" t="n"/>
    </row>
    <row r="84" ht="15" customHeight="1" s="30">
      <c r="B84" s="42" t="n"/>
      <c r="C84" s="43" t="n"/>
      <c r="D84" s="44" t="n"/>
      <c r="E84" s="45">
        <f>IF($B84="","",IF($C84="Money in",-$D84,$D84))</f>
        <v/>
      </c>
      <c r="F84" s="43" t="n"/>
    </row>
    <row r="85" ht="15" customHeight="1" s="30">
      <c r="B85" s="42" t="n"/>
      <c r="C85" s="43" t="n"/>
      <c r="D85" s="44" t="n"/>
      <c r="E85" s="45">
        <f>IF($B85="","",IF($C85="Money in",-$D85,$D85))</f>
        <v/>
      </c>
      <c r="F85" s="43" t="n"/>
    </row>
    <row r="86" ht="15" customHeight="1" s="30">
      <c r="B86" s="42" t="n"/>
      <c r="C86" s="43" t="n"/>
      <c r="D86" s="44" t="n"/>
      <c r="E86" s="45">
        <f>IF($B86="","",IF($C86="Money in",-$D86,$D86))</f>
        <v/>
      </c>
      <c r="F86" s="43" t="n"/>
    </row>
    <row r="87" ht="15" customHeight="1" s="30">
      <c r="B87" s="42" t="n"/>
      <c r="C87" s="43" t="n"/>
      <c r="D87" s="44" t="n"/>
      <c r="E87" s="45">
        <f>IF($B87="","",IF($C87="Money in",-$D87,$D87))</f>
        <v/>
      </c>
      <c r="F87" s="43" t="n"/>
    </row>
    <row r="88" ht="15" customHeight="1" s="30">
      <c r="B88" s="42" t="n"/>
      <c r="C88" s="43" t="n"/>
      <c r="D88" s="44" t="n"/>
      <c r="E88" s="45">
        <f>IF($B88="","",IF($C88="Money in",-$D88,$D88))</f>
        <v/>
      </c>
      <c r="F88" s="43" t="n"/>
    </row>
    <row r="89" ht="15" customHeight="1" s="30">
      <c r="B89" s="42" t="n"/>
      <c r="C89" s="43" t="n"/>
      <c r="D89" s="44" t="n"/>
      <c r="E89" s="45">
        <f>IF($B89="","",IF($C89="Money in",-$D89,$D89))</f>
        <v/>
      </c>
      <c r="F89" s="43" t="n"/>
    </row>
    <row r="90" ht="15" customHeight="1" s="30">
      <c r="B90" s="42" t="n"/>
      <c r="C90" s="43" t="n"/>
      <c r="D90" s="44" t="n"/>
      <c r="E90" s="45">
        <f>IF($B90="","",IF($C90="Money in",-$D90,$D90))</f>
        <v/>
      </c>
      <c r="F90" s="43" t="n"/>
    </row>
    <row r="91" ht="15" customHeight="1" s="30">
      <c r="B91" s="42" t="n"/>
      <c r="C91" s="43" t="n"/>
      <c r="D91" s="44" t="n"/>
      <c r="E91" s="45">
        <f>IF($B91="","",IF($C91="Money in",-$D91,$D91))</f>
        <v/>
      </c>
      <c r="F91" s="43" t="n"/>
    </row>
    <row r="92" ht="15" customHeight="1" s="30">
      <c r="B92" s="42" t="n"/>
      <c r="C92" s="43" t="n"/>
      <c r="D92" s="44" t="n"/>
      <c r="E92" s="45">
        <f>IF($B92="","",IF($C92="Money in",-$D92,$D92))</f>
        <v/>
      </c>
      <c r="F92" s="43" t="n"/>
    </row>
    <row r="93" ht="15" customHeight="1" s="30">
      <c r="B93" s="42" t="n"/>
      <c r="C93" s="43" t="n"/>
      <c r="D93" s="44" t="n"/>
      <c r="E93" s="45">
        <f>IF($B93="","",IF($C93="Money in",-$D93,$D93))</f>
        <v/>
      </c>
      <c r="F93" s="43" t="n"/>
    </row>
    <row r="94" ht="15" customHeight="1" s="30">
      <c r="B94" s="42" t="n"/>
      <c r="C94" s="43" t="n"/>
      <c r="D94" s="44" t="n"/>
      <c r="E94" s="45">
        <f>IF($B94="","",IF($C94="Money in",-$D94,$D94))</f>
        <v/>
      </c>
      <c r="F94" s="43" t="n"/>
    </row>
    <row r="95" ht="15" customHeight="1" s="30">
      <c r="B95" s="42" t="n"/>
      <c r="C95" s="43" t="n"/>
      <c r="D95" s="44" t="n"/>
      <c r="E95" s="45">
        <f>IF($B95="","",IF($C95="Money in",-$D95,$D95))</f>
        <v/>
      </c>
      <c r="F95" s="43" t="n"/>
    </row>
    <row r="96" ht="15" customHeight="1" s="30">
      <c r="B96" s="42" t="n"/>
      <c r="C96" s="43" t="n"/>
      <c r="D96" s="44" t="n"/>
      <c r="E96" s="45">
        <f>IF($B96="","",IF($C96="Money in",-$D96,$D96))</f>
        <v/>
      </c>
      <c r="F96" s="43" t="n"/>
    </row>
    <row r="97" ht="15" customHeight="1" s="30">
      <c r="B97" s="42" t="n"/>
      <c r="C97" s="43" t="n"/>
      <c r="D97" s="44" t="n"/>
      <c r="E97" s="45">
        <f>IF($B97="","",IF($C97="Money in",-$D97,$D97))</f>
        <v/>
      </c>
      <c r="F97" s="43" t="n"/>
    </row>
    <row r="98" ht="15" customHeight="1" s="30">
      <c r="B98" s="42" t="n"/>
      <c r="C98" s="43" t="n"/>
      <c r="D98" s="44" t="n"/>
      <c r="E98" s="45">
        <f>IF($B98="","",IF($C98="Money in",-$D98,$D98))</f>
        <v/>
      </c>
      <c r="F98" s="43" t="n"/>
    </row>
    <row r="99" ht="15" customHeight="1" s="30">
      <c r="B99" s="42" t="n"/>
      <c r="C99" s="43" t="n"/>
      <c r="D99" s="44" t="n"/>
      <c r="E99" s="45">
        <f>IF($B99="","",IF($C99="Money in",-$D99,$D99))</f>
        <v/>
      </c>
      <c r="F99" s="43" t="n"/>
    </row>
    <row r="100" ht="15" customHeight="1" s="30">
      <c r="B100" s="42" t="n"/>
      <c r="C100" s="43" t="n"/>
      <c r="D100" s="44" t="n"/>
      <c r="E100" s="45">
        <f>IF($B100="","",IF($C100="Money in",-$D100,$D100))</f>
        <v/>
      </c>
      <c r="F100" s="43" t="n"/>
    </row>
    <row r="101" ht="15" customHeight="1" s="30">
      <c r="B101" s="42" t="n"/>
      <c r="C101" s="43" t="n"/>
      <c r="D101" s="44" t="n"/>
      <c r="E101" s="45">
        <f>IF($B101="","",IF($C101="Money in",-$D101,$D101))</f>
        <v/>
      </c>
      <c r="F101" s="43" t="n"/>
    </row>
    <row r="102" ht="15" customHeight="1" s="30">
      <c r="B102" s="42" t="n"/>
      <c r="C102" s="43" t="n"/>
      <c r="D102" s="44" t="n"/>
      <c r="E102" s="45">
        <f>IF($B102="","",IF($C102="Money in",-$D102,$D102))</f>
        <v/>
      </c>
      <c r="F102" s="43" t="n"/>
    </row>
    <row r="103" ht="15" customHeight="1" s="30">
      <c r="B103" s="42" t="n"/>
      <c r="C103" s="43" t="n"/>
      <c r="D103" s="44" t="n"/>
      <c r="E103" s="45">
        <f>IF($B103="","",IF($C103="Money in",-$D103,$D103))</f>
        <v/>
      </c>
      <c r="F103" s="43" t="n"/>
    </row>
    <row r="104" ht="15" customHeight="1" s="30">
      <c r="B104" s="42" t="n"/>
      <c r="C104" s="43" t="n"/>
      <c r="D104" s="44" t="n"/>
      <c r="E104" s="45">
        <f>IF($B104="","",IF($C104="Money in",-$D104,$D104))</f>
        <v/>
      </c>
      <c r="F104" s="43" t="n"/>
    </row>
    <row r="105" ht="15" customHeight="1" s="30">
      <c r="B105" s="42" t="n"/>
      <c r="C105" s="43" t="n"/>
      <c r="D105" s="44" t="n"/>
      <c r="E105" s="45">
        <f>IF($B105="","",IF($C105="Money in",-$D105,$D105))</f>
        <v/>
      </c>
      <c r="F105" s="43" t="n"/>
    </row>
    <row r="106" ht="15" customHeight="1" s="30">
      <c r="B106" s="42" t="n"/>
      <c r="C106" s="43" t="n"/>
      <c r="D106" s="44" t="n"/>
      <c r="E106" s="45">
        <f>IF($B106="","",IF($C106="Money in",-$D106,$D106))</f>
        <v/>
      </c>
      <c r="F106" s="43" t="n"/>
    </row>
    <row r="107" ht="15" customHeight="1" s="30">
      <c r="B107" s="42" t="n"/>
      <c r="C107" s="43" t="n"/>
      <c r="D107" s="44" t="n"/>
      <c r="E107" s="45">
        <f>IF($B107="","",IF($C107="Money in",-$D107,$D107))</f>
        <v/>
      </c>
      <c r="F107" s="43" t="n"/>
    </row>
    <row r="108" ht="15" customHeight="1" s="30">
      <c r="B108" s="42" t="n"/>
      <c r="C108" s="43" t="n"/>
      <c r="D108" s="44" t="n"/>
      <c r="E108" s="45">
        <f>IF($B108="","",IF($C108="Money in",-$D108,$D108))</f>
        <v/>
      </c>
      <c r="F108" s="43" t="n"/>
    </row>
    <row r="109" ht="15" customHeight="1" s="30">
      <c r="B109" s="42" t="n"/>
      <c r="C109" s="43" t="n"/>
      <c r="D109" s="44" t="n"/>
      <c r="E109" s="45">
        <f>IF($B109="","",IF($C109="Money in",-$D109,$D109))</f>
        <v/>
      </c>
      <c r="F109" s="43" t="n"/>
    </row>
    <row r="110" ht="15" customHeight="1" s="30">
      <c r="B110" s="42" t="n"/>
      <c r="C110" s="43" t="n"/>
      <c r="D110" s="44" t="n"/>
      <c r="E110" s="45">
        <f>IF($B110="","",IF($C110="Money in",-$D110,$D110))</f>
        <v/>
      </c>
      <c r="F110" s="43" t="n"/>
    </row>
    <row r="111" ht="15" customHeight="1" s="30">
      <c r="B111" s="42" t="n"/>
      <c r="C111" s="43" t="n"/>
      <c r="D111" s="44" t="n"/>
      <c r="E111" s="45">
        <f>IF($B111="","",IF($C111="Money in",-$D111,$D111))</f>
        <v/>
      </c>
      <c r="F111" s="43" t="n"/>
    </row>
    <row r="112" ht="15" customHeight="1" s="30">
      <c r="B112" s="42" t="n"/>
      <c r="C112" s="43" t="n"/>
      <c r="D112" s="44" t="n"/>
      <c r="E112" s="45">
        <f>IF($B112="","",IF($C112="Money in",-$D112,$D112))</f>
        <v/>
      </c>
      <c r="F112" s="43" t="n"/>
    </row>
    <row r="113" ht="15" customHeight="1" s="30">
      <c r="B113" s="42" t="n"/>
      <c r="C113" s="43" t="n"/>
      <c r="D113" s="44" t="n"/>
      <c r="E113" s="45">
        <f>IF($B113="","",IF($C113="Money in",-$D113,$D113))</f>
        <v/>
      </c>
      <c r="F113" s="43" t="n"/>
    </row>
    <row r="114" ht="15" customHeight="1" s="30">
      <c r="B114" s="42" t="n"/>
      <c r="C114" s="43" t="n"/>
      <c r="D114" s="44" t="n"/>
      <c r="E114" s="45">
        <f>IF($B114="","",IF($C114="Money in",-$D114,$D114))</f>
        <v/>
      </c>
      <c r="F114" s="43" t="n"/>
    </row>
    <row r="115" ht="15" customHeight="1" s="30">
      <c r="B115" s="42" t="n"/>
      <c r="C115" s="43" t="n"/>
      <c r="D115" s="44" t="n"/>
      <c r="E115" s="45">
        <f>IF($B115="","",IF($C115="Money in",-$D115,$D115))</f>
        <v/>
      </c>
      <c r="F115" s="43" t="n"/>
    </row>
    <row r="116" ht="15" customHeight="1" s="30">
      <c r="B116" s="42" t="n"/>
      <c r="C116" s="43" t="n"/>
      <c r="D116" s="44" t="n"/>
      <c r="E116" s="45">
        <f>IF($B116="","",IF($C116="Money in",-$D116,$D116))</f>
        <v/>
      </c>
      <c r="F116" s="43" t="n"/>
    </row>
    <row r="117" ht="15" customHeight="1" s="30">
      <c r="B117" s="42" t="n"/>
      <c r="C117" s="43" t="n"/>
      <c r="D117" s="44" t="n"/>
      <c r="E117" s="45">
        <f>IF($B117="","",IF($C117="Money in",-$D117,$D117))</f>
        <v/>
      </c>
      <c r="F117" s="43" t="n"/>
    </row>
    <row r="118" ht="15" customHeight="1" s="30">
      <c r="B118" s="42" t="n"/>
      <c r="C118" s="43" t="n"/>
      <c r="D118" s="44" t="n"/>
      <c r="E118" s="45">
        <f>IF($B118="","",IF($C118="Money in",-$D118,$D118))</f>
        <v/>
      </c>
      <c r="F118" s="43" t="n"/>
    </row>
    <row r="119" ht="15" customHeight="1" s="30">
      <c r="B119" s="42" t="n"/>
      <c r="C119" s="43" t="n"/>
      <c r="D119" s="44" t="n"/>
      <c r="E119" s="45">
        <f>IF($B119="","",IF($C119="Money in",-$D119,$D119))</f>
        <v/>
      </c>
      <c r="F119" s="43" t="n"/>
    </row>
    <row r="120" ht="15" customHeight="1" s="30">
      <c r="B120" s="42" t="n"/>
      <c r="C120" s="43" t="n"/>
      <c r="D120" s="44" t="n"/>
      <c r="E120" s="45">
        <f>IF($B120="","",IF($C120="Money in",-$D120,$D120))</f>
        <v/>
      </c>
      <c r="F120" s="43" t="n"/>
    </row>
    <row r="121" ht="15" customHeight="1" s="30">
      <c r="B121" s="42" t="n"/>
      <c r="C121" s="43" t="n"/>
      <c r="D121" s="44" t="n"/>
      <c r="E121" s="45">
        <f>IF($B121="","",IF($C121="Money in",-$D121,$D121))</f>
        <v/>
      </c>
      <c r="F121" s="43" t="n"/>
    </row>
    <row r="122" ht="15" customHeight="1" s="30">
      <c r="B122" s="42" t="n"/>
      <c r="C122" s="43" t="n"/>
      <c r="D122" s="44" t="n"/>
      <c r="E122" s="45">
        <f>IF($B122="","",IF($C122="Money in",-$D122,$D122))</f>
        <v/>
      </c>
      <c r="F122" s="43" t="n"/>
    </row>
    <row r="123" ht="15" customHeight="1" s="30">
      <c r="B123" s="42" t="n"/>
      <c r="C123" s="43" t="n"/>
      <c r="D123" s="44" t="n"/>
      <c r="E123" s="45">
        <f>IF($B123="","",IF($C123="Money in",-$D123,$D123))</f>
        <v/>
      </c>
      <c r="F123" s="43" t="n"/>
    </row>
    <row r="124" ht="15" customHeight="1" s="30">
      <c r="B124" s="42" t="n"/>
      <c r="C124" s="43" t="n"/>
      <c r="D124" s="44" t="n"/>
      <c r="E124" s="45">
        <f>IF($B124="","",IF($C124="Money in",-$D124,$D124))</f>
        <v/>
      </c>
      <c r="F124" s="43" t="n"/>
    </row>
    <row r="125" ht="15" customHeight="1" s="30">
      <c r="B125" s="42" t="n"/>
      <c r="C125" s="43" t="n"/>
      <c r="D125" s="44" t="n"/>
      <c r="E125" s="45">
        <f>IF($B125="","",IF($C125="Money in",-$D125,$D125))</f>
        <v/>
      </c>
      <c r="F125" s="43" t="n"/>
    </row>
    <row r="126" ht="15" customHeight="1" s="30">
      <c r="B126" s="42" t="n"/>
      <c r="C126" s="43" t="n"/>
      <c r="D126" s="44" t="n"/>
      <c r="E126" s="45">
        <f>IF($B126="","",IF($C126="Money in",-$D126,$D126))</f>
        <v/>
      </c>
      <c r="F126" s="43" t="n"/>
    </row>
    <row r="127" ht="15" customHeight="1" s="30">
      <c r="B127" s="42" t="n"/>
      <c r="C127" s="43" t="n"/>
      <c r="D127" s="44" t="n"/>
      <c r="E127" s="45">
        <f>IF($B127="","",IF($C127="Money in",-$D127,$D127))</f>
        <v/>
      </c>
      <c r="F127" s="43" t="n"/>
    </row>
    <row r="128" ht="15" customHeight="1" s="30">
      <c r="B128" s="42" t="n"/>
      <c r="C128" s="43" t="n"/>
      <c r="D128" s="44" t="n"/>
      <c r="E128" s="45">
        <f>IF($B128="","",IF($C128="Money in",-$D128,$D128))</f>
        <v/>
      </c>
      <c r="F128" s="43" t="n"/>
    </row>
    <row r="129" ht="15" customHeight="1" s="30">
      <c r="B129" s="42" t="n"/>
      <c r="C129" s="43" t="n"/>
      <c r="D129" s="44" t="n"/>
      <c r="E129" s="45">
        <f>IF($B129="","",IF($C129="Money in",-$D129,$D129))</f>
        <v/>
      </c>
      <c r="F129" s="43" t="n"/>
    </row>
    <row r="130" ht="15" customHeight="1" s="30">
      <c r="B130" s="42" t="n"/>
      <c r="C130" s="43" t="n"/>
      <c r="D130" s="44" t="n"/>
      <c r="E130" s="45">
        <f>IF($B130="","",IF($C130="Money in",-$D130,$D130))</f>
        <v/>
      </c>
      <c r="F130" s="43" t="n"/>
    </row>
    <row r="131" ht="15" customHeight="1" s="30">
      <c r="B131" s="42" t="n"/>
      <c r="C131" s="43" t="n"/>
      <c r="D131" s="44" t="n"/>
      <c r="E131" s="45">
        <f>IF($B131="","",IF($C131="Money in",-$D131,$D131))</f>
        <v/>
      </c>
      <c r="F131" s="43" t="n"/>
    </row>
    <row r="132" ht="15" customHeight="1" s="30">
      <c r="B132" s="42" t="n"/>
      <c r="C132" s="43" t="n"/>
      <c r="D132" s="44" t="n"/>
      <c r="E132" s="45">
        <f>IF($B132="","",IF($C132="Money in",-$D132,$D132))</f>
        <v/>
      </c>
      <c r="F132" s="43" t="n"/>
    </row>
    <row r="133" ht="15" customHeight="1" s="30">
      <c r="B133" s="42" t="n"/>
      <c r="C133" s="43" t="n"/>
      <c r="D133" s="44" t="n"/>
      <c r="E133" s="45">
        <f>IF($B133="","",IF($C133="Money in",-$D133,$D133))</f>
        <v/>
      </c>
      <c r="F133" s="43" t="n"/>
    </row>
    <row r="134" ht="15" customHeight="1" s="30">
      <c r="B134" s="42" t="n"/>
      <c r="C134" s="43" t="n"/>
      <c r="D134" s="44" t="n"/>
      <c r="E134" s="45">
        <f>IF($B134="","",IF($C134="Money in",-$D134,$D134))</f>
        <v/>
      </c>
      <c r="F134" s="43" t="n"/>
    </row>
    <row r="135" ht="15" customHeight="1" s="30">
      <c r="B135" s="42" t="n"/>
      <c r="C135" s="43" t="n"/>
      <c r="D135" s="44" t="n"/>
      <c r="E135" s="45">
        <f>IF($B135="","",IF($C135="Money in",-$D135,$D135))</f>
        <v/>
      </c>
      <c r="F135" s="43" t="n"/>
    </row>
    <row r="136" ht="15" customHeight="1" s="30">
      <c r="B136" s="42" t="n"/>
      <c r="C136" s="43" t="n"/>
      <c r="D136" s="44" t="n"/>
      <c r="E136" s="45">
        <f>IF($B136="","",IF($C136="Money in",-$D136,$D136))</f>
        <v/>
      </c>
      <c r="F136" s="43" t="n"/>
    </row>
    <row r="137" ht="15" customHeight="1" s="30">
      <c r="B137" s="42" t="n"/>
      <c r="C137" s="43" t="n"/>
      <c r="D137" s="44" t="n"/>
      <c r="E137" s="45">
        <f>IF($B137="","",IF($C137="Money in",-$D137,$D137))</f>
        <v/>
      </c>
      <c r="F137" s="43" t="n"/>
    </row>
    <row r="138" ht="15" customHeight="1" s="30">
      <c r="B138" s="42" t="n"/>
      <c r="C138" s="43" t="n"/>
      <c r="D138" s="44" t="n"/>
      <c r="E138" s="45">
        <f>IF($B138="","",IF($C138="Money in",-$D138,$D138))</f>
        <v/>
      </c>
      <c r="F138" s="43" t="n"/>
    </row>
    <row r="139" ht="15" customHeight="1" s="30">
      <c r="B139" s="42" t="n"/>
      <c r="C139" s="43" t="n"/>
      <c r="D139" s="44" t="n"/>
      <c r="E139" s="45">
        <f>IF($B139="","",IF($C139="Money in",-$D139,$D139))</f>
        <v/>
      </c>
      <c r="F139" s="43" t="n"/>
    </row>
    <row r="140" ht="15" customHeight="1" s="30">
      <c r="B140" s="42" t="n"/>
      <c r="C140" s="43" t="n"/>
      <c r="D140" s="44" t="n"/>
      <c r="E140" s="45">
        <f>IF($B140="","",IF($C140="Money in",-$D140,$D140))</f>
        <v/>
      </c>
      <c r="F140" s="43" t="n"/>
    </row>
    <row r="141" ht="15" customHeight="1" s="30">
      <c r="B141" s="42" t="n"/>
      <c r="C141" s="43" t="n"/>
      <c r="D141" s="44" t="n"/>
      <c r="E141" s="45">
        <f>IF($B141="","",IF($C141="Money in",-$D141,$D141))</f>
        <v/>
      </c>
      <c r="F141" s="43" t="n"/>
    </row>
    <row r="142" ht="15" customHeight="1" s="30">
      <c r="B142" s="42" t="n"/>
      <c r="C142" s="43" t="n"/>
      <c r="D142" s="44" t="n"/>
      <c r="E142" s="45">
        <f>IF($B142="","",IF($C142="Money in",-$D142,$D142))</f>
        <v/>
      </c>
      <c r="F142" s="43" t="n"/>
    </row>
    <row r="143" ht="15" customHeight="1" s="30">
      <c r="B143" s="42" t="n"/>
      <c r="C143" s="43" t="n"/>
      <c r="D143" s="44" t="n"/>
      <c r="E143" s="45">
        <f>IF($B143="","",IF($C143="Money in",-$D143,$D143))</f>
        <v/>
      </c>
      <c r="F143" s="43" t="n"/>
    </row>
    <row r="144" ht="15" customHeight="1" s="30">
      <c r="B144" s="42" t="n"/>
      <c r="C144" s="43" t="n"/>
      <c r="D144" s="44" t="n"/>
      <c r="E144" s="45">
        <f>IF($B144="","",IF($C144="Money in",-$D144,$D144))</f>
        <v/>
      </c>
      <c r="F144" s="43" t="n"/>
    </row>
    <row r="145" ht="15" customHeight="1" s="30">
      <c r="B145" s="42" t="n"/>
      <c r="C145" s="43" t="n"/>
      <c r="D145" s="44" t="n"/>
      <c r="E145" s="45">
        <f>IF($B145="","",IF($C145="Money in",-$D145,$D145))</f>
        <v/>
      </c>
      <c r="F145" s="43" t="n"/>
    </row>
    <row r="146" ht="15" customHeight="1" s="30">
      <c r="B146" s="42" t="n"/>
      <c r="C146" s="43" t="n"/>
      <c r="D146" s="44" t="n"/>
      <c r="E146" s="45">
        <f>IF($B146="","",IF($C146="Money in",-$D146,$D146))</f>
        <v/>
      </c>
      <c r="F146" s="43" t="n"/>
    </row>
    <row r="147" ht="15" customHeight="1" s="30">
      <c r="B147" s="42" t="n"/>
      <c r="C147" s="43" t="n"/>
      <c r="D147" s="44" t="n"/>
      <c r="E147" s="45">
        <f>IF($B147="","",IF($C147="Money in",-$D147,$D147))</f>
        <v/>
      </c>
      <c r="F147" s="43" t="n"/>
    </row>
    <row r="148" ht="15" customHeight="1" s="30">
      <c r="B148" s="42" t="n"/>
      <c r="C148" s="43" t="n"/>
      <c r="D148" s="44" t="n"/>
      <c r="E148" s="45">
        <f>IF($B148="","",IF($C148="Money in",-$D148,$D148))</f>
        <v/>
      </c>
      <c r="F148" s="43" t="n"/>
    </row>
    <row r="149" ht="15" customHeight="1" s="30">
      <c r="B149" s="42" t="n"/>
      <c r="C149" s="43" t="n"/>
      <c r="D149" s="44" t="n"/>
      <c r="E149" s="45">
        <f>IF($B149="","",IF($C149="Money in",-$D149,$D149))</f>
        <v/>
      </c>
      <c r="F149" s="43" t="n"/>
    </row>
    <row r="150" ht="15" customHeight="1" s="30">
      <c r="B150" s="42" t="n"/>
      <c r="C150" s="43" t="n"/>
      <c r="D150" s="44" t="n"/>
      <c r="E150" s="45">
        <f>IF($B150="","",IF($C150="Money in",-$D150,$D150))</f>
        <v/>
      </c>
      <c r="F150" s="43" t="n"/>
    </row>
    <row r="151" ht="15" customHeight="1" s="30">
      <c r="B151" s="42" t="n"/>
      <c r="C151" s="43" t="n"/>
      <c r="D151" s="44" t="n"/>
      <c r="E151" s="45">
        <f>IF($B151="","",IF($C151="Money in",-$D151,$D151))</f>
        <v/>
      </c>
      <c r="F151" s="43" t="n"/>
    </row>
    <row r="152" ht="15" customHeight="1" s="30">
      <c r="B152" s="42" t="n"/>
      <c r="C152" s="43" t="n"/>
      <c r="D152" s="44" t="n"/>
      <c r="E152" s="45">
        <f>IF($B152="","",IF($C152="Money in",-$D152,$D152))</f>
        <v/>
      </c>
      <c r="F152" s="43" t="n"/>
    </row>
    <row r="153" ht="15" customHeight="1" s="30">
      <c r="B153" s="42" t="n"/>
      <c r="C153" s="43" t="n"/>
      <c r="D153" s="44" t="n"/>
      <c r="E153" s="45">
        <f>IF($B153="","",IF($C153="Money in",-$D153,$D153))</f>
        <v/>
      </c>
      <c r="F153" s="43" t="n"/>
    </row>
    <row r="154" ht="15" customHeight="1" s="30">
      <c r="B154" s="42" t="n"/>
      <c r="C154" s="43" t="n"/>
      <c r="D154" s="44" t="n"/>
      <c r="E154" s="45">
        <f>IF($B154="","",IF($C154="Money in",-$D154,$D154))</f>
        <v/>
      </c>
      <c r="F154" s="43" t="n"/>
    </row>
    <row r="155" ht="15" customHeight="1" s="30">
      <c r="B155" s="42" t="n"/>
      <c r="C155" s="43" t="n"/>
      <c r="D155" s="44" t="n"/>
      <c r="E155" s="45">
        <f>IF($B155="","",IF($C155="Money in",-$D155,$D155))</f>
        <v/>
      </c>
      <c r="F155" s="43" t="n"/>
    </row>
    <row r="156" ht="15" customHeight="1" s="30">
      <c r="B156" s="42" t="n"/>
      <c r="C156" s="43" t="n"/>
      <c r="D156" s="44" t="n"/>
      <c r="E156" s="45">
        <f>IF($B156="","",IF($C156="Money in",-$D156,$D156))</f>
        <v/>
      </c>
      <c r="F156" s="43" t="n"/>
    </row>
    <row r="157" ht="15" customHeight="1" s="30">
      <c r="B157" s="42" t="n"/>
      <c r="C157" s="43" t="n"/>
      <c r="D157" s="44" t="n"/>
      <c r="E157" s="45">
        <f>IF($B157="","",IF($C157="Money in",-$D157,$D157))</f>
        <v/>
      </c>
      <c r="F157" s="43" t="n"/>
    </row>
    <row r="158" ht="15" customHeight="1" s="30">
      <c r="B158" s="42" t="n"/>
      <c r="C158" s="43" t="n"/>
      <c r="D158" s="44" t="n"/>
      <c r="E158" s="45">
        <f>IF($B158="","",IF($C158="Money in",-$D158,$D158))</f>
        <v/>
      </c>
      <c r="F158" s="43" t="n"/>
    </row>
    <row r="159" ht="15" customHeight="1" s="30">
      <c r="B159" s="42" t="n"/>
      <c r="C159" s="43" t="n"/>
      <c r="D159" s="44" t="n"/>
      <c r="E159" s="45">
        <f>IF($B159="","",IF($C159="Money in",-$D159,$D159))</f>
        <v/>
      </c>
      <c r="F159" s="43" t="n"/>
    </row>
    <row r="160" ht="15" customHeight="1" s="30">
      <c r="B160" s="42" t="n"/>
      <c r="C160" s="43" t="n"/>
      <c r="D160" s="44" t="n"/>
      <c r="E160" s="45">
        <f>IF($B160="","",IF($C160="Money in",-$D160,$D160))</f>
        <v/>
      </c>
      <c r="F160" s="43" t="n"/>
    </row>
    <row r="161" ht="15" customHeight="1" s="30">
      <c r="B161" s="42" t="n"/>
      <c r="C161" s="43" t="n"/>
      <c r="D161" s="44" t="n"/>
      <c r="E161" s="45">
        <f>IF($B161="","",IF($C161="Money in",-$D161,$D161))</f>
        <v/>
      </c>
      <c r="F161" s="43" t="n"/>
    </row>
    <row r="162" ht="15" customHeight="1" s="30">
      <c r="B162" s="42" t="n"/>
      <c r="C162" s="43" t="n"/>
      <c r="D162" s="44" t="n"/>
      <c r="E162" s="45">
        <f>IF($B162="","",IF($C162="Money in",-$D162,$D162))</f>
        <v/>
      </c>
      <c r="F162" s="43" t="n"/>
    </row>
    <row r="163" ht="15" customHeight="1" s="30">
      <c r="B163" s="42" t="n"/>
      <c r="C163" s="43" t="n"/>
      <c r="D163" s="44" t="n"/>
      <c r="E163" s="45">
        <f>IF($B163="","",IF($C163="Money in",-$D163,$D163))</f>
        <v/>
      </c>
      <c r="F163" s="43" t="n"/>
    </row>
    <row r="164" ht="15" customHeight="1" s="30">
      <c r="B164" s="42" t="n"/>
      <c r="C164" s="43" t="n"/>
      <c r="D164" s="44" t="n"/>
      <c r="E164" s="45">
        <f>IF($B164="","",IF($C164="Money in",-$D164,$D164))</f>
        <v/>
      </c>
      <c r="F164" s="43" t="n"/>
    </row>
    <row r="165" ht="15" customHeight="1" s="30">
      <c r="B165" s="42" t="n"/>
      <c r="C165" s="43" t="n"/>
      <c r="D165" s="44" t="n"/>
      <c r="E165" s="45">
        <f>IF($B165="","",IF($C165="Money in",-$D165,$D165))</f>
        <v/>
      </c>
      <c r="F165" s="43" t="n"/>
    </row>
    <row r="166" ht="15" customHeight="1" s="30">
      <c r="B166" s="42" t="n"/>
      <c r="C166" s="43" t="n"/>
      <c r="D166" s="44" t="n"/>
      <c r="E166" s="45">
        <f>IF($B166="","",IF($C166="Money in",-$D166,$D166))</f>
        <v/>
      </c>
      <c r="F166" s="43" t="n"/>
    </row>
    <row r="167" ht="15" customHeight="1" s="30">
      <c r="B167" s="42" t="n"/>
      <c r="C167" s="43" t="n"/>
      <c r="D167" s="44" t="n"/>
      <c r="E167" s="45">
        <f>IF($B167="","",IF($C167="Money in",-$D167,$D167))</f>
        <v/>
      </c>
      <c r="F167" s="43" t="n"/>
    </row>
    <row r="168" ht="15" customHeight="1" s="30">
      <c r="B168" s="42" t="n"/>
      <c r="C168" s="43" t="n"/>
      <c r="D168" s="44" t="n"/>
      <c r="E168" s="45">
        <f>IF($B168="","",IF($C168="Money in",-$D168,$D168))</f>
        <v/>
      </c>
      <c r="F168" s="43" t="n"/>
    </row>
    <row r="169" ht="15" customHeight="1" s="30">
      <c r="B169" s="42" t="n"/>
      <c r="C169" s="43" t="n"/>
      <c r="D169" s="44" t="n"/>
      <c r="E169" s="45">
        <f>IF($B169="","",IF($C169="Money in",-$D169,$D169))</f>
        <v/>
      </c>
      <c r="F169" s="43" t="n"/>
    </row>
    <row r="170" ht="15" customHeight="1" s="30">
      <c r="B170" s="42" t="n"/>
      <c r="C170" s="43" t="n"/>
      <c r="D170" s="44" t="n"/>
      <c r="E170" s="45">
        <f>IF($B170="","",IF($C170="Money in",-$D170,$D170))</f>
        <v/>
      </c>
      <c r="F170" s="43" t="n"/>
    </row>
    <row r="171" ht="15" customHeight="1" s="30">
      <c r="B171" s="42" t="n"/>
      <c r="C171" s="43" t="n"/>
      <c r="D171" s="44" t="n"/>
      <c r="E171" s="45">
        <f>IF($B171="","",IF($C171="Money in",-$D171,$D171))</f>
        <v/>
      </c>
      <c r="F171" s="43" t="n"/>
    </row>
    <row r="172" ht="15" customHeight="1" s="30">
      <c r="B172" s="42" t="n"/>
      <c r="C172" s="43" t="n"/>
      <c r="D172" s="44" t="n"/>
      <c r="E172" s="45">
        <f>IF($B172="","",IF($C172="Money in",-$D172,$D172))</f>
        <v/>
      </c>
      <c r="F172" s="43" t="n"/>
    </row>
    <row r="173" ht="15" customHeight="1" s="30">
      <c r="B173" s="42" t="n"/>
      <c r="C173" s="43" t="n"/>
      <c r="D173" s="44" t="n"/>
      <c r="E173" s="45">
        <f>IF($B173="","",IF($C173="Money in",-$D173,$D173))</f>
        <v/>
      </c>
      <c r="F173" s="43" t="n"/>
    </row>
    <row r="174" ht="15" customHeight="1" s="30">
      <c r="B174" s="42" t="n"/>
      <c r="C174" s="43" t="n"/>
      <c r="D174" s="44" t="n"/>
      <c r="E174" s="45">
        <f>IF($B174="","",IF($C174="Money in",-$D174,$D174))</f>
        <v/>
      </c>
      <c r="F174" s="43" t="n"/>
    </row>
    <row r="175" ht="15" customHeight="1" s="30">
      <c r="B175" s="42" t="n"/>
      <c r="C175" s="43" t="n"/>
      <c r="D175" s="44" t="n"/>
      <c r="E175" s="45">
        <f>IF($B175="","",IF($C175="Money in",-$D175,$D175))</f>
        <v/>
      </c>
      <c r="F175" s="43" t="n"/>
    </row>
    <row r="176" ht="15" customHeight="1" s="30">
      <c r="B176" s="42" t="n"/>
      <c r="C176" s="43" t="n"/>
      <c r="D176" s="44" t="n"/>
      <c r="E176" s="45">
        <f>IF($B176="","",IF($C176="Money in",-$D176,$D176))</f>
        <v/>
      </c>
      <c r="F176" s="43" t="n"/>
    </row>
    <row r="177" ht="15" customHeight="1" s="30">
      <c r="B177" s="42" t="n"/>
      <c r="C177" s="43" t="n"/>
      <c r="D177" s="44" t="n"/>
      <c r="E177" s="45">
        <f>IF($B177="","",IF($C177="Money in",-$D177,$D177))</f>
        <v/>
      </c>
      <c r="F177" s="43" t="n"/>
    </row>
    <row r="178" ht="15" customHeight="1" s="30">
      <c r="B178" s="42" t="n"/>
      <c r="C178" s="43" t="n"/>
      <c r="D178" s="44" t="n"/>
      <c r="E178" s="45">
        <f>IF($B178="","",IF($C178="Money in",-$D178,$D178))</f>
        <v/>
      </c>
      <c r="F178" s="43" t="n"/>
    </row>
    <row r="179" ht="15" customHeight="1" s="30">
      <c r="B179" s="42" t="n"/>
      <c r="C179" s="43" t="n"/>
      <c r="D179" s="44" t="n"/>
      <c r="E179" s="45">
        <f>IF($B179="","",IF($C179="Money in",-$D179,$D179))</f>
        <v/>
      </c>
      <c r="F179" s="43" t="n"/>
    </row>
    <row r="180" ht="15" customHeight="1" s="30">
      <c r="B180" s="42" t="n"/>
      <c r="C180" s="43" t="n"/>
      <c r="D180" s="44" t="n"/>
      <c r="E180" s="45">
        <f>IF($B180="","",IF($C180="Money in",-$D180,$D180))</f>
        <v/>
      </c>
      <c r="F180" s="43" t="n"/>
    </row>
    <row r="181" ht="15" customHeight="1" s="30">
      <c r="B181" s="42" t="n"/>
      <c r="C181" s="43" t="n"/>
      <c r="D181" s="44" t="n"/>
      <c r="E181" s="45">
        <f>IF($B181="","",IF($C181="Money in",-$D181,$D181))</f>
        <v/>
      </c>
      <c r="F181" s="43" t="n"/>
    </row>
    <row r="182" ht="15" customHeight="1" s="30">
      <c r="B182" s="42" t="n"/>
      <c r="C182" s="43" t="n"/>
      <c r="D182" s="44" t="n"/>
      <c r="E182" s="45">
        <f>IF($B182="","",IF($C182="Money in",-$D182,$D182))</f>
        <v/>
      </c>
      <c r="F182" s="43" t="n"/>
    </row>
    <row r="183" ht="15" customHeight="1" s="30">
      <c r="B183" s="42" t="n"/>
      <c r="C183" s="43" t="n"/>
      <c r="D183" s="44" t="n"/>
      <c r="E183" s="45">
        <f>IF($B183="","",IF($C183="Money in",-$D183,$D183))</f>
        <v/>
      </c>
      <c r="F183" s="43" t="n"/>
    </row>
    <row r="184" ht="15" customHeight="1" s="30">
      <c r="B184" s="42" t="n"/>
      <c r="C184" s="43" t="n"/>
      <c r="D184" s="44" t="n"/>
      <c r="E184" s="45">
        <f>IF($B184="","",IF($C184="Money in",-$D184,$D184))</f>
        <v/>
      </c>
      <c r="F184" s="43" t="n"/>
    </row>
    <row r="185" ht="15" customHeight="1" s="30">
      <c r="B185" s="42" t="n"/>
      <c r="C185" s="43" t="n"/>
      <c r="D185" s="44" t="n"/>
      <c r="E185" s="45">
        <f>IF($B185="","",IF($C185="Money in",-$D185,$D185))</f>
        <v/>
      </c>
      <c r="F185" s="43" t="n"/>
    </row>
    <row r="186" ht="15" customHeight="1" s="30">
      <c r="B186" s="42" t="n"/>
      <c r="C186" s="43" t="n"/>
      <c r="D186" s="44" t="n"/>
      <c r="E186" s="45">
        <f>IF($B186="","",IF($C186="Money in",-$D186,$D186))</f>
        <v/>
      </c>
      <c r="F186" s="43" t="n"/>
    </row>
    <row r="187" ht="15" customHeight="1" s="30">
      <c r="B187" s="42" t="n"/>
      <c r="C187" s="43" t="n"/>
      <c r="D187" s="44" t="n"/>
      <c r="E187" s="45">
        <f>IF($B187="","",IF($C187="Money in",-$D187,$D187))</f>
        <v/>
      </c>
      <c r="F187" s="43" t="n"/>
    </row>
    <row r="188" ht="15" customHeight="1" s="30">
      <c r="B188" s="42" t="n"/>
      <c r="C188" s="43" t="n"/>
      <c r="D188" s="44" t="n"/>
      <c r="E188" s="45">
        <f>IF($B188="","",IF($C188="Money in",-$D188,$D188))</f>
        <v/>
      </c>
      <c r="F188" s="43" t="n"/>
    </row>
    <row r="189" ht="15" customHeight="1" s="30">
      <c r="B189" s="42" t="n"/>
      <c r="C189" s="43" t="n"/>
      <c r="D189" s="44" t="n"/>
      <c r="E189" s="45">
        <f>IF($B189="","",IF($C189="Money in",-$D189,$D189))</f>
        <v/>
      </c>
      <c r="F189" s="43" t="n"/>
    </row>
    <row r="190" ht="15" customHeight="1" s="30">
      <c r="B190" s="42" t="n"/>
      <c r="C190" s="43" t="n"/>
      <c r="D190" s="44" t="n"/>
      <c r="E190" s="45">
        <f>IF($B190="","",IF($C190="Money in",-$D190,$D190))</f>
        <v/>
      </c>
      <c r="F190" s="43" t="n"/>
    </row>
    <row r="191" ht="15" customHeight="1" s="30">
      <c r="B191" s="42" t="n"/>
      <c r="C191" s="43" t="n"/>
      <c r="D191" s="44" t="n"/>
      <c r="E191" s="45">
        <f>IF($B191="","",IF($C191="Money in",-$D191,$D191))</f>
        <v/>
      </c>
      <c r="F191" s="43" t="n"/>
    </row>
    <row r="192" ht="15" customHeight="1" s="30">
      <c r="B192" s="42" t="n"/>
      <c r="C192" s="43" t="n"/>
      <c r="D192" s="44" t="n"/>
      <c r="E192" s="45">
        <f>IF($B192="","",IF($C192="Money in",-$D192,$D192))</f>
        <v/>
      </c>
      <c r="F192" s="43" t="n"/>
    </row>
    <row r="193" ht="15" customHeight="1" s="30">
      <c r="B193" s="42" t="n"/>
      <c r="C193" s="43" t="n"/>
      <c r="D193" s="44" t="n"/>
      <c r="E193" s="45">
        <f>IF($B193="","",IF($C193="Money in",-$D193,$D193))</f>
        <v/>
      </c>
      <c r="F193" s="43" t="n"/>
    </row>
    <row r="194" ht="15" customHeight="1" s="30">
      <c r="B194" s="42" t="n"/>
      <c r="C194" s="43" t="n"/>
      <c r="D194" s="44" t="n"/>
      <c r="E194" s="45">
        <f>IF($B194="","",IF($C194="Money in",-$D194,$D194))</f>
        <v/>
      </c>
      <c r="F194" s="43" t="n"/>
    </row>
    <row r="195" ht="15" customHeight="1" s="30">
      <c r="B195" s="42" t="n"/>
      <c r="C195" s="43" t="n"/>
      <c r="D195" s="44" t="n"/>
      <c r="E195" s="45">
        <f>IF($B195="","",IF($C195="Money in",-$D195,$D195))</f>
        <v/>
      </c>
      <c r="F195" s="43" t="n"/>
    </row>
    <row r="196" ht="15" customHeight="1" s="30">
      <c r="B196" s="42" t="n"/>
      <c r="C196" s="43" t="n"/>
      <c r="D196" s="44" t="n"/>
      <c r="E196" s="45">
        <f>IF($B196="","",IF($C196="Money in",-$D196,$D196))</f>
        <v/>
      </c>
      <c r="F196" s="43" t="n"/>
    </row>
    <row r="197" ht="15" customHeight="1" s="30">
      <c r="B197" s="42" t="n"/>
      <c r="C197" s="43" t="n"/>
      <c r="D197" s="44" t="n"/>
      <c r="E197" s="45">
        <f>IF($B197="","",IF($C197="Money in",-$D197,$D197))</f>
        <v/>
      </c>
      <c r="F197" s="43" t="n"/>
    </row>
    <row r="198" ht="15" customHeight="1" s="30">
      <c r="B198" s="42" t="n"/>
      <c r="C198" s="43" t="n"/>
      <c r="D198" s="44" t="n"/>
      <c r="E198" s="45">
        <f>IF($B198="","",IF($C198="Money in",-$D198,$D198))</f>
        <v/>
      </c>
      <c r="F198" s="43" t="n"/>
    </row>
    <row r="199" ht="15" customHeight="1" s="30">
      <c r="B199" s="42" t="n"/>
      <c r="C199" s="43" t="n"/>
      <c r="D199" s="44" t="n"/>
      <c r="E199" s="45">
        <f>IF($B199="","",IF($C199="Money in",-$D199,$D199))</f>
        <v/>
      </c>
      <c r="F199" s="43" t="n"/>
    </row>
    <row r="200" ht="15" customHeight="1" s="30">
      <c r="B200" s="42" t="n"/>
      <c r="C200" s="43" t="n"/>
      <c r="D200" s="44" t="n"/>
      <c r="E200" s="45">
        <f>IF($B200="","",IF($C200="Money in",-$D200,$D200))</f>
        <v/>
      </c>
      <c r="F200" s="43" t="n"/>
    </row>
    <row r="201" ht="15" customHeight="1" s="30">
      <c r="B201" s="42" t="n"/>
      <c r="C201" s="43" t="n"/>
      <c r="D201" s="44" t="n"/>
      <c r="E201" s="45">
        <f>IF($B201="","",IF($C201="Money in",-$D201,$D201))</f>
        <v/>
      </c>
      <c r="F201" s="43" t="n"/>
    </row>
    <row r="202" ht="15" customHeight="1" s="30">
      <c r="B202" s="42" t="n"/>
      <c r="C202" s="43" t="n"/>
      <c r="D202" s="44" t="n"/>
      <c r="E202" s="45">
        <f>IF($B202="","",IF($C202="Money in",-$D202,$D202))</f>
        <v/>
      </c>
      <c r="F202" s="43" t="n"/>
    </row>
    <row r="203" ht="15" customHeight="1" s="30">
      <c r="B203" s="42" t="n"/>
      <c r="C203" s="43" t="n"/>
      <c r="D203" s="44" t="n"/>
      <c r="E203" s="45">
        <f>IF($B203="","",IF($C203="Money in",-$D203,$D203))</f>
        <v/>
      </c>
      <c r="F203" s="43" t="n"/>
    </row>
    <row r="204" ht="15" customHeight="1" s="30">
      <c r="B204" s="42" t="n"/>
      <c r="C204" s="43" t="n"/>
      <c r="D204" s="44" t="n"/>
      <c r="E204" s="45">
        <f>IF($B204="","",IF($C204="Money in",-$D204,$D204))</f>
        <v/>
      </c>
      <c r="F204" s="43" t="n"/>
    </row>
    <row r="205" ht="15" customHeight="1" s="30">
      <c r="B205" s="42" t="n"/>
      <c r="C205" s="43" t="n"/>
      <c r="D205" s="44" t="n"/>
      <c r="E205" s="45">
        <f>IF($B205="","",IF($C205="Money in",-$D205,$D205))</f>
        <v/>
      </c>
      <c r="F205" s="43" t="n"/>
    </row>
    <row r="206" ht="15" customHeight="1" s="30">
      <c r="B206" s="42" t="n"/>
      <c r="C206" s="43" t="n"/>
      <c r="D206" s="44" t="n"/>
      <c r="E206" s="45">
        <f>IF($B206="","",IF($C206="Money in",-$D206,$D206))</f>
        <v/>
      </c>
      <c r="F206" s="43" t="n"/>
    </row>
    <row r="207" ht="15" customHeight="1" s="30">
      <c r="B207" s="42" t="n"/>
      <c r="C207" s="43" t="n"/>
      <c r="D207" s="44" t="n"/>
      <c r="E207" s="45">
        <f>IF($B207="","",IF($C207="Money in",-$D207,$D207))</f>
        <v/>
      </c>
      <c r="F207" s="43" t="n"/>
    </row>
    <row r="208" ht="15" customHeight="1" s="30">
      <c r="B208" s="42" t="n"/>
      <c r="C208" s="43" t="n"/>
      <c r="D208" s="44" t="n"/>
      <c r="E208" s="45">
        <f>IF($B208="","",IF($C208="Money in",-$D208,$D208))</f>
        <v/>
      </c>
      <c r="F208" s="43" t="n"/>
    </row>
    <row r="209" ht="15" customHeight="1" s="30">
      <c r="B209" s="42" t="n"/>
      <c r="C209" s="43" t="n"/>
      <c r="D209" s="44" t="n"/>
      <c r="E209" s="45">
        <f>IF($B209="","",IF($C209="Money in",-$D209,$D209))</f>
        <v/>
      </c>
      <c r="F209" s="43" t="n"/>
    </row>
    <row r="210" ht="15" customHeight="1" s="30">
      <c r="B210" s="42" t="n"/>
      <c r="C210" s="43" t="n"/>
      <c r="D210" s="44" t="n"/>
      <c r="E210" s="45">
        <f>IF($B210="","",IF($C210="Money in",-$D210,$D210))</f>
        <v/>
      </c>
      <c r="F210" s="43" t="n"/>
    </row>
    <row r="211" ht="15" customHeight="1" s="30">
      <c r="B211" s="42" t="n"/>
      <c r="C211" s="43" t="n"/>
      <c r="D211" s="44" t="n"/>
      <c r="E211" s="45">
        <f>IF($B211="","",IF($C211="Money in",-$D211,$D211))</f>
        <v/>
      </c>
      <c r="F211" s="43" t="n"/>
    </row>
    <row r="212" ht="15" customHeight="1" s="30">
      <c r="B212" s="42" t="n"/>
      <c r="C212" s="43" t="n"/>
      <c r="D212" s="44" t="n"/>
      <c r="E212" s="45">
        <f>IF($B212="","",IF($C212="Money in",-$D212,$D212))</f>
        <v/>
      </c>
      <c r="F212" s="43" t="n"/>
    </row>
    <row r="213" ht="15" customHeight="1" s="30">
      <c r="B213" s="42" t="n"/>
      <c r="C213" s="43" t="n"/>
      <c r="D213" s="44" t="n"/>
      <c r="E213" s="45">
        <f>IF($B213="","",IF($C213="Money in",-$D213,$D213))</f>
        <v/>
      </c>
      <c r="F213" s="43" t="n"/>
    </row>
    <row r="214" ht="15" customHeight="1" s="30">
      <c r="B214" s="42" t="n"/>
      <c r="C214" s="43" t="n"/>
      <c r="D214" s="44" t="n"/>
      <c r="E214" s="45">
        <f>IF($B214="","",IF($C214="Money in",-$D214,$D214))</f>
        <v/>
      </c>
      <c r="F214" s="43" t="n"/>
    </row>
    <row r="215" ht="15" customHeight="1" s="30">
      <c r="B215" s="42" t="n"/>
      <c r="C215" s="43" t="n"/>
      <c r="D215" s="44" t="n"/>
      <c r="E215" s="45">
        <f>IF($B215="","",IF($C215="Money in",-$D215,$D215))</f>
        <v/>
      </c>
      <c r="F215" s="43" t="n"/>
    </row>
    <row r="216" ht="15" customHeight="1" s="30">
      <c r="B216" s="42" t="n"/>
      <c r="C216" s="43" t="n"/>
      <c r="D216" s="44" t="n"/>
      <c r="E216" s="45">
        <f>IF($B216="","",IF($C216="Money in",-$D216,$D216))</f>
        <v/>
      </c>
      <c r="F216" s="43" t="n"/>
    </row>
    <row r="217" ht="15" customHeight="1" s="30">
      <c r="B217" s="42" t="n"/>
      <c r="C217" s="43" t="n"/>
      <c r="D217" s="44" t="n"/>
      <c r="E217" s="45">
        <f>IF($B217="","",IF($C217="Money in",-$D217,$D217))</f>
        <v/>
      </c>
      <c r="F217" s="43" t="n"/>
    </row>
    <row r="218" ht="15" customHeight="1" s="30">
      <c r="B218" s="42" t="n"/>
      <c r="C218" s="43" t="n"/>
      <c r="D218" s="44" t="n"/>
      <c r="E218" s="45">
        <f>IF($B218="","",IF($C218="Money in",-$D218,$D218))</f>
        <v/>
      </c>
      <c r="F218" s="43" t="n"/>
    </row>
    <row r="219" ht="15" customHeight="1" s="30">
      <c r="B219" s="42" t="n"/>
      <c r="C219" s="43" t="n"/>
      <c r="D219" s="44" t="n"/>
      <c r="E219" s="45">
        <f>IF($B219="","",IF($C219="Money in",-$D219,$D219))</f>
        <v/>
      </c>
      <c r="F219" s="43" t="n"/>
    </row>
    <row r="220" ht="15" customHeight="1" s="30">
      <c r="B220" s="42" t="n"/>
      <c r="C220" s="43" t="n"/>
      <c r="D220" s="44" t="n"/>
      <c r="E220" s="45">
        <f>IF($B220="","",IF($C220="Money in",-$D220,$D220))</f>
        <v/>
      </c>
      <c r="F220" s="43" t="n"/>
    </row>
    <row r="221" ht="15" customHeight="1" s="30">
      <c r="B221" s="42" t="n"/>
      <c r="C221" s="43" t="n"/>
      <c r="D221" s="44" t="n"/>
      <c r="E221" s="45">
        <f>IF($B221="","",IF($C221="Money in",-$D221,$D221))</f>
        <v/>
      </c>
      <c r="F221" s="43" t="n"/>
    </row>
    <row r="222" ht="15" customHeight="1" s="30">
      <c r="B222" s="42" t="n"/>
      <c r="C222" s="43" t="n"/>
      <c r="D222" s="44" t="n"/>
      <c r="E222" s="45">
        <f>IF($B222="","",IF($C222="Money in",-$D222,$D222))</f>
        <v/>
      </c>
      <c r="F222" s="43" t="n"/>
    </row>
    <row r="223" ht="15" customHeight="1" s="30">
      <c r="B223" s="42" t="n"/>
      <c r="C223" s="43" t="n"/>
      <c r="D223" s="44" t="n"/>
      <c r="E223" s="45">
        <f>IF($B223="","",IF($C223="Money in",-$D223,$D223))</f>
        <v/>
      </c>
      <c r="F223" s="43" t="n"/>
    </row>
    <row r="224" ht="15" customHeight="1" s="30">
      <c r="B224" s="42" t="n"/>
      <c r="C224" s="43" t="n"/>
      <c r="D224" s="44" t="n"/>
      <c r="E224" s="45">
        <f>IF($B224="","",IF($C224="Money in",-$D224,$D224))</f>
        <v/>
      </c>
      <c r="F224" s="43" t="n"/>
    </row>
    <row r="225" ht="15" customHeight="1" s="30">
      <c r="B225" s="42" t="n"/>
      <c r="C225" s="43" t="n"/>
      <c r="D225" s="44" t="n"/>
      <c r="E225" s="45">
        <f>IF($B225="","",IF($C225="Money in",-$D225,$D225))</f>
        <v/>
      </c>
      <c r="F225" s="43" t="n"/>
    </row>
    <row r="226" ht="15" customHeight="1" s="30">
      <c r="B226" s="42" t="n"/>
      <c r="C226" s="43" t="n"/>
      <c r="D226" s="44" t="n"/>
      <c r="E226" s="45">
        <f>IF($B226="","",IF($C226="Money in",-$D226,$D226))</f>
        <v/>
      </c>
      <c r="F226" s="43" t="n"/>
    </row>
    <row r="227" ht="15" customHeight="1" s="30">
      <c r="B227" s="42" t="n"/>
      <c r="C227" s="43" t="n"/>
      <c r="D227" s="44" t="n"/>
      <c r="E227" s="45">
        <f>IF($B227="","",IF($C227="Money in",-$D227,$D227))</f>
        <v/>
      </c>
      <c r="F227" s="43" t="n"/>
    </row>
    <row r="228" ht="15" customHeight="1" s="30">
      <c r="B228" s="42" t="n"/>
      <c r="C228" s="43" t="n"/>
      <c r="D228" s="44" t="n"/>
      <c r="E228" s="45">
        <f>IF($B228="","",IF($C228="Money in",-$D228,$D228))</f>
        <v/>
      </c>
      <c r="F228" s="43" t="n"/>
    </row>
    <row r="229" ht="15" customHeight="1" s="30">
      <c r="B229" s="42" t="n"/>
      <c r="C229" s="43" t="n"/>
      <c r="D229" s="44" t="n"/>
      <c r="E229" s="45">
        <f>IF($B229="","",IF($C229="Money in",-$D229,$D229))</f>
        <v/>
      </c>
      <c r="F229" s="43" t="n"/>
    </row>
    <row r="230" ht="15" customHeight="1" s="30">
      <c r="B230" s="42" t="n"/>
      <c r="C230" s="43" t="n"/>
      <c r="D230" s="44" t="n"/>
      <c r="E230" s="45">
        <f>IF($B230="","",IF($C230="Money in",-$D230,$D230))</f>
        <v/>
      </c>
      <c r="F230" s="43" t="n"/>
    </row>
    <row r="231" ht="15" customHeight="1" s="30">
      <c r="B231" s="42" t="n"/>
      <c r="C231" s="43" t="n"/>
      <c r="D231" s="44" t="n"/>
      <c r="E231" s="45">
        <f>IF($B231="","",IF($C231="Money in",-$D231,$D231))</f>
        <v/>
      </c>
      <c r="F231" s="43" t="n"/>
    </row>
    <row r="232" ht="15" customHeight="1" s="30">
      <c r="B232" s="42" t="n"/>
      <c r="C232" s="43" t="n"/>
      <c r="D232" s="44" t="n"/>
      <c r="E232" s="45">
        <f>IF($B232="","",IF($C232="Money in",-$D232,$D232))</f>
        <v/>
      </c>
      <c r="F232" s="43" t="n"/>
    </row>
    <row r="233" ht="15" customHeight="1" s="30">
      <c r="B233" s="42" t="n"/>
      <c r="C233" s="43" t="n"/>
      <c r="D233" s="44" t="n"/>
      <c r="E233" s="45">
        <f>IF($B233="","",IF($C233="Money in",-$D233,$D233))</f>
        <v/>
      </c>
      <c r="F233" s="43" t="n"/>
    </row>
    <row r="234" ht="15" customHeight="1" s="30">
      <c r="B234" s="42" t="n"/>
      <c r="C234" s="43" t="n"/>
      <c r="D234" s="44" t="n"/>
      <c r="E234" s="45">
        <f>IF($B234="","",IF($C234="Money in",-$D234,$D234))</f>
        <v/>
      </c>
      <c r="F234" s="43" t="n"/>
    </row>
    <row r="235" ht="15" customHeight="1" s="30">
      <c r="B235" s="42" t="n"/>
      <c r="C235" s="43" t="n"/>
      <c r="D235" s="44" t="n"/>
      <c r="E235" s="45">
        <f>IF($B235="","",IF($C235="Money in",-$D235,$D235))</f>
        <v/>
      </c>
      <c r="F235" s="43" t="n"/>
    </row>
    <row r="236" ht="15" customHeight="1" s="30">
      <c r="B236" s="42" t="n"/>
      <c r="C236" s="43" t="n"/>
      <c r="D236" s="44" t="n"/>
      <c r="E236" s="45">
        <f>IF($B236="","",IF($C236="Money in",-$D236,$D236))</f>
        <v/>
      </c>
      <c r="F236" s="43" t="n"/>
    </row>
    <row r="237" ht="15" customHeight="1" s="30">
      <c r="B237" s="42" t="n"/>
      <c r="C237" s="43" t="n"/>
      <c r="D237" s="44" t="n"/>
      <c r="E237" s="45">
        <f>IF($B237="","",IF($C237="Money in",-$D237,$D237))</f>
        <v/>
      </c>
      <c r="F237" s="43" t="n"/>
    </row>
    <row r="238" ht="15" customHeight="1" s="30">
      <c r="B238" s="42" t="n"/>
      <c r="C238" s="43" t="n"/>
      <c r="D238" s="44" t="n"/>
      <c r="E238" s="45">
        <f>IF($B238="","",IF($C238="Money in",-$D238,$D238))</f>
        <v/>
      </c>
      <c r="F238" s="43" t="n"/>
    </row>
    <row r="239" ht="15" customHeight="1" s="30">
      <c r="B239" s="42" t="n"/>
      <c r="C239" s="43" t="n"/>
      <c r="D239" s="44" t="n"/>
      <c r="E239" s="45">
        <f>IF($B239="","",IF($C239="Money in",-$D239,$D239))</f>
        <v/>
      </c>
      <c r="F239" s="43" t="n"/>
    </row>
    <row r="240" ht="15" customHeight="1" s="30">
      <c r="B240" s="42" t="n"/>
      <c r="C240" s="43" t="n"/>
      <c r="D240" s="44" t="n"/>
      <c r="E240" s="45">
        <f>IF($B240="","",IF($C240="Money in",-$D240,$D240))</f>
        <v/>
      </c>
      <c r="F240" s="43" t="n"/>
    </row>
    <row r="241" ht="15" customHeight="1" s="30">
      <c r="B241" s="42" t="n"/>
      <c r="C241" s="43" t="n"/>
      <c r="D241" s="44" t="n"/>
      <c r="E241" s="45">
        <f>IF($B241="","",IF($C241="Money in",-$D241,$D241))</f>
        <v/>
      </c>
      <c r="F241" s="43" t="n"/>
    </row>
    <row r="242" ht="15" customHeight="1" s="30">
      <c r="B242" s="42" t="n"/>
      <c r="C242" s="43" t="n"/>
      <c r="D242" s="44" t="n"/>
      <c r="E242" s="45">
        <f>IF($B242="","",IF($C242="Money in",-$D242,$D242))</f>
        <v/>
      </c>
      <c r="F242" s="43" t="n"/>
    </row>
    <row r="243" ht="15" customHeight="1" s="30">
      <c r="B243" s="42" t="n"/>
      <c r="C243" s="43" t="n"/>
      <c r="D243" s="44" t="n"/>
      <c r="E243" s="45">
        <f>IF($B243="","",IF($C243="Money in",-$D243,$D243))</f>
        <v/>
      </c>
      <c r="F243" s="43" t="n"/>
    </row>
    <row r="244" ht="15" customHeight="1" s="30">
      <c r="B244" s="42" t="n"/>
      <c r="C244" s="43" t="n"/>
      <c r="D244" s="44" t="n"/>
      <c r="E244" s="45">
        <f>IF($B244="","",IF($C244="Money in",-$D244,$D244))</f>
        <v/>
      </c>
      <c r="F244" s="43" t="n"/>
    </row>
    <row r="245" ht="15" customHeight="1" s="30">
      <c r="B245" s="42" t="n"/>
      <c r="C245" s="43" t="n"/>
      <c r="D245" s="44" t="n"/>
      <c r="E245" s="45">
        <f>IF($B245="","",IF($C245="Money in",-$D245,$D245))</f>
        <v/>
      </c>
      <c r="F245" s="43" t="n"/>
    </row>
    <row r="246" ht="15" customHeight="1" s="30">
      <c r="B246" s="42" t="n"/>
      <c r="C246" s="43" t="n"/>
      <c r="D246" s="44" t="n"/>
      <c r="E246" s="45">
        <f>IF($B246="","",IF($C246="Money in",-$D246,$D246))</f>
        <v/>
      </c>
      <c r="F246" s="43" t="n"/>
    </row>
    <row r="247" ht="15" customHeight="1" s="30">
      <c r="B247" s="42" t="n"/>
      <c r="C247" s="43" t="n"/>
      <c r="D247" s="44" t="n"/>
      <c r="E247" s="45">
        <f>IF($B247="","",IF($C247="Money in",-$D247,$D247))</f>
        <v/>
      </c>
      <c r="F247" s="43" t="n"/>
    </row>
    <row r="248" ht="15" customHeight="1" s="30">
      <c r="B248" s="42" t="n"/>
      <c r="C248" s="43" t="n"/>
      <c r="D248" s="44" t="n"/>
      <c r="E248" s="45">
        <f>IF($B248="","",IF($C248="Money in",-$D248,$D248))</f>
        <v/>
      </c>
      <c r="F248" s="43" t="n"/>
    </row>
    <row r="249" ht="15" customHeight="1" s="30">
      <c r="B249" s="42" t="n"/>
      <c r="C249" s="43" t="n"/>
      <c r="D249" s="44" t="n"/>
      <c r="E249" s="45">
        <f>IF($B249="","",IF($C249="Money in",-$D249,$D249))</f>
        <v/>
      </c>
      <c r="F249" s="43" t="n"/>
    </row>
    <row r="250" ht="15" customHeight="1" s="30">
      <c r="B250" s="42" t="n"/>
      <c r="C250" s="43" t="n"/>
      <c r="D250" s="44" t="n"/>
      <c r="E250" s="45">
        <f>IF($B250="","",IF($C250="Money in",-$D250,$D250))</f>
        <v/>
      </c>
      <c r="F250" s="43" t="n"/>
    </row>
    <row r="251" ht="15" customHeight="1" s="30">
      <c r="B251" s="42" t="n"/>
      <c r="C251" s="43" t="n"/>
      <c r="D251" s="44" t="n"/>
      <c r="E251" s="45">
        <f>IF($B251="","",IF($C251="Money in",-$D251,$D251))</f>
        <v/>
      </c>
      <c r="F251" s="43" t="n"/>
    </row>
    <row r="252" ht="15" customHeight="1" s="30">
      <c r="B252" s="42" t="n"/>
      <c r="C252" s="43" t="n"/>
      <c r="D252" s="44" t="n"/>
      <c r="E252" s="45">
        <f>IF($B252="","",IF($C252="Money in",-$D252,$D252))</f>
        <v/>
      </c>
      <c r="F252" s="43" t="n"/>
    </row>
    <row r="253" ht="15" customHeight="1" s="30">
      <c r="B253" s="42" t="n"/>
      <c r="C253" s="43" t="n"/>
      <c r="D253" s="44" t="n"/>
      <c r="E253" s="45">
        <f>IF($B253="","",IF($C253="Money in",-$D253,$D253))</f>
        <v/>
      </c>
      <c r="F253" s="43" t="n"/>
    </row>
    <row r="254" ht="15" customHeight="1" s="30">
      <c r="B254" s="42" t="n"/>
      <c r="C254" s="43" t="n"/>
      <c r="D254" s="44" t="n"/>
      <c r="E254" s="45">
        <f>IF($B254="","",IF($C254="Money in",-$D254,$D254))</f>
        <v/>
      </c>
      <c r="F254" s="43" t="n"/>
    </row>
    <row r="255" ht="15" customHeight="1" s="30">
      <c r="B255" s="42" t="n"/>
      <c r="C255" s="43" t="n"/>
      <c r="D255" s="44" t="n"/>
      <c r="E255" s="45">
        <f>IF($B255="","",IF($C255="Money in",-$D255,$D255))</f>
        <v/>
      </c>
      <c r="F255" s="43" t="n"/>
    </row>
    <row r="256" ht="15" customHeight="1" s="30">
      <c r="B256" s="42" t="n"/>
      <c r="C256" s="43" t="n"/>
      <c r="D256" s="44" t="n"/>
      <c r="E256" s="45">
        <f>IF($B256="","",IF($C256="Money in",-$D256,$D256))</f>
        <v/>
      </c>
      <c r="F256" s="43" t="n"/>
    </row>
    <row r="257" ht="15" customHeight="1" s="30">
      <c r="B257" s="42" t="n"/>
      <c r="C257" s="43" t="n"/>
      <c r="D257" s="44" t="n"/>
      <c r="E257" s="45">
        <f>IF($B257="","",IF($C257="Money in",-$D257,$D257))</f>
        <v/>
      </c>
      <c r="F257" s="43" t="n"/>
    </row>
    <row r="258" ht="15" customHeight="1" s="30">
      <c r="B258" s="42" t="n"/>
      <c r="C258" s="43" t="n"/>
      <c r="D258" s="44" t="n"/>
      <c r="E258" s="45">
        <f>IF($B258="","",IF($C258="Money in",-$D258,$D258))</f>
        <v/>
      </c>
      <c r="F258" s="43" t="n"/>
    </row>
    <row r="259" ht="15" customHeight="1" s="30">
      <c r="B259" s="42" t="n"/>
      <c r="C259" s="43" t="n"/>
      <c r="D259" s="44" t="n"/>
      <c r="E259" s="45">
        <f>IF($B259="","",IF($C259="Money in",-$D259,$D259))</f>
        <v/>
      </c>
      <c r="F259" s="43" t="n"/>
    </row>
    <row r="260" ht="15" customHeight="1" s="30">
      <c r="B260" s="42" t="n"/>
      <c r="C260" s="43" t="n"/>
      <c r="D260" s="44" t="n"/>
      <c r="E260" s="45">
        <f>IF($B260="","",IF($C260="Money in",-$D260,$D260))</f>
        <v/>
      </c>
      <c r="F260" s="43" t="n"/>
    </row>
    <row r="261" ht="15" customHeight="1" s="30">
      <c r="B261" s="42" t="n"/>
      <c r="C261" s="43" t="n"/>
      <c r="D261" s="44" t="n"/>
      <c r="E261" s="45">
        <f>IF($B261="","",IF($C261="Money in",-$D261,$D261))</f>
        <v/>
      </c>
      <c r="F261" s="43" t="n"/>
    </row>
    <row r="262" ht="15" customHeight="1" s="30">
      <c r="B262" s="42" t="n"/>
      <c r="C262" s="43" t="n"/>
      <c r="D262" s="44" t="n"/>
      <c r="E262" s="45">
        <f>IF($B262="","",IF($C262="Money in",-$D262,$D262))</f>
        <v/>
      </c>
      <c r="F262" s="43" t="n"/>
    </row>
    <row r="263" ht="15" customHeight="1" s="30">
      <c r="B263" s="42" t="n"/>
      <c r="C263" s="43" t="n"/>
      <c r="D263" s="44" t="n"/>
      <c r="E263" s="45">
        <f>IF($B263="","",IF($C263="Money in",-$D263,$D263))</f>
        <v/>
      </c>
      <c r="F263" s="43" t="n"/>
    </row>
    <row r="264" ht="15" customHeight="1" s="30">
      <c r="B264" s="42" t="n"/>
      <c r="C264" s="43" t="n"/>
      <c r="D264" s="44" t="n"/>
      <c r="E264" s="45">
        <f>IF($B264="","",IF($C264="Money in",-$D264,$D264))</f>
        <v/>
      </c>
      <c r="F264" s="43" t="n"/>
    </row>
    <row r="265" ht="15" customHeight="1" s="30">
      <c r="B265" s="42" t="n"/>
      <c r="C265" s="43" t="n"/>
      <c r="D265" s="44" t="n"/>
      <c r="E265" s="45">
        <f>IF($B265="","",IF($C265="Money in",-$D265,$D265))</f>
        <v/>
      </c>
      <c r="F265" s="43" t="n"/>
    </row>
    <row r="266" ht="15" customHeight="1" s="30">
      <c r="B266" s="42" t="n"/>
      <c r="C266" s="43" t="n"/>
      <c r="D266" s="44" t="n"/>
      <c r="E266" s="45">
        <f>IF($B266="","",IF($C266="Money in",-$D266,$D266))</f>
        <v/>
      </c>
      <c r="F266" s="43" t="n"/>
    </row>
    <row r="267" ht="15" customHeight="1" s="30">
      <c r="B267" s="42" t="n"/>
      <c r="C267" s="43" t="n"/>
      <c r="D267" s="44" t="n"/>
      <c r="E267" s="45">
        <f>IF($B267="","",IF($C267="Money in",-$D267,$D267))</f>
        <v/>
      </c>
      <c r="F267" s="43" t="n"/>
    </row>
    <row r="268" ht="15" customHeight="1" s="30">
      <c r="B268" s="42" t="n"/>
      <c r="C268" s="43" t="n"/>
      <c r="D268" s="44" t="n"/>
      <c r="E268" s="45">
        <f>IF($B268="","",IF($C268="Money in",-$D268,$D268))</f>
        <v/>
      </c>
      <c r="F268" s="43" t="n"/>
    </row>
    <row r="269" ht="15" customHeight="1" s="30">
      <c r="B269" s="42" t="n"/>
      <c r="C269" s="43" t="n"/>
      <c r="D269" s="44" t="n"/>
      <c r="E269" s="45">
        <f>IF($B269="","",IF($C269="Money in",-$D269,$D269))</f>
        <v/>
      </c>
      <c r="F269" s="43" t="n"/>
    </row>
    <row r="270" ht="15" customHeight="1" s="30">
      <c r="B270" s="42" t="n"/>
      <c r="C270" s="43" t="n"/>
      <c r="D270" s="44" t="n"/>
      <c r="E270" s="45">
        <f>IF($B270="","",IF($C270="Money in",-$D270,$D270))</f>
        <v/>
      </c>
      <c r="F270" s="43" t="n"/>
    </row>
    <row r="271" ht="15" customHeight="1" s="30">
      <c r="B271" s="42" t="n"/>
      <c r="C271" s="43" t="n"/>
      <c r="D271" s="44" t="n"/>
      <c r="E271" s="45">
        <f>IF($B271="","",IF($C271="Money in",-$D271,$D271))</f>
        <v/>
      </c>
      <c r="F271" s="43" t="n"/>
    </row>
    <row r="272" ht="15" customHeight="1" s="30">
      <c r="B272" s="42" t="n"/>
      <c r="C272" s="43" t="n"/>
      <c r="D272" s="44" t="n"/>
      <c r="E272" s="45">
        <f>IF($B272="","",IF($C272="Money in",-$D272,$D272))</f>
        <v/>
      </c>
      <c r="F272" s="43" t="n"/>
    </row>
    <row r="273" ht="15" customHeight="1" s="30">
      <c r="B273" s="42" t="n"/>
      <c r="C273" s="43" t="n"/>
      <c r="D273" s="44" t="n"/>
      <c r="E273" s="45">
        <f>IF($B273="","",IF($C273="Money in",-$D273,$D273))</f>
        <v/>
      </c>
      <c r="F273" s="43" t="n"/>
    </row>
    <row r="274" ht="15" customHeight="1" s="30">
      <c r="B274" s="42" t="n"/>
      <c r="C274" s="43" t="n"/>
      <c r="D274" s="44" t="n"/>
      <c r="E274" s="45">
        <f>IF($B274="","",IF($C274="Money in",-$D274,$D274))</f>
        <v/>
      </c>
      <c r="F274" s="43" t="n"/>
    </row>
    <row r="275" ht="15" customHeight="1" s="30">
      <c r="B275" s="42" t="n"/>
      <c r="C275" s="43" t="n"/>
      <c r="D275" s="44" t="n"/>
      <c r="E275" s="45">
        <f>IF($B275="","",IF($C275="Money in",-$D275,$D275))</f>
        <v/>
      </c>
      <c r="F275" s="43" t="n"/>
    </row>
    <row r="276" ht="15" customHeight="1" s="30">
      <c r="B276" s="42" t="n"/>
      <c r="C276" s="43" t="n"/>
      <c r="D276" s="44" t="n"/>
      <c r="E276" s="45">
        <f>IF($B276="","",IF($C276="Money in",-$D276,$D276))</f>
        <v/>
      </c>
      <c r="F276" s="43" t="n"/>
    </row>
    <row r="277" ht="15" customHeight="1" s="30">
      <c r="B277" s="42" t="n"/>
      <c r="C277" s="43" t="n"/>
      <c r="D277" s="44" t="n"/>
      <c r="E277" s="45">
        <f>IF($B277="","",IF($C277="Money in",-$D277,$D277))</f>
        <v/>
      </c>
      <c r="F277" s="43" t="n"/>
    </row>
    <row r="278" ht="15" customHeight="1" s="30">
      <c r="B278" s="42" t="n"/>
      <c r="C278" s="43" t="n"/>
      <c r="D278" s="44" t="n"/>
      <c r="E278" s="45">
        <f>IF($B278="","",IF($C278="Money in",-$D278,$D278))</f>
        <v/>
      </c>
      <c r="F278" s="43" t="n"/>
    </row>
    <row r="279" ht="15" customHeight="1" s="30">
      <c r="B279" s="42" t="n"/>
      <c r="C279" s="43" t="n"/>
      <c r="D279" s="44" t="n"/>
      <c r="E279" s="45">
        <f>IF($B279="","",IF($C279="Money in",-$D279,$D279))</f>
        <v/>
      </c>
      <c r="F279" s="43" t="n"/>
    </row>
    <row r="280" ht="15" customHeight="1" s="30">
      <c r="B280" s="42" t="n"/>
      <c r="C280" s="43" t="n"/>
      <c r="D280" s="44" t="n"/>
      <c r="E280" s="45">
        <f>IF($B280="","",IF($C280="Money in",-$D280,$D280))</f>
        <v/>
      </c>
      <c r="F280" s="43" t="n"/>
    </row>
    <row r="281" ht="15" customHeight="1" s="30">
      <c r="B281" s="42" t="n"/>
      <c r="C281" s="43" t="n"/>
      <c r="D281" s="44" t="n"/>
      <c r="E281" s="45">
        <f>IF($B281="","",IF($C281="Money in",-$D281,$D281))</f>
        <v/>
      </c>
      <c r="F281" s="43" t="n"/>
    </row>
    <row r="282" ht="15" customHeight="1" s="30">
      <c r="B282" s="42" t="n"/>
      <c r="C282" s="43" t="n"/>
      <c r="D282" s="44" t="n"/>
      <c r="E282" s="45">
        <f>IF($B282="","",IF($C282="Money in",-$D282,$D282))</f>
        <v/>
      </c>
      <c r="F282" s="43" t="n"/>
    </row>
    <row r="283" ht="15" customHeight="1" s="30">
      <c r="B283" s="42" t="n"/>
      <c r="C283" s="43" t="n"/>
      <c r="D283" s="44" t="n"/>
      <c r="E283" s="45">
        <f>IF($B283="","",IF($C283="Money in",-$D283,$D283))</f>
        <v/>
      </c>
      <c r="F283" s="43" t="n"/>
    </row>
    <row r="284" ht="15" customHeight="1" s="30">
      <c r="B284" s="42" t="n"/>
      <c r="C284" s="43" t="n"/>
      <c r="D284" s="44" t="n"/>
      <c r="E284" s="45">
        <f>IF($B284="","",IF($C284="Money in",-$D284,$D284))</f>
        <v/>
      </c>
      <c r="F284" s="43" t="n"/>
    </row>
    <row r="285" ht="15" customHeight="1" s="30">
      <c r="B285" s="42" t="n"/>
      <c r="C285" s="43" t="n"/>
      <c r="D285" s="44" t="n"/>
      <c r="E285" s="45">
        <f>IF($B285="","",IF($C285="Money in",-$D285,$D285))</f>
        <v/>
      </c>
      <c r="F285" s="43" t="n"/>
    </row>
    <row r="286" ht="15" customHeight="1" s="30">
      <c r="B286" s="42" t="n"/>
      <c r="C286" s="43" t="n"/>
      <c r="D286" s="44" t="n"/>
      <c r="E286" s="45">
        <f>IF($B286="","",IF($C286="Money in",-$D286,$D286))</f>
        <v/>
      </c>
      <c r="F286" s="43" t="n"/>
    </row>
    <row r="287" ht="15" customHeight="1" s="30">
      <c r="B287" s="42" t="n"/>
      <c r="C287" s="43" t="n"/>
      <c r="D287" s="44" t="n"/>
      <c r="E287" s="45">
        <f>IF($B287="","",IF($C287="Money in",-$D287,$D287))</f>
        <v/>
      </c>
      <c r="F287" s="43" t="n"/>
    </row>
    <row r="288" ht="15" customHeight="1" s="30">
      <c r="B288" s="42" t="n"/>
      <c r="C288" s="43" t="n"/>
      <c r="D288" s="44" t="n"/>
      <c r="E288" s="45">
        <f>IF($B288="","",IF($C288="Money in",-$D288,$D288))</f>
        <v/>
      </c>
      <c r="F288" s="43" t="n"/>
    </row>
    <row r="289" ht="15" customHeight="1" s="30">
      <c r="B289" s="42" t="n"/>
      <c r="C289" s="43" t="n"/>
      <c r="D289" s="44" t="n"/>
      <c r="E289" s="45">
        <f>IF($B289="","",IF($C289="Money in",-$D289,$D289))</f>
        <v/>
      </c>
      <c r="F289" s="43" t="n"/>
    </row>
    <row r="290" ht="15" customHeight="1" s="30">
      <c r="B290" s="42" t="n"/>
      <c r="C290" s="43" t="n"/>
      <c r="D290" s="44" t="n"/>
      <c r="E290" s="45">
        <f>IF($B290="","",IF($C290="Money in",-$D290,$D290))</f>
        <v/>
      </c>
      <c r="F290" s="43" t="n"/>
    </row>
    <row r="291" ht="15" customHeight="1" s="30">
      <c r="B291" s="42" t="n"/>
      <c r="C291" s="43" t="n"/>
      <c r="D291" s="44" t="n"/>
      <c r="E291" s="45">
        <f>IF($B291="","",IF($C291="Money in",-$D291,$D291))</f>
        <v/>
      </c>
      <c r="F291" s="43" t="n"/>
    </row>
    <row r="292" ht="15" customHeight="1" s="30">
      <c r="B292" s="42" t="n"/>
      <c r="C292" s="43" t="n"/>
      <c r="D292" s="44" t="n"/>
      <c r="E292" s="45">
        <f>IF($B292="","",IF($C292="Money in",-$D292,$D292))</f>
        <v/>
      </c>
      <c r="F292" s="43" t="n"/>
    </row>
    <row r="293" ht="15" customHeight="1" s="30">
      <c r="B293" s="42" t="n"/>
      <c r="C293" s="43" t="n"/>
      <c r="D293" s="44" t="n"/>
      <c r="E293" s="45">
        <f>IF($B293="","",IF($C293="Money in",-$D293,$D293))</f>
        <v/>
      </c>
      <c r="F293" s="43" t="n"/>
    </row>
    <row r="294" ht="15" customHeight="1" s="30">
      <c r="B294" s="42" t="n"/>
      <c r="C294" s="43" t="n"/>
      <c r="D294" s="44" t="n"/>
      <c r="E294" s="45">
        <f>IF($B294="","",IF($C294="Money in",-$D294,$D294))</f>
        <v/>
      </c>
      <c r="F294" s="43" t="n"/>
    </row>
    <row r="295" ht="15" customHeight="1" s="30">
      <c r="B295" s="42" t="n"/>
      <c r="C295" s="43" t="n"/>
      <c r="D295" s="44" t="n"/>
      <c r="E295" s="45">
        <f>IF($B295="","",IF($C295="Money in",-$D295,$D295))</f>
        <v/>
      </c>
      <c r="F295" s="43" t="n"/>
    </row>
    <row r="296" ht="15" customHeight="1" s="30">
      <c r="B296" s="42" t="n"/>
      <c r="C296" s="43" t="n"/>
      <c r="D296" s="44" t="n"/>
      <c r="E296" s="45">
        <f>IF($B296="","",IF($C296="Money in",-$D296,$D296))</f>
        <v/>
      </c>
      <c r="F296" s="43" t="n"/>
    </row>
    <row r="297" ht="15" customHeight="1" s="30">
      <c r="B297" s="42" t="n"/>
      <c r="C297" s="43" t="n"/>
      <c r="D297" s="44" t="n"/>
      <c r="E297" s="45">
        <f>IF($B297="","",IF($C297="Money in",-$D297,$D297))</f>
        <v/>
      </c>
      <c r="F297" s="43" t="n"/>
    </row>
    <row r="298" ht="15" customHeight="1" s="30">
      <c r="B298" s="42" t="n"/>
      <c r="C298" s="43" t="n"/>
      <c r="D298" s="44" t="n"/>
      <c r="E298" s="45">
        <f>IF($B298="","",IF($C298="Money in",-$D298,$D298))</f>
        <v/>
      </c>
      <c r="F298" s="43" t="n"/>
    </row>
    <row r="299" ht="15" customHeight="1" s="30">
      <c r="B299" s="42" t="n"/>
      <c r="C299" s="43" t="n"/>
      <c r="D299" s="44" t="n"/>
      <c r="E299" s="45">
        <f>IF($B299="","",IF($C299="Money in",-$D299,$D299))</f>
        <v/>
      </c>
      <c r="F299" s="43" t="n"/>
    </row>
    <row r="300" ht="15" customHeight="1" s="30">
      <c r="B300" s="42" t="n"/>
      <c r="C300" s="43" t="n"/>
      <c r="D300" s="44" t="n"/>
      <c r="E300" s="45">
        <f>IF($B300="","",IF($C300="Money in",-$D300,$D300))</f>
        <v/>
      </c>
      <c r="F300" s="43" t="n"/>
    </row>
    <row r="301" ht="15" customHeight="1" s="30">
      <c r="B301" s="42" t="n"/>
      <c r="C301" s="43" t="n"/>
      <c r="D301" s="44" t="n"/>
      <c r="E301" s="45">
        <f>IF($B301="","",IF($C301="Money in",-$D301,$D301))</f>
        <v/>
      </c>
      <c r="F301" s="43" t="n"/>
    </row>
    <row r="302" ht="15" customHeight="1" s="30">
      <c r="B302" s="42" t="n"/>
      <c r="C302" s="43" t="n"/>
      <c r="D302" s="44" t="n"/>
      <c r="E302" s="45">
        <f>IF($B302="","",IF($C302="Money in",-$D302,$D302))</f>
        <v/>
      </c>
      <c r="F302" s="43" t="n"/>
    </row>
    <row r="303" ht="15" customHeight="1" s="30">
      <c r="B303" s="42" t="n"/>
      <c r="C303" s="43" t="n"/>
      <c r="D303" s="44" t="n"/>
      <c r="E303" s="45">
        <f>IF($B303="","",IF($C303="Money in",-$D303,$D303))</f>
        <v/>
      </c>
      <c r="F303" s="43" t="n"/>
    </row>
    <row r="304" ht="15" customHeight="1" s="30">
      <c r="B304" s="42" t="n"/>
      <c r="C304" s="43" t="n"/>
      <c r="D304" s="44" t="n"/>
      <c r="E304" s="45">
        <f>IF($B304="","",IF($C304="Money in",-$D304,$D304))</f>
        <v/>
      </c>
      <c r="F304" s="43" t="n"/>
    </row>
    <row r="305" ht="15" customHeight="1" s="30">
      <c r="B305" s="42" t="n"/>
      <c r="C305" s="43" t="n"/>
      <c r="D305" s="44" t="n"/>
      <c r="E305" s="45">
        <f>IF($B305="","",IF($C305="Money in",-$D305,$D305))</f>
        <v/>
      </c>
      <c r="F305" s="43" t="n"/>
    </row>
    <row r="306" ht="15" customHeight="1" s="30">
      <c r="B306" s="42" t="n"/>
      <c r="C306" s="43" t="n"/>
      <c r="D306" s="44" t="n"/>
      <c r="E306" s="45">
        <f>IF($B306="","",IF($C306="Money in",-$D306,$D306))</f>
        <v/>
      </c>
      <c r="F306" s="43" t="n"/>
    </row>
    <row r="307" ht="15" customHeight="1" s="30">
      <c r="B307" s="42" t="n"/>
      <c r="C307" s="43" t="n"/>
      <c r="D307" s="44" t="n"/>
      <c r="E307" s="45">
        <f>IF($B307="","",IF($C307="Money in",-$D307,$D307))</f>
        <v/>
      </c>
      <c r="F307" s="43" t="n"/>
    </row>
    <row r="308" ht="15" customHeight="1" s="30">
      <c r="B308" s="42" t="n"/>
      <c r="C308" s="43" t="n"/>
      <c r="D308" s="44" t="n"/>
      <c r="E308" s="45">
        <f>IF($B308="","",IF($C308="Money in",-$D308,$D308))</f>
        <v/>
      </c>
      <c r="F308" s="43" t="n"/>
    </row>
    <row r="309" ht="15" customHeight="1" s="30">
      <c r="B309" s="42" t="n"/>
      <c r="C309" s="43" t="n"/>
      <c r="D309" s="44" t="n"/>
      <c r="E309" s="45">
        <f>IF($B309="","",IF($C309="Money in",-$D309,$D309))</f>
        <v/>
      </c>
      <c r="F309" s="43" t="n"/>
    </row>
    <row r="310" ht="15" customHeight="1" s="30">
      <c r="B310" s="42" t="n"/>
      <c r="C310" s="43" t="n"/>
      <c r="D310" s="44" t="n"/>
      <c r="E310" s="45">
        <f>IF($B310="","",IF($C310="Money in",-$D310,$D310))</f>
        <v/>
      </c>
      <c r="F310" s="43" t="n"/>
    </row>
    <row r="311" ht="15" customHeight="1" s="30">
      <c r="B311" s="42" t="n"/>
      <c r="C311" s="43" t="n"/>
      <c r="D311" s="44" t="n"/>
      <c r="E311" s="45">
        <f>IF($B311="","",IF($C311="Money in",-$D311,$D311))</f>
        <v/>
      </c>
      <c r="F311" s="43" t="n"/>
    </row>
    <row r="312" ht="15" customHeight="1" s="30">
      <c r="B312" s="42" t="n"/>
      <c r="C312" s="43" t="n"/>
      <c r="D312" s="44" t="n"/>
      <c r="E312" s="45">
        <f>IF($B312="","",IF($C312="Money in",-$D312,$D312))</f>
        <v/>
      </c>
      <c r="F312" s="43" t="n"/>
    </row>
    <row r="313" ht="15" customHeight="1" s="30">
      <c r="B313" s="42" t="n"/>
      <c r="C313" s="43" t="n"/>
      <c r="D313" s="44" t="n"/>
      <c r="E313" s="45">
        <f>IF($B313="","",IF($C313="Money in",-$D313,$D313))</f>
        <v/>
      </c>
      <c r="F313" s="43" t="n"/>
    </row>
    <row r="314" ht="15" customHeight="1" s="30">
      <c r="B314" s="42" t="n"/>
      <c r="C314" s="43" t="n"/>
      <c r="D314" s="44" t="n"/>
      <c r="E314" s="45">
        <f>IF($B314="","",IF($C314="Money in",-$D314,$D314))</f>
        <v/>
      </c>
      <c r="F314" s="43" t="n"/>
    </row>
    <row r="315" ht="15" customHeight="1" s="30">
      <c r="B315" s="42" t="n"/>
      <c r="C315" s="43" t="n"/>
      <c r="D315" s="44" t="n"/>
      <c r="E315" s="45">
        <f>IF($B315="","",IF($C315="Money in",-$D315,$D315))</f>
        <v/>
      </c>
      <c r="F315" s="43" t="n"/>
    </row>
    <row r="316" ht="15" customHeight="1" s="30">
      <c r="B316" s="42" t="n"/>
      <c r="C316" s="43" t="n"/>
      <c r="D316" s="44" t="n"/>
      <c r="E316" s="45">
        <f>IF($B316="","",IF($C316="Money in",-$D316,$D316))</f>
        <v/>
      </c>
      <c r="F316" s="43" t="n"/>
    </row>
    <row r="317" ht="15" customHeight="1" s="30">
      <c r="B317" s="42" t="n"/>
      <c r="C317" s="43" t="n"/>
      <c r="D317" s="44" t="n"/>
      <c r="E317" s="45">
        <f>IF($B317="","",IF($C317="Money in",-$D317,$D317))</f>
        <v/>
      </c>
      <c r="F317" s="43" t="n"/>
    </row>
    <row r="318" ht="15" customHeight="1" s="30">
      <c r="B318" s="42" t="n"/>
      <c r="C318" s="43" t="n"/>
      <c r="D318" s="44" t="n"/>
      <c r="E318" s="45">
        <f>IF($B318="","",IF($C318="Money in",-$D318,$D318))</f>
        <v/>
      </c>
      <c r="F318" s="43" t="n"/>
    </row>
    <row r="319" ht="15" customHeight="1" s="30">
      <c r="B319" s="42" t="n"/>
      <c r="C319" s="43" t="n"/>
      <c r="D319" s="44" t="n"/>
      <c r="E319" s="45">
        <f>IF($B319="","",IF($C319="Money in",-$D319,$D319))</f>
        <v/>
      </c>
      <c r="F319" s="43" t="n"/>
    </row>
    <row r="320" ht="15" customHeight="1" s="30">
      <c r="B320" s="42" t="n"/>
      <c r="C320" s="43" t="n"/>
      <c r="D320" s="44" t="n"/>
      <c r="E320" s="45">
        <f>IF($B320="","",IF($C320="Money in",-$D320,$D320))</f>
        <v/>
      </c>
      <c r="F320" s="43" t="n"/>
    </row>
    <row r="321" ht="15" customHeight="1" s="30">
      <c r="B321" s="42" t="n"/>
      <c r="C321" s="43" t="n"/>
      <c r="D321" s="44" t="n"/>
      <c r="E321" s="45">
        <f>IF($B321="","",IF($C321="Money in",-$D321,$D321))</f>
        <v/>
      </c>
      <c r="F321" s="43" t="n"/>
    </row>
    <row r="322" ht="15" customHeight="1" s="30">
      <c r="B322" s="42" t="n"/>
      <c r="C322" s="43" t="n"/>
      <c r="D322" s="44" t="n"/>
      <c r="E322" s="45">
        <f>IF($B322="","",IF($C322="Money in",-$D322,$D322))</f>
        <v/>
      </c>
      <c r="F322" s="43" t="n"/>
    </row>
    <row r="323" ht="15" customHeight="1" s="30">
      <c r="B323" s="42" t="n"/>
      <c r="C323" s="43" t="n"/>
      <c r="D323" s="44" t="n"/>
      <c r="E323" s="45">
        <f>IF($B323="","",IF($C323="Money in",-$D323,$D323))</f>
        <v/>
      </c>
      <c r="F323" s="43" t="n"/>
    </row>
    <row r="324" ht="15" customHeight="1" s="30">
      <c r="B324" s="42" t="n"/>
      <c r="C324" s="43" t="n"/>
      <c r="D324" s="44" t="n"/>
      <c r="E324" s="45">
        <f>IF($B324="","",IF($C324="Money in",-$D324,$D324))</f>
        <v/>
      </c>
      <c r="F324" s="43" t="n"/>
    </row>
    <row r="325" ht="15" customHeight="1" s="30">
      <c r="B325" s="42" t="n"/>
      <c r="C325" s="43" t="n"/>
      <c r="D325" s="44" t="n"/>
      <c r="E325" s="45">
        <f>IF($B325="","",IF($C325="Money in",-$D325,$D325))</f>
        <v/>
      </c>
      <c r="F325" s="43" t="n"/>
    </row>
    <row r="326" ht="15" customHeight="1" s="30">
      <c r="B326" s="42" t="n"/>
      <c r="C326" s="43" t="n"/>
      <c r="D326" s="44" t="n"/>
      <c r="E326" s="45">
        <f>IF($B326="","",IF($C326="Money in",-$D326,$D326))</f>
        <v/>
      </c>
      <c r="F326" s="43" t="n"/>
    </row>
    <row r="327" ht="15" customHeight="1" s="30">
      <c r="B327" s="42" t="n"/>
      <c r="C327" s="43" t="n"/>
      <c r="D327" s="44" t="n"/>
      <c r="E327" s="45">
        <f>IF($B327="","",IF($C327="Money in",-$D327,$D327))</f>
        <v/>
      </c>
      <c r="F327" s="43" t="n"/>
    </row>
    <row r="328" ht="15" customHeight="1" s="30">
      <c r="B328" s="42" t="n"/>
      <c r="C328" s="43" t="n"/>
      <c r="D328" s="44" t="n"/>
      <c r="E328" s="45">
        <f>IF($B328="","",IF($C328="Money in",-$D328,$D328))</f>
        <v/>
      </c>
      <c r="F328" s="43" t="n"/>
    </row>
    <row r="329" ht="15" customHeight="1" s="30">
      <c r="B329" s="42" t="n"/>
      <c r="C329" s="43" t="n"/>
      <c r="D329" s="44" t="n"/>
      <c r="E329" s="45">
        <f>IF($B329="","",IF($C329="Money in",-$D329,$D329))</f>
        <v/>
      </c>
      <c r="F329" s="43" t="n"/>
    </row>
    <row r="330" ht="15" customHeight="1" s="30">
      <c r="B330" s="42" t="n"/>
      <c r="C330" s="43" t="n"/>
      <c r="D330" s="44" t="n"/>
      <c r="E330" s="45">
        <f>IF($B330="","",IF($C330="Money in",-$D330,$D330))</f>
        <v/>
      </c>
      <c r="F330" s="43" t="n"/>
    </row>
    <row r="331" ht="15" customHeight="1" s="30">
      <c r="B331" s="42" t="n"/>
      <c r="C331" s="43" t="n"/>
      <c r="D331" s="44" t="n"/>
      <c r="E331" s="45">
        <f>IF($B331="","",IF($C331="Money in",-$D331,$D331))</f>
        <v/>
      </c>
      <c r="F331" s="43" t="n"/>
    </row>
    <row r="332" ht="15" customHeight="1" s="30">
      <c r="B332" s="42" t="n"/>
      <c r="C332" s="43" t="n"/>
      <c r="D332" s="44" t="n"/>
      <c r="E332" s="45">
        <f>IF($B332="","",IF($C332="Money in",-$D332,$D332))</f>
        <v/>
      </c>
      <c r="F332" s="43" t="n"/>
    </row>
    <row r="333" ht="15" customHeight="1" s="30">
      <c r="B333" s="42" t="n"/>
      <c r="C333" s="43" t="n"/>
      <c r="D333" s="44" t="n"/>
      <c r="E333" s="45">
        <f>IF($B333="","",IF($C333="Money in",-$D333,$D333))</f>
        <v/>
      </c>
      <c r="F333" s="43" t="n"/>
    </row>
    <row r="334" ht="15" customHeight="1" s="30">
      <c r="B334" s="42" t="n"/>
      <c r="C334" s="43" t="n"/>
      <c r="D334" s="44" t="n"/>
      <c r="E334" s="45">
        <f>IF($B334="","",IF($C334="Money in",-$D334,$D334))</f>
        <v/>
      </c>
      <c r="F334" s="43" t="n"/>
    </row>
    <row r="335" ht="15" customHeight="1" s="30">
      <c r="B335" s="42" t="n"/>
      <c r="C335" s="43" t="n"/>
      <c r="D335" s="44" t="n"/>
      <c r="E335" s="45">
        <f>IF($B335="","",IF($C335="Money in",-$D335,$D335))</f>
        <v/>
      </c>
      <c r="F335" s="43" t="n"/>
    </row>
    <row r="336" ht="15" customHeight="1" s="30">
      <c r="B336" s="42" t="n"/>
      <c r="C336" s="43" t="n"/>
      <c r="D336" s="44" t="n"/>
      <c r="E336" s="45">
        <f>IF($B336="","",IF($C336="Money in",-$D336,$D336))</f>
        <v/>
      </c>
      <c r="F336" s="43" t="n"/>
    </row>
    <row r="337" ht="15" customHeight="1" s="30">
      <c r="B337" s="42" t="n"/>
      <c r="C337" s="43" t="n"/>
      <c r="D337" s="44" t="n"/>
      <c r="E337" s="45">
        <f>IF($B337="","",IF($C337="Money in",-$D337,$D337))</f>
        <v/>
      </c>
      <c r="F337" s="43" t="n"/>
    </row>
    <row r="338" ht="15" customHeight="1" s="30">
      <c r="B338" s="42" t="n"/>
      <c r="C338" s="43" t="n"/>
      <c r="D338" s="44" t="n"/>
      <c r="E338" s="45">
        <f>IF($B338="","",IF($C338="Money in",-$D338,$D338))</f>
        <v/>
      </c>
      <c r="F338" s="43" t="n"/>
    </row>
    <row r="339" ht="15" customHeight="1" s="30">
      <c r="B339" s="42" t="n"/>
      <c r="C339" s="43" t="n"/>
      <c r="D339" s="44" t="n"/>
      <c r="E339" s="45">
        <f>IF($B339="","",IF($C339="Money in",-$D339,$D339))</f>
        <v/>
      </c>
      <c r="F339" s="43" t="n"/>
    </row>
    <row r="340" ht="15" customHeight="1" s="30">
      <c r="B340" s="42" t="n"/>
      <c r="C340" s="43" t="n"/>
      <c r="D340" s="44" t="n"/>
      <c r="E340" s="45">
        <f>IF($B340="","",IF($C340="Money in",-$D340,$D340))</f>
        <v/>
      </c>
      <c r="F340" s="43" t="n"/>
    </row>
    <row r="341" ht="15" customHeight="1" s="30">
      <c r="B341" s="42" t="n"/>
      <c r="C341" s="43" t="n"/>
      <c r="D341" s="44" t="n"/>
      <c r="E341" s="45">
        <f>IF($B341="","",IF($C341="Money in",-$D341,$D341))</f>
        <v/>
      </c>
      <c r="F341" s="43" t="n"/>
    </row>
    <row r="342" ht="15" customHeight="1" s="30">
      <c r="B342" s="42" t="n"/>
      <c r="C342" s="43" t="n"/>
      <c r="D342" s="44" t="n"/>
      <c r="E342" s="45">
        <f>IF($B342="","",IF($C342="Money in",-$D342,$D342))</f>
        <v/>
      </c>
      <c r="F342" s="43" t="n"/>
    </row>
    <row r="343" ht="15" customHeight="1" s="30">
      <c r="B343" s="42" t="n"/>
      <c r="C343" s="43" t="n"/>
      <c r="D343" s="44" t="n"/>
      <c r="E343" s="45">
        <f>IF($B343="","",IF($C343="Money in",-$D343,$D343))</f>
        <v/>
      </c>
      <c r="F343" s="43" t="n"/>
    </row>
    <row r="344" ht="15" customHeight="1" s="30">
      <c r="B344" s="42" t="n"/>
      <c r="C344" s="43" t="n"/>
      <c r="D344" s="44" t="n"/>
      <c r="E344" s="45">
        <f>IF($B344="","",IF($C344="Money in",-$D344,$D344))</f>
        <v/>
      </c>
      <c r="F344" s="43" t="n"/>
    </row>
    <row r="345" ht="15" customHeight="1" s="30">
      <c r="B345" s="42" t="n"/>
      <c r="C345" s="43" t="n"/>
      <c r="D345" s="44" t="n"/>
      <c r="E345" s="45">
        <f>IF($B345="","",IF($C345="Money in",-$D345,$D345))</f>
        <v/>
      </c>
      <c r="F345" s="43" t="n"/>
    </row>
    <row r="346" ht="15" customHeight="1" s="30">
      <c r="B346" s="42" t="n"/>
      <c r="C346" s="43" t="n"/>
      <c r="D346" s="44" t="n"/>
      <c r="E346" s="45">
        <f>IF($B346="","",IF($C346="Money in",-$D346,$D346))</f>
        <v/>
      </c>
      <c r="F346" s="43" t="n"/>
    </row>
    <row r="347" ht="15" customHeight="1" s="30">
      <c r="B347" s="42" t="n"/>
      <c r="C347" s="43" t="n"/>
      <c r="D347" s="44" t="n"/>
      <c r="E347" s="45">
        <f>IF($B347="","",IF($C347="Money in",-$D347,$D347))</f>
        <v/>
      </c>
      <c r="F347" s="43" t="n"/>
    </row>
    <row r="348" ht="15" customHeight="1" s="30">
      <c r="B348" s="42" t="n"/>
      <c r="C348" s="43" t="n"/>
      <c r="D348" s="44" t="n"/>
      <c r="E348" s="45">
        <f>IF($B348="","",IF($C348="Money in",-$D348,$D348))</f>
        <v/>
      </c>
      <c r="F348" s="43" t="n"/>
    </row>
    <row r="349" ht="15" customHeight="1" s="30">
      <c r="B349" s="42" t="n"/>
      <c r="C349" s="43" t="n"/>
      <c r="D349" s="44" t="n"/>
      <c r="E349" s="45">
        <f>IF($B349="","",IF($C349="Money in",-$D349,$D349))</f>
        <v/>
      </c>
      <c r="F349" s="43" t="n"/>
    </row>
    <row r="350" ht="15" customHeight="1" s="30">
      <c r="B350" s="42" t="n"/>
      <c r="C350" s="43" t="n"/>
      <c r="D350" s="44" t="n"/>
      <c r="E350" s="45">
        <f>IF($B350="","",IF($C350="Money in",-$D350,$D350))</f>
        <v/>
      </c>
      <c r="F350" s="43" t="n"/>
    </row>
    <row r="351" ht="15" customHeight="1" s="30">
      <c r="B351" s="42" t="n"/>
      <c r="C351" s="43" t="n"/>
      <c r="D351" s="44" t="n"/>
      <c r="E351" s="45">
        <f>IF($B351="","",IF($C351="Money in",-$D351,$D351))</f>
        <v/>
      </c>
      <c r="F351" s="43" t="n"/>
    </row>
    <row r="352" ht="15" customHeight="1" s="30">
      <c r="B352" s="42" t="n"/>
      <c r="C352" s="43" t="n"/>
      <c r="D352" s="44" t="n"/>
      <c r="E352" s="45">
        <f>IF($B352="","",IF($C352="Money in",-$D352,$D352))</f>
        <v/>
      </c>
      <c r="F352" s="43" t="n"/>
    </row>
    <row r="353" ht="15" customHeight="1" s="30">
      <c r="B353" s="42" t="n"/>
      <c r="C353" s="43" t="n"/>
      <c r="D353" s="44" t="n"/>
      <c r="E353" s="45">
        <f>IF($B353="","",IF($C353="Money in",-$D353,$D353))</f>
        <v/>
      </c>
      <c r="F353" s="43" t="n"/>
    </row>
    <row r="354" ht="15" customHeight="1" s="30">
      <c r="B354" s="42" t="n"/>
      <c r="C354" s="43" t="n"/>
      <c r="D354" s="44" t="n"/>
      <c r="E354" s="45">
        <f>IF($B354="","",IF($C354="Money in",-$D354,$D354))</f>
        <v/>
      </c>
      <c r="F354" s="43" t="n"/>
    </row>
    <row r="355" ht="15" customHeight="1" s="30">
      <c r="B355" s="42" t="n"/>
      <c r="C355" s="43" t="n"/>
      <c r="D355" s="44" t="n"/>
      <c r="E355" s="45">
        <f>IF($B355="","",IF($C355="Money in",-$D355,$D355))</f>
        <v/>
      </c>
      <c r="F355" s="43" t="n"/>
    </row>
    <row r="356" ht="15" customHeight="1" s="30">
      <c r="B356" s="42" t="n"/>
      <c r="C356" s="43" t="n"/>
      <c r="D356" s="44" t="n"/>
      <c r="E356" s="45">
        <f>IF($B356="","",IF($C356="Money in",-$D356,$D356))</f>
        <v/>
      </c>
      <c r="F356" s="43" t="n"/>
    </row>
    <row r="357" ht="15" customHeight="1" s="30">
      <c r="B357" s="42" t="n"/>
      <c r="C357" s="43" t="n"/>
      <c r="D357" s="44" t="n"/>
      <c r="E357" s="45">
        <f>IF($B357="","",IF($C357="Money in",-$D357,$D357))</f>
        <v/>
      </c>
      <c r="F357" s="43" t="n"/>
    </row>
    <row r="358" ht="15" customHeight="1" s="30">
      <c r="B358" s="42" t="n"/>
      <c r="C358" s="43" t="n"/>
      <c r="D358" s="44" t="n"/>
      <c r="E358" s="45">
        <f>IF($B358="","",IF($C358="Money in",-$D358,$D358))</f>
        <v/>
      </c>
      <c r="F358" s="43" t="n"/>
    </row>
    <row r="359" ht="15" customHeight="1" s="30">
      <c r="B359" s="42" t="n"/>
      <c r="C359" s="43" t="n"/>
      <c r="D359" s="44" t="n"/>
      <c r="E359" s="45">
        <f>IF($B359="","",IF($C359="Money in",-$D359,$D359))</f>
        <v/>
      </c>
      <c r="F359" s="43" t="n"/>
    </row>
    <row r="360" ht="15" customHeight="1" s="30">
      <c r="B360" s="42" t="n"/>
      <c r="C360" s="43" t="n"/>
      <c r="D360" s="44" t="n"/>
      <c r="E360" s="45">
        <f>IF($B360="","",IF($C360="Money in",-$D360,$D360))</f>
        <v/>
      </c>
      <c r="F360" s="43" t="n"/>
    </row>
    <row r="361" ht="15" customHeight="1" s="30">
      <c r="B361" s="42" t="n"/>
      <c r="C361" s="43" t="n"/>
      <c r="D361" s="44" t="n"/>
      <c r="E361" s="45">
        <f>IF($B361="","",IF($C361="Money in",-$D361,$D361))</f>
        <v/>
      </c>
      <c r="F361" s="43" t="n"/>
    </row>
    <row r="362" ht="15" customHeight="1" s="30">
      <c r="B362" s="42" t="n"/>
      <c r="C362" s="43" t="n"/>
      <c r="D362" s="44" t="n"/>
      <c r="E362" s="45">
        <f>IF($B362="","",IF($C362="Money in",-$D362,$D362))</f>
        <v/>
      </c>
      <c r="F362" s="43" t="n"/>
    </row>
    <row r="363" ht="15" customHeight="1" s="30">
      <c r="B363" s="42" t="n"/>
      <c r="C363" s="43" t="n"/>
      <c r="D363" s="44" t="n"/>
      <c r="E363" s="45">
        <f>IF($B363="","",IF($C363="Money in",-$D363,$D363))</f>
        <v/>
      </c>
      <c r="F363" s="43" t="n"/>
    </row>
    <row r="364" ht="15" customHeight="1" s="30">
      <c r="B364" s="42" t="n"/>
      <c r="C364" s="43" t="n"/>
      <c r="D364" s="44" t="n"/>
      <c r="E364" s="45">
        <f>IF($B364="","",IF($C364="Money in",-$D364,$D364))</f>
        <v/>
      </c>
      <c r="F364" s="43" t="n"/>
    </row>
    <row r="365" ht="15" customHeight="1" s="30">
      <c r="B365" s="42" t="n"/>
      <c r="C365" s="43" t="n"/>
      <c r="D365" s="44" t="n"/>
      <c r="E365" s="45">
        <f>IF($B365="","",IF($C365="Money in",-$D365,$D365))</f>
        <v/>
      </c>
      <c r="F365" s="43" t="n"/>
    </row>
    <row r="366" ht="15" customHeight="1" s="30">
      <c r="B366" s="42" t="n"/>
      <c r="C366" s="43" t="n"/>
      <c r="D366" s="44" t="n"/>
      <c r="E366" s="45">
        <f>IF($B366="","",IF($C366="Money in",-$D366,$D366))</f>
        <v/>
      </c>
      <c r="F366" s="43" t="n"/>
    </row>
    <row r="367" ht="15" customHeight="1" s="30">
      <c r="B367" s="42" t="n"/>
      <c r="C367" s="43" t="n"/>
      <c r="D367" s="44" t="n"/>
      <c r="E367" s="45">
        <f>IF($B367="","",IF($C367="Money in",-$D367,$D367))</f>
        <v/>
      </c>
      <c r="F367" s="43" t="n"/>
    </row>
    <row r="368" ht="15" customHeight="1" s="30">
      <c r="B368" s="42" t="n"/>
      <c r="C368" s="43" t="n"/>
      <c r="D368" s="44" t="n"/>
      <c r="E368" s="45">
        <f>IF($B368="","",IF($C368="Money in",-$D368,$D368))</f>
        <v/>
      </c>
      <c r="F368" s="43" t="n"/>
    </row>
    <row r="369" ht="15" customHeight="1" s="30">
      <c r="B369" s="42" t="n"/>
      <c r="C369" s="43" t="n"/>
      <c r="D369" s="44" t="n"/>
      <c r="E369" s="45">
        <f>IF($B369="","",IF($C369="Money in",-$D369,$D369))</f>
        <v/>
      </c>
      <c r="F369" s="43" t="n"/>
    </row>
    <row r="370" ht="15" customHeight="1" s="30">
      <c r="B370" s="42" t="n"/>
      <c r="C370" s="43" t="n"/>
      <c r="D370" s="44" t="n"/>
      <c r="E370" s="45">
        <f>IF($B370="","",IF($C370="Money in",-$D370,$D370))</f>
        <v/>
      </c>
      <c r="F370" s="43" t="n"/>
    </row>
    <row r="371" ht="15" customHeight="1" s="30">
      <c r="B371" s="42" t="n"/>
      <c r="C371" s="43" t="n"/>
      <c r="D371" s="44" t="n"/>
      <c r="E371" s="45">
        <f>IF($B371="","",IF($C371="Money in",-$D371,$D371))</f>
        <v/>
      </c>
      <c r="F371" s="43" t="n"/>
    </row>
    <row r="372" ht="15" customHeight="1" s="30">
      <c r="B372" s="42" t="n"/>
      <c r="C372" s="43" t="n"/>
      <c r="D372" s="44" t="n"/>
      <c r="E372" s="45">
        <f>IF($B372="","",IF($C372="Money in",-$D372,$D372))</f>
        <v/>
      </c>
      <c r="F372" s="43" t="n"/>
    </row>
    <row r="373" ht="15" customHeight="1" s="30">
      <c r="B373" s="42" t="n"/>
      <c r="C373" s="43" t="n"/>
      <c r="D373" s="44" t="n"/>
      <c r="E373" s="45">
        <f>IF($B373="","",IF($C373="Money in",-$D373,$D373))</f>
        <v/>
      </c>
      <c r="F373" s="43" t="n"/>
    </row>
    <row r="374" ht="15" customHeight="1" s="30">
      <c r="B374" s="42" t="n"/>
      <c r="C374" s="43" t="n"/>
      <c r="D374" s="44" t="n"/>
      <c r="E374" s="45">
        <f>IF($B374="","",IF($C374="Money in",-$D374,$D374))</f>
        <v/>
      </c>
      <c r="F374" s="43" t="n"/>
    </row>
    <row r="375" ht="15" customHeight="1" s="30">
      <c r="B375" s="42" t="n"/>
      <c r="C375" s="43" t="n"/>
      <c r="D375" s="44" t="n"/>
      <c r="E375" s="45">
        <f>IF($B375="","",IF($C375="Money in",-$D375,$D375))</f>
        <v/>
      </c>
      <c r="F375" s="43" t="n"/>
    </row>
    <row r="376" ht="15" customHeight="1" s="30">
      <c r="B376" s="42" t="n"/>
      <c r="C376" s="43" t="n"/>
      <c r="D376" s="44" t="n"/>
      <c r="E376" s="45">
        <f>IF($B376="","",IF($C376="Money in",-$D376,$D376))</f>
        <v/>
      </c>
      <c r="F376" s="43" t="n"/>
    </row>
    <row r="377" ht="15" customHeight="1" s="30">
      <c r="B377" s="42" t="n"/>
      <c r="C377" s="43" t="n"/>
      <c r="D377" s="44" t="n"/>
      <c r="E377" s="45">
        <f>IF($B377="","",IF($C377="Money in",-$D377,$D377))</f>
        <v/>
      </c>
      <c r="F377" s="43" t="n"/>
    </row>
    <row r="378" ht="15" customHeight="1" s="30">
      <c r="B378" s="42" t="n"/>
      <c r="C378" s="43" t="n"/>
      <c r="D378" s="44" t="n"/>
      <c r="E378" s="45">
        <f>IF($B378="","",IF($C378="Money in",-$D378,$D378))</f>
        <v/>
      </c>
      <c r="F378" s="43" t="n"/>
    </row>
    <row r="379" ht="15" customHeight="1" s="30">
      <c r="B379" s="42" t="n"/>
      <c r="C379" s="43" t="n"/>
      <c r="D379" s="44" t="n"/>
      <c r="E379" s="45">
        <f>IF($B379="","",IF($C379="Money in",-$D379,$D379))</f>
        <v/>
      </c>
      <c r="F379" s="43" t="n"/>
    </row>
    <row r="380" ht="15" customHeight="1" s="30">
      <c r="B380" s="42" t="n"/>
      <c r="C380" s="43" t="n"/>
      <c r="D380" s="44" t="n"/>
      <c r="E380" s="45">
        <f>IF($B380="","",IF($C380="Money in",-$D380,$D380))</f>
        <v/>
      </c>
      <c r="F380" s="43" t="n"/>
    </row>
    <row r="381" ht="15" customHeight="1" s="30">
      <c r="B381" s="42" t="n"/>
      <c r="C381" s="43" t="n"/>
      <c r="D381" s="44" t="n"/>
      <c r="E381" s="45">
        <f>IF($B381="","",IF($C381="Money in",-$D381,$D381))</f>
        <v/>
      </c>
      <c r="F381" s="43" t="n"/>
    </row>
    <row r="382" ht="15" customHeight="1" s="30">
      <c r="B382" s="42" t="n"/>
      <c r="C382" s="43" t="n"/>
      <c r="D382" s="44" t="n"/>
      <c r="E382" s="45">
        <f>IF($B382="","",IF($C382="Money in",-$D382,$D382))</f>
        <v/>
      </c>
      <c r="F382" s="43" t="n"/>
    </row>
    <row r="383" ht="15" customHeight="1" s="30">
      <c r="B383" s="42" t="n"/>
      <c r="C383" s="43" t="n"/>
      <c r="D383" s="44" t="n"/>
      <c r="E383" s="45">
        <f>IF($B383="","",IF($C383="Money in",-$D383,$D383))</f>
        <v/>
      </c>
      <c r="F383" s="43" t="n"/>
    </row>
    <row r="384" ht="15" customHeight="1" s="30">
      <c r="B384" s="42" t="n"/>
      <c r="C384" s="43" t="n"/>
      <c r="D384" s="44" t="n"/>
      <c r="E384" s="45">
        <f>IF($B384="","",IF($C384="Money in",-$D384,$D384))</f>
        <v/>
      </c>
      <c r="F384" s="43" t="n"/>
    </row>
    <row r="385" ht="15" customHeight="1" s="30">
      <c r="B385" s="42" t="n"/>
      <c r="C385" s="43" t="n"/>
      <c r="D385" s="44" t="n"/>
      <c r="E385" s="45">
        <f>IF($B385="","",IF($C385="Money in",-$D385,$D385))</f>
        <v/>
      </c>
      <c r="F385" s="43" t="n"/>
    </row>
    <row r="386" ht="15" customHeight="1" s="30">
      <c r="B386" s="42" t="n"/>
      <c r="C386" s="43" t="n"/>
      <c r="D386" s="44" t="n"/>
      <c r="E386" s="45">
        <f>IF($B386="","",IF($C386="Money in",-$D386,$D386))</f>
        <v/>
      </c>
      <c r="F386" s="43" t="n"/>
    </row>
    <row r="387" ht="15" customHeight="1" s="30">
      <c r="B387" s="42" t="n"/>
      <c r="C387" s="43" t="n"/>
      <c r="D387" s="44" t="n"/>
      <c r="E387" s="45">
        <f>IF($B387="","",IF($C387="Money in",-$D387,$D387))</f>
        <v/>
      </c>
      <c r="F387" s="43" t="n"/>
    </row>
    <row r="388" ht="15" customHeight="1" s="30">
      <c r="B388" s="42" t="n"/>
      <c r="C388" s="43" t="n"/>
      <c r="D388" s="44" t="n"/>
      <c r="E388" s="45">
        <f>IF($B388="","",IF($C388="Money in",-$D388,$D388))</f>
        <v/>
      </c>
      <c r="F388" s="43" t="n"/>
    </row>
    <row r="389" ht="15" customHeight="1" s="30">
      <c r="B389" s="42" t="n"/>
      <c r="C389" s="43" t="n"/>
      <c r="D389" s="44" t="n"/>
      <c r="E389" s="45">
        <f>IF($B389="","",IF($C389="Money in",-$D389,$D389))</f>
        <v/>
      </c>
      <c r="F389" s="43" t="n"/>
    </row>
    <row r="390" ht="15" customHeight="1" s="30">
      <c r="B390" s="42" t="n"/>
      <c r="C390" s="43" t="n"/>
      <c r="D390" s="44" t="n"/>
      <c r="E390" s="45">
        <f>IF($B390="","",IF($C390="Money in",-$D390,$D390))</f>
        <v/>
      </c>
      <c r="F390" s="43" t="n"/>
    </row>
    <row r="391" ht="15" customHeight="1" s="30">
      <c r="B391" s="42" t="n"/>
      <c r="C391" s="43" t="n"/>
      <c r="D391" s="44" t="n"/>
      <c r="E391" s="45">
        <f>IF($B391="","",IF($C391="Money in",-$D391,$D391))</f>
        <v/>
      </c>
      <c r="F391" s="43" t="n"/>
    </row>
    <row r="392" ht="15" customHeight="1" s="30">
      <c r="B392" s="42" t="n"/>
      <c r="C392" s="43" t="n"/>
      <c r="D392" s="44" t="n"/>
      <c r="E392" s="45">
        <f>IF($B392="","",IF($C392="Money in",-$D392,$D392))</f>
        <v/>
      </c>
      <c r="F392" s="43" t="n"/>
    </row>
    <row r="393" ht="15" customHeight="1" s="30">
      <c r="B393" s="42" t="n"/>
      <c r="C393" s="43" t="n"/>
      <c r="D393" s="44" t="n"/>
      <c r="E393" s="45">
        <f>IF($B393="","",IF($C393="Money in",-$D393,$D393))</f>
        <v/>
      </c>
      <c r="F393" s="43" t="n"/>
    </row>
    <row r="394" ht="15" customHeight="1" s="30">
      <c r="B394" s="42" t="n"/>
      <c r="C394" s="43" t="n"/>
      <c r="D394" s="44" t="n"/>
      <c r="E394" s="45">
        <f>IF($B394="","",IF($C394="Money in",-$D394,$D394))</f>
        <v/>
      </c>
      <c r="F394" s="43" t="n"/>
    </row>
    <row r="395" ht="15" customHeight="1" s="30">
      <c r="B395" s="42" t="n"/>
      <c r="C395" s="43" t="n"/>
      <c r="D395" s="44" t="n"/>
      <c r="E395" s="45">
        <f>IF($B395="","",IF($C395="Money in",-$D395,$D395))</f>
        <v/>
      </c>
      <c r="F395" s="43" t="n"/>
    </row>
    <row r="396" ht="15" customHeight="1" s="30">
      <c r="B396" s="42" t="n"/>
      <c r="C396" s="43" t="n"/>
      <c r="D396" s="44" t="n"/>
      <c r="E396" s="45">
        <f>IF($B396="","",IF($C396="Money in",-$D396,$D396))</f>
        <v/>
      </c>
      <c r="F396" s="43" t="n"/>
    </row>
    <row r="397" ht="15" customHeight="1" s="30">
      <c r="B397" s="42" t="n"/>
      <c r="C397" s="43" t="n"/>
      <c r="D397" s="44" t="n"/>
      <c r="E397" s="45">
        <f>IF($B397="","",IF($C397="Money in",-$D397,$D397))</f>
        <v/>
      </c>
      <c r="F397" s="43" t="n"/>
    </row>
    <row r="398" ht="15" customHeight="1" s="30">
      <c r="B398" s="42" t="n"/>
      <c r="C398" s="43" t="n"/>
      <c r="D398" s="44" t="n"/>
      <c r="E398" s="45">
        <f>IF($B398="","",IF($C398="Money in",-$D398,$D398))</f>
        <v/>
      </c>
      <c r="F398" s="43" t="n"/>
    </row>
    <row r="399" ht="15" customHeight="1" s="30">
      <c r="B399" s="42" t="n"/>
      <c r="C399" s="43" t="n"/>
      <c r="D399" s="44" t="n"/>
      <c r="E399" s="45">
        <f>IF($B399="","",IF($C399="Money in",-$D399,$D399))</f>
        <v/>
      </c>
      <c r="F399" s="43" t="n"/>
    </row>
    <row r="400" ht="15" customHeight="1" s="30">
      <c r="B400" s="42" t="n"/>
      <c r="C400" s="43" t="n"/>
      <c r="D400" s="44" t="n"/>
      <c r="E400" s="45">
        <f>IF($B400="","",IF($C400="Money in",-$D400,$D400))</f>
        <v/>
      </c>
      <c r="F400" s="43" t="n"/>
    </row>
    <row r="401" ht="15" customHeight="1" s="30">
      <c r="B401" s="42" t="n"/>
      <c r="C401" s="43" t="n"/>
      <c r="D401" s="44" t="n"/>
      <c r="E401" s="45">
        <f>IF($B401="","",IF($C401="Money in",-$D401,$D401))</f>
        <v/>
      </c>
      <c r="F401" s="43" t="n"/>
    </row>
    <row r="402" ht="15" customHeight="1" s="30">
      <c r="B402" s="42" t="n"/>
      <c r="C402" s="43" t="n"/>
      <c r="D402" s="44" t="n"/>
      <c r="E402" s="45">
        <f>IF($B402="","",IF($C402="Money in",-$D402,$D402))</f>
        <v/>
      </c>
      <c r="F402" s="43" t="n"/>
    </row>
    <row r="403" ht="15" customHeight="1" s="30">
      <c r="B403" s="42" t="n"/>
      <c r="C403" s="43" t="n"/>
      <c r="D403" s="44" t="n"/>
      <c r="E403" s="45">
        <f>IF($B403="","",IF($C403="Money in",-$D403,$D403))</f>
        <v/>
      </c>
      <c r="F403" s="43" t="n"/>
    </row>
    <row r="404" ht="15" customHeight="1" s="30">
      <c r="B404" s="42" t="n"/>
      <c r="C404" s="43" t="n"/>
      <c r="D404" s="44" t="n"/>
      <c r="E404" s="45">
        <f>IF($B404="","",IF($C404="Money in",-$D404,$D404))</f>
        <v/>
      </c>
      <c r="F404" s="43" t="n"/>
    </row>
    <row r="405" ht="15" customHeight="1" s="30">
      <c r="B405" s="42" t="n"/>
      <c r="C405" s="43" t="n"/>
      <c r="D405" s="44" t="n"/>
      <c r="E405" s="45">
        <f>IF($B405="","",IF($C405="Money in",-$D405,$D405))</f>
        <v/>
      </c>
      <c r="F405" s="43" t="n"/>
    </row>
    <row r="406" ht="15" customHeight="1" s="30">
      <c r="B406" s="42" t="n"/>
      <c r="C406" s="43" t="n"/>
      <c r="D406" s="44" t="n"/>
      <c r="E406" s="45">
        <f>IF($B406="","",IF($C406="Money in",-$D406,$D406))</f>
        <v/>
      </c>
      <c r="F406" s="43" t="n"/>
    </row>
    <row r="407" ht="15" customHeight="1" s="30">
      <c r="B407" s="42" t="n"/>
      <c r="C407" s="43" t="n"/>
      <c r="D407" s="44" t="n"/>
      <c r="E407" s="45">
        <f>IF($B407="","",IF($C407="Money in",-$D407,$D407))</f>
        <v/>
      </c>
      <c r="F407" s="43" t="n"/>
    </row>
    <row r="408" ht="15" customHeight="1" s="30">
      <c r="B408" s="42" t="n"/>
      <c r="C408" s="43" t="n"/>
      <c r="D408" s="44" t="n"/>
      <c r="E408" s="45">
        <f>IF($B408="","",IF($C408="Money in",-$D408,$D408))</f>
        <v/>
      </c>
      <c r="F408" s="43" t="n"/>
    </row>
    <row r="409" ht="15" customHeight="1" s="30">
      <c r="B409" s="42" t="n"/>
      <c r="C409" s="43" t="n"/>
      <c r="D409" s="44" t="n"/>
      <c r="E409" s="45">
        <f>IF($B409="","",IF($C409="Money in",-$D409,$D409))</f>
        <v/>
      </c>
      <c r="F409" s="43" t="n"/>
    </row>
    <row r="410" ht="15" customHeight="1" s="30">
      <c r="B410" s="42" t="n"/>
      <c r="C410" s="43" t="n"/>
      <c r="D410" s="44" t="n"/>
      <c r="E410" s="45">
        <f>IF($B410="","",IF($C410="Money in",-$D410,$D410))</f>
        <v/>
      </c>
      <c r="F410" s="43" t="n"/>
    </row>
    <row r="411" ht="15" customHeight="1" s="30">
      <c r="B411" s="42" t="n"/>
      <c r="C411" s="43" t="n"/>
      <c r="D411" s="44" t="n"/>
      <c r="E411" s="45">
        <f>IF($B411="","",IF($C411="Money in",-$D411,$D411))</f>
        <v/>
      </c>
      <c r="F411" s="43" t="n"/>
    </row>
    <row r="412" ht="15" customHeight="1" s="30">
      <c r="B412" s="42" t="n"/>
      <c r="C412" s="43" t="n"/>
      <c r="D412" s="44" t="n"/>
      <c r="E412" s="45">
        <f>IF($B412="","",IF($C412="Money in",-$D412,$D412))</f>
        <v/>
      </c>
      <c r="F412" s="43" t="n"/>
    </row>
    <row r="413" ht="15" customHeight="1" s="30">
      <c r="B413" s="42" t="n"/>
      <c r="C413" s="43" t="n"/>
      <c r="D413" s="44" t="n"/>
      <c r="E413" s="45">
        <f>IF($B413="","",IF($C413="Money in",-$D413,$D413))</f>
        <v/>
      </c>
      <c r="F413" s="43" t="n"/>
    </row>
    <row r="414" ht="15" customHeight="1" s="30">
      <c r="B414" s="42" t="n"/>
      <c r="C414" s="43" t="n"/>
      <c r="D414" s="44" t="n"/>
      <c r="E414" s="45">
        <f>IF($B414="","",IF($C414="Money in",-$D414,$D414))</f>
        <v/>
      </c>
      <c r="F414" s="43" t="n"/>
    </row>
    <row r="415" ht="15" customHeight="1" s="30">
      <c r="B415" s="42" t="n"/>
      <c r="C415" s="43" t="n"/>
      <c r="D415" s="44" t="n"/>
      <c r="E415" s="45">
        <f>IF($B415="","",IF($C415="Money in",-$D415,$D415))</f>
        <v/>
      </c>
      <c r="F415" s="43" t="n"/>
    </row>
    <row r="416" ht="15" customHeight="1" s="30">
      <c r="B416" s="42" t="n"/>
      <c r="C416" s="43" t="n"/>
      <c r="D416" s="44" t="n"/>
      <c r="E416" s="45">
        <f>IF($B416="","",IF($C416="Money in",-$D416,$D416))</f>
        <v/>
      </c>
      <c r="F416" s="43" t="n"/>
    </row>
    <row r="417" ht="15" customHeight="1" s="30">
      <c r="B417" s="42" t="n"/>
      <c r="C417" s="43" t="n"/>
      <c r="D417" s="44" t="n"/>
      <c r="E417" s="45">
        <f>IF($B417="","",IF($C417="Money in",-$D417,$D417))</f>
        <v/>
      </c>
      <c r="F417" s="43" t="n"/>
    </row>
    <row r="418" ht="15" customHeight="1" s="30">
      <c r="B418" s="42" t="n"/>
      <c r="C418" s="43" t="n"/>
      <c r="D418" s="44" t="n"/>
      <c r="E418" s="45">
        <f>IF($B418="","",IF($C418="Money in",-$D418,$D418))</f>
        <v/>
      </c>
      <c r="F418" s="43" t="n"/>
    </row>
    <row r="419" ht="15" customHeight="1" s="30">
      <c r="B419" s="42" t="n"/>
      <c r="C419" s="43" t="n"/>
      <c r="D419" s="44" t="n"/>
      <c r="E419" s="45">
        <f>IF($B419="","",IF($C419="Money in",-$D419,$D419))</f>
        <v/>
      </c>
      <c r="F419" s="43" t="n"/>
    </row>
    <row r="420" ht="15" customHeight="1" s="30">
      <c r="B420" s="42" t="n"/>
      <c r="C420" s="43" t="n"/>
      <c r="D420" s="44" t="n"/>
      <c r="E420" s="45">
        <f>IF($B420="","",IF($C420="Money in",-$D420,$D420))</f>
        <v/>
      </c>
      <c r="F420" s="43" t="n"/>
    </row>
    <row r="421" ht="15" customHeight="1" s="30">
      <c r="B421" s="42" t="n"/>
      <c r="C421" s="43" t="n"/>
      <c r="D421" s="44" t="n"/>
      <c r="E421" s="45">
        <f>IF($B421="","",IF($C421="Money in",-$D421,$D421))</f>
        <v/>
      </c>
      <c r="F421" s="43" t="n"/>
    </row>
    <row r="422" ht="15" customHeight="1" s="30">
      <c r="B422" s="42" t="n"/>
      <c r="C422" s="43" t="n"/>
      <c r="D422" s="44" t="n"/>
      <c r="E422" s="45">
        <f>IF($B422="","",IF($C422="Money in",-$D422,$D422))</f>
        <v/>
      </c>
      <c r="F422" s="43" t="n"/>
    </row>
    <row r="423" ht="15" customHeight="1" s="30">
      <c r="B423" s="42" t="n"/>
      <c r="C423" s="43" t="n"/>
      <c r="D423" s="44" t="n"/>
      <c r="E423" s="45">
        <f>IF($B423="","",IF($C423="Money in",-$D423,$D423))</f>
        <v/>
      </c>
      <c r="F423" s="43" t="n"/>
    </row>
    <row r="424" ht="15" customHeight="1" s="30">
      <c r="B424" s="42" t="n"/>
      <c r="C424" s="43" t="n"/>
      <c r="D424" s="44" t="n"/>
      <c r="E424" s="45">
        <f>IF($B424="","",IF($C424="Money in",-$D424,$D424))</f>
        <v/>
      </c>
      <c r="F424" s="43" t="n"/>
    </row>
    <row r="425" ht="15" customHeight="1" s="30">
      <c r="B425" s="42" t="n"/>
      <c r="C425" s="43" t="n"/>
      <c r="D425" s="44" t="n"/>
      <c r="E425" s="45">
        <f>IF($B425="","",IF($C425="Money in",-$D425,$D425))</f>
        <v/>
      </c>
      <c r="F425" s="43" t="n"/>
    </row>
    <row r="426" ht="15" customHeight="1" s="30">
      <c r="B426" s="42" t="n"/>
      <c r="C426" s="43" t="n"/>
      <c r="D426" s="44" t="n"/>
      <c r="E426" s="45">
        <f>IF($B426="","",IF($C426="Money in",-$D426,$D426))</f>
        <v/>
      </c>
      <c r="F426" s="43" t="n"/>
    </row>
    <row r="427" ht="15" customHeight="1" s="30">
      <c r="B427" s="42" t="n"/>
      <c r="C427" s="43" t="n"/>
      <c r="D427" s="44" t="n"/>
      <c r="E427" s="45">
        <f>IF($B427="","",IF($C427="Money in",-$D427,$D427))</f>
        <v/>
      </c>
      <c r="F427" s="43" t="n"/>
    </row>
    <row r="428" ht="15" customHeight="1" s="30">
      <c r="B428" s="42" t="n"/>
      <c r="C428" s="43" t="n"/>
      <c r="D428" s="44" t="n"/>
      <c r="E428" s="45">
        <f>IF($B428="","",IF($C428="Money in",-$D428,$D428))</f>
        <v/>
      </c>
      <c r="F428" s="43" t="n"/>
    </row>
    <row r="429" ht="15" customHeight="1" s="30">
      <c r="B429" s="42" t="n"/>
      <c r="C429" s="43" t="n"/>
      <c r="D429" s="44" t="n"/>
      <c r="E429" s="45">
        <f>IF($B429="","",IF($C429="Money in",-$D429,$D429))</f>
        <v/>
      </c>
      <c r="F429" s="43" t="n"/>
    </row>
    <row r="430" ht="15" customHeight="1" s="30">
      <c r="B430" s="42" t="n"/>
      <c r="C430" s="43" t="n"/>
      <c r="D430" s="44" t="n"/>
      <c r="E430" s="45">
        <f>IF($B430="","",IF($C430="Money in",-$D430,$D430))</f>
        <v/>
      </c>
      <c r="F430" s="43" t="n"/>
    </row>
    <row r="431" ht="15" customHeight="1" s="30">
      <c r="B431" s="42" t="n"/>
      <c r="C431" s="43" t="n"/>
      <c r="D431" s="44" t="n"/>
      <c r="E431" s="45">
        <f>IF($B431="","",IF($C431="Money in",-$D431,$D431))</f>
        <v/>
      </c>
      <c r="F431" s="43" t="n"/>
    </row>
    <row r="432" ht="15" customHeight="1" s="30">
      <c r="B432" s="42" t="n"/>
      <c r="C432" s="43" t="n"/>
      <c r="D432" s="44" t="n"/>
      <c r="E432" s="45">
        <f>IF($B432="","",IF($C432="Money in",-$D432,$D432))</f>
        <v/>
      </c>
      <c r="F432" s="43" t="n"/>
    </row>
    <row r="433" ht="15" customHeight="1" s="30">
      <c r="B433" s="42" t="n"/>
      <c r="C433" s="43" t="n"/>
      <c r="D433" s="44" t="n"/>
      <c r="E433" s="45">
        <f>IF($B433="","",IF($C433="Money in",-$D433,$D433))</f>
        <v/>
      </c>
      <c r="F433" s="43" t="n"/>
    </row>
    <row r="434" ht="15" customHeight="1" s="30">
      <c r="B434" s="42" t="n"/>
      <c r="C434" s="43" t="n"/>
      <c r="D434" s="44" t="n"/>
      <c r="E434" s="45">
        <f>IF($B434="","",IF($C434="Money in",-$D434,$D434))</f>
        <v/>
      </c>
      <c r="F434" s="43" t="n"/>
    </row>
    <row r="435" ht="15" customHeight="1" s="30">
      <c r="B435" s="42" t="n"/>
      <c r="C435" s="43" t="n"/>
      <c r="D435" s="44" t="n"/>
      <c r="E435" s="45">
        <f>IF($B435="","",IF($C435="Money in",-$D435,$D435))</f>
        <v/>
      </c>
      <c r="F435" s="43" t="n"/>
    </row>
    <row r="436" ht="15" customHeight="1" s="30">
      <c r="B436" s="42" t="n"/>
      <c r="C436" s="43" t="n"/>
      <c r="D436" s="44" t="n"/>
      <c r="E436" s="45">
        <f>IF($B436="","",IF($C436="Money in",-$D436,$D436))</f>
        <v/>
      </c>
      <c r="F436" s="43" t="n"/>
    </row>
    <row r="437" ht="15" customHeight="1" s="30">
      <c r="B437" s="42" t="n"/>
      <c r="C437" s="43" t="n"/>
      <c r="D437" s="44" t="n"/>
      <c r="E437" s="45">
        <f>IF($B437="","",IF($C437="Money in",-$D437,$D437))</f>
        <v/>
      </c>
      <c r="F437" s="43" t="n"/>
    </row>
    <row r="438" ht="15" customHeight="1" s="30">
      <c r="B438" s="42" t="n"/>
      <c r="C438" s="43" t="n"/>
      <c r="D438" s="44" t="n"/>
      <c r="E438" s="45">
        <f>IF($B438="","",IF($C438="Money in",-$D438,$D438))</f>
        <v/>
      </c>
      <c r="F438" s="43" t="n"/>
    </row>
    <row r="439" ht="15" customHeight="1" s="30">
      <c r="B439" s="42" t="n"/>
      <c r="C439" s="43" t="n"/>
      <c r="D439" s="44" t="n"/>
      <c r="E439" s="45">
        <f>IF($B439="","",IF($C439="Money in",-$D439,$D439))</f>
        <v/>
      </c>
      <c r="F439" s="43" t="n"/>
    </row>
    <row r="440" ht="15" customHeight="1" s="30">
      <c r="B440" s="42" t="n"/>
      <c r="C440" s="43" t="n"/>
      <c r="D440" s="44" t="n"/>
      <c r="E440" s="45">
        <f>IF($B440="","",IF($C440="Money in",-$D440,$D440))</f>
        <v/>
      </c>
      <c r="F440" s="43" t="n"/>
    </row>
    <row r="441" ht="15" customHeight="1" s="30">
      <c r="B441" s="42" t="n"/>
      <c r="C441" s="43" t="n"/>
      <c r="D441" s="44" t="n"/>
      <c r="E441" s="45">
        <f>IF($B441="","",IF($C441="Money in",-$D441,$D441))</f>
        <v/>
      </c>
      <c r="F441" s="43" t="n"/>
    </row>
    <row r="442" ht="15" customHeight="1" s="30">
      <c r="B442" s="42" t="n"/>
      <c r="C442" s="43" t="n"/>
      <c r="D442" s="44" t="n"/>
      <c r="E442" s="45">
        <f>IF($B442="","",IF($C442="Money in",-$D442,$D442))</f>
        <v/>
      </c>
      <c r="F442" s="43" t="n"/>
    </row>
    <row r="443" ht="15" customHeight="1" s="30">
      <c r="B443" s="42" t="n"/>
      <c r="C443" s="43" t="n"/>
      <c r="D443" s="44" t="n"/>
      <c r="E443" s="45">
        <f>IF($B443="","",IF($C443="Money in",-$D443,$D443))</f>
        <v/>
      </c>
      <c r="F443" s="43" t="n"/>
    </row>
    <row r="444" ht="15" customHeight="1" s="30">
      <c r="B444" s="42" t="n"/>
      <c r="C444" s="43" t="n"/>
      <c r="D444" s="44" t="n"/>
      <c r="E444" s="45">
        <f>IF($B444="","",IF($C444="Money in",-$D444,$D444))</f>
        <v/>
      </c>
      <c r="F444" s="43" t="n"/>
    </row>
    <row r="445" ht="15" customHeight="1" s="30">
      <c r="B445" s="42" t="n"/>
      <c r="C445" s="43" t="n"/>
      <c r="D445" s="44" t="n"/>
      <c r="E445" s="45">
        <f>IF($B445="","",IF($C445="Money in",-$D445,$D445))</f>
        <v/>
      </c>
      <c r="F445" s="43" t="n"/>
    </row>
    <row r="446" ht="15" customHeight="1" s="30">
      <c r="B446" s="42" t="n"/>
      <c r="C446" s="43" t="n"/>
      <c r="D446" s="44" t="n"/>
      <c r="E446" s="45">
        <f>IF($B446="","",IF($C446="Money in",-$D446,$D446))</f>
        <v/>
      </c>
      <c r="F446" s="43" t="n"/>
    </row>
    <row r="447" ht="15" customHeight="1" s="30">
      <c r="B447" s="42" t="n"/>
      <c r="C447" s="43" t="n"/>
      <c r="D447" s="44" t="n"/>
      <c r="E447" s="45">
        <f>IF($B447="","",IF($C447="Money in",-$D447,$D447))</f>
        <v/>
      </c>
      <c r="F447" s="43" t="n"/>
    </row>
    <row r="448" ht="15" customHeight="1" s="30">
      <c r="B448" s="42" t="n"/>
      <c r="C448" s="43" t="n"/>
      <c r="D448" s="44" t="n"/>
      <c r="E448" s="45">
        <f>IF($B448="","",IF($C448="Money in",-$D448,$D448))</f>
        <v/>
      </c>
      <c r="F448" s="43" t="n"/>
    </row>
    <row r="449" ht="15" customHeight="1" s="30">
      <c r="B449" s="42" t="n"/>
      <c r="C449" s="43" t="n"/>
      <c r="D449" s="44" t="n"/>
      <c r="E449" s="45">
        <f>IF($B449="","",IF($C449="Money in",-$D449,$D449))</f>
        <v/>
      </c>
      <c r="F449" s="43" t="n"/>
    </row>
    <row r="450" ht="15" customHeight="1" s="30">
      <c r="B450" s="42" t="n"/>
      <c r="C450" s="43" t="n"/>
      <c r="D450" s="44" t="n"/>
      <c r="E450" s="45">
        <f>IF($B450="","",IF($C450="Money in",-$D450,$D450))</f>
        <v/>
      </c>
      <c r="F450" s="43" t="n"/>
    </row>
    <row r="451" ht="15" customHeight="1" s="30">
      <c r="B451" s="42" t="n"/>
      <c r="C451" s="43" t="n"/>
      <c r="D451" s="44" t="n"/>
      <c r="E451" s="45">
        <f>IF($B451="","",IF($C451="Money in",-$D451,$D451))</f>
        <v/>
      </c>
      <c r="F451" s="43" t="n"/>
    </row>
    <row r="452" ht="15" customHeight="1" s="30">
      <c r="B452" s="42" t="n"/>
      <c r="C452" s="43" t="n"/>
      <c r="D452" s="44" t="n"/>
      <c r="E452" s="45">
        <f>IF($B452="","",IF($C452="Money in",-$D452,$D452))</f>
        <v/>
      </c>
      <c r="F452" s="43" t="n"/>
    </row>
    <row r="453" ht="15" customHeight="1" s="30">
      <c r="B453" s="42" t="n"/>
      <c r="C453" s="43" t="n"/>
      <c r="D453" s="44" t="n"/>
      <c r="E453" s="45">
        <f>IF($B453="","",IF($C453="Money in",-$D453,$D453))</f>
        <v/>
      </c>
      <c r="F453" s="43" t="n"/>
    </row>
    <row r="454" ht="15" customHeight="1" s="30">
      <c r="B454" s="42" t="n"/>
      <c r="C454" s="43" t="n"/>
      <c r="D454" s="44" t="n"/>
      <c r="E454" s="45">
        <f>IF($B454="","",IF($C454="Money in",-$D454,$D454))</f>
        <v/>
      </c>
      <c r="F454" s="43" t="n"/>
    </row>
    <row r="455" ht="15" customHeight="1" s="30">
      <c r="B455" s="42" t="n"/>
      <c r="C455" s="43" t="n"/>
      <c r="D455" s="44" t="n"/>
      <c r="E455" s="45">
        <f>IF($B455="","",IF($C455="Money in",-$D455,$D455))</f>
        <v/>
      </c>
      <c r="F455" s="43" t="n"/>
    </row>
    <row r="456" ht="15" customHeight="1" s="30">
      <c r="B456" s="42" t="n"/>
      <c r="C456" s="43" t="n"/>
      <c r="D456" s="44" t="n"/>
      <c r="E456" s="45">
        <f>IF($B456="","",IF($C456="Money in",-$D456,$D456))</f>
        <v/>
      </c>
      <c r="F456" s="43" t="n"/>
    </row>
    <row r="457" ht="15" customHeight="1" s="30">
      <c r="B457" s="42" t="n"/>
      <c r="C457" s="43" t="n"/>
      <c r="D457" s="44" t="n"/>
      <c r="E457" s="45">
        <f>IF($B457="","",IF($C457="Money in",-$D457,$D457))</f>
        <v/>
      </c>
      <c r="F457" s="43" t="n"/>
    </row>
    <row r="458" ht="15" customHeight="1" s="30">
      <c r="B458" s="42" t="n"/>
      <c r="C458" s="43" t="n"/>
      <c r="D458" s="44" t="n"/>
      <c r="E458" s="45">
        <f>IF($B458="","",IF($C458="Money in",-$D458,$D458))</f>
        <v/>
      </c>
      <c r="F458" s="43" t="n"/>
    </row>
    <row r="459" ht="15" customHeight="1" s="30">
      <c r="B459" s="42" t="n"/>
      <c r="C459" s="43" t="n"/>
      <c r="D459" s="44" t="n"/>
      <c r="E459" s="45">
        <f>IF($B459="","",IF($C459="Money in",-$D459,$D459))</f>
        <v/>
      </c>
      <c r="F459" s="43" t="n"/>
    </row>
    <row r="460" ht="15" customHeight="1" s="30">
      <c r="B460" s="42" t="n"/>
      <c r="C460" s="43" t="n"/>
      <c r="D460" s="44" t="n"/>
      <c r="E460" s="45">
        <f>IF($B460="","",IF($C460="Money in",-$D460,$D460))</f>
        <v/>
      </c>
      <c r="F460" s="43" t="n"/>
    </row>
    <row r="461" ht="15" customHeight="1" s="30">
      <c r="B461" s="42" t="n"/>
      <c r="C461" s="43" t="n"/>
      <c r="D461" s="44" t="n"/>
      <c r="E461" s="45">
        <f>IF($B461="","",IF($C461="Money in",-$D461,$D461))</f>
        <v/>
      </c>
      <c r="F461" s="43" t="n"/>
    </row>
    <row r="462" ht="15" customHeight="1" s="30">
      <c r="B462" s="42" t="n"/>
      <c r="C462" s="43" t="n"/>
      <c r="D462" s="44" t="n"/>
      <c r="E462" s="45">
        <f>IF($B462="","",IF($C462="Money in",-$D462,$D462))</f>
        <v/>
      </c>
      <c r="F462" s="43" t="n"/>
    </row>
    <row r="463" ht="15" customHeight="1" s="30">
      <c r="B463" s="42" t="n"/>
      <c r="C463" s="43" t="n"/>
      <c r="D463" s="44" t="n"/>
      <c r="E463" s="45">
        <f>IF($B463="","",IF($C463="Money in",-$D463,$D463))</f>
        <v/>
      </c>
      <c r="F463" s="43" t="n"/>
    </row>
    <row r="464" ht="15" customHeight="1" s="30">
      <c r="B464" s="42" t="n"/>
      <c r="C464" s="43" t="n"/>
      <c r="D464" s="44" t="n"/>
      <c r="E464" s="45">
        <f>IF($B464="","",IF($C464="Money in",-$D464,$D464))</f>
        <v/>
      </c>
      <c r="F464" s="43" t="n"/>
    </row>
    <row r="465" ht="15" customHeight="1" s="30">
      <c r="B465" s="42" t="n"/>
      <c r="C465" s="43" t="n"/>
      <c r="D465" s="44" t="n"/>
      <c r="E465" s="45">
        <f>IF($B465="","",IF($C465="Money in",-$D465,$D465))</f>
        <v/>
      </c>
      <c r="F465" s="43" t="n"/>
    </row>
    <row r="466" ht="15" customHeight="1" s="30">
      <c r="B466" s="42" t="n"/>
      <c r="C466" s="43" t="n"/>
      <c r="D466" s="44" t="n"/>
      <c r="E466" s="45">
        <f>IF($B466="","",IF($C466="Money in",-$D466,$D466))</f>
        <v/>
      </c>
      <c r="F466" s="43" t="n"/>
    </row>
    <row r="467" ht="15" customHeight="1" s="30">
      <c r="B467" s="42" t="n"/>
      <c r="C467" s="43" t="n"/>
      <c r="D467" s="44" t="n"/>
      <c r="E467" s="45">
        <f>IF($B467="","",IF($C467="Money in",-$D467,$D467))</f>
        <v/>
      </c>
      <c r="F467" s="43" t="n"/>
    </row>
    <row r="468" ht="15" customHeight="1" s="30">
      <c r="B468" s="42" t="n"/>
      <c r="C468" s="43" t="n"/>
      <c r="D468" s="44" t="n"/>
      <c r="E468" s="45">
        <f>IF($B468="","",IF($C468="Money in",-$D468,$D468))</f>
        <v/>
      </c>
      <c r="F468" s="43" t="n"/>
    </row>
    <row r="469" ht="15" customHeight="1" s="30">
      <c r="B469" s="42" t="n"/>
      <c r="C469" s="43" t="n"/>
      <c r="D469" s="44" t="n"/>
      <c r="E469" s="45">
        <f>IF($B469="","",IF($C469="Money in",-$D469,$D469))</f>
        <v/>
      </c>
      <c r="F469" s="43" t="n"/>
    </row>
    <row r="470" ht="15" customHeight="1" s="30">
      <c r="B470" s="42" t="n"/>
      <c r="C470" s="43" t="n"/>
      <c r="D470" s="44" t="n"/>
      <c r="E470" s="45">
        <f>IF($B470="","",IF($C470="Money in",-$D470,$D470))</f>
        <v/>
      </c>
      <c r="F470" s="43" t="n"/>
    </row>
    <row r="471" ht="15" customHeight="1" s="30">
      <c r="B471" s="42" t="n"/>
      <c r="C471" s="43" t="n"/>
      <c r="D471" s="44" t="n"/>
      <c r="E471" s="45">
        <f>IF($B471="","",IF($C471="Money in",-$D471,$D471))</f>
        <v/>
      </c>
      <c r="F471" s="43" t="n"/>
    </row>
    <row r="472" ht="15" customHeight="1" s="30">
      <c r="B472" s="42" t="n"/>
      <c r="C472" s="43" t="n"/>
      <c r="D472" s="44" t="n"/>
      <c r="E472" s="45">
        <f>IF($B472="","",IF($C472="Money in",-$D472,$D472))</f>
        <v/>
      </c>
      <c r="F472" s="43" t="n"/>
    </row>
    <row r="473" ht="15" customHeight="1" s="30">
      <c r="B473" s="42" t="n"/>
      <c r="C473" s="43" t="n"/>
      <c r="D473" s="44" t="n"/>
      <c r="E473" s="45">
        <f>IF($B473="","",IF($C473="Money in",-$D473,$D473))</f>
        <v/>
      </c>
      <c r="F473" s="43" t="n"/>
    </row>
    <row r="474" ht="15" customHeight="1" s="30">
      <c r="B474" s="42" t="n"/>
      <c r="C474" s="43" t="n"/>
      <c r="D474" s="44" t="n"/>
      <c r="E474" s="45">
        <f>IF($B474="","",IF($C474="Money in",-$D474,$D474))</f>
        <v/>
      </c>
      <c r="F474" s="43" t="n"/>
    </row>
    <row r="475" ht="15" customHeight="1" s="30">
      <c r="B475" s="42" t="n"/>
      <c r="C475" s="43" t="n"/>
      <c r="D475" s="44" t="n"/>
      <c r="E475" s="45">
        <f>IF($B475="","",IF($C475="Money in",-$D475,$D475))</f>
        <v/>
      </c>
      <c r="F475" s="43" t="n"/>
    </row>
    <row r="476" ht="15" customHeight="1" s="30">
      <c r="B476" s="42" t="n"/>
      <c r="C476" s="43" t="n"/>
      <c r="D476" s="44" t="n"/>
      <c r="E476" s="45">
        <f>IF($B476="","",IF($C476="Money in",-$D476,$D476))</f>
        <v/>
      </c>
      <c r="F476" s="43" t="n"/>
    </row>
    <row r="477" ht="15" customHeight="1" s="30">
      <c r="B477" s="42" t="n"/>
      <c r="C477" s="43" t="n"/>
      <c r="D477" s="44" t="n"/>
      <c r="E477" s="45">
        <f>IF($B477="","",IF($C477="Money in",-$D477,$D477))</f>
        <v/>
      </c>
      <c r="F477" s="43" t="n"/>
    </row>
    <row r="478" ht="15" customHeight="1" s="30">
      <c r="B478" s="42" t="n"/>
      <c r="C478" s="43" t="n"/>
      <c r="D478" s="44" t="n"/>
      <c r="E478" s="45">
        <f>IF($B478="","",IF($C478="Money in",-$D478,$D478))</f>
        <v/>
      </c>
      <c r="F478" s="43" t="n"/>
    </row>
    <row r="479" ht="15" customHeight="1" s="30">
      <c r="B479" s="42" t="n"/>
      <c r="C479" s="43" t="n"/>
      <c r="D479" s="44" t="n"/>
      <c r="E479" s="45">
        <f>IF($B479="","",IF($C479="Money in",-$D479,$D479))</f>
        <v/>
      </c>
      <c r="F479" s="43" t="n"/>
    </row>
    <row r="480" ht="15" customHeight="1" s="30">
      <c r="B480" s="42" t="n"/>
      <c r="C480" s="43" t="n"/>
      <c r="D480" s="44" t="n"/>
      <c r="E480" s="45">
        <f>IF($B480="","",IF($C480="Money in",-$D480,$D480))</f>
        <v/>
      </c>
      <c r="F480" s="43" t="n"/>
    </row>
    <row r="481" ht="15" customHeight="1" s="30">
      <c r="B481" s="42" t="n"/>
      <c r="C481" s="43" t="n"/>
      <c r="D481" s="44" t="n"/>
      <c r="E481" s="45">
        <f>IF($B481="","",IF($C481="Money in",-$D481,$D481))</f>
        <v/>
      </c>
      <c r="F481" s="43" t="n"/>
    </row>
    <row r="482" ht="15" customHeight="1" s="30">
      <c r="B482" s="42" t="n"/>
      <c r="C482" s="43" t="n"/>
      <c r="D482" s="44" t="n"/>
      <c r="E482" s="45">
        <f>IF($B482="","",IF($C482="Money in",-$D482,$D482))</f>
        <v/>
      </c>
      <c r="F482" s="43" t="n"/>
    </row>
    <row r="483" ht="15" customHeight="1" s="30">
      <c r="B483" s="42" t="n"/>
      <c r="C483" s="43" t="n"/>
      <c r="D483" s="44" t="n"/>
      <c r="E483" s="45">
        <f>IF($B483="","",IF($C483="Money in",-$D483,$D483))</f>
        <v/>
      </c>
      <c r="F483" s="43" t="n"/>
    </row>
    <row r="484" ht="15" customHeight="1" s="30">
      <c r="B484" s="42" t="n"/>
      <c r="C484" s="43" t="n"/>
      <c r="D484" s="44" t="n"/>
      <c r="E484" s="45">
        <f>IF($B484="","",IF($C484="Money in",-$D484,$D484))</f>
        <v/>
      </c>
      <c r="F484" s="43" t="n"/>
    </row>
    <row r="485" ht="15" customHeight="1" s="30">
      <c r="B485" s="42" t="n"/>
      <c r="C485" s="43" t="n"/>
      <c r="D485" s="44" t="n"/>
      <c r="E485" s="45">
        <f>IF($B485="","",IF($C485="Money in",-$D485,$D485))</f>
        <v/>
      </c>
      <c r="F485" s="43" t="n"/>
    </row>
    <row r="486" ht="15" customHeight="1" s="30">
      <c r="B486" s="42" t="n"/>
      <c r="C486" s="43" t="n"/>
      <c r="D486" s="44" t="n"/>
      <c r="E486" s="45">
        <f>IF($B486="","",IF($C486="Money in",-$D486,$D486))</f>
        <v/>
      </c>
      <c r="F486" s="43" t="n"/>
    </row>
    <row r="487" ht="15" customHeight="1" s="30">
      <c r="B487" s="42" t="n"/>
      <c r="C487" s="43" t="n"/>
      <c r="D487" s="44" t="n"/>
      <c r="E487" s="45">
        <f>IF($B487="","",IF($C487="Money in",-$D487,$D487))</f>
        <v/>
      </c>
      <c r="F487" s="43" t="n"/>
    </row>
    <row r="488" ht="15" customHeight="1" s="30">
      <c r="B488" s="42" t="n"/>
      <c r="C488" s="43" t="n"/>
      <c r="D488" s="44" t="n"/>
      <c r="E488" s="45">
        <f>IF($B488="","",IF($C488="Money in",-$D488,$D488))</f>
        <v/>
      </c>
      <c r="F488" s="43" t="n"/>
    </row>
    <row r="489" ht="15" customHeight="1" s="30">
      <c r="B489" s="42" t="n"/>
      <c r="C489" s="43" t="n"/>
      <c r="D489" s="44" t="n"/>
      <c r="E489" s="45">
        <f>IF($B489="","",IF($C489="Money in",-$D489,$D489))</f>
        <v/>
      </c>
      <c r="F489" s="43" t="n"/>
    </row>
    <row r="490" ht="15" customHeight="1" s="30">
      <c r="B490" s="42" t="n"/>
      <c r="C490" s="43" t="n"/>
      <c r="D490" s="44" t="n"/>
      <c r="E490" s="45">
        <f>IF($B490="","",IF($C490="Money in",-$D490,$D490))</f>
        <v/>
      </c>
      <c r="F490" s="43" t="n"/>
    </row>
    <row r="491" ht="15" customHeight="1" s="30">
      <c r="B491" s="42" t="n"/>
      <c r="C491" s="43" t="n"/>
      <c r="D491" s="44" t="n"/>
      <c r="E491" s="45">
        <f>IF($B491="","",IF($C491="Money in",-$D491,$D491))</f>
        <v/>
      </c>
      <c r="F491" s="43" t="n"/>
    </row>
    <row r="492" ht="15" customHeight="1" s="30">
      <c r="B492" s="42" t="n"/>
      <c r="C492" s="43" t="n"/>
      <c r="D492" s="44" t="n"/>
      <c r="E492" s="45">
        <f>IF($B492="","",IF($C492="Money in",-$D492,$D492))</f>
        <v/>
      </c>
      <c r="F492" s="43" t="n"/>
    </row>
    <row r="493" ht="15" customHeight="1" s="30">
      <c r="B493" s="42" t="n"/>
      <c r="C493" s="43" t="n"/>
      <c r="D493" s="44" t="n"/>
      <c r="E493" s="45">
        <f>IF($B493="","",IF($C493="Money in",-$D493,$D493))</f>
        <v/>
      </c>
      <c r="F493" s="43" t="n"/>
    </row>
    <row r="494" ht="15" customHeight="1" s="30">
      <c r="B494" s="42" t="n"/>
      <c r="C494" s="43" t="n"/>
      <c r="D494" s="44" t="n"/>
      <c r="E494" s="45">
        <f>IF($B494="","",IF($C494="Money in",-$D494,$D494))</f>
        <v/>
      </c>
      <c r="F494" s="43" t="n"/>
    </row>
    <row r="495" ht="15" customHeight="1" s="30">
      <c r="B495" s="42" t="n"/>
      <c r="C495" s="43" t="n"/>
      <c r="D495" s="44" t="n"/>
      <c r="E495" s="45">
        <f>IF($B495="","",IF($C495="Money in",-$D495,$D495))</f>
        <v/>
      </c>
      <c r="F495" s="43" t="n"/>
    </row>
    <row r="496" ht="15" customHeight="1" s="30">
      <c r="B496" s="42" t="n"/>
      <c r="C496" s="43" t="n"/>
      <c r="D496" s="44" t="n"/>
      <c r="E496" s="45">
        <f>IF($B496="","",IF($C496="Money in",-$D496,$D496))</f>
        <v/>
      </c>
      <c r="F496" s="43" t="n"/>
    </row>
    <row r="497" ht="15" customHeight="1" s="30">
      <c r="B497" s="42" t="n"/>
      <c r="C497" s="43" t="n"/>
      <c r="D497" s="44" t="n"/>
      <c r="E497" s="45">
        <f>IF($B497="","",IF($C497="Money in",-$D497,$D497))</f>
        <v/>
      </c>
      <c r="F497" s="43" t="n"/>
    </row>
    <row r="498" ht="15" customHeight="1" s="30">
      <c r="B498" s="42" t="n"/>
      <c r="C498" s="43" t="n"/>
      <c r="D498" s="44" t="n"/>
      <c r="E498" s="45">
        <f>IF($B498="","",IF($C498="Money in",-$D498,$D498))</f>
        <v/>
      </c>
      <c r="F498" s="43" t="n"/>
    </row>
    <row r="499" ht="15" customHeight="1" s="30">
      <c r="B499" s="42" t="n"/>
      <c r="C499" s="43" t="n"/>
      <c r="D499" s="44" t="n"/>
      <c r="E499" s="45">
        <f>IF($B499="","",IF($C499="Money in",-$D499,$D499))</f>
        <v/>
      </c>
      <c r="F499" s="43" t="n"/>
    </row>
    <row r="500" ht="15" customHeight="1" s="30">
      <c r="B500" s="42" t="n"/>
      <c r="C500" s="43" t="n"/>
      <c r="D500" s="44" t="n"/>
      <c r="E500" s="45">
        <f>IF($B500="","",IF($C500="Money in",-$D500,$D500))</f>
        <v/>
      </c>
      <c r="F500" s="43" t="n"/>
    </row>
    <row r="501" ht="15" customHeight="1" s="30">
      <c r="B501" s="42" t="n"/>
      <c r="C501" s="43" t="n"/>
      <c r="D501" s="44" t="n"/>
      <c r="E501" s="45">
        <f>IF($B501="","",IF($C501="Money in",-$D501,$D501))</f>
        <v/>
      </c>
      <c r="F501" s="43" t="n"/>
    </row>
    <row r="502" ht="15" customHeight="1" s="30">
      <c r="B502" s="42" t="n"/>
      <c r="C502" s="43" t="n"/>
      <c r="D502" s="44" t="n"/>
      <c r="E502" s="45">
        <f>IF($B502="","",IF($C502="Money in",-$D502,$D502))</f>
        <v/>
      </c>
      <c r="F502" s="43" t="n"/>
    </row>
    <row r="503" ht="15" customHeight="1" s="30">
      <c r="B503" s="42" t="n"/>
      <c r="C503" s="43" t="n"/>
      <c r="D503" s="44" t="n"/>
      <c r="E503" s="45">
        <f>IF($B503="","",IF($C503="Money in",-$D503,$D503))</f>
        <v/>
      </c>
      <c r="F503" s="43" t="n"/>
    </row>
    <row r="504" ht="15" customHeight="1" s="30">
      <c r="B504" s="42" t="n"/>
      <c r="C504" s="43" t="n"/>
      <c r="D504" s="44" t="n"/>
      <c r="E504" s="45">
        <f>IF($B504="","",IF($C504="Money in",-$D504,$D504))</f>
        <v/>
      </c>
      <c r="F504" s="43" t="n"/>
    </row>
    <row r="505" ht="15" customHeight="1" s="30">
      <c r="B505" s="42" t="n"/>
      <c r="C505" s="43" t="n"/>
      <c r="D505" s="44" t="n"/>
      <c r="E505" s="45">
        <f>IF($B505="","",IF($C505="Money in",-$D505,$D505))</f>
        <v/>
      </c>
      <c r="F505" s="43" t="n"/>
    </row>
    <row r="506" ht="15" customHeight="1" s="30">
      <c r="B506" s="42" t="n"/>
      <c r="C506" s="43" t="n"/>
      <c r="D506" s="44" t="n"/>
      <c r="E506" s="45">
        <f>IF($B506="","",IF($C506="Money in",-$D506,$D506))</f>
        <v/>
      </c>
      <c r="F506" s="43" t="n"/>
    </row>
    <row r="507" ht="15" customHeight="1" s="30">
      <c r="B507" s="42" t="n"/>
      <c r="C507" s="43" t="n"/>
      <c r="D507" s="44" t="n"/>
      <c r="E507" s="45">
        <f>IF($B507="","",IF($C507="Money in",-$D507,$D507))</f>
        <v/>
      </c>
      <c r="F507" s="43" t="n"/>
    </row>
  </sheetData>
  <dataValidations count="4">
    <dataValidation sqref="F8:F507" showDropDown="0" showInputMessage="0" showErrorMessage="1" allowBlank="1" errorTitle="That name is not in your list" error="Names here must match one of the holdings you typed under “Each holding on its own”, exactly. Pick from the list, or leave this blank." type="list" errorStyle="warning" operator="between">
      <formula1>$H$11:$H$15</formula1>
      <formula2>0</formula2>
    </dataValidation>
    <dataValidation sqref="B8:B507" showDropDown="0" showInputMessage="0" showErrorMessage="1" allowBlank="1" errorTitle="Check the date" error="Enter a real date between 1-Jan-1990 and 31-Dec-2100." type="date" errorStyle="stop" operator="between">
      <formula1>32874</formula1>
      <formula2>73415</formula2>
    </dataValidation>
    <dataValidation sqref="C8:C507" showDropDown="0" showInputMessage="0" showErrorMessage="1" allowBlank="1" errorTitle="Pick one of the three" error="Choose Money in, Money out or Worth today from the list." type="list" errorStyle="stop" operator="between">
      <formula1>"Money in,Money out,Worth today"</formula1>
      <formula2>0</formula2>
    </dataValidation>
    <dataValidation sqref="D8:D507" showDropDown="0" showInputMessage="0" showErrorMessage="1" allowBlank="1" errorTitle="Positive numbers only" error="Type the amount as a plain positive number. Never type a minus sign." type="decimal" errorStyle="stop" operator="greaterThan">
      <formula1>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C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2" customWidth="1" style="29" min="1" max="1"/>
    <col width="26" customWidth="1" style="29" min="2" max="2"/>
    <col width="22" customWidth="1" style="29" min="3" max="3"/>
  </cols>
  <sheetData>
    <row r="1" ht="19.7" customHeight="1" s="30">
      <c r="B1" s="48" t="inlineStr">
        <is>
          <t>Plan my goal</t>
        </is>
      </c>
    </row>
    <row r="3" ht="15" customHeight="1" s="30">
      <c r="A3" s="32" t="inlineStr">
        <is>
          <t>What is this for?</t>
        </is>
      </c>
      <c r="B3" s="43" t="n"/>
    </row>
    <row r="4" ht="15" customHeight="1" s="30">
      <c r="A4" s="32" t="inlineStr">
        <is>
          <t>Amount you are aiming for</t>
        </is>
      </c>
      <c r="B4" s="44" t="n">
        <v>5000000</v>
      </c>
    </row>
    <row r="5" ht="15" customHeight="1" s="30">
      <c r="A5" s="32" t="inlineStr">
        <is>
          <t>What you have already</t>
        </is>
      </c>
      <c r="B5" s="44" t="n">
        <v>400000</v>
      </c>
    </row>
    <row r="6" ht="15" customHeight="1" s="30">
      <c r="A6" s="32" t="inlineStr">
        <is>
          <t>Years left</t>
        </is>
      </c>
      <c r="B6" s="49" t="n">
        <v>15</v>
      </c>
    </row>
    <row r="7" ht="15" customHeight="1" s="30">
      <c r="A7" s="32" t="inlineStr">
        <is>
          <t>Investing each month now</t>
        </is>
      </c>
      <c r="B7" s="44" t="n">
        <v>10000</v>
      </c>
    </row>
    <row r="8" ht="15" customHeight="1" s="30">
      <c r="A8" s="50" t="inlineStr">
        <is>
          <t>Assumed return each year (%)</t>
        </is>
      </c>
      <c r="B8" s="49" t="n">
        <v>10</v>
      </c>
      <c r="C8" s="47" t="inlineStr">
        <is>
          <t>An assumption you choose. Nobody can promise it.</t>
        </is>
      </c>
    </row>
    <row r="9" ht="30" customHeight="1" s="30">
      <c r="A9" s="50" t="inlineStr">
        <is>
          <t>Raise the monthly amount each year by (%)</t>
        </is>
      </c>
      <c r="B9" s="49" t="n">
        <v>0</v>
      </c>
    </row>
    <row r="11" ht="37.5" customHeight="1" s="30">
      <c r="A11" s="32" t="inlineStr">
        <is>
          <t>If nothing changes, you reach</t>
        </is>
      </c>
      <c r="B11" s="51">
        <f>IF(Calc!$G$10=0,"Check the line below",Calc!$G$11+Calc!$G$12)</f>
        <v/>
      </c>
    </row>
    <row r="12" ht="15" customHeight="1" s="30">
      <c r="B12" s="40">
        <f>IF($B$6="","Enter how many years are left, on the line above.",IF($B$6&lt;=0,"Years left must be more than zero.",IF($B$6&gt;40,"Enter 40 years or less.",IF($B$4="","Enter the amount you are aiming for.",IF($B$4&lt;=0,"The amount you are aiming for must be more than zero.",IF($B$8&gt;30,"A return has to be between 0% and 30%. A higher assumption does not make a plan, it hides one.",IF($B$8&lt;0,"A return has to be between 0% and 30%.",IF($B$9&gt;25,"A step-up has to be between 0% and 25%.",IF($B$9&lt;0,"A step-up has to be between 0% and 25%.","")))))))))</f>
        <v/>
      </c>
    </row>
    <row r="14" ht="15" customHeight="1" s="30">
      <c r="A14" s="32" t="inlineStr">
        <is>
          <t>Against your goal</t>
        </is>
      </c>
      <c r="B14" s="32">
        <f>IF(Calc!$G$10=0,"",IF(Calc!$G$13&gt;0.5,"Short by "&amp;TEXT(Calc!$G$13,"[&gt;=10000000]₹ ##\,##\,##\,##0;[&gt;=100000]₹ ##\,##\,##0;₹ ##,##0"),IF(Calc!$G$13&lt;-0.5,"Covered, with "&amp;TEXT(-Calc!$G$13,"[&gt;=10000000]₹ ##\,##\,##\,##0;[&gt;=100000]₹ ##\,##\,##0;₹ ##,##0")&amp;" to spare","Covered, exactly on target")))</f>
        <v/>
      </c>
    </row>
    <row r="15" ht="15" customHeight="1" s="30">
      <c r="A15" s="32" t="inlineStr">
        <is>
          <t>Extra each month to close it</t>
        </is>
      </c>
      <c r="B15" s="52">
        <f>IF(Calc!$G$10=0,"",Calc!$G$14)</f>
        <v/>
      </c>
      <c r="C15" s="47" t="inlineStr">
        <is>
          <t>On top of what you already invest each month.</t>
        </is>
      </c>
    </row>
    <row r="17" ht="15" customHeight="1" s="30">
      <c r="A17" s="34" t="inlineStr">
        <is>
          <t>Where that comes from</t>
        </is>
      </c>
      <c r="B17" s="35" t="n"/>
      <c r="C17" s="35" t="n"/>
    </row>
    <row r="18" ht="15" customHeight="1" s="30">
      <c r="A18" s="36" t="inlineStr">
        <is>
          <t>What you already have, grown</t>
        </is>
      </c>
      <c r="B18" s="37">
        <f>IF(Calc!$G$10=0,"",Calc!$G$11)</f>
        <v/>
      </c>
    </row>
    <row r="19" ht="15" customHeight="1" s="30">
      <c r="A19" s="36" t="inlineStr">
        <is>
          <t>What your monthly investing adds</t>
        </is>
      </c>
      <c r="B19" s="37">
        <f>IF(Calc!$G$10=0,"",Calc!$G$12)</f>
        <v/>
      </c>
    </row>
    <row r="20" ht="15" customHeight="1" s="30">
      <c r="A20" s="36" t="inlineStr">
        <is>
          <t>Your own money paid in over the years</t>
        </is>
      </c>
      <c r="B20" s="37">
        <f>IF(Calc!$G$10=0,"",Calc!$G$15)</f>
        <v/>
      </c>
    </row>
    <row r="22" ht="15" customHeight="1" s="30">
      <c r="A22" s="32" t="inlineStr">
        <is>
          <t>If you did a little more</t>
        </is>
      </c>
    </row>
    <row r="23" ht="15" customHeight="1" s="30">
      <c r="A23" s="53" t="inlineStr">
        <is>
          <t>Scenario</t>
        </is>
      </c>
      <c r="B23" s="53" t="inlineStr">
        <is>
          <t>You reach</t>
        </is>
      </c>
      <c r="C23" s="53" t="inlineStr">
        <is>
          <t>Against your goal</t>
        </is>
      </c>
    </row>
    <row r="24" ht="15" customHeight="1" s="30">
      <c r="A24" s="36" t="inlineStr">
        <is>
          <t>Carry on exactly as you are</t>
        </is>
      </c>
      <c r="B24" s="37">
        <f>IF(Calc!$G$10=0,"",Calc!$G$16)</f>
        <v/>
      </c>
      <c r="C24" s="36">
        <f>IF(Calc!$G$10=0,"",IF(Calc!$G$16&gt;=$B$4,"covered, +"&amp;TEXT(Calc!$G$16-$B$4,"[&gt;=10000000]₹ ##\,##\,##\,##0;[&gt;=100000]₹ ##\,##\,##0;₹ ##,##0"),"short by "&amp;TEXT($B$4-Calc!$G$16,"[&gt;=10000000]₹ ##\,##\,##\,##0;[&gt;=100000]₹ ##\,##\,##0;₹ ##,##0")))</f>
        <v/>
      </c>
    </row>
    <row r="25" ht="15" customHeight="1" s="30">
      <c r="A25" s="36" t="inlineStr">
        <is>
          <t>Add ₹2,000 a month</t>
        </is>
      </c>
      <c r="B25" s="37">
        <f>IF(Calc!$G$10=0,"",Calc!$G$17)</f>
        <v/>
      </c>
      <c r="C25" s="36">
        <f>IF(Calc!$G$10=0,"",IF(Calc!$G$17&gt;=$B$4,"covered, +"&amp;TEXT(Calc!$G$17-$B$4,"[&gt;=10000000]₹ ##\,##\,##\,##0;[&gt;=100000]₹ ##\,##\,##0;₹ ##,##0"),"short by "&amp;TEXT($B$4-Calc!$G$17,"[&gt;=10000000]₹ ##\,##\,##\,##0;[&gt;=100000]₹ ##\,##\,##0;₹ ##,##0")))</f>
        <v/>
      </c>
    </row>
    <row r="26" ht="15" customHeight="1" s="30">
      <c r="A26" s="36" t="inlineStr">
        <is>
          <t>Add ₹5,000 a month</t>
        </is>
      </c>
      <c r="B26" s="37">
        <f>IF(Calc!$G$10=0,"",Calc!$G$18)</f>
        <v/>
      </c>
      <c r="C26" s="36">
        <f>IF(Calc!$G$10=0,"",IF(Calc!$G$18&gt;=$B$4,"covered, +"&amp;TEXT(Calc!$G$18-$B$4,"[&gt;=10000000]₹ ##\,##\,##\,##0;[&gt;=100000]₹ ##\,##\,##0;₹ ##,##0"),"short by "&amp;TEXT($B$4-Calc!$G$18,"[&gt;=10000000]₹ ##\,##\,##\,##0;[&gt;=100000]₹ ##\,##\,##0;₹ ##,##0")))</f>
        <v/>
      </c>
    </row>
    <row r="27" ht="15" customHeight="1" s="30">
      <c r="A27" s="36" t="inlineStr">
        <is>
          <t>Same amount, raised 10% every year</t>
        </is>
      </c>
      <c r="B27" s="37">
        <f>IF(Calc!$G$10=0,"",Calc!$G$19)</f>
        <v/>
      </c>
      <c r="C27" s="36">
        <f>IF(Calc!$G$10=0,"",IF(Calc!$G$19&gt;=$B$4,"covered, +"&amp;TEXT(Calc!$G$19-$B$4,"[&gt;=10000000]₹ ##\,##\,##\,##0;[&gt;=100000]₹ ##\,##\,##0;₹ ##,##0"),"short by "&amp;TEXT($B$4-Calc!$G$19,"[&gt;=10000000]₹ ##\,##\,##\,##0;[&gt;=100000]₹ ##\,##\,##0;₹ ##,##0")))</f>
        <v/>
      </c>
    </row>
    <row r="29" ht="15" customHeight="1" s="30">
      <c r="A29" s="47" t="inlineStr">
        <is>
          <t>Every line above uses the return you typed in. It is an assumption, not a forecast.</t>
        </is>
      </c>
    </row>
    <row r="30" ht="15" customHeight="1" s="30">
      <c r="A30" s="47" t="inlineStr">
        <is>
          <t>Real markets do not deliver the same return every year, and a run of poor years early on hurts more than the same years late.</t>
        </is>
      </c>
    </row>
    <row r="31" ht="15" customHeight="1" s="30">
      <c r="A31" s="47" t="inlineStr">
        <is>
          <t>Inflation is not deducted, so a goal set in today's rupees will cost more by the time it arrives.</t>
        </is>
      </c>
    </row>
  </sheetData>
  <sheetProtection selectLockedCells="0" selectUnlockedCells="0" sheet="1" objects="0" insertRows="1" insertHyperlinks="1" autoFilter="1" scenarios="0" formatColumns="1" deleteColumns="1" insertColumns="1" pivotTables="1" deleteRows="1" formatCells="0" formatRows="1" sort="1"/>
  <dataValidations count="4">
    <dataValidation sqref="B6" showDropDown="0" showInputMessage="0" showErrorMessage="1" allowBlank="1" errorTitle="Whole years only" error="Enter the number of years left as a whole number between 1 and 40." type="whole" errorStyle="stop" operator="between">
      <formula1>1</formula1>
      <formula2>40</formula2>
    </dataValidation>
    <dataValidation sqref="B4:B5 B7" showDropDown="0" showInputMessage="0" showErrorMessage="1" allowBlank="1" errorTitle="Positive numbers only" error="Type the amount as a plain positive number, with no rupee sign and no commas." type="decimal" errorStyle="stop" operator="greaterThanOrEqual">
      <formula1>0</formula1>
      <formula2>0</formula2>
    </dataValidation>
    <dataValidation sqref="B8" showDropDown="0" showInputMessage="0" showErrorMessage="1" allowBlank="1" errorTitle="A return between 0 and 30" error="Enter an assumed return of 30% a year or less. Higher assumptions do not make a plan, they hide one." type="decimal" errorStyle="stop" operator="between">
      <formula1>0</formula1>
      <formula2>30</formula2>
    </dataValidation>
    <dataValidation sqref="B9" showDropDown="0" showInputMessage="0" showErrorMessage="1" allowBlank="1" errorTitle="A step-up between 0 and 25" error="A step-up has to be between 0% and 25%." type="decimal" errorStyle="stop" operator="between">
      <formula1>0</formula1>
      <formula2>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F507"/>
  <sheetViews>
    <sheetView showFormulas="0" showGridLines="1" showRowColHeaders="1" showZeros="1" rightToLeft="0" tabSelected="0" showOutlineSymbols="1" defaultGridColor="1"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baseColWidth="8" defaultColWidth="8.5390625" defaultRowHeight="15" zeroHeight="0" outlineLevelRow="0"/>
  <cols>
    <col width="2.5" customWidth="1" style="29" min="1" max="1"/>
    <col width="13.5" customWidth="1" style="29" min="2" max="2"/>
    <col width="17" customWidth="1" style="29" min="3" max="3"/>
    <col width="14" customWidth="1" style="29" min="4" max="4"/>
    <col width="15" customWidth="1" style="29" min="5" max="5"/>
    <col width="18" customWidth="1" style="29" min="6" max="6"/>
  </cols>
  <sheetData>
    <row r="2" ht="15" customHeight="1" s="30">
      <c r="A2" s="32" t="inlineStr">
        <is>
          <t>Fund name</t>
        </is>
      </c>
      <c r="B2" s="36" t="inlineStr">
        <is>
          <t>An example, already filled in</t>
        </is>
      </c>
    </row>
    <row r="4" ht="37.5" customHeight="1" s="30">
      <c r="A4" s="38" t="inlineStr">
        <is>
          <t>Your XIRR</t>
        </is>
      </c>
      <c r="B4" s="39">
        <f>IFERROR(XIRR($E$8:$E$10,$B$8:$B$10),IFERROR(XIRR($E$8:$E$10,$B$8:$B$10,-0.5),"Check the status line below"))</f>
        <v/>
      </c>
    </row>
    <row r="5" ht="15" customHeight="1" s="30">
      <c r="B5" s="40" t="n"/>
    </row>
    <row r="6" ht="15.75" customHeight="1" s="30">
      <c r="B6" s="36" t="inlineStr">
        <is>
          <t>Type in the cream cells only — everything else is worked out for you. One row for every payment, with no blank rows in between, and the last row must be today's date, Worth today, and what the holding is worth now.</t>
        </is>
      </c>
    </row>
    <row r="7" ht="30" customHeight="1" s="30">
      <c r="B7" s="41" t="inlineStr">
        <is>
          <t>Date</t>
        </is>
      </c>
      <c r="C7" s="41" t="inlineStr">
        <is>
          <t>What happened</t>
        </is>
      </c>
      <c r="D7" s="41" t="inlineStr">
        <is>
          <t>Amount</t>
        </is>
      </c>
      <c r="E7" s="41" t="inlineStr">
        <is>
          <t>Used by the sheet</t>
        </is>
      </c>
      <c r="F7" s="41" t="inlineStr">
        <is>
          <t>Which holding</t>
        </is>
      </c>
    </row>
    <row r="8" ht="15" customHeight="1" s="30">
      <c r="B8" s="54" t="n">
        <v>45292</v>
      </c>
      <c r="C8" s="55" t="inlineStr">
        <is>
          <t>Money in</t>
        </is>
      </c>
      <c r="D8" s="56" t="n">
        <v>100000</v>
      </c>
      <c r="E8" s="45">
        <f>IF($B8="","",IF($C8="Money in",-$D8,$D8))</f>
        <v/>
      </c>
      <c r="F8" s="55" t="n"/>
    </row>
    <row r="9" ht="15" customHeight="1" s="30">
      <c r="B9" s="54" t="n">
        <v>45658</v>
      </c>
      <c r="C9" s="55" t="inlineStr">
        <is>
          <t>Money in</t>
        </is>
      </c>
      <c r="D9" s="56" t="n">
        <v>100000</v>
      </c>
      <c r="E9" s="45">
        <f>IF($B9="","",IF($C9="Money in",-$D9,$D9))</f>
        <v/>
      </c>
      <c r="F9" s="55" t="n"/>
    </row>
    <row r="10" ht="15" customHeight="1" s="30">
      <c r="B10" s="54" t="n">
        <v>46023</v>
      </c>
      <c r="C10" s="55" t="inlineStr">
        <is>
          <t>Worth today</t>
        </is>
      </c>
      <c r="D10" s="56" t="n">
        <v>228000</v>
      </c>
      <c r="E10" s="45">
        <f>IF($B10="","",IF($C10="Money in",-$D10,$D10))</f>
        <v/>
      </c>
      <c r="F10" s="55" t="n"/>
    </row>
    <row r="11" ht="15" customHeight="1" s="30">
      <c r="B11" s="54" t="n"/>
      <c r="C11" s="55" t="n"/>
      <c r="D11" s="56" t="n"/>
      <c r="E11" s="45">
        <f>IF($B11="","",IF($C11="Money in",-$D11,$D11))</f>
        <v/>
      </c>
      <c r="F11" s="55" t="n"/>
    </row>
    <row r="12" ht="15" customHeight="1" s="30">
      <c r="B12" s="54" t="n"/>
      <c r="C12" s="55" t="n"/>
      <c r="D12" s="56" t="n"/>
      <c r="E12" s="45">
        <f>IF($B12="","",IF($C12="Money in",-$D12,$D12))</f>
        <v/>
      </c>
      <c r="F12" s="55" t="n"/>
    </row>
    <row r="13" ht="15" customHeight="1" s="30">
      <c r="B13" s="54" t="n"/>
      <c r="C13" s="55" t="n"/>
      <c r="D13" s="56" t="n"/>
      <c r="E13" s="45">
        <f>IF($B13="","",IF($C13="Money in",-$D13,$D13))</f>
        <v/>
      </c>
      <c r="F13" s="55" t="n"/>
    </row>
    <row r="14" ht="15" customHeight="1" s="30">
      <c r="B14" s="54" t="n"/>
      <c r="C14" s="55" t="n"/>
      <c r="D14" s="56" t="n"/>
      <c r="E14" s="45">
        <f>IF($B14="","",IF($C14="Money in",-$D14,$D14))</f>
        <v/>
      </c>
      <c r="F14" s="55" t="n"/>
    </row>
    <row r="15" ht="15" customHeight="1" s="30">
      <c r="B15" s="54" t="n"/>
      <c r="C15" s="55" t="n"/>
      <c r="D15" s="56" t="n"/>
      <c r="E15" s="45">
        <f>IF($B15="","",IF($C15="Money in",-$D15,$D15))</f>
        <v/>
      </c>
      <c r="F15" s="55" t="n"/>
    </row>
    <row r="16" ht="15" customHeight="1" s="30">
      <c r="B16" s="54" t="n"/>
      <c r="C16" s="55" t="n"/>
      <c r="D16" s="56" t="n"/>
      <c r="E16" s="45">
        <f>IF($B16="","",IF($C16="Money in",-$D16,$D16))</f>
        <v/>
      </c>
      <c r="F16" s="55" t="n"/>
    </row>
    <row r="17" ht="15" customHeight="1" s="30">
      <c r="B17" s="54" t="n"/>
      <c r="C17" s="55" t="n"/>
      <c r="D17" s="56" t="n"/>
      <c r="E17" s="45">
        <f>IF($B17="","",IF($C17="Money in",-$D17,$D17))</f>
        <v/>
      </c>
      <c r="F17" s="55" t="n"/>
    </row>
    <row r="18" ht="15" customHeight="1" s="30">
      <c r="B18" s="54" t="n"/>
      <c r="C18" s="55" t="n"/>
      <c r="D18" s="56" t="n"/>
      <c r="E18" s="45">
        <f>IF($B18="","",IF($C18="Money in",-$D18,$D18))</f>
        <v/>
      </c>
      <c r="F18" s="55" t="n"/>
    </row>
    <row r="19" ht="15" customHeight="1" s="30">
      <c r="B19" s="54" t="n"/>
      <c r="C19" s="55" t="n"/>
      <c r="D19" s="56" t="n"/>
      <c r="E19" s="45">
        <f>IF($B19="","",IF($C19="Money in",-$D19,$D19))</f>
        <v/>
      </c>
      <c r="F19" s="55" t="n"/>
    </row>
    <row r="20" ht="15" customHeight="1" s="30">
      <c r="B20" s="54" t="n"/>
      <c r="C20" s="55" t="n"/>
      <c r="D20" s="56" t="n"/>
      <c r="E20" s="45">
        <f>IF($B20="","",IF($C20="Money in",-$D20,$D20))</f>
        <v/>
      </c>
      <c r="F20" s="55" t="n"/>
    </row>
    <row r="21" ht="15" customHeight="1" s="30">
      <c r="B21" s="54" t="n"/>
      <c r="C21" s="55" t="n"/>
      <c r="D21" s="56" t="n"/>
      <c r="E21" s="45">
        <f>IF($B21="","",IF($C21="Money in",-$D21,$D21))</f>
        <v/>
      </c>
      <c r="F21" s="55" t="n"/>
    </row>
    <row r="22" ht="15" customHeight="1" s="30">
      <c r="B22" s="54" t="n"/>
      <c r="C22" s="55" t="n"/>
      <c r="D22" s="56" t="n"/>
      <c r="E22" s="45">
        <f>IF($B22="","",IF($C22="Money in",-$D22,$D22))</f>
        <v/>
      </c>
      <c r="F22" s="55" t="n"/>
    </row>
    <row r="23" ht="15" customHeight="1" s="30">
      <c r="B23" s="54" t="n"/>
      <c r="C23" s="55" t="n"/>
      <c r="D23" s="56" t="n"/>
      <c r="E23" s="45">
        <f>IF($B23="","",IF($C23="Money in",-$D23,$D23))</f>
        <v/>
      </c>
      <c r="F23" s="55" t="n"/>
    </row>
    <row r="24" ht="15" customHeight="1" s="30">
      <c r="B24" s="54" t="n"/>
      <c r="C24" s="55" t="n"/>
      <c r="D24" s="56" t="n"/>
      <c r="E24" s="45">
        <f>IF($B24="","",IF($C24="Money in",-$D24,$D24))</f>
        <v/>
      </c>
      <c r="F24" s="55" t="n"/>
    </row>
    <row r="25" ht="15" customHeight="1" s="30">
      <c r="B25" s="54" t="n"/>
      <c r="C25" s="55" t="n"/>
      <c r="D25" s="56" t="n"/>
      <c r="E25" s="45">
        <f>IF($B25="","",IF($C25="Money in",-$D25,$D25))</f>
        <v/>
      </c>
      <c r="F25" s="55" t="n"/>
    </row>
    <row r="26" ht="15" customHeight="1" s="30">
      <c r="B26" s="54" t="n"/>
      <c r="C26" s="55" t="n"/>
      <c r="D26" s="56" t="n"/>
      <c r="E26" s="45">
        <f>IF($B26="","",IF($C26="Money in",-$D26,$D26))</f>
        <v/>
      </c>
      <c r="F26" s="55" t="n"/>
    </row>
    <row r="27" ht="15" customHeight="1" s="30">
      <c r="B27" s="54" t="n"/>
      <c r="C27" s="55" t="n"/>
      <c r="D27" s="56" t="n"/>
      <c r="E27" s="45">
        <f>IF($B27="","",IF($C27="Money in",-$D27,$D27))</f>
        <v/>
      </c>
      <c r="F27" s="55" t="n"/>
    </row>
    <row r="28" ht="15" customHeight="1" s="30">
      <c r="B28" s="54" t="n"/>
      <c r="C28" s="55" t="n"/>
      <c r="D28" s="56" t="n"/>
      <c r="E28" s="45">
        <f>IF($B28="","",IF($C28="Money in",-$D28,$D28))</f>
        <v/>
      </c>
      <c r="F28" s="55" t="n"/>
    </row>
    <row r="29" ht="15" customHeight="1" s="30">
      <c r="B29" s="54" t="n"/>
      <c r="C29" s="55" t="n"/>
      <c r="D29" s="56" t="n"/>
      <c r="E29" s="45">
        <f>IF($B29="","",IF($C29="Money in",-$D29,$D29))</f>
        <v/>
      </c>
      <c r="F29" s="55" t="n"/>
    </row>
    <row r="30" ht="15" customHeight="1" s="30">
      <c r="B30" s="54" t="n"/>
      <c r="C30" s="55" t="n"/>
      <c r="D30" s="56" t="n"/>
      <c r="E30" s="45">
        <f>IF($B30="","",IF($C30="Money in",-$D30,$D30))</f>
        <v/>
      </c>
      <c r="F30" s="55" t="n"/>
    </row>
    <row r="31" ht="15" customHeight="1" s="30">
      <c r="B31" s="54" t="n"/>
      <c r="C31" s="55" t="n"/>
      <c r="D31" s="56" t="n"/>
      <c r="E31" s="45">
        <f>IF($B31="","",IF($C31="Money in",-$D31,$D31))</f>
        <v/>
      </c>
      <c r="F31" s="55" t="n"/>
    </row>
    <row r="32" ht="15" customHeight="1" s="30">
      <c r="B32" s="54" t="n"/>
      <c r="C32" s="55" t="n"/>
      <c r="D32" s="56" t="n"/>
      <c r="E32" s="45">
        <f>IF($B32="","",IF($C32="Money in",-$D32,$D32))</f>
        <v/>
      </c>
      <c r="F32" s="55" t="n"/>
    </row>
    <row r="33" ht="15" customHeight="1" s="30">
      <c r="B33" s="54" t="n"/>
      <c r="C33" s="55" t="n"/>
      <c r="D33" s="56" t="n"/>
      <c r="E33" s="45">
        <f>IF($B33="","",IF($C33="Money in",-$D33,$D33))</f>
        <v/>
      </c>
      <c r="F33" s="55" t="n"/>
    </row>
    <row r="34" ht="15" customHeight="1" s="30">
      <c r="B34" s="54" t="n"/>
      <c r="C34" s="55" t="n"/>
      <c r="D34" s="56" t="n"/>
      <c r="E34" s="45">
        <f>IF($B34="","",IF($C34="Money in",-$D34,$D34))</f>
        <v/>
      </c>
      <c r="F34" s="55" t="n"/>
    </row>
    <row r="35" ht="15" customHeight="1" s="30">
      <c r="B35" s="54" t="n"/>
      <c r="C35" s="55" t="n"/>
      <c r="D35" s="56" t="n"/>
      <c r="E35" s="45">
        <f>IF($B35="","",IF($C35="Money in",-$D35,$D35))</f>
        <v/>
      </c>
      <c r="F35" s="55" t="n"/>
    </row>
    <row r="36" ht="15" customHeight="1" s="30">
      <c r="B36" s="54" t="n"/>
      <c r="C36" s="55" t="n"/>
      <c r="D36" s="56" t="n"/>
      <c r="E36" s="45">
        <f>IF($B36="","",IF($C36="Money in",-$D36,$D36))</f>
        <v/>
      </c>
      <c r="F36" s="55" t="n"/>
    </row>
    <row r="37" ht="15" customHeight="1" s="30">
      <c r="B37" s="54" t="n"/>
      <c r="C37" s="55" t="n"/>
      <c r="D37" s="56" t="n"/>
      <c r="E37" s="45">
        <f>IF($B37="","",IF($C37="Money in",-$D37,$D37))</f>
        <v/>
      </c>
      <c r="F37" s="55" t="n"/>
    </row>
    <row r="38" ht="15" customHeight="1" s="30">
      <c r="B38" s="54" t="n"/>
      <c r="C38" s="55" t="n"/>
      <c r="D38" s="56" t="n"/>
      <c r="E38" s="45">
        <f>IF($B38="","",IF($C38="Money in",-$D38,$D38))</f>
        <v/>
      </c>
      <c r="F38" s="55" t="n"/>
    </row>
    <row r="39" ht="15" customHeight="1" s="30">
      <c r="B39" s="54" t="n"/>
      <c r="C39" s="55" t="n"/>
      <c r="D39" s="56" t="n"/>
      <c r="E39" s="45">
        <f>IF($B39="","",IF($C39="Money in",-$D39,$D39))</f>
        <v/>
      </c>
      <c r="F39" s="55" t="n"/>
    </row>
    <row r="40" ht="15" customHeight="1" s="30">
      <c r="B40" s="54" t="n"/>
      <c r="C40" s="55" t="n"/>
      <c r="D40" s="56" t="n"/>
      <c r="E40" s="45">
        <f>IF($B40="","",IF($C40="Money in",-$D40,$D40))</f>
        <v/>
      </c>
      <c r="F40" s="55" t="n"/>
    </row>
    <row r="41" ht="15" customHeight="1" s="30">
      <c r="B41" s="54" t="n"/>
      <c r="C41" s="55" t="n"/>
      <c r="D41" s="56" t="n"/>
      <c r="E41" s="45">
        <f>IF($B41="","",IF($C41="Money in",-$D41,$D41))</f>
        <v/>
      </c>
      <c r="F41" s="55" t="n"/>
    </row>
    <row r="42" ht="15" customHeight="1" s="30">
      <c r="B42" s="54" t="n"/>
      <c r="C42" s="55" t="n"/>
      <c r="D42" s="56" t="n"/>
      <c r="E42" s="45">
        <f>IF($B42="","",IF($C42="Money in",-$D42,$D42))</f>
        <v/>
      </c>
      <c r="F42" s="55" t="n"/>
    </row>
    <row r="43" ht="15" customHeight="1" s="30">
      <c r="B43" s="54" t="n"/>
      <c r="C43" s="55" t="n"/>
      <c r="D43" s="56" t="n"/>
      <c r="E43" s="45">
        <f>IF($B43="","",IF($C43="Money in",-$D43,$D43))</f>
        <v/>
      </c>
      <c r="F43" s="55" t="n"/>
    </row>
    <row r="44" ht="15" customHeight="1" s="30">
      <c r="B44" s="54" t="n"/>
      <c r="C44" s="55" t="n"/>
      <c r="D44" s="56" t="n"/>
      <c r="E44" s="45">
        <f>IF($B44="","",IF($C44="Money in",-$D44,$D44))</f>
        <v/>
      </c>
      <c r="F44" s="55" t="n"/>
    </row>
    <row r="45" ht="15" customHeight="1" s="30">
      <c r="B45" s="54" t="n"/>
      <c r="C45" s="55" t="n"/>
      <c r="D45" s="56" t="n"/>
      <c r="E45" s="45">
        <f>IF($B45="","",IF($C45="Money in",-$D45,$D45))</f>
        <v/>
      </c>
      <c r="F45" s="55" t="n"/>
    </row>
    <row r="46" ht="15" customHeight="1" s="30">
      <c r="B46" s="54" t="n"/>
      <c r="C46" s="55" t="n"/>
      <c r="D46" s="56" t="n"/>
      <c r="E46" s="45">
        <f>IF($B46="","",IF($C46="Money in",-$D46,$D46))</f>
        <v/>
      </c>
      <c r="F46" s="55" t="n"/>
    </row>
    <row r="47" ht="15" customHeight="1" s="30">
      <c r="B47" s="54" t="n"/>
      <c r="C47" s="55" t="n"/>
      <c r="D47" s="56" t="n"/>
      <c r="E47" s="45">
        <f>IF($B47="","",IF($C47="Money in",-$D47,$D47))</f>
        <v/>
      </c>
      <c r="F47" s="55" t="n"/>
    </row>
    <row r="48" ht="15" customHeight="1" s="30">
      <c r="B48" s="54" t="n"/>
      <c r="C48" s="55" t="n"/>
      <c r="D48" s="56" t="n"/>
      <c r="E48" s="45">
        <f>IF($B48="","",IF($C48="Money in",-$D48,$D48))</f>
        <v/>
      </c>
      <c r="F48" s="55" t="n"/>
    </row>
    <row r="49" ht="15" customHeight="1" s="30">
      <c r="B49" s="54" t="n"/>
      <c r="C49" s="55" t="n"/>
      <c r="D49" s="56" t="n"/>
      <c r="E49" s="45">
        <f>IF($B49="","",IF($C49="Money in",-$D49,$D49))</f>
        <v/>
      </c>
      <c r="F49" s="55" t="n"/>
    </row>
    <row r="50" ht="15" customHeight="1" s="30">
      <c r="B50" s="54" t="n"/>
      <c r="C50" s="55" t="n"/>
      <c r="D50" s="56" t="n"/>
      <c r="E50" s="45">
        <f>IF($B50="","",IF($C50="Money in",-$D50,$D50))</f>
        <v/>
      </c>
      <c r="F50" s="55" t="n"/>
    </row>
    <row r="51" ht="15" customHeight="1" s="30">
      <c r="B51" s="54" t="n"/>
      <c r="C51" s="55" t="n"/>
      <c r="D51" s="56" t="n"/>
      <c r="E51" s="45">
        <f>IF($B51="","",IF($C51="Money in",-$D51,$D51))</f>
        <v/>
      </c>
      <c r="F51" s="55" t="n"/>
    </row>
    <row r="52" ht="15" customHeight="1" s="30">
      <c r="B52" s="54" t="n"/>
      <c r="C52" s="55" t="n"/>
      <c r="D52" s="56" t="n"/>
      <c r="E52" s="45">
        <f>IF($B52="","",IF($C52="Money in",-$D52,$D52))</f>
        <v/>
      </c>
      <c r="F52" s="55" t="n"/>
    </row>
    <row r="53" ht="15" customHeight="1" s="30">
      <c r="B53" s="54" t="n"/>
      <c r="C53" s="55" t="n"/>
      <c r="D53" s="56" t="n"/>
      <c r="E53" s="45">
        <f>IF($B53="","",IF($C53="Money in",-$D53,$D53))</f>
        <v/>
      </c>
      <c r="F53" s="55" t="n"/>
    </row>
    <row r="54" ht="15" customHeight="1" s="30">
      <c r="B54" s="54" t="n"/>
      <c r="C54" s="55" t="n"/>
      <c r="D54" s="56" t="n"/>
      <c r="E54" s="45">
        <f>IF($B54="","",IF($C54="Money in",-$D54,$D54))</f>
        <v/>
      </c>
      <c r="F54" s="55" t="n"/>
    </row>
    <row r="55" ht="15" customHeight="1" s="30">
      <c r="B55" s="54" t="n"/>
      <c r="C55" s="55" t="n"/>
      <c r="D55" s="56" t="n"/>
      <c r="E55" s="45">
        <f>IF($B55="","",IF($C55="Money in",-$D55,$D55))</f>
        <v/>
      </c>
      <c r="F55" s="55" t="n"/>
    </row>
    <row r="56" ht="15" customHeight="1" s="30">
      <c r="B56" s="54" t="n"/>
      <c r="C56" s="55" t="n"/>
      <c r="D56" s="56" t="n"/>
      <c r="E56" s="45">
        <f>IF($B56="","",IF($C56="Money in",-$D56,$D56))</f>
        <v/>
      </c>
      <c r="F56" s="55" t="n"/>
    </row>
    <row r="57" ht="15" customHeight="1" s="30">
      <c r="B57" s="54" t="n"/>
      <c r="C57" s="55" t="n"/>
      <c r="D57" s="56" t="n"/>
      <c r="E57" s="45">
        <f>IF($B57="","",IF($C57="Money in",-$D57,$D57))</f>
        <v/>
      </c>
      <c r="F57" s="55" t="n"/>
    </row>
    <row r="58" ht="15" customHeight="1" s="30">
      <c r="B58" s="54" t="n"/>
      <c r="C58" s="55" t="n"/>
      <c r="D58" s="56" t="n"/>
      <c r="E58" s="45">
        <f>IF($B58="","",IF($C58="Money in",-$D58,$D58))</f>
        <v/>
      </c>
      <c r="F58" s="55" t="n"/>
    </row>
    <row r="59" ht="15" customHeight="1" s="30">
      <c r="B59" s="54" t="n"/>
      <c r="C59" s="55" t="n"/>
      <c r="D59" s="56" t="n"/>
      <c r="E59" s="45">
        <f>IF($B59="","",IF($C59="Money in",-$D59,$D59))</f>
        <v/>
      </c>
      <c r="F59" s="55" t="n"/>
    </row>
    <row r="60" ht="15" customHeight="1" s="30">
      <c r="B60" s="54" t="n"/>
      <c r="C60" s="55" t="n"/>
      <c r="D60" s="56" t="n"/>
      <c r="E60" s="45">
        <f>IF($B60="","",IF($C60="Money in",-$D60,$D60))</f>
        <v/>
      </c>
      <c r="F60" s="55" t="n"/>
    </row>
    <row r="61" ht="15" customHeight="1" s="30">
      <c r="B61" s="54" t="n"/>
      <c r="C61" s="55" t="n"/>
      <c r="D61" s="56" t="n"/>
      <c r="E61" s="45">
        <f>IF($B61="","",IF($C61="Money in",-$D61,$D61))</f>
        <v/>
      </c>
      <c r="F61" s="55" t="n"/>
    </row>
    <row r="62" ht="15" customHeight="1" s="30">
      <c r="B62" s="54" t="n"/>
      <c r="C62" s="55" t="n"/>
      <c r="D62" s="56" t="n"/>
      <c r="E62" s="45">
        <f>IF($B62="","",IF($C62="Money in",-$D62,$D62))</f>
        <v/>
      </c>
      <c r="F62" s="55" t="n"/>
    </row>
    <row r="63" ht="15" customHeight="1" s="30">
      <c r="B63" s="54" t="n"/>
      <c r="C63" s="55" t="n"/>
      <c r="D63" s="56" t="n"/>
      <c r="E63" s="45">
        <f>IF($B63="","",IF($C63="Money in",-$D63,$D63))</f>
        <v/>
      </c>
      <c r="F63" s="55" t="n"/>
    </row>
    <row r="64" ht="15" customHeight="1" s="30">
      <c r="B64" s="54" t="n"/>
      <c r="C64" s="55" t="n"/>
      <c r="D64" s="56" t="n"/>
      <c r="E64" s="45">
        <f>IF($B64="","",IF($C64="Money in",-$D64,$D64))</f>
        <v/>
      </c>
      <c r="F64" s="55" t="n"/>
    </row>
    <row r="65" ht="15" customHeight="1" s="30">
      <c r="B65" s="54" t="n"/>
      <c r="C65" s="55" t="n"/>
      <c r="D65" s="56" t="n"/>
      <c r="E65" s="45">
        <f>IF($B65="","",IF($C65="Money in",-$D65,$D65))</f>
        <v/>
      </c>
      <c r="F65" s="55" t="n"/>
    </row>
    <row r="66" ht="15" customHeight="1" s="30">
      <c r="B66" s="54" t="n"/>
      <c r="C66" s="55" t="n"/>
      <c r="D66" s="56" t="n"/>
      <c r="E66" s="45">
        <f>IF($B66="","",IF($C66="Money in",-$D66,$D66))</f>
        <v/>
      </c>
      <c r="F66" s="55" t="n"/>
    </row>
    <row r="67" ht="15" customHeight="1" s="30">
      <c r="B67" s="54" t="n"/>
      <c r="C67" s="55" t="n"/>
      <c r="D67" s="56" t="n"/>
      <c r="E67" s="45">
        <f>IF($B67="","",IF($C67="Money in",-$D67,$D67))</f>
        <v/>
      </c>
      <c r="F67" s="55" t="n"/>
    </row>
    <row r="68" ht="15" customHeight="1" s="30">
      <c r="B68" s="54" t="n"/>
      <c r="C68" s="55" t="n"/>
      <c r="D68" s="56" t="n"/>
      <c r="E68" s="45">
        <f>IF($B68="","",IF($C68="Money in",-$D68,$D68))</f>
        <v/>
      </c>
      <c r="F68" s="55" t="n"/>
    </row>
    <row r="69" ht="15" customHeight="1" s="30">
      <c r="B69" s="54" t="n"/>
      <c r="C69" s="55" t="n"/>
      <c r="D69" s="56" t="n"/>
      <c r="E69" s="45">
        <f>IF($B69="","",IF($C69="Money in",-$D69,$D69))</f>
        <v/>
      </c>
      <c r="F69" s="55" t="n"/>
    </row>
    <row r="70" ht="15" customHeight="1" s="30">
      <c r="B70" s="54" t="n"/>
      <c r="C70" s="55" t="n"/>
      <c r="D70" s="56" t="n"/>
      <c r="E70" s="45">
        <f>IF($B70="","",IF($C70="Money in",-$D70,$D70))</f>
        <v/>
      </c>
      <c r="F70" s="55" t="n"/>
    </row>
    <row r="71" ht="15" customHeight="1" s="30">
      <c r="B71" s="54" t="n"/>
      <c r="C71" s="55" t="n"/>
      <c r="D71" s="56" t="n"/>
      <c r="E71" s="45">
        <f>IF($B71="","",IF($C71="Money in",-$D71,$D71))</f>
        <v/>
      </c>
      <c r="F71" s="55" t="n"/>
    </row>
    <row r="72" ht="15" customHeight="1" s="30">
      <c r="B72" s="54" t="n"/>
      <c r="C72" s="55" t="n"/>
      <c r="D72" s="56" t="n"/>
      <c r="E72" s="45">
        <f>IF($B72="","",IF($C72="Money in",-$D72,$D72))</f>
        <v/>
      </c>
      <c r="F72" s="55" t="n"/>
    </row>
    <row r="73" ht="15" customHeight="1" s="30">
      <c r="B73" s="54" t="n"/>
      <c r="C73" s="55" t="n"/>
      <c r="D73" s="56" t="n"/>
      <c r="E73" s="45">
        <f>IF($B73="","",IF($C73="Money in",-$D73,$D73))</f>
        <v/>
      </c>
      <c r="F73" s="55" t="n"/>
    </row>
    <row r="74" ht="15" customHeight="1" s="30">
      <c r="B74" s="54" t="n"/>
      <c r="C74" s="55" t="n"/>
      <c r="D74" s="56" t="n"/>
      <c r="E74" s="45">
        <f>IF($B74="","",IF($C74="Money in",-$D74,$D74))</f>
        <v/>
      </c>
      <c r="F74" s="55" t="n"/>
    </row>
    <row r="75" ht="15" customHeight="1" s="30">
      <c r="B75" s="54" t="n"/>
      <c r="C75" s="55" t="n"/>
      <c r="D75" s="56" t="n"/>
      <c r="E75" s="45">
        <f>IF($B75="","",IF($C75="Money in",-$D75,$D75))</f>
        <v/>
      </c>
      <c r="F75" s="55" t="n"/>
    </row>
    <row r="76" ht="15" customHeight="1" s="30">
      <c r="B76" s="54" t="n"/>
      <c r="C76" s="55" t="n"/>
      <c r="D76" s="56" t="n"/>
      <c r="E76" s="45">
        <f>IF($B76="","",IF($C76="Money in",-$D76,$D76))</f>
        <v/>
      </c>
      <c r="F76" s="55" t="n"/>
    </row>
    <row r="77" ht="15" customHeight="1" s="30">
      <c r="B77" s="54" t="n"/>
      <c r="C77" s="55" t="n"/>
      <c r="D77" s="56" t="n"/>
      <c r="E77" s="45">
        <f>IF($B77="","",IF($C77="Money in",-$D77,$D77))</f>
        <v/>
      </c>
      <c r="F77" s="55" t="n"/>
    </row>
    <row r="78" ht="15" customHeight="1" s="30">
      <c r="B78" s="54" t="n"/>
      <c r="C78" s="55" t="n"/>
      <c r="D78" s="56" t="n"/>
      <c r="E78" s="45">
        <f>IF($B78="","",IF($C78="Money in",-$D78,$D78))</f>
        <v/>
      </c>
      <c r="F78" s="55" t="n"/>
    </row>
    <row r="79" ht="15" customHeight="1" s="30">
      <c r="B79" s="54" t="n"/>
      <c r="C79" s="55" t="n"/>
      <c r="D79" s="56" t="n"/>
      <c r="E79" s="45">
        <f>IF($B79="","",IF($C79="Money in",-$D79,$D79))</f>
        <v/>
      </c>
      <c r="F79" s="55" t="n"/>
    </row>
    <row r="80" ht="15" customHeight="1" s="30">
      <c r="B80" s="54" t="n"/>
      <c r="C80" s="55" t="n"/>
      <c r="D80" s="56" t="n"/>
      <c r="E80" s="45">
        <f>IF($B80="","",IF($C80="Money in",-$D80,$D80))</f>
        <v/>
      </c>
      <c r="F80" s="55" t="n"/>
    </row>
    <row r="81" ht="15" customHeight="1" s="30">
      <c r="B81" s="54" t="n"/>
      <c r="C81" s="55" t="n"/>
      <c r="D81" s="56" t="n"/>
      <c r="E81" s="45">
        <f>IF($B81="","",IF($C81="Money in",-$D81,$D81))</f>
        <v/>
      </c>
      <c r="F81" s="55" t="n"/>
    </row>
    <row r="82" ht="15" customHeight="1" s="30">
      <c r="B82" s="54" t="n"/>
      <c r="C82" s="55" t="n"/>
      <c r="D82" s="56" t="n"/>
      <c r="E82" s="45">
        <f>IF($B82="","",IF($C82="Money in",-$D82,$D82))</f>
        <v/>
      </c>
      <c r="F82" s="55" t="n"/>
    </row>
    <row r="83" ht="15" customHeight="1" s="30">
      <c r="B83" s="54" t="n"/>
      <c r="C83" s="55" t="n"/>
      <c r="D83" s="56" t="n"/>
      <c r="E83" s="45">
        <f>IF($B83="","",IF($C83="Money in",-$D83,$D83))</f>
        <v/>
      </c>
      <c r="F83" s="55" t="n"/>
    </row>
    <row r="84" ht="15" customHeight="1" s="30">
      <c r="B84" s="54" t="n"/>
      <c r="C84" s="55" t="n"/>
      <c r="D84" s="56" t="n"/>
      <c r="E84" s="45">
        <f>IF($B84="","",IF($C84="Money in",-$D84,$D84))</f>
        <v/>
      </c>
      <c r="F84" s="55" t="n"/>
    </row>
    <row r="85" ht="15" customHeight="1" s="30">
      <c r="B85" s="54" t="n"/>
      <c r="C85" s="55" t="n"/>
      <c r="D85" s="56" t="n"/>
      <c r="E85" s="45">
        <f>IF($B85="","",IF($C85="Money in",-$D85,$D85))</f>
        <v/>
      </c>
      <c r="F85" s="55" t="n"/>
    </row>
    <row r="86" ht="15" customHeight="1" s="30">
      <c r="B86" s="54" t="n"/>
      <c r="C86" s="55" t="n"/>
      <c r="D86" s="56" t="n"/>
      <c r="E86" s="45">
        <f>IF($B86="","",IF($C86="Money in",-$D86,$D86))</f>
        <v/>
      </c>
      <c r="F86" s="55" t="n"/>
    </row>
    <row r="87" ht="15" customHeight="1" s="30">
      <c r="B87" s="54" t="n"/>
      <c r="C87" s="55" t="n"/>
      <c r="D87" s="56" t="n"/>
      <c r="E87" s="45">
        <f>IF($B87="","",IF($C87="Money in",-$D87,$D87))</f>
        <v/>
      </c>
      <c r="F87" s="55" t="n"/>
    </row>
    <row r="88" ht="15" customHeight="1" s="30">
      <c r="B88" s="54" t="n"/>
      <c r="C88" s="55" t="n"/>
      <c r="D88" s="56" t="n"/>
      <c r="E88" s="45">
        <f>IF($B88="","",IF($C88="Money in",-$D88,$D88))</f>
        <v/>
      </c>
      <c r="F88" s="55" t="n"/>
    </row>
    <row r="89" ht="15" customHeight="1" s="30">
      <c r="B89" s="54" t="n"/>
      <c r="C89" s="55" t="n"/>
      <c r="D89" s="56" t="n"/>
      <c r="E89" s="45">
        <f>IF($B89="","",IF($C89="Money in",-$D89,$D89))</f>
        <v/>
      </c>
      <c r="F89" s="55" t="n"/>
    </row>
    <row r="90" ht="15" customHeight="1" s="30">
      <c r="B90" s="54" t="n"/>
      <c r="C90" s="55" t="n"/>
      <c r="D90" s="56" t="n"/>
      <c r="E90" s="45">
        <f>IF($B90="","",IF($C90="Money in",-$D90,$D90))</f>
        <v/>
      </c>
      <c r="F90" s="55" t="n"/>
    </row>
    <row r="91" ht="15" customHeight="1" s="30">
      <c r="B91" s="54" t="n"/>
      <c r="C91" s="55" t="n"/>
      <c r="D91" s="56" t="n"/>
      <c r="E91" s="45">
        <f>IF($B91="","",IF($C91="Money in",-$D91,$D91))</f>
        <v/>
      </c>
      <c r="F91" s="55" t="n"/>
    </row>
    <row r="92" ht="15" customHeight="1" s="30">
      <c r="B92" s="54" t="n"/>
      <c r="C92" s="55" t="n"/>
      <c r="D92" s="56" t="n"/>
      <c r="E92" s="45">
        <f>IF($B92="","",IF($C92="Money in",-$D92,$D92))</f>
        <v/>
      </c>
      <c r="F92" s="55" t="n"/>
    </row>
    <row r="93" ht="15" customHeight="1" s="30">
      <c r="B93" s="54" t="n"/>
      <c r="C93" s="55" t="n"/>
      <c r="D93" s="56" t="n"/>
      <c r="E93" s="45">
        <f>IF($B93="","",IF($C93="Money in",-$D93,$D93))</f>
        <v/>
      </c>
      <c r="F93" s="55" t="n"/>
    </row>
    <row r="94" ht="15" customHeight="1" s="30">
      <c r="B94" s="54" t="n"/>
      <c r="C94" s="55" t="n"/>
      <c r="D94" s="56" t="n"/>
      <c r="E94" s="45">
        <f>IF($B94="","",IF($C94="Money in",-$D94,$D94))</f>
        <v/>
      </c>
      <c r="F94" s="55" t="n"/>
    </row>
    <row r="95" ht="15" customHeight="1" s="30">
      <c r="B95" s="54" t="n"/>
      <c r="C95" s="55" t="n"/>
      <c r="D95" s="56" t="n"/>
      <c r="E95" s="45">
        <f>IF($B95="","",IF($C95="Money in",-$D95,$D95))</f>
        <v/>
      </c>
      <c r="F95" s="55" t="n"/>
    </row>
    <row r="96" ht="15" customHeight="1" s="30">
      <c r="B96" s="54" t="n"/>
      <c r="C96" s="55" t="n"/>
      <c r="D96" s="56" t="n"/>
      <c r="E96" s="45">
        <f>IF($B96="","",IF($C96="Money in",-$D96,$D96))</f>
        <v/>
      </c>
      <c r="F96" s="55" t="n"/>
    </row>
    <row r="97" ht="15" customHeight="1" s="30">
      <c r="B97" s="54" t="n"/>
      <c r="C97" s="55" t="n"/>
      <c r="D97" s="56" t="n"/>
      <c r="E97" s="45">
        <f>IF($B97="","",IF($C97="Money in",-$D97,$D97))</f>
        <v/>
      </c>
      <c r="F97" s="55" t="n"/>
    </row>
    <row r="98" ht="15" customHeight="1" s="30">
      <c r="B98" s="54" t="n"/>
      <c r="C98" s="55" t="n"/>
      <c r="D98" s="56" t="n"/>
      <c r="E98" s="45">
        <f>IF($B98="","",IF($C98="Money in",-$D98,$D98))</f>
        <v/>
      </c>
      <c r="F98" s="55" t="n"/>
    </row>
    <row r="99" ht="15" customHeight="1" s="30">
      <c r="B99" s="54" t="n"/>
      <c r="C99" s="55" t="n"/>
      <c r="D99" s="56" t="n"/>
      <c r="E99" s="45">
        <f>IF($B99="","",IF($C99="Money in",-$D99,$D99))</f>
        <v/>
      </c>
      <c r="F99" s="55" t="n"/>
    </row>
    <row r="100" ht="15" customHeight="1" s="30">
      <c r="B100" s="54" t="n"/>
      <c r="C100" s="55" t="n"/>
      <c r="D100" s="56" t="n"/>
      <c r="E100" s="45">
        <f>IF($B100="","",IF($C100="Money in",-$D100,$D100))</f>
        <v/>
      </c>
      <c r="F100" s="55" t="n"/>
    </row>
    <row r="101" ht="15" customHeight="1" s="30">
      <c r="B101" s="54" t="n"/>
      <c r="C101" s="55" t="n"/>
      <c r="D101" s="56" t="n"/>
      <c r="E101" s="45">
        <f>IF($B101="","",IF($C101="Money in",-$D101,$D101))</f>
        <v/>
      </c>
      <c r="F101" s="55" t="n"/>
    </row>
    <row r="102" ht="15" customHeight="1" s="30">
      <c r="B102" s="54" t="n"/>
      <c r="C102" s="55" t="n"/>
      <c r="D102" s="56" t="n"/>
      <c r="E102" s="45">
        <f>IF($B102="","",IF($C102="Money in",-$D102,$D102))</f>
        <v/>
      </c>
      <c r="F102" s="55" t="n"/>
    </row>
    <row r="103" ht="15" customHeight="1" s="30">
      <c r="B103" s="54" t="n"/>
      <c r="C103" s="55" t="n"/>
      <c r="D103" s="56" t="n"/>
      <c r="E103" s="45">
        <f>IF($B103="","",IF($C103="Money in",-$D103,$D103))</f>
        <v/>
      </c>
      <c r="F103" s="55" t="n"/>
    </row>
    <row r="104" ht="15" customHeight="1" s="30">
      <c r="B104" s="54" t="n"/>
      <c r="C104" s="55" t="n"/>
      <c r="D104" s="56" t="n"/>
      <c r="E104" s="45">
        <f>IF($B104="","",IF($C104="Money in",-$D104,$D104))</f>
        <v/>
      </c>
      <c r="F104" s="55" t="n"/>
    </row>
    <row r="105" ht="15" customHeight="1" s="30">
      <c r="B105" s="54" t="n"/>
      <c r="C105" s="55" t="n"/>
      <c r="D105" s="56" t="n"/>
      <c r="E105" s="45">
        <f>IF($B105="","",IF($C105="Money in",-$D105,$D105))</f>
        <v/>
      </c>
      <c r="F105" s="55" t="n"/>
    </row>
    <row r="106" ht="15" customHeight="1" s="30">
      <c r="B106" s="54" t="n"/>
      <c r="C106" s="55" t="n"/>
      <c r="D106" s="56" t="n"/>
      <c r="E106" s="45">
        <f>IF($B106="","",IF($C106="Money in",-$D106,$D106))</f>
        <v/>
      </c>
      <c r="F106" s="55" t="n"/>
    </row>
    <row r="107" ht="15" customHeight="1" s="30">
      <c r="B107" s="54" t="n"/>
      <c r="C107" s="55" t="n"/>
      <c r="D107" s="56" t="n"/>
      <c r="E107" s="45">
        <f>IF($B107="","",IF($C107="Money in",-$D107,$D107))</f>
        <v/>
      </c>
      <c r="F107" s="55" t="n"/>
    </row>
    <row r="108" ht="15" customHeight="1" s="30">
      <c r="B108" s="54" t="n"/>
      <c r="C108" s="55" t="n"/>
      <c r="D108" s="56" t="n"/>
      <c r="E108" s="45">
        <f>IF($B108="","",IF($C108="Money in",-$D108,$D108))</f>
        <v/>
      </c>
      <c r="F108" s="55" t="n"/>
    </row>
    <row r="109" ht="15" customHeight="1" s="30">
      <c r="B109" s="54" t="n"/>
      <c r="C109" s="55" t="n"/>
      <c r="D109" s="56" t="n"/>
      <c r="E109" s="45">
        <f>IF($B109="","",IF($C109="Money in",-$D109,$D109))</f>
        <v/>
      </c>
      <c r="F109" s="55" t="n"/>
    </row>
    <row r="110" ht="15" customHeight="1" s="30">
      <c r="B110" s="54" t="n"/>
      <c r="C110" s="55" t="n"/>
      <c r="D110" s="56" t="n"/>
      <c r="E110" s="45">
        <f>IF($B110="","",IF($C110="Money in",-$D110,$D110))</f>
        <v/>
      </c>
      <c r="F110" s="55" t="n"/>
    </row>
    <row r="111" ht="15" customHeight="1" s="30">
      <c r="B111" s="54" t="n"/>
      <c r="C111" s="55" t="n"/>
      <c r="D111" s="56" t="n"/>
      <c r="E111" s="45">
        <f>IF($B111="","",IF($C111="Money in",-$D111,$D111))</f>
        <v/>
      </c>
      <c r="F111" s="55" t="n"/>
    </row>
    <row r="112" ht="15" customHeight="1" s="30">
      <c r="B112" s="54" t="n"/>
      <c r="C112" s="55" t="n"/>
      <c r="D112" s="56" t="n"/>
      <c r="E112" s="45">
        <f>IF($B112="","",IF($C112="Money in",-$D112,$D112))</f>
        <v/>
      </c>
      <c r="F112" s="55" t="n"/>
    </row>
    <row r="113" ht="15" customHeight="1" s="30">
      <c r="B113" s="54" t="n"/>
      <c r="C113" s="55" t="n"/>
      <c r="D113" s="56" t="n"/>
      <c r="E113" s="45">
        <f>IF($B113="","",IF($C113="Money in",-$D113,$D113))</f>
        <v/>
      </c>
      <c r="F113" s="55" t="n"/>
    </row>
    <row r="114" ht="15" customHeight="1" s="30">
      <c r="B114" s="54" t="n"/>
      <c r="C114" s="55" t="n"/>
      <c r="D114" s="56" t="n"/>
      <c r="E114" s="45">
        <f>IF($B114="","",IF($C114="Money in",-$D114,$D114))</f>
        <v/>
      </c>
      <c r="F114" s="55" t="n"/>
    </row>
    <row r="115" ht="15" customHeight="1" s="30">
      <c r="B115" s="54" t="n"/>
      <c r="C115" s="55" t="n"/>
      <c r="D115" s="56" t="n"/>
      <c r="E115" s="45">
        <f>IF($B115="","",IF($C115="Money in",-$D115,$D115))</f>
        <v/>
      </c>
      <c r="F115" s="55" t="n"/>
    </row>
    <row r="116" ht="15" customHeight="1" s="30">
      <c r="B116" s="54" t="n"/>
      <c r="C116" s="55" t="n"/>
      <c r="D116" s="56" t="n"/>
      <c r="E116" s="45">
        <f>IF($B116="","",IF($C116="Money in",-$D116,$D116))</f>
        <v/>
      </c>
      <c r="F116" s="55" t="n"/>
    </row>
    <row r="117" ht="15" customHeight="1" s="30">
      <c r="B117" s="54" t="n"/>
      <c r="C117" s="55" t="n"/>
      <c r="D117" s="56" t="n"/>
      <c r="E117" s="45">
        <f>IF($B117="","",IF($C117="Money in",-$D117,$D117))</f>
        <v/>
      </c>
      <c r="F117" s="55" t="n"/>
    </row>
    <row r="118" ht="15" customHeight="1" s="30">
      <c r="B118" s="54" t="n"/>
      <c r="C118" s="55" t="n"/>
      <c r="D118" s="56" t="n"/>
      <c r="E118" s="45">
        <f>IF($B118="","",IF($C118="Money in",-$D118,$D118))</f>
        <v/>
      </c>
      <c r="F118" s="55" t="n"/>
    </row>
    <row r="119" ht="15" customHeight="1" s="30">
      <c r="B119" s="54" t="n"/>
      <c r="C119" s="55" t="n"/>
      <c r="D119" s="56" t="n"/>
      <c r="E119" s="45">
        <f>IF($B119="","",IF($C119="Money in",-$D119,$D119))</f>
        <v/>
      </c>
      <c r="F119" s="55" t="n"/>
    </row>
    <row r="120" ht="15" customHeight="1" s="30">
      <c r="B120" s="54" t="n"/>
      <c r="C120" s="55" t="n"/>
      <c r="D120" s="56" t="n"/>
      <c r="E120" s="45">
        <f>IF($B120="","",IF($C120="Money in",-$D120,$D120))</f>
        <v/>
      </c>
      <c r="F120" s="55" t="n"/>
    </row>
    <row r="121" ht="15" customHeight="1" s="30">
      <c r="B121" s="54" t="n"/>
      <c r="C121" s="55" t="n"/>
      <c r="D121" s="56" t="n"/>
      <c r="E121" s="45">
        <f>IF($B121="","",IF($C121="Money in",-$D121,$D121))</f>
        <v/>
      </c>
      <c r="F121" s="55" t="n"/>
    </row>
    <row r="122" ht="15" customHeight="1" s="30">
      <c r="B122" s="54" t="n"/>
      <c r="C122" s="55" t="n"/>
      <c r="D122" s="56" t="n"/>
      <c r="E122" s="45">
        <f>IF($B122="","",IF($C122="Money in",-$D122,$D122))</f>
        <v/>
      </c>
      <c r="F122" s="55" t="n"/>
    </row>
    <row r="123" ht="15" customHeight="1" s="30">
      <c r="B123" s="54" t="n"/>
      <c r="C123" s="55" t="n"/>
      <c r="D123" s="56" t="n"/>
      <c r="E123" s="45">
        <f>IF($B123="","",IF($C123="Money in",-$D123,$D123))</f>
        <v/>
      </c>
      <c r="F123" s="55" t="n"/>
    </row>
    <row r="124" ht="15" customHeight="1" s="30">
      <c r="B124" s="54" t="n"/>
      <c r="C124" s="55" t="n"/>
      <c r="D124" s="56" t="n"/>
      <c r="E124" s="45">
        <f>IF($B124="","",IF($C124="Money in",-$D124,$D124))</f>
        <v/>
      </c>
      <c r="F124" s="55" t="n"/>
    </row>
    <row r="125" ht="15" customHeight="1" s="30">
      <c r="B125" s="54" t="n"/>
      <c r="C125" s="55" t="n"/>
      <c r="D125" s="56" t="n"/>
      <c r="E125" s="45">
        <f>IF($B125="","",IF($C125="Money in",-$D125,$D125))</f>
        <v/>
      </c>
      <c r="F125" s="55" t="n"/>
    </row>
    <row r="126" ht="15" customHeight="1" s="30">
      <c r="B126" s="54" t="n"/>
      <c r="C126" s="55" t="n"/>
      <c r="D126" s="56" t="n"/>
      <c r="E126" s="45">
        <f>IF($B126="","",IF($C126="Money in",-$D126,$D126))</f>
        <v/>
      </c>
      <c r="F126" s="55" t="n"/>
    </row>
    <row r="127" ht="15" customHeight="1" s="30">
      <c r="B127" s="54" t="n"/>
      <c r="C127" s="55" t="n"/>
      <c r="D127" s="56" t="n"/>
      <c r="E127" s="45">
        <f>IF($B127="","",IF($C127="Money in",-$D127,$D127))</f>
        <v/>
      </c>
      <c r="F127" s="55" t="n"/>
    </row>
    <row r="128" ht="15" customHeight="1" s="30">
      <c r="B128" s="54" t="n"/>
      <c r="C128" s="55" t="n"/>
      <c r="D128" s="56" t="n"/>
      <c r="E128" s="45">
        <f>IF($B128="","",IF($C128="Money in",-$D128,$D128))</f>
        <v/>
      </c>
      <c r="F128" s="55" t="n"/>
    </row>
    <row r="129" ht="15" customHeight="1" s="30">
      <c r="B129" s="54" t="n"/>
      <c r="C129" s="55" t="n"/>
      <c r="D129" s="56" t="n"/>
      <c r="E129" s="45">
        <f>IF($B129="","",IF($C129="Money in",-$D129,$D129))</f>
        <v/>
      </c>
      <c r="F129" s="55" t="n"/>
    </row>
    <row r="130" ht="15" customHeight="1" s="30">
      <c r="B130" s="54" t="n"/>
      <c r="C130" s="55" t="n"/>
      <c r="D130" s="56" t="n"/>
      <c r="E130" s="45">
        <f>IF($B130="","",IF($C130="Money in",-$D130,$D130))</f>
        <v/>
      </c>
      <c r="F130" s="55" t="n"/>
    </row>
    <row r="131" ht="15" customHeight="1" s="30">
      <c r="B131" s="54" t="n"/>
      <c r="C131" s="55" t="n"/>
      <c r="D131" s="56" t="n"/>
      <c r="E131" s="45">
        <f>IF($B131="","",IF($C131="Money in",-$D131,$D131))</f>
        <v/>
      </c>
      <c r="F131" s="55" t="n"/>
    </row>
    <row r="132" ht="15" customHeight="1" s="30">
      <c r="B132" s="54" t="n"/>
      <c r="C132" s="55" t="n"/>
      <c r="D132" s="56" t="n"/>
      <c r="E132" s="45">
        <f>IF($B132="","",IF($C132="Money in",-$D132,$D132))</f>
        <v/>
      </c>
      <c r="F132" s="55" t="n"/>
    </row>
    <row r="133" ht="15" customHeight="1" s="30">
      <c r="B133" s="54" t="n"/>
      <c r="C133" s="55" t="n"/>
      <c r="D133" s="56" t="n"/>
      <c r="E133" s="45">
        <f>IF($B133="","",IF($C133="Money in",-$D133,$D133))</f>
        <v/>
      </c>
      <c r="F133" s="55" t="n"/>
    </row>
    <row r="134" ht="15" customHeight="1" s="30">
      <c r="B134" s="54" t="n"/>
      <c r="C134" s="55" t="n"/>
      <c r="D134" s="56" t="n"/>
      <c r="E134" s="45">
        <f>IF($B134="","",IF($C134="Money in",-$D134,$D134))</f>
        <v/>
      </c>
      <c r="F134" s="55" t="n"/>
    </row>
    <row r="135" ht="15" customHeight="1" s="30">
      <c r="B135" s="54" t="n"/>
      <c r="C135" s="55" t="n"/>
      <c r="D135" s="56" t="n"/>
      <c r="E135" s="45">
        <f>IF($B135="","",IF($C135="Money in",-$D135,$D135))</f>
        <v/>
      </c>
      <c r="F135" s="55" t="n"/>
    </row>
    <row r="136" ht="15" customHeight="1" s="30">
      <c r="B136" s="54" t="n"/>
      <c r="C136" s="55" t="n"/>
      <c r="D136" s="56" t="n"/>
      <c r="E136" s="45">
        <f>IF($B136="","",IF($C136="Money in",-$D136,$D136))</f>
        <v/>
      </c>
      <c r="F136" s="55" t="n"/>
    </row>
    <row r="137" ht="15" customHeight="1" s="30">
      <c r="B137" s="54" t="n"/>
      <c r="C137" s="55" t="n"/>
      <c r="D137" s="56" t="n"/>
      <c r="E137" s="45">
        <f>IF($B137="","",IF($C137="Money in",-$D137,$D137))</f>
        <v/>
      </c>
      <c r="F137" s="55" t="n"/>
    </row>
    <row r="138" ht="15" customHeight="1" s="30">
      <c r="B138" s="54" t="n"/>
      <c r="C138" s="55" t="n"/>
      <c r="D138" s="56" t="n"/>
      <c r="E138" s="45">
        <f>IF($B138="","",IF($C138="Money in",-$D138,$D138))</f>
        <v/>
      </c>
      <c r="F138" s="55" t="n"/>
    </row>
    <row r="139" ht="15" customHeight="1" s="30">
      <c r="B139" s="54" t="n"/>
      <c r="C139" s="55" t="n"/>
      <c r="D139" s="56" t="n"/>
      <c r="E139" s="45">
        <f>IF($B139="","",IF($C139="Money in",-$D139,$D139))</f>
        <v/>
      </c>
      <c r="F139" s="55" t="n"/>
    </row>
    <row r="140" ht="15" customHeight="1" s="30">
      <c r="B140" s="54" t="n"/>
      <c r="C140" s="55" t="n"/>
      <c r="D140" s="56" t="n"/>
      <c r="E140" s="45">
        <f>IF($B140="","",IF($C140="Money in",-$D140,$D140))</f>
        <v/>
      </c>
      <c r="F140" s="55" t="n"/>
    </row>
    <row r="141" ht="15" customHeight="1" s="30">
      <c r="B141" s="54" t="n"/>
      <c r="C141" s="55" t="n"/>
      <c r="D141" s="56" t="n"/>
      <c r="E141" s="45">
        <f>IF($B141="","",IF($C141="Money in",-$D141,$D141))</f>
        <v/>
      </c>
      <c r="F141" s="55" t="n"/>
    </row>
    <row r="142" ht="15" customHeight="1" s="30">
      <c r="B142" s="54" t="n"/>
      <c r="C142" s="55" t="n"/>
      <c r="D142" s="56" t="n"/>
      <c r="E142" s="45">
        <f>IF($B142="","",IF($C142="Money in",-$D142,$D142))</f>
        <v/>
      </c>
      <c r="F142" s="55" t="n"/>
    </row>
    <row r="143" ht="15" customHeight="1" s="30">
      <c r="B143" s="54" t="n"/>
      <c r="C143" s="55" t="n"/>
      <c r="D143" s="56" t="n"/>
      <c r="E143" s="45">
        <f>IF($B143="","",IF($C143="Money in",-$D143,$D143))</f>
        <v/>
      </c>
      <c r="F143" s="55" t="n"/>
    </row>
    <row r="144" ht="15" customHeight="1" s="30">
      <c r="B144" s="54" t="n"/>
      <c r="C144" s="55" t="n"/>
      <c r="D144" s="56" t="n"/>
      <c r="E144" s="45">
        <f>IF($B144="","",IF($C144="Money in",-$D144,$D144))</f>
        <v/>
      </c>
      <c r="F144" s="55" t="n"/>
    </row>
    <row r="145" ht="15" customHeight="1" s="30">
      <c r="B145" s="54" t="n"/>
      <c r="C145" s="55" t="n"/>
      <c r="D145" s="56" t="n"/>
      <c r="E145" s="45">
        <f>IF($B145="","",IF($C145="Money in",-$D145,$D145))</f>
        <v/>
      </c>
      <c r="F145" s="55" t="n"/>
    </row>
    <row r="146" ht="15" customHeight="1" s="30">
      <c r="B146" s="54" t="n"/>
      <c r="C146" s="55" t="n"/>
      <c r="D146" s="56" t="n"/>
      <c r="E146" s="45">
        <f>IF($B146="","",IF($C146="Money in",-$D146,$D146))</f>
        <v/>
      </c>
      <c r="F146" s="55" t="n"/>
    </row>
    <row r="147" ht="15" customHeight="1" s="30">
      <c r="B147" s="54" t="n"/>
      <c r="C147" s="55" t="n"/>
      <c r="D147" s="56" t="n"/>
      <c r="E147" s="45">
        <f>IF($B147="","",IF($C147="Money in",-$D147,$D147))</f>
        <v/>
      </c>
      <c r="F147" s="55" t="n"/>
    </row>
    <row r="148" ht="15" customHeight="1" s="30">
      <c r="B148" s="54" t="n"/>
      <c r="C148" s="55" t="n"/>
      <c r="D148" s="56" t="n"/>
      <c r="E148" s="45">
        <f>IF($B148="","",IF($C148="Money in",-$D148,$D148))</f>
        <v/>
      </c>
      <c r="F148" s="55" t="n"/>
    </row>
    <row r="149" ht="15" customHeight="1" s="30">
      <c r="B149" s="54" t="n"/>
      <c r="C149" s="55" t="n"/>
      <c r="D149" s="56" t="n"/>
      <c r="E149" s="45">
        <f>IF($B149="","",IF($C149="Money in",-$D149,$D149))</f>
        <v/>
      </c>
      <c r="F149" s="55" t="n"/>
    </row>
    <row r="150" ht="15" customHeight="1" s="30">
      <c r="B150" s="54" t="n"/>
      <c r="C150" s="55" t="n"/>
      <c r="D150" s="56" t="n"/>
      <c r="E150" s="45">
        <f>IF($B150="","",IF($C150="Money in",-$D150,$D150))</f>
        <v/>
      </c>
      <c r="F150" s="55" t="n"/>
    </row>
    <row r="151" ht="15" customHeight="1" s="30">
      <c r="B151" s="54" t="n"/>
      <c r="C151" s="55" t="n"/>
      <c r="D151" s="56" t="n"/>
      <c r="E151" s="45">
        <f>IF($B151="","",IF($C151="Money in",-$D151,$D151))</f>
        <v/>
      </c>
      <c r="F151" s="55" t="n"/>
    </row>
    <row r="152" ht="15" customHeight="1" s="30">
      <c r="B152" s="54" t="n"/>
      <c r="C152" s="55" t="n"/>
      <c r="D152" s="56" t="n"/>
      <c r="E152" s="45">
        <f>IF($B152="","",IF($C152="Money in",-$D152,$D152))</f>
        <v/>
      </c>
      <c r="F152" s="55" t="n"/>
    </row>
    <row r="153" ht="15" customHeight="1" s="30">
      <c r="B153" s="54" t="n"/>
      <c r="C153" s="55" t="n"/>
      <c r="D153" s="56" t="n"/>
      <c r="E153" s="45">
        <f>IF($B153="","",IF($C153="Money in",-$D153,$D153))</f>
        <v/>
      </c>
      <c r="F153" s="55" t="n"/>
    </row>
    <row r="154" ht="15" customHeight="1" s="30">
      <c r="B154" s="54" t="n"/>
      <c r="C154" s="55" t="n"/>
      <c r="D154" s="56" t="n"/>
      <c r="E154" s="45">
        <f>IF($B154="","",IF($C154="Money in",-$D154,$D154))</f>
        <v/>
      </c>
      <c r="F154" s="55" t="n"/>
    </row>
    <row r="155" ht="15" customHeight="1" s="30">
      <c r="B155" s="54" t="n"/>
      <c r="C155" s="55" t="n"/>
      <c r="D155" s="56" t="n"/>
      <c r="E155" s="45">
        <f>IF($B155="","",IF($C155="Money in",-$D155,$D155))</f>
        <v/>
      </c>
      <c r="F155" s="55" t="n"/>
    </row>
    <row r="156" ht="15" customHeight="1" s="30">
      <c r="B156" s="54" t="n"/>
      <c r="C156" s="55" t="n"/>
      <c r="D156" s="56" t="n"/>
      <c r="E156" s="45">
        <f>IF($B156="","",IF($C156="Money in",-$D156,$D156))</f>
        <v/>
      </c>
      <c r="F156" s="55" t="n"/>
    </row>
    <row r="157" ht="15" customHeight="1" s="30">
      <c r="B157" s="54" t="n"/>
      <c r="C157" s="55" t="n"/>
      <c r="D157" s="56" t="n"/>
      <c r="E157" s="45">
        <f>IF($B157="","",IF($C157="Money in",-$D157,$D157))</f>
        <v/>
      </c>
      <c r="F157" s="55" t="n"/>
    </row>
    <row r="158" ht="15" customHeight="1" s="30">
      <c r="B158" s="54" t="n"/>
      <c r="C158" s="55" t="n"/>
      <c r="D158" s="56" t="n"/>
      <c r="E158" s="45">
        <f>IF($B158="","",IF($C158="Money in",-$D158,$D158))</f>
        <v/>
      </c>
      <c r="F158" s="55" t="n"/>
    </row>
    <row r="159" ht="15" customHeight="1" s="30">
      <c r="B159" s="54" t="n"/>
      <c r="C159" s="55" t="n"/>
      <c r="D159" s="56" t="n"/>
      <c r="E159" s="45">
        <f>IF($B159="","",IF($C159="Money in",-$D159,$D159))</f>
        <v/>
      </c>
      <c r="F159" s="55" t="n"/>
    </row>
    <row r="160" ht="15" customHeight="1" s="30">
      <c r="B160" s="54" t="n"/>
      <c r="C160" s="55" t="n"/>
      <c r="D160" s="56" t="n"/>
      <c r="E160" s="45">
        <f>IF($B160="","",IF($C160="Money in",-$D160,$D160))</f>
        <v/>
      </c>
      <c r="F160" s="55" t="n"/>
    </row>
    <row r="161" ht="15" customHeight="1" s="30">
      <c r="B161" s="54" t="n"/>
      <c r="C161" s="55" t="n"/>
      <c r="D161" s="56" t="n"/>
      <c r="E161" s="45">
        <f>IF($B161="","",IF($C161="Money in",-$D161,$D161))</f>
        <v/>
      </c>
      <c r="F161" s="55" t="n"/>
    </row>
    <row r="162" ht="15" customHeight="1" s="30">
      <c r="B162" s="54" t="n"/>
      <c r="C162" s="55" t="n"/>
      <c r="D162" s="56" t="n"/>
      <c r="E162" s="45">
        <f>IF($B162="","",IF($C162="Money in",-$D162,$D162))</f>
        <v/>
      </c>
      <c r="F162" s="55" t="n"/>
    </row>
    <row r="163" ht="15" customHeight="1" s="30">
      <c r="B163" s="54" t="n"/>
      <c r="C163" s="55" t="n"/>
      <c r="D163" s="56" t="n"/>
      <c r="E163" s="45">
        <f>IF($B163="","",IF($C163="Money in",-$D163,$D163))</f>
        <v/>
      </c>
      <c r="F163" s="55" t="n"/>
    </row>
    <row r="164" ht="15" customHeight="1" s="30">
      <c r="B164" s="54" t="n"/>
      <c r="C164" s="55" t="n"/>
      <c r="D164" s="56" t="n"/>
      <c r="E164" s="45">
        <f>IF($B164="","",IF($C164="Money in",-$D164,$D164))</f>
        <v/>
      </c>
      <c r="F164" s="55" t="n"/>
    </row>
    <row r="165" ht="15" customHeight="1" s="30">
      <c r="B165" s="54" t="n"/>
      <c r="C165" s="55" t="n"/>
      <c r="D165" s="56" t="n"/>
      <c r="E165" s="45">
        <f>IF($B165="","",IF($C165="Money in",-$D165,$D165))</f>
        <v/>
      </c>
      <c r="F165" s="55" t="n"/>
    </row>
    <row r="166" ht="15" customHeight="1" s="30">
      <c r="B166" s="54" t="n"/>
      <c r="C166" s="55" t="n"/>
      <c r="D166" s="56" t="n"/>
      <c r="E166" s="45">
        <f>IF($B166="","",IF($C166="Money in",-$D166,$D166))</f>
        <v/>
      </c>
      <c r="F166" s="55" t="n"/>
    </row>
    <row r="167" ht="15" customHeight="1" s="30">
      <c r="B167" s="54" t="n"/>
      <c r="C167" s="55" t="n"/>
      <c r="D167" s="56" t="n"/>
      <c r="E167" s="45">
        <f>IF($B167="","",IF($C167="Money in",-$D167,$D167))</f>
        <v/>
      </c>
      <c r="F167" s="55" t="n"/>
    </row>
    <row r="168" ht="15" customHeight="1" s="30">
      <c r="B168" s="54" t="n"/>
      <c r="C168" s="55" t="n"/>
      <c r="D168" s="56" t="n"/>
      <c r="E168" s="45">
        <f>IF($B168="","",IF($C168="Money in",-$D168,$D168))</f>
        <v/>
      </c>
      <c r="F168" s="55" t="n"/>
    </row>
    <row r="169" ht="15" customHeight="1" s="30">
      <c r="B169" s="54" t="n"/>
      <c r="C169" s="55" t="n"/>
      <c r="D169" s="56" t="n"/>
      <c r="E169" s="45">
        <f>IF($B169="","",IF($C169="Money in",-$D169,$D169))</f>
        <v/>
      </c>
      <c r="F169" s="55" t="n"/>
    </row>
    <row r="170" ht="15" customHeight="1" s="30">
      <c r="B170" s="54" t="n"/>
      <c r="C170" s="55" t="n"/>
      <c r="D170" s="56" t="n"/>
      <c r="E170" s="45">
        <f>IF($B170="","",IF($C170="Money in",-$D170,$D170))</f>
        <v/>
      </c>
      <c r="F170" s="55" t="n"/>
    </row>
    <row r="171" ht="15" customHeight="1" s="30">
      <c r="B171" s="54" t="n"/>
      <c r="C171" s="55" t="n"/>
      <c r="D171" s="56" t="n"/>
      <c r="E171" s="45">
        <f>IF($B171="","",IF($C171="Money in",-$D171,$D171))</f>
        <v/>
      </c>
      <c r="F171" s="55" t="n"/>
    </row>
    <row r="172" ht="15" customHeight="1" s="30">
      <c r="B172" s="54" t="n"/>
      <c r="C172" s="55" t="n"/>
      <c r="D172" s="56" t="n"/>
      <c r="E172" s="45">
        <f>IF($B172="","",IF($C172="Money in",-$D172,$D172))</f>
        <v/>
      </c>
      <c r="F172" s="55" t="n"/>
    </row>
    <row r="173" ht="15" customHeight="1" s="30">
      <c r="B173" s="54" t="n"/>
      <c r="C173" s="55" t="n"/>
      <c r="D173" s="56" t="n"/>
      <c r="E173" s="45">
        <f>IF($B173="","",IF($C173="Money in",-$D173,$D173))</f>
        <v/>
      </c>
      <c r="F173" s="55" t="n"/>
    </row>
    <row r="174" ht="15" customHeight="1" s="30">
      <c r="B174" s="54" t="n"/>
      <c r="C174" s="55" t="n"/>
      <c r="D174" s="56" t="n"/>
      <c r="E174" s="45">
        <f>IF($B174="","",IF($C174="Money in",-$D174,$D174))</f>
        <v/>
      </c>
      <c r="F174" s="55" t="n"/>
    </row>
    <row r="175" ht="15" customHeight="1" s="30">
      <c r="B175" s="54" t="n"/>
      <c r="C175" s="55" t="n"/>
      <c r="D175" s="56" t="n"/>
      <c r="E175" s="45">
        <f>IF($B175="","",IF($C175="Money in",-$D175,$D175))</f>
        <v/>
      </c>
      <c r="F175" s="55" t="n"/>
    </row>
    <row r="176" ht="15" customHeight="1" s="30">
      <c r="B176" s="54" t="n"/>
      <c r="C176" s="55" t="n"/>
      <c r="D176" s="56" t="n"/>
      <c r="E176" s="45">
        <f>IF($B176="","",IF($C176="Money in",-$D176,$D176))</f>
        <v/>
      </c>
      <c r="F176" s="55" t="n"/>
    </row>
    <row r="177" ht="15" customHeight="1" s="30">
      <c r="B177" s="54" t="n"/>
      <c r="C177" s="55" t="n"/>
      <c r="D177" s="56" t="n"/>
      <c r="E177" s="45">
        <f>IF($B177="","",IF($C177="Money in",-$D177,$D177))</f>
        <v/>
      </c>
      <c r="F177" s="55" t="n"/>
    </row>
    <row r="178" ht="15" customHeight="1" s="30">
      <c r="B178" s="54" t="n"/>
      <c r="C178" s="55" t="n"/>
      <c r="D178" s="56" t="n"/>
      <c r="E178" s="45">
        <f>IF($B178="","",IF($C178="Money in",-$D178,$D178))</f>
        <v/>
      </c>
      <c r="F178" s="55" t="n"/>
    </row>
    <row r="179" ht="15" customHeight="1" s="30">
      <c r="B179" s="54" t="n"/>
      <c r="C179" s="55" t="n"/>
      <c r="D179" s="56" t="n"/>
      <c r="E179" s="45">
        <f>IF($B179="","",IF($C179="Money in",-$D179,$D179))</f>
        <v/>
      </c>
      <c r="F179" s="55" t="n"/>
    </row>
    <row r="180" ht="15" customHeight="1" s="30">
      <c r="B180" s="54" t="n"/>
      <c r="C180" s="55" t="n"/>
      <c r="D180" s="56" t="n"/>
      <c r="E180" s="45">
        <f>IF($B180="","",IF($C180="Money in",-$D180,$D180))</f>
        <v/>
      </c>
      <c r="F180" s="55" t="n"/>
    </row>
    <row r="181" ht="15" customHeight="1" s="30">
      <c r="B181" s="54" t="n"/>
      <c r="C181" s="55" t="n"/>
      <c r="D181" s="56" t="n"/>
      <c r="E181" s="45">
        <f>IF($B181="","",IF($C181="Money in",-$D181,$D181))</f>
        <v/>
      </c>
      <c r="F181" s="55" t="n"/>
    </row>
    <row r="182" ht="15" customHeight="1" s="30">
      <c r="B182" s="54" t="n"/>
      <c r="C182" s="55" t="n"/>
      <c r="D182" s="56" t="n"/>
      <c r="E182" s="45">
        <f>IF($B182="","",IF($C182="Money in",-$D182,$D182))</f>
        <v/>
      </c>
      <c r="F182" s="55" t="n"/>
    </row>
    <row r="183" ht="15" customHeight="1" s="30">
      <c r="B183" s="54" t="n"/>
      <c r="C183" s="55" t="n"/>
      <c r="D183" s="56" t="n"/>
      <c r="E183" s="45">
        <f>IF($B183="","",IF($C183="Money in",-$D183,$D183))</f>
        <v/>
      </c>
      <c r="F183" s="55" t="n"/>
    </row>
    <row r="184" ht="15" customHeight="1" s="30">
      <c r="B184" s="54" t="n"/>
      <c r="C184" s="55" t="n"/>
      <c r="D184" s="56" t="n"/>
      <c r="E184" s="45">
        <f>IF($B184="","",IF($C184="Money in",-$D184,$D184))</f>
        <v/>
      </c>
      <c r="F184" s="55" t="n"/>
    </row>
    <row r="185" ht="15" customHeight="1" s="30">
      <c r="B185" s="54" t="n"/>
      <c r="C185" s="55" t="n"/>
      <c r="D185" s="56" t="n"/>
      <c r="E185" s="45">
        <f>IF($B185="","",IF($C185="Money in",-$D185,$D185))</f>
        <v/>
      </c>
      <c r="F185" s="55" t="n"/>
    </row>
    <row r="186" ht="15" customHeight="1" s="30">
      <c r="B186" s="54" t="n"/>
      <c r="C186" s="55" t="n"/>
      <c r="D186" s="56" t="n"/>
      <c r="E186" s="45">
        <f>IF($B186="","",IF($C186="Money in",-$D186,$D186))</f>
        <v/>
      </c>
      <c r="F186" s="55" t="n"/>
    </row>
    <row r="187" ht="15" customHeight="1" s="30">
      <c r="B187" s="54" t="n"/>
      <c r="C187" s="55" t="n"/>
      <c r="D187" s="56" t="n"/>
      <c r="E187" s="45">
        <f>IF($B187="","",IF($C187="Money in",-$D187,$D187))</f>
        <v/>
      </c>
      <c r="F187" s="55" t="n"/>
    </row>
    <row r="188" ht="15" customHeight="1" s="30">
      <c r="B188" s="54" t="n"/>
      <c r="C188" s="55" t="n"/>
      <c r="D188" s="56" t="n"/>
      <c r="E188" s="45">
        <f>IF($B188="","",IF($C188="Money in",-$D188,$D188))</f>
        <v/>
      </c>
      <c r="F188" s="55" t="n"/>
    </row>
    <row r="189" ht="15" customHeight="1" s="30">
      <c r="B189" s="54" t="n"/>
      <c r="C189" s="55" t="n"/>
      <c r="D189" s="56" t="n"/>
      <c r="E189" s="45">
        <f>IF($B189="","",IF($C189="Money in",-$D189,$D189))</f>
        <v/>
      </c>
      <c r="F189" s="55" t="n"/>
    </row>
    <row r="190" ht="15" customHeight="1" s="30">
      <c r="B190" s="54" t="n"/>
      <c r="C190" s="55" t="n"/>
      <c r="D190" s="56" t="n"/>
      <c r="E190" s="45">
        <f>IF($B190="","",IF($C190="Money in",-$D190,$D190))</f>
        <v/>
      </c>
      <c r="F190" s="55" t="n"/>
    </row>
    <row r="191" ht="15" customHeight="1" s="30">
      <c r="B191" s="54" t="n"/>
      <c r="C191" s="55" t="n"/>
      <c r="D191" s="56" t="n"/>
      <c r="E191" s="45">
        <f>IF($B191="","",IF($C191="Money in",-$D191,$D191))</f>
        <v/>
      </c>
      <c r="F191" s="55" t="n"/>
    </row>
    <row r="192" ht="15" customHeight="1" s="30">
      <c r="B192" s="54" t="n"/>
      <c r="C192" s="55" t="n"/>
      <c r="D192" s="56" t="n"/>
      <c r="E192" s="45">
        <f>IF($B192="","",IF($C192="Money in",-$D192,$D192))</f>
        <v/>
      </c>
      <c r="F192" s="55" t="n"/>
    </row>
    <row r="193" ht="15" customHeight="1" s="30">
      <c r="B193" s="54" t="n"/>
      <c r="C193" s="55" t="n"/>
      <c r="D193" s="56" t="n"/>
      <c r="E193" s="45">
        <f>IF($B193="","",IF($C193="Money in",-$D193,$D193))</f>
        <v/>
      </c>
      <c r="F193" s="55" t="n"/>
    </row>
    <row r="194" ht="15" customHeight="1" s="30">
      <c r="B194" s="54" t="n"/>
      <c r="C194" s="55" t="n"/>
      <c r="D194" s="56" t="n"/>
      <c r="E194" s="45">
        <f>IF($B194="","",IF($C194="Money in",-$D194,$D194))</f>
        <v/>
      </c>
      <c r="F194" s="55" t="n"/>
    </row>
    <row r="195" ht="15" customHeight="1" s="30">
      <c r="B195" s="54" t="n"/>
      <c r="C195" s="55" t="n"/>
      <c r="D195" s="56" t="n"/>
      <c r="E195" s="45">
        <f>IF($B195="","",IF($C195="Money in",-$D195,$D195))</f>
        <v/>
      </c>
      <c r="F195" s="55" t="n"/>
    </row>
    <row r="196" ht="15" customHeight="1" s="30">
      <c r="B196" s="54" t="n"/>
      <c r="C196" s="55" t="n"/>
      <c r="D196" s="56" t="n"/>
      <c r="E196" s="45">
        <f>IF($B196="","",IF($C196="Money in",-$D196,$D196))</f>
        <v/>
      </c>
      <c r="F196" s="55" t="n"/>
    </row>
    <row r="197" ht="15" customHeight="1" s="30">
      <c r="B197" s="54" t="n"/>
      <c r="C197" s="55" t="n"/>
      <c r="D197" s="56" t="n"/>
      <c r="E197" s="45">
        <f>IF($B197="","",IF($C197="Money in",-$D197,$D197))</f>
        <v/>
      </c>
      <c r="F197" s="55" t="n"/>
    </row>
    <row r="198" ht="15" customHeight="1" s="30">
      <c r="B198" s="54" t="n"/>
      <c r="C198" s="55" t="n"/>
      <c r="D198" s="56" t="n"/>
      <c r="E198" s="45">
        <f>IF($B198="","",IF($C198="Money in",-$D198,$D198))</f>
        <v/>
      </c>
      <c r="F198" s="55" t="n"/>
    </row>
    <row r="199" ht="15" customHeight="1" s="30">
      <c r="B199" s="54" t="n"/>
      <c r="C199" s="55" t="n"/>
      <c r="D199" s="56" t="n"/>
      <c r="E199" s="45">
        <f>IF($B199="","",IF($C199="Money in",-$D199,$D199))</f>
        <v/>
      </c>
      <c r="F199" s="55" t="n"/>
    </row>
    <row r="200" ht="15" customHeight="1" s="30">
      <c r="B200" s="54" t="n"/>
      <c r="C200" s="55" t="n"/>
      <c r="D200" s="56" t="n"/>
      <c r="E200" s="45">
        <f>IF($B200="","",IF($C200="Money in",-$D200,$D200))</f>
        <v/>
      </c>
      <c r="F200" s="55" t="n"/>
    </row>
    <row r="201" ht="15" customHeight="1" s="30">
      <c r="B201" s="54" t="n"/>
      <c r="C201" s="55" t="n"/>
      <c r="D201" s="56" t="n"/>
      <c r="E201" s="45">
        <f>IF($B201="","",IF($C201="Money in",-$D201,$D201))</f>
        <v/>
      </c>
      <c r="F201" s="55" t="n"/>
    </row>
    <row r="202" ht="15" customHeight="1" s="30">
      <c r="B202" s="54" t="n"/>
      <c r="C202" s="55" t="n"/>
      <c r="D202" s="56" t="n"/>
      <c r="E202" s="45">
        <f>IF($B202="","",IF($C202="Money in",-$D202,$D202))</f>
        <v/>
      </c>
      <c r="F202" s="55" t="n"/>
    </row>
    <row r="203" ht="15" customHeight="1" s="30">
      <c r="B203" s="54" t="n"/>
      <c r="C203" s="55" t="n"/>
      <c r="D203" s="56" t="n"/>
      <c r="E203" s="45">
        <f>IF($B203="","",IF($C203="Money in",-$D203,$D203))</f>
        <v/>
      </c>
      <c r="F203" s="55" t="n"/>
    </row>
    <row r="204" ht="15" customHeight="1" s="30">
      <c r="B204" s="54" t="n"/>
      <c r="C204" s="55" t="n"/>
      <c r="D204" s="56" t="n"/>
      <c r="E204" s="45">
        <f>IF($B204="","",IF($C204="Money in",-$D204,$D204))</f>
        <v/>
      </c>
      <c r="F204" s="55" t="n"/>
    </row>
    <row r="205" ht="15" customHeight="1" s="30">
      <c r="B205" s="54" t="n"/>
      <c r="C205" s="55" t="n"/>
      <c r="D205" s="56" t="n"/>
      <c r="E205" s="45">
        <f>IF($B205="","",IF($C205="Money in",-$D205,$D205))</f>
        <v/>
      </c>
      <c r="F205" s="55" t="n"/>
    </row>
    <row r="206" ht="15" customHeight="1" s="30">
      <c r="B206" s="54" t="n"/>
      <c r="C206" s="55" t="n"/>
      <c r="D206" s="56" t="n"/>
      <c r="E206" s="45">
        <f>IF($B206="","",IF($C206="Money in",-$D206,$D206))</f>
        <v/>
      </c>
      <c r="F206" s="55" t="n"/>
    </row>
    <row r="207" ht="15" customHeight="1" s="30">
      <c r="B207" s="54" t="n"/>
      <c r="C207" s="55" t="n"/>
      <c r="D207" s="56" t="n"/>
      <c r="E207" s="45">
        <f>IF($B207="","",IF($C207="Money in",-$D207,$D207))</f>
        <v/>
      </c>
      <c r="F207" s="55" t="n"/>
    </row>
    <row r="208" ht="15" customHeight="1" s="30">
      <c r="B208" s="54" t="n"/>
      <c r="C208" s="55" t="n"/>
      <c r="D208" s="56" t="n"/>
      <c r="E208" s="45">
        <f>IF($B208="","",IF($C208="Money in",-$D208,$D208))</f>
        <v/>
      </c>
      <c r="F208" s="55" t="n"/>
    </row>
    <row r="209" ht="15" customHeight="1" s="30">
      <c r="B209" s="54" t="n"/>
      <c r="C209" s="55" t="n"/>
      <c r="D209" s="56" t="n"/>
      <c r="E209" s="45">
        <f>IF($B209="","",IF($C209="Money in",-$D209,$D209))</f>
        <v/>
      </c>
      <c r="F209" s="55" t="n"/>
    </row>
    <row r="210" ht="15" customHeight="1" s="30">
      <c r="B210" s="54" t="n"/>
      <c r="C210" s="55" t="n"/>
      <c r="D210" s="56" t="n"/>
      <c r="E210" s="45">
        <f>IF($B210="","",IF($C210="Money in",-$D210,$D210))</f>
        <v/>
      </c>
      <c r="F210" s="55" t="n"/>
    </row>
    <row r="211" ht="15" customHeight="1" s="30">
      <c r="B211" s="54" t="n"/>
      <c r="C211" s="55" t="n"/>
      <c r="D211" s="56" t="n"/>
      <c r="E211" s="45">
        <f>IF($B211="","",IF($C211="Money in",-$D211,$D211))</f>
        <v/>
      </c>
      <c r="F211" s="55" t="n"/>
    </row>
    <row r="212" ht="15" customHeight="1" s="30">
      <c r="B212" s="54" t="n"/>
      <c r="C212" s="55" t="n"/>
      <c r="D212" s="56" t="n"/>
      <c r="E212" s="45">
        <f>IF($B212="","",IF($C212="Money in",-$D212,$D212))</f>
        <v/>
      </c>
      <c r="F212" s="55" t="n"/>
    </row>
    <row r="213" ht="15" customHeight="1" s="30">
      <c r="B213" s="54" t="n"/>
      <c r="C213" s="55" t="n"/>
      <c r="D213" s="56" t="n"/>
      <c r="E213" s="45">
        <f>IF($B213="","",IF($C213="Money in",-$D213,$D213))</f>
        <v/>
      </c>
      <c r="F213" s="55" t="n"/>
    </row>
    <row r="214" ht="15" customHeight="1" s="30">
      <c r="B214" s="54" t="n"/>
      <c r="C214" s="55" t="n"/>
      <c r="D214" s="56" t="n"/>
      <c r="E214" s="45">
        <f>IF($B214="","",IF($C214="Money in",-$D214,$D214))</f>
        <v/>
      </c>
      <c r="F214" s="55" t="n"/>
    </row>
    <row r="215" ht="15" customHeight="1" s="30">
      <c r="B215" s="54" t="n"/>
      <c r="C215" s="55" t="n"/>
      <c r="D215" s="56" t="n"/>
      <c r="E215" s="45">
        <f>IF($B215="","",IF($C215="Money in",-$D215,$D215))</f>
        <v/>
      </c>
      <c r="F215" s="55" t="n"/>
    </row>
    <row r="216" ht="15" customHeight="1" s="30">
      <c r="B216" s="54" t="n"/>
      <c r="C216" s="55" t="n"/>
      <c r="D216" s="56" t="n"/>
      <c r="E216" s="45">
        <f>IF($B216="","",IF($C216="Money in",-$D216,$D216))</f>
        <v/>
      </c>
      <c r="F216" s="55" t="n"/>
    </row>
    <row r="217" ht="15" customHeight="1" s="30">
      <c r="B217" s="54" t="n"/>
      <c r="C217" s="55" t="n"/>
      <c r="D217" s="56" t="n"/>
      <c r="E217" s="45">
        <f>IF($B217="","",IF($C217="Money in",-$D217,$D217))</f>
        <v/>
      </c>
      <c r="F217" s="55" t="n"/>
    </row>
    <row r="218" ht="15" customHeight="1" s="30">
      <c r="B218" s="54" t="n"/>
      <c r="C218" s="55" t="n"/>
      <c r="D218" s="56" t="n"/>
      <c r="E218" s="45">
        <f>IF($B218="","",IF($C218="Money in",-$D218,$D218))</f>
        <v/>
      </c>
      <c r="F218" s="55" t="n"/>
    </row>
    <row r="219" ht="15" customHeight="1" s="30">
      <c r="B219" s="54" t="n"/>
      <c r="C219" s="55" t="n"/>
      <c r="D219" s="56" t="n"/>
      <c r="E219" s="45">
        <f>IF($B219="","",IF($C219="Money in",-$D219,$D219))</f>
        <v/>
      </c>
      <c r="F219" s="55" t="n"/>
    </row>
    <row r="220" ht="15" customHeight="1" s="30">
      <c r="B220" s="54" t="n"/>
      <c r="C220" s="55" t="n"/>
      <c r="D220" s="56" t="n"/>
      <c r="E220" s="45">
        <f>IF($B220="","",IF($C220="Money in",-$D220,$D220))</f>
        <v/>
      </c>
      <c r="F220" s="55" t="n"/>
    </row>
    <row r="221" ht="15" customHeight="1" s="30">
      <c r="B221" s="54" t="n"/>
      <c r="C221" s="55" t="n"/>
      <c r="D221" s="56" t="n"/>
      <c r="E221" s="45">
        <f>IF($B221="","",IF($C221="Money in",-$D221,$D221))</f>
        <v/>
      </c>
      <c r="F221" s="55" t="n"/>
    </row>
    <row r="222" ht="15" customHeight="1" s="30">
      <c r="B222" s="54" t="n"/>
      <c r="C222" s="55" t="n"/>
      <c r="D222" s="56" t="n"/>
      <c r="E222" s="45">
        <f>IF($B222="","",IF($C222="Money in",-$D222,$D222))</f>
        <v/>
      </c>
      <c r="F222" s="55" t="n"/>
    </row>
    <row r="223" ht="15" customHeight="1" s="30">
      <c r="B223" s="54" t="n"/>
      <c r="C223" s="55" t="n"/>
      <c r="D223" s="56" t="n"/>
      <c r="E223" s="45">
        <f>IF($B223="","",IF($C223="Money in",-$D223,$D223))</f>
        <v/>
      </c>
      <c r="F223" s="55" t="n"/>
    </row>
    <row r="224" ht="15" customHeight="1" s="30">
      <c r="B224" s="54" t="n"/>
      <c r="C224" s="55" t="n"/>
      <c r="D224" s="56" t="n"/>
      <c r="E224" s="45">
        <f>IF($B224="","",IF($C224="Money in",-$D224,$D224))</f>
        <v/>
      </c>
      <c r="F224" s="55" t="n"/>
    </row>
    <row r="225" ht="15" customHeight="1" s="30">
      <c r="B225" s="54" t="n"/>
      <c r="C225" s="55" t="n"/>
      <c r="D225" s="56" t="n"/>
      <c r="E225" s="45">
        <f>IF($B225="","",IF($C225="Money in",-$D225,$D225))</f>
        <v/>
      </c>
      <c r="F225" s="55" t="n"/>
    </row>
    <row r="226" ht="15" customHeight="1" s="30">
      <c r="B226" s="54" t="n"/>
      <c r="C226" s="55" t="n"/>
      <c r="D226" s="56" t="n"/>
      <c r="E226" s="45">
        <f>IF($B226="","",IF($C226="Money in",-$D226,$D226))</f>
        <v/>
      </c>
      <c r="F226" s="55" t="n"/>
    </row>
    <row r="227" ht="15" customHeight="1" s="30">
      <c r="B227" s="54" t="n"/>
      <c r="C227" s="55" t="n"/>
      <c r="D227" s="56" t="n"/>
      <c r="E227" s="45">
        <f>IF($B227="","",IF($C227="Money in",-$D227,$D227))</f>
        <v/>
      </c>
      <c r="F227" s="55" t="n"/>
    </row>
    <row r="228" ht="15" customHeight="1" s="30">
      <c r="B228" s="54" t="n"/>
      <c r="C228" s="55" t="n"/>
      <c r="D228" s="56" t="n"/>
      <c r="E228" s="45">
        <f>IF($B228="","",IF($C228="Money in",-$D228,$D228))</f>
        <v/>
      </c>
      <c r="F228" s="55" t="n"/>
    </row>
    <row r="229" ht="15" customHeight="1" s="30">
      <c r="B229" s="54" t="n"/>
      <c r="C229" s="55" t="n"/>
      <c r="D229" s="56" t="n"/>
      <c r="E229" s="45">
        <f>IF($B229="","",IF($C229="Money in",-$D229,$D229))</f>
        <v/>
      </c>
      <c r="F229" s="55" t="n"/>
    </row>
    <row r="230" ht="15" customHeight="1" s="30">
      <c r="B230" s="54" t="n"/>
      <c r="C230" s="55" t="n"/>
      <c r="D230" s="56" t="n"/>
      <c r="E230" s="45">
        <f>IF($B230="","",IF($C230="Money in",-$D230,$D230))</f>
        <v/>
      </c>
      <c r="F230" s="55" t="n"/>
    </row>
    <row r="231" ht="15" customHeight="1" s="30">
      <c r="B231" s="54" t="n"/>
      <c r="C231" s="55" t="n"/>
      <c r="D231" s="56" t="n"/>
      <c r="E231" s="45">
        <f>IF($B231="","",IF($C231="Money in",-$D231,$D231))</f>
        <v/>
      </c>
      <c r="F231" s="55" t="n"/>
    </row>
    <row r="232" ht="15" customHeight="1" s="30">
      <c r="B232" s="54" t="n"/>
      <c r="C232" s="55" t="n"/>
      <c r="D232" s="56" t="n"/>
      <c r="E232" s="45">
        <f>IF($B232="","",IF($C232="Money in",-$D232,$D232))</f>
        <v/>
      </c>
      <c r="F232" s="55" t="n"/>
    </row>
    <row r="233" ht="15" customHeight="1" s="30">
      <c r="B233" s="54" t="n"/>
      <c r="C233" s="55" t="n"/>
      <c r="D233" s="56" t="n"/>
      <c r="E233" s="45">
        <f>IF($B233="","",IF($C233="Money in",-$D233,$D233))</f>
        <v/>
      </c>
      <c r="F233" s="55" t="n"/>
    </row>
    <row r="234" ht="15" customHeight="1" s="30">
      <c r="B234" s="54" t="n"/>
      <c r="C234" s="55" t="n"/>
      <c r="D234" s="56" t="n"/>
      <c r="E234" s="45">
        <f>IF($B234="","",IF($C234="Money in",-$D234,$D234))</f>
        <v/>
      </c>
      <c r="F234" s="55" t="n"/>
    </row>
    <row r="235" ht="15" customHeight="1" s="30">
      <c r="B235" s="54" t="n"/>
      <c r="C235" s="55" t="n"/>
      <c r="D235" s="56" t="n"/>
      <c r="E235" s="45">
        <f>IF($B235="","",IF($C235="Money in",-$D235,$D235))</f>
        <v/>
      </c>
      <c r="F235" s="55" t="n"/>
    </row>
    <row r="236" ht="15" customHeight="1" s="30">
      <c r="B236" s="54" t="n"/>
      <c r="C236" s="55" t="n"/>
      <c r="D236" s="56" t="n"/>
      <c r="E236" s="45">
        <f>IF($B236="","",IF($C236="Money in",-$D236,$D236))</f>
        <v/>
      </c>
      <c r="F236" s="55" t="n"/>
    </row>
    <row r="237" ht="15" customHeight="1" s="30">
      <c r="B237" s="54" t="n"/>
      <c r="C237" s="55" t="n"/>
      <c r="D237" s="56" t="n"/>
      <c r="E237" s="45">
        <f>IF($B237="","",IF($C237="Money in",-$D237,$D237))</f>
        <v/>
      </c>
      <c r="F237" s="55" t="n"/>
    </row>
    <row r="238" ht="15" customHeight="1" s="30">
      <c r="B238" s="54" t="n"/>
      <c r="C238" s="55" t="n"/>
      <c r="D238" s="56" t="n"/>
      <c r="E238" s="45">
        <f>IF($B238="","",IF($C238="Money in",-$D238,$D238))</f>
        <v/>
      </c>
      <c r="F238" s="55" t="n"/>
    </row>
    <row r="239" ht="15" customHeight="1" s="30">
      <c r="B239" s="54" t="n"/>
      <c r="C239" s="55" t="n"/>
      <c r="D239" s="56" t="n"/>
      <c r="E239" s="45">
        <f>IF($B239="","",IF($C239="Money in",-$D239,$D239))</f>
        <v/>
      </c>
      <c r="F239" s="55" t="n"/>
    </row>
    <row r="240" ht="15" customHeight="1" s="30">
      <c r="B240" s="54" t="n"/>
      <c r="C240" s="55" t="n"/>
      <c r="D240" s="56" t="n"/>
      <c r="E240" s="45">
        <f>IF($B240="","",IF($C240="Money in",-$D240,$D240))</f>
        <v/>
      </c>
      <c r="F240" s="55" t="n"/>
    </row>
    <row r="241" ht="15" customHeight="1" s="30">
      <c r="B241" s="54" t="n"/>
      <c r="C241" s="55" t="n"/>
      <c r="D241" s="56" t="n"/>
      <c r="E241" s="45">
        <f>IF($B241="","",IF($C241="Money in",-$D241,$D241))</f>
        <v/>
      </c>
      <c r="F241" s="55" t="n"/>
    </row>
    <row r="242" ht="15" customHeight="1" s="30">
      <c r="B242" s="54" t="n"/>
      <c r="C242" s="55" t="n"/>
      <c r="D242" s="56" t="n"/>
      <c r="E242" s="45">
        <f>IF($B242="","",IF($C242="Money in",-$D242,$D242))</f>
        <v/>
      </c>
      <c r="F242" s="55" t="n"/>
    </row>
    <row r="243" ht="15" customHeight="1" s="30">
      <c r="B243" s="54" t="n"/>
      <c r="C243" s="55" t="n"/>
      <c r="D243" s="56" t="n"/>
      <c r="E243" s="45">
        <f>IF($B243="","",IF($C243="Money in",-$D243,$D243))</f>
        <v/>
      </c>
      <c r="F243" s="55" t="n"/>
    </row>
    <row r="244" ht="15" customHeight="1" s="30">
      <c r="B244" s="54" t="n"/>
      <c r="C244" s="55" t="n"/>
      <c r="D244" s="56" t="n"/>
      <c r="E244" s="45">
        <f>IF($B244="","",IF($C244="Money in",-$D244,$D244))</f>
        <v/>
      </c>
      <c r="F244" s="55" t="n"/>
    </row>
    <row r="245" ht="15" customHeight="1" s="30">
      <c r="B245" s="54" t="n"/>
      <c r="C245" s="55" t="n"/>
      <c r="D245" s="56" t="n"/>
      <c r="E245" s="45">
        <f>IF($B245="","",IF($C245="Money in",-$D245,$D245))</f>
        <v/>
      </c>
      <c r="F245" s="55" t="n"/>
    </row>
    <row r="246" ht="15" customHeight="1" s="30">
      <c r="B246" s="54" t="n"/>
      <c r="C246" s="55" t="n"/>
      <c r="D246" s="56" t="n"/>
      <c r="E246" s="45">
        <f>IF($B246="","",IF($C246="Money in",-$D246,$D246))</f>
        <v/>
      </c>
      <c r="F246" s="55" t="n"/>
    </row>
    <row r="247" ht="15" customHeight="1" s="30">
      <c r="B247" s="54" t="n"/>
      <c r="C247" s="55" t="n"/>
      <c r="D247" s="56" t="n"/>
      <c r="E247" s="45">
        <f>IF($B247="","",IF($C247="Money in",-$D247,$D247))</f>
        <v/>
      </c>
      <c r="F247" s="55" t="n"/>
    </row>
    <row r="248" ht="15" customHeight="1" s="30">
      <c r="B248" s="54" t="n"/>
      <c r="C248" s="55" t="n"/>
      <c r="D248" s="56" t="n"/>
      <c r="E248" s="45">
        <f>IF($B248="","",IF($C248="Money in",-$D248,$D248))</f>
        <v/>
      </c>
      <c r="F248" s="55" t="n"/>
    </row>
    <row r="249" ht="15" customHeight="1" s="30">
      <c r="B249" s="54" t="n"/>
      <c r="C249" s="55" t="n"/>
      <c r="D249" s="56" t="n"/>
      <c r="E249" s="45">
        <f>IF($B249="","",IF($C249="Money in",-$D249,$D249))</f>
        <v/>
      </c>
      <c r="F249" s="55" t="n"/>
    </row>
    <row r="250" ht="15" customHeight="1" s="30">
      <c r="B250" s="54" t="n"/>
      <c r="C250" s="55" t="n"/>
      <c r="D250" s="56" t="n"/>
      <c r="E250" s="45">
        <f>IF($B250="","",IF($C250="Money in",-$D250,$D250))</f>
        <v/>
      </c>
      <c r="F250" s="55" t="n"/>
    </row>
    <row r="251" ht="15" customHeight="1" s="30">
      <c r="B251" s="54" t="n"/>
      <c r="C251" s="55" t="n"/>
      <c r="D251" s="56" t="n"/>
      <c r="E251" s="45">
        <f>IF($B251="","",IF($C251="Money in",-$D251,$D251))</f>
        <v/>
      </c>
      <c r="F251" s="55" t="n"/>
    </row>
    <row r="252" ht="15" customHeight="1" s="30">
      <c r="B252" s="54" t="n"/>
      <c r="C252" s="55" t="n"/>
      <c r="D252" s="56" t="n"/>
      <c r="E252" s="45">
        <f>IF($B252="","",IF($C252="Money in",-$D252,$D252))</f>
        <v/>
      </c>
      <c r="F252" s="55" t="n"/>
    </row>
    <row r="253" ht="15" customHeight="1" s="30">
      <c r="B253" s="54" t="n"/>
      <c r="C253" s="55" t="n"/>
      <c r="D253" s="56" t="n"/>
      <c r="E253" s="45">
        <f>IF($B253="","",IF($C253="Money in",-$D253,$D253))</f>
        <v/>
      </c>
      <c r="F253" s="55" t="n"/>
    </row>
    <row r="254" ht="15" customHeight="1" s="30">
      <c r="B254" s="54" t="n"/>
      <c r="C254" s="55" t="n"/>
      <c r="D254" s="56" t="n"/>
      <c r="E254" s="45">
        <f>IF($B254="","",IF($C254="Money in",-$D254,$D254))</f>
        <v/>
      </c>
      <c r="F254" s="55" t="n"/>
    </row>
    <row r="255" ht="15" customHeight="1" s="30">
      <c r="B255" s="54" t="n"/>
      <c r="C255" s="55" t="n"/>
      <c r="D255" s="56" t="n"/>
      <c r="E255" s="45">
        <f>IF($B255="","",IF($C255="Money in",-$D255,$D255))</f>
        <v/>
      </c>
      <c r="F255" s="55" t="n"/>
    </row>
    <row r="256" ht="15" customHeight="1" s="30">
      <c r="B256" s="54" t="n"/>
      <c r="C256" s="55" t="n"/>
      <c r="D256" s="56" t="n"/>
      <c r="E256" s="45">
        <f>IF($B256="","",IF($C256="Money in",-$D256,$D256))</f>
        <v/>
      </c>
      <c r="F256" s="55" t="n"/>
    </row>
    <row r="257" ht="15" customHeight="1" s="30">
      <c r="B257" s="54" t="n"/>
      <c r="C257" s="55" t="n"/>
      <c r="D257" s="56" t="n"/>
      <c r="E257" s="45">
        <f>IF($B257="","",IF($C257="Money in",-$D257,$D257))</f>
        <v/>
      </c>
      <c r="F257" s="55" t="n"/>
    </row>
    <row r="258" ht="15" customHeight="1" s="30">
      <c r="B258" s="54" t="n"/>
      <c r="C258" s="55" t="n"/>
      <c r="D258" s="56" t="n"/>
      <c r="E258" s="45">
        <f>IF($B258="","",IF($C258="Money in",-$D258,$D258))</f>
        <v/>
      </c>
      <c r="F258" s="55" t="n"/>
    </row>
    <row r="259" ht="15" customHeight="1" s="30">
      <c r="B259" s="54" t="n"/>
      <c r="C259" s="55" t="n"/>
      <c r="D259" s="56" t="n"/>
      <c r="E259" s="45">
        <f>IF($B259="","",IF($C259="Money in",-$D259,$D259))</f>
        <v/>
      </c>
      <c r="F259" s="55" t="n"/>
    </row>
    <row r="260" ht="15" customHeight="1" s="30">
      <c r="B260" s="54" t="n"/>
      <c r="C260" s="55" t="n"/>
      <c r="D260" s="56" t="n"/>
      <c r="E260" s="45">
        <f>IF($B260="","",IF($C260="Money in",-$D260,$D260))</f>
        <v/>
      </c>
      <c r="F260" s="55" t="n"/>
    </row>
    <row r="261" ht="15" customHeight="1" s="30">
      <c r="B261" s="54" t="n"/>
      <c r="C261" s="55" t="n"/>
      <c r="D261" s="56" t="n"/>
      <c r="E261" s="45">
        <f>IF($B261="","",IF($C261="Money in",-$D261,$D261))</f>
        <v/>
      </c>
      <c r="F261" s="55" t="n"/>
    </row>
    <row r="262" ht="15" customHeight="1" s="30">
      <c r="B262" s="54" t="n"/>
      <c r="C262" s="55" t="n"/>
      <c r="D262" s="56" t="n"/>
      <c r="E262" s="45">
        <f>IF($B262="","",IF($C262="Money in",-$D262,$D262))</f>
        <v/>
      </c>
      <c r="F262" s="55" t="n"/>
    </row>
    <row r="263" ht="15" customHeight="1" s="30">
      <c r="B263" s="54" t="n"/>
      <c r="C263" s="55" t="n"/>
      <c r="D263" s="56" t="n"/>
      <c r="E263" s="45">
        <f>IF($B263="","",IF($C263="Money in",-$D263,$D263))</f>
        <v/>
      </c>
      <c r="F263" s="55" t="n"/>
    </row>
    <row r="264" ht="15" customHeight="1" s="30">
      <c r="B264" s="54" t="n"/>
      <c r="C264" s="55" t="n"/>
      <c r="D264" s="56" t="n"/>
      <c r="E264" s="45">
        <f>IF($B264="","",IF($C264="Money in",-$D264,$D264))</f>
        <v/>
      </c>
      <c r="F264" s="55" t="n"/>
    </row>
    <row r="265" ht="15" customHeight="1" s="30">
      <c r="B265" s="54" t="n"/>
      <c r="C265" s="55" t="n"/>
      <c r="D265" s="56" t="n"/>
      <c r="E265" s="45">
        <f>IF($B265="","",IF($C265="Money in",-$D265,$D265))</f>
        <v/>
      </c>
      <c r="F265" s="55" t="n"/>
    </row>
    <row r="266" ht="15" customHeight="1" s="30">
      <c r="B266" s="54" t="n"/>
      <c r="C266" s="55" t="n"/>
      <c r="D266" s="56" t="n"/>
      <c r="E266" s="45">
        <f>IF($B266="","",IF($C266="Money in",-$D266,$D266))</f>
        <v/>
      </c>
      <c r="F266" s="55" t="n"/>
    </row>
    <row r="267" ht="15" customHeight="1" s="30">
      <c r="B267" s="54" t="n"/>
      <c r="C267" s="55" t="n"/>
      <c r="D267" s="56" t="n"/>
      <c r="E267" s="45">
        <f>IF($B267="","",IF($C267="Money in",-$D267,$D267))</f>
        <v/>
      </c>
      <c r="F267" s="55" t="n"/>
    </row>
    <row r="268" ht="15" customHeight="1" s="30">
      <c r="B268" s="54" t="n"/>
      <c r="C268" s="55" t="n"/>
      <c r="D268" s="56" t="n"/>
      <c r="E268" s="45">
        <f>IF($B268="","",IF($C268="Money in",-$D268,$D268))</f>
        <v/>
      </c>
      <c r="F268" s="55" t="n"/>
    </row>
    <row r="269" ht="15" customHeight="1" s="30">
      <c r="B269" s="54" t="n"/>
      <c r="C269" s="55" t="n"/>
      <c r="D269" s="56" t="n"/>
      <c r="E269" s="45">
        <f>IF($B269="","",IF($C269="Money in",-$D269,$D269))</f>
        <v/>
      </c>
      <c r="F269" s="55" t="n"/>
    </row>
    <row r="270" ht="15" customHeight="1" s="30">
      <c r="B270" s="54" t="n"/>
      <c r="C270" s="55" t="n"/>
      <c r="D270" s="56" t="n"/>
      <c r="E270" s="45">
        <f>IF($B270="","",IF($C270="Money in",-$D270,$D270))</f>
        <v/>
      </c>
      <c r="F270" s="55" t="n"/>
    </row>
    <row r="271" ht="15" customHeight="1" s="30">
      <c r="B271" s="54" t="n"/>
      <c r="C271" s="55" t="n"/>
      <c r="D271" s="56" t="n"/>
      <c r="E271" s="45">
        <f>IF($B271="","",IF($C271="Money in",-$D271,$D271))</f>
        <v/>
      </c>
      <c r="F271" s="55" t="n"/>
    </row>
    <row r="272" ht="15" customHeight="1" s="30">
      <c r="B272" s="54" t="n"/>
      <c r="C272" s="55" t="n"/>
      <c r="D272" s="56" t="n"/>
      <c r="E272" s="45">
        <f>IF($B272="","",IF($C272="Money in",-$D272,$D272))</f>
        <v/>
      </c>
      <c r="F272" s="55" t="n"/>
    </row>
    <row r="273" ht="15" customHeight="1" s="30">
      <c r="B273" s="54" t="n"/>
      <c r="C273" s="55" t="n"/>
      <c r="D273" s="56" t="n"/>
      <c r="E273" s="45">
        <f>IF($B273="","",IF($C273="Money in",-$D273,$D273))</f>
        <v/>
      </c>
      <c r="F273" s="55" t="n"/>
    </row>
    <row r="274" ht="15" customHeight="1" s="30">
      <c r="B274" s="54" t="n"/>
      <c r="C274" s="55" t="n"/>
      <c r="D274" s="56" t="n"/>
      <c r="E274" s="45">
        <f>IF($B274="","",IF($C274="Money in",-$D274,$D274))</f>
        <v/>
      </c>
      <c r="F274" s="55" t="n"/>
    </row>
    <row r="275" ht="15" customHeight="1" s="30">
      <c r="B275" s="54" t="n"/>
      <c r="C275" s="55" t="n"/>
      <c r="D275" s="56" t="n"/>
      <c r="E275" s="45">
        <f>IF($B275="","",IF($C275="Money in",-$D275,$D275))</f>
        <v/>
      </c>
      <c r="F275" s="55" t="n"/>
    </row>
    <row r="276" ht="15" customHeight="1" s="30">
      <c r="B276" s="54" t="n"/>
      <c r="C276" s="55" t="n"/>
      <c r="D276" s="56" t="n"/>
      <c r="E276" s="45">
        <f>IF($B276="","",IF($C276="Money in",-$D276,$D276))</f>
        <v/>
      </c>
      <c r="F276" s="55" t="n"/>
    </row>
    <row r="277" ht="15" customHeight="1" s="30">
      <c r="B277" s="54" t="n"/>
      <c r="C277" s="55" t="n"/>
      <c r="D277" s="56" t="n"/>
      <c r="E277" s="45">
        <f>IF($B277="","",IF($C277="Money in",-$D277,$D277))</f>
        <v/>
      </c>
      <c r="F277" s="55" t="n"/>
    </row>
    <row r="278" ht="15" customHeight="1" s="30">
      <c r="B278" s="54" t="n"/>
      <c r="C278" s="55" t="n"/>
      <c r="D278" s="56" t="n"/>
      <c r="E278" s="45">
        <f>IF($B278="","",IF($C278="Money in",-$D278,$D278))</f>
        <v/>
      </c>
      <c r="F278" s="55" t="n"/>
    </row>
    <row r="279" ht="15" customHeight="1" s="30">
      <c r="B279" s="54" t="n"/>
      <c r="C279" s="55" t="n"/>
      <c r="D279" s="56" t="n"/>
      <c r="E279" s="45">
        <f>IF($B279="","",IF($C279="Money in",-$D279,$D279))</f>
        <v/>
      </c>
      <c r="F279" s="55" t="n"/>
    </row>
    <row r="280" ht="15" customHeight="1" s="30">
      <c r="B280" s="54" t="n"/>
      <c r="C280" s="55" t="n"/>
      <c r="D280" s="56" t="n"/>
      <c r="E280" s="45">
        <f>IF($B280="","",IF($C280="Money in",-$D280,$D280))</f>
        <v/>
      </c>
      <c r="F280" s="55" t="n"/>
    </row>
    <row r="281" ht="15" customHeight="1" s="30">
      <c r="B281" s="54" t="n"/>
      <c r="C281" s="55" t="n"/>
      <c r="D281" s="56" t="n"/>
      <c r="E281" s="45">
        <f>IF($B281="","",IF($C281="Money in",-$D281,$D281))</f>
        <v/>
      </c>
      <c r="F281" s="55" t="n"/>
    </row>
    <row r="282" ht="15" customHeight="1" s="30">
      <c r="B282" s="54" t="n"/>
      <c r="C282" s="55" t="n"/>
      <c r="D282" s="56" t="n"/>
      <c r="E282" s="45">
        <f>IF($B282="","",IF($C282="Money in",-$D282,$D282))</f>
        <v/>
      </c>
      <c r="F282" s="55" t="n"/>
    </row>
    <row r="283" ht="15" customHeight="1" s="30">
      <c r="B283" s="54" t="n"/>
      <c r="C283" s="55" t="n"/>
      <c r="D283" s="56" t="n"/>
      <c r="E283" s="45">
        <f>IF($B283="","",IF($C283="Money in",-$D283,$D283))</f>
        <v/>
      </c>
      <c r="F283" s="55" t="n"/>
    </row>
    <row r="284" ht="15" customHeight="1" s="30">
      <c r="B284" s="54" t="n"/>
      <c r="C284" s="55" t="n"/>
      <c r="D284" s="56" t="n"/>
      <c r="E284" s="45">
        <f>IF($B284="","",IF($C284="Money in",-$D284,$D284))</f>
        <v/>
      </c>
      <c r="F284" s="55" t="n"/>
    </row>
    <row r="285" ht="15" customHeight="1" s="30">
      <c r="B285" s="54" t="n"/>
      <c r="C285" s="55" t="n"/>
      <c r="D285" s="56" t="n"/>
      <c r="E285" s="45">
        <f>IF($B285="","",IF($C285="Money in",-$D285,$D285))</f>
        <v/>
      </c>
      <c r="F285" s="55" t="n"/>
    </row>
    <row r="286" ht="15" customHeight="1" s="30">
      <c r="B286" s="54" t="n"/>
      <c r="C286" s="55" t="n"/>
      <c r="D286" s="56" t="n"/>
      <c r="E286" s="45">
        <f>IF($B286="","",IF($C286="Money in",-$D286,$D286))</f>
        <v/>
      </c>
      <c r="F286" s="55" t="n"/>
    </row>
    <row r="287" ht="15" customHeight="1" s="30">
      <c r="B287" s="54" t="n"/>
      <c r="C287" s="55" t="n"/>
      <c r="D287" s="56" t="n"/>
      <c r="E287" s="45">
        <f>IF($B287="","",IF($C287="Money in",-$D287,$D287))</f>
        <v/>
      </c>
      <c r="F287" s="55" t="n"/>
    </row>
    <row r="288" ht="15" customHeight="1" s="30">
      <c r="B288" s="54" t="n"/>
      <c r="C288" s="55" t="n"/>
      <c r="D288" s="56" t="n"/>
      <c r="E288" s="45">
        <f>IF($B288="","",IF($C288="Money in",-$D288,$D288))</f>
        <v/>
      </c>
      <c r="F288" s="55" t="n"/>
    </row>
    <row r="289" ht="15" customHeight="1" s="30">
      <c r="B289" s="54" t="n"/>
      <c r="C289" s="55" t="n"/>
      <c r="D289" s="56" t="n"/>
      <c r="E289" s="45">
        <f>IF($B289="","",IF($C289="Money in",-$D289,$D289))</f>
        <v/>
      </c>
      <c r="F289" s="55" t="n"/>
    </row>
    <row r="290" ht="15" customHeight="1" s="30">
      <c r="B290" s="54" t="n"/>
      <c r="C290" s="55" t="n"/>
      <c r="D290" s="56" t="n"/>
      <c r="E290" s="45">
        <f>IF($B290="","",IF($C290="Money in",-$D290,$D290))</f>
        <v/>
      </c>
      <c r="F290" s="55" t="n"/>
    </row>
    <row r="291" ht="15" customHeight="1" s="30">
      <c r="B291" s="54" t="n"/>
      <c r="C291" s="55" t="n"/>
      <c r="D291" s="56" t="n"/>
      <c r="E291" s="45">
        <f>IF($B291="","",IF($C291="Money in",-$D291,$D291))</f>
        <v/>
      </c>
      <c r="F291" s="55" t="n"/>
    </row>
    <row r="292" ht="15" customHeight="1" s="30">
      <c r="B292" s="54" t="n"/>
      <c r="C292" s="55" t="n"/>
      <c r="D292" s="56" t="n"/>
      <c r="E292" s="45">
        <f>IF($B292="","",IF($C292="Money in",-$D292,$D292))</f>
        <v/>
      </c>
      <c r="F292" s="55" t="n"/>
    </row>
    <row r="293" ht="15" customHeight="1" s="30">
      <c r="B293" s="54" t="n"/>
      <c r="C293" s="55" t="n"/>
      <c r="D293" s="56" t="n"/>
      <c r="E293" s="45">
        <f>IF($B293="","",IF($C293="Money in",-$D293,$D293))</f>
        <v/>
      </c>
      <c r="F293" s="55" t="n"/>
    </row>
    <row r="294" ht="15" customHeight="1" s="30">
      <c r="B294" s="54" t="n"/>
      <c r="C294" s="55" t="n"/>
      <c r="D294" s="56" t="n"/>
      <c r="E294" s="45">
        <f>IF($B294="","",IF($C294="Money in",-$D294,$D294))</f>
        <v/>
      </c>
      <c r="F294" s="55" t="n"/>
    </row>
    <row r="295" ht="15" customHeight="1" s="30">
      <c r="B295" s="54" t="n"/>
      <c r="C295" s="55" t="n"/>
      <c r="D295" s="56" t="n"/>
      <c r="E295" s="45">
        <f>IF($B295="","",IF($C295="Money in",-$D295,$D295))</f>
        <v/>
      </c>
      <c r="F295" s="55" t="n"/>
    </row>
    <row r="296" ht="15" customHeight="1" s="30">
      <c r="B296" s="54" t="n"/>
      <c r="C296" s="55" t="n"/>
      <c r="D296" s="56" t="n"/>
      <c r="E296" s="45">
        <f>IF($B296="","",IF($C296="Money in",-$D296,$D296))</f>
        <v/>
      </c>
      <c r="F296" s="55" t="n"/>
    </row>
    <row r="297" ht="15" customHeight="1" s="30">
      <c r="B297" s="54" t="n"/>
      <c r="C297" s="55" t="n"/>
      <c r="D297" s="56" t="n"/>
      <c r="E297" s="45">
        <f>IF($B297="","",IF($C297="Money in",-$D297,$D297))</f>
        <v/>
      </c>
      <c r="F297" s="55" t="n"/>
    </row>
    <row r="298" ht="15" customHeight="1" s="30">
      <c r="B298" s="54" t="n"/>
      <c r="C298" s="55" t="n"/>
      <c r="D298" s="56" t="n"/>
      <c r="E298" s="45">
        <f>IF($B298="","",IF($C298="Money in",-$D298,$D298))</f>
        <v/>
      </c>
      <c r="F298" s="55" t="n"/>
    </row>
    <row r="299" ht="15" customHeight="1" s="30">
      <c r="B299" s="54" t="n"/>
      <c r="C299" s="55" t="n"/>
      <c r="D299" s="56" t="n"/>
      <c r="E299" s="45">
        <f>IF($B299="","",IF($C299="Money in",-$D299,$D299))</f>
        <v/>
      </c>
      <c r="F299" s="55" t="n"/>
    </row>
    <row r="300" ht="15" customHeight="1" s="30">
      <c r="B300" s="54" t="n"/>
      <c r="C300" s="55" t="n"/>
      <c r="D300" s="56" t="n"/>
      <c r="E300" s="45">
        <f>IF($B300="","",IF($C300="Money in",-$D300,$D300))</f>
        <v/>
      </c>
      <c r="F300" s="55" t="n"/>
    </row>
    <row r="301" ht="15" customHeight="1" s="30">
      <c r="B301" s="54" t="n"/>
      <c r="C301" s="55" t="n"/>
      <c r="D301" s="56" t="n"/>
      <c r="E301" s="45">
        <f>IF($B301="","",IF($C301="Money in",-$D301,$D301))</f>
        <v/>
      </c>
      <c r="F301" s="55" t="n"/>
    </row>
    <row r="302" ht="15" customHeight="1" s="30">
      <c r="B302" s="54" t="n"/>
      <c r="C302" s="55" t="n"/>
      <c r="D302" s="56" t="n"/>
      <c r="E302" s="45">
        <f>IF($B302="","",IF($C302="Money in",-$D302,$D302))</f>
        <v/>
      </c>
      <c r="F302" s="55" t="n"/>
    </row>
    <row r="303" ht="15" customHeight="1" s="30">
      <c r="B303" s="54" t="n"/>
      <c r="C303" s="55" t="n"/>
      <c r="D303" s="56" t="n"/>
      <c r="E303" s="45">
        <f>IF($B303="","",IF($C303="Money in",-$D303,$D303))</f>
        <v/>
      </c>
      <c r="F303" s="55" t="n"/>
    </row>
    <row r="304" ht="15" customHeight="1" s="30">
      <c r="B304" s="54" t="n"/>
      <c r="C304" s="55" t="n"/>
      <c r="D304" s="56" t="n"/>
      <c r="E304" s="45">
        <f>IF($B304="","",IF($C304="Money in",-$D304,$D304))</f>
        <v/>
      </c>
      <c r="F304" s="55" t="n"/>
    </row>
    <row r="305" ht="15" customHeight="1" s="30">
      <c r="B305" s="54" t="n"/>
      <c r="C305" s="55" t="n"/>
      <c r="D305" s="56" t="n"/>
      <c r="E305" s="45">
        <f>IF($B305="","",IF($C305="Money in",-$D305,$D305))</f>
        <v/>
      </c>
      <c r="F305" s="55" t="n"/>
    </row>
    <row r="306" ht="15" customHeight="1" s="30">
      <c r="B306" s="54" t="n"/>
      <c r="C306" s="55" t="n"/>
      <c r="D306" s="56" t="n"/>
      <c r="E306" s="45">
        <f>IF($B306="","",IF($C306="Money in",-$D306,$D306))</f>
        <v/>
      </c>
      <c r="F306" s="55" t="n"/>
    </row>
    <row r="307" ht="15" customHeight="1" s="30">
      <c r="B307" s="54" t="n"/>
      <c r="C307" s="55" t="n"/>
      <c r="D307" s="56" t="n"/>
      <c r="E307" s="45">
        <f>IF($B307="","",IF($C307="Money in",-$D307,$D307))</f>
        <v/>
      </c>
      <c r="F307" s="55" t="n"/>
    </row>
    <row r="308" ht="15" customHeight="1" s="30">
      <c r="B308" s="54" t="n"/>
      <c r="C308" s="55" t="n"/>
      <c r="D308" s="56" t="n"/>
      <c r="E308" s="45">
        <f>IF($B308="","",IF($C308="Money in",-$D308,$D308))</f>
        <v/>
      </c>
      <c r="F308" s="55" t="n"/>
    </row>
    <row r="309" ht="15" customHeight="1" s="30">
      <c r="B309" s="54" t="n"/>
      <c r="C309" s="55" t="n"/>
      <c r="D309" s="56" t="n"/>
      <c r="E309" s="45">
        <f>IF($B309="","",IF($C309="Money in",-$D309,$D309))</f>
        <v/>
      </c>
      <c r="F309" s="55" t="n"/>
    </row>
    <row r="310" ht="15" customHeight="1" s="30">
      <c r="B310" s="54" t="n"/>
      <c r="C310" s="55" t="n"/>
      <c r="D310" s="56" t="n"/>
      <c r="E310" s="45">
        <f>IF($B310="","",IF($C310="Money in",-$D310,$D310))</f>
        <v/>
      </c>
      <c r="F310" s="55" t="n"/>
    </row>
    <row r="311" ht="15" customHeight="1" s="30">
      <c r="B311" s="54" t="n"/>
      <c r="C311" s="55" t="n"/>
      <c r="D311" s="56" t="n"/>
      <c r="E311" s="45">
        <f>IF($B311="","",IF($C311="Money in",-$D311,$D311))</f>
        <v/>
      </c>
      <c r="F311" s="55" t="n"/>
    </row>
    <row r="312" ht="15" customHeight="1" s="30">
      <c r="B312" s="54" t="n"/>
      <c r="C312" s="55" t="n"/>
      <c r="D312" s="56" t="n"/>
      <c r="E312" s="45">
        <f>IF($B312="","",IF($C312="Money in",-$D312,$D312))</f>
        <v/>
      </c>
      <c r="F312" s="55" t="n"/>
    </row>
    <row r="313" ht="15" customHeight="1" s="30">
      <c r="B313" s="54" t="n"/>
      <c r="C313" s="55" t="n"/>
      <c r="D313" s="56" t="n"/>
      <c r="E313" s="45">
        <f>IF($B313="","",IF($C313="Money in",-$D313,$D313))</f>
        <v/>
      </c>
      <c r="F313" s="55" t="n"/>
    </row>
    <row r="314" ht="15" customHeight="1" s="30">
      <c r="B314" s="54" t="n"/>
      <c r="C314" s="55" t="n"/>
      <c r="D314" s="56" t="n"/>
      <c r="E314" s="45">
        <f>IF($B314="","",IF($C314="Money in",-$D314,$D314))</f>
        <v/>
      </c>
      <c r="F314" s="55" t="n"/>
    </row>
    <row r="315" ht="15" customHeight="1" s="30">
      <c r="B315" s="54" t="n"/>
      <c r="C315" s="55" t="n"/>
      <c r="D315" s="56" t="n"/>
      <c r="E315" s="45">
        <f>IF($B315="","",IF($C315="Money in",-$D315,$D315))</f>
        <v/>
      </c>
      <c r="F315" s="55" t="n"/>
    </row>
    <row r="316" ht="15" customHeight="1" s="30">
      <c r="B316" s="54" t="n"/>
      <c r="C316" s="55" t="n"/>
      <c r="D316" s="56" t="n"/>
      <c r="E316" s="45">
        <f>IF($B316="","",IF($C316="Money in",-$D316,$D316))</f>
        <v/>
      </c>
      <c r="F316" s="55" t="n"/>
    </row>
    <row r="317" ht="15" customHeight="1" s="30">
      <c r="B317" s="54" t="n"/>
      <c r="C317" s="55" t="n"/>
      <c r="D317" s="56" t="n"/>
      <c r="E317" s="45">
        <f>IF($B317="","",IF($C317="Money in",-$D317,$D317))</f>
        <v/>
      </c>
      <c r="F317" s="55" t="n"/>
    </row>
    <row r="318" ht="15" customHeight="1" s="30">
      <c r="B318" s="54" t="n"/>
      <c r="C318" s="55" t="n"/>
      <c r="D318" s="56" t="n"/>
      <c r="E318" s="45">
        <f>IF($B318="","",IF($C318="Money in",-$D318,$D318))</f>
        <v/>
      </c>
      <c r="F318" s="55" t="n"/>
    </row>
    <row r="319" ht="15" customHeight="1" s="30">
      <c r="B319" s="54" t="n"/>
      <c r="C319" s="55" t="n"/>
      <c r="D319" s="56" t="n"/>
      <c r="E319" s="45">
        <f>IF($B319="","",IF($C319="Money in",-$D319,$D319))</f>
        <v/>
      </c>
      <c r="F319" s="55" t="n"/>
    </row>
    <row r="320" ht="15" customHeight="1" s="30">
      <c r="B320" s="54" t="n"/>
      <c r="C320" s="55" t="n"/>
      <c r="D320" s="56" t="n"/>
      <c r="E320" s="45">
        <f>IF($B320="","",IF($C320="Money in",-$D320,$D320))</f>
        <v/>
      </c>
      <c r="F320" s="55" t="n"/>
    </row>
    <row r="321" ht="15" customHeight="1" s="30">
      <c r="B321" s="54" t="n"/>
      <c r="C321" s="55" t="n"/>
      <c r="D321" s="56" t="n"/>
      <c r="E321" s="45">
        <f>IF($B321="","",IF($C321="Money in",-$D321,$D321))</f>
        <v/>
      </c>
      <c r="F321" s="55" t="n"/>
    </row>
    <row r="322" ht="15" customHeight="1" s="30">
      <c r="B322" s="54" t="n"/>
      <c r="C322" s="55" t="n"/>
      <c r="D322" s="56" t="n"/>
      <c r="E322" s="45">
        <f>IF($B322="","",IF($C322="Money in",-$D322,$D322))</f>
        <v/>
      </c>
      <c r="F322" s="55" t="n"/>
    </row>
    <row r="323" ht="15" customHeight="1" s="30">
      <c r="B323" s="54" t="n"/>
      <c r="C323" s="55" t="n"/>
      <c r="D323" s="56" t="n"/>
      <c r="E323" s="45">
        <f>IF($B323="","",IF($C323="Money in",-$D323,$D323))</f>
        <v/>
      </c>
      <c r="F323" s="55" t="n"/>
    </row>
    <row r="324" ht="15" customHeight="1" s="30">
      <c r="B324" s="54" t="n"/>
      <c r="C324" s="55" t="n"/>
      <c r="D324" s="56" t="n"/>
      <c r="E324" s="45">
        <f>IF($B324="","",IF($C324="Money in",-$D324,$D324))</f>
        <v/>
      </c>
      <c r="F324" s="55" t="n"/>
    </row>
    <row r="325" ht="15" customHeight="1" s="30">
      <c r="B325" s="54" t="n"/>
      <c r="C325" s="55" t="n"/>
      <c r="D325" s="56" t="n"/>
      <c r="E325" s="45">
        <f>IF($B325="","",IF($C325="Money in",-$D325,$D325))</f>
        <v/>
      </c>
      <c r="F325" s="55" t="n"/>
    </row>
    <row r="326" ht="15" customHeight="1" s="30">
      <c r="B326" s="54" t="n"/>
      <c r="C326" s="55" t="n"/>
      <c r="D326" s="56" t="n"/>
      <c r="E326" s="45">
        <f>IF($B326="","",IF($C326="Money in",-$D326,$D326))</f>
        <v/>
      </c>
      <c r="F326" s="55" t="n"/>
    </row>
    <row r="327" ht="15" customHeight="1" s="30">
      <c r="B327" s="54" t="n"/>
      <c r="C327" s="55" t="n"/>
      <c r="D327" s="56" t="n"/>
      <c r="E327" s="45">
        <f>IF($B327="","",IF($C327="Money in",-$D327,$D327))</f>
        <v/>
      </c>
      <c r="F327" s="55" t="n"/>
    </row>
    <row r="328" ht="15" customHeight="1" s="30">
      <c r="B328" s="54" t="n"/>
      <c r="C328" s="55" t="n"/>
      <c r="D328" s="56" t="n"/>
      <c r="E328" s="45">
        <f>IF($B328="","",IF($C328="Money in",-$D328,$D328))</f>
        <v/>
      </c>
      <c r="F328" s="55" t="n"/>
    </row>
    <row r="329" ht="15" customHeight="1" s="30">
      <c r="B329" s="54" t="n"/>
      <c r="C329" s="55" t="n"/>
      <c r="D329" s="56" t="n"/>
      <c r="E329" s="45">
        <f>IF($B329="","",IF($C329="Money in",-$D329,$D329))</f>
        <v/>
      </c>
      <c r="F329" s="55" t="n"/>
    </row>
    <row r="330" ht="15" customHeight="1" s="30">
      <c r="B330" s="54" t="n"/>
      <c r="C330" s="55" t="n"/>
      <c r="D330" s="56" t="n"/>
      <c r="E330" s="45">
        <f>IF($B330="","",IF($C330="Money in",-$D330,$D330))</f>
        <v/>
      </c>
      <c r="F330" s="55" t="n"/>
    </row>
    <row r="331" ht="15" customHeight="1" s="30">
      <c r="B331" s="54" t="n"/>
      <c r="C331" s="55" t="n"/>
      <c r="D331" s="56" t="n"/>
      <c r="E331" s="45">
        <f>IF($B331="","",IF($C331="Money in",-$D331,$D331))</f>
        <v/>
      </c>
      <c r="F331" s="55" t="n"/>
    </row>
    <row r="332" ht="15" customHeight="1" s="30">
      <c r="B332" s="54" t="n"/>
      <c r="C332" s="55" t="n"/>
      <c r="D332" s="56" t="n"/>
      <c r="E332" s="45">
        <f>IF($B332="","",IF($C332="Money in",-$D332,$D332))</f>
        <v/>
      </c>
      <c r="F332" s="55" t="n"/>
    </row>
    <row r="333" ht="15" customHeight="1" s="30">
      <c r="B333" s="54" t="n"/>
      <c r="C333" s="55" t="n"/>
      <c r="D333" s="56" t="n"/>
      <c r="E333" s="45">
        <f>IF($B333="","",IF($C333="Money in",-$D333,$D333))</f>
        <v/>
      </c>
      <c r="F333" s="55" t="n"/>
    </row>
    <row r="334" ht="15" customHeight="1" s="30">
      <c r="B334" s="54" t="n"/>
      <c r="C334" s="55" t="n"/>
      <c r="D334" s="56" t="n"/>
      <c r="E334" s="45">
        <f>IF($B334="","",IF($C334="Money in",-$D334,$D334))</f>
        <v/>
      </c>
      <c r="F334" s="55" t="n"/>
    </row>
    <row r="335" ht="15" customHeight="1" s="30">
      <c r="B335" s="54" t="n"/>
      <c r="C335" s="55" t="n"/>
      <c r="D335" s="56" t="n"/>
      <c r="E335" s="45">
        <f>IF($B335="","",IF($C335="Money in",-$D335,$D335))</f>
        <v/>
      </c>
      <c r="F335" s="55" t="n"/>
    </row>
    <row r="336" ht="15" customHeight="1" s="30">
      <c r="B336" s="54" t="n"/>
      <c r="C336" s="55" t="n"/>
      <c r="D336" s="56" t="n"/>
      <c r="E336" s="45">
        <f>IF($B336="","",IF($C336="Money in",-$D336,$D336))</f>
        <v/>
      </c>
      <c r="F336" s="55" t="n"/>
    </row>
    <row r="337" ht="15" customHeight="1" s="30">
      <c r="B337" s="54" t="n"/>
      <c r="C337" s="55" t="n"/>
      <c r="D337" s="56" t="n"/>
      <c r="E337" s="45">
        <f>IF($B337="","",IF($C337="Money in",-$D337,$D337))</f>
        <v/>
      </c>
      <c r="F337" s="55" t="n"/>
    </row>
    <row r="338" ht="15" customHeight="1" s="30">
      <c r="B338" s="54" t="n"/>
      <c r="C338" s="55" t="n"/>
      <c r="D338" s="56" t="n"/>
      <c r="E338" s="45">
        <f>IF($B338="","",IF($C338="Money in",-$D338,$D338))</f>
        <v/>
      </c>
      <c r="F338" s="55" t="n"/>
    </row>
    <row r="339" ht="15" customHeight="1" s="30">
      <c r="B339" s="54" t="n"/>
      <c r="C339" s="55" t="n"/>
      <c r="D339" s="56" t="n"/>
      <c r="E339" s="45">
        <f>IF($B339="","",IF($C339="Money in",-$D339,$D339))</f>
        <v/>
      </c>
      <c r="F339" s="55" t="n"/>
    </row>
    <row r="340" ht="15" customHeight="1" s="30">
      <c r="B340" s="54" t="n"/>
      <c r="C340" s="55" t="n"/>
      <c r="D340" s="56" t="n"/>
      <c r="E340" s="45">
        <f>IF($B340="","",IF($C340="Money in",-$D340,$D340))</f>
        <v/>
      </c>
      <c r="F340" s="55" t="n"/>
    </row>
    <row r="341" ht="15" customHeight="1" s="30">
      <c r="B341" s="54" t="n"/>
      <c r="C341" s="55" t="n"/>
      <c r="D341" s="56" t="n"/>
      <c r="E341" s="45">
        <f>IF($B341="","",IF($C341="Money in",-$D341,$D341))</f>
        <v/>
      </c>
      <c r="F341" s="55" t="n"/>
    </row>
    <row r="342" ht="15" customHeight="1" s="30">
      <c r="B342" s="54" t="n"/>
      <c r="C342" s="55" t="n"/>
      <c r="D342" s="56" t="n"/>
      <c r="E342" s="45">
        <f>IF($B342="","",IF($C342="Money in",-$D342,$D342))</f>
        <v/>
      </c>
      <c r="F342" s="55" t="n"/>
    </row>
    <row r="343" ht="15" customHeight="1" s="30">
      <c r="B343" s="54" t="n"/>
      <c r="C343" s="55" t="n"/>
      <c r="D343" s="56" t="n"/>
      <c r="E343" s="45">
        <f>IF($B343="","",IF($C343="Money in",-$D343,$D343))</f>
        <v/>
      </c>
      <c r="F343" s="55" t="n"/>
    </row>
    <row r="344" ht="15" customHeight="1" s="30">
      <c r="B344" s="54" t="n"/>
      <c r="C344" s="55" t="n"/>
      <c r="D344" s="56" t="n"/>
      <c r="E344" s="45">
        <f>IF($B344="","",IF($C344="Money in",-$D344,$D344))</f>
        <v/>
      </c>
      <c r="F344" s="55" t="n"/>
    </row>
    <row r="345" ht="15" customHeight="1" s="30">
      <c r="B345" s="54" t="n"/>
      <c r="C345" s="55" t="n"/>
      <c r="D345" s="56" t="n"/>
      <c r="E345" s="45">
        <f>IF($B345="","",IF($C345="Money in",-$D345,$D345))</f>
        <v/>
      </c>
      <c r="F345" s="55" t="n"/>
    </row>
    <row r="346" ht="15" customHeight="1" s="30">
      <c r="B346" s="54" t="n"/>
      <c r="C346" s="55" t="n"/>
      <c r="D346" s="56" t="n"/>
      <c r="E346" s="45">
        <f>IF($B346="","",IF($C346="Money in",-$D346,$D346))</f>
        <v/>
      </c>
      <c r="F346" s="55" t="n"/>
    </row>
    <row r="347" ht="15" customHeight="1" s="30">
      <c r="B347" s="54" t="n"/>
      <c r="C347" s="55" t="n"/>
      <c r="D347" s="56" t="n"/>
      <c r="E347" s="45">
        <f>IF($B347="","",IF($C347="Money in",-$D347,$D347))</f>
        <v/>
      </c>
      <c r="F347" s="55" t="n"/>
    </row>
    <row r="348" ht="15" customHeight="1" s="30">
      <c r="B348" s="54" t="n"/>
      <c r="C348" s="55" t="n"/>
      <c r="D348" s="56" t="n"/>
      <c r="E348" s="45">
        <f>IF($B348="","",IF($C348="Money in",-$D348,$D348))</f>
        <v/>
      </c>
      <c r="F348" s="55" t="n"/>
    </row>
    <row r="349" ht="15" customHeight="1" s="30">
      <c r="B349" s="54" t="n"/>
      <c r="C349" s="55" t="n"/>
      <c r="D349" s="56" t="n"/>
      <c r="E349" s="45">
        <f>IF($B349="","",IF($C349="Money in",-$D349,$D349))</f>
        <v/>
      </c>
      <c r="F349" s="55" t="n"/>
    </row>
    <row r="350" ht="15" customHeight="1" s="30">
      <c r="B350" s="54" t="n"/>
      <c r="C350" s="55" t="n"/>
      <c r="D350" s="56" t="n"/>
      <c r="E350" s="45">
        <f>IF($B350="","",IF($C350="Money in",-$D350,$D350))</f>
        <v/>
      </c>
      <c r="F350" s="55" t="n"/>
    </row>
    <row r="351" ht="15" customHeight="1" s="30">
      <c r="B351" s="54" t="n"/>
      <c r="C351" s="55" t="n"/>
      <c r="D351" s="56" t="n"/>
      <c r="E351" s="45">
        <f>IF($B351="","",IF($C351="Money in",-$D351,$D351))</f>
        <v/>
      </c>
      <c r="F351" s="55" t="n"/>
    </row>
    <row r="352" ht="15" customHeight="1" s="30">
      <c r="B352" s="54" t="n"/>
      <c r="C352" s="55" t="n"/>
      <c r="D352" s="56" t="n"/>
      <c r="E352" s="45">
        <f>IF($B352="","",IF($C352="Money in",-$D352,$D352))</f>
        <v/>
      </c>
      <c r="F352" s="55" t="n"/>
    </row>
    <row r="353" ht="15" customHeight="1" s="30">
      <c r="B353" s="54" t="n"/>
      <c r="C353" s="55" t="n"/>
      <c r="D353" s="56" t="n"/>
      <c r="E353" s="45">
        <f>IF($B353="","",IF($C353="Money in",-$D353,$D353))</f>
        <v/>
      </c>
      <c r="F353" s="55" t="n"/>
    </row>
    <row r="354" ht="15" customHeight="1" s="30">
      <c r="B354" s="54" t="n"/>
      <c r="C354" s="55" t="n"/>
      <c r="D354" s="56" t="n"/>
      <c r="E354" s="45">
        <f>IF($B354="","",IF($C354="Money in",-$D354,$D354))</f>
        <v/>
      </c>
      <c r="F354" s="55" t="n"/>
    </row>
    <row r="355" ht="15" customHeight="1" s="30">
      <c r="B355" s="54" t="n"/>
      <c r="C355" s="55" t="n"/>
      <c r="D355" s="56" t="n"/>
      <c r="E355" s="45">
        <f>IF($B355="","",IF($C355="Money in",-$D355,$D355))</f>
        <v/>
      </c>
      <c r="F355" s="55" t="n"/>
    </row>
    <row r="356" ht="15" customHeight="1" s="30">
      <c r="B356" s="54" t="n"/>
      <c r="C356" s="55" t="n"/>
      <c r="D356" s="56" t="n"/>
      <c r="E356" s="45">
        <f>IF($B356="","",IF($C356="Money in",-$D356,$D356))</f>
        <v/>
      </c>
      <c r="F356" s="55" t="n"/>
    </row>
    <row r="357" ht="15" customHeight="1" s="30">
      <c r="B357" s="54" t="n"/>
      <c r="C357" s="55" t="n"/>
      <c r="D357" s="56" t="n"/>
      <c r="E357" s="45">
        <f>IF($B357="","",IF($C357="Money in",-$D357,$D357))</f>
        <v/>
      </c>
      <c r="F357" s="55" t="n"/>
    </row>
    <row r="358" ht="15" customHeight="1" s="30">
      <c r="B358" s="54" t="n"/>
      <c r="C358" s="55" t="n"/>
      <c r="D358" s="56" t="n"/>
      <c r="E358" s="45">
        <f>IF($B358="","",IF($C358="Money in",-$D358,$D358))</f>
        <v/>
      </c>
      <c r="F358" s="55" t="n"/>
    </row>
    <row r="359" ht="15" customHeight="1" s="30">
      <c r="B359" s="54" t="n"/>
      <c r="C359" s="55" t="n"/>
      <c r="D359" s="56" t="n"/>
      <c r="E359" s="45">
        <f>IF($B359="","",IF($C359="Money in",-$D359,$D359))</f>
        <v/>
      </c>
      <c r="F359" s="55" t="n"/>
    </row>
    <row r="360" ht="15" customHeight="1" s="30">
      <c r="B360" s="54" t="n"/>
      <c r="C360" s="55" t="n"/>
      <c r="D360" s="56" t="n"/>
      <c r="E360" s="45">
        <f>IF($B360="","",IF($C360="Money in",-$D360,$D360))</f>
        <v/>
      </c>
      <c r="F360" s="55" t="n"/>
    </row>
    <row r="361" ht="15" customHeight="1" s="30">
      <c r="B361" s="54" t="n"/>
      <c r="C361" s="55" t="n"/>
      <c r="D361" s="56" t="n"/>
      <c r="E361" s="45">
        <f>IF($B361="","",IF($C361="Money in",-$D361,$D361))</f>
        <v/>
      </c>
      <c r="F361" s="55" t="n"/>
    </row>
    <row r="362" ht="15" customHeight="1" s="30">
      <c r="B362" s="54" t="n"/>
      <c r="C362" s="55" t="n"/>
      <c r="D362" s="56" t="n"/>
      <c r="E362" s="45">
        <f>IF($B362="","",IF($C362="Money in",-$D362,$D362))</f>
        <v/>
      </c>
      <c r="F362" s="55" t="n"/>
    </row>
    <row r="363" ht="15" customHeight="1" s="30">
      <c r="B363" s="54" t="n"/>
      <c r="C363" s="55" t="n"/>
      <c r="D363" s="56" t="n"/>
      <c r="E363" s="45">
        <f>IF($B363="","",IF($C363="Money in",-$D363,$D363))</f>
        <v/>
      </c>
      <c r="F363" s="55" t="n"/>
    </row>
    <row r="364" ht="15" customHeight="1" s="30">
      <c r="B364" s="54" t="n"/>
      <c r="C364" s="55" t="n"/>
      <c r="D364" s="56" t="n"/>
      <c r="E364" s="45">
        <f>IF($B364="","",IF($C364="Money in",-$D364,$D364))</f>
        <v/>
      </c>
      <c r="F364" s="55" t="n"/>
    </row>
    <row r="365" ht="15" customHeight="1" s="30">
      <c r="B365" s="54" t="n"/>
      <c r="C365" s="55" t="n"/>
      <c r="D365" s="56" t="n"/>
      <c r="E365" s="45">
        <f>IF($B365="","",IF($C365="Money in",-$D365,$D365))</f>
        <v/>
      </c>
      <c r="F365" s="55" t="n"/>
    </row>
    <row r="366" ht="15" customHeight="1" s="30">
      <c r="B366" s="54" t="n"/>
      <c r="C366" s="55" t="n"/>
      <c r="D366" s="56" t="n"/>
      <c r="E366" s="45">
        <f>IF($B366="","",IF($C366="Money in",-$D366,$D366))</f>
        <v/>
      </c>
      <c r="F366" s="55" t="n"/>
    </row>
    <row r="367" ht="15" customHeight="1" s="30">
      <c r="B367" s="54" t="n"/>
      <c r="C367" s="55" t="n"/>
      <c r="D367" s="56" t="n"/>
      <c r="E367" s="45">
        <f>IF($B367="","",IF($C367="Money in",-$D367,$D367))</f>
        <v/>
      </c>
      <c r="F367" s="55" t="n"/>
    </row>
    <row r="368" ht="15" customHeight="1" s="30">
      <c r="B368" s="54" t="n"/>
      <c r="C368" s="55" t="n"/>
      <c r="D368" s="56" t="n"/>
      <c r="E368" s="45">
        <f>IF($B368="","",IF($C368="Money in",-$D368,$D368))</f>
        <v/>
      </c>
      <c r="F368" s="55" t="n"/>
    </row>
    <row r="369" ht="15" customHeight="1" s="30">
      <c r="B369" s="54" t="n"/>
      <c r="C369" s="55" t="n"/>
      <c r="D369" s="56" t="n"/>
      <c r="E369" s="45">
        <f>IF($B369="","",IF($C369="Money in",-$D369,$D369))</f>
        <v/>
      </c>
      <c r="F369" s="55" t="n"/>
    </row>
    <row r="370" ht="15" customHeight="1" s="30">
      <c r="B370" s="54" t="n"/>
      <c r="C370" s="55" t="n"/>
      <c r="D370" s="56" t="n"/>
      <c r="E370" s="45">
        <f>IF($B370="","",IF($C370="Money in",-$D370,$D370))</f>
        <v/>
      </c>
      <c r="F370" s="55" t="n"/>
    </row>
    <row r="371" ht="15" customHeight="1" s="30">
      <c r="B371" s="54" t="n"/>
      <c r="C371" s="55" t="n"/>
      <c r="D371" s="56" t="n"/>
      <c r="E371" s="45">
        <f>IF($B371="","",IF($C371="Money in",-$D371,$D371))</f>
        <v/>
      </c>
      <c r="F371" s="55" t="n"/>
    </row>
    <row r="372" ht="15" customHeight="1" s="30">
      <c r="B372" s="54" t="n"/>
      <c r="C372" s="55" t="n"/>
      <c r="D372" s="56" t="n"/>
      <c r="E372" s="45">
        <f>IF($B372="","",IF($C372="Money in",-$D372,$D372))</f>
        <v/>
      </c>
      <c r="F372" s="55" t="n"/>
    </row>
    <row r="373" ht="15" customHeight="1" s="30">
      <c r="B373" s="54" t="n"/>
      <c r="C373" s="55" t="n"/>
      <c r="D373" s="56" t="n"/>
      <c r="E373" s="45">
        <f>IF($B373="","",IF($C373="Money in",-$D373,$D373))</f>
        <v/>
      </c>
      <c r="F373" s="55" t="n"/>
    </row>
    <row r="374" ht="15" customHeight="1" s="30">
      <c r="B374" s="54" t="n"/>
      <c r="C374" s="55" t="n"/>
      <c r="D374" s="56" t="n"/>
      <c r="E374" s="45">
        <f>IF($B374="","",IF($C374="Money in",-$D374,$D374))</f>
        <v/>
      </c>
      <c r="F374" s="55" t="n"/>
    </row>
    <row r="375" ht="15" customHeight="1" s="30">
      <c r="B375" s="54" t="n"/>
      <c r="C375" s="55" t="n"/>
      <c r="D375" s="56" t="n"/>
      <c r="E375" s="45">
        <f>IF($B375="","",IF($C375="Money in",-$D375,$D375))</f>
        <v/>
      </c>
      <c r="F375" s="55" t="n"/>
    </row>
    <row r="376" ht="15" customHeight="1" s="30">
      <c r="B376" s="54" t="n"/>
      <c r="C376" s="55" t="n"/>
      <c r="D376" s="56" t="n"/>
      <c r="E376" s="45">
        <f>IF($B376="","",IF($C376="Money in",-$D376,$D376))</f>
        <v/>
      </c>
      <c r="F376" s="55" t="n"/>
    </row>
    <row r="377" ht="15" customHeight="1" s="30">
      <c r="B377" s="54" t="n"/>
      <c r="C377" s="55" t="n"/>
      <c r="D377" s="56" t="n"/>
      <c r="E377" s="45">
        <f>IF($B377="","",IF($C377="Money in",-$D377,$D377))</f>
        <v/>
      </c>
      <c r="F377" s="55" t="n"/>
    </row>
    <row r="378" ht="15" customHeight="1" s="30">
      <c r="B378" s="54" t="n"/>
      <c r="C378" s="55" t="n"/>
      <c r="D378" s="56" t="n"/>
      <c r="E378" s="45">
        <f>IF($B378="","",IF($C378="Money in",-$D378,$D378))</f>
        <v/>
      </c>
      <c r="F378" s="55" t="n"/>
    </row>
    <row r="379" ht="15" customHeight="1" s="30">
      <c r="B379" s="54" t="n"/>
      <c r="C379" s="55" t="n"/>
      <c r="D379" s="56" t="n"/>
      <c r="E379" s="45">
        <f>IF($B379="","",IF($C379="Money in",-$D379,$D379))</f>
        <v/>
      </c>
      <c r="F379" s="55" t="n"/>
    </row>
    <row r="380" ht="15" customHeight="1" s="30">
      <c r="B380" s="54" t="n"/>
      <c r="C380" s="55" t="n"/>
      <c r="D380" s="56" t="n"/>
      <c r="E380" s="45">
        <f>IF($B380="","",IF($C380="Money in",-$D380,$D380))</f>
        <v/>
      </c>
      <c r="F380" s="55" t="n"/>
    </row>
    <row r="381" ht="15" customHeight="1" s="30">
      <c r="B381" s="54" t="n"/>
      <c r="C381" s="55" t="n"/>
      <c r="D381" s="56" t="n"/>
      <c r="E381" s="45">
        <f>IF($B381="","",IF($C381="Money in",-$D381,$D381))</f>
        <v/>
      </c>
      <c r="F381" s="55" t="n"/>
    </row>
    <row r="382" ht="15" customHeight="1" s="30">
      <c r="B382" s="54" t="n"/>
      <c r="C382" s="55" t="n"/>
      <c r="D382" s="56" t="n"/>
      <c r="E382" s="45">
        <f>IF($B382="","",IF($C382="Money in",-$D382,$D382))</f>
        <v/>
      </c>
      <c r="F382" s="55" t="n"/>
    </row>
    <row r="383" ht="15" customHeight="1" s="30">
      <c r="B383" s="54" t="n"/>
      <c r="C383" s="55" t="n"/>
      <c r="D383" s="56" t="n"/>
      <c r="E383" s="45">
        <f>IF($B383="","",IF($C383="Money in",-$D383,$D383))</f>
        <v/>
      </c>
      <c r="F383" s="55" t="n"/>
    </row>
    <row r="384" ht="15" customHeight="1" s="30">
      <c r="B384" s="54" t="n"/>
      <c r="C384" s="55" t="n"/>
      <c r="D384" s="56" t="n"/>
      <c r="E384" s="45">
        <f>IF($B384="","",IF($C384="Money in",-$D384,$D384))</f>
        <v/>
      </c>
      <c r="F384" s="55" t="n"/>
    </row>
    <row r="385" ht="15" customHeight="1" s="30">
      <c r="B385" s="54" t="n"/>
      <c r="C385" s="55" t="n"/>
      <c r="D385" s="56" t="n"/>
      <c r="E385" s="45">
        <f>IF($B385="","",IF($C385="Money in",-$D385,$D385))</f>
        <v/>
      </c>
      <c r="F385" s="55" t="n"/>
    </row>
    <row r="386" ht="15" customHeight="1" s="30">
      <c r="B386" s="54" t="n"/>
      <c r="C386" s="55" t="n"/>
      <c r="D386" s="56" t="n"/>
      <c r="E386" s="45">
        <f>IF($B386="","",IF($C386="Money in",-$D386,$D386))</f>
        <v/>
      </c>
      <c r="F386" s="55" t="n"/>
    </row>
    <row r="387" ht="15" customHeight="1" s="30">
      <c r="B387" s="54" t="n"/>
      <c r="C387" s="55" t="n"/>
      <c r="D387" s="56" t="n"/>
      <c r="E387" s="45">
        <f>IF($B387="","",IF($C387="Money in",-$D387,$D387))</f>
        <v/>
      </c>
      <c r="F387" s="55" t="n"/>
    </row>
    <row r="388" ht="15" customHeight="1" s="30">
      <c r="B388" s="54" t="n"/>
      <c r="C388" s="55" t="n"/>
      <c r="D388" s="56" t="n"/>
      <c r="E388" s="45">
        <f>IF($B388="","",IF($C388="Money in",-$D388,$D388))</f>
        <v/>
      </c>
      <c r="F388" s="55" t="n"/>
    </row>
    <row r="389" ht="15" customHeight="1" s="30">
      <c r="B389" s="54" t="n"/>
      <c r="C389" s="55" t="n"/>
      <c r="D389" s="56" t="n"/>
      <c r="E389" s="45">
        <f>IF($B389="","",IF($C389="Money in",-$D389,$D389))</f>
        <v/>
      </c>
      <c r="F389" s="55" t="n"/>
    </row>
    <row r="390" ht="15" customHeight="1" s="30">
      <c r="B390" s="54" t="n"/>
      <c r="C390" s="55" t="n"/>
      <c r="D390" s="56" t="n"/>
      <c r="E390" s="45">
        <f>IF($B390="","",IF($C390="Money in",-$D390,$D390))</f>
        <v/>
      </c>
      <c r="F390" s="55" t="n"/>
    </row>
    <row r="391" ht="15" customHeight="1" s="30">
      <c r="B391" s="54" t="n"/>
      <c r="C391" s="55" t="n"/>
      <c r="D391" s="56" t="n"/>
      <c r="E391" s="45">
        <f>IF($B391="","",IF($C391="Money in",-$D391,$D391))</f>
        <v/>
      </c>
      <c r="F391" s="55" t="n"/>
    </row>
    <row r="392" ht="15" customHeight="1" s="30">
      <c r="B392" s="54" t="n"/>
      <c r="C392" s="55" t="n"/>
      <c r="D392" s="56" t="n"/>
      <c r="E392" s="45">
        <f>IF($B392="","",IF($C392="Money in",-$D392,$D392))</f>
        <v/>
      </c>
      <c r="F392" s="55" t="n"/>
    </row>
    <row r="393" ht="15" customHeight="1" s="30">
      <c r="B393" s="54" t="n"/>
      <c r="C393" s="55" t="n"/>
      <c r="D393" s="56" t="n"/>
      <c r="E393" s="45">
        <f>IF($B393="","",IF($C393="Money in",-$D393,$D393))</f>
        <v/>
      </c>
      <c r="F393" s="55" t="n"/>
    </row>
    <row r="394" ht="15" customHeight="1" s="30">
      <c r="B394" s="54" t="n"/>
      <c r="C394" s="55" t="n"/>
      <c r="D394" s="56" t="n"/>
      <c r="E394" s="45">
        <f>IF($B394="","",IF($C394="Money in",-$D394,$D394))</f>
        <v/>
      </c>
      <c r="F394" s="55" t="n"/>
    </row>
    <row r="395" ht="15" customHeight="1" s="30">
      <c r="B395" s="54" t="n"/>
      <c r="C395" s="55" t="n"/>
      <c r="D395" s="56" t="n"/>
      <c r="E395" s="45">
        <f>IF($B395="","",IF($C395="Money in",-$D395,$D395))</f>
        <v/>
      </c>
      <c r="F395" s="55" t="n"/>
    </row>
    <row r="396" ht="15" customHeight="1" s="30">
      <c r="B396" s="54" t="n"/>
      <c r="C396" s="55" t="n"/>
      <c r="D396" s="56" t="n"/>
      <c r="E396" s="45">
        <f>IF($B396="","",IF($C396="Money in",-$D396,$D396))</f>
        <v/>
      </c>
      <c r="F396" s="55" t="n"/>
    </row>
    <row r="397" ht="15" customHeight="1" s="30">
      <c r="B397" s="54" t="n"/>
      <c r="C397" s="55" t="n"/>
      <c r="D397" s="56" t="n"/>
      <c r="E397" s="45">
        <f>IF($B397="","",IF($C397="Money in",-$D397,$D397))</f>
        <v/>
      </c>
      <c r="F397" s="55" t="n"/>
    </row>
    <row r="398" ht="15" customHeight="1" s="30">
      <c r="B398" s="54" t="n"/>
      <c r="C398" s="55" t="n"/>
      <c r="D398" s="56" t="n"/>
      <c r="E398" s="45">
        <f>IF($B398="","",IF($C398="Money in",-$D398,$D398))</f>
        <v/>
      </c>
      <c r="F398" s="55" t="n"/>
    </row>
    <row r="399" ht="15" customHeight="1" s="30">
      <c r="B399" s="54" t="n"/>
      <c r="C399" s="55" t="n"/>
      <c r="D399" s="56" t="n"/>
      <c r="E399" s="45">
        <f>IF($B399="","",IF($C399="Money in",-$D399,$D399))</f>
        <v/>
      </c>
      <c r="F399" s="55" t="n"/>
    </row>
    <row r="400" ht="15" customHeight="1" s="30">
      <c r="B400" s="54" t="n"/>
      <c r="C400" s="55" t="n"/>
      <c r="D400" s="56" t="n"/>
      <c r="E400" s="45">
        <f>IF($B400="","",IF($C400="Money in",-$D400,$D400))</f>
        <v/>
      </c>
      <c r="F400" s="55" t="n"/>
    </row>
    <row r="401" ht="15" customHeight="1" s="30">
      <c r="B401" s="54" t="n"/>
      <c r="C401" s="55" t="n"/>
      <c r="D401" s="56" t="n"/>
      <c r="E401" s="45">
        <f>IF($B401="","",IF($C401="Money in",-$D401,$D401))</f>
        <v/>
      </c>
      <c r="F401" s="55" t="n"/>
    </row>
    <row r="402" ht="15" customHeight="1" s="30">
      <c r="B402" s="54" t="n"/>
      <c r="C402" s="55" t="n"/>
      <c r="D402" s="56" t="n"/>
      <c r="E402" s="45">
        <f>IF($B402="","",IF($C402="Money in",-$D402,$D402))</f>
        <v/>
      </c>
      <c r="F402" s="55" t="n"/>
    </row>
    <row r="403" ht="15" customHeight="1" s="30">
      <c r="B403" s="54" t="n"/>
      <c r="C403" s="55" t="n"/>
      <c r="D403" s="56" t="n"/>
      <c r="E403" s="45">
        <f>IF($B403="","",IF($C403="Money in",-$D403,$D403))</f>
        <v/>
      </c>
      <c r="F403" s="55" t="n"/>
    </row>
    <row r="404" ht="15" customHeight="1" s="30">
      <c r="B404" s="54" t="n"/>
      <c r="C404" s="55" t="n"/>
      <c r="D404" s="56" t="n"/>
      <c r="E404" s="45">
        <f>IF($B404="","",IF($C404="Money in",-$D404,$D404))</f>
        <v/>
      </c>
      <c r="F404" s="55" t="n"/>
    </row>
    <row r="405" ht="15" customHeight="1" s="30">
      <c r="B405" s="54" t="n"/>
      <c r="C405" s="55" t="n"/>
      <c r="D405" s="56" t="n"/>
      <c r="E405" s="45">
        <f>IF($B405="","",IF($C405="Money in",-$D405,$D405))</f>
        <v/>
      </c>
      <c r="F405" s="55" t="n"/>
    </row>
    <row r="406" ht="15" customHeight="1" s="30">
      <c r="B406" s="54" t="n"/>
      <c r="C406" s="55" t="n"/>
      <c r="D406" s="56" t="n"/>
      <c r="E406" s="45">
        <f>IF($B406="","",IF($C406="Money in",-$D406,$D406))</f>
        <v/>
      </c>
      <c r="F406" s="55" t="n"/>
    </row>
    <row r="407" ht="15" customHeight="1" s="30">
      <c r="B407" s="54" t="n"/>
      <c r="C407" s="55" t="n"/>
      <c r="D407" s="56" t="n"/>
      <c r="E407" s="45">
        <f>IF($B407="","",IF($C407="Money in",-$D407,$D407))</f>
        <v/>
      </c>
      <c r="F407" s="55" t="n"/>
    </row>
    <row r="408" ht="15" customHeight="1" s="30">
      <c r="B408" s="54" t="n"/>
      <c r="C408" s="55" t="n"/>
      <c r="D408" s="56" t="n"/>
      <c r="E408" s="45">
        <f>IF($B408="","",IF($C408="Money in",-$D408,$D408))</f>
        <v/>
      </c>
      <c r="F408" s="55" t="n"/>
    </row>
    <row r="409" ht="15" customHeight="1" s="30">
      <c r="B409" s="54" t="n"/>
      <c r="C409" s="55" t="n"/>
      <c r="D409" s="56" t="n"/>
      <c r="E409" s="45">
        <f>IF($B409="","",IF($C409="Money in",-$D409,$D409))</f>
        <v/>
      </c>
      <c r="F409" s="55" t="n"/>
    </row>
    <row r="410" ht="15" customHeight="1" s="30">
      <c r="B410" s="54" t="n"/>
      <c r="C410" s="55" t="n"/>
      <c r="D410" s="56" t="n"/>
      <c r="E410" s="45">
        <f>IF($B410="","",IF($C410="Money in",-$D410,$D410))</f>
        <v/>
      </c>
      <c r="F410" s="55" t="n"/>
    </row>
    <row r="411" ht="15" customHeight="1" s="30">
      <c r="B411" s="54" t="n"/>
      <c r="C411" s="55" t="n"/>
      <c r="D411" s="56" t="n"/>
      <c r="E411" s="45">
        <f>IF($B411="","",IF($C411="Money in",-$D411,$D411))</f>
        <v/>
      </c>
      <c r="F411" s="55" t="n"/>
    </row>
    <row r="412" ht="15" customHeight="1" s="30">
      <c r="B412" s="54" t="n"/>
      <c r="C412" s="55" t="n"/>
      <c r="D412" s="56" t="n"/>
      <c r="E412" s="45">
        <f>IF($B412="","",IF($C412="Money in",-$D412,$D412))</f>
        <v/>
      </c>
      <c r="F412" s="55" t="n"/>
    </row>
    <row r="413" ht="15" customHeight="1" s="30">
      <c r="B413" s="54" t="n"/>
      <c r="C413" s="55" t="n"/>
      <c r="D413" s="56" t="n"/>
      <c r="E413" s="45">
        <f>IF($B413="","",IF($C413="Money in",-$D413,$D413))</f>
        <v/>
      </c>
      <c r="F413" s="55" t="n"/>
    </row>
    <row r="414" ht="15" customHeight="1" s="30">
      <c r="B414" s="54" t="n"/>
      <c r="C414" s="55" t="n"/>
      <c r="D414" s="56" t="n"/>
      <c r="E414" s="45">
        <f>IF($B414="","",IF($C414="Money in",-$D414,$D414))</f>
        <v/>
      </c>
      <c r="F414" s="55" t="n"/>
    </row>
    <row r="415" ht="15" customHeight="1" s="30">
      <c r="B415" s="54" t="n"/>
      <c r="C415" s="55" t="n"/>
      <c r="D415" s="56" t="n"/>
      <c r="E415" s="45">
        <f>IF($B415="","",IF($C415="Money in",-$D415,$D415))</f>
        <v/>
      </c>
      <c r="F415" s="55" t="n"/>
    </row>
    <row r="416" ht="15" customHeight="1" s="30">
      <c r="B416" s="54" t="n"/>
      <c r="C416" s="55" t="n"/>
      <c r="D416" s="56" t="n"/>
      <c r="E416" s="45">
        <f>IF($B416="","",IF($C416="Money in",-$D416,$D416))</f>
        <v/>
      </c>
      <c r="F416" s="55" t="n"/>
    </row>
    <row r="417" ht="15" customHeight="1" s="30">
      <c r="B417" s="54" t="n"/>
      <c r="C417" s="55" t="n"/>
      <c r="D417" s="56" t="n"/>
      <c r="E417" s="45">
        <f>IF($B417="","",IF($C417="Money in",-$D417,$D417))</f>
        <v/>
      </c>
      <c r="F417" s="55" t="n"/>
    </row>
    <row r="418" ht="15" customHeight="1" s="30">
      <c r="B418" s="54" t="n"/>
      <c r="C418" s="55" t="n"/>
      <c r="D418" s="56" t="n"/>
      <c r="E418" s="45">
        <f>IF($B418="","",IF($C418="Money in",-$D418,$D418))</f>
        <v/>
      </c>
      <c r="F418" s="55" t="n"/>
    </row>
    <row r="419" ht="15" customHeight="1" s="30">
      <c r="B419" s="54" t="n"/>
      <c r="C419" s="55" t="n"/>
      <c r="D419" s="56" t="n"/>
      <c r="E419" s="45">
        <f>IF($B419="","",IF($C419="Money in",-$D419,$D419))</f>
        <v/>
      </c>
      <c r="F419" s="55" t="n"/>
    </row>
    <row r="420" ht="15" customHeight="1" s="30">
      <c r="B420" s="54" t="n"/>
      <c r="C420" s="55" t="n"/>
      <c r="D420" s="56" t="n"/>
      <c r="E420" s="45">
        <f>IF($B420="","",IF($C420="Money in",-$D420,$D420))</f>
        <v/>
      </c>
      <c r="F420" s="55" t="n"/>
    </row>
    <row r="421" ht="15" customHeight="1" s="30">
      <c r="B421" s="54" t="n"/>
      <c r="C421" s="55" t="n"/>
      <c r="D421" s="56" t="n"/>
      <c r="E421" s="45">
        <f>IF($B421="","",IF($C421="Money in",-$D421,$D421))</f>
        <v/>
      </c>
      <c r="F421" s="55" t="n"/>
    </row>
    <row r="422" ht="15" customHeight="1" s="30">
      <c r="B422" s="54" t="n"/>
      <c r="C422" s="55" t="n"/>
      <c r="D422" s="56" t="n"/>
      <c r="E422" s="45">
        <f>IF($B422="","",IF($C422="Money in",-$D422,$D422))</f>
        <v/>
      </c>
      <c r="F422" s="55" t="n"/>
    </row>
    <row r="423" ht="15" customHeight="1" s="30">
      <c r="B423" s="54" t="n"/>
      <c r="C423" s="55" t="n"/>
      <c r="D423" s="56" t="n"/>
      <c r="E423" s="45">
        <f>IF($B423="","",IF($C423="Money in",-$D423,$D423))</f>
        <v/>
      </c>
      <c r="F423" s="55" t="n"/>
    </row>
    <row r="424" ht="15" customHeight="1" s="30">
      <c r="B424" s="54" t="n"/>
      <c r="C424" s="55" t="n"/>
      <c r="D424" s="56" t="n"/>
      <c r="E424" s="45">
        <f>IF($B424="","",IF($C424="Money in",-$D424,$D424))</f>
        <v/>
      </c>
      <c r="F424" s="55" t="n"/>
    </row>
    <row r="425" ht="15" customHeight="1" s="30">
      <c r="B425" s="54" t="n"/>
      <c r="C425" s="55" t="n"/>
      <c r="D425" s="56" t="n"/>
      <c r="E425" s="45">
        <f>IF($B425="","",IF($C425="Money in",-$D425,$D425))</f>
        <v/>
      </c>
      <c r="F425" s="55" t="n"/>
    </row>
    <row r="426" ht="15" customHeight="1" s="30">
      <c r="B426" s="54" t="n"/>
      <c r="C426" s="55" t="n"/>
      <c r="D426" s="56" t="n"/>
      <c r="E426" s="45">
        <f>IF($B426="","",IF($C426="Money in",-$D426,$D426))</f>
        <v/>
      </c>
      <c r="F426" s="55" t="n"/>
    </row>
    <row r="427" ht="15" customHeight="1" s="30">
      <c r="B427" s="54" t="n"/>
      <c r="C427" s="55" t="n"/>
      <c r="D427" s="56" t="n"/>
      <c r="E427" s="45">
        <f>IF($B427="","",IF($C427="Money in",-$D427,$D427))</f>
        <v/>
      </c>
      <c r="F427" s="55" t="n"/>
    </row>
    <row r="428" ht="15" customHeight="1" s="30">
      <c r="B428" s="54" t="n"/>
      <c r="C428" s="55" t="n"/>
      <c r="D428" s="56" t="n"/>
      <c r="E428" s="45">
        <f>IF($B428="","",IF($C428="Money in",-$D428,$D428))</f>
        <v/>
      </c>
      <c r="F428" s="55" t="n"/>
    </row>
    <row r="429" ht="15" customHeight="1" s="30">
      <c r="B429" s="54" t="n"/>
      <c r="C429" s="55" t="n"/>
      <c r="D429" s="56" t="n"/>
      <c r="E429" s="45">
        <f>IF($B429="","",IF($C429="Money in",-$D429,$D429))</f>
        <v/>
      </c>
      <c r="F429" s="55" t="n"/>
    </row>
    <row r="430" ht="15" customHeight="1" s="30">
      <c r="B430" s="54" t="n"/>
      <c r="C430" s="55" t="n"/>
      <c r="D430" s="56" t="n"/>
      <c r="E430" s="45">
        <f>IF($B430="","",IF($C430="Money in",-$D430,$D430))</f>
        <v/>
      </c>
      <c r="F430" s="55" t="n"/>
    </row>
    <row r="431" ht="15" customHeight="1" s="30">
      <c r="B431" s="54" t="n"/>
      <c r="C431" s="55" t="n"/>
      <c r="D431" s="56" t="n"/>
      <c r="E431" s="45">
        <f>IF($B431="","",IF($C431="Money in",-$D431,$D431))</f>
        <v/>
      </c>
      <c r="F431" s="55" t="n"/>
    </row>
    <row r="432" ht="15" customHeight="1" s="30">
      <c r="B432" s="54" t="n"/>
      <c r="C432" s="55" t="n"/>
      <c r="D432" s="56" t="n"/>
      <c r="E432" s="45">
        <f>IF($B432="","",IF($C432="Money in",-$D432,$D432))</f>
        <v/>
      </c>
      <c r="F432" s="55" t="n"/>
    </row>
    <row r="433" ht="15" customHeight="1" s="30">
      <c r="B433" s="54" t="n"/>
      <c r="C433" s="55" t="n"/>
      <c r="D433" s="56" t="n"/>
      <c r="E433" s="45">
        <f>IF($B433="","",IF($C433="Money in",-$D433,$D433))</f>
        <v/>
      </c>
      <c r="F433" s="55" t="n"/>
    </row>
    <row r="434" ht="15" customHeight="1" s="30">
      <c r="B434" s="54" t="n"/>
      <c r="C434" s="55" t="n"/>
      <c r="D434" s="56" t="n"/>
      <c r="E434" s="45">
        <f>IF($B434="","",IF($C434="Money in",-$D434,$D434))</f>
        <v/>
      </c>
      <c r="F434" s="55" t="n"/>
    </row>
    <row r="435" ht="15" customHeight="1" s="30">
      <c r="B435" s="54" t="n"/>
      <c r="C435" s="55" t="n"/>
      <c r="D435" s="56" t="n"/>
      <c r="E435" s="45">
        <f>IF($B435="","",IF($C435="Money in",-$D435,$D435))</f>
        <v/>
      </c>
      <c r="F435" s="55" t="n"/>
    </row>
    <row r="436" ht="15" customHeight="1" s="30">
      <c r="B436" s="54" t="n"/>
      <c r="C436" s="55" t="n"/>
      <c r="D436" s="56" t="n"/>
      <c r="E436" s="45">
        <f>IF($B436="","",IF($C436="Money in",-$D436,$D436))</f>
        <v/>
      </c>
      <c r="F436" s="55" t="n"/>
    </row>
    <row r="437" ht="15" customHeight="1" s="30">
      <c r="B437" s="54" t="n"/>
      <c r="C437" s="55" t="n"/>
      <c r="D437" s="56" t="n"/>
      <c r="E437" s="45">
        <f>IF($B437="","",IF($C437="Money in",-$D437,$D437))</f>
        <v/>
      </c>
      <c r="F437" s="55" t="n"/>
    </row>
    <row r="438" ht="15" customHeight="1" s="30">
      <c r="B438" s="54" t="n"/>
      <c r="C438" s="55" t="n"/>
      <c r="D438" s="56" t="n"/>
      <c r="E438" s="45">
        <f>IF($B438="","",IF($C438="Money in",-$D438,$D438))</f>
        <v/>
      </c>
      <c r="F438" s="55" t="n"/>
    </row>
    <row r="439" ht="15" customHeight="1" s="30">
      <c r="B439" s="54" t="n"/>
      <c r="C439" s="55" t="n"/>
      <c r="D439" s="56" t="n"/>
      <c r="E439" s="45">
        <f>IF($B439="","",IF($C439="Money in",-$D439,$D439))</f>
        <v/>
      </c>
      <c r="F439" s="55" t="n"/>
    </row>
    <row r="440" ht="15" customHeight="1" s="30">
      <c r="B440" s="54" t="n"/>
      <c r="C440" s="55" t="n"/>
      <c r="D440" s="56" t="n"/>
      <c r="E440" s="45">
        <f>IF($B440="","",IF($C440="Money in",-$D440,$D440))</f>
        <v/>
      </c>
      <c r="F440" s="55" t="n"/>
    </row>
    <row r="441" ht="15" customHeight="1" s="30">
      <c r="B441" s="54" t="n"/>
      <c r="C441" s="55" t="n"/>
      <c r="D441" s="56" t="n"/>
      <c r="E441" s="45">
        <f>IF($B441="","",IF($C441="Money in",-$D441,$D441))</f>
        <v/>
      </c>
      <c r="F441" s="55" t="n"/>
    </row>
    <row r="442" ht="15" customHeight="1" s="30">
      <c r="B442" s="54" t="n"/>
      <c r="C442" s="55" t="n"/>
      <c r="D442" s="56" t="n"/>
      <c r="E442" s="45">
        <f>IF($B442="","",IF($C442="Money in",-$D442,$D442))</f>
        <v/>
      </c>
      <c r="F442" s="55" t="n"/>
    </row>
    <row r="443" ht="15" customHeight="1" s="30">
      <c r="B443" s="54" t="n"/>
      <c r="C443" s="55" t="n"/>
      <c r="D443" s="56" t="n"/>
      <c r="E443" s="45">
        <f>IF($B443="","",IF($C443="Money in",-$D443,$D443))</f>
        <v/>
      </c>
      <c r="F443" s="55" t="n"/>
    </row>
    <row r="444" ht="15" customHeight="1" s="30">
      <c r="B444" s="54" t="n"/>
      <c r="C444" s="55" t="n"/>
      <c r="D444" s="56" t="n"/>
      <c r="E444" s="45">
        <f>IF($B444="","",IF($C444="Money in",-$D444,$D444))</f>
        <v/>
      </c>
      <c r="F444" s="55" t="n"/>
    </row>
    <row r="445" ht="15" customHeight="1" s="30">
      <c r="B445" s="54" t="n"/>
      <c r="C445" s="55" t="n"/>
      <c r="D445" s="56" t="n"/>
      <c r="E445" s="45">
        <f>IF($B445="","",IF($C445="Money in",-$D445,$D445))</f>
        <v/>
      </c>
      <c r="F445" s="55" t="n"/>
    </row>
    <row r="446" ht="15" customHeight="1" s="30">
      <c r="B446" s="54" t="n"/>
      <c r="C446" s="55" t="n"/>
      <c r="D446" s="56" t="n"/>
      <c r="E446" s="45">
        <f>IF($B446="","",IF($C446="Money in",-$D446,$D446))</f>
        <v/>
      </c>
      <c r="F446" s="55" t="n"/>
    </row>
    <row r="447" ht="15" customHeight="1" s="30">
      <c r="B447" s="54" t="n"/>
      <c r="C447" s="55" t="n"/>
      <c r="D447" s="56" t="n"/>
      <c r="E447" s="45">
        <f>IF($B447="","",IF($C447="Money in",-$D447,$D447))</f>
        <v/>
      </c>
      <c r="F447" s="55" t="n"/>
    </row>
    <row r="448" ht="15" customHeight="1" s="30">
      <c r="B448" s="54" t="n"/>
      <c r="C448" s="55" t="n"/>
      <c r="D448" s="56" t="n"/>
      <c r="E448" s="45">
        <f>IF($B448="","",IF($C448="Money in",-$D448,$D448))</f>
        <v/>
      </c>
      <c r="F448" s="55" t="n"/>
    </row>
    <row r="449" ht="15" customHeight="1" s="30">
      <c r="B449" s="54" t="n"/>
      <c r="C449" s="55" t="n"/>
      <c r="D449" s="56" t="n"/>
      <c r="E449" s="45">
        <f>IF($B449="","",IF($C449="Money in",-$D449,$D449))</f>
        <v/>
      </c>
      <c r="F449" s="55" t="n"/>
    </row>
    <row r="450" ht="15" customHeight="1" s="30">
      <c r="B450" s="54" t="n"/>
      <c r="C450" s="55" t="n"/>
      <c r="D450" s="56" t="n"/>
      <c r="E450" s="45">
        <f>IF($B450="","",IF($C450="Money in",-$D450,$D450))</f>
        <v/>
      </c>
      <c r="F450" s="55" t="n"/>
    </row>
    <row r="451" ht="15" customHeight="1" s="30">
      <c r="B451" s="54" t="n"/>
      <c r="C451" s="55" t="n"/>
      <c r="D451" s="56" t="n"/>
      <c r="E451" s="45">
        <f>IF($B451="","",IF($C451="Money in",-$D451,$D451))</f>
        <v/>
      </c>
      <c r="F451" s="55" t="n"/>
    </row>
    <row r="452" ht="15" customHeight="1" s="30">
      <c r="B452" s="54" t="n"/>
      <c r="C452" s="55" t="n"/>
      <c r="D452" s="56" t="n"/>
      <c r="E452" s="45">
        <f>IF($B452="","",IF($C452="Money in",-$D452,$D452))</f>
        <v/>
      </c>
      <c r="F452" s="55" t="n"/>
    </row>
    <row r="453" ht="15" customHeight="1" s="30">
      <c r="B453" s="54" t="n"/>
      <c r="C453" s="55" t="n"/>
      <c r="D453" s="56" t="n"/>
      <c r="E453" s="45">
        <f>IF($B453="","",IF($C453="Money in",-$D453,$D453))</f>
        <v/>
      </c>
      <c r="F453" s="55" t="n"/>
    </row>
    <row r="454" ht="15" customHeight="1" s="30">
      <c r="B454" s="54" t="n"/>
      <c r="C454" s="55" t="n"/>
      <c r="D454" s="56" t="n"/>
      <c r="E454" s="45">
        <f>IF($B454="","",IF($C454="Money in",-$D454,$D454))</f>
        <v/>
      </c>
      <c r="F454" s="55" t="n"/>
    </row>
    <row r="455" ht="15" customHeight="1" s="30">
      <c r="B455" s="54" t="n"/>
      <c r="C455" s="55" t="n"/>
      <c r="D455" s="56" t="n"/>
      <c r="E455" s="45">
        <f>IF($B455="","",IF($C455="Money in",-$D455,$D455))</f>
        <v/>
      </c>
      <c r="F455" s="55" t="n"/>
    </row>
    <row r="456" ht="15" customHeight="1" s="30">
      <c r="B456" s="54" t="n"/>
      <c r="C456" s="55" t="n"/>
      <c r="D456" s="56" t="n"/>
      <c r="E456" s="45">
        <f>IF($B456="","",IF($C456="Money in",-$D456,$D456))</f>
        <v/>
      </c>
      <c r="F456" s="55" t="n"/>
    </row>
    <row r="457" ht="15" customHeight="1" s="30">
      <c r="B457" s="54" t="n"/>
      <c r="C457" s="55" t="n"/>
      <c r="D457" s="56" t="n"/>
      <c r="E457" s="45">
        <f>IF($B457="","",IF($C457="Money in",-$D457,$D457))</f>
        <v/>
      </c>
      <c r="F457" s="55" t="n"/>
    </row>
    <row r="458" ht="15" customHeight="1" s="30">
      <c r="B458" s="54" t="n"/>
      <c r="C458" s="55" t="n"/>
      <c r="D458" s="56" t="n"/>
      <c r="E458" s="45">
        <f>IF($B458="","",IF($C458="Money in",-$D458,$D458))</f>
        <v/>
      </c>
      <c r="F458" s="55" t="n"/>
    </row>
    <row r="459" ht="15" customHeight="1" s="30">
      <c r="B459" s="54" t="n"/>
      <c r="C459" s="55" t="n"/>
      <c r="D459" s="56" t="n"/>
      <c r="E459" s="45">
        <f>IF($B459="","",IF($C459="Money in",-$D459,$D459))</f>
        <v/>
      </c>
      <c r="F459" s="55" t="n"/>
    </row>
    <row r="460" ht="15" customHeight="1" s="30">
      <c r="B460" s="54" t="n"/>
      <c r="C460" s="55" t="n"/>
      <c r="D460" s="56" t="n"/>
      <c r="E460" s="45">
        <f>IF($B460="","",IF($C460="Money in",-$D460,$D460))</f>
        <v/>
      </c>
      <c r="F460" s="55" t="n"/>
    </row>
    <row r="461" ht="15" customHeight="1" s="30">
      <c r="B461" s="54" t="n"/>
      <c r="C461" s="55" t="n"/>
      <c r="D461" s="56" t="n"/>
      <c r="E461" s="45">
        <f>IF($B461="","",IF($C461="Money in",-$D461,$D461))</f>
        <v/>
      </c>
      <c r="F461" s="55" t="n"/>
    </row>
    <row r="462" ht="15" customHeight="1" s="30">
      <c r="B462" s="54" t="n"/>
      <c r="C462" s="55" t="n"/>
      <c r="D462" s="56" t="n"/>
      <c r="E462" s="45">
        <f>IF($B462="","",IF($C462="Money in",-$D462,$D462))</f>
        <v/>
      </c>
      <c r="F462" s="55" t="n"/>
    </row>
    <row r="463" ht="15" customHeight="1" s="30">
      <c r="B463" s="54" t="n"/>
      <c r="C463" s="55" t="n"/>
      <c r="D463" s="56" t="n"/>
      <c r="E463" s="45">
        <f>IF($B463="","",IF($C463="Money in",-$D463,$D463))</f>
        <v/>
      </c>
      <c r="F463" s="55" t="n"/>
    </row>
    <row r="464" ht="15" customHeight="1" s="30">
      <c r="B464" s="54" t="n"/>
      <c r="C464" s="55" t="n"/>
      <c r="D464" s="56" t="n"/>
      <c r="E464" s="45">
        <f>IF($B464="","",IF($C464="Money in",-$D464,$D464))</f>
        <v/>
      </c>
      <c r="F464" s="55" t="n"/>
    </row>
    <row r="465" ht="15" customHeight="1" s="30">
      <c r="B465" s="54" t="n"/>
      <c r="C465" s="55" t="n"/>
      <c r="D465" s="56" t="n"/>
      <c r="E465" s="45">
        <f>IF($B465="","",IF($C465="Money in",-$D465,$D465))</f>
        <v/>
      </c>
      <c r="F465" s="55" t="n"/>
    </row>
    <row r="466" ht="15" customHeight="1" s="30">
      <c r="B466" s="54" t="n"/>
      <c r="C466" s="55" t="n"/>
      <c r="D466" s="56" t="n"/>
      <c r="E466" s="45">
        <f>IF($B466="","",IF($C466="Money in",-$D466,$D466))</f>
        <v/>
      </c>
      <c r="F466" s="55" t="n"/>
    </row>
    <row r="467" ht="15" customHeight="1" s="30">
      <c r="B467" s="54" t="n"/>
      <c r="C467" s="55" t="n"/>
      <c r="D467" s="56" t="n"/>
      <c r="E467" s="45">
        <f>IF($B467="","",IF($C467="Money in",-$D467,$D467))</f>
        <v/>
      </c>
      <c r="F467" s="55" t="n"/>
    </row>
    <row r="468" ht="15" customHeight="1" s="30">
      <c r="B468" s="54" t="n"/>
      <c r="C468" s="55" t="n"/>
      <c r="D468" s="56" t="n"/>
      <c r="E468" s="45">
        <f>IF($B468="","",IF($C468="Money in",-$D468,$D468))</f>
        <v/>
      </c>
      <c r="F468" s="55" t="n"/>
    </row>
    <row r="469" ht="15" customHeight="1" s="30">
      <c r="B469" s="54" t="n"/>
      <c r="C469" s="55" t="n"/>
      <c r="D469" s="56" t="n"/>
      <c r="E469" s="45">
        <f>IF($B469="","",IF($C469="Money in",-$D469,$D469))</f>
        <v/>
      </c>
      <c r="F469" s="55" t="n"/>
    </row>
    <row r="470" ht="15" customHeight="1" s="30">
      <c r="B470" s="54" t="n"/>
      <c r="C470" s="55" t="n"/>
      <c r="D470" s="56" t="n"/>
      <c r="E470" s="45">
        <f>IF($B470="","",IF($C470="Money in",-$D470,$D470))</f>
        <v/>
      </c>
      <c r="F470" s="55" t="n"/>
    </row>
    <row r="471" ht="15" customHeight="1" s="30">
      <c r="B471" s="54" t="n"/>
      <c r="C471" s="55" t="n"/>
      <c r="D471" s="56" t="n"/>
      <c r="E471" s="45">
        <f>IF($B471="","",IF($C471="Money in",-$D471,$D471))</f>
        <v/>
      </c>
      <c r="F471" s="55" t="n"/>
    </row>
    <row r="472" ht="15" customHeight="1" s="30">
      <c r="B472" s="54" t="n"/>
      <c r="C472" s="55" t="n"/>
      <c r="D472" s="56" t="n"/>
      <c r="E472" s="45">
        <f>IF($B472="","",IF($C472="Money in",-$D472,$D472))</f>
        <v/>
      </c>
      <c r="F472" s="55" t="n"/>
    </row>
    <row r="473" ht="15" customHeight="1" s="30">
      <c r="B473" s="54" t="n"/>
      <c r="C473" s="55" t="n"/>
      <c r="D473" s="56" t="n"/>
      <c r="E473" s="45">
        <f>IF($B473="","",IF($C473="Money in",-$D473,$D473))</f>
        <v/>
      </c>
      <c r="F473" s="55" t="n"/>
    </row>
    <row r="474" ht="15" customHeight="1" s="30">
      <c r="B474" s="54" t="n"/>
      <c r="C474" s="55" t="n"/>
      <c r="D474" s="56" t="n"/>
      <c r="E474" s="45">
        <f>IF($B474="","",IF($C474="Money in",-$D474,$D474))</f>
        <v/>
      </c>
      <c r="F474" s="55" t="n"/>
    </row>
    <row r="475" ht="15" customHeight="1" s="30">
      <c r="B475" s="54" t="n"/>
      <c r="C475" s="55" t="n"/>
      <c r="D475" s="56" t="n"/>
      <c r="E475" s="45">
        <f>IF($B475="","",IF($C475="Money in",-$D475,$D475))</f>
        <v/>
      </c>
      <c r="F475" s="55" t="n"/>
    </row>
    <row r="476" ht="15" customHeight="1" s="30">
      <c r="B476" s="54" t="n"/>
      <c r="C476" s="55" t="n"/>
      <c r="D476" s="56" t="n"/>
      <c r="E476" s="45">
        <f>IF($B476="","",IF($C476="Money in",-$D476,$D476))</f>
        <v/>
      </c>
      <c r="F476" s="55" t="n"/>
    </row>
    <row r="477" ht="15" customHeight="1" s="30">
      <c r="B477" s="54" t="n"/>
      <c r="C477" s="55" t="n"/>
      <c r="D477" s="56" t="n"/>
      <c r="E477" s="45">
        <f>IF($B477="","",IF($C477="Money in",-$D477,$D477))</f>
        <v/>
      </c>
      <c r="F477" s="55" t="n"/>
    </row>
    <row r="478" ht="15" customHeight="1" s="30">
      <c r="B478" s="54" t="n"/>
      <c r="C478" s="55" t="n"/>
      <c r="D478" s="56" t="n"/>
      <c r="E478" s="45">
        <f>IF($B478="","",IF($C478="Money in",-$D478,$D478))</f>
        <v/>
      </c>
      <c r="F478" s="55" t="n"/>
    </row>
    <row r="479" ht="15" customHeight="1" s="30">
      <c r="B479" s="54" t="n"/>
      <c r="C479" s="55" t="n"/>
      <c r="D479" s="56" t="n"/>
      <c r="E479" s="45">
        <f>IF($B479="","",IF($C479="Money in",-$D479,$D479))</f>
        <v/>
      </c>
      <c r="F479" s="55" t="n"/>
    </row>
    <row r="480" ht="15" customHeight="1" s="30">
      <c r="B480" s="54" t="n"/>
      <c r="C480" s="55" t="n"/>
      <c r="D480" s="56" t="n"/>
      <c r="E480" s="45">
        <f>IF($B480="","",IF($C480="Money in",-$D480,$D480))</f>
        <v/>
      </c>
      <c r="F480" s="55" t="n"/>
    </row>
    <row r="481" ht="15" customHeight="1" s="30">
      <c r="B481" s="54" t="n"/>
      <c r="C481" s="55" t="n"/>
      <c r="D481" s="56" t="n"/>
      <c r="E481" s="45">
        <f>IF($B481="","",IF($C481="Money in",-$D481,$D481))</f>
        <v/>
      </c>
      <c r="F481" s="55" t="n"/>
    </row>
    <row r="482" ht="15" customHeight="1" s="30">
      <c r="B482" s="54" t="n"/>
      <c r="C482" s="55" t="n"/>
      <c r="D482" s="56" t="n"/>
      <c r="E482" s="45">
        <f>IF($B482="","",IF($C482="Money in",-$D482,$D482))</f>
        <v/>
      </c>
      <c r="F482" s="55" t="n"/>
    </row>
    <row r="483" ht="15" customHeight="1" s="30">
      <c r="B483" s="54" t="n"/>
      <c r="C483" s="55" t="n"/>
      <c r="D483" s="56" t="n"/>
      <c r="E483" s="45">
        <f>IF($B483="","",IF($C483="Money in",-$D483,$D483))</f>
        <v/>
      </c>
      <c r="F483" s="55" t="n"/>
    </row>
    <row r="484" ht="15" customHeight="1" s="30">
      <c r="B484" s="54" t="n"/>
      <c r="C484" s="55" t="n"/>
      <c r="D484" s="56" t="n"/>
      <c r="E484" s="45">
        <f>IF($B484="","",IF($C484="Money in",-$D484,$D484))</f>
        <v/>
      </c>
      <c r="F484" s="55" t="n"/>
    </row>
    <row r="485" ht="15" customHeight="1" s="30">
      <c r="B485" s="54" t="n"/>
      <c r="C485" s="55" t="n"/>
      <c r="D485" s="56" t="n"/>
      <c r="E485" s="45">
        <f>IF($B485="","",IF($C485="Money in",-$D485,$D485))</f>
        <v/>
      </c>
      <c r="F485" s="55" t="n"/>
    </row>
    <row r="486" ht="15" customHeight="1" s="30">
      <c r="B486" s="54" t="n"/>
      <c r="C486" s="55" t="n"/>
      <c r="D486" s="56" t="n"/>
      <c r="E486" s="45">
        <f>IF($B486="","",IF($C486="Money in",-$D486,$D486))</f>
        <v/>
      </c>
      <c r="F486" s="55" t="n"/>
    </row>
    <row r="487" ht="15" customHeight="1" s="30">
      <c r="B487" s="54" t="n"/>
      <c r="C487" s="55" t="n"/>
      <c r="D487" s="56" t="n"/>
      <c r="E487" s="45">
        <f>IF($B487="","",IF($C487="Money in",-$D487,$D487))</f>
        <v/>
      </c>
      <c r="F487" s="55" t="n"/>
    </row>
    <row r="488" ht="15" customHeight="1" s="30">
      <c r="B488" s="54" t="n"/>
      <c r="C488" s="55" t="n"/>
      <c r="D488" s="56" t="n"/>
      <c r="E488" s="45">
        <f>IF($B488="","",IF($C488="Money in",-$D488,$D488))</f>
        <v/>
      </c>
      <c r="F488" s="55" t="n"/>
    </row>
    <row r="489" ht="15" customHeight="1" s="30">
      <c r="B489" s="54" t="n"/>
      <c r="C489" s="55" t="n"/>
      <c r="D489" s="56" t="n"/>
      <c r="E489" s="45">
        <f>IF($B489="","",IF($C489="Money in",-$D489,$D489))</f>
        <v/>
      </c>
      <c r="F489" s="55" t="n"/>
    </row>
    <row r="490" ht="15" customHeight="1" s="30">
      <c r="B490" s="54" t="n"/>
      <c r="C490" s="55" t="n"/>
      <c r="D490" s="56" t="n"/>
      <c r="E490" s="45">
        <f>IF($B490="","",IF($C490="Money in",-$D490,$D490))</f>
        <v/>
      </c>
      <c r="F490" s="55" t="n"/>
    </row>
    <row r="491" ht="15" customHeight="1" s="30">
      <c r="B491" s="54" t="n"/>
      <c r="C491" s="55" t="n"/>
      <c r="D491" s="56" t="n"/>
      <c r="E491" s="45">
        <f>IF($B491="","",IF($C491="Money in",-$D491,$D491))</f>
        <v/>
      </c>
      <c r="F491" s="55" t="n"/>
    </row>
    <row r="492" ht="15" customHeight="1" s="30">
      <c r="B492" s="54" t="n"/>
      <c r="C492" s="55" t="n"/>
      <c r="D492" s="56" t="n"/>
      <c r="E492" s="45">
        <f>IF($B492="","",IF($C492="Money in",-$D492,$D492))</f>
        <v/>
      </c>
      <c r="F492" s="55" t="n"/>
    </row>
    <row r="493" ht="15" customHeight="1" s="30">
      <c r="B493" s="54" t="n"/>
      <c r="C493" s="55" t="n"/>
      <c r="D493" s="56" t="n"/>
      <c r="E493" s="45">
        <f>IF($B493="","",IF($C493="Money in",-$D493,$D493))</f>
        <v/>
      </c>
      <c r="F493" s="55" t="n"/>
    </row>
    <row r="494" ht="15" customHeight="1" s="30">
      <c r="B494" s="54" t="n"/>
      <c r="C494" s="55" t="n"/>
      <c r="D494" s="56" t="n"/>
      <c r="E494" s="45">
        <f>IF($B494="","",IF($C494="Money in",-$D494,$D494))</f>
        <v/>
      </c>
      <c r="F494" s="55" t="n"/>
    </row>
    <row r="495" ht="15" customHeight="1" s="30">
      <c r="B495" s="54" t="n"/>
      <c r="C495" s="55" t="n"/>
      <c r="D495" s="56" t="n"/>
      <c r="E495" s="45">
        <f>IF($B495="","",IF($C495="Money in",-$D495,$D495))</f>
        <v/>
      </c>
      <c r="F495" s="55" t="n"/>
    </row>
    <row r="496" ht="15" customHeight="1" s="30">
      <c r="B496" s="54" t="n"/>
      <c r="C496" s="55" t="n"/>
      <c r="D496" s="56" t="n"/>
      <c r="E496" s="45">
        <f>IF($B496="","",IF($C496="Money in",-$D496,$D496))</f>
        <v/>
      </c>
      <c r="F496" s="55" t="n"/>
    </row>
    <row r="497" ht="15" customHeight="1" s="30">
      <c r="B497" s="54" t="n"/>
      <c r="C497" s="55" t="n"/>
      <c r="D497" s="56" t="n"/>
      <c r="E497" s="45">
        <f>IF($B497="","",IF($C497="Money in",-$D497,$D497))</f>
        <v/>
      </c>
      <c r="F497" s="55" t="n"/>
    </row>
    <row r="498" ht="15" customHeight="1" s="30">
      <c r="B498" s="54" t="n"/>
      <c r="C498" s="55" t="n"/>
      <c r="D498" s="56" t="n"/>
      <c r="E498" s="45">
        <f>IF($B498="","",IF($C498="Money in",-$D498,$D498))</f>
        <v/>
      </c>
      <c r="F498" s="55" t="n"/>
    </row>
    <row r="499" ht="15" customHeight="1" s="30">
      <c r="B499" s="54" t="n"/>
      <c r="C499" s="55" t="n"/>
      <c r="D499" s="56" t="n"/>
      <c r="E499" s="45">
        <f>IF($B499="","",IF($C499="Money in",-$D499,$D499))</f>
        <v/>
      </c>
      <c r="F499" s="55" t="n"/>
    </row>
    <row r="500" ht="15" customHeight="1" s="30">
      <c r="B500" s="54" t="n"/>
      <c r="C500" s="55" t="n"/>
      <c r="D500" s="56" t="n"/>
      <c r="E500" s="45">
        <f>IF($B500="","",IF($C500="Money in",-$D500,$D500))</f>
        <v/>
      </c>
      <c r="F500" s="55" t="n"/>
    </row>
    <row r="501" ht="15" customHeight="1" s="30">
      <c r="B501" s="54" t="n"/>
      <c r="C501" s="55" t="n"/>
      <c r="D501" s="56" t="n"/>
      <c r="E501" s="45">
        <f>IF($B501="","",IF($C501="Money in",-$D501,$D501))</f>
        <v/>
      </c>
      <c r="F501" s="55" t="n"/>
    </row>
    <row r="502" ht="15" customHeight="1" s="30">
      <c r="B502" s="54" t="n"/>
      <c r="C502" s="55" t="n"/>
      <c r="D502" s="56" t="n"/>
      <c r="E502" s="45">
        <f>IF($B502="","",IF($C502="Money in",-$D502,$D502))</f>
        <v/>
      </c>
      <c r="F502" s="55" t="n"/>
    </row>
    <row r="503" ht="15" customHeight="1" s="30">
      <c r="B503" s="54" t="n"/>
      <c r="C503" s="55" t="n"/>
      <c r="D503" s="56" t="n"/>
      <c r="E503" s="45">
        <f>IF($B503="","",IF($C503="Money in",-$D503,$D503))</f>
        <v/>
      </c>
      <c r="F503" s="55" t="n"/>
    </row>
    <row r="504" ht="15" customHeight="1" s="30">
      <c r="B504" s="54" t="n"/>
      <c r="C504" s="55" t="n"/>
      <c r="D504" s="56" t="n"/>
      <c r="E504" s="45">
        <f>IF($B504="","",IF($C504="Money in",-$D504,$D504))</f>
        <v/>
      </c>
      <c r="F504" s="55" t="n"/>
    </row>
    <row r="505" ht="15" customHeight="1" s="30">
      <c r="B505" s="54" t="n"/>
      <c r="C505" s="55" t="n"/>
      <c r="D505" s="56" t="n"/>
      <c r="E505" s="45">
        <f>IF($B505="","",IF($C505="Money in",-$D505,$D505))</f>
        <v/>
      </c>
      <c r="F505" s="55" t="n"/>
    </row>
    <row r="506" ht="15" customHeight="1" s="30">
      <c r="B506" s="54" t="n"/>
      <c r="C506" s="55" t="n"/>
      <c r="D506" s="56" t="n"/>
      <c r="E506" s="45">
        <f>IF($B506="","",IF($C506="Money in",-$D506,$D506))</f>
        <v/>
      </c>
      <c r="F506" s="55" t="n"/>
    </row>
    <row r="507" ht="15" customHeight="1" s="30">
      <c r="B507" s="54" t="n"/>
      <c r="C507" s="55" t="n"/>
      <c r="D507" s="56" t="n"/>
      <c r="E507" s="45">
        <f>IF($B507="","",IF($C507="Money in",-$D507,$D507))</f>
        <v/>
      </c>
      <c r="F507" s="55" t="n"/>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2:B1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cols>
    <col width="3" customWidth="1" style="29" min="1" max="1"/>
    <col width="92" customWidth="1" style="29" min="2" max="2"/>
  </cols>
  <sheetData>
    <row r="2" ht="30" customHeight="1" s="30">
      <c r="B2" s="57" t="inlineStr">
        <is>
          <t>XIRR Calculator, version 1.3</t>
        </is>
      </c>
    </row>
    <row r="4" ht="30" customHeight="1" s="30">
      <c r="B4" s="31" t="inlineStr">
        <is>
          <t>Built 31-Aug-2026</t>
        </is>
      </c>
    </row>
    <row r="6" ht="30" customHeight="1" s="30">
      <c r="B6" s="31" t="inlineStr">
        <is>
          <t>This is an educational tool for readers. The figure it produces is before exit load and before tax, and it is not investment advice.</t>
        </is>
      </c>
    </row>
    <row r="8" ht="30" customHeight="1" s="30">
      <c r="B8" s="31" t="inlineStr">
        <is>
          <t>Questions: use the channels listed in the book.</t>
        </is>
      </c>
    </row>
    <row r="10" ht="30" customHeight="1" s="30">
      <c r="B10" s="31" t="inlineStr">
        <is>
          <t>The tabs are protected without a password. To adapt this sheet, choose Review, then Unprotect Sheet.</t>
        </is>
      </c>
    </row>
    <row r="12" ht="30" customHeight="1" s="30">
      <c r="B12" s="31" t="inlineStr">
        <is>
          <t>The Plan my goal tab uses a return you type in yourself. It is an assumption, not a forecast, and it is shown before inflation.</t>
        </is>
      </c>
    </row>
    <row r="14" ht="30" customHeight="1" s="30">
      <c r="B14" s="31" t="inlineStr">
        <is>
          <t>No Excel? Upload this file to Google Sheets and it works there too, unchanged.</t>
        </is>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O50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5390625" defaultRowHeight="15" zeroHeight="0" outlineLevelRow="0"/>
  <sheetData>
    <row r="1" ht="15" customHeight="1" s="30">
      <c r="C1" s="36" t="inlineStr">
        <is>
          <t>Rows marked Worth today</t>
        </is>
      </c>
      <c r="D1" s="36">
        <f>SUM($A$8:$A$507)</f>
        <v/>
      </c>
      <c r="F1" s="36" t="inlineStr">
        <is>
          <t>annual rate r</t>
        </is>
      </c>
      <c r="G1" s="36">
        <f>IF('Plan my goal'!$B$8="",0,'Plan my goal'!$B$8/100)</f>
        <v/>
      </c>
      <c r="K1" s="36" t="inlineStr">
        <is>
          <t>holding 1 invested</t>
        </is>
      </c>
      <c r="L1" s="36">
        <f>SUM(AK$8:AK$507)</f>
        <v/>
      </c>
    </row>
    <row r="2" ht="15" customHeight="1" s="30">
      <c r="C2" s="36" t="inlineStr">
        <is>
          <t>Rows marked Money in</t>
        </is>
      </c>
      <c r="D2" s="36">
        <f>SUM($B$8:$B$507)</f>
        <v/>
      </c>
      <c r="F2" s="36" t="inlineStr">
        <is>
          <t>monthly rate i</t>
        </is>
      </c>
      <c r="G2" s="36">
        <f>(1+$G$1)^(1/12)-1</f>
        <v/>
      </c>
      <c r="K2" s="36" t="inlineStr">
        <is>
          <t>holding 2 invested</t>
        </is>
      </c>
      <c r="L2" s="36">
        <f>SUM(AL$8:AL$507)</f>
        <v/>
      </c>
    </row>
    <row r="3" ht="15" customHeight="1" s="30">
      <c r="C3" s="36" t="inlineStr">
        <is>
          <t>Total invested</t>
        </is>
      </c>
      <c r="D3" s="36">
        <f>SUM($AA$8:$AA$507)</f>
        <v/>
      </c>
      <c r="F3" s="36" t="inlineStr">
        <is>
          <t>one year of 1/month</t>
        </is>
      </c>
      <c r="G3" s="36">
        <f>IF($G$2=0,12,(((1+$G$2)^12-1)/$G$2)*(1+$G$2))</f>
        <v/>
      </c>
      <c r="K3" s="36" t="inlineStr">
        <is>
          <t>holding 3 invested</t>
        </is>
      </c>
      <c r="L3" s="36">
        <f>SUM(AM$8:AM$507)</f>
        <v/>
      </c>
    </row>
    <row r="4" ht="15" customHeight="1" s="30">
      <c r="C4" s="36" t="inlineStr">
        <is>
          <t>Total withdrawn</t>
        </is>
      </c>
      <c r="D4" s="36">
        <f>SUM($AB$8:$AB$507)</f>
        <v/>
      </c>
      <c r="F4" s="36" t="inlineStr">
        <is>
          <t>years Y</t>
        </is>
      </c>
      <c r="G4" s="58">
        <f>IF('Plan my goal'!$B$6="",0,'Plan my goal'!$B$6)</f>
        <v/>
      </c>
      <c r="K4" s="36" t="inlineStr">
        <is>
          <t>holding 4 invested</t>
        </is>
      </c>
      <c r="L4" s="36">
        <f>SUM(AN$8:AN$507)</f>
        <v/>
      </c>
    </row>
    <row r="5" ht="15" customHeight="1" s="30">
      <c r="C5" s="36" t="inlineStr">
        <is>
          <t>Worth today</t>
        </is>
      </c>
      <c r="D5" s="36">
        <f>SUM($AC$8:$AC$507)</f>
        <v/>
      </c>
      <c r="F5" s="36" t="inlineStr">
        <is>
          <t>step-up g</t>
        </is>
      </c>
      <c r="G5" s="36">
        <f>IF('Plan my goal'!$B$9="",0,'Plan my goal'!$B$9/100)</f>
        <v/>
      </c>
      <c r="I5" s="36">
        <f>IF($G$5&gt;0.1,$G$5,0.1)</f>
        <v/>
      </c>
      <c r="K5" s="36" t="inlineStr">
        <is>
          <t>holding 5 invested</t>
        </is>
      </c>
      <c r="L5" s="36">
        <f>SUM(AO$8:AO$507)</f>
        <v/>
      </c>
    </row>
    <row r="6" ht="15" customHeight="1" s="30">
      <c r="F6" s="36" t="inlineStr">
        <is>
          <t>ratio x</t>
        </is>
      </c>
      <c r="G6" s="36">
        <f>(1+$G$5)/(1+$G$1)</f>
        <v/>
      </c>
      <c r="I6" s="36">
        <f>(1+$I$5)/(1+$G$1)</f>
        <v/>
      </c>
    </row>
    <row r="7" ht="15" customHeight="1" s="30">
      <c r="F7" s="36" t="inlineStr">
        <is>
          <t>geometric sum S</t>
        </is>
      </c>
      <c r="G7" s="36">
        <f>IF($G$4&lt;=0,0,IF($G$6=1,$G$4,(1-$G$6^$G$4)/(1-$G$6)))</f>
        <v/>
      </c>
      <c r="I7" s="58">
        <f>IF($G$4&lt;=0,0,IF($I$6=1,$G$4,(1-$I$6^$G$4)/(1-$I$6)))</f>
        <v/>
      </c>
    </row>
    <row r="8" ht="15" customHeight="1" s="30">
      <c r="A8" s="36">
        <f>IF('My investments'!$C8="Worth today",1,0)</f>
        <v/>
      </c>
      <c r="B8" s="36">
        <f>IF('My investments'!$C8="Money in",1,0)</f>
        <v/>
      </c>
      <c r="F8" s="36" t="inlineStr">
        <is>
          <t>growth of 1/month</t>
        </is>
      </c>
      <c r="G8" s="36">
        <f>IF($G$4&lt;=0,0,$G$3*(1+$G$1)^($G$4-1)*$G$7)</f>
        <v/>
      </c>
      <c r="I8" s="36">
        <f>IF($G$4&lt;=0,0,$G$3*(1+$G$1)^($G$4-1)*$I$7)</f>
        <v/>
      </c>
      <c r="AA8" s="36">
        <f>IF('My investments'!$C8="Money in",'My investments'!$D8,0)</f>
        <v/>
      </c>
      <c r="AB8" s="36">
        <f>IF('My investments'!$C8="Money out",'My investments'!$D8,0)</f>
        <v/>
      </c>
      <c r="AC8" s="36">
        <f>IF('My investments'!$C8="Worth today",'My investments'!$D8,0)</f>
        <v/>
      </c>
      <c r="AE8" s="36">
        <f>IF('My investments'!$H$11="",0,IF('My investments'!$F8='My investments'!$H$11,'My investments'!$E8,0))</f>
        <v/>
      </c>
      <c r="AF8" s="36">
        <f>IF('My investments'!$H$12="",0,IF('My investments'!$F8='My investments'!$H$12,'My investments'!$E8,0))</f>
        <v/>
      </c>
      <c r="AG8" s="36">
        <f>IF('My investments'!$H$13="",0,IF('My investments'!$F8='My investments'!$H$13,'My investments'!$E8,0))</f>
        <v/>
      </c>
      <c r="AH8" s="36">
        <f>IF('My investments'!$H$14="",0,IF('My investments'!$F8='My investments'!$H$14,'My investments'!$E8,0))</f>
        <v/>
      </c>
      <c r="AI8" s="36">
        <f>IF('My investments'!$H$15="",0,IF('My investments'!$F8='My investments'!$H$15,'My investments'!$E8,0))</f>
        <v/>
      </c>
      <c r="AK8" s="36">
        <f>IF('My investments'!$H$11="",0,IF('My investments'!$F8='My investments'!$H$11,$AA8,0))</f>
        <v/>
      </c>
      <c r="AL8" s="36">
        <f>IF('My investments'!$H$12="",0,IF('My investments'!$F8='My investments'!$H$12,$AA8,0))</f>
        <v/>
      </c>
      <c r="AM8" s="36">
        <f>IF('My investments'!$H$13="",0,IF('My investments'!$F8='My investments'!$H$13,$AA8,0))</f>
        <v/>
      </c>
      <c r="AN8" s="36">
        <f>IF('My investments'!$H$14="",0,IF('My investments'!$F8='My investments'!$H$14,$AA8,0))</f>
        <v/>
      </c>
      <c r="AO8" s="36">
        <f>IF('My investments'!$H$15="",0,IF('My investments'!$F8='My investments'!$H$15,$AA8,0))</f>
        <v/>
      </c>
    </row>
    <row r="9" ht="15" customHeight="1" s="30">
      <c r="A9" s="36">
        <f>IF('My investments'!$C9="Worth today",1,0)</f>
        <v/>
      </c>
      <c r="B9" s="36">
        <f>IF('My investments'!$C9="Money in",1,0)</f>
        <v/>
      </c>
      <c r="AA9" s="36">
        <f>IF('My investments'!$C9="Money in",'My investments'!$D9,0)</f>
        <v/>
      </c>
      <c r="AB9" s="36">
        <f>IF('My investments'!$C9="Money out",'My investments'!$D9,0)</f>
        <v/>
      </c>
      <c r="AC9" s="36">
        <f>IF('My investments'!$C9="Worth today",'My investments'!$D9,0)</f>
        <v/>
      </c>
      <c r="AE9" s="36">
        <f>IF('My investments'!$H$11="",0,IF('My investments'!$F9='My investments'!$H$11,'My investments'!$E9,0))</f>
        <v/>
      </c>
      <c r="AF9" s="36">
        <f>IF('My investments'!$H$12="",0,IF('My investments'!$F9='My investments'!$H$12,'My investments'!$E9,0))</f>
        <v/>
      </c>
      <c r="AG9" s="36">
        <f>IF('My investments'!$H$13="",0,IF('My investments'!$F9='My investments'!$H$13,'My investments'!$E9,0))</f>
        <v/>
      </c>
      <c r="AH9" s="36">
        <f>IF('My investments'!$H$14="",0,IF('My investments'!$F9='My investments'!$H$14,'My investments'!$E9,0))</f>
        <v/>
      </c>
      <c r="AI9" s="36">
        <f>IF('My investments'!$H$15="",0,IF('My investments'!$F9='My investments'!$H$15,'My investments'!$E9,0))</f>
        <v/>
      </c>
      <c r="AK9" s="36">
        <f>IF('My investments'!$H$11="",0,IF('My investments'!$F9='My investments'!$H$11,$AA9,0))</f>
        <v/>
      </c>
      <c r="AL9" s="36">
        <f>IF('My investments'!$H$12="",0,IF('My investments'!$F9='My investments'!$H$12,$AA9,0))</f>
        <v/>
      </c>
      <c r="AM9" s="36">
        <f>IF('My investments'!$H$13="",0,IF('My investments'!$F9='My investments'!$H$13,$AA9,0))</f>
        <v/>
      </c>
      <c r="AN9" s="36">
        <f>IF('My investments'!$H$14="",0,IF('My investments'!$F9='My investments'!$H$14,$AA9,0))</f>
        <v/>
      </c>
      <c r="AO9" s="36">
        <f>IF('My investments'!$H$15="",0,IF('My investments'!$F9='My investments'!$H$15,$AA9,0))</f>
        <v/>
      </c>
    </row>
    <row r="10" ht="15" customHeight="1" s="30">
      <c r="A10" s="36">
        <f>IF('My investments'!$C10="Worth today",1,0)</f>
        <v/>
      </c>
      <c r="B10" s="36">
        <f>IF('My investments'!$C10="Money in",1,0)</f>
        <v/>
      </c>
      <c r="F10" s="36" t="inlineStr">
        <is>
          <t>inputs usable?</t>
        </is>
      </c>
      <c r="G10" s="36">
        <f>IF('Plan my goal'!$B$6="",0,IF('Plan my goal'!$B$6&lt;=0,0,IF('Plan my goal'!$B$6&gt;40,0,IF('Plan my goal'!$B$4="",0,IF('Plan my goal'!$B$4&lt;=0,0,IF('Plan my goal'!$B$8&gt;30,0,IF('Plan my goal'!$B$8&lt;0,0,IF('Plan my goal'!$B$9&gt;25,0,IF('Plan my goal'!$B$9&lt;0,0,1)))))))))</f>
        <v/>
      </c>
      <c r="AA10" s="36">
        <f>IF('My investments'!$C10="Money in",'My investments'!$D10,0)</f>
        <v/>
      </c>
      <c r="AB10" s="36">
        <f>IF('My investments'!$C10="Money out",'My investments'!$D10,0)</f>
        <v/>
      </c>
      <c r="AC10" s="36">
        <f>IF('My investments'!$C10="Worth today",'My investments'!$D10,0)</f>
        <v/>
      </c>
      <c r="AE10" s="36">
        <f>IF('My investments'!$H$11="",0,IF('My investments'!$F10='My investments'!$H$11,'My investments'!$E10,0))</f>
        <v/>
      </c>
      <c r="AF10" s="36">
        <f>IF('My investments'!$H$12="",0,IF('My investments'!$F10='My investments'!$H$12,'My investments'!$E10,0))</f>
        <v/>
      </c>
      <c r="AG10" s="36">
        <f>IF('My investments'!$H$13="",0,IF('My investments'!$F10='My investments'!$H$13,'My investments'!$E10,0))</f>
        <v/>
      </c>
      <c r="AH10" s="36">
        <f>IF('My investments'!$H$14="",0,IF('My investments'!$F10='My investments'!$H$14,'My investments'!$E10,0))</f>
        <v/>
      </c>
      <c r="AI10" s="36">
        <f>IF('My investments'!$H$15="",0,IF('My investments'!$F10='My investments'!$H$15,'My investments'!$E10,0))</f>
        <v/>
      </c>
      <c r="AK10" s="36">
        <f>IF('My investments'!$H$11="",0,IF('My investments'!$F10='My investments'!$H$11,$AA10,0))</f>
        <v/>
      </c>
      <c r="AL10" s="36">
        <f>IF('My investments'!$H$12="",0,IF('My investments'!$F10='My investments'!$H$12,$AA10,0))</f>
        <v/>
      </c>
      <c r="AM10" s="36">
        <f>IF('My investments'!$H$13="",0,IF('My investments'!$F10='My investments'!$H$13,$AA10,0))</f>
        <v/>
      </c>
      <c r="AN10" s="36">
        <f>IF('My investments'!$H$14="",0,IF('My investments'!$F10='My investments'!$H$14,$AA10,0))</f>
        <v/>
      </c>
      <c r="AO10" s="36">
        <f>IF('My investments'!$H$15="",0,IF('My investments'!$F10='My investments'!$H$15,$AA10,0))</f>
        <v/>
      </c>
    </row>
    <row r="11" ht="15" customHeight="1" s="30">
      <c r="A11" s="36">
        <f>IF('My investments'!$C11="Worth today",1,0)</f>
        <v/>
      </c>
      <c r="B11" s="36">
        <f>IF('My investments'!$C11="Money in",1,0)</f>
        <v/>
      </c>
      <c r="F11" s="36" t="inlineStr">
        <is>
          <t>from what you have</t>
        </is>
      </c>
      <c r="G11" s="36">
        <f>IF('Plan my goal'!$B$5="",0,'Plan my goal'!$B$5)*(1+$G$1)^$G$4</f>
        <v/>
      </c>
      <c r="AA11" s="36">
        <f>IF('My investments'!$C11="Money in",'My investments'!$D11,0)</f>
        <v/>
      </c>
      <c r="AB11" s="36">
        <f>IF('My investments'!$C11="Money out",'My investments'!$D11,0)</f>
        <v/>
      </c>
      <c r="AC11" s="36">
        <f>IF('My investments'!$C11="Worth today",'My investments'!$D11,0)</f>
        <v/>
      </c>
      <c r="AE11" s="36">
        <f>IF('My investments'!$H$11="",0,IF('My investments'!$F11='My investments'!$H$11,'My investments'!$E11,0))</f>
        <v/>
      </c>
      <c r="AF11" s="36">
        <f>IF('My investments'!$H$12="",0,IF('My investments'!$F11='My investments'!$H$12,'My investments'!$E11,0))</f>
        <v/>
      </c>
      <c r="AG11" s="36">
        <f>IF('My investments'!$H$13="",0,IF('My investments'!$F11='My investments'!$H$13,'My investments'!$E11,0))</f>
        <v/>
      </c>
      <c r="AH11" s="36">
        <f>IF('My investments'!$H$14="",0,IF('My investments'!$F11='My investments'!$H$14,'My investments'!$E11,0))</f>
        <v/>
      </c>
      <c r="AI11" s="36">
        <f>IF('My investments'!$H$15="",0,IF('My investments'!$F11='My investments'!$H$15,'My investments'!$E11,0))</f>
        <v/>
      </c>
      <c r="AK11" s="36">
        <f>IF('My investments'!$H$11="",0,IF('My investments'!$F11='My investments'!$H$11,$AA11,0))</f>
        <v/>
      </c>
      <c r="AL11" s="36">
        <f>IF('My investments'!$H$12="",0,IF('My investments'!$F11='My investments'!$H$12,$AA11,0))</f>
        <v/>
      </c>
      <c r="AM11" s="36">
        <f>IF('My investments'!$H$13="",0,IF('My investments'!$F11='My investments'!$H$13,$AA11,0))</f>
        <v/>
      </c>
      <c r="AN11" s="36">
        <f>IF('My investments'!$H$14="",0,IF('My investments'!$F11='My investments'!$H$14,$AA11,0))</f>
        <v/>
      </c>
      <c r="AO11" s="36">
        <f>IF('My investments'!$H$15="",0,IF('My investments'!$F11='My investments'!$H$15,$AA11,0))</f>
        <v/>
      </c>
    </row>
    <row r="12" ht="15" customHeight="1" s="30">
      <c r="A12" s="36">
        <f>IF('My investments'!$C12="Worth today",1,0)</f>
        <v/>
      </c>
      <c r="B12" s="36">
        <f>IF('My investments'!$C12="Money in",1,0)</f>
        <v/>
      </c>
      <c r="F12" s="36" t="inlineStr">
        <is>
          <t>from monthly</t>
        </is>
      </c>
      <c r="G12" s="36">
        <f>IF('Plan my goal'!$B$7="",0,'Plan my goal'!$B$7)*$G$8</f>
        <v/>
      </c>
      <c r="AA12" s="36">
        <f>IF('My investments'!$C12="Money in",'My investments'!$D12,0)</f>
        <v/>
      </c>
      <c r="AB12" s="36">
        <f>IF('My investments'!$C12="Money out",'My investments'!$D12,0)</f>
        <v/>
      </c>
      <c r="AC12" s="36">
        <f>IF('My investments'!$C12="Worth today",'My investments'!$D12,0)</f>
        <v/>
      </c>
      <c r="AE12" s="36">
        <f>IF('My investments'!$H$11="",0,IF('My investments'!$F12='My investments'!$H$11,'My investments'!$E12,0))</f>
        <v/>
      </c>
      <c r="AF12" s="36">
        <f>IF('My investments'!$H$12="",0,IF('My investments'!$F12='My investments'!$H$12,'My investments'!$E12,0))</f>
        <v/>
      </c>
      <c r="AG12" s="36">
        <f>IF('My investments'!$H$13="",0,IF('My investments'!$F12='My investments'!$H$13,'My investments'!$E12,0))</f>
        <v/>
      </c>
      <c r="AH12" s="36">
        <f>IF('My investments'!$H$14="",0,IF('My investments'!$F12='My investments'!$H$14,'My investments'!$E12,0))</f>
        <v/>
      </c>
      <c r="AI12" s="36">
        <f>IF('My investments'!$H$15="",0,IF('My investments'!$F12='My investments'!$H$15,'My investments'!$E12,0))</f>
        <v/>
      </c>
      <c r="AK12" s="36">
        <f>IF('My investments'!$H$11="",0,IF('My investments'!$F12='My investments'!$H$11,$AA12,0))</f>
        <v/>
      </c>
      <c r="AL12" s="36">
        <f>IF('My investments'!$H$12="",0,IF('My investments'!$F12='My investments'!$H$12,$AA12,0))</f>
        <v/>
      </c>
      <c r="AM12" s="36">
        <f>IF('My investments'!$H$13="",0,IF('My investments'!$F12='My investments'!$H$13,$AA12,0))</f>
        <v/>
      </c>
      <c r="AN12" s="36">
        <f>IF('My investments'!$H$14="",0,IF('My investments'!$F12='My investments'!$H$14,$AA12,0))</f>
        <v/>
      </c>
      <c r="AO12" s="36">
        <f>IF('My investments'!$H$15="",0,IF('My investments'!$F12='My investments'!$H$15,$AA12,0))</f>
        <v/>
      </c>
    </row>
    <row r="13" ht="15" customHeight="1" s="30">
      <c r="A13" s="36">
        <f>IF('My investments'!$C13="Worth today",1,0)</f>
        <v/>
      </c>
      <c r="B13" s="36">
        <f>IF('My investments'!$C13="Money in",1,0)</f>
        <v/>
      </c>
      <c r="F13" s="36" t="inlineStr">
        <is>
          <t>gap</t>
        </is>
      </c>
      <c r="G13" s="36">
        <f>IF('Plan my goal'!$B$4="",0,'Plan my goal'!$B$4)-($G$11+$G$12)</f>
        <v/>
      </c>
      <c r="AA13" s="36">
        <f>IF('My investments'!$C13="Money in",'My investments'!$D13,0)</f>
        <v/>
      </c>
      <c r="AB13" s="36">
        <f>IF('My investments'!$C13="Money out",'My investments'!$D13,0)</f>
        <v/>
      </c>
      <c r="AC13" s="36">
        <f>IF('My investments'!$C13="Worth today",'My investments'!$D13,0)</f>
        <v/>
      </c>
      <c r="AE13" s="36">
        <f>IF('My investments'!$H$11="",0,IF('My investments'!$F13='My investments'!$H$11,'My investments'!$E13,0))</f>
        <v/>
      </c>
      <c r="AF13" s="36">
        <f>IF('My investments'!$H$12="",0,IF('My investments'!$F13='My investments'!$H$12,'My investments'!$E13,0))</f>
        <v/>
      </c>
      <c r="AG13" s="36">
        <f>IF('My investments'!$H$13="",0,IF('My investments'!$F13='My investments'!$H$13,'My investments'!$E13,0))</f>
        <v/>
      </c>
      <c r="AH13" s="36">
        <f>IF('My investments'!$H$14="",0,IF('My investments'!$F13='My investments'!$H$14,'My investments'!$E13,0))</f>
        <v/>
      </c>
      <c r="AI13" s="36">
        <f>IF('My investments'!$H$15="",0,IF('My investments'!$F13='My investments'!$H$15,'My investments'!$E13,0))</f>
        <v/>
      </c>
      <c r="AK13" s="36">
        <f>IF('My investments'!$H$11="",0,IF('My investments'!$F13='My investments'!$H$11,$AA13,0))</f>
        <v/>
      </c>
      <c r="AL13" s="36">
        <f>IF('My investments'!$H$12="",0,IF('My investments'!$F13='My investments'!$H$12,$AA13,0))</f>
        <v/>
      </c>
      <c r="AM13" s="36">
        <f>IF('My investments'!$H$13="",0,IF('My investments'!$F13='My investments'!$H$13,$AA13,0))</f>
        <v/>
      </c>
      <c r="AN13" s="36">
        <f>IF('My investments'!$H$14="",0,IF('My investments'!$F13='My investments'!$H$14,$AA13,0))</f>
        <v/>
      </c>
      <c r="AO13" s="36">
        <f>IF('My investments'!$H$15="",0,IF('My investments'!$F13='My investments'!$H$15,$AA13,0))</f>
        <v/>
      </c>
    </row>
    <row r="14" ht="15" customHeight="1" s="30">
      <c r="A14" s="36">
        <f>IF('My investments'!$C14="Worth today",1,0)</f>
        <v/>
      </c>
      <c r="B14" s="36">
        <f>IF('My investments'!$C14="Money in",1,0)</f>
        <v/>
      </c>
      <c r="F14" s="36" t="inlineStr">
        <is>
          <t>extra each month</t>
        </is>
      </c>
      <c r="G14" s="36">
        <f>IF($G$13&lt;=0.5,0,IF($G$8&lt;=0,0,$G$13/$G$8))</f>
        <v/>
      </c>
      <c r="AA14" s="36">
        <f>IF('My investments'!$C14="Money in",'My investments'!$D14,0)</f>
        <v/>
      </c>
      <c r="AB14" s="36">
        <f>IF('My investments'!$C14="Money out",'My investments'!$D14,0)</f>
        <v/>
      </c>
      <c r="AC14" s="36">
        <f>IF('My investments'!$C14="Worth today",'My investments'!$D14,0)</f>
        <v/>
      </c>
      <c r="AE14" s="36">
        <f>IF('My investments'!$H$11="",0,IF('My investments'!$F14='My investments'!$H$11,'My investments'!$E14,0))</f>
        <v/>
      </c>
      <c r="AF14" s="36">
        <f>IF('My investments'!$H$12="",0,IF('My investments'!$F14='My investments'!$H$12,'My investments'!$E14,0))</f>
        <v/>
      </c>
      <c r="AG14" s="36">
        <f>IF('My investments'!$H$13="",0,IF('My investments'!$F14='My investments'!$H$13,'My investments'!$E14,0))</f>
        <v/>
      </c>
      <c r="AH14" s="36">
        <f>IF('My investments'!$H$14="",0,IF('My investments'!$F14='My investments'!$H$14,'My investments'!$E14,0))</f>
        <v/>
      </c>
      <c r="AI14" s="36">
        <f>IF('My investments'!$H$15="",0,IF('My investments'!$F14='My investments'!$H$15,'My investments'!$E14,0))</f>
        <v/>
      </c>
      <c r="AK14" s="36">
        <f>IF('My investments'!$H$11="",0,IF('My investments'!$F14='My investments'!$H$11,$AA14,0))</f>
        <v/>
      </c>
      <c r="AL14" s="36">
        <f>IF('My investments'!$H$12="",0,IF('My investments'!$F14='My investments'!$H$12,$AA14,0))</f>
        <v/>
      </c>
      <c r="AM14" s="36">
        <f>IF('My investments'!$H$13="",0,IF('My investments'!$F14='My investments'!$H$13,$AA14,0))</f>
        <v/>
      </c>
      <c r="AN14" s="36">
        <f>IF('My investments'!$H$14="",0,IF('My investments'!$F14='My investments'!$H$14,$AA14,0))</f>
        <v/>
      </c>
      <c r="AO14" s="36">
        <f>IF('My investments'!$H$15="",0,IF('My investments'!$F14='My investments'!$H$15,$AA14,0))</f>
        <v/>
      </c>
    </row>
    <row r="15" ht="15" customHeight="1" s="30">
      <c r="A15" s="36">
        <f>IF('My investments'!$C15="Worth today",1,0)</f>
        <v/>
      </c>
      <c r="B15" s="36">
        <f>IF('My investments'!$C15="Money in",1,0)</f>
        <v/>
      </c>
      <c r="F15" s="36" t="inlineStr">
        <is>
          <t>own money paid in</t>
        </is>
      </c>
      <c r="G15" s="36">
        <f>IF('Plan my goal'!$B$7="",0,'Plan my goal'!$B$7)*12*$G$20</f>
        <v/>
      </c>
      <c r="AA15" s="36">
        <f>IF('My investments'!$C15="Money in",'My investments'!$D15,0)</f>
        <v/>
      </c>
      <c r="AB15" s="36">
        <f>IF('My investments'!$C15="Money out",'My investments'!$D15,0)</f>
        <v/>
      </c>
      <c r="AC15" s="36">
        <f>IF('My investments'!$C15="Worth today",'My investments'!$D15,0)</f>
        <v/>
      </c>
      <c r="AE15" s="36">
        <f>IF('My investments'!$H$11="",0,IF('My investments'!$F15='My investments'!$H$11,'My investments'!$E15,0))</f>
        <v/>
      </c>
      <c r="AF15" s="36">
        <f>IF('My investments'!$H$12="",0,IF('My investments'!$F15='My investments'!$H$12,'My investments'!$E15,0))</f>
        <v/>
      </c>
      <c r="AG15" s="36">
        <f>IF('My investments'!$H$13="",0,IF('My investments'!$F15='My investments'!$H$13,'My investments'!$E15,0))</f>
        <v/>
      </c>
      <c r="AH15" s="36">
        <f>IF('My investments'!$H$14="",0,IF('My investments'!$F15='My investments'!$H$14,'My investments'!$E15,0))</f>
        <v/>
      </c>
      <c r="AI15" s="36">
        <f>IF('My investments'!$H$15="",0,IF('My investments'!$F15='My investments'!$H$15,'My investments'!$E15,0))</f>
        <v/>
      </c>
      <c r="AK15" s="36">
        <f>IF('My investments'!$H$11="",0,IF('My investments'!$F15='My investments'!$H$11,$AA15,0))</f>
        <v/>
      </c>
      <c r="AL15" s="36">
        <f>IF('My investments'!$H$12="",0,IF('My investments'!$F15='My investments'!$H$12,$AA15,0))</f>
        <v/>
      </c>
      <c r="AM15" s="36">
        <f>IF('My investments'!$H$13="",0,IF('My investments'!$F15='My investments'!$H$13,$AA15,0))</f>
        <v/>
      </c>
      <c r="AN15" s="36">
        <f>IF('My investments'!$H$14="",0,IF('My investments'!$F15='My investments'!$H$14,$AA15,0))</f>
        <v/>
      </c>
      <c r="AO15" s="36">
        <f>IF('My investments'!$H$15="",0,IF('My investments'!$F15='My investments'!$H$15,$AA15,0))</f>
        <v/>
      </c>
    </row>
    <row r="16" ht="15" customHeight="1" s="30">
      <c r="A16" s="36">
        <f>IF('My investments'!$C16="Worth today",1,0)</f>
        <v/>
      </c>
      <c r="B16" s="36">
        <f>IF('My investments'!$C16="Money in",1,0)</f>
        <v/>
      </c>
      <c r="F16" s="36" t="inlineStr">
        <is>
          <t>as you are</t>
        </is>
      </c>
      <c r="G16" s="36">
        <f>$G$11+$G$12</f>
        <v/>
      </c>
      <c r="AA16" s="36">
        <f>IF('My investments'!$C16="Money in",'My investments'!$D16,0)</f>
        <v/>
      </c>
      <c r="AB16" s="36">
        <f>IF('My investments'!$C16="Money out",'My investments'!$D16,0)</f>
        <v/>
      </c>
      <c r="AC16" s="36">
        <f>IF('My investments'!$C16="Worth today",'My investments'!$D16,0)</f>
        <v/>
      </c>
      <c r="AE16" s="36">
        <f>IF('My investments'!$H$11="",0,IF('My investments'!$F16='My investments'!$H$11,'My investments'!$E16,0))</f>
        <v/>
      </c>
      <c r="AF16" s="36">
        <f>IF('My investments'!$H$12="",0,IF('My investments'!$F16='My investments'!$H$12,'My investments'!$E16,0))</f>
        <v/>
      </c>
      <c r="AG16" s="36">
        <f>IF('My investments'!$H$13="",0,IF('My investments'!$F16='My investments'!$H$13,'My investments'!$E16,0))</f>
        <v/>
      </c>
      <c r="AH16" s="36">
        <f>IF('My investments'!$H$14="",0,IF('My investments'!$F16='My investments'!$H$14,'My investments'!$E16,0))</f>
        <v/>
      </c>
      <c r="AI16" s="36">
        <f>IF('My investments'!$H$15="",0,IF('My investments'!$F16='My investments'!$H$15,'My investments'!$E16,0))</f>
        <v/>
      </c>
      <c r="AK16" s="36">
        <f>IF('My investments'!$H$11="",0,IF('My investments'!$F16='My investments'!$H$11,$AA16,0))</f>
        <v/>
      </c>
      <c r="AL16" s="36">
        <f>IF('My investments'!$H$12="",0,IF('My investments'!$F16='My investments'!$H$12,$AA16,0))</f>
        <v/>
      </c>
      <c r="AM16" s="36">
        <f>IF('My investments'!$H$13="",0,IF('My investments'!$F16='My investments'!$H$13,$AA16,0))</f>
        <v/>
      </c>
      <c r="AN16" s="36">
        <f>IF('My investments'!$H$14="",0,IF('My investments'!$F16='My investments'!$H$14,$AA16,0))</f>
        <v/>
      </c>
      <c r="AO16" s="36">
        <f>IF('My investments'!$H$15="",0,IF('My investments'!$F16='My investments'!$H$15,$AA16,0))</f>
        <v/>
      </c>
    </row>
    <row r="17" ht="15" customHeight="1" s="30">
      <c r="A17" s="36">
        <f>IF('My investments'!$C17="Worth today",1,0)</f>
        <v/>
      </c>
      <c r="B17" s="36">
        <f>IF('My investments'!$C17="Money in",1,0)</f>
        <v/>
      </c>
      <c r="F17" s="36" t="inlineStr">
        <is>
          <t>plus 2,000</t>
        </is>
      </c>
      <c r="G17" s="36">
        <f>$G$11+(IF('Plan my goal'!$B$7="",0,'Plan my goal'!$B$7)+2000)*$G$8</f>
        <v/>
      </c>
      <c r="AA17" s="36">
        <f>IF('My investments'!$C17="Money in",'My investments'!$D17,0)</f>
        <v/>
      </c>
      <c r="AB17" s="36">
        <f>IF('My investments'!$C17="Money out",'My investments'!$D17,0)</f>
        <v/>
      </c>
      <c r="AC17" s="36">
        <f>IF('My investments'!$C17="Worth today",'My investments'!$D17,0)</f>
        <v/>
      </c>
      <c r="AE17" s="36">
        <f>IF('My investments'!$H$11="",0,IF('My investments'!$F17='My investments'!$H$11,'My investments'!$E17,0))</f>
        <v/>
      </c>
      <c r="AF17" s="36">
        <f>IF('My investments'!$H$12="",0,IF('My investments'!$F17='My investments'!$H$12,'My investments'!$E17,0))</f>
        <v/>
      </c>
      <c r="AG17" s="36">
        <f>IF('My investments'!$H$13="",0,IF('My investments'!$F17='My investments'!$H$13,'My investments'!$E17,0))</f>
        <v/>
      </c>
      <c r="AH17" s="36">
        <f>IF('My investments'!$H$14="",0,IF('My investments'!$F17='My investments'!$H$14,'My investments'!$E17,0))</f>
        <v/>
      </c>
      <c r="AI17" s="36">
        <f>IF('My investments'!$H$15="",0,IF('My investments'!$F17='My investments'!$H$15,'My investments'!$E17,0))</f>
        <v/>
      </c>
      <c r="AK17" s="36">
        <f>IF('My investments'!$H$11="",0,IF('My investments'!$F17='My investments'!$H$11,$AA17,0))</f>
        <v/>
      </c>
      <c r="AL17" s="36">
        <f>IF('My investments'!$H$12="",0,IF('My investments'!$F17='My investments'!$H$12,$AA17,0))</f>
        <v/>
      </c>
      <c r="AM17" s="36">
        <f>IF('My investments'!$H$13="",0,IF('My investments'!$F17='My investments'!$H$13,$AA17,0))</f>
        <v/>
      </c>
      <c r="AN17" s="36">
        <f>IF('My investments'!$H$14="",0,IF('My investments'!$F17='My investments'!$H$14,$AA17,0))</f>
        <v/>
      </c>
      <c r="AO17" s="36">
        <f>IF('My investments'!$H$15="",0,IF('My investments'!$F17='My investments'!$H$15,$AA17,0))</f>
        <v/>
      </c>
    </row>
    <row r="18" ht="15" customHeight="1" s="30">
      <c r="A18" s="36">
        <f>IF('My investments'!$C18="Worth today",1,0)</f>
        <v/>
      </c>
      <c r="B18" s="36">
        <f>IF('My investments'!$C18="Money in",1,0)</f>
        <v/>
      </c>
      <c r="F18" s="36" t="inlineStr">
        <is>
          <t>plus 5,000</t>
        </is>
      </c>
      <c r="G18" s="36">
        <f>$G$11+(IF('Plan my goal'!$B$7="",0,'Plan my goal'!$B$7)+5000)*$G$8</f>
        <v/>
      </c>
      <c r="AA18" s="36">
        <f>IF('My investments'!$C18="Money in",'My investments'!$D18,0)</f>
        <v/>
      </c>
      <c r="AB18" s="36">
        <f>IF('My investments'!$C18="Money out",'My investments'!$D18,0)</f>
        <v/>
      </c>
      <c r="AC18" s="36">
        <f>IF('My investments'!$C18="Worth today",'My investments'!$D18,0)</f>
        <v/>
      </c>
      <c r="AE18" s="36">
        <f>IF('My investments'!$H$11="",0,IF('My investments'!$F18='My investments'!$H$11,'My investments'!$E18,0))</f>
        <v/>
      </c>
      <c r="AF18" s="36">
        <f>IF('My investments'!$H$12="",0,IF('My investments'!$F18='My investments'!$H$12,'My investments'!$E18,0))</f>
        <v/>
      </c>
      <c r="AG18" s="36">
        <f>IF('My investments'!$H$13="",0,IF('My investments'!$F18='My investments'!$H$13,'My investments'!$E18,0))</f>
        <v/>
      </c>
      <c r="AH18" s="36">
        <f>IF('My investments'!$H$14="",0,IF('My investments'!$F18='My investments'!$H$14,'My investments'!$E18,0))</f>
        <v/>
      </c>
      <c r="AI18" s="36">
        <f>IF('My investments'!$H$15="",0,IF('My investments'!$F18='My investments'!$H$15,'My investments'!$E18,0))</f>
        <v/>
      </c>
      <c r="AK18" s="36">
        <f>IF('My investments'!$H$11="",0,IF('My investments'!$F18='My investments'!$H$11,$AA18,0))</f>
        <v/>
      </c>
      <c r="AL18" s="36">
        <f>IF('My investments'!$H$12="",0,IF('My investments'!$F18='My investments'!$H$12,$AA18,0))</f>
        <v/>
      </c>
      <c r="AM18" s="36">
        <f>IF('My investments'!$H$13="",0,IF('My investments'!$F18='My investments'!$H$13,$AA18,0))</f>
        <v/>
      </c>
      <c r="AN18" s="36">
        <f>IF('My investments'!$H$14="",0,IF('My investments'!$F18='My investments'!$H$14,$AA18,0))</f>
        <v/>
      </c>
      <c r="AO18" s="36">
        <f>IF('My investments'!$H$15="",0,IF('My investments'!$F18='My investments'!$H$15,$AA18,0))</f>
        <v/>
      </c>
    </row>
    <row r="19" ht="15" customHeight="1" s="30">
      <c r="A19" s="36">
        <f>IF('My investments'!$C19="Worth today",1,0)</f>
        <v/>
      </c>
      <c r="B19" s="36">
        <f>IF('My investments'!$C19="Money in",1,0)</f>
        <v/>
      </c>
      <c r="F19" s="36" t="inlineStr">
        <is>
          <t>raised 10% a year</t>
        </is>
      </c>
      <c r="G19" s="36">
        <f>$G$11+IF('Plan my goal'!$B$7="",0,'Plan my goal'!$B$7)*$I$8</f>
        <v/>
      </c>
      <c r="AA19" s="36">
        <f>IF('My investments'!$C19="Money in",'My investments'!$D19,0)</f>
        <v/>
      </c>
      <c r="AB19" s="36">
        <f>IF('My investments'!$C19="Money out",'My investments'!$D19,0)</f>
        <v/>
      </c>
      <c r="AC19" s="36">
        <f>IF('My investments'!$C19="Worth today",'My investments'!$D19,0)</f>
        <v/>
      </c>
      <c r="AE19" s="36">
        <f>IF('My investments'!$H$11="",0,IF('My investments'!$F19='My investments'!$H$11,'My investments'!$E19,0))</f>
        <v/>
      </c>
      <c r="AF19" s="36">
        <f>IF('My investments'!$H$12="",0,IF('My investments'!$F19='My investments'!$H$12,'My investments'!$E19,0))</f>
        <v/>
      </c>
      <c r="AG19" s="36">
        <f>IF('My investments'!$H$13="",0,IF('My investments'!$F19='My investments'!$H$13,'My investments'!$E19,0))</f>
        <v/>
      </c>
      <c r="AH19" s="36">
        <f>IF('My investments'!$H$14="",0,IF('My investments'!$F19='My investments'!$H$14,'My investments'!$E19,0))</f>
        <v/>
      </c>
      <c r="AI19" s="36">
        <f>IF('My investments'!$H$15="",0,IF('My investments'!$F19='My investments'!$H$15,'My investments'!$E19,0))</f>
        <v/>
      </c>
      <c r="AK19" s="36">
        <f>IF('My investments'!$H$11="",0,IF('My investments'!$F19='My investments'!$H$11,$AA19,0))</f>
        <v/>
      </c>
      <c r="AL19" s="36">
        <f>IF('My investments'!$H$12="",0,IF('My investments'!$F19='My investments'!$H$12,$AA19,0))</f>
        <v/>
      </c>
      <c r="AM19" s="36">
        <f>IF('My investments'!$H$13="",0,IF('My investments'!$F19='My investments'!$H$13,$AA19,0))</f>
        <v/>
      </c>
      <c r="AN19" s="36">
        <f>IF('My investments'!$H$14="",0,IF('My investments'!$F19='My investments'!$H$14,$AA19,0))</f>
        <v/>
      </c>
      <c r="AO19" s="36">
        <f>IF('My investments'!$H$15="",0,IF('My investments'!$F19='My investments'!$H$15,$AA19,0))</f>
        <v/>
      </c>
    </row>
    <row r="20" ht="15" customHeight="1" s="30">
      <c r="A20" s="36">
        <f>IF('My investments'!$C20="Worth today",1,0)</f>
        <v/>
      </c>
      <c r="B20" s="36">
        <f>IF('My investments'!$C20="Money in",1,0)</f>
        <v/>
      </c>
      <c r="F20" s="36" t="inlineStr">
        <is>
          <t>step-up sum T</t>
        </is>
      </c>
      <c r="G20" s="58">
        <f>IF($G$4&lt;=0,0,IF($G$5=0,$G$4,((1+$G$5)^$G$4-1)/$G$5))</f>
        <v/>
      </c>
      <c r="AA20" s="36">
        <f>IF('My investments'!$C20="Money in",'My investments'!$D20,0)</f>
        <v/>
      </c>
      <c r="AB20" s="36">
        <f>IF('My investments'!$C20="Money out",'My investments'!$D20,0)</f>
        <v/>
      </c>
      <c r="AC20" s="36">
        <f>IF('My investments'!$C20="Worth today",'My investments'!$D20,0)</f>
        <v/>
      </c>
      <c r="AE20" s="36">
        <f>IF('My investments'!$H$11="",0,IF('My investments'!$F20='My investments'!$H$11,'My investments'!$E20,0))</f>
        <v/>
      </c>
      <c r="AF20" s="36">
        <f>IF('My investments'!$H$12="",0,IF('My investments'!$F20='My investments'!$H$12,'My investments'!$E20,0))</f>
        <v/>
      </c>
      <c r="AG20" s="36">
        <f>IF('My investments'!$H$13="",0,IF('My investments'!$F20='My investments'!$H$13,'My investments'!$E20,0))</f>
        <v/>
      </c>
      <c r="AH20" s="36">
        <f>IF('My investments'!$H$14="",0,IF('My investments'!$F20='My investments'!$H$14,'My investments'!$E20,0))</f>
        <v/>
      </c>
      <c r="AI20" s="36">
        <f>IF('My investments'!$H$15="",0,IF('My investments'!$F20='My investments'!$H$15,'My investments'!$E20,0))</f>
        <v/>
      </c>
      <c r="AK20" s="36">
        <f>IF('My investments'!$H$11="",0,IF('My investments'!$F20='My investments'!$H$11,$AA20,0))</f>
        <v/>
      </c>
      <c r="AL20" s="36">
        <f>IF('My investments'!$H$12="",0,IF('My investments'!$F20='My investments'!$H$12,$AA20,0))</f>
        <v/>
      </c>
      <c r="AM20" s="36">
        <f>IF('My investments'!$H$13="",0,IF('My investments'!$F20='My investments'!$H$13,$AA20,0))</f>
        <v/>
      </c>
      <c r="AN20" s="36">
        <f>IF('My investments'!$H$14="",0,IF('My investments'!$F20='My investments'!$H$14,$AA20,0))</f>
        <v/>
      </c>
      <c r="AO20" s="36">
        <f>IF('My investments'!$H$15="",0,IF('My investments'!$F20='My investments'!$H$15,$AA20,0))</f>
        <v/>
      </c>
    </row>
    <row r="21" ht="15" customHeight="1" s="30">
      <c r="A21" s="36">
        <f>IF('My investments'!$C21="Worth today",1,0)</f>
        <v/>
      </c>
      <c r="B21" s="36">
        <f>IF('My investments'!$C21="Money in",1,0)</f>
        <v/>
      </c>
      <c r="AA21" s="36">
        <f>IF('My investments'!$C21="Money in",'My investments'!$D21,0)</f>
        <v/>
      </c>
      <c r="AB21" s="36">
        <f>IF('My investments'!$C21="Money out",'My investments'!$D21,0)</f>
        <v/>
      </c>
      <c r="AC21" s="36">
        <f>IF('My investments'!$C21="Worth today",'My investments'!$D21,0)</f>
        <v/>
      </c>
      <c r="AE21" s="36">
        <f>IF('My investments'!$H$11="",0,IF('My investments'!$F21='My investments'!$H$11,'My investments'!$E21,0))</f>
        <v/>
      </c>
      <c r="AF21" s="36">
        <f>IF('My investments'!$H$12="",0,IF('My investments'!$F21='My investments'!$H$12,'My investments'!$E21,0))</f>
        <v/>
      </c>
      <c r="AG21" s="36">
        <f>IF('My investments'!$H$13="",0,IF('My investments'!$F21='My investments'!$H$13,'My investments'!$E21,0))</f>
        <v/>
      </c>
      <c r="AH21" s="36">
        <f>IF('My investments'!$H$14="",0,IF('My investments'!$F21='My investments'!$H$14,'My investments'!$E21,0))</f>
        <v/>
      </c>
      <c r="AI21" s="36">
        <f>IF('My investments'!$H$15="",0,IF('My investments'!$F21='My investments'!$H$15,'My investments'!$E21,0))</f>
        <v/>
      </c>
      <c r="AK21" s="36">
        <f>IF('My investments'!$H$11="",0,IF('My investments'!$F21='My investments'!$H$11,$AA21,0))</f>
        <v/>
      </c>
      <c r="AL21" s="36">
        <f>IF('My investments'!$H$12="",0,IF('My investments'!$F21='My investments'!$H$12,$AA21,0))</f>
        <v/>
      </c>
      <c r="AM21" s="36">
        <f>IF('My investments'!$H$13="",0,IF('My investments'!$F21='My investments'!$H$13,$AA21,0))</f>
        <v/>
      </c>
      <c r="AN21" s="36">
        <f>IF('My investments'!$H$14="",0,IF('My investments'!$F21='My investments'!$H$14,$AA21,0))</f>
        <v/>
      </c>
      <c r="AO21" s="36">
        <f>IF('My investments'!$H$15="",0,IF('My investments'!$F21='My investments'!$H$15,$AA21,0))</f>
        <v/>
      </c>
    </row>
    <row r="22" ht="15" customHeight="1" s="30">
      <c r="A22" s="36">
        <f>IF('My investments'!$C22="Worth today",1,0)</f>
        <v/>
      </c>
      <c r="B22" s="36">
        <f>IF('My investments'!$C22="Money in",1,0)</f>
        <v/>
      </c>
      <c r="AA22" s="36">
        <f>IF('My investments'!$C22="Money in",'My investments'!$D22,0)</f>
        <v/>
      </c>
      <c r="AB22" s="36">
        <f>IF('My investments'!$C22="Money out",'My investments'!$D22,0)</f>
        <v/>
      </c>
      <c r="AC22" s="36">
        <f>IF('My investments'!$C22="Worth today",'My investments'!$D22,0)</f>
        <v/>
      </c>
      <c r="AE22" s="36">
        <f>IF('My investments'!$H$11="",0,IF('My investments'!$F22='My investments'!$H$11,'My investments'!$E22,0))</f>
        <v/>
      </c>
      <c r="AF22" s="36">
        <f>IF('My investments'!$H$12="",0,IF('My investments'!$F22='My investments'!$H$12,'My investments'!$E22,0))</f>
        <v/>
      </c>
      <c r="AG22" s="36">
        <f>IF('My investments'!$H$13="",0,IF('My investments'!$F22='My investments'!$H$13,'My investments'!$E22,0))</f>
        <v/>
      </c>
      <c r="AH22" s="36">
        <f>IF('My investments'!$H$14="",0,IF('My investments'!$F22='My investments'!$H$14,'My investments'!$E22,0))</f>
        <v/>
      </c>
      <c r="AI22" s="36">
        <f>IF('My investments'!$H$15="",0,IF('My investments'!$F22='My investments'!$H$15,'My investments'!$E22,0))</f>
        <v/>
      </c>
      <c r="AK22" s="36">
        <f>IF('My investments'!$H$11="",0,IF('My investments'!$F22='My investments'!$H$11,$AA22,0))</f>
        <v/>
      </c>
      <c r="AL22" s="36">
        <f>IF('My investments'!$H$12="",0,IF('My investments'!$F22='My investments'!$H$12,$AA22,0))</f>
        <v/>
      </c>
      <c r="AM22" s="36">
        <f>IF('My investments'!$H$13="",0,IF('My investments'!$F22='My investments'!$H$13,$AA22,0))</f>
        <v/>
      </c>
      <c r="AN22" s="36">
        <f>IF('My investments'!$H$14="",0,IF('My investments'!$F22='My investments'!$H$14,$AA22,0))</f>
        <v/>
      </c>
      <c r="AO22" s="36">
        <f>IF('My investments'!$H$15="",0,IF('My investments'!$F22='My investments'!$H$15,$AA22,0))</f>
        <v/>
      </c>
    </row>
    <row r="23" ht="15" customHeight="1" s="30">
      <c r="A23" s="36">
        <f>IF('My investments'!$C23="Worth today",1,0)</f>
        <v/>
      </c>
      <c r="B23" s="36">
        <f>IF('My investments'!$C23="Money in",1,0)</f>
        <v/>
      </c>
      <c r="AA23" s="36">
        <f>IF('My investments'!$C23="Money in",'My investments'!$D23,0)</f>
        <v/>
      </c>
      <c r="AB23" s="36">
        <f>IF('My investments'!$C23="Money out",'My investments'!$D23,0)</f>
        <v/>
      </c>
      <c r="AC23" s="36">
        <f>IF('My investments'!$C23="Worth today",'My investments'!$D23,0)</f>
        <v/>
      </c>
      <c r="AE23" s="36">
        <f>IF('My investments'!$H$11="",0,IF('My investments'!$F23='My investments'!$H$11,'My investments'!$E23,0))</f>
        <v/>
      </c>
      <c r="AF23" s="36">
        <f>IF('My investments'!$H$12="",0,IF('My investments'!$F23='My investments'!$H$12,'My investments'!$E23,0))</f>
        <v/>
      </c>
      <c r="AG23" s="36">
        <f>IF('My investments'!$H$13="",0,IF('My investments'!$F23='My investments'!$H$13,'My investments'!$E23,0))</f>
        <v/>
      </c>
      <c r="AH23" s="36">
        <f>IF('My investments'!$H$14="",0,IF('My investments'!$F23='My investments'!$H$14,'My investments'!$E23,0))</f>
        <v/>
      </c>
      <c r="AI23" s="36">
        <f>IF('My investments'!$H$15="",0,IF('My investments'!$F23='My investments'!$H$15,'My investments'!$E23,0))</f>
        <v/>
      </c>
      <c r="AK23" s="36">
        <f>IF('My investments'!$H$11="",0,IF('My investments'!$F23='My investments'!$H$11,$AA23,0))</f>
        <v/>
      </c>
      <c r="AL23" s="36">
        <f>IF('My investments'!$H$12="",0,IF('My investments'!$F23='My investments'!$H$12,$AA23,0))</f>
        <v/>
      </c>
      <c r="AM23" s="36">
        <f>IF('My investments'!$H$13="",0,IF('My investments'!$F23='My investments'!$H$13,$AA23,0))</f>
        <v/>
      </c>
      <c r="AN23" s="36">
        <f>IF('My investments'!$H$14="",0,IF('My investments'!$F23='My investments'!$H$14,$AA23,0))</f>
        <v/>
      </c>
      <c r="AO23" s="36">
        <f>IF('My investments'!$H$15="",0,IF('My investments'!$F23='My investments'!$H$15,$AA23,0))</f>
        <v/>
      </c>
    </row>
    <row r="24" ht="15" customHeight="1" s="30">
      <c r="A24" s="36">
        <f>IF('My investments'!$C24="Worth today",1,0)</f>
        <v/>
      </c>
      <c r="B24" s="36">
        <f>IF('My investments'!$C24="Money in",1,0)</f>
        <v/>
      </c>
      <c r="AA24" s="36">
        <f>IF('My investments'!$C24="Money in",'My investments'!$D24,0)</f>
        <v/>
      </c>
      <c r="AB24" s="36">
        <f>IF('My investments'!$C24="Money out",'My investments'!$D24,0)</f>
        <v/>
      </c>
      <c r="AC24" s="36">
        <f>IF('My investments'!$C24="Worth today",'My investments'!$D24,0)</f>
        <v/>
      </c>
      <c r="AE24" s="36">
        <f>IF('My investments'!$H$11="",0,IF('My investments'!$F24='My investments'!$H$11,'My investments'!$E24,0))</f>
        <v/>
      </c>
      <c r="AF24" s="36">
        <f>IF('My investments'!$H$12="",0,IF('My investments'!$F24='My investments'!$H$12,'My investments'!$E24,0))</f>
        <v/>
      </c>
      <c r="AG24" s="36">
        <f>IF('My investments'!$H$13="",0,IF('My investments'!$F24='My investments'!$H$13,'My investments'!$E24,0))</f>
        <v/>
      </c>
      <c r="AH24" s="36">
        <f>IF('My investments'!$H$14="",0,IF('My investments'!$F24='My investments'!$H$14,'My investments'!$E24,0))</f>
        <v/>
      </c>
      <c r="AI24" s="36">
        <f>IF('My investments'!$H$15="",0,IF('My investments'!$F24='My investments'!$H$15,'My investments'!$E24,0))</f>
        <v/>
      </c>
      <c r="AK24" s="36">
        <f>IF('My investments'!$H$11="",0,IF('My investments'!$F24='My investments'!$H$11,$AA24,0))</f>
        <v/>
      </c>
      <c r="AL24" s="36">
        <f>IF('My investments'!$H$12="",0,IF('My investments'!$F24='My investments'!$H$12,$AA24,0))</f>
        <v/>
      </c>
      <c r="AM24" s="36">
        <f>IF('My investments'!$H$13="",0,IF('My investments'!$F24='My investments'!$H$13,$AA24,0))</f>
        <v/>
      </c>
      <c r="AN24" s="36">
        <f>IF('My investments'!$H$14="",0,IF('My investments'!$F24='My investments'!$H$14,$AA24,0))</f>
        <v/>
      </c>
      <c r="AO24" s="36">
        <f>IF('My investments'!$H$15="",0,IF('My investments'!$F24='My investments'!$H$15,$AA24,0))</f>
        <v/>
      </c>
    </row>
    <row r="25" ht="15" customHeight="1" s="30">
      <c r="A25" s="36">
        <f>IF('My investments'!$C25="Worth today",1,0)</f>
        <v/>
      </c>
      <c r="B25" s="36">
        <f>IF('My investments'!$C25="Money in",1,0)</f>
        <v/>
      </c>
      <c r="AA25" s="36">
        <f>IF('My investments'!$C25="Money in",'My investments'!$D25,0)</f>
        <v/>
      </c>
      <c r="AB25" s="36">
        <f>IF('My investments'!$C25="Money out",'My investments'!$D25,0)</f>
        <v/>
      </c>
      <c r="AC25" s="36">
        <f>IF('My investments'!$C25="Worth today",'My investments'!$D25,0)</f>
        <v/>
      </c>
      <c r="AE25" s="36">
        <f>IF('My investments'!$H$11="",0,IF('My investments'!$F25='My investments'!$H$11,'My investments'!$E25,0))</f>
        <v/>
      </c>
      <c r="AF25" s="36">
        <f>IF('My investments'!$H$12="",0,IF('My investments'!$F25='My investments'!$H$12,'My investments'!$E25,0))</f>
        <v/>
      </c>
      <c r="AG25" s="36">
        <f>IF('My investments'!$H$13="",0,IF('My investments'!$F25='My investments'!$H$13,'My investments'!$E25,0))</f>
        <v/>
      </c>
      <c r="AH25" s="36">
        <f>IF('My investments'!$H$14="",0,IF('My investments'!$F25='My investments'!$H$14,'My investments'!$E25,0))</f>
        <v/>
      </c>
      <c r="AI25" s="36">
        <f>IF('My investments'!$H$15="",0,IF('My investments'!$F25='My investments'!$H$15,'My investments'!$E25,0))</f>
        <v/>
      </c>
      <c r="AK25" s="36">
        <f>IF('My investments'!$H$11="",0,IF('My investments'!$F25='My investments'!$H$11,$AA25,0))</f>
        <v/>
      </c>
      <c r="AL25" s="36">
        <f>IF('My investments'!$H$12="",0,IF('My investments'!$F25='My investments'!$H$12,$AA25,0))</f>
        <v/>
      </c>
      <c r="AM25" s="36">
        <f>IF('My investments'!$H$13="",0,IF('My investments'!$F25='My investments'!$H$13,$AA25,0))</f>
        <v/>
      </c>
      <c r="AN25" s="36">
        <f>IF('My investments'!$H$14="",0,IF('My investments'!$F25='My investments'!$H$14,$AA25,0))</f>
        <v/>
      </c>
      <c r="AO25" s="36">
        <f>IF('My investments'!$H$15="",0,IF('My investments'!$F25='My investments'!$H$15,$AA25,0))</f>
        <v/>
      </c>
    </row>
    <row r="26" ht="15" customHeight="1" s="30">
      <c r="A26" s="36">
        <f>IF('My investments'!$C26="Worth today",1,0)</f>
        <v/>
      </c>
      <c r="B26" s="36">
        <f>IF('My investments'!$C26="Money in",1,0)</f>
        <v/>
      </c>
      <c r="AA26" s="36">
        <f>IF('My investments'!$C26="Money in",'My investments'!$D26,0)</f>
        <v/>
      </c>
      <c r="AB26" s="36">
        <f>IF('My investments'!$C26="Money out",'My investments'!$D26,0)</f>
        <v/>
      </c>
      <c r="AC26" s="36">
        <f>IF('My investments'!$C26="Worth today",'My investments'!$D26,0)</f>
        <v/>
      </c>
      <c r="AE26" s="36">
        <f>IF('My investments'!$H$11="",0,IF('My investments'!$F26='My investments'!$H$11,'My investments'!$E26,0))</f>
        <v/>
      </c>
      <c r="AF26" s="36">
        <f>IF('My investments'!$H$12="",0,IF('My investments'!$F26='My investments'!$H$12,'My investments'!$E26,0))</f>
        <v/>
      </c>
      <c r="AG26" s="36">
        <f>IF('My investments'!$H$13="",0,IF('My investments'!$F26='My investments'!$H$13,'My investments'!$E26,0))</f>
        <v/>
      </c>
      <c r="AH26" s="36">
        <f>IF('My investments'!$H$14="",0,IF('My investments'!$F26='My investments'!$H$14,'My investments'!$E26,0))</f>
        <v/>
      </c>
      <c r="AI26" s="36">
        <f>IF('My investments'!$H$15="",0,IF('My investments'!$F26='My investments'!$H$15,'My investments'!$E26,0))</f>
        <v/>
      </c>
      <c r="AK26" s="36">
        <f>IF('My investments'!$H$11="",0,IF('My investments'!$F26='My investments'!$H$11,$AA26,0))</f>
        <v/>
      </c>
      <c r="AL26" s="36">
        <f>IF('My investments'!$H$12="",0,IF('My investments'!$F26='My investments'!$H$12,$AA26,0))</f>
        <v/>
      </c>
      <c r="AM26" s="36">
        <f>IF('My investments'!$H$13="",0,IF('My investments'!$F26='My investments'!$H$13,$AA26,0))</f>
        <v/>
      </c>
      <c r="AN26" s="36">
        <f>IF('My investments'!$H$14="",0,IF('My investments'!$F26='My investments'!$H$14,$AA26,0))</f>
        <v/>
      </c>
      <c r="AO26" s="36">
        <f>IF('My investments'!$H$15="",0,IF('My investments'!$F26='My investments'!$H$15,$AA26,0))</f>
        <v/>
      </c>
    </row>
    <row r="27" ht="15" customHeight="1" s="30">
      <c r="A27" s="36">
        <f>IF('My investments'!$C27="Worth today",1,0)</f>
        <v/>
      </c>
      <c r="B27" s="36">
        <f>IF('My investments'!$C27="Money in",1,0)</f>
        <v/>
      </c>
      <c r="AA27" s="36">
        <f>IF('My investments'!$C27="Money in",'My investments'!$D27,0)</f>
        <v/>
      </c>
      <c r="AB27" s="36">
        <f>IF('My investments'!$C27="Money out",'My investments'!$D27,0)</f>
        <v/>
      </c>
      <c r="AC27" s="36">
        <f>IF('My investments'!$C27="Worth today",'My investments'!$D27,0)</f>
        <v/>
      </c>
      <c r="AE27" s="36">
        <f>IF('My investments'!$H$11="",0,IF('My investments'!$F27='My investments'!$H$11,'My investments'!$E27,0))</f>
        <v/>
      </c>
      <c r="AF27" s="36">
        <f>IF('My investments'!$H$12="",0,IF('My investments'!$F27='My investments'!$H$12,'My investments'!$E27,0))</f>
        <v/>
      </c>
      <c r="AG27" s="36">
        <f>IF('My investments'!$H$13="",0,IF('My investments'!$F27='My investments'!$H$13,'My investments'!$E27,0))</f>
        <v/>
      </c>
      <c r="AH27" s="36">
        <f>IF('My investments'!$H$14="",0,IF('My investments'!$F27='My investments'!$H$14,'My investments'!$E27,0))</f>
        <v/>
      </c>
      <c r="AI27" s="36">
        <f>IF('My investments'!$H$15="",0,IF('My investments'!$F27='My investments'!$H$15,'My investments'!$E27,0))</f>
        <v/>
      </c>
      <c r="AK27" s="36">
        <f>IF('My investments'!$H$11="",0,IF('My investments'!$F27='My investments'!$H$11,$AA27,0))</f>
        <v/>
      </c>
      <c r="AL27" s="36">
        <f>IF('My investments'!$H$12="",0,IF('My investments'!$F27='My investments'!$H$12,$AA27,0))</f>
        <v/>
      </c>
      <c r="AM27" s="36">
        <f>IF('My investments'!$H$13="",0,IF('My investments'!$F27='My investments'!$H$13,$AA27,0))</f>
        <v/>
      </c>
      <c r="AN27" s="36">
        <f>IF('My investments'!$H$14="",0,IF('My investments'!$F27='My investments'!$H$14,$AA27,0))</f>
        <v/>
      </c>
      <c r="AO27" s="36">
        <f>IF('My investments'!$H$15="",0,IF('My investments'!$F27='My investments'!$H$15,$AA27,0))</f>
        <v/>
      </c>
    </row>
    <row r="28" ht="15" customHeight="1" s="30">
      <c r="A28" s="36">
        <f>IF('My investments'!$C28="Worth today",1,0)</f>
        <v/>
      </c>
      <c r="B28" s="36">
        <f>IF('My investments'!$C28="Money in",1,0)</f>
        <v/>
      </c>
      <c r="AA28" s="36">
        <f>IF('My investments'!$C28="Money in",'My investments'!$D28,0)</f>
        <v/>
      </c>
      <c r="AB28" s="36">
        <f>IF('My investments'!$C28="Money out",'My investments'!$D28,0)</f>
        <v/>
      </c>
      <c r="AC28" s="36">
        <f>IF('My investments'!$C28="Worth today",'My investments'!$D28,0)</f>
        <v/>
      </c>
      <c r="AE28" s="36">
        <f>IF('My investments'!$H$11="",0,IF('My investments'!$F28='My investments'!$H$11,'My investments'!$E28,0))</f>
        <v/>
      </c>
      <c r="AF28" s="36">
        <f>IF('My investments'!$H$12="",0,IF('My investments'!$F28='My investments'!$H$12,'My investments'!$E28,0))</f>
        <v/>
      </c>
      <c r="AG28" s="36">
        <f>IF('My investments'!$H$13="",0,IF('My investments'!$F28='My investments'!$H$13,'My investments'!$E28,0))</f>
        <v/>
      </c>
      <c r="AH28" s="36">
        <f>IF('My investments'!$H$14="",0,IF('My investments'!$F28='My investments'!$H$14,'My investments'!$E28,0))</f>
        <v/>
      </c>
      <c r="AI28" s="36">
        <f>IF('My investments'!$H$15="",0,IF('My investments'!$F28='My investments'!$H$15,'My investments'!$E28,0))</f>
        <v/>
      </c>
      <c r="AK28" s="36">
        <f>IF('My investments'!$H$11="",0,IF('My investments'!$F28='My investments'!$H$11,$AA28,0))</f>
        <v/>
      </c>
      <c r="AL28" s="36">
        <f>IF('My investments'!$H$12="",0,IF('My investments'!$F28='My investments'!$H$12,$AA28,0))</f>
        <v/>
      </c>
      <c r="AM28" s="36">
        <f>IF('My investments'!$H$13="",0,IF('My investments'!$F28='My investments'!$H$13,$AA28,0))</f>
        <v/>
      </c>
      <c r="AN28" s="36">
        <f>IF('My investments'!$H$14="",0,IF('My investments'!$F28='My investments'!$H$14,$AA28,0))</f>
        <v/>
      </c>
      <c r="AO28" s="36">
        <f>IF('My investments'!$H$15="",0,IF('My investments'!$F28='My investments'!$H$15,$AA28,0))</f>
        <v/>
      </c>
    </row>
    <row r="29" ht="15" customHeight="1" s="30">
      <c r="A29" s="36">
        <f>IF('My investments'!$C29="Worth today",1,0)</f>
        <v/>
      </c>
      <c r="B29" s="36">
        <f>IF('My investments'!$C29="Money in",1,0)</f>
        <v/>
      </c>
      <c r="AA29" s="36">
        <f>IF('My investments'!$C29="Money in",'My investments'!$D29,0)</f>
        <v/>
      </c>
      <c r="AB29" s="36">
        <f>IF('My investments'!$C29="Money out",'My investments'!$D29,0)</f>
        <v/>
      </c>
      <c r="AC29" s="36">
        <f>IF('My investments'!$C29="Worth today",'My investments'!$D29,0)</f>
        <v/>
      </c>
      <c r="AE29" s="36">
        <f>IF('My investments'!$H$11="",0,IF('My investments'!$F29='My investments'!$H$11,'My investments'!$E29,0))</f>
        <v/>
      </c>
      <c r="AF29" s="36">
        <f>IF('My investments'!$H$12="",0,IF('My investments'!$F29='My investments'!$H$12,'My investments'!$E29,0))</f>
        <v/>
      </c>
      <c r="AG29" s="36">
        <f>IF('My investments'!$H$13="",0,IF('My investments'!$F29='My investments'!$H$13,'My investments'!$E29,0))</f>
        <v/>
      </c>
      <c r="AH29" s="36">
        <f>IF('My investments'!$H$14="",0,IF('My investments'!$F29='My investments'!$H$14,'My investments'!$E29,0))</f>
        <v/>
      </c>
      <c r="AI29" s="36">
        <f>IF('My investments'!$H$15="",0,IF('My investments'!$F29='My investments'!$H$15,'My investments'!$E29,0))</f>
        <v/>
      </c>
      <c r="AK29" s="36">
        <f>IF('My investments'!$H$11="",0,IF('My investments'!$F29='My investments'!$H$11,$AA29,0))</f>
        <v/>
      </c>
      <c r="AL29" s="36">
        <f>IF('My investments'!$H$12="",0,IF('My investments'!$F29='My investments'!$H$12,$AA29,0))</f>
        <v/>
      </c>
      <c r="AM29" s="36">
        <f>IF('My investments'!$H$13="",0,IF('My investments'!$F29='My investments'!$H$13,$AA29,0))</f>
        <v/>
      </c>
      <c r="AN29" s="36">
        <f>IF('My investments'!$H$14="",0,IF('My investments'!$F29='My investments'!$H$14,$AA29,0))</f>
        <v/>
      </c>
      <c r="AO29" s="36">
        <f>IF('My investments'!$H$15="",0,IF('My investments'!$F29='My investments'!$H$15,$AA29,0))</f>
        <v/>
      </c>
    </row>
    <row r="30" ht="15" customHeight="1" s="30">
      <c r="A30" s="36">
        <f>IF('My investments'!$C30="Worth today",1,0)</f>
        <v/>
      </c>
      <c r="B30" s="36">
        <f>IF('My investments'!$C30="Money in",1,0)</f>
        <v/>
      </c>
      <c r="AA30" s="36">
        <f>IF('My investments'!$C30="Money in",'My investments'!$D30,0)</f>
        <v/>
      </c>
      <c r="AB30" s="36">
        <f>IF('My investments'!$C30="Money out",'My investments'!$D30,0)</f>
        <v/>
      </c>
      <c r="AC30" s="36">
        <f>IF('My investments'!$C30="Worth today",'My investments'!$D30,0)</f>
        <v/>
      </c>
      <c r="AE30" s="36">
        <f>IF('My investments'!$H$11="",0,IF('My investments'!$F30='My investments'!$H$11,'My investments'!$E30,0))</f>
        <v/>
      </c>
      <c r="AF30" s="36">
        <f>IF('My investments'!$H$12="",0,IF('My investments'!$F30='My investments'!$H$12,'My investments'!$E30,0))</f>
        <v/>
      </c>
      <c r="AG30" s="36">
        <f>IF('My investments'!$H$13="",0,IF('My investments'!$F30='My investments'!$H$13,'My investments'!$E30,0))</f>
        <v/>
      </c>
      <c r="AH30" s="36">
        <f>IF('My investments'!$H$14="",0,IF('My investments'!$F30='My investments'!$H$14,'My investments'!$E30,0))</f>
        <v/>
      </c>
      <c r="AI30" s="36">
        <f>IF('My investments'!$H$15="",0,IF('My investments'!$F30='My investments'!$H$15,'My investments'!$E30,0))</f>
        <v/>
      </c>
      <c r="AK30" s="36">
        <f>IF('My investments'!$H$11="",0,IF('My investments'!$F30='My investments'!$H$11,$AA30,0))</f>
        <v/>
      </c>
      <c r="AL30" s="36">
        <f>IF('My investments'!$H$12="",0,IF('My investments'!$F30='My investments'!$H$12,$AA30,0))</f>
        <v/>
      </c>
      <c r="AM30" s="36">
        <f>IF('My investments'!$H$13="",0,IF('My investments'!$F30='My investments'!$H$13,$AA30,0))</f>
        <v/>
      </c>
      <c r="AN30" s="36">
        <f>IF('My investments'!$H$14="",0,IF('My investments'!$F30='My investments'!$H$14,$AA30,0))</f>
        <v/>
      </c>
      <c r="AO30" s="36">
        <f>IF('My investments'!$H$15="",0,IF('My investments'!$F30='My investments'!$H$15,$AA30,0))</f>
        <v/>
      </c>
    </row>
    <row r="31" ht="15" customHeight="1" s="30">
      <c r="A31" s="36">
        <f>IF('My investments'!$C31="Worth today",1,0)</f>
        <v/>
      </c>
      <c r="B31" s="36">
        <f>IF('My investments'!$C31="Money in",1,0)</f>
        <v/>
      </c>
      <c r="AA31" s="36">
        <f>IF('My investments'!$C31="Money in",'My investments'!$D31,0)</f>
        <v/>
      </c>
      <c r="AB31" s="36">
        <f>IF('My investments'!$C31="Money out",'My investments'!$D31,0)</f>
        <v/>
      </c>
      <c r="AC31" s="36">
        <f>IF('My investments'!$C31="Worth today",'My investments'!$D31,0)</f>
        <v/>
      </c>
      <c r="AE31" s="36">
        <f>IF('My investments'!$H$11="",0,IF('My investments'!$F31='My investments'!$H$11,'My investments'!$E31,0))</f>
        <v/>
      </c>
      <c r="AF31" s="36">
        <f>IF('My investments'!$H$12="",0,IF('My investments'!$F31='My investments'!$H$12,'My investments'!$E31,0))</f>
        <v/>
      </c>
      <c r="AG31" s="36">
        <f>IF('My investments'!$H$13="",0,IF('My investments'!$F31='My investments'!$H$13,'My investments'!$E31,0))</f>
        <v/>
      </c>
      <c r="AH31" s="36">
        <f>IF('My investments'!$H$14="",0,IF('My investments'!$F31='My investments'!$H$14,'My investments'!$E31,0))</f>
        <v/>
      </c>
      <c r="AI31" s="36">
        <f>IF('My investments'!$H$15="",0,IF('My investments'!$F31='My investments'!$H$15,'My investments'!$E31,0))</f>
        <v/>
      </c>
      <c r="AK31" s="36">
        <f>IF('My investments'!$H$11="",0,IF('My investments'!$F31='My investments'!$H$11,$AA31,0))</f>
        <v/>
      </c>
      <c r="AL31" s="36">
        <f>IF('My investments'!$H$12="",0,IF('My investments'!$F31='My investments'!$H$12,$AA31,0))</f>
        <v/>
      </c>
      <c r="AM31" s="36">
        <f>IF('My investments'!$H$13="",0,IF('My investments'!$F31='My investments'!$H$13,$AA31,0))</f>
        <v/>
      </c>
      <c r="AN31" s="36">
        <f>IF('My investments'!$H$14="",0,IF('My investments'!$F31='My investments'!$H$14,$AA31,0))</f>
        <v/>
      </c>
      <c r="AO31" s="36">
        <f>IF('My investments'!$H$15="",0,IF('My investments'!$F31='My investments'!$H$15,$AA31,0))</f>
        <v/>
      </c>
    </row>
    <row r="32" ht="15" customHeight="1" s="30">
      <c r="A32" s="36">
        <f>IF('My investments'!$C32="Worth today",1,0)</f>
        <v/>
      </c>
      <c r="B32" s="36">
        <f>IF('My investments'!$C32="Money in",1,0)</f>
        <v/>
      </c>
      <c r="AA32" s="36">
        <f>IF('My investments'!$C32="Money in",'My investments'!$D32,0)</f>
        <v/>
      </c>
      <c r="AB32" s="36">
        <f>IF('My investments'!$C32="Money out",'My investments'!$D32,0)</f>
        <v/>
      </c>
      <c r="AC32" s="36">
        <f>IF('My investments'!$C32="Worth today",'My investments'!$D32,0)</f>
        <v/>
      </c>
      <c r="AE32" s="36">
        <f>IF('My investments'!$H$11="",0,IF('My investments'!$F32='My investments'!$H$11,'My investments'!$E32,0))</f>
        <v/>
      </c>
      <c r="AF32" s="36">
        <f>IF('My investments'!$H$12="",0,IF('My investments'!$F32='My investments'!$H$12,'My investments'!$E32,0))</f>
        <v/>
      </c>
      <c r="AG32" s="36">
        <f>IF('My investments'!$H$13="",0,IF('My investments'!$F32='My investments'!$H$13,'My investments'!$E32,0))</f>
        <v/>
      </c>
      <c r="AH32" s="36">
        <f>IF('My investments'!$H$14="",0,IF('My investments'!$F32='My investments'!$H$14,'My investments'!$E32,0))</f>
        <v/>
      </c>
      <c r="AI32" s="36">
        <f>IF('My investments'!$H$15="",0,IF('My investments'!$F32='My investments'!$H$15,'My investments'!$E32,0))</f>
        <v/>
      </c>
      <c r="AK32" s="36">
        <f>IF('My investments'!$H$11="",0,IF('My investments'!$F32='My investments'!$H$11,$AA32,0))</f>
        <v/>
      </c>
      <c r="AL32" s="36">
        <f>IF('My investments'!$H$12="",0,IF('My investments'!$F32='My investments'!$H$12,$AA32,0))</f>
        <v/>
      </c>
      <c r="AM32" s="36">
        <f>IF('My investments'!$H$13="",0,IF('My investments'!$F32='My investments'!$H$13,$AA32,0))</f>
        <v/>
      </c>
      <c r="AN32" s="36">
        <f>IF('My investments'!$H$14="",0,IF('My investments'!$F32='My investments'!$H$14,$AA32,0))</f>
        <v/>
      </c>
      <c r="AO32" s="36">
        <f>IF('My investments'!$H$15="",0,IF('My investments'!$F32='My investments'!$H$15,$AA32,0))</f>
        <v/>
      </c>
    </row>
    <row r="33" ht="15" customHeight="1" s="30">
      <c r="A33" s="36">
        <f>IF('My investments'!$C33="Worth today",1,0)</f>
        <v/>
      </c>
      <c r="B33" s="36">
        <f>IF('My investments'!$C33="Money in",1,0)</f>
        <v/>
      </c>
      <c r="AA33" s="36">
        <f>IF('My investments'!$C33="Money in",'My investments'!$D33,0)</f>
        <v/>
      </c>
      <c r="AB33" s="36">
        <f>IF('My investments'!$C33="Money out",'My investments'!$D33,0)</f>
        <v/>
      </c>
      <c r="AC33" s="36">
        <f>IF('My investments'!$C33="Worth today",'My investments'!$D33,0)</f>
        <v/>
      </c>
      <c r="AE33" s="36">
        <f>IF('My investments'!$H$11="",0,IF('My investments'!$F33='My investments'!$H$11,'My investments'!$E33,0))</f>
        <v/>
      </c>
      <c r="AF33" s="36">
        <f>IF('My investments'!$H$12="",0,IF('My investments'!$F33='My investments'!$H$12,'My investments'!$E33,0))</f>
        <v/>
      </c>
      <c r="AG33" s="36">
        <f>IF('My investments'!$H$13="",0,IF('My investments'!$F33='My investments'!$H$13,'My investments'!$E33,0))</f>
        <v/>
      </c>
      <c r="AH33" s="36">
        <f>IF('My investments'!$H$14="",0,IF('My investments'!$F33='My investments'!$H$14,'My investments'!$E33,0))</f>
        <v/>
      </c>
      <c r="AI33" s="36">
        <f>IF('My investments'!$H$15="",0,IF('My investments'!$F33='My investments'!$H$15,'My investments'!$E33,0))</f>
        <v/>
      </c>
      <c r="AK33" s="36">
        <f>IF('My investments'!$H$11="",0,IF('My investments'!$F33='My investments'!$H$11,$AA33,0))</f>
        <v/>
      </c>
      <c r="AL33" s="36">
        <f>IF('My investments'!$H$12="",0,IF('My investments'!$F33='My investments'!$H$12,$AA33,0))</f>
        <v/>
      </c>
      <c r="AM33" s="36">
        <f>IF('My investments'!$H$13="",0,IF('My investments'!$F33='My investments'!$H$13,$AA33,0))</f>
        <v/>
      </c>
      <c r="AN33" s="36">
        <f>IF('My investments'!$H$14="",0,IF('My investments'!$F33='My investments'!$H$14,$AA33,0))</f>
        <v/>
      </c>
      <c r="AO33" s="36">
        <f>IF('My investments'!$H$15="",0,IF('My investments'!$F33='My investments'!$H$15,$AA33,0))</f>
        <v/>
      </c>
    </row>
    <row r="34" ht="15" customHeight="1" s="30">
      <c r="A34" s="36">
        <f>IF('My investments'!$C34="Worth today",1,0)</f>
        <v/>
      </c>
      <c r="B34" s="36">
        <f>IF('My investments'!$C34="Money in",1,0)</f>
        <v/>
      </c>
      <c r="AA34" s="36">
        <f>IF('My investments'!$C34="Money in",'My investments'!$D34,0)</f>
        <v/>
      </c>
      <c r="AB34" s="36">
        <f>IF('My investments'!$C34="Money out",'My investments'!$D34,0)</f>
        <v/>
      </c>
      <c r="AC34" s="36">
        <f>IF('My investments'!$C34="Worth today",'My investments'!$D34,0)</f>
        <v/>
      </c>
      <c r="AE34" s="36">
        <f>IF('My investments'!$H$11="",0,IF('My investments'!$F34='My investments'!$H$11,'My investments'!$E34,0))</f>
        <v/>
      </c>
      <c r="AF34" s="36">
        <f>IF('My investments'!$H$12="",0,IF('My investments'!$F34='My investments'!$H$12,'My investments'!$E34,0))</f>
        <v/>
      </c>
      <c r="AG34" s="36">
        <f>IF('My investments'!$H$13="",0,IF('My investments'!$F34='My investments'!$H$13,'My investments'!$E34,0))</f>
        <v/>
      </c>
      <c r="AH34" s="36">
        <f>IF('My investments'!$H$14="",0,IF('My investments'!$F34='My investments'!$H$14,'My investments'!$E34,0))</f>
        <v/>
      </c>
      <c r="AI34" s="36">
        <f>IF('My investments'!$H$15="",0,IF('My investments'!$F34='My investments'!$H$15,'My investments'!$E34,0))</f>
        <v/>
      </c>
      <c r="AK34" s="36">
        <f>IF('My investments'!$H$11="",0,IF('My investments'!$F34='My investments'!$H$11,$AA34,0))</f>
        <v/>
      </c>
      <c r="AL34" s="36">
        <f>IF('My investments'!$H$12="",0,IF('My investments'!$F34='My investments'!$H$12,$AA34,0))</f>
        <v/>
      </c>
      <c r="AM34" s="36">
        <f>IF('My investments'!$H$13="",0,IF('My investments'!$F34='My investments'!$H$13,$AA34,0))</f>
        <v/>
      </c>
      <c r="AN34" s="36">
        <f>IF('My investments'!$H$14="",0,IF('My investments'!$F34='My investments'!$H$14,$AA34,0))</f>
        <v/>
      </c>
      <c r="AO34" s="36">
        <f>IF('My investments'!$H$15="",0,IF('My investments'!$F34='My investments'!$H$15,$AA34,0))</f>
        <v/>
      </c>
    </row>
    <row r="35" ht="15" customHeight="1" s="30">
      <c r="A35" s="36">
        <f>IF('My investments'!$C35="Worth today",1,0)</f>
        <v/>
      </c>
      <c r="B35" s="36">
        <f>IF('My investments'!$C35="Money in",1,0)</f>
        <v/>
      </c>
      <c r="AA35" s="36">
        <f>IF('My investments'!$C35="Money in",'My investments'!$D35,0)</f>
        <v/>
      </c>
      <c r="AB35" s="36">
        <f>IF('My investments'!$C35="Money out",'My investments'!$D35,0)</f>
        <v/>
      </c>
      <c r="AC35" s="36">
        <f>IF('My investments'!$C35="Worth today",'My investments'!$D35,0)</f>
        <v/>
      </c>
      <c r="AE35" s="36">
        <f>IF('My investments'!$H$11="",0,IF('My investments'!$F35='My investments'!$H$11,'My investments'!$E35,0))</f>
        <v/>
      </c>
      <c r="AF35" s="36">
        <f>IF('My investments'!$H$12="",0,IF('My investments'!$F35='My investments'!$H$12,'My investments'!$E35,0))</f>
        <v/>
      </c>
      <c r="AG35" s="36">
        <f>IF('My investments'!$H$13="",0,IF('My investments'!$F35='My investments'!$H$13,'My investments'!$E35,0))</f>
        <v/>
      </c>
      <c r="AH35" s="36">
        <f>IF('My investments'!$H$14="",0,IF('My investments'!$F35='My investments'!$H$14,'My investments'!$E35,0))</f>
        <v/>
      </c>
      <c r="AI35" s="36">
        <f>IF('My investments'!$H$15="",0,IF('My investments'!$F35='My investments'!$H$15,'My investments'!$E35,0))</f>
        <v/>
      </c>
      <c r="AK35" s="36">
        <f>IF('My investments'!$H$11="",0,IF('My investments'!$F35='My investments'!$H$11,$AA35,0))</f>
        <v/>
      </c>
      <c r="AL35" s="36">
        <f>IF('My investments'!$H$12="",0,IF('My investments'!$F35='My investments'!$H$12,$AA35,0))</f>
        <v/>
      </c>
      <c r="AM35" s="36">
        <f>IF('My investments'!$H$13="",0,IF('My investments'!$F35='My investments'!$H$13,$AA35,0))</f>
        <v/>
      </c>
      <c r="AN35" s="36">
        <f>IF('My investments'!$H$14="",0,IF('My investments'!$F35='My investments'!$H$14,$AA35,0))</f>
        <v/>
      </c>
      <c r="AO35" s="36">
        <f>IF('My investments'!$H$15="",0,IF('My investments'!$F35='My investments'!$H$15,$AA35,0))</f>
        <v/>
      </c>
    </row>
    <row r="36" ht="15" customHeight="1" s="30">
      <c r="A36" s="36">
        <f>IF('My investments'!$C36="Worth today",1,0)</f>
        <v/>
      </c>
      <c r="B36" s="36">
        <f>IF('My investments'!$C36="Money in",1,0)</f>
        <v/>
      </c>
      <c r="AA36" s="36">
        <f>IF('My investments'!$C36="Money in",'My investments'!$D36,0)</f>
        <v/>
      </c>
      <c r="AB36" s="36">
        <f>IF('My investments'!$C36="Money out",'My investments'!$D36,0)</f>
        <v/>
      </c>
      <c r="AC36" s="36">
        <f>IF('My investments'!$C36="Worth today",'My investments'!$D36,0)</f>
        <v/>
      </c>
      <c r="AE36" s="36">
        <f>IF('My investments'!$H$11="",0,IF('My investments'!$F36='My investments'!$H$11,'My investments'!$E36,0))</f>
        <v/>
      </c>
      <c r="AF36" s="36">
        <f>IF('My investments'!$H$12="",0,IF('My investments'!$F36='My investments'!$H$12,'My investments'!$E36,0))</f>
        <v/>
      </c>
      <c r="AG36" s="36">
        <f>IF('My investments'!$H$13="",0,IF('My investments'!$F36='My investments'!$H$13,'My investments'!$E36,0))</f>
        <v/>
      </c>
      <c r="AH36" s="36">
        <f>IF('My investments'!$H$14="",0,IF('My investments'!$F36='My investments'!$H$14,'My investments'!$E36,0))</f>
        <v/>
      </c>
      <c r="AI36" s="36">
        <f>IF('My investments'!$H$15="",0,IF('My investments'!$F36='My investments'!$H$15,'My investments'!$E36,0))</f>
        <v/>
      </c>
      <c r="AK36" s="36">
        <f>IF('My investments'!$H$11="",0,IF('My investments'!$F36='My investments'!$H$11,$AA36,0))</f>
        <v/>
      </c>
      <c r="AL36" s="36">
        <f>IF('My investments'!$H$12="",0,IF('My investments'!$F36='My investments'!$H$12,$AA36,0))</f>
        <v/>
      </c>
      <c r="AM36" s="36">
        <f>IF('My investments'!$H$13="",0,IF('My investments'!$F36='My investments'!$H$13,$AA36,0))</f>
        <v/>
      </c>
      <c r="AN36" s="36">
        <f>IF('My investments'!$H$14="",0,IF('My investments'!$F36='My investments'!$H$14,$AA36,0))</f>
        <v/>
      </c>
      <c r="AO36" s="36">
        <f>IF('My investments'!$H$15="",0,IF('My investments'!$F36='My investments'!$H$15,$AA36,0))</f>
        <v/>
      </c>
    </row>
    <row r="37" ht="15" customHeight="1" s="30">
      <c r="A37" s="36">
        <f>IF('My investments'!$C37="Worth today",1,0)</f>
        <v/>
      </c>
      <c r="B37" s="36">
        <f>IF('My investments'!$C37="Money in",1,0)</f>
        <v/>
      </c>
      <c r="AA37" s="36">
        <f>IF('My investments'!$C37="Money in",'My investments'!$D37,0)</f>
        <v/>
      </c>
      <c r="AB37" s="36">
        <f>IF('My investments'!$C37="Money out",'My investments'!$D37,0)</f>
        <v/>
      </c>
      <c r="AC37" s="36">
        <f>IF('My investments'!$C37="Worth today",'My investments'!$D37,0)</f>
        <v/>
      </c>
      <c r="AE37" s="36">
        <f>IF('My investments'!$H$11="",0,IF('My investments'!$F37='My investments'!$H$11,'My investments'!$E37,0))</f>
        <v/>
      </c>
      <c r="AF37" s="36">
        <f>IF('My investments'!$H$12="",0,IF('My investments'!$F37='My investments'!$H$12,'My investments'!$E37,0))</f>
        <v/>
      </c>
      <c r="AG37" s="36">
        <f>IF('My investments'!$H$13="",0,IF('My investments'!$F37='My investments'!$H$13,'My investments'!$E37,0))</f>
        <v/>
      </c>
      <c r="AH37" s="36">
        <f>IF('My investments'!$H$14="",0,IF('My investments'!$F37='My investments'!$H$14,'My investments'!$E37,0))</f>
        <v/>
      </c>
      <c r="AI37" s="36">
        <f>IF('My investments'!$H$15="",0,IF('My investments'!$F37='My investments'!$H$15,'My investments'!$E37,0))</f>
        <v/>
      </c>
      <c r="AK37" s="36">
        <f>IF('My investments'!$H$11="",0,IF('My investments'!$F37='My investments'!$H$11,$AA37,0))</f>
        <v/>
      </c>
      <c r="AL37" s="36">
        <f>IF('My investments'!$H$12="",0,IF('My investments'!$F37='My investments'!$H$12,$AA37,0))</f>
        <v/>
      </c>
      <c r="AM37" s="36">
        <f>IF('My investments'!$H$13="",0,IF('My investments'!$F37='My investments'!$H$13,$AA37,0))</f>
        <v/>
      </c>
      <c r="AN37" s="36">
        <f>IF('My investments'!$H$14="",0,IF('My investments'!$F37='My investments'!$H$14,$AA37,0))</f>
        <v/>
      </c>
      <c r="AO37" s="36">
        <f>IF('My investments'!$H$15="",0,IF('My investments'!$F37='My investments'!$H$15,$AA37,0))</f>
        <v/>
      </c>
    </row>
    <row r="38" ht="15" customHeight="1" s="30">
      <c r="A38" s="36">
        <f>IF('My investments'!$C38="Worth today",1,0)</f>
        <v/>
      </c>
      <c r="B38" s="36">
        <f>IF('My investments'!$C38="Money in",1,0)</f>
        <v/>
      </c>
      <c r="AA38" s="36">
        <f>IF('My investments'!$C38="Money in",'My investments'!$D38,0)</f>
        <v/>
      </c>
      <c r="AB38" s="36">
        <f>IF('My investments'!$C38="Money out",'My investments'!$D38,0)</f>
        <v/>
      </c>
      <c r="AC38" s="36">
        <f>IF('My investments'!$C38="Worth today",'My investments'!$D38,0)</f>
        <v/>
      </c>
      <c r="AE38" s="36">
        <f>IF('My investments'!$H$11="",0,IF('My investments'!$F38='My investments'!$H$11,'My investments'!$E38,0))</f>
        <v/>
      </c>
      <c r="AF38" s="36">
        <f>IF('My investments'!$H$12="",0,IF('My investments'!$F38='My investments'!$H$12,'My investments'!$E38,0))</f>
        <v/>
      </c>
      <c r="AG38" s="36">
        <f>IF('My investments'!$H$13="",0,IF('My investments'!$F38='My investments'!$H$13,'My investments'!$E38,0))</f>
        <v/>
      </c>
      <c r="AH38" s="36">
        <f>IF('My investments'!$H$14="",0,IF('My investments'!$F38='My investments'!$H$14,'My investments'!$E38,0))</f>
        <v/>
      </c>
      <c r="AI38" s="36">
        <f>IF('My investments'!$H$15="",0,IF('My investments'!$F38='My investments'!$H$15,'My investments'!$E38,0))</f>
        <v/>
      </c>
      <c r="AK38" s="36">
        <f>IF('My investments'!$H$11="",0,IF('My investments'!$F38='My investments'!$H$11,$AA38,0))</f>
        <v/>
      </c>
      <c r="AL38" s="36">
        <f>IF('My investments'!$H$12="",0,IF('My investments'!$F38='My investments'!$H$12,$AA38,0))</f>
        <v/>
      </c>
      <c r="AM38" s="36">
        <f>IF('My investments'!$H$13="",0,IF('My investments'!$F38='My investments'!$H$13,$AA38,0))</f>
        <v/>
      </c>
      <c r="AN38" s="36">
        <f>IF('My investments'!$H$14="",0,IF('My investments'!$F38='My investments'!$H$14,$AA38,0))</f>
        <v/>
      </c>
      <c r="AO38" s="36">
        <f>IF('My investments'!$H$15="",0,IF('My investments'!$F38='My investments'!$H$15,$AA38,0))</f>
        <v/>
      </c>
    </row>
    <row r="39" ht="15" customHeight="1" s="30">
      <c r="A39" s="36">
        <f>IF('My investments'!$C39="Worth today",1,0)</f>
        <v/>
      </c>
      <c r="B39" s="36">
        <f>IF('My investments'!$C39="Money in",1,0)</f>
        <v/>
      </c>
      <c r="AA39" s="36">
        <f>IF('My investments'!$C39="Money in",'My investments'!$D39,0)</f>
        <v/>
      </c>
      <c r="AB39" s="36">
        <f>IF('My investments'!$C39="Money out",'My investments'!$D39,0)</f>
        <v/>
      </c>
      <c r="AC39" s="36">
        <f>IF('My investments'!$C39="Worth today",'My investments'!$D39,0)</f>
        <v/>
      </c>
      <c r="AE39" s="36">
        <f>IF('My investments'!$H$11="",0,IF('My investments'!$F39='My investments'!$H$11,'My investments'!$E39,0))</f>
        <v/>
      </c>
      <c r="AF39" s="36">
        <f>IF('My investments'!$H$12="",0,IF('My investments'!$F39='My investments'!$H$12,'My investments'!$E39,0))</f>
        <v/>
      </c>
      <c r="AG39" s="36">
        <f>IF('My investments'!$H$13="",0,IF('My investments'!$F39='My investments'!$H$13,'My investments'!$E39,0))</f>
        <v/>
      </c>
      <c r="AH39" s="36">
        <f>IF('My investments'!$H$14="",0,IF('My investments'!$F39='My investments'!$H$14,'My investments'!$E39,0))</f>
        <v/>
      </c>
      <c r="AI39" s="36">
        <f>IF('My investments'!$H$15="",0,IF('My investments'!$F39='My investments'!$H$15,'My investments'!$E39,0))</f>
        <v/>
      </c>
      <c r="AK39" s="36">
        <f>IF('My investments'!$H$11="",0,IF('My investments'!$F39='My investments'!$H$11,$AA39,0))</f>
        <v/>
      </c>
      <c r="AL39" s="36">
        <f>IF('My investments'!$H$12="",0,IF('My investments'!$F39='My investments'!$H$12,$AA39,0))</f>
        <v/>
      </c>
      <c r="AM39" s="36">
        <f>IF('My investments'!$H$13="",0,IF('My investments'!$F39='My investments'!$H$13,$AA39,0))</f>
        <v/>
      </c>
      <c r="AN39" s="36">
        <f>IF('My investments'!$H$14="",0,IF('My investments'!$F39='My investments'!$H$14,$AA39,0))</f>
        <v/>
      </c>
      <c r="AO39" s="36">
        <f>IF('My investments'!$H$15="",0,IF('My investments'!$F39='My investments'!$H$15,$AA39,0))</f>
        <v/>
      </c>
    </row>
    <row r="40" ht="15" customHeight="1" s="30">
      <c r="A40" s="36">
        <f>IF('My investments'!$C40="Worth today",1,0)</f>
        <v/>
      </c>
      <c r="B40" s="36">
        <f>IF('My investments'!$C40="Money in",1,0)</f>
        <v/>
      </c>
      <c r="AA40" s="36">
        <f>IF('My investments'!$C40="Money in",'My investments'!$D40,0)</f>
        <v/>
      </c>
      <c r="AB40" s="36">
        <f>IF('My investments'!$C40="Money out",'My investments'!$D40,0)</f>
        <v/>
      </c>
      <c r="AC40" s="36">
        <f>IF('My investments'!$C40="Worth today",'My investments'!$D40,0)</f>
        <v/>
      </c>
      <c r="AE40" s="36">
        <f>IF('My investments'!$H$11="",0,IF('My investments'!$F40='My investments'!$H$11,'My investments'!$E40,0))</f>
        <v/>
      </c>
      <c r="AF40" s="36">
        <f>IF('My investments'!$H$12="",0,IF('My investments'!$F40='My investments'!$H$12,'My investments'!$E40,0))</f>
        <v/>
      </c>
      <c r="AG40" s="36">
        <f>IF('My investments'!$H$13="",0,IF('My investments'!$F40='My investments'!$H$13,'My investments'!$E40,0))</f>
        <v/>
      </c>
      <c r="AH40" s="36">
        <f>IF('My investments'!$H$14="",0,IF('My investments'!$F40='My investments'!$H$14,'My investments'!$E40,0))</f>
        <v/>
      </c>
      <c r="AI40" s="36">
        <f>IF('My investments'!$H$15="",0,IF('My investments'!$F40='My investments'!$H$15,'My investments'!$E40,0))</f>
        <v/>
      </c>
      <c r="AK40" s="36">
        <f>IF('My investments'!$H$11="",0,IF('My investments'!$F40='My investments'!$H$11,$AA40,0))</f>
        <v/>
      </c>
      <c r="AL40" s="36">
        <f>IF('My investments'!$H$12="",0,IF('My investments'!$F40='My investments'!$H$12,$AA40,0))</f>
        <v/>
      </c>
      <c r="AM40" s="36">
        <f>IF('My investments'!$H$13="",0,IF('My investments'!$F40='My investments'!$H$13,$AA40,0))</f>
        <v/>
      </c>
      <c r="AN40" s="36">
        <f>IF('My investments'!$H$14="",0,IF('My investments'!$F40='My investments'!$H$14,$AA40,0))</f>
        <v/>
      </c>
      <c r="AO40" s="36">
        <f>IF('My investments'!$H$15="",0,IF('My investments'!$F40='My investments'!$H$15,$AA40,0))</f>
        <v/>
      </c>
    </row>
    <row r="41" ht="15" customHeight="1" s="30">
      <c r="A41" s="36">
        <f>IF('My investments'!$C41="Worth today",1,0)</f>
        <v/>
      </c>
      <c r="B41" s="36">
        <f>IF('My investments'!$C41="Money in",1,0)</f>
        <v/>
      </c>
      <c r="AA41" s="36">
        <f>IF('My investments'!$C41="Money in",'My investments'!$D41,0)</f>
        <v/>
      </c>
      <c r="AB41" s="36">
        <f>IF('My investments'!$C41="Money out",'My investments'!$D41,0)</f>
        <v/>
      </c>
      <c r="AC41" s="36">
        <f>IF('My investments'!$C41="Worth today",'My investments'!$D41,0)</f>
        <v/>
      </c>
      <c r="AE41" s="36">
        <f>IF('My investments'!$H$11="",0,IF('My investments'!$F41='My investments'!$H$11,'My investments'!$E41,0))</f>
        <v/>
      </c>
      <c r="AF41" s="36">
        <f>IF('My investments'!$H$12="",0,IF('My investments'!$F41='My investments'!$H$12,'My investments'!$E41,0))</f>
        <v/>
      </c>
      <c r="AG41" s="36">
        <f>IF('My investments'!$H$13="",0,IF('My investments'!$F41='My investments'!$H$13,'My investments'!$E41,0))</f>
        <v/>
      </c>
      <c r="AH41" s="36">
        <f>IF('My investments'!$H$14="",0,IF('My investments'!$F41='My investments'!$H$14,'My investments'!$E41,0))</f>
        <v/>
      </c>
      <c r="AI41" s="36">
        <f>IF('My investments'!$H$15="",0,IF('My investments'!$F41='My investments'!$H$15,'My investments'!$E41,0))</f>
        <v/>
      </c>
      <c r="AK41" s="36">
        <f>IF('My investments'!$H$11="",0,IF('My investments'!$F41='My investments'!$H$11,$AA41,0))</f>
        <v/>
      </c>
      <c r="AL41" s="36">
        <f>IF('My investments'!$H$12="",0,IF('My investments'!$F41='My investments'!$H$12,$AA41,0))</f>
        <v/>
      </c>
      <c r="AM41" s="36">
        <f>IF('My investments'!$H$13="",0,IF('My investments'!$F41='My investments'!$H$13,$AA41,0))</f>
        <v/>
      </c>
      <c r="AN41" s="36">
        <f>IF('My investments'!$H$14="",0,IF('My investments'!$F41='My investments'!$H$14,$AA41,0))</f>
        <v/>
      </c>
      <c r="AO41" s="36">
        <f>IF('My investments'!$H$15="",0,IF('My investments'!$F41='My investments'!$H$15,$AA41,0))</f>
        <v/>
      </c>
    </row>
    <row r="42" ht="15" customHeight="1" s="30">
      <c r="A42" s="36">
        <f>IF('My investments'!$C42="Worth today",1,0)</f>
        <v/>
      </c>
      <c r="B42" s="36">
        <f>IF('My investments'!$C42="Money in",1,0)</f>
        <v/>
      </c>
      <c r="AA42" s="36">
        <f>IF('My investments'!$C42="Money in",'My investments'!$D42,0)</f>
        <v/>
      </c>
      <c r="AB42" s="36">
        <f>IF('My investments'!$C42="Money out",'My investments'!$D42,0)</f>
        <v/>
      </c>
      <c r="AC42" s="36">
        <f>IF('My investments'!$C42="Worth today",'My investments'!$D42,0)</f>
        <v/>
      </c>
      <c r="AE42" s="36">
        <f>IF('My investments'!$H$11="",0,IF('My investments'!$F42='My investments'!$H$11,'My investments'!$E42,0))</f>
        <v/>
      </c>
      <c r="AF42" s="36">
        <f>IF('My investments'!$H$12="",0,IF('My investments'!$F42='My investments'!$H$12,'My investments'!$E42,0))</f>
        <v/>
      </c>
      <c r="AG42" s="36">
        <f>IF('My investments'!$H$13="",0,IF('My investments'!$F42='My investments'!$H$13,'My investments'!$E42,0))</f>
        <v/>
      </c>
      <c r="AH42" s="36">
        <f>IF('My investments'!$H$14="",0,IF('My investments'!$F42='My investments'!$H$14,'My investments'!$E42,0))</f>
        <v/>
      </c>
      <c r="AI42" s="36">
        <f>IF('My investments'!$H$15="",0,IF('My investments'!$F42='My investments'!$H$15,'My investments'!$E42,0))</f>
        <v/>
      </c>
      <c r="AK42" s="36">
        <f>IF('My investments'!$H$11="",0,IF('My investments'!$F42='My investments'!$H$11,$AA42,0))</f>
        <v/>
      </c>
      <c r="AL42" s="36">
        <f>IF('My investments'!$H$12="",0,IF('My investments'!$F42='My investments'!$H$12,$AA42,0))</f>
        <v/>
      </c>
      <c r="AM42" s="36">
        <f>IF('My investments'!$H$13="",0,IF('My investments'!$F42='My investments'!$H$13,$AA42,0))</f>
        <v/>
      </c>
      <c r="AN42" s="36">
        <f>IF('My investments'!$H$14="",0,IF('My investments'!$F42='My investments'!$H$14,$AA42,0))</f>
        <v/>
      </c>
      <c r="AO42" s="36">
        <f>IF('My investments'!$H$15="",0,IF('My investments'!$F42='My investments'!$H$15,$AA42,0))</f>
        <v/>
      </c>
    </row>
    <row r="43" ht="15" customHeight="1" s="30">
      <c r="A43" s="36">
        <f>IF('My investments'!$C43="Worth today",1,0)</f>
        <v/>
      </c>
      <c r="B43" s="36">
        <f>IF('My investments'!$C43="Money in",1,0)</f>
        <v/>
      </c>
      <c r="AA43" s="36">
        <f>IF('My investments'!$C43="Money in",'My investments'!$D43,0)</f>
        <v/>
      </c>
      <c r="AB43" s="36">
        <f>IF('My investments'!$C43="Money out",'My investments'!$D43,0)</f>
        <v/>
      </c>
      <c r="AC43" s="36">
        <f>IF('My investments'!$C43="Worth today",'My investments'!$D43,0)</f>
        <v/>
      </c>
      <c r="AE43" s="36">
        <f>IF('My investments'!$H$11="",0,IF('My investments'!$F43='My investments'!$H$11,'My investments'!$E43,0))</f>
        <v/>
      </c>
      <c r="AF43" s="36">
        <f>IF('My investments'!$H$12="",0,IF('My investments'!$F43='My investments'!$H$12,'My investments'!$E43,0))</f>
        <v/>
      </c>
      <c r="AG43" s="36">
        <f>IF('My investments'!$H$13="",0,IF('My investments'!$F43='My investments'!$H$13,'My investments'!$E43,0))</f>
        <v/>
      </c>
      <c r="AH43" s="36">
        <f>IF('My investments'!$H$14="",0,IF('My investments'!$F43='My investments'!$H$14,'My investments'!$E43,0))</f>
        <v/>
      </c>
      <c r="AI43" s="36">
        <f>IF('My investments'!$H$15="",0,IF('My investments'!$F43='My investments'!$H$15,'My investments'!$E43,0))</f>
        <v/>
      </c>
      <c r="AK43" s="36">
        <f>IF('My investments'!$H$11="",0,IF('My investments'!$F43='My investments'!$H$11,$AA43,0))</f>
        <v/>
      </c>
      <c r="AL43" s="36">
        <f>IF('My investments'!$H$12="",0,IF('My investments'!$F43='My investments'!$H$12,$AA43,0))</f>
        <v/>
      </c>
      <c r="AM43" s="36">
        <f>IF('My investments'!$H$13="",0,IF('My investments'!$F43='My investments'!$H$13,$AA43,0))</f>
        <v/>
      </c>
      <c r="AN43" s="36">
        <f>IF('My investments'!$H$14="",0,IF('My investments'!$F43='My investments'!$H$14,$AA43,0))</f>
        <v/>
      </c>
      <c r="AO43" s="36">
        <f>IF('My investments'!$H$15="",0,IF('My investments'!$F43='My investments'!$H$15,$AA43,0))</f>
        <v/>
      </c>
    </row>
    <row r="44" ht="15" customHeight="1" s="30">
      <c r="A44" s="36">
        <f>IF('My investments'!$C44="Worth today",1,0)</f>
        <v/>
      </c>
      <c r="B44" s="36">
        <f>IF('My investments'!$C44="Money in",1,0)</f>
        <v/>
      </c>
      <c r="AA44" s="36">
        <f>IF('My investments'!$C44="Money in",'My investments'!$D44,0)</f>
        <v/>
      </c>
      <c r="AB44" s="36">
        <f>IF('My investments'!$C44="Money out",'My investments'!$D44,0)</f>
        <v/>
      </c>
      <c r="AC44" s="36">
        <f>IF('My investments'!$C44="Worth today",'My investments'!$D44,0)</f>
        <v/>
      </c>
      <c r="AE44" s="36">
        <f>IF('My investments'!$H$11="",0,IF('My investments'!$F44='My investments'!$H$11,'My investments'!$E44,0))</f>
        <v/>
      </c>
      <c r="AF44" s="36">
        <f>IF('My investments'!$H$12="",0,IF('My investments'!$F44='My investments'!$H$12,'My investments'!$E44,0))</f>
        <v/>
      </c>
      <c r="AG44" s="36">
        <f>IF('My investments'!$H$13="",0,IF('My investments'!$F44='My investments'!$H$13,'My investments'!$E44,0))</f>
        <v/>
      </c>
      <c r="AH44" s="36">
        <f>IF('My investments'!$H$14="",0,IF('My investments'!$F44='My investments'!$H$14,'My investments'!$E44,0))</f>
        <v/>
      </c>
      <c r="AI44" s="36">
        <f>IF('My investments'!$H$15="",0,IF('My investments'!$F44='My investments'!$H$15,'My investments'!$E44,0))</f>
        <v/>
      </c>
      <c r="AK44" s="36">
        <f>IF('My investments'!$H$11="",0,IF('My investments'!$F44='My investments'!$H$11,$AA44,0))</f>
        <v/>
      </c>
      <c r="AL44" s="36">
        <f>IF('My investments'!$H$12="",0,IF('My investments'!$F44='My investments'!$H$12,$AA44,0))</f>
        <v/>
      </c>
      <c r="AM44" s="36">
        <f>IF('My investments'!$H$13="",0,IF('My investments'!$F44='My investments'!$H$13,$AA44,0))</f>
        <v/>
      </c>
      <c r="AN44" s="36">
        <f>IF('My investments'!$H$14="",0,IF('My investments'!$F44='My investments'!$H$14,$AA44,0))</f>
        <v/>
      </c>
      <c r="AO44" s="36">
        <f>IF('My investments'!$H$15="",0,IF('My investments'!$F44='My investments'!$H$15,$AA44,0))</f>
        <v/>
      </c>
    </row>
    <row r="45" ht="15" customHeight="1" s="30">
      <c r="A45" s="36">
        <f>IF('My investments'!$C45="Worth today",1,0)</f>
        <v/>
      </c>
      <c r="B45" s="36">
        <f>IF('My investments'!$C45="Money in",1,0)</f>
        <v/>
      </c>
      <c r="AA45" s="36">
        <f>IF('My investments'!$C45="Money in",'My investments'!$D45,0)</f>
        <v/>
      </c>
      <c r="AB45" s="36">
        <f>IF('My investments'!$C45="Money out",'My investments'!$D45,0)</f>
        <v/>
      </c>
      <c r="AC45" s="36">
        <f>IF('My investments'!$C45="Worth today",'My investments'!$D45,0)</f>
        <v/>
      </c>
      <c r="AE45" s="36">
        <f>IF('My investments'!$H$11="",0,IF('My investments'!$F45='My investments'!$H$11,'My investments'!$E45,0))</f>
        <v/>
      </c>
      <c r="AF45" s="36">
        <f>IF('My investments'!$H$12="",0,IF('My investments'!$F45='My investments'!$H$12,'My investments'!$E45,0))</f>
        <v/>
      </c>
      <c r="AG45" s="36">
        <f>IF('My investments'!$H$13="",0,IF('My investments'!$F45='My investments'!$H$13,'My investments'!$E45,0))</f>
        <v/>
      </c>
      <c r="AH45" s="36">
        <f>IF('My investments'!$H$14="",0,IF('My investments'!$F45='My investments'!$H$14,'My investments'!$E45,0))</f>
        <v/>
      </c>
      <c r="AI45" s="36">
        <f>IF('My investments'!$H$15="",0,IF('My investments'!$F45='My investments'!$H$15,'My investments'!$E45,0))</f>
        <v/>
      </c>
      <c r="AK45" s="36">
        <f>IF('My investments'!$H$11="",0,IF('My investments'!$F45='My investments'!$H$11,$AA45,0))</f>
        <v/>
      </c>
      <c r="AL45" s="36">
        <f>IF('My investments'!$H$12="",0,IF('My investments'!$F45='My investments'!$H$12,$AA45,0))</f>
        <v/>
      </c>
      <c r="AM45" s="36">
        <f>IF('My investments'!$H$13="",0,IF('My investments'!$F45='My investments'!$H$13,$AA45,0))</f>
        <v/>
      </c>
      <c r="AN45" s="36">
        <f>IF('My investments'!$H$14="",0,IF('My investments'!$F45='My investments'!$H$14,$AA45,0))</f>
        <v/>
      </c>
      <c r="AO45" s="36">
        <f>IF('My investments'!$H$15="",0,IF('My investments'!$F45='My investments'!$H$15,$AA45,0))</f>
        <v/>
      </c>
    </row>
    <row r="46" ht="15" customHeight="1" s="30">
      <c r="A46" s="36">
        <f>IF('My investments'!$C46="Worth today",1,0)</f>
        <v/>
      </c>
      <c r="B46" s="36">
        <f>IF('My investments'!$C46="Money in",1,0)</f>
        <v/>
      </c>
      <c r="AA46" s="36">
        <f>IF('My investments'!$C46="Money in",'My investments'!$D46,0)</f>
        <v/>
      </c>
      <c r="AB46" s="36">
        <f>IF('My investments'!$C46="Money out",'My investments'!$D46,0)</f>
        <v/>
      </c>
      <c r="AC46" s="36">
        <f>IF('My investments'!$C46="Worth today",'My investments'!$D46,0)</f>
        <v/>
      </c>
      <c r="AE46" s="36">
        <f>IF('My investments'!$H$11="",0,IF('My investments'!$F46='My investments'!$H$11,'My investments'!$E46,0))</f>
        <v/>
      </c>
      <c r="AF46" s="36">
        <f>IF('My investments'!$H$12="",0,IF('My investments'!$F46='My investments'!$H$12,'My investments'!$E46,0))</f>
        <v/>
      </c>
      <c r="AG46" s="36">
        <f>IF('My investments'!$H$13="",0,IF('My investments'!$F46='My investments'!$H$13,'My investments'!$E46,0))</f>
        <v/>
      </c>
      <c r="AH46" s="36">
        <f>IF('My investments'!$H$14="",0,IF('My investments'!$F46='My investments'!$H$14,'My investments'!$E46,0))</f>
        <v/>
      </c>
      <c r="AI46" s="36">
        <f>IF('My investments'!$H$15="",0,IF('My investments'!$F46='My investments'!$H$15,'My investments'!$E46,0))</f>
        <v/>
      </c>
      <c r="AK46" s="36">
        <f>IF('My investments'!$H$11="",0,IF('My investments'!$F46='My investments'!$H$11,$AA46,0))</f>
        <v/>
      </c>
      <c r="AL46" s="36">
        <f>IF('My investments'!$H$12="",0,IF('My investments'!$F46='My investments'!$H$12,$AA46,0))</f>
        <v/>
      </c>
      <c r="AM46" s="36">
        <f>IF('My investments'!$H$13="",0,IF('My investments'!$F46='My investments'!$H$13,$AA46,0))</f>
        <v/>
      </c>
      <c r="AN46" s="36">
        <f>IF('My investments'!$H$14="",0,IF('My investments'!$F46='My investments'!$H$14,$AA46,0))</f>
        <v/>
      </c>
      <c r="AO46" s="36">
        <f>IF('My investments'!$H$15="",0,IF('My investments'!$F46='My investments'!$H$15,$AA46,0))</f>
        <v/>
      </c>
    </row>
    <row r="47" ht="15" customHeight="1" s="30">
      <c r="A47" s="36">
        <f>IF('My investments'!$C47="Worth today",1,0)</f>
        <v/>
      </c>
      <c r="B47" s="36">
        <f>IF('My investments'!$C47="Money in",1,0)</f>
        <v/>
      </c>
      <c r="AA47" s="36">
        <f>IF('My investments'!$C47="Money in",'My investments'!$D47,0)</f>
        <v/>
      </c>
      <c r="AB47" s="36">
        <f>IF('My investments'!$C47="Money out",'My investments'!$D47,0)</f>
        <v/>
      </c>
      <c r="AC47" s="36">
        <f>IF('My investments'!$C47="Worth today",'My investments'!$D47,0)</f>
        <v/>
      </c>
      <c r="AE47" s="36">
        <f>IF('My investments'!$H$11="",0,IF('My investments'!$F47='My investments'!$H$11,'My investments'!$E47,0))</f>
        <v/>
      </c>
      <c r="AF47" s="36">
        <f>IF('My investments'!$H$12="",0,IF('My investments'!$F47='My investments'!$H$12,'My investments'!$E47,0))</f>
        <v/>
      </c>
      <c r="AG47" s="36">
        <f>IF('My investments'!$H$13="",0,IF('My investments'!$F47='My investments'!$H$13,'My investments'!$E47,0))</f>
        <v/>
      </c>
      <c r="AH47" s="36">
        <f>IF('My investments'!$H$14="",0,IF('My investments'!$F47='My investments'!$H$14,'My investments'!$E47,0))</f>
        <v/>
      </c>
      <c r="AI47" s="36">
        <f>IF('My investments'!$H$15="",0,IF('My investments'!$F47='My investments'!$H$15,'My investments'!$E47,0))</f>
        <v/>
      </c>
      <c r="AK47" s="36">
        <f>IF('My investments'!$H$11="",0,IF('My investments'!$F47='My investments'!$H$11,$AA47,0))</f>
        <v/>
      </c>
      <c r="AL47" s="36">
        <f>IF('My investments'!$H$12="",0,IF('My investments'!$F47='My investments'!$H$12,$AA47,0))</f>
        <v/>
      </c>
      <c r="AM47" s="36">
        <f>IF('My investments'!$H$13="",0,IF('My investments'!$F47='My investments'!$H$13,$AA47,0))</f>
        <v/>
      </c>
      <c r="AN47" s="36">
        <f>IF('My investments'!$H$14="",0,IF('My investments'!$F47='My investments'!$H$14,$AA47,0))</f>
        <v/>
      </c>
      <c r="AO47" s="36">
        <f>IF('My investments'!$H$15="",0,IF('My investments'!$F47='My investments'!$H$15,$AA47,0))</f>
        <v/>
      </c>
    </row>
    <row r="48" ht="15" customHeight="1" s="30">
      <c r="A48" s="36">
        <f>IF('My investments'!$C48="Worth today",1,0)</f>
        <v/>
      </c>
      <c r="B48" s="36">
        <f>IF('My investments'!$C48="Money in",1,0)</f>
        <v/>
      </c>
      <c r="AA48" s="36">
        <f>IF('My investments'!$C48="Money in",'My investments'!$D48,0)</f>
        <v/>
      </c>
      <c r="AB48" s="36">
        <f>IF('My investments'!$C48="Money out",'My investments'!$D48,0)</f>
        <v/>
      </c>
      <c r="AC48" s="36">
        <f>IF('My investments'!$C48="Worth today",'My investments'!$D48,0)</f>
        <v/>
      </c>
      <c r="AE48" s="36">
        <f>IF('My investments'!$H$11="",0,IF('My investments'!$F48='My investments'!$H$11,'My investments'!$E48,0))</f>
        <v/>
      </c>
      <c r="AF48" s="36">
        <f>IF('My investments'!$H$12="",0,IF('My investments'!$F48='My investments'!$H$12,'My investments'!$E48,0))</f>
        <v/>
      </c>
      <c r="AG48" s="36">
        <f>IF('My investments'!$H$13="",0,IF('My investments'!$F48='My investments'!$H$13,'My investments'!$E48,0))</f>
        <v/>
      </c>
      <c r="AH48" s="36">
        <f>IF('My investments'!$H$14="",0,IF('My investments'!$F48='My investments'!$H$14,'My investments'!$E48,0))</f>
        <v/>
      </c>
      <c r="AI48" s="36">
        <f>IF('My investments'!$H$15="",0,IF('My investments'!$F48='My investments'!$H$15,'My investments'!$E48,0))</f>
        <v/>
      </c>
      <c r="AK48" s="36">
        <f>IF('My investments'!$H$11="",0,IF('My investments'!$F48='My investments'!$H$11,$AA48,0))</f>
        <v/>
      </c>
      <c r="AL48" s="36">
        <f>IF('My investments'!$H$12="",0,IF('My investments'!$F48='My investments'!$H$12,$AA48,0))</f>
        <v/>
      </c>
      <c r="AM48" s="36">
        <f>IF('My investments'!$H$13="",0,IF('My investments'!$F48='My investments'!$H$13,$AA48,0))</f>
        <v/>
      </c>
      <c r="AN48" s="36">
        <f>IF('My investments'!$H$14="",0,IF('My investments'!$F48='My investments'!$H$14,$AA48,0))</f>
        <v/>
      </c>
      <c r="AO48" s="36">
        <f>IF('My investments'!$H$15="",0,IF('My investments'!$F48='My investments'!$H$15,$AA48,0))</f>
        <v/>
      </c>
    </row>
    <row r="49" ht="15" customHeight="1" s="30">
      <c r="A49" s="36">
        <f>IF('My investments'!$C49="Worth today",1,0)</f>
        <v/>
      </c>
      <c r="B49" s="36">
        <f>IF('My investments'!$C49="Money in",1,0)</f>
        <v/>
      </c>
      <c r="AA49" s="36">
        <f>IF('My investments'!$C49="Money in",'My investments'!$D49,0)</f>
        <v/>
      </c>
      <c r="AB49" s="36">
        <f>IF('My investments'!$C49="Money out",'My investments'!$D49,0)</f>
        <v/>
      </c>
      <c r="AC49" s="36">
        <f>IF('My investments'!$C49="Worth today",'My investments'!$D49,0)</f>
        <v/>
      </c>
      <c r="AE49" s="36">
        <f>IF('My investments'!$H$11="",0,IF('My investments'!$F49='My investments'!$H$11,'My investments'!$E49,0))</f>
        <v/>
      </c>
      <c r="AF49" s="36">
        <f>IF('My investments'!$H$12="",0,IF('My investments'!$F49='My investments'!$H$12,'My investments'!$E49,0))</f>
        <v/>
      </c>
      <c r="AG49" s="36">
        <f>IF('My investments'!$H$13="",0,IF('My investments'!$F49='My investments'!$H$13,'My investments'!$E49,0))</f>
        <v/>
      </c>
      <c r="AH49" s="36">
        <f>IF('My investments'!$H$14="",0,IF('My investments'!$F49='My investments'!$H$14,'My investments'!$E49,0))</f>
        <v/>
      </c>
      <c r="AI49" s="36">
        <f>IF('My investments'!$H$15="",0,IF('My investments'!$F49='My investments'!$H$15,'My investments'!$E49,0))</f>
        <v/>
      </c>
      <c r="AK49" s="36">
        <f>IF('My investments'!$H$11="",0,IF('My investments'!$F49='My investments'!$H$11,$AA49,0))</f>
        <v/>
      </c>
      <c r="AL49" s="36">
        <f>IF('My investments'!$H$12="",0,IF('My investments'!$F49='My investments'!$H$12,$AA49,0))</f>
        <v/>
      </c>
      <c r="AM49" s="36">
        <f>IF('My investments'!$H$13="",0,IF('My investments'!$F49='My investments'!$H$13,$AA49,0))</f>
        <v/>
      </c>
      <c r="AN49" s="36">
        <f>IF('My investments'!$H$14="",0,IF('My investments'!$F49='My investments'!$H$14,$AA49,0))</f>
        <v/>
      </c>
      <c r="AO49" s="36">
        <f>IF('My investments'!$H$15="",0,IF('My investments'!$F49='My investments'!$H$15,$AA49,0))</f>
        <v/>
      </c>
    </row>
    <row r="50" ht="15" customHeight="1" s="30">
      <c r="A50" s="36">
        <f>IF('My investments'!$C50="Worth today",1,0)</f>
        <v/>
      </c>
      <c r="B50" s="36">
        <f>IF('My investments'!$C50="Money in",1,0)</f>
        <v/>
      </c>
      <c r="AA50" s="36">
        <f>IF('My investments'!$C50="Money in",'My investments'!$D50,0)</f>
        <v/>
      </c>
      <c r="AB50" s="36">
        <f>IF('My investments'!$C50="Money out",'My investments'!$D50,0)</f>
        <v/>
      </c>
      <c r="AC50" s="36">
        <f>IF('My investments'!$C50="Worth today",'My investments'!$D50,0)</f>
        <v/>
      </c>
      <c r="AE50" s="36">
        <f>IF('My investments'!$H$11="",0,IF('My investments'!$F50='My investments'!$H$11,'My investments'!$E50,0))</f>
        <v/>
      </c>
      <c r="AF50" s="36">
        <f>IF('My investments'!$H$12="",0,IF('My investments'!$F50='My investments'!$H$12,'My investments'!$E50,0))</f>
        <v/>
      </c>
      <c r="AG50" s="36">
        <f>IF('My investments'!$H$13="",0,IF('My investments'!$F50='My investments'!$H$13,'My investments'!$E50,0))</f>
        <v/>
      </c>
      <c r="AH50" s="36">
        <f>IF('My investments'!$H$14="",0,IF('My investments'!$F50='My investments'!$H$14,'My investments'!$E50,0))</f>
        <v/>
      </c>
      <c r="AI50" s="36">
        <f>IF('My investments'!$H$15="",0,IF('My investments'!$F50='My investments'!$H$15,'My investments'!$E50,0))</f>
        <v/>
      </c>
      <c r="AK50" s="36">
        <f>IF('My investments'!$H$11="",0,IF('My investments'!$F50='My investments'!$H$11,$AA50,0))</f>
        <v/>
      </c>
      <c r="AL50" s="36">
        <f>IF('My investments'!$H$12="",0,IF('My investments'!$F50='My investments'!$H$12,$AA50,0))</f>
        <v/>
      </c>
      <c r="AM50" s="36">
        <f>IF('My investments'!$H$13="",0,IF('My investments'!$F50='My investments'!$H$13,$AA50,0))</f>
        <v/>
      </c>
      <c r="AN50" s="36">
        <f>IF('My investments'!$H$14="",0,IF('My investments'!$F50='My investments'!$H$14,$AA50,0))</f>
        <v/>
      </c>
      <c r="AO50" s="36">
        <f>IF('My investments'!$H$15="",0,IF('My investments'!$F50='My investments'!$H$15,$AA50,0))</f>
        <v/>
      </c>
    </row>
    <row r="51" ht="15" customHeight="1" s="30">
      <c r="A51" s="36">
        <f>IF('My investments'!$C51="Worth today",1,0)</f>
        <v/>
      </c>
      <c r="B51" s="36">
        <f>IF('My investments'!$C51="Money in",1,0)</f>
        <v/>
      </c>
      <c r="AA51" s="36">
        <f>IF('My investments'!$C51="Money in",'My investments'!$D51,0)</f>
        <v/>
      </c>
      <c r="AB51" s="36">
        <f>IF('My investments'!$C51="Money out",'My investments'!$D51,0)</f>
        <v/>
      </c>
      <c r="AC51" s="36">
        <f>IF('My investments'!$C51="Worth today",'My investments'!$D51,0)</f>
        <v/>
      </c>
      <c r="AE51" s="36">
        <f>IF('My investments'!$H$11="",0,IF('My investments'!$F51='My investments'!$H$11,'My investments'!$E51,0))</f>
        <v/>
      </c>
      <c r="AF51" s="36">
        <f>IF('My investments'!$H$12="",0,IF('My investments'!$F51='My investments'!$H$12,'My investments'!$E51,0))</f>
        <v/>
      </c>
      <c r="AG51" s="36">
        <f>IF('My investments'!$H$13="",0,IF('My investments'!$F51='My investments'!$H$13,'My investments'!$E51,0))</f>
        <v/>
      </c>
      <c r="AH51" s="36">
        <f>IF('My investments'!$H$14="",0,IF('My investments'!$F51='My investments'!$H$14,'My investments'!$E51,0))</f>
        <v/>
      </c>
      <c r="AI51" s="36">
        <f>IF('My investments'!$H$15="",0,IF('My investments'!$F51='My investments'!$H$15,'My investments'!$E51,0))</f>
        <v/>
      </c>
      <c r="AK51" s="36">
        <f>IF('My investments'!$H$11="",0,IF('My investments'!$F51='My investments'!$H$11,$AA51,0))</f>
        <v/>
      </c>
      <c r="AL51" s="36">
        <f>IF('My investments'!$H$12="",0,IF('My investments'!$F51='My investments'!$H$12,$AA51,0))</f>
        <v/>
      </c>
      <c r="AM51" s="36">
        <f>IF('My investments'!$H$13="",0,IF('My investments'!$F51='My investments'!$H$13,$AA51,0))</f>
        <v/>
      </c>
      <c r="AN51" s="36">
        <f>IF('My investments'!$H$14="",0,IF('My investments'!$F51='My investments'!$H$14,$AA51,0))</f>
        <v/>
      </c>
      <c r="AO51" s="36">
        <f>IF('My investments'!$H$15="",0,IF('My investments'!$F51='My investments'!$H$15,$AA51,0))</f>
        <v/>
      </c>
    </row>
    <row r="52" ht="15" customHeight="1" s="30">
      <c r="A52" s="36">
        <f>IF('My investments'!$C52="Worth today",1,0)</f>
        <v/>
      </c>
      <c r="B52" s="36">
        <f>IF('My investments'!$C52="Money in",1,0)</f>
        <v/>
      </c>
      <c r="AA52" s="36">
        <f>IF('My investments'!$C52="Money in",'My investments'!$D52,0)</f>
        <v/>
      </c>
      <c r="AB52" s="36">
        <f>IF('My investments'!$C52="Money out",'My investments'!$D52,0)</f>
        <v/>
      </c>
      <c r="AC52" s="36">
        <f>IF('My investments'!$C52="Worth today",'My investments'!$D52,0)</f>
        <v/>
      </c>
      <c r="AE52" s="36">
        <f>IF('My investments'!$H$11="",0,IF('My investments'!$F52='My investments'!$H$11,'My investments'!$E52,0))</f>
        <v/>
      </c>
      <c r="AF52" s="36">
        <f>IF('My investments'!$H$12="",0,IF('My investments'!$F52='My investments'!$H$12,'My investments'!$E52,0))</f>
        <v/>
      </c>
      <c r="AG52" s="36">
        <f>IF('My investments'!$H$13="",0,IF('My investments'!$F52='My investments'!$H$13,'My investments'!$E52,0))</f>
        <v/>
      </c>
      <c r="AH52" s="36">
        <f>IF('My investments'!$H$14="",0,IF('My investments'!$F52='My investments'!$H$14,'My investments'!$E52,0))</f>
        <v/>
      </c>
      <c r="AI52" s="36">
        <f>IF('My investments'!$H$15="",0,IF('My investments'!$F52='My investments'!$H$15,'My investments'!$E52,0))</f>
        <v/>
      </c>
      <c r="AK52" s="36">
        <f>IF('My investments'!$H$11="",0,IF('My investments'!$F52='My investments'!$H$11,$AA52,0))</f>
        <v/>
      </c>
      <c r="AL52" s="36">
        <f>IF('My investments'!$H$12="",0,IF('My investments'!$F52='My investments'!$H$12,$AA52,0))</f>
        <v/>
      </c>
      <c r="AM52" s="36">
        <f>IF('My investments'!$H$13="",0,IF('My investments'!$F52='My investments'!$H$13,$AA52,0))</f>
        <v/>
      </c>
      <c r="AN52" s="36">
        <f>IF('My investments'!$H$14="",0,IF('My investments'!$F52='My investments'!$H$14,$AA52,0))</f>
        <v/>
      </c>
      <c r="AO52" s="36">
        <f>IF('My investments'!$H$15="",0,IF('My investments'!$F52='My investments'!$H$15,$AA52,0))</f>
        <v/>
      </c>
    </row>
    <row r="53" ht="15" customHeight="1" s="30">
      <c r="A53" s="36">
        <f>IF('My investments'!$C53="Worth today",1,0)</f>
        <v/>
      </c>
      <c r="B53" s="36">
        <f>IF('My investments'!$C53="Money in",1,0)</f>
        <v/>
      </c>
      <c r="AA53" s="36">
        <f>IF('My investments'!$C53="Money in",'My investments'!$D53,0)</f>
        <v/>
      </c>
      <c r="AB53" s="36">
        <f>IF('My investments'!$C53="Money out",'My investments'!$D53,0)</f>
        <v/>
      </c>
      <c r="AC53" s="36">
        <f>IF('My investments'!$C53="Worth today",'My investments'!$D53,0)</f>
        <v/>
      </c>
      <c r="AE53" s="36">
        <f>IF('My investments'!$H$11="",0,IF('My investments'!$F53='My investments'!$H$11,'My investments'!$E53,0))</f>
        <v/>
      </c>
      <c r="AF53" s="36">
        <f>IF('My investments'!$H$12="",0,IF('My investments'!$F53='My investments'!$H$12,'My investments'!$E53,0))</f>
        <v/>
      </c>
      <c r="AG53" s="36">
        <f>IF('My investments'!$H$13="",0,IF('My investments'!$F53='My investments'!$H$13,'My investments'!$E53,0))</f>
        <v/>
      </c>
      <c r="AH53" s="36">
        <f>IF('My investments'!$H$14="",0,IF('My investments'!$F53='My investments'!$H$14,'My investments'!$E53,0))</f>
        <v/>
      </c>
      <c r="AI53" s="36">
        <f>IF('My investments'!$H$15="",0,IF('My investments'!$F53='My investments'!$H$15,'My investments'!$E53,0))</f>
        <v/>
      </c>
      <c r="AK53" s="36">
        <f>IF('My investments'!$H$11="",0,IF('My investments'!$F53='My investments'!$H$11,$AA53,0))</f>
        <v/>
      </c>
      <c r="AL53" s="36">
        <f>IF('My investments'!$H$12="",0,IF('My investments'!$F53='My investments'!$H$12,$AA53,0))</f>
        <v/>
      </c>
      <c r="AM53" s="36">
        <f>IF('My investments'!$H$13="",0,IF('My investments'!$F53='My investments'!$H$13,$AA53,0))</f>
        <v/>
      </c>
      <c r="AN53" s="36">
        <f>IF('My investments'!$H$14="",0,IF('My investments'!$F53='My investments'!$H$14,$AA53,0))</f>
        <v/>
      </c>
      <c r="AO53" s="36">
        <f>IF('My investments'!$H$15="",0,IF('My investments'!$F53='My investments'!$H$15,$AA53,0))</f>
        <v/>
      </c>
    </row>
    <row r="54" ht="15" customHeight="1" s="30">
      <c r="A54" s="36">
        <f>IF('My investments'!$C54="Worth today",1,0)</f>
        <v/>
      </c>
      <c r="B54" s="36">
        <f>IF('My investments'!$C54="Money in",1,0)</f>
        <v/>
      </c>
      <c r="AA54" s="36">
        <f>IF('My investments'!$C54="Money in",'My investments'!$D54,0)</f>
        <v/>
      </c>
      <c r="AB54" s="36">
        <f>IF('My investments'!$C54="Money out",'My investments'!$D54,0)</f>
        <v/>
      </c>
      <c r="AC54" s="36">
        <f>IF('My investments'!$C54="Worth today",'My investments'!$D54,0)</f>
        <v/>
      </c>
      <c r="AE54" s="36">
        <f>IF('My investments'!$H$11="",0,IF('My investments'!$F54='My investments'!$H$11,'My investments'!$E54,0))</f>
        <v/>
      </c>
      <c r="AF54" s="36">
        <f>IF('My investments'!$H$12="",0,IF('My investments'!$F54='My investments'!$H$12,'My investments'!$E54,0))</f>
        <v/>
      </c>
      <c r="AG54" s="36">
        <f>IF('My investments'!$H$13="",0,IF('My investments'!$F54='My investments'!$H$13,'My investments'!$E54,0))</f>
        <v/>
      </c>
      <c r="AH54" s="36">
        <f>IF('My investments'!$H$14="",0,IF('My investments'!$F54='My investments'!$H$14,'My investments'!$E54,0))</f>
        <v/>
      </c>
      <c r="AI54" s="36">
        <f>IF('My investments'!$H$15="",0,IF('My investments'!$F54='My investments'!$H$15,'My investments'!$E54,0))</f>
        <v/>
      </c>
      <c r="AK54" s="36">
        <f>IF('My investments'!$H$11="",0,IF('My investments'!$F54='My investments'!$H$11,$AA54,0))</f>
        <v/>
      </c>
      <c r="AL54" s="36">
        <f>IF('My investments'!$H$12="",0,IF('My investments'!$F54='My investments'!$H$12,$AA54,0))</f>
        <v/>
      </c>
      <c r="AM54" s="36">
        <f>IF('My investments'!$H$13="",0,IF('My investments'!$F54='My investments'!$H$13,$AA54,0))</f>
        <v/>
      </c>
      <c r="AN54" s="36">
        <f>IF('My investments'!$H$14="",0,IF('My investments'!$F54='My investments'!$H$14,$AA54,0))</f>
        <v/>
      </c>
      <c r="AO54" s="36">
        <f>IF('My investments'!$H$15="",0,IF('My investments'!$F54='My investments'!$H$15,$AA54,0))</f>
        <v/>
      </c>
    </row>
    <row r="55" ht="15" customHeight="1" s="30">
      <c r="A55" s="36">
        <f>IF('My investments'!$C55="Worth today",1,0)</f>
        <v/>
      </c>
      <c r="B55" s="36">
        <f>IF('My investments'!$C55="Money in",1,0)</f>
        <v/>
      </c>
      <c r="AA55" s="36">
        <f>IF('My investments'!$C55="Money in",'My investments'!$D55,0)</f>
        <v/>
      </c>
      <c r="AB55" s="36">
        <f>IF('My investments'!$C55="Money out",'My investments'!$D55,0)</f>
        <v/>
      </c>
      <c r="AC55" s="36">
        <f>IF('My investments'!$C55="Worth today",'My investments'!$D55,0)</f>
        <v/>
      </c>
      <c r="AE55" s="36">
        <f>IF('My investments'!$H$11="",0,IF('My investments'!$F55='My investments'!$H$11,'My investments'!$E55,0))</f>
        <v/>
      </c>
      <c r="AF55" s="36">
        <f>IF('My investments'!$H$12="",0,IF('My investments'!$F55='My investments'!$H$12,'My investments'!$E55,0))</f>
        <v/>
      </c>
      <c r="AG55" s="36">
        <f>IF('My investments'!$H$13="",0,IF('My investments'!$F55='My investments'!$H$13,'My investments'!$E55,0))</f>
        <v/>
      </c>
      <c r="AH55" s="36">
        <f>IF('My investments'!$H$14="",0,IF('My investments'!$F55='My investments'!$H$14,'My investments'!$E55,0))</f>
        <v/>
      </c>
      <c r="AI55" s="36">
        <f>IF('My investments'!$H$15="",0,IF('My investments'!$F55='My investments'!$H$15,'My investments'!$E55,0))</f>
        <v/>
      </c>
      <c r="AK55" s="36">
        <f>IF('My investments'!$H$11="",0,IF('My investments'!$F55='My investments'!$H$11,$AA55,0))</f>
        <v/>
      </c>
      <c r="AL55" s="36">
        <f>IF('My investments'!$H$12="",0,IF('My investments'!$F55='My investments'!$H$12,$AA55,0))</f>
        <v/>
      </c>
      <c r="AM55" s="36">
        <f>IF('My investments'!$H$13="",0,IF('My investments'!$F55='My investments'!$H$13,$AA55,0))</f>
        <v/>
      </c>
      <c r="AN55" s="36">
        <f>IF('My investments'!$H$14="",0,IF('My investments'!$F55='My investments'!$H$14,$AA55,0))</f>
        <v/>
      </c>
      <c r="AO55" s="36">
        <f>IF('My investments'!$H$15="",0,IF('My investments'!$F55='My investments'!$H$15,$AA55,0))</f>
        <v/>
      </c>
    </row>
    <row r="56" ht="15" customHeight="1" s="30">
      <c r="A56" s="36">
        <f>IF('My investments'!$C56="Worth today",1,0)</f>
        <v/>
      </c>
      <c r="B56" s="36">
        <f>IF('My investments'!$C56="Money in",1,0)</f>
        <v/>
      </c>
      <c r="AA56" s="36">
        <f>IF('My investments'!$C56="Money in",'My investments'!$D56,0)</f>
        <v/>
      </c>
      <c r="AB56" s="36">
        <f>IF('My investments'!$C56="Money out",'My investments'!$D56,0)</f>
        <v/>
      </c>
      <c r="AC56" s="36">
        <f>IF('My investments'!$C56="Worth today",'My investments'!$D56,0)</f>
        <v/>
      </c>
      <c r="AE56" s="36">
        <f>IF('My investments'!$H$11="",0,IF('My investments'!$F56='My investments'!$H$11,'My investments'!$E56,0))</f>
        <v/>
      </c>
      <c r="AF56" s="36">
        <f>IF('My investments'!$H$12="",0,IF('My investments'!$F56='My investments'!$H$12,'My investments'!$E56,0))</f>
        <v/>
      </c>
      <c r="AG56" s="36">
        <f>IF('My investments'!$H$13="",0,IF('My investments'!$F56='My investments'!$H$13,'My investments'!$E56,0))</f>
        <v/>
      </c>
      <c r="AH56" s="36">
        <f>IF('My investments'!$H$14="",0,IF('My investments'!$F56='My investments'!$H$14,'My investments'!$E56,0))</f>
        <v/>
      </c>
      <c r="AI56" s="36">
        <f>IF('My investments'!$H$15="",0,IF('My investments'!$F56='My investments'!$H$15,'My investments'!$E56,0))</f>
        <v/>
      </c>
      <c r="AK56" s="36">
        <f>IF('My investments'!$H$11="",0,IF('My investments'!$F56='My investments'!$H$11,$AA56,0))</f>
        <v/>
      </c>
      <c r="AL56" s="36">
        <f>IF('My investments'!$H$12="",0,IF('My investments'!$F56='My investments'!$H$12,$AA56,0))</f>
        <v/>
      </c>
      <c r="AM56" s="36">
        <f>IF('My investments'!$H$13="",0,IF('My investments'!$F56='My investments'!$H$13,$AA56,0))</f>
        <v/>
      </c>
      <c r="AN56" s="36">
        <f>IF('My investments'!$H$14="",0,IF('My investments'!$F56='My investments'!$H$14,$AA56,0))</f>
        <v/>
      </c>
      <c r="AO56" s="36">
        <f>IF('My investments'!$H$15="",0,IF('My investments'!$F56='My investments'!$H$15,$AA56,0))</f>
        <v/>
      </c>
    </row>
    <row r="57" ht="15" customHeight="1" s="30">
      <c r="A57" s="36">
        <f>IF('My investments'!$C57="Worth today",1,0)</f>
        <v/>
      </c>
      <c r="B57" s="36">
        <f>IF('My investments'!$C57="Money in",1,0)</f>
        <v/>
      </c>
      <c r="AA57" s="36">
        <f>IF('My investments'!$C57="Money in",'My investments'!$D57,0)</f>
        <v/>
      </c>
      <c r="AB57" s="36">
        <f>IF('My investments'!$C57="Money out",'My investments'!$D57,0)</f>
        <v/>
      </c>
      <c r="AC57" s="36">
        <f>IF('My investments'!$C57="Worth today",'My investments'!$D57,0)</f>
        <v/>
      </c>
      <c r="AE57" s="36">
        <f>IF('My investments'!$H$11="",0,IF('My investments'!$F57='My investments'!$H$11,'My investments'!$E57,0))</f>
        <v/>
      </c>
      <c r="AF57" s="36">
        <f>IF('My investments'!$H$12="",0,IF('My investments'!$F57='My investments'!$H$12,'My investments'!$E57,0))</f>
        <v/>
      </c>
      <c r="AG57" s="36">
        <f>IF('My investments'!$H$13="",0,IF('My investments'!$F57='My investments'!$H$13,'My investments'!$E57,0))</f>
        <v/>
      </c>
      <c r="AH57" s="36">
        <f>IF('My investments'!$H$14="",0,IF('My investments'!$F57='My investments'!$H$14,'My investments'!$E57,0))</f>
        <v/>
      </c>
      <c r="AI57" s="36">
        <f>IF('My investments'!$H$15="",0,IF('My investments'!$F57='My investments'!$H$15,'My investments'!$E57,0))</f>
        <v/>
      </c>
      <c r="AK57" s="36">
        <f>IF('My investments'!$H$11="",0,IF('My investments'!$F57='My investments'!$H$11,$AA57,0))</f>
        <v/>
      </c>
      <c r="AL57" s="36">
        <f>IF('My investments'!$H$12="",0,IF('My investments'!$F57='My investments'!$H$12,$AA57,0))</f>
        <v/>
      </c>
      <c r="AM57" s="36">
        <f>IF('My investments'!$H$13="",0,IF('My investments'!$F57='My investments'!$H$13,$AA57,0))</f>
        <v/>
      </c>
      <c r="AN57" s="36">
        <f>IF('My investments'!$H$14="",0,IF('My investments'!$F57='My investments'!$H$14,$AA57,0))</f>
        <v/>
      </c>
      <c r="AO57" s="36">
        <f>IF('My investments'!$H$15="",0,IF('My investments'!$F57='My investments'!$H$15,$AA57,0))</f>
        <v/>
      </c>
    </row>
    <row r="58" ht="15" customHeight="1" s="30">
      <c r="A58" s="36">
        <f>IF('My investments'!$C58="Worth today",1,0)</f>
        <v/>
      </c>
      <c r="B58" s="36">
        <f>IF('My investments'!$C58="Money in",1,0)</f>
        <v/>
      </c>
      <c r="AA58" s="36">
        <f>IF('My investments'!$C58="Money in",'My investments'!$D58,0)</f>
        <v/>
      </c>
      <c r="AB58" s="36">
        <f>IF('My investments'!$C58="Money out",'My investments'!$D58,0)</f>
        <v/>
      </c>
      <c r="AC58" s="36">
        <f>IF('My investments'!$C58="Worth today",'My investments'!$D58,0)</f>
        <v/>
      </c>
      <c r="AE58" s="36">
        <f>IF('My investments'!$H$11="",0,IF('My investments'!$F58='My investments'!$H$11,'My investments'!$E58,0))</f>
        <v/>
      </c>
      <c r="AF58" s="36">
        <f>IF('My investments'!$H$12="",0,IF('My investments'!$F58='My investments'!$H$12,'My investments'!$E58,0))</f>
        <v/>
      </c>
      <c r="AG58" s="36">
        <f>IF('My investments'!$H$13="",0,IF('My investments'!$F58='My investments'!$H$13,'My investments'!$E58,0))</f>
        <v/>
      </c>
      <c r="AH58" s="36">
        <f>IF('My investments'!$H$14="",0,IF('My investments'!$F58='My investments'!$H$14,'My investments'!$E58,0))</f>
        <v/>
      </c>
      <c r="AI58" s="36">
        <f>IF('My investments'!$H$15="",0,IF('My investments'!$F58='My investments'!$H$15,'My investments'!$E58,0))</f>
        <v/>
      </c>
      <c r="AK58" s="36">
        <f>IF('My investments'!$H$11="",0,IF('My investments'!$F58='My investments'!$H$11,$AA58,0))</f>
        <v/>
      </c>
      <c r="AL58" s="36">
        <f>IF('My investments'!$H$12="",0,IF('My investments'!$F58='My investments'!$H$12,$AA58,0))</f>
        <v/>
      </c>
      <c r="AM58" s="36">
        <f>IF('My investments'!$H$13="",0,IF('My investments'!$F58='My investments'!$H$13,$AA58,0))</f>
        <v/>
      </c>
      <c r="AN58" s="36">
        <f>IF('My investments'!$H$14="",0,IF('My investments'!$F58='My investments'!$H$14,$AA58,0))</f>
        <v/>
      </c>
      <c r="AO58" s="36">
        <f>IF('My investments'!$H$15="",0,IF('My investments'!$F58='My investments'!$H$15,$AA58,0))</f>
        <v/>
      </c>
    </row>
    <row r="59" ht="15" customHeight="1" s="30">
      <c r="A59" s="36">
        <f>IF('My investments'!$C59="Worth today",1,0)</f>
        <v/>
      </c>
      <c r="B59" s="36">
        <f>IF('My investments'!$C59="Money in",1,0)</f>
        <v/>
      </c>
      <c r="AA59" s="36">
        <f>IF('My investments'!$C59="Money in",'My investments'!$D59,0)</f>
        <v/>
      </c>
      <c r="AB59" s="36">
        <f>IF('My investments'!$C59="Money out",'My investments'!$D59,0)</f>
        <v/>
      </c>
      <c r="AC59" s="36">
        <f>IF('My investments'!$C59="Worth today",'My investments'!$D59,0)</f>
        <v/>
      </c>
      <c r="AE59" s="36">
        <f>IF('My investments'!$H$11="",0,IF('My investments'!$F59='My investments'!$H$11,'My investments'!$E59,0))</f>
        <v/>
      </c>
      <c r="AF59" s="36">
        <f>IF('My investments'!$H$12="",0,IF('My investments'!$F59='My investments'!$H$12,'My investments'!$E59,0))</f>
        <v/>
      </c>
      <c r="AG59" s="36">
        <f>IF('My investments'!$H$13="",0,IF('My investments'!$F59='My investments'!$H$13,'My investments'!$E59,0))</f>
        <v/>
      </c>
      <c r="AH59" s="36">
        <f>IF('My investments'!$H$14="",0,IF('My investments'!$F59='My investments'!$H$14,'My investments'!$E59,0))</f>
        <v/>
      </c>
      <c r="AI59" s="36">
        <f>IF('My investments'!$H$15="",0,IF('My investments'!$F59='My investments'!$H$15,'My investments'!$E59,0))</f>
        <v/>
      </c>
      <c r="AK59" s="36">
        <f>IF('My investments'!$H$11="",0,IF('My investments'!$F59='My investments'!$H$11,$AA59,0))</f>
        <v/>
      </c>
      <c r="AL59" s="36">
        <f>IF('My investments'!$H$12="",0,IF('My investments'!$F59='My investments'!$H$12,$AA59,0))</f>
        <v/>
      </c>
      <c r="AM59" s="36">
        <f>IF('My investments'!$H$13="",0,IF('My investments'!$F59='My investments'!$H$13,$AA59,0))</f>
        <v/>
      </c>
      <c r="AN59" s="36">
        <f>IF('My investments'!$H$14="",0,IF('My investments'!$F59='My investments'!$H$14,$AA59,0))</f>
        <v/>
      </c>
      <c r="AO59" s="36">
        <f>IF('My investments'!$H$15="",0,IF('My investments'!$F59='My investments'!$H$15,$AA59,0))</f>
        <v/>
      </c>
    </row>
    <row r="60" ht="15" customHeight="1" s="30">
      <c r="A60" s="36">
        <f>IF('My investments'!$C60="Worth today",1,0)</f>
        <v/>
      </c>
      <c r="B60" s="36">
        <f>IF('My investments'!$C60="Money in",1,0)</f>
        <v/>
      </c>
      <c r="AA60" s="36">
        <f>IF('My investments'!$C60="Money in",'My investments'!$D60,0)</f>
        <v/>
      </c>
      <c r="AB60" s="36">
        <f>IF('My investments'!$C60="Money out",'My investments'!$D60,0)</f>
        <v/>
      </c>
      <c r="AC60" s="36">
        <f>IF('My investments'!$C60="Worth today",'My investments'!$D60,0)</f>
        <v/>
      </c>
      <c r="AE60" s="36">
        <f>IF('My investments'!$H$11="",0,IF('My investments'!$F60='My investments'!$H$11,'My investments'!$E60,0))</f>
        <v/>
      </c>
      <c r="AF60" s="36">
        <f>IF('My investments'!$H$12="",0,IF('My investments'!$F60='My investments'!$H$12,'My investments'!$E60,0))</f>
        <v/>
      </c>
      <c r="AG60" s="36">
        <f>IF('My investments'!$H$13="",0,IF('My investments'!$F60='My investments'!$H$13,'My investments'!$E60,0))</f>
        <v/>
      </c>
      <c r="AH60" s="36">
        <f>IF('My investments'!$H$14="",0,IF('My investments'!$F60='My investments'!$H$14,'My investments'!$E60,0))</f>
        <v/>
      </c>
      <c r="AI60" s="36">
        <f>IF('My investments'!$H$15="",0,IF('My investments'!$F60='My investments'!$H$15,'My investments'!$E60,0))</f>
        <v/>
      </c>
      <c r="AK60" s="36">
        <f>IF('My investments'!$H$11="",0,IF('My investments'!$F60='My investments'!$H$11,$AA60,0))</f>
        <v/>
      </c>
      <c r="AL60" s="36">
        <f>IF('My investments'!$H$12="",0,IF('My investments'!$F60='My investments'!$H$12,$AA60,0))</f>
        <v/>
      </c>
      <c r="AM60" s="36">
        <f>IF('My investments'!$H$13="",0,IF('My investments'!$F60='My investments'!$H$13,$AA60,0))</f>
        <v/>
      </c>
      <c r="AN60" s="36">
        <f>IF('My investments'!$H$14="",0,IF('My investments'!$F60='My investments'!$H$14,$AA60,0))</f>
        <v/>
      </c>
      <c r="AO60" s="36">
        <f>IF('My investments'!$H$15="",0,IF('My investments'!$F60='My investments'!$H$15,$AA60,0))</f>
        <v/>
      </c>
    </row>
    <row r="61" ht="15" customHeight="1" s="30">
      <c r="A61" s="36">
        <f>IF('My investments'!$C61="Worth today",1,0)</f>
        <v/>
      </c>
      <c r="B61" s="36">
        <f>IF('My investments'!$C61="Money in",1,0)</f>
        <v/>
      </c>
      <c r="AA61" s="36">
        <f>IF('My investments'!$C61="Money in",'My investments'!$D61,0)</f>
        <v/>
      </c>
      <c r="AB61" s="36">
        <f>IF('My investments'!$C61="Money out",'My investments'!$D61,0)</f>
        <v/>
      </c>
      <c r="AC61" s="36">
        <f>IF('My investments'!$C61="Worth today",'My investments'!$D61,0)</f>
        <v/>
      </c>
      <c r="AE61" s="36">
        <f>IF('My investments'!$H$11="",0,IF('My investments'!$F61='My investments'!$H$11,'My investments'!$E61,0))</f>
        <v/>
      </c>
      <c r="AF61" s="36">
        <f>IF('My investments'!$H$12="",0,IF('My investments'!$F61='My investments'!$H$12,'My investments'!$E61,0))</f>
        <v/>
      </c>
      <c r="AG61" s="36">
        <f>IF('My investments'!$H$13="",0,IF('My investments'!$F61='My investments'!$H$13,'My investments'!$E61,0))</f>
        <v/>
      </c>
      <c r="AH61" s="36">
        <f>IF('My investments'!$H$14="",0,IF('My investments'!$F61='My investments'!$H$14,'My investments'!$E61,0))</f>
        <v/>
      </c>
      <c r="AI61" s="36">
        <f>IF('My investments'!$H$15="",0,IF('My investments'!$F61='My investments'!$H$15,'My investments'!$E61,0))</f>
        <v/>
      </c>
      <c r="AK61" s="36">
        <f>IF('My investments'!$H$11="",0,IF('My investments'!$F61='My investments'!$H$11,$AA61,0))</f>
        <v/>
      </c>
      <c r="AL61" s="36">
        <f>IF('My investments'!$H$12="",0,IF('My investments'!$F61='My investments'!$H$12,$AA61,0))</f>
        <v/>
      </c>
      <c r="AM61" s="36">
        <f>IF('My investments'!$H$13="",0,IF('My investments'!$F61='My investments'!$H$13,$AA61,0))</f>
        <v/>
      </c>
      <c r="AN61" s="36">
        <f>IF('My investments'!$H$14="",0,IF('My investments'!$F61='My investments'!$H$14,$AA61,0))</f>
        <v/>
      </c>
      <c r="AO61" s="36">
        <f>IF('My investments'!$H$15="",0,IF('My investments'!$F61='My investments'!$H$15,$AA61,0))</f>
        <v/>
      </c>
    </row>
    <row r="62" ht="15" customHeight="1" s="30">
      <c r="A62" s="36">
        <f>IF('My investments'!$C62="Worth today",1,0)</f>
        <v/>
      </c>
      <c r="B62" s="36">
        <f>IF('My investments'!$C62="Money in",1,0)</f>
        <v/>
      </c>
      <c r="AA62" s="36">
        <f>IF('My investments'!$C62="Money in",'My investments'!$D62,0)</f>
        <v/>
      </c>
      <c r="AB62" s="36">
        <f>IF('My investments'!$C62="Money out",'My investments'!$D62,0)</f>
        <v/>
      </c>
      <c r="AC62" s="36">
        <f>IF('My investments'!$C62="Worth today",'My investments'!$D62,0)</f>
        <v/>
      </c>
      <c r="AE62" s="36">
        <f>IF('My investments'!$H$11="",0,IF('My investments'!$F62='My investments'!$H$11,'My investments'!$E62,0))</f>
        <v/>
      </c>
      <c r="AF62" s="36">
        <f>IF('My investments'!$H$12="",0,IF('My investments'!$F62='My investments'!$H$12,'My investments'!$E62,0))</f>
        <v/>
      </c>
      <c r="AG62" s="36">
        <f>IF('My investments'!$H$13="",0,IF('My investments'!$F62='My investments'!$H$13,'My investments'!$E62,0))</f>
        <v/>
      </c>
      <c r="AH62" s="36">
        <f>IF('My investments'!$H$14="",0,IF('My investments'!$F62='My investments'!$H$14,'My investments'!$E62,0))</f>
        <v/>
      </c>
      <c r="AI62" s="36">
        <f>IF('My investments'!$H$15="",0,IF('My investments'!$F62='My investments'!$H$15,'My investments'!$E62,0))</f>
        <v/>
      </c>
      <c r="AK62" s="36">
        <f>IF('My investments'!$H$11="",0,IF('My investments'!$F62='My investments'!$H$11,$AA62,0))</f>
        <v/>
      </c>
      <c r="AL62" s="36">
        <f>IF('My investments'!$H$12="",0,IF('My investments'!$F62='My investments'!$H$12,$AA62,0))</f>
        <v/>
      </c>
      <c r="AM62" s="36">
        <f>IF('My investments'!$H$13="",0,IF('My investments'!$F62='My investments'!$H$13,$AA62,0))</f>
        <v/>
      </c>
      <c r="AN62" s="36">
        <f>IF('My investments'!$H$14="",0,IF('My investments'!$F62='My investments'!$H$14,$AA62,0))</f>
        <v/>
      </c>
      <c r="AO62" s="36">
        <f>IF('My investments'!$H$15="",0,IF('My investments'!$F62='My investments'!$H$15,$AA62,0))</f>
        <v/>
      </c>
    </row>
    <row r="63" ht="15" customHeight="1" s="30">
      <c r="A63" s="36">
        <f>IF('My investments'!$C63="Worth today",1,0)</f>
        <v/>
      </c>
      <c r="B63" s="36">
        <f>IF('My investments'!$C63="Money in",1,0)</f>
        <v/>
      </c>
      <c r="AA63" s="36">
        <f>IF('My investments'!$C63="Money in",'My investments'!$D63,0)</f>
        <v/>
      </c>
      <c r="AB63" s="36">
        <f>IF('My investments'!$C63="Money out",'My investments'!$D63,0)</f>
        <v/>
      </c>
      <c r="AC63" s="36">
        <f>IF('My investments'!$C63="Worth today",'My investments'!$D63,0)</f>
        <v/>
      </c>
      <c r="AE63" s="36">
        <f>IF('My investments'!$H$11="",0,IF('My investments'!$F63='My investments'!$H$11,'My investments'!$E63,0))</f>
        <v/>
      </c>
      <c r="AF63" s="36">
        <f>IF('My investments'!$H$12="",0,IF('My investments'!$F63='My investments'!$H$12,'My investments'!$E63,0))</f>
        <v/>
      </c>
      <c r="AG63" s="36">
        <f>IF('My investments'!$H$13="",0,IF('My investments'!$F63='My investments'!$H$13,'My investments'!$E63,0))</f>
        <v/>
      </c>
      <c r="AH63" s="36">
        <f>IF('My investments'!$H$14="",0,IF('My investments'!$F63='My investments'!$H$14,'My investments'!$E63,0))</f>
        <v/>
      </c>
      <c r="AI63" s="36">
        <f>IF('My investments'!$H$15="",0,IF('My investments'!$F63='My investments'!$H$15,'My investments'!$E63,0))</f>
        <v/>
      </c>
      <c r="AK63" s="36">
        <f>IF('My investments'!$H$11="",0,IF('My investments'!$F63='My investments'!$H$11,$AA63,0))</f>
        <v/>
      </c>
      <c r="AL63" s="36">
        <f>IF('My investments'!$H$12="",0,IF('My investments'!$F63='My investments'!$H$12,$AA63,0))</f>
        <v/>
      </c>
      <c r="AM63" s="36">
        <f>IF('My investments'!$H$13="",0,IF('My investments'!$F63='My investments'!$H$13,$AA63,0))</f>
        <v/>
      </c>
      <c r="AN63" s="36">
        <f>IF('My investments'!$H$14="",0,IF('My investments'!$F63='My investments'!$H$14,$AA63,0))</f>
        <v/>
      </c>
      <c r="AO63" s="36">
        <f>IF('My investments'!$H$15="",0,IF('My investments'!$F63='My investments'!$H$15,$AA63,0))</f>
        <v/>
      </c>
    </row>
    <row r="64" ht="15" customHeight="1" s="30">
      <c r="A64" s="36">
        <f>IF('My investments'!$C64="Worth today",1,0)</f>
        <v/>
      </c>
      <c r="B64" s="36">
        <f>IF('My investments'!$C64="Money in",1,0)</f>
        <v/>
      </c>
      <c r="AA64" s="36">
        <f>IF('My investments'!$C64="Money in",'My investments'!$D64,0)</f>
        <v/>
      </c>
      <c r="AB64" s="36">
        <f>IF('My investments'!$C64="Money out",'My investments'!$D64,0)</f>
        <v/>
      </c>
      <c r="AC64" s="36">
        <f>IF('My investments'!$C64="Worth today",'My investments'!$D64,0)</f>
        <v/>
      </c>
      <c r="AE64" s="36">
        <f>IF('My investments'!$H$11="",0,IF('My investments'!$F64='My investments'!$H$11,'My investments'!$E64,0))</f>
        <v/>
      </c>
      <c r="AF64" s="36">
        <f>IF('My investments'!$H$12="",0,IF('My investments'!$F64='My investments'!$H$12,'My investments'!$E64,0))</f>
        <v/>
      </c>
      <c r="AG64" s="36">
        <f>IF('My investments'!$H$13="",0,IF('My investments'!$F64='My investments'!$H$13,'My investments'!$E64,0))</f>
        <v/>
      </c>
      <c r="AH64" s="36">
        <f>IF('My investments'!$H$14="",0,IF('My investments'!$F64='My investments'!$H$14,'My investments'!$E64,0))</f>
        <v/>
      </c>
      <c r="AI64" s="36">
        <f>IF('My investments'!$H$15="",0,IF('My investments'!$F64='My investments'!$H$15,'My investments'!$E64,0))</f>
        <v/>
      </c>
      <c r="AK64" s="36">
        <f>IF('My investments'!$H$11="",0,IF('My investments'!$F64='My investments'!$H$11,$AA64,0))</f>
        <v/>
      </c>
      <c r="AL64" s="36">
        <f>IF('My investments'!$H$12="",0,IF('My investments'!$F64='My investments'!$H$12,$AA64,0))</f>
        <v/>
      </c>
      <c r="AM64" s="36">
        <f>IF('My investments'!$H$13="",0,IF('My investments'!$F64='My investments'!$H$13,$AA64,0))</f>
        <v/>
      </c>
      <c r="AN64" s="36">
        <f>IF('My investments'!$H$14="",0,IF('My investments'!$F64='My investments'!$H$14,$AA64,0))</f>
        <v/>
      </c>
      <c r="AO64" s="36">
        <f>IF('My investments'!$H$15="",0,IF('My investments'!$F64='My investments'!$H$15,$AA64,0))</f>
        <v/>
      </c>
    </row>
    <row r="65" ht="15" customHeight="1" s="30">
      <c r="A65" s="36">
        <f>IF('My investments'!$C65="Worth today",1,0)</f>
        <v/>
      </c>
      <c r="B65" s="36">
        <f>IF('My investments'!$C65="Money in",1,0)</f>
        <v/>
      </c>
      <c r="AA65" s="36">
        <f>IF('My investments'!$C65="Money in",'My investments'!$D65,0)</f>
        <v/>
      </c>
      <c r="AB65" s="36">
        <f>IF('My investments'!$C65="Money out",'My investments'!$D65,0)</f>
        <v/>
      </c>
      <c r="AC65" s="36">
        <f>IF('My investments'!$C65="Worth today",'My investments'!$D65,0)</f>
        <v/>
      </c>
      <c r="AE65" s="36">
        <f>IF('My investments'!$H$11="",0,IF('My investments'!$F65='My investments'!$H$11,'My investments'!$E65,0))</f>
        <v/>
      </c>
      <c r="AF65" s="36">
        <f>IF('My investments'!$H$12="",0,IF('My investments'!$F65='My investments'!$H$12,'My investments'!$E65,0))</f>
        <v/>
      </c>
      <c r="AG65" s="36">
        <f>IF('My investments'!$H$13="",0,IF('My investments'!$F65='My investments'!$H$13,'My investments'!$E65,0))</f>
        <v/>
      </c>
      <c r="AH65" s="36">
        <f>IF('My investments'!$H$14="",0,IF('My investments'!$F65='My investments'!$H$14,'My investments'!$E65,0))</f>
        <v/>
      </c>
      <c r="AI65" s="36">
        <f>IF('My investments'!$H$15="",0,IF('My investments'!$F65='My investments'!$H$15,'My investments'!$E65,0))</f>
        <v/>
      </c>
      <c r="AK65" s="36">
        <f>IF('My investments'!$H$11="",0,IF('My investments'!$F65='My investments'!$H$11,$AA65,0))</f>
        <v/>
      </c>
      <c r="AL65" s="36">
        <f>IF('My investments'!$H$12="",0,IF('My investments'!$F65='My investments'!$H$12,$AA65,0))</f>
        <v/>
      </c>
      <c r="AM65" s="36">
        <f>IF('My investments'!$H$13="",0,IF('My investments'!$F65='My investments'!$H$13,$AA65,0))</f>
        <v/>
      </c>
      <c r="AN65" s="36">
        <f>IF('My investments'!$H$14="",0,IF('My investments'!$F65='My investments'!$H$14,$AA65,0))</f>
        <v/>
      </c>
      <c r="AO65" s="36">
        <f>IF('My investments'!$H$15="",0,IF('My investments'!$F65='My investments'!$H$15,$AA65,0))</f>
        <v/>
      </c>
    </row>
    <row r="66" ht="15" customHeight="1" s="30">
      <c r="A66" s="36">
        <f>IF('My investments'!$C66="Worth today",1,0)</f>
        <v/>
      </c>
      <c r="B66" s="36">
        <f>IF('My investments'!$C66="Money in",1,0)</f>
        <v/>
      </c>
      <c r="AA66" s="36">
        <f>IF('My investments'!$C66="Money in",'My investments'!$D66,0)</f>
        <v/>
      </c>
      <c r="AB66" s="36">
        <f>IF('My investments'!$C66="Money out",'My investments'!$D66,0)</f>
        <v/>
      </c>
      <c r="AC66" s="36">
        <f>IF('My investments'!$C66="Worth today",'My investments'!$D66,0)</f>
        <v/>
      </c>
      <c r="AE66" s="36">
        <f>IF('My investments'!$H$11="",0,IF('My investments'!$F66='My investments'!$H$11,'My investments'!$E66,0))</f>
        <v/>
      </c>
      <c r="AF66" s="36">
        <f>IF('My investments'!$H$12="",0,IF('My investments'!$F66='My investments'!$H$12,'My investments'!$E66,0))</f>
        <v/>
      </c>
      <c r="AG66" s="36">
        <f>IF('My investments'!$H$13="",0,IF('My investments'!$F66='My investments'!$H$13,'My investments'!$E66,0))</f>
        <v/>
      </c>
      <c r="AH66" s="36">
        <f>IF('My investments'!$H$14="",0,IF('My investments'!$F66='My investments'!$H$14,'My investments'!$E66,0))</f>
        <v/>
      </c>
      <c r="AI66" s="36">
        <f>IF('My investments'!$H$15="",0,IF('My investments'!$F66='My investments'!$H$15,'My investments'!$E66,0))</f>
        <v/>
      </c>
      <c r="AK66" s="36">
        <f>IF('My investments'!$H$11="",0,IF('My investments'!$F66='My investments'!$H$11,$AA66,0))</f>
        <v/>
      </c>
      <c r="AL66" s="36">
        <f>IF('My investments'!$H$12="",0,IF('My investments'!$F66='My investments'!$H$12,$AA66,0))</f>
        <v/>
      </c>
      <c r="AM66" s="36">
        <f>IF('My investments'!$H$13="",0,IF('My investments'!$F66='My investments'!$H$13,$AA66,0))</f>
        <v/>
      </c>
      <c r="AN66" s="36">
        <f>IF('My investments'!$H$14="",0,IF('My investments'!$F66='My investments'!$H$14,$AA66,0))</f>
        <v/>
      </c>
      <c r="AO66" s="36">
        <f>IF('My investments'!$H$15="",0,IF('My investments'!$F66='My investments'!$H$15,$AA66,0))</f>
        <v/>
      </c>
    </row>
    <row r="67" ht="15" customHeight="1" s="30">
      <c r="A67" s="36">
        <f>IF('My investments'!$C67="Worth today",1,0)</f>
        <v/>
      </c>
      <c r="B67" s="36">
        <f>IF('My investments'!$C67="Money in",1,0)</f>
        <v/>
      </c>
      <c r="AA67" s="36">
        <f>IF('My investments'!$C67="Money in",'My investments'!$D67,0)</f>
        <v/>
      </c>
      <c r="AB67" s="36">
        <f>IF('My investments'!$C67="Money out",'My investments'!$D67,0)</f>
        <v/>
      </c>
      <c r="AC67" s="36">
        <f>IF('My investments'!$C67="Worth today",'My investments'!$D67,0)</f>
        <v/>
      </c>
      <c r="AE67" s="36">
        <f>IF('My investments'!$H$11="",0,IF('My investments'!$F67='My investments'!$H$11,'My investments'!$E67,0))</f>
        <v/>
      </c>
      <c r="AF67" s="36">
        <f>IF('My investments'!$H$12="",0,IF('My investments'!$F67='My investments'!$H$12,'My investments'!$E67,0))</f>
        <v/>
      </c>
      <c r="AG67" s="36">
        <f>IF('My investments'!$H$13="",0,IF('My investments'!$F67='My investments'!$H$13,'My investments'!$E67,0))</f>
        <v/>
      </c>
      <c r="AH67" s="36">
        <f>IF('My investments'!$H$14="",0,IF('My investments'!$F67='My investments'!$H$14,'My investments'!$E67,0))</f>
        <v/>
      </c>
      <c r="AI67" s="36">
        <f>IF('My investments'!$H$15="",0,IF('My investments'!$F67='My investments'!$H$15,'My investments'!$E67,0))</f>
        <v/>
      </c>
      <c r="AK67" s="36">
        <f>IF('My investments'!$H$11="",0,IF('My investments'!$F67='My investments'!$H$11,$AA67,0))</f>
        <v/>
      </c>
      <c r="AL67" s="36">
        <f>IF('My investments'!$H$12="",0,IF('My investments'!$F67='My investments'!$H$12,$AA67,0))</f>
        <v/>
      </c>
      <c r="AM67" s="36">
        <f>IF('My investments'!$H$13="",0,IF('My investments'!$F67='My investments'!$H$13,$AA67,0))</f>
        <v/>
      </c>
      <c r="AN67" s="36">
        <f>IF('My investments'!$H$14="",0,IF('My investments'!$F67='My investments'!$H$14,$AA67,0))</f>
        <v/>
      </c>
      <c r="AO67" s="36">
        <f>IF('My investments'!$H$15="",0,IF('My investments'!$F67='My investments'!$H$15,$AA67,0))</f>
        <v/>
      </c>
    </row>
    <row r="68" ht="15" customHeight="1" s="30">
      <c r="A68" s="36">
        <f>IF('My investments'!$C68="Worth today",1,0)</f>
        <v/>
      </c>
      <c r="B68" s="36">
        <f>IF('My investments'!$C68="Money in",1,0)</f>
        <v/>
      </c>
      <c r="AA68" s="36">
        <f>IF('My investments'!$C68="Money in",'My investments'!$D68,0)</f>
        <v/>
      </c>
      <c r="AB68" s="36">
        <f>IF('My investments'!$C68="Money out",'My investments'!$D68,0)</f>
        <v/>
      </c>
      <c r="AC68" s="36">
        <f>IF('My investments'!$C68="Worth today",'My investments'!$D68,0)</f>
        <v/>
      </c>
      <c r="AE68" s="36">
        <f>IF('My investments'!$H$11="",0,IF('My investments'!$F68='My investments'!$H$11,'My investments'!$E68,0))</f>
        <v/>
      </c>
      <c r="AF68" s="36">
        <f>IF('My investments'!$H$12="",0,IF('My investments'!$F68='My investments'!$H$12,'My investments'!$E68,0))</f>
        <v/>
      </c>
      <c r="AG68" s="36">
        <f>IF('My investments'!$H$13="",0,IF('My investments'!$F68='My investments'!$H$13,'My investments'!$E68,0))</f>
        <v/>
      </c>
      <c r="AH68" s="36">
        <f>IF('My investments'!$H$14="",0,IF('My investments'!$F68='My investments'!$H$14,'My investments'!$E68,0))</f>
        <v/>
      </c>
      <c r="AI68" s="36">
        <f>IF('My investments'!$H$15="",0,IF('My investments'!$F68='My investments'!$H$15,'My investments'!$E68,0))</f>
        <v/>
      </c>
      <c r="AK68" s="36">
        <f>IF('My investments'!$H$11="",0,IF('My investments'!$F68='My investments'!$H$11,$AA68,0))</f>
        <v/>
      </c>
      <c r="AL68" s="36">
        <f>IF('My investments'!$H$12="",0,IF('My investments'!$F68='My investments'!$H$12,$AA68,0))</f>
        <v/>
      </c>
      <c r="AM68" s="36">
        <f>IF('My investments'!$H$13="",0,IF('My investments'!$F68='My investments'!$H$13,$AA68,0))</f>
        <v/>
      </c>
      <c r="AN68" s="36">
        <f>IF('My investments'!$H$14="",0,IF('My investments'!$F68='My investments'!$H$14,$AA68,0))</f>
        <v/>
      </c>
      <c r="AO68" s="36">
        <f>IF('My investments'!$H$15="",0,IF('My investments'!$F68='My investments'!$H$15,$AA68,0))</f>
        <v/>
      </c>
    </row>
    <row r="69" ht="15" customHeight="1" s="30">
      <c r="A69" s="36">
        <f>IF('My investments'!$C69="Worth today",1,0)</f>
        <v/>
      </c>
      <c r="B69" s="36">
        <f>IF('My investments'!$C69="Money in",1,0)</f>
        <v/>
      </c>
      <c r="AA69" s="36">
        <f>IF('My investments'!$C69="Money in",'My investments'!$D69,0)</f>
        <v/>
      </c>
      <c r="AB69" s="36">
        <f>IF('My investments'!$C69="Money out",'My investments'!$D69,0)</f>
        <v/>
      </c>
      <c r="AC69" s="36">
        <f>IF('My investments'!$C69="Worth today",'My investments'!$D69,0)</f>
        <v/>
      </c>
      <c r="AE69" s="36">
        <f>IF('My investments'!$H$11="",0,IF('My investments'!$F69='My investments'!$H$11,'My investments'!$E69,0))</f>
        <v/>
      </c>
      <c r="AF69" s="36">
        <f>IF('My investments'!$H$12="",0,IF('My investments'!$F69='My investments'!$H$12,'My investments'!$E69,0))</f>
        <v/>
      </c>
      <c r="AG69" s="36">
        <f>IF('My investments'!$H$13="",0,IF('My investments'!$F69='My investments'!$H$13,'My investments'!$E69,0))</f>
        <v/>
      </c>
      <c r="AH69" s="36">
        <f>IF('My investments'!$H$14="",0,IF('My investments'!$F69='My investments'!$H$14,'My investments'!$E69,0))</f>
        <v/>
      </c>
      <c r="AI69" s="36">
        <f>IF('My investments'!$H$15="",0,IF('My investments'!$F69='My investments'!$H$15,'My investments'!$E69,0))</f>
        <v/>
      </c>
      <c r="AK69" s="36">
        <f>IF('My investments'!$H$11="",0,IF('My investments'!$F69='My investments'!$H$11,$AA69,0))</f>
        <v/>
      </c>
      <c r="AL69" s="36">
        <f>IF('My investments'!$H$12="",0,IF('My investments'!$F69='My investments'!$H$12,$AA69,0))</f>
        <v/>
      </c>
      <c r="AM69" s="36">
        <f>IF('My investments'!$H$13="",0,IF('My investments'!$F69='My investments'!$H$13,$AA69,0))</f>
        <v/>
      </c>
      <c r="AN69" s="36">
        <f>IF('My investments'!$H$14="",0,IF('My investments'!$F69='My investments'!$H$14,$AA69,0))</f>
        <v/>
      </c>
      <c r="AO69" s="36">
        <f>IF('My investments'!$H$15="",0,IF('My investments'!$F69='My investments'!$H$15,$AA69,0))</f>
        <v/>
      </c>
    </row>
    <row r="70" ht="15" customHeight="1" s="30">
      <c r="A70" s="36">
        <f>IF('My investments'!$C70="Worth today",1,0)</f>
        <v/>
      </c>
      <c r="B70" s="36">
        <f>IF('My investments'!$C70="Money in",1,0)</f>
        <v/>
      </c>
      <c r="AA70" s="36">
        <f>IF('My investments'!$C70="Money in",'My investments'!$D70,0)</f>
        <v/>
      </c>
      <c r="AB70" s="36">
        <f>IF('My investments'!$C70="Money out",'My investments'!$D70,0)</f>
        <v/>
      </c>
      <c r="AC70" s="36">
        <f>IF('My investments'!$C70="Worth today",'My investments'!$D70,0)</f>
        <v/>
      </c>
      <c r="AE70" s="36">
        <f>IF('My investments'!$H$11="",0,IF('My investments'!$F70='My investments'!$H$11,'My investments'!$E70,0))</f>
        <v/>
      </c>
      <c r="AF70" s="36">
        <f>IF('My investments'!$H$12="",0,IF('My investments'!$F70='My investments'!$H$12,'My investments'!$E70,0))</f>
        <v/>
      </c>
      <c r="AG70" s="36">
        <f>IF('My investments'!$H$13="",0,IF('My investments'!$F70='My investments'!$H$13,'My investments'!$E70,0))</f>
        <v/>
      </c>
      <c r="AH70" s="36">
        <f>IF('My investments'!$H$14="",0,IF('My investments'!$F70='My investments'!$H$14,'My investments'!$E70,0))</f>
        <v/>
      </c>
      <c r="AI70" s="36">
        <f>IF('My investments'!$H$15="",0,IF('My investments'!$F70='My investments'!$H$15,'My investments'!$E70,0))</f>
        <v/>
      </c>
      <c r="AK70" s="36">
        <f>IF('My investments'!$H$11="",0,IF('My investments'!$F70='My investments'!$H$11,$AA70,0))</f>
        <v/>
      </c>
      <c r="AL70" s="36">
        <f>IF('My investments'!$H$12="",0,IF('My investments'!$F70='My investments'!$H$12,$AA70,0))</f>
        <v/>
      </c>
      <c r="AM70" s="36">
        <f>IF('My investments'!$H$13="",0,IF('My investments'!$F70='My investments'!$H$13,$AA70,0))</f>
        <v/>
      </c>
      <c r="AN70" s="36">
        <f>IF('My investments'!$H$14="",0,IF('My investments'!$F70='My investments'!$H$14,$AA70,0))</f>
        <v/>
      </c>
      <c r="AO70" s="36">
        <f>IF('My investments'!$H$15="",0,IF('My investments'!$F70='My investments'!$H$15,$AA70,0))</f>
        <v/>
      </c>
    </row>
    <row r="71" ht="15" customHeight="1" s="30">
      <c r="A71" s="36">
        <f>IF('My investments'!$C71="Worth today",1,0)</f>
        <v/>
      </c>
      <c r="B71" s="36">
        <f>IF('My investments'!$C71="Money in",1,0)</f>
        <v/>
      </c>
      <c r="AA71" s="36">
        <f>IF('My investments'!$C71="Money in",'My investments'!$D71,0)</f>
        <v/>
      </c>
      <c r="AB71" s="36">
        <f>IF('My investments'!$C71="Money out",'My investments'!$D71,0)</f>
        <v/>
      </c>
      <c r="AC71" s="36">
        <f>IF('My investments'!$C71="Worth today",'My investments'!$D71,0)</f>
        <v/>
      </c>
      <c r="AE71" s="36">
        <f>IF('My investments'!$H$11="",0,IF('My investments'!$F71='My investments'!$H$11,'My investments'!$E71,0))</f>
        <v/>
      </c>
      <c r="AF71" s="36">
        <f>IF('My investments'!$H$12="",0,IF('My investments'!$F71='My investments'!$H$12,'My investments'!$E71,0))</f>
        <v/>
      </c>
      <c r="AG71" s="36">
        <f>IF('My investments'!$H$13="",0,IF('My investments'!$F71='My investments'!$H$13,'My investments'!$E71,0))</f>
        <v/>
      </c>
      <c r="AH71" s="36">
        <f>IF('My investments'!$H$14="",0,IF('My investments'!$F71='My investments'!$H$14,'My investments'!$E71,0))</f>
        <v/>
      </c>
      <c r="AI71" s="36">
        <f>IF('My investments'!$H$15="",0,IF('My investments'!$F71='My investments'!$H$15,'My investments'!$E71,0))</f>
        <v/>
      </c>
      <c r="AK71" s="36">
        <f>IF('My investments'!$H$11="",0,IF('My investments'!$F71='My investments'!$H$11,$AA71,0))</f>
        <v/>
      </c>
      <c r="AL71" s="36">
        <f>IF('My investments'!$H$12="",0,IF('My investments'!$F71='My investments'!$H$12,$AA71,0))</f>
        <v/>
      </c>
      <c r="AM71" s="36">
        <f>IF('My investments'!$H$13="",0,IF('My investments'!$F71='My investments'!$H$13,$AA71,0))</f>
        <v/>
      </c>
      <c r="AN71" s="36">
        <f>IF('My investments'!$H$14="",0,IF('My investments'!$F71='My investments'!$H$14,$AA71,0))</f>
        <v/>
      </c>
      <c r="AO71" s="36">
        <f>IF('My investments'!$H$15="",0,IF('My investments'!$F71='My investments'!$H$15,$AA71,0))</f>
        <v/>
      </c>
    </row>
    <row r="72" ht="15" customHeight="1" s="30">
      <c r="A72" s="36">
        <f>IF('My investments'!$C72="Worth today",1,0)</f>
        <v/>
      </c>
      <c r="B72" s="36">
        <f>IF('My investments'!$C72="Money in",1,0)</f>
        <v/>
      </c>
      <c r="AA72" s="36">
        <f>IF('My investments'!$C72="Money in",'My investments'!$D72,0)</f>
        <v/>
      </c>
      <c r="AB72" s="36">
        <f>IF('My investments'!$C72="Money out",'My investments'!$D72,0)</f>
        <v/>
      </c>
      <c r="AC72" s="36">
        <f>IF('My investments'!$C72="Worth today",'My investments'!$D72,0)</f>
        <v/>
      </c>
      <c r="AE72" s="36">
        <f>IF('My investments'!$H$11="",0,IF('My investments'!$F72='My investments'!$H$11,'My investments'!$E72,0))</f>
        <v/>
      </c>
      <c r="AF72" s="36">
        <f>IF('My investments'!$H$12="",0,IF('My investments'!$F72='My investments'!$H$12,'My investments'!$E72,0))</f>
        <v/>
      </c>
      <c r="AG72" s="36">
        <f>IF('My investments'!$H$13="",0,IF('My investments'!$F72='My investments'!$H$13,'My investments'!$E72,0))</f>
        <v/>
      </c>
      <c r="AH72" s="36">
        <f>IF('My investments'!$H$14="",0,IF('My investments'!$F72='My investments'!$H$14,'My investments'!$E72,0))</f>
        <v/>
      </c>
      <c r="AI72" s="36">
        <f>IF('My investments'!$H$15="",0,IF('My investments'!$F72='My investments'!$H$15,'My investments'!$E72,0))</f>
        <v/>
      </c>
      <c r="AK72" s="36">
        <f>IF('My investments'!$H$11="",0,IF('My investments'!$F72='My investments'!$H$11,$AA72,0))</f>
        <v/>
      </c>
      <c r="AL72" s="36">
        <f>IF('My investments'!$H$12="",0,IF('My investments'!$F72='My investments'!$H$12,$AA72,0))</f>
        <v/>
      </c>
      <c r="AM72" s="36">
        <f>IF('My investments'!$H$13="",0,IF('My investments'!$F72='My investments'!$H$13,$AA72,0))</f>
        <v/>
      </c>
      <c r="AN72" s="36">
        <f>IF('My investments'!$H$14="",0,IF('My investments'!$F72='My investments'!$H$14,$AA72,0))</f>
        <v/>
      </c>
      <c r="AO72" s="36">
        <f>IF('My investments'!$H$15="",0,IF('My investments'!$F72='My investments'!$H$15,$AA72,0))</f>
        <v/>
      </c>
    </row>
    <row r="73" ht="15" customHeight="1" s="30">
      <c r="A73" s="36">
        <f>IF('My investments'!$C73="Worth today",1,0)</f>
        <v/>
      </c>
      <c r="B73" s="36">
        <f>IF('My investments'!$C73="Money in",1,0)</f>
        <v/>
      </c>
      <c r="AA73" s="36">
        <f>IF('My investments'!$C73="Money in",'My investments'!$D73,0)</f>
        <v/>
      </c>
      <c r="AB73" s="36">
        <f>IF('My investments'!$C73="Money out",'My investments'!$D73,0)</f>
        <v/>
      </c>
      <c r="AC73" s="36">
        <f>IF('My investments'!$C73="Worth today",'My investments'!$D73,0)</f>
        <v/>
      </c>
      <c r="AE73" s="36">
        <f>IF('My investments'!$H$11="",0,IF('My investments'!$F73='My investments'!$H$11,'My investments'!$E73,0))</f>
        <v/>
      </c>
      <c r="AF73" s="36">
        <f>IF('My investments'!$H$12="",0,IF('My investments'!$F73='My investments'!$H$12,'My investments'!$E73,0))</f>
        <v/>
      </c>
      <c r="AG73" s="36">
        <f>IF('My investments'!$H$13="",0,IF('My investments'!$F73='My investments'!$H$13,'My investments'!$E73,0))</f>
        <v/>
      </c>
      <c r="AH73" s="36">
        <f>IF('My investments'!$H$14="",0,IF('My investments'!$F73='My investments'!$H$14,'My investments'!$E73,0))</f>
        <v/>
      </c>
      <c r="AI73" s="36">
        <f>IF('My investments'!$H$15="",0,IF('My investments'!$F73='My investments'!$H$15,'My investments'!$E73,0))</f>
        <v/>
      </c>
      <c r="AK73" s="36">
        <f>IF('My investments'!$H$11="",0,IF('My investments'!$F73='My investments'!$H$11,$AA73,0))</f>
        <v/>
      </c>
      <c r="AL73" s="36">
        <f>IF('My investments'!$H$12="",0,IF('My investments'!$F73='My investments'!$H$12,$AA73,0))</f>
        <v/>
      </c>
      <c r="AM73" s="36">
        <f>IF('My investments'!$H$13="",0,IF('My investments'!$F73='My investments'!$H$13,$AA73,0))</f>
        <v/>
      </c>
      <c r="AN73" s="36">
        <f>IF('My investments'!$H$14="",0,IF('My investments'!$F73='My investments'!$H$14,$AA73,0))</f>
        <v/>
      </c>
      <c r="AO73" s="36">
        <f>IF('My investments'!$H$15="",0,IF('My investments'!$F73='My investments'!$H$15,$AA73,0))</f>
        <v/>
      </c>
    </row>
    <row r="74" ht="15" customHeight="1" s="30">
      <c r="A74" s="36">
        <f>IF('My investments'!$C74="Worth today",1,0)</f>
        <v/>
      </c>
      <c r="B74" s="36">
        <f>IF('My investments'!$C74="Money in",1,0)</f>
        <v/>
      </c>
      <c r="AA74" s="36">
        <f>IF('My investments'!$C74="Money in",'My investments'!$D74,0)</f>
        <v/>
      </c>
      <c r="AB74" s="36">
        <f>IF('My investments'!$C74="Money out",'My investments'!$D74,0)</f>
        <v/>
      </c>
      <c r="AC74" s="36">
        <f>IF('My investments'!$C74="Worth today",'My investments'!$D74,0)</f>
        <v/>
      </c>
      <c r="AE74" s="36">
        <f>IF('My investments'!$H$11="",0,IF('My investments'!$F74='My investments'!$H$11,'My investments'!$E74,0))</f>
        <v/>
      </c>
      <c r="AF74" s="36">
        <f>IF('My investments'!$H$12="",0,IF('My investments'!$F74='My investments'!$H$12,'My investments'!$E74,0))</f>
        <v/>
      </c>
      <c r="AG74" s="36">
        <f>IF('My investments'!$H$13="",0,IF('My investments'!$F74='My investments'!$H$13,'My investments'!$E74,0))</f>
        <v/>
      </c>
      <c r="AH74" s="36">
        <f>IF('My investments'!$H$14="",0,IF('My investments'!$F74='My investments'!$H$14,'My investments'!$E74,0))</f>
        <v/>
      </c>
      <c r="AI74" s="36">
        <f>IF('My investments'!$H$15="",0,IF('My investments'!$F74='My investments'!$H$15,'My investments'!$E74,0))</f>
        <v/>
      </c>
      <c r="AK74" s="36">
        <f>IF('My investments'!$H$11="",0,IF('My investments'!$F74='My investments'!$H$11,$AA74,0))</f>
        <v/>
      </c>
      <c r="AL74" s="36">
        <f>IF('My investments'!$H$12="",0,IF('My investments'!$F74='My investments'!$H$12,$AA74,0))</f>
        <v/>
      </c>
      <c r="AM74" s="36">
        <f>IF('My investments'!$H$13="",0,IF('My investments'!$F74='My investments'!$H$13,$AA74,0))</f>
        <v/>
      </c>
      <c r="AN74" s="36">
        <f>IF('My investments'!$H$14="",0,IF('My investments'!$F74='My investments'!$H$14,$AA74,0))</f>
        <v/>
      </c>
      <c r="AO74" s="36">
        <f>IF('My investments'!$H$15="",0,IF('My investments'!$F74='My investments'!$H$15,$AA74,0))</f>
        <v/>
      </c>
    </row>
    <row r="75" ht="15" customHeight="1" s="30">
      <c r="A75" s="36">
        <f>IF('My investments'!$C75="Worth today",1,0)</f>
        <v/>
      </c>
      <c r="B75" s="36">
        <f>IF('My investments'!$C75="Money in",1,0)</f>
        <v/>
      </c>
      <c r="AA75" s="36">
        <f>IF('My investments'!$C75="Money in",'My investments'!$D75,0)</f>
        <v/>
      </c>
      <c r="AB75" s="36">
        <f>IF('My investments'!$C75="Money out",'My investments'!$D75,0)</f>
        <v/>
      </c>
      <c r="AC75" s="36">
        <f>IF('My investments'!$C75="Worth today",'My investments'!$D75,0)</f>
        <v/>
      </c>
      <c r="AE75" s="36">
        <f>IF('My investments'!$H$11="",0,IF('My investments'!$F75='My investments'!$H$11,'My investments'!$E75,0))</f>
        <v/>
      </c>
      <c r="AF75" s="36">
        <f>IF('My investments'!$H$12="",0,IF('My investments'!$F75='My investments'!$H$12,'My investments'!$E75,0))</f>
        <v/>
      </c>
      <c r="AG75" s="36">
        <f>IF('My investments'!$H$13="",0,IF('My investments'!$F75='My investments'!$H$13,'My investments'!$E75,0))</f>
        <v/>
      </c>
      <c r="AH75" s="36">
        <f>IF('My investments'!$H$14="",0,IF('My investments'!$F75='My investments'!$H$14,'My investments'!$E75,0))</f>
        <v/>
      </c>
      <c r="AI75" s="36">
        <f>IF('My investments'!$H$15="",0,IF('My investments'!$F75='My investments'!$H$15,'My investments'!$E75,0))</f>
        <v/>
      </c>
      <c r="AK75" s="36">
        <f>IF('My investments'!$H$11="",0,IF('My investments'!$F75='My investments'!$H$11,$AA75,0))</f>
        <v/>
      </c>
      <c r="AL75" s="36">
        <f>IF('My investments'!$H$12="",0,IF('My investments'!$F75='My investments'!$H$12,$AA75,0))</f>
        <v/>
      </c>
      <c r="AM75" s="36">
        <f>IF('My investments'!$H$13="",0,IF('My investments'!$F75='My investments'!$H$13,$AA75,0))</f>
        <v/>
      </c>
      <c r="AN75" s="36">
        <f>IF('My investments'!$H$14="",0,IF('My investments'!$F75='My investments'!$H$14,$AA75,0))</f>
        <v/>
      </c>
      <c r="AO75" s="36">
        <f>IF('My investments'!$H$15="",0,IF('My investments'!$F75='My investments'!$H$15,$AA75,0))</f>
        <v/>
      </c>
    </row>
    <row r="76" ht="15" customHeight="1" s="30">
      <c r="A76" s="36">
        <f>IF('My investments'!$C76="Worth today",1,0)</f>
        <v/>
      </c>
      <c r="B76" s="36">
        <f>IF('My investments'!$C76="Money in",1,0)</f>
        <v/>
      </c>
      <c r="AA76" s="36">
        <f>IF('My investments'!$C76="Money in",'My investments'!$D76,0)</f>
        <v/>
      </c>
      <c r="AB76" s="36">
        <f>IF('My investments'!$C76="Money out",'My investments'!$D76,0)</f>
        <v/>
      </c>
      <c r="AC76" s="36">
        <f>IF('My investments'!$C76="Worth today",'My investments'!$D76,0)</f>
        <v/>
      </c>
      <c r="AE76" s="36">
        <f>IF('My investments'!$H$11="",0,IF('My investments'!$F76='My investments'!$H$11,'My investments'!$E76,0))</f>
        <v/>
      </c>
      <c r="AF76" s="36">
        <f>IF('My investments'!$H$12="",0,IF('My investments'!$F76='My investments'!$H$12,'My investments'!$E76,0))</f>
        <v/>
      </c>
      <c r="AG76" s="36">
        <f>IF('My investments'!$H$13="",0,IF('My investments'!$F76='My investments'!$H$13,'My investments'!$E76,0))</f>
        <v/>
      </c>
      <c r="AH76" s="36">
        <f>IF('My investments'!$H$14="",0,IF('My investments'!$F76='My investments'!$H$14,'My investments'!$E76,0))</f>
        <v/>
      </c>
      <c r="AI76" s="36">
        <f>IF('My investments'!$H$15="",0,IF('My investments'!$F76='My investments'!$H$15,'My investments'!$E76,0))</f>
        <v/>
      </c>
      <c r="AK76" s="36">
        <f>IF('My investments'!$H$11="",0,IF('My investments'!$F76='My investments'!$H$11,$AA76,0))</f>
        <v/>
      </c>
      <c r="AL76" s="36">
        <f>IF('My investments'!$H$12="",0,IF('My investments'!$F76='My investments'!$H$12,$AA76,0))</f>
        <v/>
      </c>
      <c r="AM76" s="36">
        <f>IF('My investments'!$H$13="",0,IF('My investments'!$F76='My investments'!$H$13,$AA76,0))</f>
        <v/>
      </c>
      <c r="AN76" s="36">
        <f>IF('My investments'!$H$14="",0,IF('My investments'!$F76='My investments'!$H$14,$AA76,0))</f>
        <v/>
      </c>
      <c r="AO76" s="36">
        <f>IF('My investments'!$H$15="",0,IF('My investments'!$F76='My investments'!$H$15,$AA76,0))</f>
        <v/>
      </c>
    </row>
    <row r="77" ht="15" customHeight="1" s="30">
      <c r="A77" s="36">
        <f>IF('My investments'!$C77="Worth today",1,0)</f>
        <v/>
      </c>
      <c r="B77" s="36">
        <f>IF('My investments'!$C77="Money in",1,0)</f>
        <v/>
      </c>
      <c r="AA77" s="36">
        <f>IF('My investments'!$C77="Money in",'My investments'!$D77,0)</f>
        <v/>
      </c>
      <c r="AB77" s="36">
        <f>IF('My investments'!$C77="Money out",'My investments'!$D77,0)</f>
        <v/>
      </c>
      <c r="AC77" s="36">
        <f>IF('My investments'!$C77="Worth today",'My investments'!$D77,0)</f>
        <v/>
      </c>
      <c r="AE77" s="36">
        <f>IF('My investments'!$H$11="",0,IF('My investments'!$F77='My investments'!$H$11,'My investments'!$E77,0))</f>
        <v/>
      </c>
      <c r="AF77" s="36">
        <f>IF('My investments'!$H$12="",0,IF('My investments'!$F77='My investments'!$H$12,'My investments'!$E77,0))</f>
        <v/>
      </c>
      <c r="AG77" s="36">
        <f>IF('My investments'!$H$13="",0,IF('My investments'!$F77='My investments'!$H$13,'My investments'!$E77,0))</f>
        <v/>
      </c>
      <c r="AH77" s="36">
        <f>IF('My investments'!$H$14="",0,IF('My investments'!$F77='My investments'!$H$14,'My investments'!$E77,0))</f>
        <v/>
      </c>
      <c r="AI77" s="36">
        <f>IF('My investments'!$H$15="",0,IF('My investments'!$F77='My investments'!$H$15,'My investments'!$E77,0))</f>
        <v/>
      </c>
      <c r="AK77" s="36">
        <f>IF('My investments'!$H$11="",0,IF('My investments'!$F77='My investments'!$H$11,$AA77,0))</f>
        <v/>
      </c>
      <c r="AL77" s="36">
        <f>IF('My investments'!$H$12="",0,IF('My investments'!$F77='My investments'!$H$12,$AA77,0))</f>
        <v/>
      </c>
      <c r="AM77" s="36">
        <f>IF('My investments'!$H$13="",0,IF('My investments'!$F77='My investments'!$H$13,$AA77,0))</f>
        <v/>
      </c>
      <c r="AN77" s="36">
        <f>IF('My investments'!$H$14="",0,IF('My investments'!$F77='My investments'!$H$14,$AA77,0))</f>
        <v/>
      </c>
      <c r="AO77" s="36">
        <f>IF('My investments'!$H$15="",0,IF('My investments'!$F77='My investments'!$H$15,$AA77,0))</f>
        <v/>
      </c>
    </row>
    <row r="78" ht="15" customHeight="1" s="30">
      <c r="A78" s="36">
        <f>IF('My investments'!$C78="Worth today",1,0)</f>
        <v/>
      </c>
      <c r="B78" s="36">
        <f>IF('My investments'!$C78="Money in",1,0)</f>
        <v/>
      </c>
      <c r="AA78" s="36">
        <f>IF('My investments'!$C78="Money in",'My investments'!$D78,0)</f>
        <v/>
      </c>
      <c r="AB78" s="36">
        <f>IF('My investments'!$C78="Money out",'My investments'!$D78,0)</f>
        <v/>
      </c>
      <c r="AC78" s="36">
        <f>IF('My investments'!$C78="Worth today",'My investments'!$D78,0)</f>
        <v/>
      </c>
      <c r="AE78" s="36">
        <f>IF('My investments'!$H$11="",0,IF('My investments'!$F78='My investments'!$H$11,'My investments'!$E78,0))</f>
        <v/>
      </c>
      <c r="AF78" s="36">
        <f>IF('My investments'!$H$12="",0,IF('My investments'!$F78='My investments'!$H$12,'My investments'!$E78,0))</f>
        <v/>
      </c>
      <c r="AG78" s="36">
        <f>IF('My investments'!$H$13="",0,IF('My investments'!$F78='My investments'!$H$13,'My investments'!$E78,0))</f>
        <v/>
      </c>
      <c r="AH78" s="36">
        <f>IF('My investments'!$H$14="",0,IF('My investments'!$F78='My investments'!$H$14,'My investments'!$E78,0))</f>
        <v/>
      </c>
      <c r="AI78" s="36">
        <f>IF('My investments'!$H$15="",0,IF('My investments'!$F78='My investments'!$H$15,'My investments'!$E78,0))</f>
        <v/>
      </c>
      <c r="AK78" s="36">
        <f>IF('My investments'!$H$11="",0,IF('My investments'!$F78='My investments'!$H$11,$AA78,0))</f>
        <v/>
      </c>
      <c r="AL78" s="36">
        <f>IF('My investments'!$H$12="",0,IF('My investments'!$F78='My investments'!$H$12,$AA78,0))</f>
        <v/>
      </c>
      <c r="AM78" s="36">
        <f>IF('My investments'!$H$13="",0,IF('My investments'!$F78='My investments'!$H$13,$AA78,0))</f>
        <v/>
      </c>
      <c r="AN78" s="36">
        <f>IF('My investments'!$H$14="",0,IF('My investments'!$F78='My investments'!$H$14,$AA78,0))</f>
        <v/>
      </c>
      <c r="AO78" s="36">
        <f>IF('My investments'!$H$15="",0,IF('My investments'!$F78='My investments'!$H$15,$AA78,0))</f>
        <v/>
      </c>
    </row>
    <row r="79" ht="15" customHeight="1" s="30">
      <c r="A79" s="36">
        <f>IF('My investments'!$C79="Worth today",1,0)</f>
        <v/>
      </c>
      <c r="B79" s="36">
        <f>IF('My investments'!$C79="Money in",1,0)</f>
        <v/>
      </c>
      <c r="AA79" s="36">
        <f>IF('My investments'!$C79="Money in",'My investments'!$D79,0)</f>
        <v/>
      </c>
      <c r="AB79" s="36">
        <f>IF('My investments'!$C79="Money out",'My investments'!$D79,0)</f>
        <v/>
      </c>
      <c r="AC79" s="36">
        <f>IF('My investments'!$C79="Worth today",'My investments'!$D79,0)</f>
        <v/>
      </c>
      <c r="AE79" s="36">
        <f>IF('My investments'!$H$11="",0,IF('My investments'!$F79='My investments'!$H$11,'My investments'!$E79,0))</f>
        <v/>
      </c>
      <c r="AF79" s="36">
        <f>IF('My investments'!$H$12="",0,IF('My investments'!$F79='My investments'!$H$12,'My investments'!$E79,0))</f>
        <v/>
      </c>
      <c r="AG79" s="36">
        <f>IF('My investments'!$H$13="",0,IF('My investments'!$F79='My investments'!$H$13,'My investments'!$E79,0))</f>
        <v/>
      </c>
      <c r="AH79" s="36">
        <f>IF('My investments'!$H$14="",0,IF('My investments'!$F79='My investments'!$H$14,'My investments'!$E79,0))</f>
        <v/>
      </c>
      <c r="AI79" s="36">
        <f>IF('My investments'!$H$15="",0,IF('My investments'!$F79='My investments'!$H$15,'My investments'!$E79,0))</f>
        <v/>
      </c>
      <c r="AK79" s="36">
        <f>IF('My investments'!$H$11="",0,IF('My investments'!$F79='My investments'!$H$11,$AA79,0))</f>
        <v/>
      </c>
      <c r="AL79" s="36">
        <f>IF('My investments'!$H$12="",0,IF('My investments'!$F79='My investments'!$H$12,$AA79,0))</f>
        <v/>
      </c>
      <c r="AM79" s="36">
        <f>IF('My investments'!$H$13="",0,IF('My investments'!$F79='My investments'!$H$13,$AA79,0))</f>
        <v/>
      </c>
      <c r="AN79" s="36">
        <f>IF('My investments'!$H$14="",0,IF('My investments'!$F79='My investments'!$H$14,$AA79,0))</f>
        <v/>
      </c>
      <c r="AO79" s="36">
        <f>IF('My investments'!$H$15="",0,IF('My investments'!$F79='My investments'!$H$15,$AA79,0))</f>
        <v/>
      </c>
    </row>
    <row r="80" ht="15" customHeight="1" s="30">
      <c r="A80" s="36">
        <f>IF('My investments'!$C80="Worth today",1,0)</f>
        <v/>
      </c>
      <c r="B80" s="36">
        <f>IF('My investments'!$C80="Money in",1,0)</f>
        <v/>
      </c>
      <c r="AA80" s="36">
        <f>IF('My investments'!$C80="Money in",'My investments'!$D80,0)</f>
        <v/>
      </c>
      <c r="AB80" s="36">
        <f>IF('My investments'!$C80="Money out",'My investments'!$D80,0)</f>
        <v/>
      </c>
      <c r="AC80" s="36">
        <f>IF('My investments'!$C80="Worth today",'My investments'!$D80,0)</f>
        <v/>
      </c>
      <c r="AE80" s="36">
        <f>IF('My investments'!$H$11="",0,IF('My investments'!$F80='My investments'!$H$11,'My investments'!$E80,0))</f>
        <v/>
      </c>
      <c r="AF80" s="36">
        <f>IF('My investments'!$H$12="",0,IF('My investments'!$F80='My investments'!$H$12,'My investments'!$E80,0))</f>
        <v/>
      </c>
      <c r="AG80" s="36">
        <f>IF('My investments'!$H$13="",0,IF('My investments'!$F80='My investments'!$H$13,'My investments'!$E80,0))</f>
        <v/>
      </c>
      <c r="AH80" s="36">
        <f>IF('My investments'!$H$14="",0,IF('My investments'!$F80='My investments'!$H$14,'My investments'!$E80,0))</f>
        <v/>
      </c>
      <c r="AI80" s="36">
        <f>IF('My investments'!$H$15="",0,IF('My investments'!$F80='My investments'!$H$15,'My investments'!$E80,0))</f>
        <v/>
      </c>
      <c r="AK80" s="36">
        <f>IF('My investments'!$H$11="",0,IF('My investments'!$F80='My investments'!$H$11,$AA80,0))</f>
        <v/>
      </c>
      <c r="AL80" s="36">
        <f>IF('My investments'!$H$12="",0,IF('My investments'!$F80='My investments'!$H$12,$AA80,0))</f>
        <v/>
      </c>
      <c r="AM80" s="36">
        <f>IF('My investments'!$H$13="",0,IF('My investments'!$F80='My investments'!$H$13,$AA80,0))</f>
        <v/>
      </c>
      <c r="AN80" s="36">
        <f>IF('My investments'!$H$14="",0,IF('My investments'!$F80='My investments'!$H$14,$AA80,0))</f>
        <v/>
      </c>
      <c r="AO80" s="36">
        <f>IF('My investments'!$H$15="",0,IF('My investments'!$F80='My investments'!$H$15,$AA80,0))</f>
        <v/>
      </c>
    </row>
    <row r="81" ht="15" customHeight="1" s="30">
      <c r="A81" s="36">
        <f>IF('My investments'!$C81="Worth today",1,0)</f>
        <v/>
      </c>
      <c r="B81" s="36">
        <f>IF('My investments'!$C81="Money in",1,0)</f>
        <v/>
      </c>
      <c r="AA81" s="36">
        <f>IF('My investments'!$C81="Money in",'My investments'!$D81,0)</f>
        <v/>
      </c>
      <c r="AB81" s="36">
        <f>IF('My investments'!$C81="Money out",'My investments'!$D81,0)</f>
        <v/>
      </c>
      <c r="AC81" s="36">
        <f>IF('My investments'!$C81="Worth today",'My investments'!$D81,0)</f>
        <v/>
      </c>
      <c r="AE81" s="36">
        <f>IF('My investments'!$H$11="",0,IF('My investments'!$F81='My investments'!$H$11,'My investments'!$E81,0))</f>
        <v/>
      </c>
      <c r="AF81" s="36">
        <f>IF('My investments'!$H$12="",0,IF('My investments'!$F81='My investments'!$H$12,'My investments'!$E81,0))</f>
        <v/>
      </c>
      <c r="AG81" s="36">
        <f>IF('My investments'!$H$13="",0,IF('My investments'!$F81='My investments'!$H$13,'My investments'!$E81,0))</f>
        <v/>
      </c>
      <c r="AH81" s="36">
        <f>IF('My investments'!$H$14="",0,IF('My investments'!$F81='My investments'!$H$14,'My investments'!$E81,0))</f>
        <v/>
      </c>
      <c r="AI81" s="36">
        <f>IF('My investments'!$H$15="",0,IF('My investments'!$F81='My investments'!$H$15,'My investments'!$E81,0))</f>
        <v/>
      </c>
      <c r="AK81" s="36">
        <f>IF('My investments'!$H$11="",0,IF('My investments'!$F81='My investments'!$H$11,$AA81,0))</f>
        <v/>
      </c>
      <c r="AL81" s="36">
        <f>IF('My investments'!$H$12="",0,IF('My investments'!$F81='My investments'!$H$12,$AA81,0))</f>
        <v/>
      </c>
      <c r="AM81" s="36">
        <f>IF('My investments'!$H$13="",0,IF('My investments'!$F81='My investments'!$H$13,$AA81,0))</f>
        <v/>
      </c>
      <c r="AN81" s="36">
        <f>IF('My investments'!$H$14="",0,IF('My investments'!$F81='My investments'!$H$14,$AA81,0))</f>
        <v/>
      </c>
      <c r="AO81" s="36">
        <f>IF('My investments'!$H$15="",0,IF('My investments'!$F81='My investments'!$H$15,$AA81,0))</f>
        <v/>
      </c>
    </row>
    <row r="82" ht="15" customHeight="1" s="30">
      <c r="A82" s="36">
        <f>IF('My investments'!$C82="Worth today",1,0)</f>
        <v/>
      </c>
      <c r="B82" s="36">
        <f>IF('My investments'!$C82="Money in",1,0)</f>
        <v/>
      </c>
      <c r="AA82" s="36">
        <f>IF('My investments'!$C82="Money in",'My investments'!$D82,0)</f>
        <v/>
      </c>
      <c r="AB82" s="36">
        <f>IF('My investments'!$C82="Money out",'My investments'!$D82,0)</f>
        <v/>
      </c>
      <c r="AC82" s="36">
        <f>IF('My investments'!$C82="Worth today",'My investments'!$D82,0)</f>
        <v/>
      </c>
      <c r="AE82" s="36">
        <f>IF('My investments'!$H$11="",0,IF('My investments'!$F82='My investments'!$H$11,'My investments'!$E82,0))</f>
        <v/>
      </c>
      <c r="AF82" s="36">
        <f>IF('My investments'!$H$12="",0,IF('My investments'!$F82='My investments'!$H$12,'My investments'!$E82,0))</f>
        <v/>
      </c>
      <c r="AG82" s="36">
        <f>IF('My investments'!$H$13="",0,IF('My investments'!$F82='My investments'!$H$13,'My investments'!$E82,0))</f>
        <v/>
      </c>
      <c r="AH82" s="36">
        <f>IF('My investments'!$H$14="",0,IF('My investments'!$F82='My investments'!$H$14,'My investments'!$E82,0))</f>
        <v/>
      </c>
      <c r="AI82" s="36">
        <f>IF('My investments'!$H$15="",0,IF('My investments'!$F82='My investments'!$H$15,'My investments'!$E82,0))</f>
        <v/>
      </c>
      <c r="AK82" s="36">
        <f>IF('My investments'!$H$11="",0,IF('My investments'!$F82='My investments'!$H$11,$AA82,0))</f>
        <v/>
      </c>
      <c r="AL82" s="36">
        <f>IF('My investments'!$H$12="",0,IF('My investments'!$F82='My investments'!$H$12,$AA82,0))</f>
        <v/>
      </c>
      <c r="AM82" s="36">
        <f>IF('My investments'!$H$13="",0,IF('My investments'!$F82='My investments'!$H$13,$AA82,0))</f>
        <v/>
      </c>
      <c r="AN82" s="36">
        <f>IF('My investments'!$H$14="",0,IF('My investments'!$F82='My investments'!$H$14,$AA82,0))</f>
        <v/>
      </c>
      <c r="AO82" s="36">
        <f>IF('My investments'!$H$15="",0,IF('My investments'!$F82='My investments'!$H$15,$AA82,0))</f>
        <v/>
      </c>
    </row>
    <row r="83" ht="15" customHeight="1" s="30">
      <c r="A83" s="36">
        <f>IF('My investments'!$C83="Worth today",1,0)</f>
        <v/>
      </c>
      <c r="B83" s="36">
        <f>IF('My investments'!$C83="Money in",1,0)</f>
        <v/>
      </c>
      <c r="AA83" s="36">
        <f>IF('My investments'!$C83="Money in",'My investments'!$D83,0)</f>
        <v/>
      </c>
      <c r="AB83" s="36">
        <f>IF('My investments'!$C83="Money out",'My investments'!$D83,0)</f>
        <v/>
      </c>
      <c r="AC83" s="36">
        <f>IF('My investments'!$C83="Worth today",'My investments'!$D83,0)</f>
        <v/>
      </c>
      <c r="AE83" s="36">
        <f>IF('My investments'!$H$11="",0,IF('My investments'!$F83='My investments'!$H$11,'My investments'!$E83,0))</f>
        <v/>
      </c>
      <c r="AF83" s="36">
        <f>IF('My investments'!$H$12="",0,IF('My investments'!$F83='My investments'!$H$12,'My investments'!$E83,0))</f>
        <v/>
      </c>
      <c r="AG83" s="36">
        <f>IF('My investments'!$H$13="",0,IF('My investments'!$F83='My investments'!$H$13,'My investments'!$E83,0))</f>
        <v/>
      </c>
      <c r="AH83" s="36">
        <f>IF('My investments'!$H$14="",0,IF('My investments'!$F83='My investments'!$H$14,'My investments'!$E83,0))</f>
        <v/>
      </c>
      <c r="AI83" s="36">
        <f>IF('My investments'!$H$15="",0,IF('My investments'!$F83='My investments'!$H$15,'My investments'!$E83,0))</f>
        <v/>
      </c>
      <c r="AK83" s="36">
        <f>IF('My investments'!$H$11="",0,IF('My investments'!$F83='My investments'!$H$11,$AA83,0))</f>
        <v/>
      </c>
      <c r="AL83" s="36">
        <f>IF('My investments'!$H$12="",0,IF('My investments'!$F83='My investments'!$H$12,$AA83,0))</f>
        <v/>
      </c>
      <c r="AM83" s="36">
        <f>IF('My investments'!$H$13="",0,IF('My investments'!$F83='My investments'!$H$13,$AA83,0))</f>
        <v/>
      </c>
      <c r="AN83" s="36">
        <f>IF('My investments'!$H$14="",0,IF('My investments'!$F83='My investments'!$H$14,$AA83,0))</f>
        <v/>
      </c>
      <c r="AO83" s="36">
        <f>IF('My investments'!$H$15="",0,IF('My investments'!$F83='My investments'!$H$15,$AA83,0))</f>
        <v/>
      </c>
    </row>
    <row r="84" ht="15" customHeight="1" s="30">
      <c r="A84" s="36">
        <f>IF('My investments'!$C84="Worth today",1,0)</f>
        <v/>
      </c>
      <c r="B84" s="36">
        <f>IF('My investments'!$C84="Money in",1,0)</f>
        <v/>
      </c>
      <c r="AA84" s="36">
        <f>IF('My investments'!$C84="Money in",'My investments'!$D84,0)</f>
        <v/>
      </c>
      <c r="AB84" s="36">
        <f>IF('My investments'!$C84="Money out",'My investments'!$D84,0)</f>
        <v/>
      </c>
      <c r="AC84" s="36">
        <f>IF('My investments'!$C84="Worth today",'My investments'!$D84,0)</f>
        <v/>
      </c>
      <c r="AE84" s="36">
        <f>IF('My investments'!$H$11="",0,IF('My investments'!$F84='My investments'!$H$11,'My investments'!$E84,0))</f>
        <v/>
      </c>
      <c r="AF84" s="36">
        <f>IF('My investments'!$H$12="",0,IF('My investments'!$F84='My investments'!$H$12,'My investments'!$E84,0))</f>
        <v/>
      </c>
      <c r="AG84" s="36">
        <f>IF('My investments'!$H$13="",0,IF('My investments'!$F84='My investments'!$H$13,'My investments'!$E84,0))</f>
        <v/>
      </c>
      <c r="AH84" s="36">
        <f>IF('My investments'!$H$14="",0,IF('My investments'!$F84='My investments'!$H$14,'My investments'!$E84,0))</f>
        <v/>
      </c>
      <c r="AI84" s="36">
        <f>IF('My investments'!$H$15="",0,IF('My investments'!$F84='My investments'!$H$15,'My investments'!$E84,0))</f>
        <v/>
      </c>
      <c r="AK84" s="36">
        <f>IF('My investments'!$H$11="",0,IF('My investments'!$F84='My investments'!$H$11,$AA84,0))</f>
        <v/>
      </c>
      <c r="AL84" s="36">
        <f>IF('My investments'!$H$12="",0,IF('My investments'!$F84='My investments'!$H$12,$AA84,0))</f>
        <v/>
      </c>
      <c r="AM84" s="36">
        <f>IF('My investments'!$H$13="",0,IF('My investments'!$F84='My investments'!$H$13,$AA84,0))</f>
        <v/>
      </c>
      <c r="AN84" s="36">
        <f>IF('My investments'!$H$14="",0,IF('My investments'!$F84='My investments'!$H$14,$AA84,0))</f>
        <v/>
      </c>
      <c r="AO84" s="36">
        <f>IF('My investments'!$H$15="",0,IF('My investments'!$F84='My investments'!$H$15,$AA84,0))</f>
        <v/>
      </c>
    </row>
    <row r="85" ht="15" customHeight="1" s="30">
      <c r="A85" s="36">
        <f>IF('My investments'!$C85="Worth today",1,0)</f>
        <v/>
      </c>
      <c r="B85" s="36">
        <f>IF('My investments'!$C85="Money in",1,0)</f>
        <v/>
      </c>
      <c r="AA85" s="36">
        <f>IF('My investments'!$C85="Money in",'My investments'!$D85,0)</f>
        <v/>
      </c>
      <c r="AB85" s="36">
        <f>IF('My investments'!$C85="Money out",'My investments'!$D85,0)</f>
        <v/>
      </c>
      <c r="AC85" s="36">
        <f>IF('My investments'!$C85="Worth today",'My investments'!$D85,0)</f>
        <v/>
      </c>
      <c r="AE85" s="36">
        <f>IF('My investments'!$H$11="",0,IF('My investments'!$F85='My investments'!$H$11,'My investments'!$E85,0))</f>
        <v/>
      </c>
      <c r="AF85" s="36">
        <f>IF('My investments'!$H$12="",0,IF('My investments'!$F85='My investments'!$H$12,'My investments'!$E85,0))</f>
        <v/>
      </c>
      <c r="AG85" s="36">
        <f>IF('My investments'!$H$13="",0,IF('My investments'!$F85='My investments'!$H$13,'My investments'!$E85,0))</f>
        <v/>
      </c>
      <c r="AH85" s="36">
        <f>IF('My investments'!$H$14="",0,IF('My investments'!$F85='My investments'!$H$14,'My investments'!$E85,0))</f>
        <v/>
      </c>
      <c r="AI85" s="36">
        <f>IF('My investments'!$H$15="",0,IF('My investments'!$F85='My investments'!$H$15,'My investments'!$E85,0))</f>
        <v/>
      </c>
      <c r="AK85" s="36">
        <f>IF('My investments'!$H$11="",0,IF('My investments'!$F85='My investments'!$H$11,$AA85,0))</f>
        <v/>
      </c>
      <c r="AL85" s="36">
        <f>IF('My investments'!$H$12="",0,IF('My investments'!$F85='My investments'!$H$12,$AA85,0))</f>
        <v/>
      </c>
      <c r="AM85" s="36">
        <f>IF('My investments'!$H$13="",0,IF('My investments'!$F85='My investments'!$H$13,$AA85,0))</f>
        <v/>
      </c>
      <c r="AN85" s="36">
        <f>IF('My investments'!$H$14="",0,IF('My investments'!$F85='My investments'!$H$14,$AA85,0))</f>
        <v/>
      </c>
      <c r="AO85" s="36">
        <f>IF('My investments'!$H$15="",0,IF('My investments'!$F85='My investments'!$H$15,$AA85,0))</f>
        <v/>
      </c>
    </row>
    <row r="86" ht="15" customHeight="1" s="30">
      <c r="A86" s="36">
        <f>IF('My investments'!$C86="Worth today",1,0)</f>
        <v/>
      </c>
      <c r="B86" s="36">
        <f>IF('My investments'!$C86="Money in",1,0)</f>
        <v/>
      </c>
      <c r="AA86" s="36">
        <f>IF('My investments'!$C86="Money in",'My investments'!$D86,0)</f>
        <v/>
      </c>
      <c r="AB86" s="36">
        <f>IF('My investments'!$C86="Money out",'My investments'!$D86,0)</f>
        <v/>
      </c>
      <c r="AC86" s="36">
        <f>IF('My investments'!$C86="Worth today",'My investments'!$D86,0)</f>
        <v/>
      </c>
      <c r="AE86" s="36">
        <f>IF('My investments'!$H$11="",0,IF('My investments'!$F86='My investments'!$H$11,'My investments'!$E86,0))</f>
        <v/>
      </c>
      <c r="AF86" s="36">
        <f>IF('My investments'!$H$12="",0,IF('My investments'!$F86='My investments'!$H$12,'My investments'!$E86,0))</f>
        <v/>
      </c>
      <c r="AG86" s="36">
        <f>IF('My investments'!$H$13="",0,IF('My investments'!$F86='My investments'!$H$13,'My investments'!$E86,0))</f>
        <v/>
      </c>
      <c r="AH86" s="36">
        <f>IF('My investments'!$H$14="",0,IF('My investments'!$F86='My investments'!$H$14,'My investments'!$E86,0))</f>
        <v/>
      </c>
      <c r="AI86" s="36">
        <f>IF('My investments'!$H$15="",0,IF('My investments'!$F86='My investments'!$H$15,'My investments'!$E86,0))</f>
        <v/>
      </c>
      <c r="AK86" s="36">
        <f>IF('My investments'!$H$11="",0,IF('My investments'!$F86='My investments'!$H$11,$AA86,0))</f>
        <v/>
      </c>
      <c r="AL86" s="36">
        <f>IF('My investments'!$H$12="",0,IF('My investments'!$F86='My investments'!$H$12,$AA86,0))</f>
        <v/>
      </c>
      <c r="AM86" s="36">
        <f>IF('My investments'!$H$13="",0,IF('My investments'!$F86='My investments'!$H$13,$AA86,0))</f>
        <v/>
      </c>
      <c r="AN86" s="36">
        <f>IF('My investments'!$H$14="",0,IF('My investments'!$F86='My investments'!$H$14,$AA86,0))</f>
        <v/>
      </c>
      <c r="AO86" s="36">
        <f>IF('My investments'!$H$15="",0,IF('My investments'!$F86='My investments'!$H$15,$AA86,0))</f>
        <v/>
      </c>
    </row>
    <row r="87" ht="15" customHeight="1" s="30">
      <c r="A87" s="36">
        <f>IF('My investments'!$C87="Worth today",1,0)</f>
        <v/>
      </c>
      <c r="B87" s="36">
        <f>IF('My investments'!$C87="Money in",1,0)</f>
        <v/>
      </c>
      <c r="AA87" s="36">
        <f>IF('My investments'!$C87="Money in",'My investments'!$D87,0)</f>
        <v/>
      </c>
      <c r="AB87" s="36">
        <f>IF('My investments'!$C87="Money out",'My investments'!$D87,0)</f>
        <v/>
      </c>
      <c r="AC87" s="36">
        <f>IF('My investments'!$C87="Worth today",'My investments'!$D87,0)</f>
        <v/>
      </c>
      <c r="AE87" s="36">
        <f>IF('My investments'!$H$11="",0,IF('My investments'!$F87='My investments'!$H$11,'My investments'!$E87,0))</f>
        <v/>
      </c>
      <c r="AF87" s="36">
        <f>IF('My investments'!$H$12="",0,IF('My investments'!$F87='My investments'!$H$12,'My investments'!$E87,0))</f>
        <v/>
      </c>
      <c r="AG87" s="36">
        <f>IF('My investments'!$H$13="",0,IF('My investments'!$F87='My investments'!$H$13,'My investments'!$E87,0))</f>
        <v/>
      </c>
      <c r="AH87" s="36">
        <f>IF('My investments'!$H$14="",0,IF('My investments'!$F87='My investments'!$H$14,'My investments'!$E87,0))</f>
        <v/>
      </c>
      <c r="AI87" s="36">
        <f>IF('My investments'!$H$15="",0,IF('My investments'!$F87='My investments'!$H$15,'My investments'!$E87,0))</f>
        <v/>
      </c>
      <c r="AK87" s="36">
        <f>IF('My investments'!$H$11="",0,IF('My investments'!$F87='My investments'!$H$11,$AA87,0))</f>
        <v/>
      </c>
      <c r="AL87" s="36">
        <f>IF('My investments'!$H$12="",0,IF('My investments'!$F87='My investments'!$H$12,$AA87,0))</f>
        <v/>
      </c>
      <c r="AM87" s="36">
        <f>IF('My investments'!$H$13="",0,IF('My investments'!$F87='My investments'!$H$13,$AA87,0))</f>
        <v/>
      </c>
      <c r="AN87" s="36">
        <f>IF('My investments'!$H$14="",0,IF('My investments'!$F87='My investments'!$H$14,$AA87,0))</f>
        <v/>
      </c>
      <c r="AO87" s="36">
        <f>IF('My investments'!$H$15="",0,IF('My investments'!$F87='My investments'!$H$15,$AA87,0))</f>
        <v/>
      </c>
    </row>
    <row r="88" ht="15" customHeight="1" s="30">
      <c r="A88" s="36">
        <f>IF('My investments'!$C88="Worth today",1,0)</f>
        <v/>
      </c>
      <c r="B88" s="36">
        <f>IF('My investments'!$C88="Money in",1,0)</f>
        <v/>
      </c>
      <c r="AA88" s="36">
        <f>IF('My investments'!$C88="Money in",'My investments'!$D88,0)</f>
        <v/>
      </c>
      <c r="AB88" s="36">
        <f>IF('My investments'!$C88="Money out",'My investments'!$D88,0)</f>
        <v/>
      </c>
      <c r="AC88" s="36">
        <f>IF('My investments'!$C88="Worth today",'My investments'!$D88,0)</f>
        <v/>
      </c>
      <c r="AE88" s="36">
        <f>IF('My investments'!$H$11="",0,IF('My investments'!$F88='My investments'!$H$11,'My investments'!$E88,0))</f>
        <v/>
      </c>
      <c r="AF88" s="36">
        <f>IF('My investments'!$H$12="",0,IF('My investments'!$F88='My investments'!$H$12,'My investments'!$E88,0))</f>
        <v/>
      </c>
      <c r="AG88" s="36">
        <f>IF('My investments'!$H$13="",0,IF('My investments'!$F88='My investments'!$H$13,'My investments'!$E88,0))</f>
        <v/>
      </c>
      <c r="AH88" s="36">
        <f>IF('My investments'!$H$14="",0,IF('My investments'!$F88='My investments'!$H$14,'My investments'!$E88,0))</f>
        <v/>
      </c>
      <c r="AI88" s="36">
        <f>IF('My investments'!$H$15="",0,IF('My investments'!$F88='My investments'!$H$15,'My investments'!$E88,0))</f>
        <v/>
      </c>
      <c r="AK88" s="36">
        <f>IF('My investments'!$H$11="",0,IF('My investments'!$F88='My investments'!$H$11,$AA88,0))</f>
        <v/>
      </c>
      <c r="AL88" s="36">
        <f>IF('My investments'!$H$12="",0,IF('My investments'!$F88='My investments'!$H$12,$AA88,0))</f>
        <v/>
      </c>
      <c r="AM88" s="36">
        <f>IF('My investments'!$H$13="",0,IF('My investments'!$F88='My investments'!$H$13,$AA88,0))</f>
        <v/>
      </c>
      <c r="AN88" s="36">
        <f>IF('My investments'!$H$14="",0,IF('My investments'!$F88='My investments'!$H$14,$AA88,0))</f>
        <v/>
      </c>
      <c r="AO88" s="36">
        <f>IF('My investments'!$H$15="",0,IF('My investments'!$F88='My investments'!$H$15,$AA88,0))</f>
        <v/>
      </c>
    </row>
    <row r="89" ht="15" customHeight="1" s="30">
      <c r="A89" s="36">
        <f>IF('My investments'!$C89="Worth today",1,0)</f>
        <v/>
      </c>
      <c r="B89" s="36">
        <f>IF('My investments'!$C89="Money in",1,0)</f>
        <v/>
      </c>
      <c r="AA89" s="36">
        <f>IF('My investments'!$C89="Money in",'My investments'!$D89,0)</f>
        <v/>
      </c>
      <c r="AB89" s="36">
        <f>IF('My investments'!$C89="Money out",'My investments'!$D89,0)</f>
        <v/>
      </c>
      <c r="AC89" s="36">
        <f>IF('My investments'!$C89="Worth today",'My investments'!$D89,0)</f>
        <v/>
      </c>
      <c r="AE89" s="36">
        <f>IF('My investments'!$H$11="",0,IF('My investments'!$F89='My investments'!$H$11,'My investments'!$E89,0))</f>
        <v/>
      </c>
      <c r="AF89" s="36">
        <f>IF('My investments'!$H$12="",0,IF('My investments'!$F89='My investments'!$H$12,'My investments'!$E89,0))</f>
        <v/>
      </c>
      <c r="AG89" s="36">
        <f>IF('My investments'!$H$13="",0,IF('My investments'!$F89='My investments'!$H$13,'My investments'!$E89,0))</f>
        <v/>
      </c>
      <c r="AH89" s="36">
        <f>IF('My investments'!$H$14="",0,IF('My investments'!$F89='My investments'!$H$14,'My investments'!$E89,0))</f>
        <v/>
      </c>
      <c r="AI89" s="36">
        <f>IF('My investments'!$H$15="",0,IF('My investments'!$F89='My investments'!$H$15,'My investments'!$E89,0))</f>
        <v/>
      </c>
      <c r="AK89" s="36">
        <f>IF('My investments'!$H$11="",0,IF('My investments'!$F89='My investments'!$H$11,$AA89,0))</f>
        <v/>
      </c>
      <c r="AL89" s="36">
        <f>IF('My investments'!$H$12="",0,IF('My investments'!$F89='My investments'!$H$12,$AA89,0))</f>
        <v/>
      </c>
      <c r="AM89" s="36">
        <f>IF('My investments'!$H$13="",0,IF('My investments'!$F89='My investments'!$H$13,$AA89,0))</f>
        <v/>
      </c>
      <c r="AN89" s="36">
        <f>IF('My investments'!$H$14="",0,IF('My investments'!$F89='My investments'!$H$14,$AA89,0))</f>
        <v/>
      </c>
      <c r="AO89" s="36">
        <f>IF('My investments'!$H$15="",0,IF('My investments'!$F89='My investments'!$H$15,$AA89,0))</f>
        <v/>
      </c>
    </row>
    <row r="90" ht="15" customHeight="1" s="30">
      <c r="A90" s="36">
        <f>IF('My investments'!$C90="Worth today",1,0)</f>
        <v/>
      </c>
      <c r="B90" s="36">
        <f>IF('My investments'!$C90="Money in",1,0)</f>
        <v/>
      </c>
      <c r="AA90" s="36">
        <f>IF('My investments'!$C90="Money in",'My investments'!$D90,0)</f>
        <v/>
      </c>
      <c r="AB90" s="36">
        <f>IF('My investments'!$C90="Money out",'My investments'!$D90,0)</f>
        <v/>
      </c>
      <c r="AC90" s="36">
        <f>IF('My investments'!$C90="Worth today",'My investments'!$D90,0)</f>
        <v/>
      </c>
      <c r="AE90" s="36">
        <f>IF('My investments'!$H$11="",0,IF('My investments'!$F90='My investments'!$H$11,'My investments'!$E90,0))</f>
        <v/>
      </c>
      <c r="AF90" s="36">
        <f>IF('My investments'!$H$12="",0,IF('My investments'!$F90='My investments'!$H$12,'My investments'!$E90,0))</f>
        <v/>
      </c>
      <c r="AG90" s="36">
        <f>IF('My investments'!$H$13="",0,IF('My investments'!$F90='My investments'!$H$13,'My investments'!$E90,0))</f>
        <v/>
      </c>
      <c r="AH90" s="36">
        <f>IF('My investments'!$H$14="",0,IF('My investments'!$F90='My investments'!$H$14,'My investments'!$E90,0))</f>
        <v/>
      </c>
      <c r="AI90" s="36">
        <f>IF('My investments'!$H$15="",0,IF('My investments'!$F90='My investments'!$H$15,'My investments'!$E90,0))</f>
        <v/>
      </c>
      <c r="AK90" s="36">
        <f>IF('My investments'!$H$11="",0,IF('My investments'!$F90='My investments'!$H$11,$AA90,0))</f>
        <v/>
      </c>
      <c r="AL90" s="36">
        <f>IF('My investments'!$H$12="",0,IF('My investments'!$F90='My investments'!$H$12,$AA90,0))</f>
        <v/>
      </c>
      <c r="AM90" s="36">
        <f>IF('My investments'!$H$13="",0,IF('My investments'!$F90='My investments'!$H$13,$AA90,0))</f>
        <v/>
      </c>
      <c r="AN90" s="36">
        <f>IF('My investments'!$H$14="",0,IF('My investments'!$F90='My investments'!$H$14,$AA90,0))</f>
        <v/>
      </c>
      <c r="AO90" s="36">
        <f>IF('My investments'!$H$15="",0,IF('My investments'!$F90='My investments'!$H$15,$AA90,0))</f>
        <v/>
      </c>
    </row>
    <row r="91" ht="15" customHeight="1" s="30">
      <c r="A91" s="36">
        <f>IF('My investments'!$C91="Worth today",1,0)</f>
        <v/>
      </c>
      <c r="B91" s="36">
        <f>IF('My investments'!$C91="Money in",1,0)</f>
        <v/>
      </c>
      <c r="AA91" s="36">
        <f>IF('My investments'!$C91="Money in",'My investments'!$D91,0)</f>
        <v/>
      </c>
      <c r="AB91" s="36">
        <f>IF('My investments'!$C91="Money out",'My investments'!$D91,0)</f>
        <v/>
      </c>
      <c r="AC91" s="36">
        <f>IF('My investments'!$C91="Worth today",'My investments'!$D91,0)</f>
        <v/>
      </c>
      <c r="AE91" s="36">
        <f>IF('My investments'!$H$11="",0,IF('My investments'!$F91='My investments'!$H$11,'My investments'!$E91,0))</f>
        <v/>
      </c>
      <c r="AF91" s="36">
        <f>IF('My investments'!$H$12="",0,IF('My investments'!$F91='My investments'!$H$12,'My investments'!$E91,0))</f>
        <v/>
      </c>
      <c r="AG91" s="36">
        <f>IF('My investments'!$H$13="",0,IF('My investments'!$F91='My investments'!$H$13,'My investments'!$E91,0))</f>
        <v/>
      </c>
      <c r="AH91" s="36">
        <f>IF('My investments'!$H$14="",0,IF('My investments'!$F91='My investments'!$H$14,'My investments'!$E91,0))</f>
        <v/>
      </c>
      <c r="AI91" s="36">
        <f>IF('My investments'!$H$15="",0,IF('My investments'!$F91='My investments'!$H$15,'My investments'!$E91,0))</f>
        <v/>
      </c>
      <c r="AK91" s="36">
        <f>IF('My investments'!$H$11="",0,IF('My investments'!$F91='My investments'!$H$11,$AA91,0))</f>
        <v/>
      </c>
      <c r="AL91" s="36">
        <f>IF('My investments'!$H$12="",0,IF('My investments'!$F91='My investments'!$H$12,$AA91,0))</f>
        <v/>
      </c>
      <c r="AM91" s="36">
        <f>IF('My investments'!$H$13="",0,IF('My investments'!$F91='My investments'!$H$13,$AA91,0))</f>
        <v/>
      </c>
      <c r="AN91" s="36">
        <f>IF('My investments'!$H$14="",0,IF('My investments'!$F91='My investments'!$H$14,$AA91,0))</f>
        <v/>
      </c>
      <c r="AO91" s="36">
        <f>IF('My investments'!$H$15="",0,IF('My investments'!$F91='My investments'!$H$15,$AA91,0))</f>
        <v/>
      </c>
    </row>
    <row r="92" ht="15" customHeight="1" s="30">
      <c r="A92" s="36">
        <f>IF('My investments'!$C92="Worth today",1,0)</f>
        <v/>
      </c>
      <c r="B92" s="36">
        <f>IF('My investments'!$C92="Money in",1,0)</f>
        <v/>
      </c>
      <c r="AA92" s="36">
        <f>IF('My investments'!$C92="Money in",'My investments'!$D92,0)</f>
        <v/>
      </c>
      <c r="AB92" s="36">
        <f>IF('My investments'!$C92="Money out",'My investments'!$D92,0)</f>
        <v/>
      </c>
      <c r="AC92" s="36">
        <f>IF('My investments'!$C92="Worth today",'My investments'!$D92,0)</f>
        <v/>
      </c>
      <c r="AE92" s="36">
        <f>IF('My investments'!$H$11="",0,IF('My investments'!$F92='My investments'!$H$11,'My investments'!$E92,0))</f>
        <v/>
      </c>
      <c r="AF92" s="36">
        <f>IF('My investments'!$H$12="",0,IF('My investments'!$F92='My investments'!$H$12,'My investments'!$E92,0))</f>
        <v/>
      </c>
      <c r="AG92" s="36">
        <f>IF('My investments'!$H$13="",0,IF('My investments'!$F92='My investments'!$H$13,'My investments'!$E92,0))</f>
        <v/>
      </c>
      <c r="AH92" s="36">
        <f>IF('My investments'!$H$14="",0,IF('My investments'!$F92='My investments'!$H$14,'My investments'!$E92,0))</f>
        <v/>
      </c>
      <c r="AI92" s="36">
        <f>IF('My investments'!$H$15="",0,IF('My investments'!$F92='My investments'!$H$15,'My investments'!$E92,0))</f>
        <v/>
      </c>
      <c r="AK92" s="36">
        <f>IF('My investments'!$H$11="",0,IF('My investments'!$F92='My investments'!$H$11,$AA92,0))</f>
        <v/>
      </c>
      <c r="AL92" s="36">
        <f>IF('My investments'!$H$12="",0,IF('My investments'!$F92='My investments'!$H$12,$AA92,0))</f>
        <v/>
      </c>
      <c r="AM92" s="36">
        <f>IF('My investments'!$H$13="",0,IF('My investments'!$F92='My investments'!$H$13,$AA92,0))</f>
        <v/>
      </c>
      <c r="AN92" s="36">
        <f>IF('My investments'!$H$14="",0,IF('My investments'!$F92='My investments'!$H$14,$AA92,0))</f>
        <v/>
      </c>
      <c r="AO92" s="36">
        <f>IF('My investments'!$H$15="",0,IF('My investments'!$F92='My investments'!$H$15,$AA92,0))</f>
        <v/>
      </c>
    </row>
    <row r="93" ht="15" customHeight="1" s="30">
      <c r="A93" s="36">
        <f>IF('My investments'!$C93="Worth today",1,0)</f>
        <v/>
      </c>
      <c r="B93" s="36">
        <f>IF('My investments'!$C93="Money in",1,0)</f>
        <v/>
      </c>
      <c r="AA93" s="36">
        <f>IF('My investments'!$C93="Money in",'My investments'!$D93,0)</f>
        <v/>
      </c>
      <c r="AB93" s="36">
        <f>IF('My investments'!$C93="Money out",'My investments'!$D93,0)</f>
        <v/>
      </c>
      <c r="AC93" s="36">
        <f>IF('My investments'!$C93="Worth today",'My investments'!$D93,0)</f>
        <v/>
      </c>
      <c r="AE93" s="36">
        <f>IF('My investments'!$H$11="",0,IF('My investments'!$F93='My investments'!$H$11,'My investments'!$E93,0))</f>
        <v/>
      </c>
      <c r="AF93" s="36">
        <f>IF('My investments'!$H$12="",0,IF('My investments'!$F93='My investments'!$H$12,'My investments'!$E93,0))</f>
        <v/>
      </c>
      <c r="AG93" s="36">
        <f>IF('My investments'!$H$13="",0,IF('My investments'!$F93='My investments'!$H$13,'My investments'!$E93,0))</f>
        <v/>
      </c>
      <c r="AH93" s="36">
        <f>IF('My investments'!$H$14="",0,IF('My investments'!$F93='My investments'!$H$14,'My investments'!$E93,0))</f>
        <v/>
      </c>
      <c r="AI93" s="36">
        <f>IF('My investments'!$H$15="",0,IF('My investments'!$F93='My investments'!$H$15,'My investments'!$E93,0))</f>
        <v/>
      </c>
      <c r="AK93" s="36">
        <f>IF('My investments'!$H$11="",0,IF('My investments'!$F93='My investments'!$H$11,$AA93,0))</f>
        <v/>
      </c>
      <c r="AL93" s="36">
        <f>IF('My investments'!$H$12="",0,IF('My investments'!$F93='My investments'!$H$12,$AA93,0))</f>
        <v/>
      </c>
      <c r="AM93" s="36">
        <f>IF('My investments'!$H$13="",0,IF('My investments'!$F93='My investments'!$H$13,$AA93,0))</f>
        <v/>
      </c>
      <c r="AN93" s="36">
        <f>IF('My investments'!$H$14="",0,IF('My investments'!$F93='My investments'!$H$14,$AA93,0))</f>
        <v/>
      </c>
      <c r="AO93" s="36">
        <f>IF('My investments'!$H$15="",0,IF('My investments'!$F93='My investments'!$H$15,$AA93,0))</f>
        <v/>
      </c>
    </row>
    <row r="94" ht="15" customHeight="1" s="30">
      <c r="A94" s="36">
        <f>IF('My investments'!$C94="Worth today",1,0)</f>
        <v/>
      </c>
      <c r="B94" s="36">
        <f>IF('My investments'!$C94="Money in",1,0)</f>
        <v/>
      </c>
      <c r="AA94" s="36">
        <f>IF('My investments'!$C94="Money in",'My investments'!$D94,0)</f>
        <v/>
      </c>
      <c r="AB94" s="36">
        <f>IF('My investments'!$C94="Money out",'My investments'!$D94,0)</f>
        <v/>
      </c>
      <c r="AC94" s="36">
        <f>IF('My investments'!$C94="Worth today",'My investments'!$D94,0)</f>
        <v/>
      </c>
      <c r="AE94" s="36">
        <f>IF('My investments'!$H$11="",0,IF('My investments'!$F94='My investments'!$H$11,'My investments'!$E94,0))</f>
        <v/>
      </c>
      <c r="AF94" s="36">
        <f>IF('My investments'!$H$12="",0,IF('My investments'!$F94='My investments'!$H$12,'My investments'!$E94,0))</f>
        <v/>
      </c>
      <c r="AG94" s="36">
        <f>IF('My investments'!$H$13="",0,IF('My investments'!$F94='My investments'!$H$13,'My investments'!$E94,0))</f>
        <v/>
      </c>
      <c r="AH94" s="36">
        <f>IF('My investments'!$H$14="",0,IF('My investments'!$F94='My investments'!$H$14,'My investments'!$E94,0))</f>
        <v/>
      </c>
      <c r="AI94" s="36">
        <f>IF('My investments'!$H$15="",0,IF('My investments'!$F94='My investments'!$H$15,'My investments'!$E94,0))</f>
        <v/>
      </c>
      <c r="AK94" s="36">
        <f>IF('My investments'!$H$11="",0,IF('My investments'!$F94='My investments'!$H$11,$AA94,0))</f>
        <v/>
      </c>
      <c r="AL94" s="36">
        <f>IF('My investments'!$H$12="",0,IF('My investments'!$F94='My investments'!$H$12,$AA94,0))</f>
        <v/>
      </c>
      <c r="AM94" s="36">
        <f>IF('My investments'!$H$13="",0,IF('My investments'!$F94='My investments'!$H$13,$AA94,0))</f>
        <v/>
      </c>
      <c r="AN94" s="36">
        <f>IF('My investments'!$H$14="",0,IF('My investments'!$F94='My investments'!$H$14,$AA94,0))</f>
        <v/>
      </c>
      <c r="AO94" s="36">
        <f>IF('My investments'!$H$15="",0,IF('My investments'!$F94='My investments'!$H$15,$AA94,0))</f>
        <v/>
      </c>
    </row>
    <row r="95" ht="15" customHeight="1" s="30">
      <c r="A95" s="36">
        <f>IF('My investments'!$C95="Worth today",1,0)</f>
        <v/>
      </c>
      <c r="B95" s="36">
        <f>IF('My investments'!$C95="Money in",1,0)</f>
        <v/>
      </c>
      <c r="AA95" s="36">
        <f>IF('My investments'!$C95="Money in",'My investments'!$D95,0)</f>
        <v/>
      </c>
      <c r="AB95" s="36">
        <f>IF('My investments'!$C95="Money out",'My investments'!$D95,0)</f>
        <v/>
      </c>
      <c r="AC95" s="36">
        <f>IF('My investments'!$C95="Worth today",'My investments'!$D95,0)</f>
        <v/>
      </c>
      <c r="AE95" s="36">
        <f>IF('My investments'!$H$11="",0,IF('My investments'!$F95='My investments'!$H$11,'My investments'!$E95,0))</f>
        <v/>
      </c>
      <c r="AF95" s="36">
        <f>IF('My investments'!$H$12="",0,IF('My investments'!$F95='My investments'!$H$12,'My investments'!$E95,0))</f>
        <v/>
      </c>
      <c r="AG95" s="36">
        <f>IF('My investments'!$H$13="",0,IF('My investments'!$F95='My investments'!$H$13,'My investments'!$E95,0))</f>
        <v/>
      </c>
      <c r="AH95" s="36">
        <f>IF('My investments'!$H$14="",0,IF('My investments'!$F95='My investments'!$H$14,'My investments'!$E95,0))</f>
        <v/>
      </c>
      <c r="AI95" s="36">
        <f>IF('My investments'!$H$15="",0,IF('My investments'!$F95='My investments'!$H$15,'My investments'!$E95,0))</f>
        <v/>
      </c>
      <c r="AK95" s="36">
        <f>IF('My investments'!$H$11="",0,IF('My investments'!$F95='My investments'!$H$11,$AA95,0))</f>
        <v/>
      </c>
      <c r="AL95" s="36">
        <f>IF('My investments'!$H$12="",0,IF('My investments'!$F95='My investments'!$H$12,$AA95,0))</f>
        <v/>
      </c>
      <c r="AM95" s="36">
        <f>IF('My investments'!$H$13="",0,IF('My investments'!$F95='My investments'!$H$13,$AA95,0))</f>
        <v/>
      </c>
      <c r="AN95" s="36">
        <f>IF('My investments'!$H$14="",0,IF('My investments'!$F95='My investments'!$H$14,$AA95,0))</f>
        <v/>
      </c>
      <c r="AO95" s="36">
        <f>IF('My investments'!$H$15="",0,IF('My investments'!$F95='My investments'!$H$15,$AA95,0))</f>
        <v/>
      </c>
    </row>
    <row r="96" ht="15" customHeight="1" s="30">
      <c r="A96" s="36">
        <f>IF('My investments'!$C96="Worth today",1,0)</f>
        <v/>
      </c>
      <c r="B96" s="36">
        <f>IF('My investments'!$C96="Money in",1,0)</f>
        <v/>
      </c>
      <c r="AA96" s="36">
        <f>IF('My investments'!$C96="Money in",'My investments'!$D96,0)</f>
        <v/>
      </c>
      <c r="AB96" s="36">
        <f>IF('My investments'!$C96="Money out",'My investments'!$D96,0)</f>
        <v/>
      </c>
      <c r="AC96" s="36">
        <f>IF('My investments'!$C96="Worth today",'My investments'!$D96,0)</f>
        <v/>
      </c>
      <c r="AE96" s="36">
        <f>IF('My investments'!$H$11="",0,IF('My investments'!$F96='My investments'!$H$11,'My investments'!$E96,0))</f>
        <v/>
      </c>
      <c r="AF96" s="36">
        <f>IF('My investments'!$H$12="",0,IF('My investments'!$F96='My investments'!$H$12,'My investments'!$E96,0))</f>
        <v/>
      </c>
      <c r="AG96" s="36">
        <f>IF('My investments'!$H$13="",0,IF('My investments'!$F96='My investments'!$H$13,'My investments'!$E96,0))</f>
        <v/>
      </c>
      <c r="AH96" s="36">
        <f>IF('My investments'!$H$14="",0,IF('My investments'!$F96='My investments'!$H$14,'My investments'!$E96,0))</f>
        <v/>
      </c>
      <c r="AI96" s="36">
        <f>IF('My investments'!$H$15="",0,IF('My investments'!$F96='My investments'!$H$15,'My investments'!$E96,0))</f>
        <v/>
      </c>
      <c r="AK96" s="36">
        <f>IF('My investments'!$H$11="",0,IF('My investments'!$F96='My investments'!$H$11,$AA96,0))</f>
        <v/>
      </c>
      <c r="AL96" s="36">
        <f>IF('My investments'!$H$12="",0,IF('My investments'!$F96='My investments'!$H$12,$AA96,0))</f>
        <v/>
      </c>
      <c r="AM96" s="36">
        <f>IF('My investments'!$H$13="",0,IF('My investments'!$F96='My investments'!$H$13,$AA96,0))</f>
        <v/>
      </c>
      <c r="AN96" s="36">
        <f>IF('My investments'!$H$14="",0,IF('My investments'!$F96='My investments'!$H$14,$AA96,0))</f>
        <v/>
      </c>
      <c r="AO96" s="36">
        <f>IF('My investments'!$H$15="",0,IF('My investments'!$F96='My investments'!$H$15,$AA96,0))</f>
        <v/>
      </c>
    </row>
    <row r="97" ht="15" customHeight="1" s="30">
      <c r="A97" s="36">
        <f>IF('My investments'!$C97="Worth today",1,0)</f>
        <v/>
      </c>
      <c r="B97" s="36">
        <f>IF('My investments'!$C97="Money in",1,0)</f>
        <v/>
      </c>
      <c r="AA97" s="36">
        <f>IF('My investments'!$C97="Money in",'My investments'!$D97,0)</f>
        <v/>
      </c>
      <c r="AB97" s="36">
        <f>IF('My investments'!$C97="Money out",'My investments'!$D97,0)</f>
        <v/>
      </c>
      <c r="AC97" s="36">
        <f>IF('My investments'!$C97="Worth today",'My investments'!$D97,0)</f>
        <v/>
      </c>
      <c r="AE97" s="36">
        <f>IF('My investments'!$H$11="",0,IF('My investments'!$F97='My investments'!$H$11,'My investments'!$E97,0))</f>
        <v/>
      </c>
      <c r="AF97" s="36">
        <f>IF('My investments'!$H$12="",0,IF('My investments'!$F97='My investments'!$H$12,'My investments'!$E97,0))</f>
        <v/>
      </c>
      <c r="AG97" s="36">
        <f>IF('My investments'!$H$13="",0,IF('My investments'!$F97='My investments'!$H$13,'My investments'!$E97,0))</f>
        <v/>
      </c>
      <c r="AH97" s="36">
        <f>IF('My investments'!$H$14="",0,IF('My investments'!$F97='My investments'!$H$14,'My investments'!$E97,0))</f>
        <v/>
      </c>
      <c r="AI97" s="36">
        <f>IF('My investments'!$H$15="",0,IF('My investments'!$F97='My investments'!$H$15,'My investments'!$E97,0))</f>
        <v/>
      </c>
      <c r="AK97" s="36">
        <f>IF('My investments'!$H$11="",0,IF('My investments'!$F97='My investments'!$H$11,$AA97,0))</f>
        <v/>
      </c>
      <c r="AL97" s="36">
        <f>IF('My investments'!$H$12="",0,IF('My investments'!$F97='My investments'!$H$12,$AA97,0))</f>
        <v/>
      </c>
      <c r="AM97" s="36">
        <f>IF('My investments'!$H$13="",0,IF('My investments'!$F97='My investments'!$H$13,$AA97,0))</f>
        <v/>
      </c>
      <c r="AN97" s="36">
        <f>IF('My investments'!$H$14="",0,IF('My investments'!$F97='My investments'!$H$14,$AA97,0))</f>
        <v/>
      </c>
      <c r="AO97" s="36">
        <f>IF('My investments'!$H$15="",0,IF('My investments'!$F97='My investments'!$H$15,$AA97,0))</f>
        <v/>
      </c>
    </row>
    <row r="98" ht="15" customHeight="1" s="30">
      <c r="A98" s="36">
        <f>IF('My investments'!$C98="Worth today",1,0)</f>
        <v/>
      </c>
      <c r="B98" s="36">
        <f>IF('My investments'!$C98="Money in",1,0)</f>
        <v/>
      </c>
      <c r="AA98" s="36">
        <f>IF('My investments'!$C98="Money in",'My investments'!$D98,0)</f>
        <v/>
      </c>
      <c r="AB98" s="36">
        <f>IF('My investments'!$C98="Money out",'My investments'!$D98,0)</f>
        <v/>
      </c>
      <c r="AC98" s="36">
        <f>IF('My investments'!$C98="Worth today",'My investments'!$D98,0)</f>
        <v/>
      </c>
      <c r="AE98" s="36">
        <f>IF('My investments'!$H$11="",0,IF('My investments'!$F98='My investments'!$H$11,'My investments'!$E98,0))</f>
        <v/>
      </c>
      <c r="AF98" s="36">
        <f>IF('My investments'!$H$12="",0,IF('My investments'!$F98='My investments'!$H$12,'My investments'!$E98,0))</f>
        <v/>
      </c>
      <c r="AG98" s="36">
        <f>IF('My investments'!$H$13="",0,IF('My investments'!$F98='My investments'!$H$13,'My investments'!$E98,0))</f>
        <v/>
      </c>
      <c r="AH98" s="36">
        <f>IF('My investments'!$H$14="",0,IF('My investments'!$F98='My investments'!$H$14,'My investments'!$E98,0))</f>
        <v/>
      </c>
      <c r="AI98" s="36">
        <f>IF('My investments'!$H$15="",0,IF('My investments'!$F98='My investments'!$H$15,'My investments'!$E98,0))</f>
        <v/>
      </c>
      <c r="AK98" s="36">
        <f>IF('My investments'!$H$11="",0,IF('My investments'!$F98='My investments'!$H$11,$AA98,0))</f>
        <v/>
      </c>
      <c r="AL98" s="36">
        <f>IF('My investments'!$H$12="",0,IF('My investments'!$F98='My investments'!$H$12,$AA98,0))</f>
        <v/>
      </c>
      <c r="AM98" s="36">
        <f>IF('My investments'!$H$13="",0,IF('My investments'!$F98='My investments'!$H$13,$AA98,0))</f>
        <v/>
      </c>
      <c r="AN98" s="36">
        <f>IF('My investments'!$H$14="",0,IF('My investments'!$F98='My investments'!$H$14,$AA98,0))</f>
        <v/>
      </c>
      <c r="AO98" s="36">
        <f>IF('My investments'!$H$15="",0,IF('My investments'!$F98='My investments'!$H$15,$AA98,0))</f>
        <v/>
      </c>
    </row>
    <row r="99" ht="15" customHeight="1" s="30">
      <c r="A99" s="36">
        <f>IF('My investments'!$C99="Worth today",1,0)</f>
        <v/>
      </c>
      <c r="B99" s="36">
        <f>IF('My investments'!$C99="Money in",1,0)</f>
        <v/>
      </c>
      <c r="AA99" s="36">
        <f>IF('My investments'!$C99="Money in",'My investments'!$D99,0)</f>
        <v/>
      </c>
      <c r="AB99" s="36">
        <f>IF('My investments'!$C99="Money out",'My investments'!$D99,0)</f>
        <v/>
      </c>
      <c r="AC99" s="36">
        <f>IF('My investments'!$C99="Worth today",'My investments'!$D99,0)</f>
        <v/>
      </c>
      <c r="AE99" s="36">
        <f>IF('My investments'!$H$11="",0,IF('My investments'!$F99='My investments'!$H$11,'My investments'!$E99,0))</f>
        <v/>
      </c>
      <c r="AF99" s="36">
        <f>IF('My investments'!$H$12="",0,IF('My investments'!$F99='My investments'!$H$12,'My investments'!$E99,0))</f>
        <v/>
      </c>
      <c r="AG99" s="36">
        <f>IF('My investments'!$H$13="",0,IF('My investments'!$F99='My investments'!$H$13,'My investments'!$E99,0))</f>
        <v/>
      </c>
      <c r="AH99" s="36">
        <f>IF('My investments'!$H$14="",0,IF('My investments'!$F99='My investments'!$H$14,'My investments'!$E99,0))</f>
        <v/>
      </c>
      <c r="AI99" s="36">
        <f>IF('My investments'!$H$15="",0,IF('My investments'!$F99='My investments'!$H$15,'My investments'!$E99,0))</f>
        <v/>
      </c>
      <c r="AK99" s="36">
        <f>IF('My investments'!$H$11="",0,IF('My investments'!$F99='My investments'!$H$11,$AA99,0))</f>
        <v/>
      </c>
      <c r="AL99" s="36">
        <f>IF('My investments'!$H$12="",0,IF('My investments'!$F99='My investments'!$H$12,$AA99,0))</f>
        <v/>
      </c>
      <c r="AM99" s="36">
        <f>IF('My investments'!$H$13="",0,IF('My investments'!$F99='My investments'!$H$13,$AA99,0))</f>
        <v/>
      </c>
      <c r="AN99" s="36">
        <f>IF('My investments'!$H$14="",0,IF('My investments'!$F99='My investments'!$H$14,$AA99,0))</f>
        <v/>
      </c>
      <c r="AO99" s="36">
        <f>IF('My investments'!$H$15="",0,IF('My investments'!$F99='My investments'!$H$15,$AA99,0))</f>
        <v/>
      </c>
    </row>
    <row r="100" ht="15" customHeight="1" s="30">
      <c r="A100" s="36">
        <f>IF('My investments'!$C100="Worth today",1,0)</f>
        <v/>
      </c>
      <c r="B100" s="36">
        <f>IF('My investments'!$C100="Money in",1,0)</f>
        <v/>
      </c>
      <c r="AA100" s="36">
        <f>IF('My investments'!$C100="Money in",'My investments'!$D100,0)</f>
        <v/>
      </c>
      <c r="AB100" s="36">
        <f>IF('My investments'!$C100="Money out",'My investments'!$D100,0)</f>
        <v/>
      </c>
      <c r="AC100" s="36">
        <f>IF('My investments'!$C100="Worth today",'My investments'!$D100,0)</f>
        <v/>
      </c>
      <c r="AE100" s="36">
        <f>IF('My investments'!$H$11="",0,IF('My investments'!$F100='My investments'!$H$11,'My investments'!$E100,0))</f>
        <v/>
      </c>
      <c r="AF100" s="36">
        <f>IF('My investments'!$H$12="",0,IF('My investments'!$F100='My investments'!$H$12,'My investments'!$E100,0))</f>
        <v/>
      </c>
      <c r="AG100" s="36">
        <f>IF('My investments'!$H$13="",0,IF('My investments'!$F100='My investments'!$H$13,'My investments'!$E100,0))</f>
        <v/>
      </c>
      <c r="AH100" s="36">
        <f>IF('My investments'!$H$14="",0,IF('My investments'!$F100='My investments'!$H$14,'My investments'!$E100,0))</f>
        <v/>
      </c>
      <c r="AI100" s="36">
        <f>IF('My investments'!$H$15="",0,IF('My investments'!$F100='My investments'!$H$15,'My investments'!$E100,0))</f>
        <v/>
      </c>
      <c r="AK100" s="36">
        <f>IF('My investments'!$H$11="",0,IF('My investments'!$F100='My investments'!$H$11,$AA100,0))</f>
        <v/>
      </c>
      <c r="AL100" s="36">
        <f>IF('My investments'!$H$12="",0,IF('My investments'!$F100='My investments'!$H$12,$AA100,0))</f>
        <v/>
      </c>
      <c r="AM100" s="36">
        <f>IF('My investments'!$H$13="",0,IF('My investments'!$F100='My investments'!$H$13,$AA100,0))</f>
        <v/>
      </c>
      <c r="AN100" s="36">
        <f>IF('My investments'!$H$14="",0,IF('My investments'!$F100='My investments'!$H$14,$AA100,0))</f>
        <v/>
      </c>
      <c r="AO100" s="36">
        <f>IF('My investments'!$H$15="",0,IF('My investments'!$F100='My investments'!$H$15,$AA100,0))</f>
        <v/>
      </c>
    </row>
    <row r="101" ht="15" customHeight="1" s="30">
      <c r="A101" s="36">
        <f>IF('My investments'!$C101="Worth today",1,0)</f>
        <v/>
      </c>
      <c r="B101" s="36">
        <f>IF('My investments'!$C101="Money in",1,0)</f>
        <v/>
      </c>
      <c r="AA101" s="36">
        <f>IF('My investments'!$C101="Money in",'My investments'!$D101,0)</f>
        <v/>
      </c>
      <c r="AB101" s="36">
        <f>IF('My investments'!$C101="Money out",'My investments'!$D101,0)</f>
        <v/>
      </c>
      <c r="AC101" s="36">
        <f>IF('My investments'!$C101="Worth today",'My investments'!$D101,0)</f>
        <v/>
      </c>
      <c r="AE101" s="36">
        <f>IF('My investments'!$H$11="",0,IF('My investments'!$F101='My investments'!$H$11,'My investments'!$E101,0))</f>
        <v/>
      </c>
      <c r="AF101" s="36">
        <f>IF('My investments'!$H$12="",0,IF('My investments'!$F101='My investments'!$H$12,'My investments'!$E101,0))</f>
        <v/>
      </c>
      <c r="AG101" s="36">
        <f>IF('My investments'!$H$13="",0,IF('My investments'!$F101='My investments'!$H$13,'My investments'!$E101,0))</f>
        <v/>
      </c>
      <c r="AH101" s="36">
        <f>IF('My investments'!$H$14="",0,IF('My investments'!$F101='My investments'!$H$14,'My investments'!$E101,0))</f>
        <v/>
      </c>
      <c r="AI101" s="36">
        <f>IF('My investments'!$H$15="",0,IF('My investments'!$F101='My investments'!$H$15,'My investments'!$E101,0))</f>
        <v/>
      </c>
      <c r="AK101" s="36">
        <f>IF('My investments'!$H$11="",0,IF('My investments'!$F101='My investments'!$H$11,$AA101,0))</f>
        <v/>
      </c>
      <c r="AL101" s="36">
        <f>IF('My investments'!$H$12="",0,IF('My investments'!$F101='My investments'!$H$12,$AA101,0))</f>
        <v/>
      </c>
      <c r="AM101" s="36">
        <f>IF('My investments'!$H$13="",0,IF('My investments'!$F101='My investments'!$H$13,$AA101,0))</f>
        <v/>
      </c>
      <c r="AN101" s="36">
        <f>IF('My investments'!$H$14="",0,IF('My investments'!$F101='My investments'!$H$14,$AA101,0))</f>
        <v/>
      </c>
      <c r="AO101" s="36">
        <f>IF('My investments'!$H$15="",0,IF('My investments'!$F101='My investments'!$H$15,$AA101,0))</f>
        <v/>
      </c>
    </row>
    <row r="102" ht="15" customHeight="1" s="30">
      <c r="A102" s="36">
        <f>IF('My investments'!$C102="Worth today",1,0)</f>
        <v/>
      </c>
      <c r="B102" s="36">
        <f>IF('My investments'!$C102="Money in",1,0)</f>
        <v/>
      </c>
      <c r="AA102" s="36">
        <f>IF('My investments'!$C102="Money in",'My investments'!$D102,0)</f>
        <v/>
      </c>
      <c r="AB102" s="36">
        <f>IF('My investments'!$C102="Money out",'My investments'!$D102,0)</f>
        <v/>
      </c>
      <c r="AC102" s="36">
        <f>IF('My investments'!$C102="Worth today",'My investments'!$D102,0)</f>
        <v/>
      </c>
      <c r="AE102" s="36">
        <f>IF('My investments'!$H$11="",0,IF('My investments'!$F102='My investments'!$H$11,'My investments'!$E102,0))</f>
        <v/>
      </c>
      <c r="AF102" s="36">
        <f>IF('My investments'!$H$12="",0,IF('My investments'!$F102='My investments'!$H$12,'My investments'!$E102,0))</f>
        <v/>
      </c>
      <c r="AG102" s="36">
        <f>IF('My investments'!$H$13="",0,IF('My investments'!$F102='My investments'!$H$13,'My investments'!$E102,0))</f>
        <v/>
      </c>
      <c r="AH102" s="36">
        <f>IF('My investments'!$H$14="",0,IF('My investments'!$F102='My investments'!$H$14,'My investments'!$E102,0))</f>
        <v/>
      </c>
      <c r="AI102" s="36">
        <f>IF('My investments'!$H$15="",0,IF('My investments'!$F102='My investments'!$H$15,'My investments'!$E102,0))</f>
        <v/>
      </c>
      <c r="AK102" s="36">
        <f>IF('My investments'!$H$11="",0,IF('My investments'!$F102='My investments'!$H$11,$AA102,0))</f>
        <v/>
      </c>
      <c r="AL102" s="36">
        <f>IF('My investments'!$H$12="",0,IF('My investments'!$F102='My investments'!$H$12,$AA102,0))</f>
        <v/>
      </c>
      <c r="AM102" s="36">
        <f>IF('My investments'!$H$13="",0,IF('My investments'!$F102='My investments'!$H$13,$AA102,0))</f>
        <v/>
      </c>
      <c r="AN102" s="36">
        <f>IF('My investments'!$H$14="",0,IF('My investments'!$F102='My investments'!$H$14,$AA102,0))</f>
        <v/>
      </c>
      <c r="AO102" s="36">
        <f>IF('My investments'!$H$15="",0,IF('My investments'!$F102='My investments'!$H$15,$AA102,0))</f>
        <v/>
      </c>
    </row>
    <row r="103" ht="15" customHeight="1" s="30">
      <c r="A103" s="36">
        <f>IF('My investments'!$C103="Worth today",1,0)</f>
        <v/>
      </c>
      <c r="B103" s="36">
        <f>IF('My investments'!$C103="Money in",1,0)</f>
        <v/>
      </c>
      <c r="AA103" s="36">
        <f>IF('My investments'!$C103="Money in",'My investments'!$D103,0)</f>
        <v/>
      </c>
      <c r="AB103" s="36">
        <f>IF('My investments'!$C103="Money out",'My investments'!$D103,0)</f>
        <v/>
      </c>
      <c r="AC103" s="36">
        <f>IF('My investments'!$C103="Worth today",'My investments'!$D103,0)</f>
        <v/>
      </c>
      <c r="AE103" s="36">
        <f>IF('My investments'!$H$11="",0,IF('My investments'!$F103='My investments'!$H$11,'My investments'!$E103,0))</f>
        <v/>
      </c>
      <c r="AF103" s="36">
        <f>IF('My investments'!$H$12="",0,IF('My investments'!$F103='My investments'!$H$12,'My investments'!$E103,0))</f>
        <v/>
      </c>
      <c r="AG103" s="36">
        <f>IF('My investments'!$H$13="",0,IF('My investments'!$F103='My investments'!$H$13,'My investments'!$E103,0))</f>
        <v/>
      </c>
      <c r="AH103" s="36">
        <f>IF('My investments'!$H$14="",0,IF('My investments'!$F103='My investments'!$H$14,'My investments'!$E103,0))</f>
        <v/>
      </c>
      <c r="AI103" s="36">
        <f>IF('My investments'!$H$15="",0,IF('My investments'!$F103='My investments'!$H$15,'My investments'!$E103,0))</f>
        <v/>
      </c>
      <c r="AK103" s="36">
        <f>IF('My investments'!$H$11="",0,IF('My investments'!$F103='My investments'!$H$11,$AA103,0))</f>
        <v/>
      </c>
      <c r="AL103" s="36">
        <f>IF('My investments'!$H$12="",0,IF('My investments'!$F103='My investments'!$H$12,$AA103,0))</f>
        <v/>
      </c>
      <c r="AM103" s="36">
        <f>IF('My investments'!$H$13="",0,IF('My investments'!$F103='My investments'!$H$13,$AA103,0))</f>
        <v/>
      </c>
      <c r="AN103" s="36">
        <f>IF('My investments'!$H$14="",0,IF('My investments'!$F103='My investments'!$H$14,$AA103,0))</f>
        <v/>
      </c>
      <c r="AO103" s="36">
        <f>IF('My investments'!$H$15="",0,IF('My investments'!$F103='My investments'!$H$15,$AA103,0))</f>
        <v/>
      </c>
    </row>
    <row r="104" ht="15" customHeight="1" s="30">
      <c r="A104" s="36">
        <f>IF('My investments'!$C104="Worth today",1,0)</f>
        <v/>
      </c>
      <c r="B104" s="36">
        <f>IF('My investments'!$C104="Money in",1,0)</f>
        <v/>
      </c>
      <c r="AA104" s="36">
        <f>IF('My investments'!$C104="Money in",'My investments'!$D104,0)</f>
        <v/>
      </c>
      <c r="AB104" s="36">
        <f>IF('My investments'!$C104="Money out",'My investments'!$D104,0)</f>
        <v/>
      </c>
      <c r="AC104" s="36">
        <f>IF('My investments'!$C104="Worth today",'My investments'!$D104,0)</f>
        <v/>
      </c>
      <c r="AE104" s="36">
        <f>IF('My investments'!$H$11="",0,IF('My investments'!$F104='My investments'!$H$11,'My investments'!$E104,0))</f>
        <v/>
      </c>
      <c r="AF104" s="36">
        <f>IF('My investments'!$H$12="",0,IF('My investments'!$F104='My investments'!$H$12,'My investments'!$E104,0))</f>
        <v/>
      </c>
      <c r="AG104" s="36">
        <f>IF('My investments'!$H$13="",0,IF('My investments'!$F104='My investments'!$H$13,'My investments'!$E104,0))</f>
        <v/>
      </c>
      <c r="AH104" s="36">
        <f>IF('My investments'!$H$14="",0,IF('My investments'!$F104='My investments'!$H$14,'My investments'!$E104,0))</f>
        <v/>
      </c>
      <c r="AI104" s="36">
        <f>IF('My investments'!$H$15="",0,IF('My investments'!$F104='My investments'!$H$15,'My investments'!$E104,0))</f>
        <v/>
      </c>
      <c r="AK104" s="36">
        <f>IF('My investments'!$H$11="",0,IF('My investments'!$F104='My investments'!$H$11,$AA104,0))</f>
        <v/>
      </c>
      <c r="AL104" s="36">
        <f>IF('My investments'!$H$12="",0,IF('My investments'!$F104='My investments'!$H$12,$AA104,0))</f>
        <v/>
      </c>
      <c r="AM104" s="36">
        <f>IF('My investments'!$H$13="",0,IF('My investments'!$F104='My investments'!$H$13,$AA104,0))</f>
        <v/>
      </c>
      <c r="AN104" s="36">
        <f>IF('My investments'!$H$14="",0,IF('My investments'!$F104='My investments'!$H$14,$AA104,0))</f>
        <v/>
      </c>
      <c r="AO104" s="36">
        <f>IF('My investments'!$H$15="",0,IF('My investments'!$F104='My investments'!$H$15,$AA104,0))</f>
        <v/>
      </c>
    </row>
    <row r="105" ht="15" customHeight="1" s="30">
      <c r="A105" s="36">
        <f>IF('My investments'!$C105="Worth today",1,0)</f>
        <v/>
      </c>
      <c r="B105" s="36">
        <f>IF('My investments'!$C105="Money in",1,0)</f>
        <v/>
      </c>
      <c r="AA105" s="36">
        <f>IF('My investments'!$C105="Money in",'My investments'!$D105,0)</f>
        <v/>
      </c>
      <c r="AB105" s="36">
        <f>IF('My investments'!$C105="Money out",'My investments'!$D105,0)</f>
        <v/>
      </c>
      <c r="AC105" s="36">
        <f>IF('My investments'!$C105="Worth today",'My investments'!$D105,0)</f>
        <v/>
      </c>
      <c r="AE105" s="36">
        <f>IF('My investments'!$H$11="",0,IF('My investments'!$F105='My investments'!$H$11,'My investments'!$E105,0))</f>
        <v/>
      </c>
      <c r="AF105" s="36">
        <f>IF('My investments'!$H$12="",0,IF('My investments'!$F105='My investments'!$H$12,'My investments'!$E105,0))</f>
        <v/>
      </c>
      <c r="AG105" s="36">
        <f>IF('My investments'!$H$13="",0,IF('My investments'!$F105='My investments'!$H$13,'My investments'!$E105,0))</f>
        <v/>
      </c>
      <c r="AH105" s="36">
        <f>IF('My investments'!$H$14="",0,IF('My investments'!$F105='My investments'!$H$14,'My investments'!$E105,0))</f>
        <v/>
      </c>
      <c r="AI105" s="36">
        <f>IF('My investments'!$H$15="",0,IF('My investments'!$F105='My investments'!$H$15,'My investments'!$E105,0))</f>
        <v/>
      </c>
      <c r="AK105" s="36">
        <f>IF('My investments'!$H$11="",0,IF('My investments'!$F105='My investments'!$H$11,$AA105,0))</f>
        <v/>
      </c>
      <c r="AL105" s="36">
        <f>IF('My investments'!$H$12="",0,IF('My investments'!$F105='My investments'!$H$12,$AA105,0))</f>
        <v/>
      </c>
      <c r="AM105" s="36">
        <f>IF('My investments'!$H$13="",0,IF('My investments'!$F105='My investments'!$H$13,$AA105,0))</f>
        <v/>
      </c>
      <c r="AN105" s="36">
        <f>IF('My investments'!$H$14="",0,IF('My investments'!$F105='My investments'!$H$14,$AA105,0))</f>
        <v/>
      </c>
      <c r="AO105" s="36">
        <f>IF('My investments'!$H$15="",0,IF('My investments'!$F105='My investments'!$H$15,$AA105,0))</f>
        <v/>
      </c>
    </row>
    <row r="106" ht="15" customHeight="1" s="30">
      <c r="A106" s="36">
        <f>IF('My investments'!$C106="Worth today",1,0)</f>
        <v/>
      </c>
      <c r="B106" s="36">
        <f>IF('My investments'!$C106="Money in",1,0)</f>
        <v/>
      </c>
      <c r="AA106" s="36">
        <f>IF('My investments'!$C106="Money in",'My investments'!$D106,0)</f>
        <v/>
      </c>
      <c r="AB106" s="36">
        <f>IF('My investments'!$C106="Money out",'My investments'!$D106,0)</f>
        <v/>
      </c>
      <c r="AC106" s="36">
        <f>IF('My investments'!$C106="Worth today",'My investments'!$D106,0)</f>
        <v/>
      </c>
      <c r="AE106" s="36">
        <f>IF('My investments'!$H$11="",0,IF('My investments'!$F106='My investments'!$H$11,'My investments'!$E106,0))</f>
        <v/>
      </c>
      <c r="AF106" s="36">
        <f>IF('My investments'!$H$12="",0,IF('My investments'!$F106='My investments'!$H$12,'My investments'!$E106,0))</f>
        <v/>
      </c>
      <c r="AG106" s="36">
        <f>IF('My investments'!$H$13="",0,IF('My investments'!$F106='My investments'!$H$13,'My investments'!$E106,0))</f>
        <v/>
      </c>
      <c r="AH106" s="36">
        <f>IF('My investments'!$H$14="",0,IF('My investments'!$F106='My investments'!$H$14,'My investments'!$E106,0))</f>
        <v/>
      </c>
      <c r="AI106" s="36">
        <f>IF('My investments'!$H$15="",0,IF('My investments'!$F106='My investments'!$H$15,'My investments'!$E106,0))</f>
        <v/>
      </c>
      <c r="AK106" s="36">
        <f>IF('My investments'!$H$11="",0,IF('My investments'!$F106='My investments'!$H$11,$AA106,0))</f>
        <v/>
      </c>
      <c r="AL106" s="36">
        <f>IF('My investments'!$H$12="",0,IF('My investments'!$F106='My investments'!$H$12,$AA106,0))</f>
        <v/>
      </c>
      <c r="AM106" s="36">
        <f>IF('My investments'!$H$13="",0,IF('My investments'!$F106='My investments'!$H$13,$AA106,0))</f>
        <v/>
      </c>
      <c r="AN106" s="36">
        <f>IF('My investments'!$H$14="",0,IF('My investments'!$F106='My investments'!$H$14,$AA106,0))</f>
        <v/>
      </c>
      <c r="AO106" s="36">
        <f>IF('My investments'!$H$15="",0,IF('My investments'!$F106='My investments'!$H$15,$AA106,0))</f>
        <v/>
      </c>
    </row>
    <row r="107" ht="15" customHeight="1" s="30">
      <c r="A107" s="36">
        <f>IF('My investments'!$C107="Worth today",1,0)</f>
        <v/>
      </c>
      <c r="B107" s="36">
        <f>IF('My investments'!$C107="Money in",1,0)</f>
        <v/>
      </c>
      <c r="AA107" s="36">
        <f>IF('My investments'!$C107="Money in",'My investments'!$D107,0)</f>
        <v/>
      </c>
      <c r="AB107" s="36">
        <f>IF('My investments'!$C107="Money out",'My investments'!$D107,0)</f>
        <v/>
      </c>
      <c r="AC107" s="36">
        <f>IF('My investments'!$C107="Worth today",'My investments'!$D107,0)</f>
        <v/>
      </c>
      <c r="AE107" s="36">
        <f>IF('My investments'!$H$11="",0,IF('My investments'!$F107='My investments'!$H$11,'My investments'!$E107,0))</f>
        <v/>
      </c>
      <c r="AF107" s="36">
        <f>IF('My investments'!$H$12="",0,IF('My investments'!$F107='My investments'!$H$12,'My investments'!$E107,0))</f>
        <v/>
      </c>
      <c r="AG107" s="36">
        <f>IF('My investments'!$H$13="",0,IF('My investments'!$F107='My investments'!$H$13,'My investments'!$E107,0))</f>
        <v/>
      </c>
      <c r="AH107" s="36">
        <f>IF('My investments'!$H$14="",0,IF('My investments'!$F107='My investments'!$H$14,'My investments'!$E107,0))</f>
        <v/>
      </c>
      <c r="AI107" s="36">
        <f>IF('My investments'!$H$15="",0,IF('My investments'!$F107='My investments'!$H$15,'My investments'!$E107,0))</f>
        <v/>
      </c>
      <c r="AK107" s="36">
        <f>IF('My investments'!$H$11="",0,IF('My investments'!$F107='My investments'!$H$11,$AA107,0))</f>
        <v/>
      </c>
      <c r="AL107" s="36">
        <f>IF('My investments'!$H$12="",0,IF('My investments'!$F107='My investments'!$H$12,$AA107,0))</f>
        <v/>
      </c>
      <c r="AM107" s="36">
        <f>IF('My investments'!$H$13="",0,IF('My investments'!$F107='My investments'!$H$13,$AA107,0))</f>
        <v/>
      </c>
      <c r="AN107" s="36">
        <f>IF('My investments'!$H$14="",0,IF('My investments'!$F107='My investments'!$H$14,$AA107,0))</f>
        <v/>
      </c>
      <c r="AO107" s="36">
        <f>IF('My investments'!$H$15="",0,IF('My investments'!$F107='My investments'!$H$15,$AA107,0))</f>
        <v/>
      </c>
    </row>
    <row r="108" ht="15" customHeight="1" s="30">
      <c r="A108" s="36">
        <f>IF('My investments'!$C108="Worth today",1,0)</f>
        <v/>
      </c>
      <c r="B108" s="36">
        <f>IF('My investments'!$C108="Money in",1,0)</f>
        <v/>
      </c>
      <c r="AA108" s="36">
        <f>IF('My investments'!$C108="Money in",'My investments'!$D108,0)</f>
        <v/>
      </c>
      <c r="AB108" s="36">
        <f>IF('My investments'!$C108="Money out",'My investments'!$D108,0)</f>
        <v/>
      </c>
      <c r="AC108" s="36">
        <f>IF('My investments'!$C108="Worth today",'My investments'!$D108,0)</f>
        <v/>
      </c>
      <c r="AE108" s="36">
        <f>IF('My investments'!$H$11="",0,IF('My investments'!$F108='My investments'!$H$11,'My investments'!$E108,0))</f>
        <v/>
      </c>
      <c r="AF108" s="36">
        <f>IF('My investments'!$H$12="",0,IF('My investments'!$F108='My investments'!$H$12,'My investments'!$E108,0))</f>
        <v/>
      </c>
      <c r="AG108" s="36">
        <f>IF('My investments'!$H$13="",0,IF('My investments'!$F108='My investments'!$H$13,'My investments'!$E108,0))</f>
        <v/>
      </c>
      <c r="AH108" s="36">
        <f>IF('My investments'!$H$14="",0,IF('My investments'!$F108='My investments'!$H$14,'My investments'!$E108,0))</f>
        <v/>
      </c>
      <c r="AI108" s="36">
        <f>IF('My investments'!$H$15="",0,IF('My investments'!$F108='My investments'!$H$15,'My investments'!$E108,0))</f>
        <v/>
      </c>
      <c r="AK108" s="36">
        <f>IF('My investments'!$H$11="",0,IF('My investments'!$F108='My investments'!$H$11,$AA108,0))</f>
        <v/>
      </c>
      <c r="AL108" s="36">
        <f>IF('My investments'!$H$12="",0,IF('My investments'!$F108='My investments'!$H$12,$AA108,0))</f>
        <v/>
      </c>
      <c r="AM108" s="36">
        <f>IF('My investments'!$H$13="",0,IF('My investments'!$F108='My investments'!$H$13,$AA108,0))</f>
        <v/>
      </c>
      <c r="AN108" s="36">
        <f>IF('My investments'!$H$14="",0,IF('My investments'!$F108='My investments'!$H$14,$AA108,0))</f>
        <v/>
      </c>
      <c r="AO108" s="36">
        <f>IF('My investments'!$H$15="",0,IF('My investments'!$F108='My investments'!$H$15,$AA108,0))</f>
        <v/>
      </c>
    </row>
    <row r="109" ht="15" customHeight="1" s="30">
      <c r="A109" s="36">
        <f>IF('My investments'!$C109="Worth today",1,0)</f>
        <v/>
      </c>
      <c r="B109" s="36">
        <f>IF('My investments'!$C109="Money in",1,0)</f>
        <v/>
      </c>
      <c r="AA109" s="36">
        <f>IF('My investments'!$C109="Money in",'My investments'!$D109,0)</f>
        <v/>
      </c>
      <c r="AB109" s="36">
        <f>IF('My investments'!$C109="Money out",'My investments'!$D109,0)</f>
        <v/>
      </c>
      <c r="AC109" s="36">
        <f>IF('My investments'!$C109="Worth today",'My investments'!$D109,0)</f>
        <v/>
      </c>
      <c r="AE109" s="36">
        <f>IF('My investments'!$H$11="",0,IF('My investments'!$F109='My investments'!$H$11,'My investments'!$E109,0))</f>
        <v/>
      </c>
      <c r="AF109" s="36">
        <f>IF('My investments'!$H$12="",0,IF('My investments'!$F109='My investments'!$H$12,'My investments'!$E109,0))</f>
        <v/>
      </c>
      <c r="AG109" s="36">
        <f>IF('My investments'!$H$13="",0,IF('My investments'!$F109='My investments'!$H$13,'My investments'!$E109,0))</f>
        <v/>
      </c>
      <c r="AH109" s="36">
        <f>IF('My investments'!$H$14="",0,IF('My investments'!$F109='My investments'!$H$14,'My investments'!$E109,0))</f>
        <v/>
      </c>
      <c r="AI109" s="36">
        <f>IF('My investments'!$H$15="",0,IF('My investments'!$F109='My investments'!$H$15,'My investments'!$E109,0))</f>
        <v/>
      </c>
      <c r="AK109" s="36">
        <f>IF('My investments'!$H$11="",0,IF('My investments'!$F109='My investments'!$H$11,$AA109,0))</f>
        <v/>
      </c>
      <c r="AL109" s="36">
        <f>IF('My investments'!$H$12="",0,IF('My investments'!$F109='My investments'!$H$12,$AA109,0))</f>
        <v/>
      </c>
      <c r="AM109" s="36">
        <f>IF('My investments'!$H$13="",0,IF('My investments'!$F109='My investments'!$H$13,$AA109,0))</f>
        <v/>
      </c>
      <c r="AN109" s="36">
        <f>IF('My investments'!$H$14="",0,IF('My investments'!$F109='My investments'!$H$14,$AA109,0))</f>
        <v/>
      </c>
      <c r="AO109" s="36">
        <f>IF('My investments'!$H$15="",0,IF('My investments'!$F109='My investments'!$H$15,$AA109,0))</f>
        <v/>
      </c>
    </row>
    <row r="110" ht="15" customHeight="1" s="30">
      <c r="A110" s="36">
        <f>IF('My investments'!$C110="Worth today",1,0)</f>
        <v/>
      </c>
      <c r="B110" s="36">
        <f>IF('My investments'!$C110="Money in",1,0)</f>
        <v/>
      </c>
      <c r="AA110" s="36">
        <f>IF('My investments'!$C110="Money in",'My investments'!$D110,0)</f>
        <v/>
      </c>
      <c r="AB110" s="36">
        <f>IF('My investments'!$C110="Money out",'My investments'!$D110,0)</f>
        <v/>
      </c>
      <c r="AC110" s="36">
        <f>IF('My investments'!$C110="Worth today",'My investments'!$D110,0)</f>
        <v/>
      </c>
      <c r="AE110" s="36">
        <f>IF('My investments'!$H$11="",0,IF('My investments'!$F110='My investments'!$H$11,'My investments'!$E110,0))</f>
        <v/>
      </c>
      <c r="AF110" s="36">
        <f>IF('My investments'!$H$12="",0,IF('My investments'!$F110='My investments'!$H$12,'My investments'!$E110,0))</f>
        <v/>
      </c>
      <c r="AG110" s="36">
        <f>IF('My investments'!$H$13="",0,IF('My investments'!$F110='My investments'!$H$13,'My investments'!$E110,0))</f>
        <v/>
      </c>
      <c r="AH110" s="36">
        <f>IF('My investments'!$H$14="",0,IF('My investments'!$F110='My investments'!$H$14,'My investments'!$E110,0))</f>
        <v/>
      </c>
      <c r="AI110" s="36">
        <f>IF('My investments'!$H$15="",0,IF('My investments'!$F110='My investments'!$H$15,'My investments'!$E110,0))</f>
        <v/>
      </c>
      <c r="AK110" s="36">
        <f>IF('My investments'!$H$11="",0,IF('My investments'!$F110='My investments'!$H$11,$AA110,0))</f>
        <v/>
      </c>
      <c r="AL110" s="36">
        <f>IF('My investments'!$H$12="",0,IF('My investments'!$F110='My investments'!$H$12,$AA110,0))</f>
        <v/>
      </c>
      <c r="AM110" s="36">
        <f>IF('My investments'!$H$13="",0,IF('My investments'!$F110='My investments'!$H$13,$AA110,0))</f>
        <v/>
      </c>
      <c r="AN110" s="36">
        <f>IF('My investments'!$H$14="",0,IF('My investments'!$F110='My investments'!$H$14,$AA110,0))</f>
        <v/>
      </c>
      <c r="AO110" s="36">
        <f>IF('My investments'!$H$15="",0,IF('My investments'!$F110='My investments'!$H$15,$AA110,0))</f>
        <v/>
      </c>
    </row>
    <row r="111" ht="15" customHeight="1" s="30">
      <c r="A111" s="36">
        <f>IF('My investments'!$C111="Worth today",1,0)</f>
        <v/>
      </c>
      <c r="B111" s="36">
        <f>IF('My investments'!$C111="Money in",1,0)</f>
        <v/>
      </c>
      <c r="AA111" s="36">
        <f>IF('My investments'!$C111="Money in",'My investments'!$D111,0)</f>
        <v/>
      </c>
      <c r="AB111" s="36">
        <f>IF('My investments'!$C111="Money out",'My investments'!$D111,0)</f>
        <v/>
      </c>
      <c r="AC111" s="36">
        <f>IF('My investments'!$C111="Worth today",'My investments'!$D111,0)</f>
        <v/>
      </c>
      <c r="AE111" s="36">
        <f>IF('My investments'!$H$11="",0,IF('My investments'!$F111='My investments'!$H$11,'My investments'!$E111,0))</f>
        <v/>
      </c>
      <c r="AF111" s="36">
        <f>IF('My investments'!$H$12="",0,IF('My investments'!$F111='My investments'!$H$12,'My investments'!$E111,0))</f>
        <v/>
      </c>
      <c r="AG111" s="36">
        <f>IF('My investments'!$H$13="",0,IF('My investments'!$F111='My investments'!$H$13,'My investments'!$E111,0))</f>
        <v/>
      </c>
      <c r="AH111" s="36">
        <f>IF('My investments'!$H$14="",0,IF('My investments'!$F111='My investments'!$H$14,'My investments'!$E111,0))</f>
        <v/>
      </c>
      <c r="AI111" s="36">
        <f>IF('My investments'!$H$15="",0,IF('My investments'!$F111='My investments'!$H$15,'My investments'!$E111,0))</f>
        <v/>
      </c>
      <c r="AK111" s="36">
        <f>IF('My investments'!$H$11="",0,IF('My investments'!$F111='My investments'!$H$11,$AA111,0))</f>
        <v/>
      </c>
      <c r="AL111" s="36">
        <f>IF('My investments'!$H$12="",0,IF('My investments'!$F111='My investments'!$H$12,$AA111,0))</f>
        <v/>
      </c>
      <c r="AM111" s="36">
        <f>IF('My investments'!$H$13="",0,IF('My investments'!$F111='My investments'!$H$13,$AA111,0))</f>
        <v/>
      </c>
      <c r="AN111" s="36">
        <f>IF('My investments'!$H$14="",0,IF('My investments'!$F111='My investments'!$H$14,$AA111,0))</f>
        <v/>
      </c>
      <c r="AO111" s="36">
        <f>IF('My investments'!$H$15="",0,IF('My investments'!$F111='My investments'!$H$15,$AA111,0))</f>
        <v/>
      </c>
    </row>
    <row r="112" ht="15" customHeight="1" s="30">
      <c r="A112" s="36">
        <f>IF('My investments'!$C112="Worth today",1,0)</f>
        <v/>
      </c>
      <c r="B112" s="36">
        <f>IF('My investments'!$C112="Money in",1,0)</f>
        <v/>
      </c>
      <c r="AA112" s="36">
        <f>IF('My investments'!$C112="Money in",'My investments'!$D112,0)</f>
        <v/>
      </c>
      <c r="AB112" s="36">
        <f>IF('My investments'!$C112="Money out",'My investments'!$D112,0)</f>
        <v/>
      </c>
      <c r="AC112" s="36">
        <f>IF('My investments'!$C112="Worth today",'My investments'!$D112,0)</f>
        <v/>
      </c>
      <c r="AE112" s="36">
        <f>IF('My investments'!$H$11="",0,IF('My investments'!$F112='My investments'!$H$11,'My investments'!$E112,0))</f>
        <v/>
      </c>
      <c r="AF112" s="36">
        <f>IF('My investments'!$H$12="",0,IF('My investments'!$F112='My investments'!$H$12,'My investments'!$E112,0))</f>
        <v/>
      </c>
      <c r="AG112" s="36">
        <f>IF('My investments'!$H$13="",0,IF('My investments'!$F112='My investments'!$H$13,'My investments'!$E112,0))</f>
        <v/>
      </c>
      <c r="AH112" s="36">
        <f>IF('My investments'!$H$14="",0,IF('My investments'!$F112='My investments'!$H$14,'My investments'!$E112,0))</f>
        <v/>
      </c>
      <c r="AI112" s="36">
        <f>IF('My investments'!$H$15="",0,IF('My investments'!$F112='My investments'!$H$15,'My investments'!$E112,0))</f>
        <v/>
      </c>
      <c r="AK112" s="36">
        <f>IF('My investments'!$H$11="",0,IF('My investments'!$F112='My investments'!$H$11,$AA112,0))</f>
        <v/>
      </c>
      <c r="AL112" s="36">
        <f>IF('My investments'!$H$12="",0,IF('My investments'!$F112='My investments'!$H$12,$AA112,0))</f>
        <v/>
      </c>
      <c r="AM112" s="36">
        <f>IF('My investments'!$H$13="",0,IF('My investments'!$F112='My investments'!$H$13,$AA112,0))</f>
        <v/>
      </c>
      <c r="AN112" s="36">
        <f>IF('My investments'!$H$14="",0,IF('My investments'!$F112='My investments'!$H$14,$AA112,0))</f>
        <v/>
      </c>
      <c r="AO112" s="36">
        <f>IF('My investments'!$H$15="",0,IF('My investments'!$F112='My investments'!$H$15,$AA112,0))</f>
        <v/>
      </c>
    </row>
    <row r="113" ht="15" customHeight="1" s="30">
      <c r="A113" s="36">
        <f>IF('My investments'!$C113="Worth today",1,0)</f>
        <v/>
      </c>
      <c r="B113" s="36">
        <f>IF('My investments'!$C113="Money in",1,0)</f>
        <v/>
      </c>
      <c r="AA113" s="36">
        <f>IF('My investments'!$C113="Money in",'My investments'!$D113,0)</f>
        <v/>
      </c>
      <c r="AB113" s="36">
        <f>IF('My investments'!$C113="Money out",'My investments'!$D113,0)</f>
        <v/>
      </c>
      <c r="AC113" s="36">
        <f>IF('My investments'!$C113="Worth today",'My investments'!$D113,0)</f>
        <v/>
      </c>
      <c r="AE113" s="36">
        <f>IF('My investments'!$H$11="",0,IF('My investments'!$F113='My investments'!$H$11,'My investments'!$E113,0))</f>
        <v/>
      </c>
      <c r="AF113" s="36">
        <f>IF('My investments'!$H$12="",0,IF('My investments'!$F113='My investments'!$H$12,'My investments'!$E113,0))</f>
        <v/>
      </c>
      <c r="AG113" s="36">
        <f>IF('My investments'!$H$13="",0,IF('My investments'!$F113='My investments'!$H$13,'My investments'!$E113,0))</f>
        <v/>
      </c>
      <c r="AH113" s="36">
        <f>IF('My investments'!$H$14="",0,IF('My investments'!$F113='My investments'!$H$14,'My investments'!$E113,0))</f>
        <v/>
      </c>
      <c r="AI113" s="36">
        <f>IF('My investments'!$H$15="",0,IF('My investments'!$F113='My investments'!$H$15,'My investments'!$E113,0))</f>
        <v/>
      </c>
      <c r="AK113" s="36">
        <f>IF('My investments'!$H$11="",0,IF('My investments'!$F113='My investments'!$H$11,$AA113,0))</f>
        <v/>
      </c>
      <c r="AL113" s="36">
        <f>IF('My investments'!$H$12="",0,IF('My investments'!$F113='My investments'!$H$12,$AA113,0))</f>
        <v/>
      </c>
      <c r="AM113" s="36">
        <f>IF('My investments'!$H$13="",0,IF('My investments'!$F113='My investments'!$H$13,$AA113,0))</f>
        <v/>
      </c>
      <c r="AN113" s="36">
        <f>IF('My investments'!$H$14="",0,IF('My investments'!$F113='My investments'!$H$14,$AA113,0))</f>
        <v/>
      </c>
      <c r="AO113" s="36">
        <f>IF('My investments'!$H$15="",0,IF('My investments'!$F113='My investments'!$H$15,$AA113,0))</f>
        <v/>
      </c>
    </row>
    <row r="114" ht="15" customHeight="1" s="30">
      <c r="A114" s="36">
        <f>IF('My investments'!$C114="Worth today",1,0)</f>
        <v/>
      </c>
      <c r="B114" s="36">
        <f>IF('My investments'!$C114="Money in",1,0)</f>
        <v/>
      </c>
      <c r="AA114" s="36">
        <f>IF('My investments'!$C114="Money in",'My investments'!$D114,0)</f>
        <v/>
      </c>
      <c r="AB114" s="36">
        <f>IF('My investments'!$C114="Money out",'My investments'!$D114,0)</f>
        <v/>
      </c>
      <c r="AC114" s="36">
        <f>IF('My investments'!$C114="Worth today",'My investments'!$D114,0)</f>
        <v/>
      </c>
      <c r="AE114" s="36">
        <f>IF('My investments'!$H$11="",0,IF('My investments'!$F114='My investments'!$H$11,'My investments'!$E114,0))</f>
        <v/>
      </c>
      <c r="AF114" s="36">
        <f>IF('My investments'!$H$12="",0,IF('My investments'!$F114='My investments'!$H$12,'My investments'!$E114,0))</f>
        <v/>
      </c>
      <c r="AG114" s="36">
        <f>IF('My investments'!$H$13="",0,IF('My investments'!$F114='My investments'!$H$13,'My investments'!$E114,0))</f>
        <v/>
      </c>
      <c r="AH114" s="36">
        <f>IF('My investments'!$H$14="",0,IF('My investments'!$F114='My investments'!$H$14,'My investments'!$E114,0))</f>
        <v/>
      </c>
      <c r="AI114" s="36">
        <f>IF('My investments'!$H$15="",0,IF('My investments'!$F114='My investments'!$H$15,'My investments'!$E114,0))</f>
        <v/>
      </c>
      <c r="AK114" s="36">
        <f>IF('My investments'!$H$11="",0,IF('My investments'!$F114='My investments'!$H$11,$AA114,0))</f>
        <v/>
      </c>
      <c r="AL114" s="36">
        <f>IF('My investments'!$H$12="",0,IF('My investments'!$F114='My investments'!$H$12,$AA114,0))</f>
        <v/>
      </c>
      <c r="AM114" s="36">
        <f>IF('My investments'!$H$13="",0,IF('My investments'!$F114='My investments'!$H$13,$AA114,0))</f>
        <v/>
      </c>
      <c r="AN114" s="36">
        <f>IF('My investments'!$H$14="",0,IF('My investments'!$F114='My investments'!$H$14,$AA114,0))</f>
        <v/>
      </c>
      <c r="AO114" s="36">
        <f>IF('My investments'!$H$15="",0,IF('My investments'!$F114='My investments'!$H$15,$AA114,0))</f>
        <v/>
      </c>
    </row>
    <row r="115" ht="15" customHeight="1" s="30">
      <c r="A115" s="36">
        <f>IF('My investments'!$C115="Worth today",1,0)</f>
        <v/>
      </c>
      <c r="B115" s="36">
        <f>IF('My investments'!$C115="Money in",1,0)</f>
        <v/>
      </c>
      <c r="AA115" s="36">
        <f>IF('My investments'!$C115="Money in",'My investments'!$D115,0)</f>
        <v/>
      </c>
      <c r="AB115" s="36">
        <f>IF('My investments'!$C115="Money out",'My investments'!$D115,0)</f>
        <v/>
      </c>
      <c r="AC115" s="36">
        <f>IF('My investments'!$C115="Worth today",'My investments'!$D115,0)</f>
        <v/>
      </c>
      <c r="AE115" s="36">
        <f>IF('My investments'!$H$11="",0,IF('My investments'!$F115='My investments'!$H$11,'My investments'!$E115,0))</f>
        <v/>
      </c>
      <c r="AF115" s="36">
        <f>IF('My investments'!$H$12="",0,IF('My investments'!$F115='My investments'!$H$12,'My investments'!$E115,0))</f>
        <v/>
      </c>
      <c r="AG115" s="36">
        <f>IF('My investments'!$H$13="",0,IF('My investments'!$F115='My investments'!$H$13,'My investments'!$E115,0))</f>
        <v/>
      </c>
      <c r="AH115" s="36">
        <f>IF('My investments'!$H$14="",0,IF('My investments'!$F115='My investments'!$H$14,'My investments'!$E115,0))</f>
        <v/>
      </c>
      <c r="AI115" s="36">
        <f>IF('My investments'!$H$15="",0,IF('My investments'!$F115='My investments'!$H$15,'My investments'!$E115,0))</f>
        <v/>
      </c>
      <c r="AK115" s="36">
        <f>IF('My investments'!$H$11="",0,IF('My investments'!$F115='My investments'!$H$11,$AA115,0))</f>
        <v/>
      </c>
      <c r="AL115" s="36">
        <f>IF('My investments'!$H$12="",0,IF('My investments'!$F115='My investments'!$H$12,$AA115,0))</f>
        <v/>
      </c>
      <c r="AM115" s="36">
        <f>IF('My investments'!$H$13="",0,IF('My investments'!$F115='My investments'!$H$13,$AA115,0))</f>
        <v/>
      </c>
      <c r="AN115" s="36">
        <f>IF('My investments'!$H$14="",0,IF('My investments'!$F115='My investments'!$H$14,$AA115,0))</f>
        <v/>
      </c>
      <c r="AO115" s="36">
        <f>IF('My investments'!$H$15="",0,IF('My investments'!$F115='My investments'!$H$15,$AA115,0))</f>
        <v/>
      </c>
    </row>
    <row r="116" ht="15" customHeight="1" s="30">
      <c r="A116" s="36">
        <f>IF('My investments'!$C116="Worth today",1,0)</f>
        <v/>
      </c>
      <c r="B116" s="36">
        <f>IF('My investments'!$C116="Money in",1,0)</f>
        <v/>
      </c>
      <c r="AA116" s="36">
        <f>IF('My investments'!$C116="Money in",'My investments'!$D116,0)</f>
        <v/>
      </c>
      <c r="AB116" s="36">
        <f>IF('My investments'!$C116="Money out",'My investments'!$D116,0)</f>
        <v/>
      </c>
      <c r="AC116" s="36">
        <f>IF('My investments'!$C116="Worth today",'My investments'!$D116,0)</f>
        <v/>
      </c>
      <c r="AE116" s="36">
        <f>IF('My investments'!$H$11="",0,IF('My investments'!$F116='My investments'!$H$11,'My investments'!$E116,0))</f>
        <v/>
      </c>
      <c r="AF116" s="36">
        <f>IF('My investments'!$H$12="",0,IF('My investments'!$F116='My investments'!$H$12,'My investments'!$E116,0))</f>
        <v/>
      </c>
      <c r="AG116" s="36">
        <f>IF('My investments'!$H$13="",0,IF('My investments'!$F116='My investments'!$H$13,'My investments'!$E116,0))</f>
        <v/>
      </c>
      <c r="AH116" s="36">
        <f>IF('My investments'!$H$14="",0,IF('My investments'!$F116='My investments'!$H$14,'My investments'!$E116,0))</f>
        <v/>
      </c>
      <c r="AI116" s="36">
        <f>IF('My investments'!$H$15="",0,IF('My investments'!$F116='My investments'!$H$15,'My investments'!$E116,0))</f>
        <v/>
      </c>
      <c r="AK116" s="36">
        <f>IF('My investments'!$H$11="",0,IF('My investments'!$F116='My investments'!$H$11,$AA116,0))</f>
        <v/>
      </c>
      <c r="AL116" s="36">
        <f>IF('My investments'!$H$12="",0,IF('My investments'!$F116='My investments'!$H$12,$AA116,0))</f>
        <v/>
      </c>
      <c r="AM116" s="36">
        <f>IF('My investments'!$H$13="",0,IF('My investments'!$F116='My investments'!$H$13,$AA116,0))</f>
        <v/>
      </c>
      <c r="AN116" s="36">
        <f>IF('My investments'!$H$14="",0,IF('My investments'!$F116='My investments'!$H$14,$AA116,0))</f>
        <v/>
      </c>
      <c r="AO116" s="36">
        <f>IF('My investments'!$H$15="",0,IF('My investments'!$F116='My investments'!$H$15,$AA116,0))</f>
        <v/>
      </c>
    </row>
    <row r="117" ht="15" customHeight="1" s="30">
      <c r="A117" s="36">
        <f>IF('My investments'!$C117="Worth today",1,0)</f>
        <v/>
      </c>
      <c r="B117" s="36">
        <f>IF('My investments'!$C117="Money in",1,0)</f>
        <v/>
      </c>
      <c r="AA117" s="36">
        <f>IF('My investments'!$C117="Money in",'My investments'!$D117,0)</f>
        <v/>
      </c>
      <c r="AB117" s="36">
        <f>IF('My investments'!$C117="Money out",'My investments'!$D117,0)</f>
        <v/>
      </c>
      <c r="AC117" s="36">
        <f>IF('My investments'!$C117="Worth today",'My investments'!$D117,0)</f>
        <v/>
      </c>
      <c r="AE117" s="36">
        <f>IF('My investments'!$H$11="",0,IF('My investments'!$F117='My investments'!$H$11,'My investments'!$E117,0))</f>
        <v/>
      </c>
      <c r="AF117" s="36">
        <f>IF('My investments'!$H$12="",0,IF('My investments'!$F117='My investments'!$H$12,'My investments'!$E117,0))</f>
        <v/>
      </c>
      <c r="AG117" s="36">
        <f>IF('My investments'!$H$13="",0,IF('My investments'!$F117='My investments'!$H$13,'My investments'!$E117,0))</f>
        <v/>
      </c>
      <c r="AH117" s="36">
        <f>IF('My investments'!$H$14="",0,IF('My investments'!$F117='My investments'!$H$14,'My investments'!$E117,0))</f>
        <v/>
      </c>
      <c r="AI117" s="36">
        <f>IF('My investments'!$H$15="",0,IF('My investments'!$F117='My investments'!$H$15,'My investments'!$E117,0))</f>
        <v/>
      </c>
      <c r="AK117" s="36">
        <f>IF('My investments'!$H$11="",0,IF('My investments'!$F117='My investments'!$H$11,$AA117,0))</f>
        <v/>
      </c>
      <c r="AL117" s="36">
        <f>IF('My investments'!$H$12="",0,IF('My investments'!$F117='My investments'!$H$12,$AA117,0))</f>
        <v/>
      </c>
      <c r="AM117" s="36">
        <f>IF('My investments'!$H$13="",0,IF('My investments'!$F117='My investments'!$H$13,$AA117,0))</f>
        <v/>
      </c>
      <c r="AN117" s="36">
        <f>IF('My investments'!$H$14="",0,IF('My investments'!$F117='My investments'!$H$14,$AA117,0))</f>
        <v/>
      </c>
      <c r="AO117" s="36">
        <f>IF('My investments'!$H$15="",0,IF('My investments'!$F117='My investments'!$H$15,$AA117,0))</f>
        <v/>
      </c>
    </row>
    <row r="118" ht="15" customHeight="1" s="30">
      <c r="A118" s="36">
        <f>IF('My investments'!$C118="Worth today",1,0)</f>
        <v/>
      </c>
      <c r="B118" s="36">
        <f>IF('My investments'!$C118="Money in",1,0)</f>
        <v/>
      </c>
      <c r="AA118" s="36">
        <f>IF('My investments'!$C118="Money in",'My investments'!$D118,0)</f>
        <v/>
      </c>
      <c r="AB118" s="36">
        <f>IF('My investments'!$C118="Money out",'My investments'!$D118,0)</f>
        <v/>
      </c>
      <c r="AC118" s="36">
        <f>IF('My investments'!$C118="Worth today",'My investments'!$D118,0)</f>
        <v/>
      </c>
      <c r="AE118" s="36">
        <f>IF('My investments'!$H$11="",0,IF('My investments'!$F118='My investments'!$H$11,'My investments'!$E118,0))</f>
        <v/>
      </c>
      <c r="AF118" s="36">
        <f>IF('My investments'!$H$12="",0,IF('My investments'!$F118='My investments'!$H$12,'My investments'!$E118,0))</f>
        <v/>
      </c>
      <c r="AG118" s="36">
        <f>IF('My investments'!$H$13="",0,IF('My investments'!$F118='My investments'!$H$13,'My investments'!$E118,0))</f>
        <v/>
      </c>
      <c r="AH118" s="36">
        <f>IF('My investments'!$H$14="",0,IF('My investments'!$F118='My investments'!$H$14,'My investments'!$E118,0))</f>
        <v/>
      </c>
      <c r="AI118" s="36">
        <f>IF('My investments'!$H$15="",0,IF('My investments'!$F118='My investments'!$H$15,'My investments'!$E118,0))</f>
        <v/>
      </c>
      <c r="AK118" s="36">
        <f>IF('My investments'!$H$11="",0,IF('My investments'!$F118='My investments'!$H$11,$AA118,0))</f>
        <v/>
      </c>
      <c r="AL118" s="36">
        <f>IF('My investments'!$H$12="",0,IF('My investments'!$F118='My investments'!$H$12,$AA118,0))</f>
        <v/>
      </c>
      <c r="AM118" s="36">
        <f>IF('My investments'!$H$13="",0,IF('My investments'!$F118='My investments'!$H$13,$AA118,0))</f>
        <v/>
      </c>
      <c r="AN118" s="36">
        <f>IF('My investments'!$H$14="",0,IF('My investments'!$F118='My investments'!$H$14,$AA118,0))</f>
        <v/>
      </c>
      <c r="AO118" s="36">
        <f>IF('My investments'!$H$15="",0,IF('My investments'!$F118='My investments'!$H$15,$AA118,0))</f>
        <v/>
      </c>
    </row>
    <row r="119" ht="15" customHeight="1" s="30">
      <c r="A119" s="36">
        <f>IF('My investments'!$C119="Worth today",1,0)</f>
        <v/>
      </c>
      <c r="B119" s="36">
        <f>IF('My investments'!$C119="Money in",1,0)</f>
        <v/>
      </c>
      <c r="AA119" s="36">
        <f>IF('My investments'!$C119="Money in",'My investments'!$D119,0)</f>
        <v/>
      </c>
      <c r="AB119" s="36">
        <f>IF('My investments'!$C119="Money out",'My investments'!$D119,0)</f>
        <v/>
      </c>
      <c r="AC119" s="36">
        <f>IF('My investments'!$C119="Worth today",'My investments'!$D119,0)</f>
        <v/>
      </c>
      <c r="AE119" s="36">
        <f>IF('My investments'!$H$11="",0,IF('My investments'!$F119='My investments'!$H$11,'My investments'!$E119,0))</f>
        <v/>
      </c>
      <c r="AF119" s="36">
        <f>IF('My investments'!$H$12="",0,IF('My investments'!$F119='My investments'!$H$12,'My investments'!$E119,0))</f>
        <v/>
      </c>
      <c r="AG119" s="36">
        <f>IF('My investments'!$H$13="",0,IF('My investments'!$F119='My investments'!$H$13,'My investments'!$E119,0))</f>
        <v/>
      </c>
      <c r="AH119" s="36">
        <f>IF('My investments'!$H$14="",0,IF('My investments'!$F119='My investments'!$H$14,'My investments'!$E119,0))</f>
        <v/>
      </c>
      <c r="AI119" s="36">
        <f>IF('My investments'!$H$15="",0,IF('My investments'!$F119='My investments'!$H$15,'My investments'!$E119,0))</f>
        <v/>
      </c>
      <c r="AK119" s="36">
        <f>IF('My investments'!$H$11="",0,IF('My investments'!$F119='My investments'!$H$11,$AA119,0))</f>
        <v/>
      </c>
      <c r="AL119" s="36">
        <f>IF('My investments'!$H$12="",0,IF('My investments'!$F119='My investments'!$H$12,$AA119,0))</f>
        <v/>
      </c>
      <c r="AM119" s="36">
        <f>IF('My investments'!$H$13="",0,IF('My investments'!$F119='My investments'!$H$13,$AA119,0))</f>
        <v/>
      </c>
      <c r="AN119" s="36">
        <f>IF('My investments'!$H$14="",0,IF('My investments'!$F119='My investments'!$H$14,$AA119,0))</f>
        <v/>
      </c>
      <c r="AO119" s="36">
        <f>IF('My investments'!$H$15="",0,IF('My investments'!$F119='My investments'!$H$15,$AA119,0))</f>
        <v/>
      </c>
    </row>
    <row r="120" ht="15" customHeight="1" s="30">
      <c r="A120" s="36">
        <f>IF('My investments'!$C120="Worth today",1,0)</f>
        <v/>
      </c>
      <c r="B120" s="36">
        <f>IF('My investments'!$C120="Money in",1,0)</f>
        <v/>
      </c>
      <c r="AA120" s="36">
        <f>IF('My investments'!$C120="Money in",'My investments'!$D120,0)</f>
        <v/>
      </c>
      <c r="AB120" s="36">
        <f>IF('My investments'!$C120="Money out",'My investments'!$D120,0)</f>
        <v/>
      </c>
      <c r="AC120" s="36">
        <f>IF('My investments'!$C120="Worth today",'My investments'!$D120,0)</f>
        <v/>
      </c>
      <c r="AE120" s="36">
        <f>IF('My investments'!$H$11="",0,IF('My investments'!$F120='My investments'!$H$11,'My investments'!$E120,0))</f>
        <v/>
      </c>
      <c r="AF120" s="36">
        <f>IF('My investments'!$H$12="",0,IF('My investments'!$F120='My investments'!$H$12,'My investments'!$E120,0))</f>
        <v/>
      </c>
      <c r="AG120" s="36">
        <f>IF('My investments'!$H$13="",0,IF('My investments'!$F120='My investments'!$H$13,'My investments'!$E120,0))</f>
        <v/>
      </c>
      <c r="AH120" s="36">
        <f>IF('My investments'!$H$14="",0,IF('My investments'!$F120='My investments'!$H$14,'My investments'!$E120,0))</f>
        <v/>
      </c>
      <c r="AI120" s="36">
        <f>IF('My investments'!$H$15="",0,IF('My investments'!$F120='My investments'!$H$15,'My investments'!$E120,0))</f>
        <v/>
      </c>
      <c r="AK120" s="36">
        <f>IF('My investments'!$H$11="",0,IF('My investments'!$F120='My investments'!$H$11,$AA120,0))</f>
        <v/>
      </c>
      <c r="AL120" s="36">
        <f>IF('My investments'!$H$12="",0,IF('My investments'!$F120='My investments'!$H$12,$AA120,0))</f>
        <v/>
      </c>
      <c r="AM120" s="36">
        <f>IF('My investments'!$H$13="",0,IF('My investments'!$F120='My investments'!$H$13,$AA120,0))</f>
        <v/>
      </c>
      <c r="AN120" s="36">
        <f>IF('My investments'!$H$14="",0,IF('My investments'!$F120='My investments'!$H$14,$AA120,0))</f>
        <v/>
      </c>
      <c r="AO120" s="36">
        <f>IF('My investments'!$H$15="",0,IF('My investments'!$F120='My investments'!$H$15,$AA120,0))</f>
        <v/>
      </c>
    </row>
    <row r="121" ht="15" customHeight="1" s="30">
      <c r="A121" s="36">
        <f>IF('My investments'!$C121="Worth today",1,0)</f>
        <v/>
      </c>
      <c r="B121" s="36">
        <f>IF('My investments'!$C121="Money in",1,0)</f>
        <v/>
      </c>
      <c r="AA121" s="36">
        <f>IF('My investments'!$C121="Money in",'My investments'!$D121,0)</f>
        <v/>
      </c>
      <c r="AB121" s="36">
        <f>IF('My investments'!$C121="Money out",'My investments'!$D121,0)</f>
        <v/>
      </c>
      <c r="AC121" s="36">
        <f>IF('My investments'!$C121="Worth today",'My investments'!$D121,0)</f>
        <v/>
      </c>
      <c r="AE121" s="36">
        <f>IF('My investments'!$H$11="",0,IF('My investments'!$F121='My investments'!$H$11,'My investments'!$E121,0))</f>
        <v/>
      </c>
      <c r="AF121" s="36">
        <f>IF('My investments'!$H$12="",0,IF('My investments'!$F121='My investments'!$H$12,'My investments'!$E121,0))</f>
        <v/>
      </c>
      <c r="AG121" s="36">
        <f>IF('My investments'!$H$13="",0,IF('My investments'!$F121='My investments'!$H$13,'My investments'!$E121,0))</f>
        <v/>
      </c>
      <c r="AH121" s="36">
        <f>IF('My investments'!$H$14="",0,IF('My investments'!$F121='My investments'!$H$14,'My investments'!$E121,0))</f>
        <v/>
      </c>
      <c r="AI121" s="36">
        <f>IF('My investments'!$H$15="",0,IF('My investments'!$F121='My investments'!$H$15,'My investments'!$E121,0))</f>
        <v/>
      </c>
      <c r="AK121" s="36">
        <f>IF('My investments'!$H$11="",0,IF('My investments'!$F121='My investments'!$H$11,$AA121,0))</f>
        <v/>
      </c>
      <c r="AL121" s="36">
        <f>IF('My investments'!$H$12="",0,IF('My investments'!$F121='My investments'!$H$12,$AA121,0))</f>
        <v/>
      </c>
      <c r="AM121" s="36">
        <f>IF('My investments'!$H$13="",0,IF('My investments'!$F121='My investments'!$H$13,$AA121,0))</f>
        <v/>
      </c>
      <c r="AN121" s="36">
        <f>IF('My investments'!$H$14="",0,IF('My investments'!$F121='My investments'!$H$14,$AA121,0))</f>
        <v/>
      </c>
      <c r="AO121" s="36">
        <f>IF('My investments'!$H$15="",0,IF('My investments'!$F121='My investments'!$H$15,$AA121,0))</f>
        <v/>
      </c>
    </row>
    <row r="122" ht="15" customHeight="1" s="30">
      <c r="A122" s="36">
        <f>IF('My investments'!$C122="Worth today",1,0)</f>
        <v/>
      </c>
      <c r="B122" s="36">
        <f>IF('My investments'!$C122="Money in",1,0)</f>
        <v/>
      </c>
      <c r="AA122" s="36">
        <f>IF('My investments'!$C122="Money in",'My investments'!$D122,0)</f>
        <v/>
      </c>
      <c r="AB122" s="36">
        <f>IF('My investments'!$C122="Money out",'My investments'!$D122,0)</f>
        <v/>
      </c>
      <c r="AC122" s="36">
        <f>IF('My investments'!$C122="Worth today",'My investments'!$D122,0)</f>
        <v/>
      </c>
      <c r="AE122" s="36">
        <f>IF('My investments'!$H$11="",0,IF('My investments'!$F122='My investments'!$H$11,'My investments'!$E122,0))</f>
        <v/>
      </c>
      <c r="AF122" s="36">
        <f>IF('My investments'!$H$12="",0,IF('My investments'!$F122='My investments'!$H$12,'My investments'!$E122,0))</f>
        <v/>
      </c>
      <c r="AG122" s="36">
        <f>IF('My investments'!$H$13="",0,IF('My investments'!$F122='My investments'!$H$13,'My investments'!$E122,0))</f>
        <v/>
      </c>
      <c r="AH122" s="36">
        <f>IF('My investments'!$H$14="",0,IF('My investments'!$F122='My investments'!$H$14,'My investments'!$E122,0))</f>
        <v/>
      </c>
      <c r="AI122" s="36">
        <f>IF('My investments'!$H$15="",0,IF('My investments'!$F122='My investments'!$H$15,'My investments'!$E122,0))</f>
        <v/>
      </c>
      <c r="AK122" s="36">
        <f>IF('My investments'!$H$11="",0,IF('My investments'!$F122='My investments'!$H$11,$AA122,0))</f>
        <v/>
      </c>
      <c r="AL122" s="36">
        <f>IF('My investments'!$H$12="",0,IF('My investments'!$F122='My investments'!$H$12,$AA122,0))</f>
        <v/>
      </c>
      <c r="AM122" s="36">
        <f>IF('My investments'!$H$13="",0,IF('My investments'!$F122='My investments'!$H$13,$AA122,0))</f>
        <v/>
      </c>
      <c r="AN122" s="36">
        <f>IF('My investments'!$H$14="",0,IF('My investments'!$F122='My investments'!$H$14,$AA122,0))</f>
        <v/>
      </c>
      <c r="AO122" s="36">
        <f>IF('My investments'!$H$15="",0,IF('My investments'!$F122='My investments'!$H$15,$AA122,0))</f>
        <v/>
      </c>
    </row>
    <row r="123" ht="15" customHeight="1" s="30">
      <c r="A123" s="36">
        <f>IF('My investments'!$C123="Worth today",1,0)</f>
        <v/>
      </c>
      <c r="B123" s="36">
        <f>IF('My investments'!$C123="Money in",1,0)</f>
        <v/>
      </c>
      <c r="AA123" s="36">
        <f>IF('My investments'!$C123="Money in",'My investments'!$D123,0)</f>
        <v/>
      </c>
      <c r="AB123" s="36">
        <f>IF('My investments'!$C123="Money out",'My investments'!$D123,0)</f>
        <v/>
      </c>
      <c r="AC123" s="36">
        <f>IF('My investments'!$C123="Worth today",'My investments'!$D123,0)</f>
        <v/>
      </c>
      <c r="AE123" s="36">
        <f>IF('My investments'!$H$11="",0,IF('My investments'!$F123='My investments'!$H$11,'My investments'!$E123,0))</f>
        <v/>
      </c>
      <c r="AF123" s="36">
        <f>IF('My investments'!$H$12="",0,IF('My investments'!$F123='My investments'!$H$12,'My investments'!$E123,0))</f>
        <v/>
      </c>
      <c r="AG123" s="36">
        <f>IF('My investments'!$H$13="",0,IF('My investments'!$F123='My investments'!$H$13,'My investments'!$E123,0))</f>
        <v/>
      </c>
      <c r="AH123" s="36">
        <f>IF('My investments'!$H$14="",0,IF('My investments'!$F123='My investments'!$H$14,'My investments'!$E123,0))</f>
        <v/>
      </c>
      <c r="AI123" s="36">
        <f>IF('My investments'!$H$15="",0,IF('My investments'!$F123='My investments'!$H$15,'My investments'!$E123,0))</f>
        <v/>
      </c>
      <c r="AK123" s="36">
        <f>IF('My investments'!$H$11="",0,IF('My investments'!$F123='My investments'!$H$11,$AA123,0))</f>
        <v/>
      </c>
      <c r="AL123" s="36">
        <f>IF('My investments'!$H$12="",0,IF('My investments'!$F123='My investments'!$H$12,$AA123,0))</f>
        <v/>
      </c>
      <c r="AM123" s="36">
        <f>IF('My investments'!$H$13="",0,IF('My investments'!$F123='My investments'!$H$13,$AA123,0))</f>
        <v/>
      </c>
      <c r="AN123" s="36">
        <f>IF('My investments'!$H$14="",0,IF('My investments'!$F123='My investments'!$H$14,$AA123,0))</f>
        <v/>
      </c>
      <c r="AO123" s="36">
        <f>IF('My investments'!$H$15="",0,IF('My investments'!$F123='My investments'!$H$15,$AA123,0))</f>
        <v/>
      </c>
    </row>
    <row r="124" ht="15" customHeight="1" s="30">
      <c r="A124" s="36">
        <f>IF('My investments'!$C124="Worth today",1,0)</f>
        <v/>
      </c>
      <c r="B124" s="36">
        <f>IF('My investments'!$C124="Money in",1,0)</f>
        <v/>
      </c>
      <c r="AA124" s="36">
        <f>IF('My investments'!$C124="Money in",'My investments'!$D124,0)</f>
        <v/>
      </c>
      <c r="AB124" s="36">
        <f>IF('My investments'!$C124="Money out",'My investments'!$D124,0)</f>
        <v/>
      </c>
      <c r="AC124" s="36">
        <f>IF('My investments'!$C124="Worth today",'My investments'!$D124,0)</f>
        <v/>
      </c>
      <c r="AE124" s="36">
        <f>IF('My investments'!$H$11="",0,IF('My investments'!$F124='My investments'!$H$11,'My investments'!$E124,0))</f>
        <v/>
      </c>
      <c r="AF124" s="36">
        <f>IF('My investments'!$H$12="",0,IF('My investments'!$F124='My investments'!$H$12,'My investments'!$E124,0))</f>
        <v/>
      </c>
      <c r="AG124" s="36">
        <f>IF('My investments'!$H$13="",0,IF('My investments'!$F124='My investments'!$H$13,'My investments'!$E124,0))</f>
        <v/>
      </c>
      <c r="AH124" s="36">
        <f>IF('My investments'!$H$14="",0,IF('My investments'!$F124='My investments'!$H$14,'My investments'!$E124,0))</f>
        <v/>
      </c>
      <c r="AI124" s="36">
        <f>IF('My investments'!$H$15="",0,IF('My investments'!$F124='My investments'!$H$15,'My investments'!$E124,0))</f>
        <v/>
      </c>
      <c r="AK124" s="36">
        <f>IF('My investments'!$H$11="",0,IF('My investments'!$F124='My investments'!$H$11,$AA124,0))</f>
        <v/>
      </c>
      <c r="AL124" s="36">
        <f>IF('My investments'!$H$12="",0,IF('My investments'!$F124='My investments'!$H$12,$AA124,0))</f>
        <v/>
      </c>
      <c r="AM124" s="36">
        <f>IF('My investments'!$H$13="",0,IF('My investments'!$F124='My investments'!$H$13,$AA124,0))</f>
        <v/>
      </c>
      <c r="AN124" s="36">
        <f>IF('My investments'!$H$14="",0,IF('My investments'!$F124='My investments'!$H$14,$AA124,0))</f>
        <v/>
      </c>
      <c r="AO124" s="36">
        <f>IF('My investments'!$H$15="",0,IF('My investments'!$F124='My investments'!$H$15,$AA124,0))</f>
        <v/>
      </c>
    </row>
    <row r="125" ht="15" customHeight="1" s="30">
      <c r="A125" s="36">
        <f>IF('My investments'!$C125="Worth today",1,0)</f>
        <v/>
      </c>
      <c r="B125" s="36">
        <f>IF('My investments'!$C125="Money in",1,0)</f>
        <v/>
      </c>
      <c r="AA125" s="36">
        <f>IF('My investments'!$C125="Money in",'My investments'!$D125,0)</f>
        <v/>
      </c>
      <c r="AB125" s="36">
        <f>IF('My investments'!$C125="Money out",'My investments'!$D125,0)</f>
        <v/>
      </c>
      <c r="AC125" s="36">
        <f>IF('My investments'!$C125="Worth today",'My investments'!$D125,0)</f>
        <v/>
      </c>
      <c r="AE125" s="36">
        <f>IF('My investments'!$H$11="",0,IF('My investments'!$F125='My investments'!$H$11,'My investments'!$E125,0))</f>
        <v/>
      </c>
      <c r="AF125" s="36">
        <f>IF('My investments'!$H$12="",0,IF('My investments'!$F125='My investments'!$H$12,'My investments'!$E125,0))</f>
        <v/>
      </c>
      <c r="AG125" s="36">
        <f>IF('My investments'!$H$13="",0,IF('My investments'!$F125='My investments'!$H$13,'My investments'!$E125,0))</f>
        <v/>
      </c>
      <c r="AH125" s="36">
        <f>IF('My investments'!$H$14="",0,IF('My investments'!$F125='My investments'!$H$14,'My investments'!$E125,0))</f>
        <v/>
      </c>
      <c r="AI125" s="36">
        <f>IF('My investments'!$H$15="",0,IF('My investments'!$F125='My investments'!$H$15,'My investments'!$E125,0))</f>
        <v/>
      </c>
      <c r="AK125" s="36">
        <f>IF('My investments'!$H$11="",0,IF('My investments'!$F125='My investments'!$H$11,$AA125,0))</f>
        <v/>
      </c>
      <c r="AL125" s="36">
        <f>IF('My investments'!$H$12="",0,IF('My investments'!$F125='My investments'!$H$12,$AA125,0))</f>
        <v/>
      </c>
      <c r="AM125" s="36">
        <f>IF('My investments'!$H$13="",0,IF('My investments'!$F125='My investments'!$H$13,$AA125,0))</f>
        <v/>
      </c>
      <c r="AN125" s="36">
        <f>IF('My investments'!$H$14="",0,IF('My investments'!$F125='My investments'!$H$14,$AA125,0))</f>
        <v/>
      </c>
      <c r="AO125" s="36">
        <f>IF('My investments'!$H$15="",0,IF('My investments'!$F125='My investments'!$H$15,$AA125,0))</f>
        <v/>
      </c>
    </row>
    <row r="126" ht="15" customHeight="1" s="30">
      <c r="A126" s="36">
        <f>IF('My investments'!$C126="Worth today",1,0)</f>
        <v/>
      </c>
      <c r="B126" s="36">
        <f>IF('My investments'!$C126="Money in",1,0)</f>
        <v/>
      </c>
      <c r="AA126" s="36">
        <f>IF('My investments'!$C126="Money in",'My investments'!$D126,0)</f>
        <v/>
      </c>
      <c r="AB126" s="36">
        <f>IF('My investments'!$C126="Money out",'My investments'!$D126,0)</f>
        <v/>
      </c>
      <c r="AC126" s="36">
        <f>IF('My investments'!$C126="Worth today",'My investments'!$D126,0)</f>
        <v/>
      </c>
      <c r="AE126" s="36">
        <f>IF('My investments'!$H$11="",0,IF('My investments'!$F126='My investments'!$H$11,'My investments'!$E126,0))</f>
        <v/>
      </c>
      <c r="AF126" s="36">
        <f>IF('My investments'!$H$12="",0,IF('My investments'!$F126='My investments'!$H$12,'My investments'!$E126,0))</f>
        <v/>
      </c>
      <c r="AG126" s="36">
        <f>IF('My investments'!$H$13="",0,IF('My investments'!$F126='My investments'!$H$13,'My investments'!$E126,0))</f>
        <v/>
      </c>
      <c r="AH126" s="36">
        <f>IF('My investments'!$H$14="",0,IF('My investments'!$F126='My investments'!$H$14,'My investments'!$E126,0))</f>
        <v/>
      </c>
      <c r="AI126" s="36">
        <f>IF('My investments'!$H$15="",0,IF('My investments'!$F126='My investments'!$H$15,'My investments'!$E126,0))</f>
        <v/>
      </c>
      <c r="AK126" s="36">
        <f>IF('My investments'!$H$11="",0,IF('My investments'!$F126='My investments'!$H$11,$AA126,0))</f>
        <v/>
      </c>
      <c r="AL126" s="36">
        <f>IF('My investments'!$H$12="",0,IF('My investments'!$F126='My investments'!$H$12,$AA126,0))</f>
        <v/>
      </c>
      <c r="AM126" s="36">
        <f>IF('My investments'!$H$13="",0,IF('My investments'!$F126='My investments'!$H$13,$AA126,0))</f>
        <v/>
      </c>
      <c r="AN126" s="36">
        <f>IF('My investments'!$H$14="",0,IF('My investments'!$F126='My investments'!$H$14,$AA126,0))</f>
        <v/>
      </c>
      <c r="AO126" s="36">
        <f>IF('My investments'!$H$15="",0,IF('My investments'!$F126='My investments'!$H$15,$AA126,0))</f>
        <v/>
      </c>
    </row>
    <row r="127" ht="15" customHeight="1" s="30">
      <c r="A127" s="36">
        <f>IF('My investments'!$C127="Worth today",1,0)</f>
        <v/>
      </c>
      <c r="B127" s="36">
        <f>IF('My investments'!$C127="Money in",1,0)</f>
        <v/>
      </c>
      <c r="AA127" s="36">
        <f>IF('My investments'!$C127="Money in",'My investments'!$D127,0)</f>
        <v/>
      </c>
      <c r="AB127" s="36">
        <f>IF('My investments'!$C127="Money out",'My investments'!$D127,0)</f>
        <v/>
      </c>
      <c r="AC127" s="36">
        <f>IF('My investments'!$C127="Worth today",'My investments'!$D127,0)</f>
        <v/>
      </c>
      <c r="AE127" s="36">
        <f>IF('My investments'!$H$11="",0,IF('My investments'!$F127='My investments'!$H$11,'My investments'!$E127,0))</f>
        <v/>
      </c>
      <c r="AF127" s="36">
        <f>IF('My investments'!$H$12="",0,IF('My investments'!$F127='My investments'!$H$12,'My investments'!$E127,0))</f>
        <v/>
      </c>
      <c r="AG127" s="36">
        <f>IF('My investments'!$H$13="",0,IF('My investments'!$F127='My investments'!$H$13,'My investments'!$E127,0))</f>
        <v/>
      </c>
      <c r="AH127" s="36">
        <f>IF('My investments'!$H$14="",0,IF('My investments'!$F127='My investments'!$H$14,'My investments'!$E127,0))</f>
        <v/>
      </c>
      <c r="AI127" s="36">
        <f>IF('My investments'!$H$15="",0,IF('My investments'!$F127='My investments'!$H$15,'My investments'!$E127,0))</f>
        <v/>
      </c>
      <c r="AK127" s="36">
        <f>IF('My investments'!$H$11="",0,IF('My investments'!$F127='My investments'!$H$11,$AA127,0))</f>
        <v/>
      </c>
      <c r="AL127" s="36">
        <f>IF('My investments'!$H$12="",0,IF('My investments'!$F127='My investments'!$H$12,$AA127,0))</f>
        <v/>
      </c>
      <c r="AM127" s="36">
        <f>IF('My investments'!$H$13="",0,IF('My investments'!$F127='My investments'!$H$13,$AA127,0))</f>
        <v/>
      </c>
      <c r="AN127" s="36">
        <f>IF('My investments'!$H$14="",0,IF('My investments'!$F127='My investments'!$H$14,$AA127,0))</f>
        <v/>
      </c>
      <c r="AO127" s="36">
        <f>IF('My investments'!$H$15="",0,IF('My investments'!$F127='My investments'!$H$15,$AA127,0))</f>
        <v/>
      </c>
    </row>
    <row r="128" ht="15" customHeight="1" s="30">
      <c r="A128" s="36">
        <f>IF('My investments'!$C128="Worth today",1,0)</f>
        <v/>
      </c>
      <c r="B128" s="36">
        <f>IF('My investments'!$C128="Money in",1,0)</f>
        <v/>
      </c>
      <c r="AA128" s="36">
        <f>IF('My investments'!$C128="Money in",'My investments'!$D128,0)</f>
        <v/>
      </c>
      <c r="AB128" s="36">
        <f>IF('My investments'!$C128="Money out",'My investments'!$D128,0)</f>
        <v/>
      </c>
      <c r="AC128" s="36">
        <f>IF('My investments'!$C128="Worth today",'My investments'!$D128,0)</f>
        <v/>
      </c>
      <c r="AE128" s="36">
        <f>IF('My investments'!$H$11="",0,IF('My investments'!$F128='My investments'!$H$11,'My investments'!$E128,0))</f>
        <v/>
      </c>
      <c r="AF128" s="36">
        <f>IF('My investments'!$H$12="",0,IF('My investments'!$F128='My investments'!$H$12,'My investments'!$E128,0))</f>
        <v/>
      </c>
      <c r="AG128" s="36">
        <f>IF('My investments'!$H$13="",0,IF('My investments'!$F128='My investments'!$H$13,'My investments'!$E128,0))</f>
        <v/>
      </c>
      <c r="AH128" s="36">
        <f>IF('My investments'!$H$14="",0,IF('My investments'!$F128='My investments'!$H$14,'My investments'!$E128,0))</f>
        <v/>
      </c>
      <c r="AI128" s="36">
        <f>IF('My investments'!$H$15="",0,IF('My investments'!$F128='My investments'!$H$15,'My investments'!$E128,0))</f>
        <v/>
      </c>
      <c r="AK128" s="36">
        <f>IF('My investments'!$H$11="",0,IF('My investments'!$F128='My investments'!$H$11,$AA128,0))</f>
        <v/>
      </c>
      <c r="AL128" s="36">
        <f>IF('My investments'!$H$12="",0,IF('My investments'!$F128='My investments'!$H$12,$AA128,0))</f>
        <v/>
      </c>
      <c r="AM128" s="36">
        <f>IF('My investments'!$H$13="",0,IF('My investments'!$F128='My investments'!$H$13,$AA128,0))</f>
        <v/>
      </c>
      <c r="AN128" s="36">
        <f>IF('My investments'!$H$14="",0,IF('My investments'!$F128='My investments'!$H$14,$AA128,0))</f>
        <v/>
      </c>
      <c r="AO128" s="36">
        <f>IF('My investments'!$H$15="",0,IF('My investments'!$F128='My investments'!$H$15,$AA128,0))</f>
        <v/>
      </c>
    </row>
    <row r="129" ht="15" customHeight="1" s="30">
      <c r="A129" s="36">
        <f>IF('My investments'!$C129="Worth today",1,0)</f>
        <v/>
      </c>
      <c r="B129" s="36">
        <f>IF('My investments'!$C129="Money in",1,0)</f>
        <v/>
      </c>
      <c r="AA129" s="36">
        <f>IF('My investments'!$C129="Money in",'My investments'!$D129,0)</f>
        <v/>
      </c>
      <c r="AB129" s="36">
        <f>IF('My investments'!$C129="Money out",'My investments'!$D129,0)</f>
        <v/>
      </c>
      <c r="AC129" s="36">
        <f>IF('My investments'!$C129="Worth today",'My investments'!$D129,0)</f>
        <v/>
      </c>
      <c r="AE129" s="36">
        <f>IF('My investments'!$H$11="",0,IF('My investments'!$F129='My investments'!$H$11,'My investments'!$E129,0))</f>
        <v/>
      </c>
      <c r="AF129" s="36">
        <f>IF('My investments'!$H$12="",0,IF('My investments'!$F129='My investments'!$H$12,'My investments'!$E129,0))</f>
        <v/>
      </c>
      <c r="AG129" s="36">
        <f>IF('My investments'!$H$13="",0,IF('My investments'!$F129='My investments'!$H$13,'My investments'!$E129,0))</f>
        <v/>
      </c>
      <c r="AH129" s="36">
        <f>IF('My investments'!$H$14="",0,IF('My investments'!$F129='My investments'!$H$14,'My investments'!$E129,0))</f>
        <v/>
      </c>
      <c r="AI129" s="36">
        <f>IF('My investments'!$H$15="",0,IF('My investments'!$F129='My investments'!$H$15,'My investments'!$E129,0))</f>
        <v/>
      </c>
      <c r="AK129" s="36">
        <f>IF('My investments'!$H$11="",0,IF('My investments'!$F129='My investments'!$H$11,$AA129,0))</f>
        <v/>
      </c>
      <c r="AL129" s="36">
        <f>IF('My investments'!$H$12="",0,IF('My investments'!$F129='My investments'!$H$12,$AA129,0))</f>
        <v/>
      </c>
      <c r="AM129" s="36">
        <f>IF('My investments'!$H$13="",0,IF('My investments'!$F129='My investments'!$H$13,$AA129,0))</f>
        <v/>
      </c>
      <c r="AN129" s="36">
        <f>IF('My investments'!$H$14="",0,IF('My investments'!$F129='My investments'!$H$14,$AA129,0))</f>
        <v/>
      </c>
      <c r="AO129" s="36">
        <f>IF('My investments'!$H$15="",0,IF('My investments'!$F129='My investments'!$H$15,$AA129,0))</f>
        <v/>
      </c>
    </row>
    <row r="130" ht="15" customHeight="1" s="30">
      <c r="A130" s="36">
        <f>IF('My investments'!$C130="Worth today",1,0)</f>
        <v/>
      </c>
      <c r="B130" s="36">
        <f>IF('My investments'!$C130="Money in",1,0)</f>
        <v/>
      </c>
      <c r="AA130" s="36">
        <f>IF('My investments'!$C130="Money in",'My investments'!$D130,0)</f>
        <v/>
      </c>
      <c r="AB130" s="36">
        <f>IF('My investments'!$C130="Money out",'My investments'!$D130,0)</f>
        <v/>
      </c>
      <c r="AC130" s="36">
        <f>IF('My investments'!$C130="Worth today",'My investments'!$D130,0)</f>
        <v/>
      </c>
      <c r="AE130" s="36">
        <f>IF('My investments'!$H$11="",0,IF('My investments'!$F130='My investments'!$H$11,'My investments'!$E130,0))</f>
        <v/>
      </c>
      <c r="AF130" s="36">
        <f>IF('My investments'!$H$12="",0,IF('My investments'!$F130='My investments'!$H$12,'My investments'!$E130,0))</f>
        <v/>
      </c>
      <c r="AG130" s="36">
        <f>IF('My investments'!$H$13="",0,IF('My investments'!$F130='My investments'!$H$13,'My investments'!$E130,0))</f>
        <v/>
      </c>
      <c r="AH130" s="36">
        <f>IF('My investments'!$H$14="",0,IF('My investments'!$F130='My investments'!$H$14,'My investments'!$E130,0))</f>
        <v/>
      </c>
      <c r="AI130" s="36">
        <f>IF('My investments'!$H$15="",0,IF('My investments'!$F130='My investments'!$H$15,'My investments'!$E130,0))</f>
        <v/>
      </c>
      <c r="AK130" s="36">
        <f>IF('My investments'!$H$11="",0,IF('My investments'!$F130='My investments'!$H$11,$AA130,0))</f>
        <v/>
      </c>
      <c r="AL130" s="36">
        <f>IF('My investments'!$H$12="",0,IF('My investments'!$F130='My investments'!$H$12,$AA130,0))</f>
        <v/>
      </c>
      <c r="AM130" s="36">
        <f>IF('My investments'!$H$13="",0,IF('My investments'!$F130='My investments'!$H$13,$AA130,0))</f>
        <v/>
      </c>
      <c r="AN130" s="36">
        <f>IF('My investments'!$H$14="",0,IF('My investments'!$F130='My investments'!$H$14,$AA130,0))</f>
        <v/>
      </c>
      <c r="AO130" s="36">
        <f>IF('My investments'!$H$15="",0,IF('My investments'!$F130='My investments'!$H$15,$AA130,0))</f>
        <v/>
      </c>
    </row>
    <row r="131" ht="15" customHeight="1" s="30">
      <c r="A131" s="36">
        <f>IF('My investments'!$C131="Worth today",1,0)</f>
        <v/>
      </c>
      <c r="B131" s="36">
        <f>IF('My investments'!$C131="Money in",1,0)</f>
        <v/>
      </c>
      <c r="AA131" s="36">
        <f>IF('My investments'!$C131="Money in",'My investments'!$D131,0)</f>
        <v/>
      </c>
      <c r="AB131" s="36">
        <f>IF('My investments'!$C131="Money out",'My investments'!$D131,0)</f>
        <v/>
      </c>
      <c r="AC131" s="36">
        <f>IF('My investments'!$C131="Worth today",'My investments'!$D131,0)</f>
        <v/>
      </c>
      <c r="AE131" s="36">
        <f>IF('My investments'!$H$11="",0,IF('My investments'!$F131='My investments'!$H$11,'My investments'!$E131,0))</f>
        <v/>
      </c>
      <c r="AF131" s="36">
        <f>IF('My investments'!$H$12="",0,IF('My investments'!$F131='My investments'!$H$12,'My investments'!$E131,0))</f>
        <v/>
      </c>
      <c r="AG131" s="36">
        <f>IF('My investments'!$H$13="",0,IF('My investments'!$F131='My investments'!$H$13,'My investments'!$E131,0))</f>
        <v/>
      </c>
      <c r="AH131" s="36">
        <f>IF('My investments'!$H$14="",0,IF('My investments'!$F131='My investments'!$H$14,'My investments'!$E131,0))</f>
        <v/>
      </c>
      <c r="AI131" s="36">
        <f>IF('My investments'!$H$15="",0,IF('My investments'!$F131='My investments'!$H$15,'My investments'!$E131,0))</f>
        <v/>
      </c>
      <c r="AK131" s="36">
        <f>IF('My investments'!$H$11="",0,IF('My investments'!$F131='My investments'!$H$11,$AA131,0))</f>
        <v/>
      </c>
      <c r="AL131" s="36">
        <f>IF('My investments'!$H$12="",0,IF('My investments'!$F131='My investments'!$H$12,$AA131,0))</f>
        <v/>
      </c>
      <c r="AM131" s="36">
        <f>IF('My investments'!$H$13="",0,IF('My investments'!$F131='My investments'!$H$13,$AA131,0))</f>
        <v/>
      </c>
      <c r="AN131" s="36">
        <f>IF('My investments'!$H$14="",0,IF('My investments'!$F131='My investments'!$H$14,$AA131,0))</f>
        <v/>
      </c>
      <c r="AO131" s="36">
        <f>IF('My investments'!$H$15="",0,IF('My investments'!$F131='My investments'!$H$15,$AA131,0))</f>
        <v/>
      </c>
    </row>
    <row r="132" ht="15" customHeight="1" s="30">
      <c r="A132" s="36">
        <f>IF('My investments'!$C132="Worth today",1,0)</f>
        <v/>
      </c>
      <c r="B132" s="36">
        <f>IF('My investments'!$C132="Money in",1,0)</f>
        <v/>
      </c>
      <c r="AA132" s="36">
        <f>IF('My investments'!$C132="Money in",'My investments'!$D132,0)</f>
        <v/>
      </c>
      <c r="AB132" s="36">
        <f>IF('My investments'!$C132="Money out",'My investments'!$D132,0)</f>
        <v/>
      </c>
      <c r="AC132" s="36">
        <f>IF('My investments'!$C132="Worth today",'My investments'!$D132,0)</f>
        <v/>
      </c>
      <c r="AE132" s="36">
        <f>IF('My investments'!$H$11="",0,IF('My investments'!$F132='My investments'!$H$11,'My investments'!$E132,0))</f>
        <v/>
      </c>
      <c r="AF132" s="36">
        <f>IF('My investments'!$H$12="",0,IF('My investments'!$F132='My investments'!$H$12,'My investments'!$E132,0))</f>
        <v/>
      </c>
      <c r="AG132" s="36">
        <f>IF('My investments'!$H$13="",0,IF('My investments'!$F132='My investments'!$H$13,'My investments'!$E132,0))</f>
        <v/>
      </c>
      <c r="AH132" s="36">
        <f>IF('My investments'!$H$14="",0,IF('My investments'!$F132='My investments'!$H$14,'My investments'!$E132,0))</f>
        <v/>
      </c>
      <c r="AI132" s="36">
        <f>IF('My investments'!$H$15="",0,IF('My investments'!$F132='My investments'!$H$15,'My investments'!$E132,0))</f>
        <v/>
      </c>
      <c r="AK132" s="36">
        <f>IF('My investments'!$H$11="",0,IF('My investments'!$F132='My investments'!$H$11,$AA132,0))</f>
        <v/>
      </c>
      <c r="AL132" s="36">
        <f>IF('My investments'!$H$12="",0,IF('My investments'!$F132='My investments'!$H$12,$AA132,0))</f>
        <v/>
      </c>
      <c r="AM132" s="36">
        <f>IF('My investments'!$H$13="",0,IF('My investments'!$F132='My investments'!$H$13,$AA132,0))</f>
        <v/>
      </c>
      <c r="AN132" s="36">
        <f>IF('My investments'!$H$14="",0,IF('My investments'!$F132='My investments'!$H$14,$AA132,0))</f>
        <v/>
      </c>
      <c r="AO132" s="36">
        <f>IF('My investments'!$H$15="",0,IF('My investments'!$F132='My investments'!$H$15,$AA132,0))</f>
        <v/>
      </c>
    </row>
    <row r="133" ht="15" customHeight="1" s="30">
      <c r="A133" s="36">
        <f>IF('My investments'!$C133="Worth today",1,0)</f>
        <v/>
      </c>
      <c r="B133" s="36">
        <f>IF('My investments'!$C133="Money in",1,0)</f>
        <v/>
      </c>
      <c r="AA133" s="36">
        <f>IF('My investments'!$C133="Money in",'My investments'!$D133,0)</f>
        <v/>
      </c>
      <c r="AB133" s="36">
        <f>IF('My investments'!$C133="Money out",'My investments'!$D133,0)</f>
        <v/>
      </c>
      <c r="AC133" s="36">
        <f>IF('My investments'!$C133="Worth today",'My investments'!$D133,0)</f>
        <v/>
      </c>
      <c r="AE133" s="36">
        <f>IF('My investments'!$H$11="",0,IF('My investments'!$F133='My investments'!$H$11,'My investments'!$E133,0))</f>
        <v/>
      </c>
      <c r="AF133" s="36">
        <f>IF('My investments'!$H$12="",0,IF('My investments'!$F133='My investments'!$H$12,'My investments'!$E133,0))</f>
        <v/>
      </c>
      <c r="AG133" s="36">
        <f>IF('My investments'!$H$13="",0,IF('My investments'!$F133='My investments'!$H$13,'My investments'!$E133,0))</f>
        <v/>
      </c>
      <c r="AH133" s="36">
        <f>IF('My investments'!$H$14="",0,IF('My investments'!$F133='My investments'!$H$14,'My investments'!$E133,0))</f>
        <v/>
      </c>
      <c r="AI133" s="36">
        <f>IF('My investments'!$H$15="",0,IF('My investments'!$F133='My investments'!$H$15,'My investments'!$E133,0))</f>
        <v/>
      </c>
      <c r="AK133" s="36">
        <f>IF('My investments'!$H$11="",0,IF('My investments'!$F133='My investments'!$H$11,$AA133,0))</f>
        <v/>
      </c>
      <c r="AL133" s="36">
        <f>IF('My investments'!$H$12="",0,IF('My investments'!$F133='My investments'!$H$12,$AA133,0))</f>
        <v/>
      </c>
      <c r="AM133" s="36">
        <f>IF('My investments'!$H$13="",0,IF('My investments'!$F133='My investments'!$H$13,$AA133,0))</f>
        <v/>
      </c>
      <c r="AN133" s="36">
        <f>IF('My investments'!$H$14="",0,IF('My investments'!$F133='My investments'!$H$14,$AA133,0))</f>
        <v/>
      </c>
      <c r="AO133" s="36">
        <f>IF('My investments'!$H$15="",0,IF('My investments'!$F133='My investments'!$H$15,$AA133,0))</f>
        <v/>
      </c>
    </row>
    <row r="134" ht="15" customHeight="1" s="30">
      <c r="A134" s="36">
        <f>IF('My investments'!$C134="Worth today",1,0)</f>
        <v/>
      </c>
      <c r="B134" s="36">
        <f>IF('My investments'!$C134="Money in",1,0)</f>
        <v/>
      </c>
      <c r="AA134" s="36">
        <f>IF('My investments'!$C134="Money in",'My investments'!$D134,0)</f>
        <v/>
      </c>
      <c r="AB134" s="36">
        <f>IF('My investments'!$C134="Money out",'My investments'!$D134,0)</f>
        <v/>
      </c>
      <c r="AC134" s="36">
        <f>IF('My investments'!$C134="Worth today",'My investments'!$D134,0)</f>
        <v/>
      </c>
      <c r="AE134" s="36">
        <f>IF('My investments'!$H$11="",0,IF('My investments'!$F134='My investments'!$H$11,'My investments'!$E134,0))</f>
        <v/>
      </c>
      <c r="AF134" s="36">
        <f>IF('My investments'!$H$12="",0,IF('My investments'!$F134='My investments'!$H$12,'My investments'!$E134,0))</f>
        <v/>
      </c>
      <c r="AG134" s="36">
        <f>IF('My investments'!$H$13="",0,IF('My investments'!$F134='My investments'!$H$13,'My investments'!$E134,0))</f>
        <v/>
      </c>
      <c r="AH134" s="36">
        <f>IF('My investments'!$H$14="",0,IF('My investments'!$F134='My investments'!$H$14,'My investments'!$E134,0))</f>
        <v/>
      </c>
      <c r="AI134" s="36">
        <f>IF('My investments'!$H$15="",0,IF('My investments'!$F134='My investments'!$H$15,'My investments'!$E134,0))</f>
        <v/>
      </c>
      <c r="AK134" s="36">
        <f>IF('My investments'!$H$11="",0,IF('My investments'!$F134='My investments'!$H$11,$AA134,0))</f>
        <v/>
      </c>
      <c r="AL134" s="36">
        <f>IF('My investments'!$H$12="",0,IF('My investments'!$F134='My investments'!$H$12,$AA134,0))</f>
        <v/>
      </c>
      <c r="AM134" s="36">
        <f>IF('My investments'!$H$13="",0,IF('My investments'!$F134='My investments'!$H$13,$AA134,0))</f>
        <v/>
      </c>
      <c r="AN134" s="36">
        <f>IF('My investments'!$H$14="",0,IF('My investments'!$F134='My investments'!$H$14,$AA134,0))</f>
        <v/>
      </c>
      <c r="AO134" s="36">
        <f>IF('My investments'!$H$15="",0,IF('My investments'!$F134='My investments'!$H$15,$AA134,0))</f>
        <v/>
      </c>
    </row>
    <row r="135" ht="15" customHeight="1" s="30">
      <c r="A135" s="36">
        <f>IF('My investments'!$C135="Worth today",1,0)</f>
        <v/>
      </c>
      <c r="B135" s="36">
        <f>IF('My investments'!$C135="Money in",1,0)</f>
        <v/>
      </c>
      <c r="AA135" s="36">
        <f>IF('My investments'!$C135="Money in",'My investments'!$D135,0)</f>
        <v/>
      </c>
      <c r="AB135" s="36">
        <f>IF('My investments'!$C135="Money out",'My investments'!$D135,0)</f>
        <v/>
      </c>
      <c r="AC135" s="36">
        <f>IF('My investments'!$C135="Worth today",'My investments'!$D135,0)</f>
        <v/>
      </c>
      <c r="AE135" s="36">
        <f>IF('My investments'!$H$11="",0,IF('My investments'!$F135='My investments'!$H$11,'My investments'!$E135,0))</f>
        <v/>
      </c>
      <c r="AF135" s="36">
        <f>IF('My investments'!$H$12="",0,IF('My investments'!$F135='My investments'!$H$12,'My investments'!$E135,0))</f>
        <v/>
      </c>
      <c r="AG135" s="36">
        <f>IF('My investments'!$H$13="",0,IF('My investments'!$F135='My investments'!$H$13,'My investments'!$E135,0))</f>
        <v/>
      </c>
      <c r="AH135" s="36">
        <f>IF('My investments'!$H$14="",0,IF('My investments'!$F135='My investments'!$H$14,'My investments'!$E135,0))</f>
        <v/>
      </c>
      <c r="AI135" s="36">
        <f>IF('My investments'!$H$15="",0,IF('My investments'!$F135='My investments'!$H$15,'My investments'!$E135,0))</f>
        <v/>
      </c>
      <c r="AK135" s="36">
        <f>IF('My investments'!$H$11="",0,IF('My investments'!$F135='My investments'!$H$11,$AA135,0))</f>
        <v/>
      </c>
      <c r="AL135" s="36">
        <f>IF('My investments'!$H$12="",0,IF('My investments'!$F135='My investments'!$H$12,$AA135,0))</f>
        <v/>
      </c>
      <c r="AM135" s="36">
        <f>IF('My investments'!$H$13="",0,IF('My investments'!$F135='My investments'!$H$13,$AA135,0))</f>
        <v/>
      </c>
      <c r="AN135" s="36">
        <f>IF('My investments'!$H$14="",0,IF('My investments'!$F135='My investments'!$H$14,$AA135,0))</f>
        <v/>
      </c>
      <c r="AO135" s="36">
        <f>IF('My investments'!$H$15="",0,IF('My investments'!$F135='My investments'!$H$15,$AA135,0))</f>
        <v/>
      </c>
    </row>
    <row r="136" ht="15" customHeight="1" s="30">
      <c r="A136" s="36">
        <f>IF('My investments'!$C136="Worth today",1,0)</f>
        <v/>
      </c>
      <c r="B136" s="36">
        <f>IF('My investments'!$C136="Money in",1,0)</f>
        <v/>
      </c>
      <c r="AA136" s="36">
        <f>IF('My investments'!$C136="Money in",'My investments'!$D136,0)</f>
        <v/>
      </c>
      <c r="AB136" s="36">
        <f>IF('My investments'!$C136="Money out",'My investments'!$D136,0)</f>
        <v/>
      </c>
      <c r="AC136" s="36">
        <f>IF('My investments'!$C136="Worth today",'My investments'!$D136,0)</f>
        <v/>
      </c>
      <c r="AE136" s="36">
        <f>IF('My investments'!$H$11="",0,IF('My investments'!$F136='My investments'!$H$11,'My investments'!$E136,0))</f>
        <v/>
      </c>
      <c r="AF136" s="36">
        <f>IF('My investments'!$H$12="",0,IF('My investments'!$F136='My investments'!$H$12,'My investments'!$E136,0))</f>
        <v/>
      </c>
      <c r="AG136" s="36">
        <f>IF('My investments'!$H$13="",0,IF('My investments'!$F136='My investments'!$H$13,'My investments'!$E136,0))</f>
        <v/>
      </c>
      <c r="AH136" s="36">
        <f>IF('My investments'!$H$14="",0,IF('My investments'!$F136='My investments'!$H$14,'My investments'!$E136,0))</f>
        <v/>
      </c>
      <c r="AI136" s="36">
        <f>IF('My investments'!$H$15="",0,IF('My investments'!$F136='My investments'!$H$15,'My investments'!$E136,0))</f>
        <v/>
      </c>
      <c r="AK136" s="36">
        <f>IF('My investments'!$H$11="",0,IF('My investments'!$F136='My investments'!$H$11,$AA136,0))</f>
        <v/>
      </c>
      <c r="AL136" s="36">
        <f>IF('My investments'!$H$12="",0,IF('My investments'!$F136='My investments'!$H$12,$AA136,0))</f>
        <v/>
      </c>
      <c r="AM136" s="36">
        <f>IF('My investments'!$H$13="",0,IF('My investments'!$F136='My investments'!$H$13,$AA136,0))</f>
        <v/>
      </c>
      <c r="AN136" s="36">
        <f>IF('My investments'!$H$14="",0,IF('My investments'!$F136='My investments'!$H$14,$AA136,0))</f>
        <v/>
      </c>
      <c r="AO136" s="36">
        <f>IF('My investments'!$H$15="",0,IF('My investments'!$F136='My investments'!$H$15,$AA136,0))</f>
        <v/>
      </c>
    </row>
    <row r="137" ht="15" customHeight="1" s="30">
      <c r="A137" s="36">
        <f>IF('My investments'!$C137="Worth today",1,0)</f>
        <v/>
      </c>
      <c r="B137" s="36">
        <f>IF('My investments'!$C137="Money in",1,0)</f>
        <v/>
      </c>
      <c r="AA137" s="36">
        <f>IF('My investments'!$C137="Money in",'My investments'!$D137,0)</f>
        <v/>
      </c>
      <c r="AB137" s="36">
        <f>IF('My investments'!$C137="Money out",'My investments'!$D137,0)</f>
        <v/>
      </c>
      <c r="AC137" s="36">
        <f>IF('My investments'!$C137="Worth today",'My investments'!$D137,0)</f>
        <v/>
      </c>
      <c r="AE137" s="36">
        <f>IF('My investments'!$H$11="",0,IF('My investments'!$F137='My investments'!$H$11,'My investments'!$E137,0))</f>
        <v/>
      </c>
      <c r="AF137" s="36">
        <f>IF('My investments'!$H$12="",0,IF('My investments'!$F137='My investments'!$H$12,'My investments'!$E137,0))</f>
        <v/>
      </c>
      <c r="AG137" s="36">
        <f>IF('My investments'!$H$13="",0,IF('My investments'!$F137='My investments'!$H$13,'My investments'!$E137,0))</f>
        <v/>
      </c>
      <c r="AH137" s="36">
        <f>IF('My investments'!$H$14="",0,IF('My investments'!$F137='My investments'!$H$14,'My investments'!$E137,0))</f>
        <v/>
      </c>
      <c r="AI137" s="36">
        <f>IF('My investments'!$H$15="",0,IF('My investments'!$F137='My investments'!$H$15,'My investments'!$E137,0))</f>
        <v/>
      </c>
      <c r="AK137" s="36">
        <f>IF('My investments'!$H$11="",0,IF('My investments'!$F137='My investments'!$H$11,$AA137,0))</f>
        <v/>
      </c>
      <c r="AL137" s="36">
        <f>IF('My investments'!$H$12="",0,IF('My investments'!$F137='My investments'!$H$12,$AA137,0))</f>
        <v/>
      </c>
      <c r="AM137" s="36">
        <f>IF('My investments'!$H$13="",0,IF('My investments'!$F137='My investments'!$H$13,$AA137,0))</f>
        <v/>
      </c>
      <c r="AN137" s="36">
        <f>IF('My investments'!$H$14="",0,IF('My investments'!$F137='My investments'!$H$14,$AA137,0))</f>
        <v/>
      </c>
      <c r="AO137" s="36">
        <f>IF('My investments'!$H$15="",0,IF('My investments'!$F137='My investments'!$H$15,$AA137,0))</f>
        <v/>
      </c>
    </row>
    <row r="138" ht="15" customHeight="1" s="30">
      <c r="A138" s="36">
        <f>IF('My investments'!$C138="Worth today",1,0)</f>
        <v/>
      </c>
      <c r="B138" s="36">
        <f>IF('My investments'!$C138="Money in",1,0)</f>
        <v/>
      </c>
      <c r="AA138" s="36">
        <f>IF('My investments'!$C138="Money in",'My investments'!$D138,0)</f>
        <v/>
      </c>
      <c r="AB138" s="36">
        <f>IF('My investments'!$C138="Money out",'My investments'!$D138,0)</f>
        <v/>
      </c>
      <c r="AC138" s="36">
        <f>IF('My investments'!$C138="Worth today",'My investments'!$D138,0)</f>
        <v/>
      </c>
      <c r="AE138" s="36">
        <f>IF('My investments'!$H$11="",0,IF('My investments'!$F138='My investments'!$H$11,'My investments'!$E138,0))</f>
        <v/>
      </c>
      <c r="AF138" s="36">
        <f>IF('My investments'!$H$12="",0,IF('My investments'!$F138='My investments'!$H$12,'My investments'!$E138,0))</f>
        <v/>
      </c>
      <c r="AG138" s="36">
        <f>IF('My investments'!$H$13="",0,IF('My investments'!$F138='My investments'!$H$13,'My investments'!$E138,0))</f>
        <v/>
      </c>
      <c r="AH138" s="36">
        <f>IF('My investments'!$H$14="",0,IF('My investments'!$F138='My investments'!$H$14,'My investments'!$E138,0))</f>
        <v/>
      </c>
      <c r="AI138" s="36">
        <f>IF('My investments'!$H$15="",0,IF('My investments'!$F138='My investments'!$H$15,'My investments'!$E138,0))</f>
        <v/>
      </c>
      <c r="AK138" s="36">
        <f>IF('My investments'!$H$11="",0,IF('My investments'!$F138='My investments'!$H$11,$AA138,0))</f>
        <v/>
      </c>
      <c r="AL138" s="36">
        <f>IF('My investments'!$H$12="",0,IF('My investments'!$F138='My investments'!$H$12,$AA138,0))</f>
        <v/>
      </c>
      <c r="AM138" s="36">
        <f>IF('My investments'!$H$13="",0,IF('My investments'!$F138='My investments'!$H$13,$AA138,0))</f>
        <v/>
      </c>
      <c r="AN138" s="36">
        <f>IF('My investments'!$H$14="",0,IF('My investments'!$F138='My investments'!$H$14,$AA138,0))</f>
        <v/>
      </c>
      <c r="AO138" s="36">
        <f>IF('My investments'!$H$15="",0,IF('My investments'!$F138='My investments'!$H$15,$AA138,0))</f>
        <v/>
      </c>
    </row>
    <row r="139" ht="15" customHeight="1" s="30">
      <c r="A139" s="36">
        <f>IF('My investments'!$C139="Worth today",1,0)</f>
        <v/>
      </c>
      <c r="B139" s="36">
        <f>IF('My investments'!$C139="Money in",1,0)</f>
        <v/>
      </c>
      <c r="AA139" s="36">
        <f>IF('My investments'!$C139="Money in",'My investments'!$D139,0)</f>
        <v/>
      </c>
      <c r="AB139" s="36">
        <f>IF('My investments'!$C139="Money out",'My investments'!$D139,0)</f>
        <v/>
      </c>
      <c r="AC139" s="36">
        <f>IF('My investments'!$C139="Worth today",'My investments'!$D139,0)</f>
        <v/>
      </c>
      <c r="AE139" s="36">
        <f>IF('My investments'!$H$11="",0,IF('My investments'!$F139='My investments'!$H$11,'My investments'!$E139,0))</f>
        <v/>
      </c>
      <c r="AF139" s="36">
        <f>IF('My investments'!$H$12="",0,IF('My investments'!$F139='My investments'!$H$12,'My investments'!$E139,0))</f>
        <v/>
      </c>
      <c r="AG139" s="36">
        <f>IF('My investments'!$H$13="",0,IF('My investments'!$F139='My investments'!$H$13,'My investments'!$E139,0))</f>
        <v/>
      </c>
      <c r="AH139" s="36">
        <f>IF('My investments'!$H$14="",0,IF('My investments'!$F139='My investments'!$H$14,'My investments'!$E139,0))</f>
        <v/>
      </c>
      <c r="AI139" s="36">
        <f>IF('My investments'!$H$15="",0,IF('My investments'!$F139='My investments'!$H$15,'My investments'!$E139,0))</f>
        <v/>
      </c>
      <c r="AK139" s="36">
        <f>IF('My investments'!$H$11="",0,IF('My investments'!$F139='My investments'!$H$11,$AA139,0))</f>
        <v/>
      </c>
      <c r="AL139" s="36">
        <f>IF('My investments'!$H$12="",0,IF('My investments'!$F139='My investments'!$H$12,$AA139,0))</f>
        <v/>
      </c>
      <c r="AM139" s="36">
        <f>IF('My investments'!$H$13="",0,IF('My investments'!$F139='My investments'!$H$13,$AA139,0))</f>
        <v/>
      </c>
      <c r="AN139" s="36">
        <f>IF('My investments'!$H$14="",0,IF('My investments'!$F139='My investments'!$H$14,$AA139,0))</f>
        <v/>
      </c>
      <c r="AO139" s="36">
        <f>IF('My investments'!$H$15="",0,IF('My investments'!$F139='My investments'!$H$15,$AA139,0))</f>
        <v/>
      </c>
    </row>
    <row r="140" ht="15" customHeight="1" s="30">
      <c r="A140" s="36">
        <f>IF('My investments'!$C140="Worth today",1,0)</f>
        <v/>
      </c>
      <c r="B140" s="36">
        <f>IF('My investments'!$C140="Money in",1,0)</f>
        <v/>
      </c>
      <c r="AA140" s="36">
        <f>IF('My investments'!$C140="Money in",'My investments'!$D140,0)</f>
        <v/>
      </c>
      <c r="AB140" s="36">
        <f>IF('My investments'!$C140="Money out",'My investments'!$D140,0)</f>
        <v/>
      </c>
      <c r="AC140" s="36">
        <f>IF('My investments'!$C140="Worth today",'My investments'!$D140,0)</f>
        <v/>
      </c>
      <c r="AE140" s="36">
        <f>IF('My investments'!$H$11="",0,IF('My investments'!$F140='My investments'!$H$11,'My investments'!$E140,0))</f>
        <v/>
      </c>
      <c r="AF140" s="36">
        <f>IF('My investments'!$H$12="",0,IF('My investments'!$F140='My investments'!$H$12,'My investments'!$E140,0))</f>
        <v/>
      </c>
      <c r="AG140" s="36">
        <f>IF('My investments'!$H$13="",0,IF('My investments'!$F140='My investments'!$H$13,'My investments'!$E140,0))</f>
        <v/>
      </c>
      <c r="AH140" s="36">
        <f>IF('My investments'!$H$14="",0,IF('My investments'!$F140='My investments'!$H$14,'My investments'!$E140,0))</f>
        <v/>
      </c>
      <c r="AI140" s="36">
        <f>IF('My investments'!$H$15="",0,IF('My investments'!$F140='My investments'!$H$15,'My investments'!$E140,0))</f>
        <v/>
      </c>
      <c r="AK140" s="36">
        <f>IF('My investments'!$H$11="",0,IF('My investments'!$F140='My investments'!$H$11,$AA140,0))</f>
        <v/>
      </c>
      <c r="AL140" s="36">
        <f>IF('My investments'!$H$12="",0,IF('My investments'!$F140='My investments'!$H$12,$AA140,0))</f>
        <v/>
      </c>
      <c r="AM140" s="36">
        <f>IF('My investments'!$H$13="",0,IF('My investments'!$F140='My investments'!$H$13,$AA140,0))</f>
        <v/>
      </c>
      <c r="AN140" s="36">
        <f>IF('My investments'!$H$14="",0,IF('My investments'!$F140='My investments'!$H$14,$AA140,0))</f>
        <v/>
      </c>
      <c r="AO140" s="36">
        <f>IF('My investments'!$H$15="",0,IF('My investments'!$F140='My investments'!$H$15,$AA140,0))</f>
        <v/>
      </c>
    </row>
    <row r="141" ht="15" customHeight="1" s="30">
      <c r="A141" s="36">
        <f>IF('My investments'!$C141="Worth today",1,0)</f>
        <v/>
      </c>
      <c r="B141" s="36">
        <f>IF('My investments'!$C141="Money in",1,0)</f>
        <v/>
      </c>
      <c r="AA141" s="36">
        <f>IF('My investments'!$C141="Money in",'My investments'!$D141,0)</f>
        <v/>
      </c>
      <c r="AB141" s="36">
        <f>IF('My investments'!$C141="Money out",'My investments'!$D141,0)</f>
        <v/>
      </c>
      <c r="AC141" s="36">
        <f>IF('My investments'!$C141="Worth today",'My investments'!$D141,0)</f>
        <v/>
      </c>
      <c r="AE141" s="36">
        <f>IF('My investments'!$H$11="",0,IF('My investments'!$F141='My investments'!$H$11,'My investments'!$E141,0))</f>
        <v/>
      </c>
      <c r="AF141" s="36">
        <f>IF('My investments'!$H$12="",0,IF('My investments'!$F141='My investments'!$H$12,'My investments'!$E141,0))</f>
        <v/>
      </c>
      <c r="AG141" s="36">
        <f>IF('My investments'!$H$13="",0,IF('My investments'!$F141='My investments'!$H$13,'My investments'!$E141,0))</f>
        <v/>
      </c>
      <c r="AH141" s="36">
        <f>IF('My investments'!$H$14="",0,IF('My investments'!$F141='My investments'!$H$14,'My investments'!$E141,0))</f>
        <v/>
      </c>
      <c r="AI141" s="36">
        <f>IF('My investments'!$H$15="",0,IF('My investments'!$F141='My investments'!$H$15,'My investments'!$E141,0))</f>
        <v/>
      </c>
      <c r="AK141" s="36">
        <f>IF('My investments'!$H$11="",0,IF('My investments'!$F141='My investments'!$H$11,$AA141,0))</f>
        <v/>
      </c>
      <c r="AL141" s="36">
        <f>IF('My investments'!$H$12="",0,IF('My investments'!$F141='My investments'!$H$12,$AA141,0))</f>
        <v/>
      </c>
      <c r="AM141" s="36">
        <f>IF('My investments'!$H$13="",0,IF('My investments'!$F141='My investments'!$H$13,$AA141,0))</f>
        <v/>
      </c>
      <c r="AN141" s="36">
        <f>IF('My investments'!$H$14="",0,IF('My investments'!$F141='My investments'!$H$14,$AA141,0))</f>
        <v/>
      </c>
      <c r="AO141" s="36">
        <f>IF('My investments'!$H$15="",0,IF('My investments'!$F141='My investments'!$H$15,$AA141,0))</f>
        <v/>
      </c>
    </row>
    <row r="142" ht="15" customHeight="1" s="30">
      <c r="A142" s="36">
        <f>IF('My investments'!$C142="Worth today",1,0)</f>
        <v/>
      </c>
      <c r="B142" s="36">
        <f>IF('My investments'!$C142="Money in",1,0)</f>
        <v/>
      </c>
      <c r="AA142" s="36">
        <f>IF('My investments'!$C142="Money in",'My investments'!$D142,0)</f>
        <v/>
      </c>
      <c r="AB142" s="36">
        <f>IF('My investments'!$C142="Money out",'My investments'!$D142,0)</f>
        <v/>
      </c>
      <c r="AC142" s="36">
        <f>IF('My investments'!$C142="Worth today",'My investments'!$D142,0)</f>
        <v/>
      </c>
      <c r="AE142" s="36">
        <f>IF('My investments'!$H$11="",0,IF('My investments'!$F142='My investments'!$H$11,'My investments'!$E142,0))</f>
        <v/>
      </c>
      <c r="AF142" s="36">
        <f>IF('My investments'!$H$12="",0,IF('My investments'!$F142='My investments'!$H$12,'My investments'!$E142,0))</f>
        <v/>
      </c>
      <c r="AG142" s="36">
        <f>IF('My investments'!$H$13="",0,IF('My investments'!$F142='My investments'!$H$13,'My investments'!$E142,0))</f>
        <v/>
      </c>
      <c r="AH142" s="36">
        <f>IF('My investments'!$H$14="",0,IF('My investments'!$F142='My investments'!$H$14,'My investments'!$E142,0))</f>
        <v/>
      </c>
      <c r="AI142" s="36">
        <f>IF('My investments'!$H$15="",0,IF('My investments'!$F142='My investments'!$H$15,'My investments'!$E142,0))</f>
        <v/>
      </c>
      <c r="AK142" s="36">
        <f>IF('My investments'!$H$11="",0,IF('My investments'!$F142='My investments'!$H$11,$AA142,0))</f>
        <v/>
      </c>
      <c r="AL142" s="36">
        <f>IF('My investments'!$H$12="",0,IF('My investments'!$F142='My investments'!$H$12,$AA142,0))</f>
        <v/>
      </c>
      <c r="AM142" s="36">
        <f>IF('My investments'!$H$13="",0,IF('My investments'!$F142='My investments'!$H$13,$AA142,0))</f>
        <v/>
      </c>
      <c r="AN142" s="36">
        <f>IF('My investments'!$H$14="",0,IF('My investments'!$F142='My investments'!$H$14,$AA142,0))</f>
        <v/>
      </c>
      <c r="AO142" s="36">
        <f>IF('My investments'!$H$15="",0,IF('My investments'!$F142='My investments'!$H$15,$AA142,0))</f>
        <v/>
      </c>
    </row>
    <row r="143" ht="15" customHeight="1" s="30">
      <c r="A143" s="36">
        <f>IF('My investments'!$C143="Worth today",1,0)</f>
        <v/>
      </c>
      <c r="B143" s="36">
        <f>IF('My investments'!$C143="Money in",1,0)</f>
        <v/>
      </c>
      <c r="AA143" s="36">
        <f>IF('My investments'!$C143="Money in",'My investments'!$D143,0)</f>
        <v/>
      </c>
      <c r="AB143" s="36">
        <f>IF('My investments'!$C143="Money out",'My investments'!$D143,0)</f>
        <v/>
      </c>
      <c r="AC143" s="36">
        <f>IF('My investments'!$C143="Worth today",'My investments'!$D143,0)</f>
        <v/>
      </c>
      <c r="AE143" s="36">
        <f>IF('My investments'!$H$11="",0,IF('My investments'!$F143='My investments'!$H$11,'My investments'!$E143,0))</f>
        <v/>
      </c>
      <c r="AF143" s="36">
        <f>IF('My investments'!$H$12="",0,IF('My investments'!$F143='My investments'!$H$12,'My investments'!$E143,0))</f>
        <v/>
      </c>
      <c r="AG143" s="36">
        <f>IF('My investments'!$H$13="",0,IF('My investments'!$F143='My investments'!$H$13,'My investments'!$E143,0))</f>
        <v/>
      </c>
      <c r="AH143" s="36">
        <f>IF('My investments'!$H$14="",0,IF('My investments'!$F143='My investments'!$H$14,'My investments'!$E143,0))</f>
        <v/>
      </c>
      <c r="AI143" s="36">
        <f>IF('My investments'!$H$15="",0,IF('My investments'!$F143='My investments'!$H$15,'My investments'!$E143,0))</f>
        <v/>
      </c>
      <c r="AK143" s="36">
        <f>IF('My investments'!$H$11="",0,IF('My investments'!$F143='My investments'!$H$11,$AA143,0))</f>
        <v/>
      </c>
      <c r="AL143" s="36">
        <f>IF('My investments'!$H$12="",0,IF('My investments'!$F143='My investments'!$H$12,$AA143,0))</f>
        <v/>
      </c>
      <c r="AM143" s="36">
        <f>IF('My investments'!$H$13="",0,IF('My investments'!$F143='My investments'!$H$13,$AA143,0))</f>
        <v/>
      </c>
      <c r="AN143" s="36">
        <f>IF('My investments'!$H$14="",0,IF('My investments'!$F143='My investments'!$H$14,$AA143,0))</f>
        <v/>
      </c>
      <c r="AO143" s="36">
        <f>IF('My investments'!$H$15="",0,IF('My investments'!$F143='My investments'!$H$15,$AA143,0))</f>
        <v/>
      </c>
    </row>
    <row r="144" ht="15" customHeight="1" s="30">
      <c r="A144" s="36">
        <f>IF('My investments'!$C144="Worth today",1,0)</f>
        <v/>
      </c>
      <c r="B144" s="36">
        <f>IF('My investments'!$C144="Money in",1,0)</f>
        <v/>
      </c>
      <c r="AA144" s="36">
        <f>IF('My investments'!$C144="Money in",'My investments'!$D144,0)</f>
        <v/>
      </c>
      <c r="AB144" s="36">
        <f>IF('My investments'!$C144="Money out",'My investments'!$D144,0)</f>
        <v/>
      </c>
      <c r="AC144" s="36">
        <f>IF('My investments'!$C144="Worth today",'My investments'!$D144,0)</f>
        <v/>
      </c>
      <c r="AE144" s="36">
        <f>IF('My investments'!$H$11="",0,IF('My investments'!$F144='My investments'!$H$11,'My investments'!$E144,0))</f>
        <v/>
      </c>
      <c r="AF144" s="36">
        <f>IF('My investments'!$H$12="",0,IF('My investments'!$F144='My investments'!$H$12,'My investments'!$E144,0))</f>
        <v/>
      </c>
      <c r="AG144" s="36">
        <f>IF('My investments'!$H$13="",0,IF('My investments'!$F144='My investments'!$H$13,'My investments'!$E144,0))</f>
        <v/>
      </c>
      <c r="AH144" s="36">
        <f>IF('My investments'!$H$14="",0,IF('My investments'!$F144='My investments'!$H$14,'My investments'!$E144,0))</f>
        <v/>
      </c>
      <c r="AI144" s="36">
        <f>IF('My investments'!$H$15="",0,IF('My investments'!$F144='My investments'!$H$15,'My investments'!$E144,0))</f>
        <v/>
      </c>
      <c r="AK144" s="36">
        <f>IF('My investments'!$H$11="",0,IF('My investments'!$F144='My investments'!$H$11,$AA144,0))</f>
        <v/>
      </c>
      <c r="AL144" s="36">
        <f>IF('My investments'!$H$12="",0,IF('My investments'!$F144='My investments'!$H$12,$AA144,0))</f>
        <v/>
      </c>
      <c r="AM144" s="36">
        <f>IF('My investments'!$H$13="",0,IF('My investments'!$F144='My investments'!$H$13,$AA144,0))</f>
        <v/>
      </c>
      <c r="AN144" s="36">
        <f>IF('My investments'!$H$14="",0,IF('My investments'!$F144='My investments'!$H$14,$AA144,0))</f>
        <v/>
      </c>
      <c r="AO144" s="36">
        <f>IF('My investments'!$H$15="",0,IF('My investments'!$F144='My investments'!$H$15,$AA144,0))</f>
        <v/>
      </c>
    </row>
    <row r="145" ht="15" customHeight="1" s="30">
      <c r="A145" s="36">
        <f>IF('My investments'!$C145="Worth today",1,0)</f>
        <v/>
      </c>
      <c r="B145" s="36">
        <f>IF('My investments'!$C145="Money in",1,0)</f>
        <v/>
      </c>
      <c r="AA145" s="36">
        <f>IF('My investments'!$C145="Money in",'My investments'!$D145,0)</f>
        <v/>
      </c>
      <c r="AB145" s="36">
        <f>IF('My investments'!$C145="Money out",'My investments'!$D145,0)</f>
        <v/>
      </c>
      <c r="AC145" s="36">
        <f>IF('My investments'!$C145="Worth today",'My investments'!$D145,0)</f>
        <v/>
      </c>
      <c r="AE145" s="36">
        <f>IF('My investments'!$H$11="",0,IF('My investments'!$F145='My investments'!$H$11,'My investments'!$E145,0))</f>
        <v/>
      </c>
      <c r="AF145" s="36">
        <f>IF('My investments'!$H$12="",0,IF('My investments'!$F145='My investments'!$H$12,'My investments'!$E145,0))</f>
        <v/>
      </c>
      <c r="AG145" s="36">
        <f>IF('My investments'!$H$13="",0,IF('My investments'!$F145='My investments'!$H$13,'My investments'!$E145,0))</f>
        <v/>
      </c>
      <c r="AH145" s="36">
        <f>IF('My investments'!$H$14="",0,IF('My investments'!$F145='My investments'!$H$14,'My investments'!$E145,0))</f>
        <v/>
      </c>
      <c r="AI145" s="36">
        <f>IF('My investments'!$H$15="",0,IF('My investments'!$F145='My investments'!$H$15,'My investments'!$E145,0))</f>
        <v/>
      </c>
      <c r="AK145" s="36">
        <f>IF('My investments'!$H$11="",0,IF('My investments'!$F145='My investments'!$H$11,$AA145,0))</f>
        <v/>
      </c>
      <c r="AL145" s="36">
        <f>IF('My investments'!$H$12="",0,IF('My investments'!$F145='My investments'!$H$12,$AA145,0))</f>
        <v/>
      </c>
      <c r="AM145" s="36">
        <f>IF('My investments'!$H$13="",0,IF('My investments'!$F145='My investments'!$H$13,$AA145,0))</f>
        <v/>
      </c>
      <c r="AN145" s="36">
        <f>IF('My investments'!$H$14="",0,IF('My investments'!$F145='My investments'!$H$14,$AA145,0))</f>
        <v/>
      </c>
      <c r="AO145" s="36">
        <f>IF('My investments'!$H$15="",0,IF('My investments'!$F145='My investments'!$H$15,$AA145,0))</f>
        <v/>
      </c>
    </row>
    <row r="146" ht="15" customHeight="1" s="30">
      <c r="A146" s="36">
        <f>IF('My investments'!$C146="Worth today",1,0)</f>
        <v/>
      </c>
      <c r="B146" s="36">
        <f>IF('My investments'!$C146="Money in",1,0)</f>
        <v/>
      </c>
      <c r="AA146" s="36">
        <f>IF('My investments'!$C146="Money in",'My investments'!$D146,0)</f>
        <v/>
      </c>
      <c r="AB146" s="36">
        <f>IF('My investments'!$C146="Money out",'My investments'!$D146,0)</f>
        <v/>
      </c>
      <c r="AC146" s="36">
        <f>IF('My investments'!$C146="Worth today",'My investments'!$D146,0)</f>
        <v/>
      </c>
      <c r="AE146" s="36">
        <f>IF('My investments'!$H$11="",0,IF('My investments'!$F146='My investments'!$H$11,'My investments'!$E146,0))</f>
        <v/>
      </c>
      <c r="AF146" s="36">
        <f>IF('My investments'!$H$12="",0,IF('My investments'!$F146='My investments'!$H$12,'My investments'!$E146,0))</f>
        <v/>
      </c>
      <c r="AG146" s="36">
        <f>IF('My investments'!$H$13="",0,IF('My investments'!$F146='My investments'!$H$13,'My investments'!$E146,0))</f>
        <v/>
      </c>
      <c r="AH146" s="36">
        <f>IF('My investments'!$H$14="",0,IF('My investments'!$F146='My investments'!$H$14,'My investments'!$E146,0))</f>
        <v/>
      </c>
      <c r="AI146" s="36">
        <f>IF('My investments'!$H$15="",0,IF('My investments'!$F146='My investments'!$H$15,'My investments'!$E146,0))</f>
        <v/>
      </c>
      <c r="AK146" s="36">
        <f>IF('My investments'!$H$11="",0,IF('My investments'!$F146='My investments'!$H$11,$AA146,0))</f>
        <v/>
      </c>
      <c r="AL146" s="36">
        <f>IF('My investments'!$H$12="",0,IF('My investments'!$F146='My investments'!$H$12,$AA146,0))</f>
        <v/>
      </c>
      <c r="AM146" s="36">
        <f>IF('My investments'!$H$13="",0,IF('My investments'!$F146='My investments'!$H$13,$AA146,0))</f>
        <v/>
      </c>
      <c r="AN146" s="36">
        <f>IF('My investments'!$H$14="",0,IF('My investments'!$F146='My investments'!$H$14,$AA146,0))</f>
        <v/>
      </c>
      <c r="AO146" s="36">
        <f>IF('My investments'!$H$15="",0,IF('My investments'!$F146='My investments'!$H$15,$AA146,0))</f>
        <v/>
      </c>
    </row>
    <row r="147" ht="15" customHeight="1" s="30">
      <c r="A147" s="36">
        <f>IF('My investments'!$C147="Worth today",1,0)</f>
        <v/>
      </c>
      <c r="B147" s="36">
        <f>IF('My investments'!$C147="Money in",1,0)</f>
        <v/>
      </c>
      <c r="AA147" s="36">
        <f>IF('My investments'!$C147="Money in",'My investments'!$D147,0)</f>
        <v/>
      </c>
      <c r="AB147" s="36">
        <f>IF('My investments'!$C147="Money out",'My investments'!$D147,0)</f>
        <v/>
      </c>
      <c r="AC147" s="36">
        <f>IF('My investments'!$C147="Worth today",'My investments'!$D147,0)</f>
        <v/>
      </c>
      <c r="AE147" s="36">
        <f>IF('My investments'!$H$11="",0,IF('My investments'!$F147='My investments'!$H$11,'My investments'!$E147,0))</f>
        <v/>
      </c>
      <c r="AF147" s="36">
        <f>IF('My investments'!$H$12="",0,IF('My investments'!$F147='My investments'!$H$12,'My investments'!$E147,0))</f>
        <v/>
      </c>
      <c r="AG147" s="36">
        <f>IF('My investments'!$H$13="",0,IF('My investments'!$F147='My investments'!$H$13,'My investments'!$E147,0))</f>
        <v/>
      </c>
      <c r="AH147" s="36">
        <f>IF('My investments'!$H$14="",0,IF('My investments'!$F147='My investments'!$H$14,'My investments'!$E147,0))</f>
        <v/>
      </c>
      <c r="AI147" s="36">
        <f>IF('My investments'!$H$15="",0,IF('My investments'!$F147='My investments'!$H$15,'My investments'!$E147,0))</f>
        <v/>
      </c>
      <c r="AK147" s="36">
        <f>IF('My investments'!$H$11="",0,IF('My investments'!$F147='My investments'!$H$11,$AA147,0))</f>
        <v/>
      </c>
      <c r="AL147" s="36">
        <f>IF('My investments'!$H$12="",0,IF('My investments'!$F147='My investments'!$H$12,$AA147,0))</f>
        <v/>
      </c>
      <c r="AM147" s="36">
        <f>IF('My investments'!$H$13="",0,IF('My investments'!$F147='My investments'!$H$13,$AA147,0))</f>
        <v/>
      </c>
      <c r="AN147" s="36">
        <f>IF('My investments'!$H$14="",0,IF('My investments'!$F147='My investments'!$H$14,$AA147,0))</f>
        <v/>
      </c>
      <c r="AO147" s="36">
        <f>IF('My investments'!$H$15="",0,IF('My investments'!$F147='My investments'!$H$15,$AA147,0))</f>
        <v/>
      </c>
    </row>
    <row r="148" ht="15" customHeight="1" s="30">
      <c r="A148" s="36">
        <f>IF('My investments'!$C148="Worth today",1,0)</f>
        <v/>
      </c>
      <c r="B148" s="36">
        <f>IF('My investments'!$C148="Money in",1,0)</f>
        <v/>
      </c>
      <c r="AA148" s="36">
        <f>IF('My investments'!$C148="Money in",'My investments'!$D148,0)</f>
        <v/>
      </c>
      <c r="AB148" s="36">
        <f>IF('My investments'!$C148="Money out",'My investments'!$D148,0)</f>
        <v/>
      </c>
      <c r="AC148" s="36">
        <f>IF('My investments'!$C148="Worth today",'My investments'!$D148,0)</f>
        <v/>
      </c>
      <c r="AE148" s="36">
        <f>IF('My investments'!$H$11="",0,IF('My investments'!$F148='My investments'!$H$11,'My investments'!$E148,0))</f>
        <v/>
      </c>
      <c r="AF148" s="36">
        <f>IF('My investments'!$H$12="",0,IF('My investments'!$F148='My investments'!$H$12,'My investments'!$E148,0))</f>
        <v/>
      </c>
      <c r="AG148" s="36">
        <f>IF('My investments'!$H$13="",0,IF('My investments'!$F148='My investments'!$H$13,'My investments'!$E148,0))</f>
        <v/>
      </c>
      <c r="AH148" s="36">
        <f>IF('My investments'!$H$14="",0,IF('My investments'!$F148='My investments'!$H$14,'My investments'!$E148,0))</f>
        <v/>
      </c>
      <c r="AI148" s="36">
        <f>IF('My investments'!$H$15="",0,IF('My investments'!$F148='My investments'!$H$15,'My investments'!$E148,0))</f>
        <v/>
      </c>
      <c r="AK148" s="36">
        <f>IF('My investments'!$H$11="",0,IF('My investments'!$F148='My investments'!$H$11,$AA148,0))</f>
        <v/>
      </c>
      <c r="AL148" s="36">
        <f>IF('My investments'!$H$12="",0,IF('My investments'!$F148='My investments'!$H$12,$AA148,0))</f>
        <v/>
      </c>
      <c r="AM148" s="36">
        <f>IF('My investments'!$H$13="",0,IF('My investments'!$F148='My investments'!$H$13,$AA148,0))</f>
        <v/>
      </c>
      <c r="AN148" s="36">
        <f>IF('My investments'!$H$14="",0,IF('My investments'!$F148='My investments'!$H$14,$AA148,0))</f>
        <v/>
      </c>
      <c r="AO148" s="36">
        <f>IF('My investments'!$H$15="",0,IF('My investments'!$F148='My investments'!$H$15,$AA148,0))</f>
        <v/>
      </c>
    </row>
    <row r="149" ht="15" customHeight="1" s="30">
      <c r="A149" s="36">
        <f>IF('My investments'!$C149="Worth today",1,0)</f>
        <v/>
      </c>
      <c r="B149" s="36">
        <f>IF('My investments'!$C149="Money in",1,0)</f>
        <v/>
      </c>
      <c r="AA149" s="36">
        <f>IF('My investments'!$C149="Money in",'My investments'!$D149,0)</f>
        <v/>
      </c>
      <c r="AB149" s="36">
        <f>IF('My investments'!$C149="Money out",'My investments'!$D149,0)</f>
        <v/>
      </c>
      <c r="AC149" s="36">
        <f>IF('My investments'!$C149="Worth today",'My investments'!$D149,0)</f>
        <v/>
      </c>
      <c r="AE149" s="36">
        <f>IF('My investments'!$H$11="",0,IF('My investments'!$F149='My investments'!$H$11,'My investments'!$E149,0))</f>
        <v/>
      </c>
      <c r="AF149" s="36">
        <f>IF('My investments'!$H$12="",0,IF('My investments'!$F149='My investments'!$H$12,'My investments'!$E149,0))</f>
        <v/>
      </c>
      <c r="AG149" s="36">
        <f>IF('My investments'!$H$13="",0,IF('My investments'!$F149='My investments'!$H$13,'My investments'!$E149,0))</f>
        <v/>
      </c>
      <c r="AH149" s="36">
        <f>IF('My investments'!$H$14="",0,IF('My investments'!$F149='My investments'!$H$14,'My investments'!$E149,0))</f>
        <v/>
      </c>
      <c r="AI149" s="36">
        <f>IF('My investments'!$H$15="",0,IF('My investments'!$F149='My investments'!$H$15,'My investments'!$E149,0))</f>
        <v/>
      </c>
      <c r="AK149" s="36">
        <f>IF('My investments'!$H$11="",0,IF('My investments'!$F149='My investments'!$H$11,$AA149,0))</f>
        <v/>
      </c>
      <c r="AL149" s="36">
        <f>IF('My investments'!$H$12="",0,IF('My investments'!$F149='My investments'!$H$12,$AA149,0))</f>
        <v/>
      </c>
      <c r="AM149" s="36">
        <f>IF('My investments'!$H$13="",0,IF('My investments'!$F149='My investments'!$H$13,$AA149,0))</f>
        <v/>
      </c>
      <c r="AN149" s="36">
        <f>IF('My investments'!$H$14="",0,IF('My investments'!$F149='My investments'!$H$14,$AA149,0))</f>
        <v/>
      </c>
      <c r="AO149" s="36">
        <f>IF('My investments'!$H$15="",0,IF('My investments'!$F149='My investments'!$H$15,$AA149,0))</f>
        <v/>
      </c>
    </row>
    <row r="150" ht="15" customHeight="1" s="30">
      <c r="A150" s="36">
        <f>IF('My investments'!$C150="Worth today",1,0)</f>
        <v/>
      </c>
      <c r="B150" s="36">
        <f>IF('My investments'!$C150="Money in",1,0)</f>
        <v/>
      </c>
      <c r="AA150" s="36">
        <f>IF('My investments'!$C150="Money in",'My investments'!$D150,0)</f>
        <v/>
      </c>
      <c r="AB150" s="36">
        <f>IF('My investments'!$C150="Money out",'My investments'!$D150,0)</f>
        <v/>
      </c>
      <c r="AC150" s="36">
        <f>IF('My investments'!$C150="Worth today",'My investments'!$D150,0)</f>
        <v/>
      </c>
      <c r="AE150" s="36">
        <f>IF('My investments'!$H$11="",0,IF('My investments'!$F150='My investments'!$H$11,'My investments'!$E150,0))</f>
        <v/>
      </c>
      <c r="AF150" s="36">
        <f>IF('My investments'!$H$12="",0,IF('My investments'!$F150='My investments'!$H$12,'My investments'!$E150,0))</f>
        <v/>
      </c>
      <c r="AG150" s="36">
        <f>IF('My investments'!$H$13="",0,IF('My investments'!$F150='My investments'!$H$13,'My investments'!$E150,0))</f>
        <v/>
      </c>
      <c r="AH150" s="36">
        <f>IF('My investments'!$H$14="",0,IF('My investments'!$F150='My investments'!$H$14,'My investments'!$E150,0))</f>
        <v/>
      </c>
      <c r="AI150" s="36">
        <f>IF('My investments'!$H$15="",0,IF('My investments'!$F150='My investments'!$H$15,'My investments'!$E150,0))</f>
        <v/>
      </c>
      <c r="AK150" s="36">
        <f>IF('My investments'!$H$11="",0,IF('My investments'!$F150='My investments'!$H$11,$AA150,0))</f>
        <v/>
      </c>
      <c r="AL150" s="36">
        <f>IF('My investments'!$H$12="",0,IF('My investments'!$F150='My investments'!$H$12,$AA150,0))</f>
        <v/>
      </c>
      <c r="AM150" s="36">
        <f>IF('My investments'!$H$13="",0,IF('My investments'!$F150='My investments'!$H$13,$AA150,0))</f>
        <v/>
      </c>
      <c r="AN150" s="36">
        <f>IF('My investments'!$H$14="",0,IF('My investments'!$F150='My investments'!$H$14,$AA150,0))</f>
        <v/>
      </c>
      <c r="AO150" s="36">
        <f>IF('My investments'!$H$15="",0,IF('My investments'!$F150='My investments'!$H$15,$AA150,0))</f>
        <v/>
      </c>
    </row>
    <row r="151" ht="15" customHeight="1" s="30">
      <c r="A151" s="36">
        <f>IF('My investments'!$C151="Worth today",1,0)</f>
        <v/>
      </c>
      <c r="B151" s="36">
        <f>IF('My investments'!$C151="Money in",1,0)</f>
        <v/>
      </c>
      <c r="AA151" s="36">
        <f>IF('My investments'!$C151="Money in",'My investments'!$D151,0)</f>
        <v/>
      </c>
      <c r="AB151" s="36">
        <f>IF('My investments'!$C151="Money out",'My investments'!$D151,0)</f>
        <v/>
      </c>
      <c r="AC151" s="36">
        <f>IF('My investments'!$C151="Worth today",'My investments'!$D151,0)</f>
        <v/>
      </c>
      <c r="AE151" s="36">
        <f>IF('My investments'!$H$11="",0,IF('My investments'!$F151='My investments'!$H$11,'My investments'!$E151,0))</f>
        <v/>
      </c>
      <c r="AF151" s="36">
        <f>IF('My investments'!$H$12="",0,IF('My investments'!$F151='My investments'!$H$12,'My investments'!$E151,0))</f>
        <v/>
      </c>
      <c r="AG151" s="36">
        <f>IF('My investments'!$H$13="",0,IF('My investments'!$F151='My investments'!$H$13,'My investments'!$E151,0))</f>
        <v/>
      </c>
      <c r="AH151" s="36">
        <f>IF('My investments'!$H$14="",0,IF('My investments'!$F151='My investments'!$H$14,'My investments'!$E151,0))</f>
        <v/>
      </c>
      <c r="AI151" s="36">
        <f>IF('My investments'!$H$15="",0,IF('My investments'!$F151='My investments'!$H$15,'My investments'!$E151,0))</f>
        <v/>
      </c>
      <c r="AK151" s="36">
        <f>IF('My investments'!$H$11="",0,IF('My investments'!$F151='My investments'!$H$11,$AA151,0))</f>
        <v/>
      </c>
      <c r="AL151" s="36">
        <f>IF('My investments'!$H$12="",0,IF('My investments'!$F151='My investments'!$H$12,$AA151,0))</f>
        <v/>
      </c>
      <c r="AM151" s="36">
        <f>IF('My investments'!$H$13="",0,IF('My investments'!$F151='My investments'!$H$13,$AA151,0))</f>
        <v/>
      </c>
      <c r="AN151" s="36">
        <f>IF('My investments'!$H$14="",0,IF('My investments'!$F151='My investments'!$H$14,$AA151,0))</f>
        <v/>
      </c>
      <c r="AO151" s="36">
        <f>IF('My investments'!$H$15="",0,IF('My investments'!$F151='My investments'!$H$15,$AA151,0))</f>
        <v/>
      </c>
    </row>
    <row r="152" ht="15" customHeight="1" s="30">
      <c r="A152" s="36">
        <f>IF('My investments'!$C152="Worth today",1,0)</f>
        <v/>
      </c>
      <c r="B152" s="36">
        <f>IF('My investments'!$C152="Money in",1,0)</f>
        <v/>
      </c>
      <c r="AA152" s="36">
        <f>IF('My investments'!$C152="Money in",'My investments'!$D152,0)</f>
        <v/>
      </c>
      <c r="AB152" s="36">
        <f>IF('My investments'!$C152="Money out",'My investments'!$D152,0)</f>
        <v/>
      </c>
      <c r="AC152" s="36">
        <f>IF('My investments'!$C152="Worth today",'My investments'!$D152,0)</f>
        <v/>
      </c>
      <c r="AE152" s="36">
        <f>IF('My investments'!$H$11="",0,IF('My investments'!$F152='My investments'!$H$11,'My investments'!$E152,0))</f>
        <v/>
      </c>
      <c r="AF152" s="36">
        <f>IF('My investments'!$H$12="",0,IF('My investments'!$F152='My investments'!$H$12,'My investments'!$E152,0))</f>
        <v/>
      </c>
      <c r="AG152" s="36">
        <f>IF('My investments'!$H$13="",0,IF('My investments'!$F152='My investments'!$H$13,'My investments'!$E152,0))</f>
        <v/>
      </c>
      <c r="AH152" s="36">
        <f>IF('My investments'!$H$14="",0,IF('My investments'!$F152='My investments'!$H$14,'My investments'!$E152,0))</f>
        <v/>
      </c>
      <c r="AI152" s="36">
        <f>IF('My investments'!$H$15="",0,IF('My investments'!$F152='My investments'!$H$15,'My investments'!$E152,0))</f>
        <v/>
      </c>
      <c r="AK152" s="36">
        <f>IF('My investments'!$H$11="",0,IF('My investments'!$F152='My investments'!$H$11,$AA152,0))</f>
        <v/>
      </c>
      <c r="AL152" s="36">
        <f>IF('My investments'!$H$12="",0,IF('My investments'!$F152='My investments'!$H$12,$AA152,0))</f>
        <v/>
      </c>
      <c r="AM152" s="36">
        <f>IF('My investments'!$H$13="",0,IF('My investments'!$F152='My investments'!$H$13,$AA152,0))</f>
        <v/>
      </c>
      <c r="AN152" s="36">
        <f>IF('My investments'!$H$14="",0,IF('My investments'!$F152='My investments'!$H$14,$AA152,0))</f>
        <v/>
      </c>
      <c r="AO152" s="36">
        <f>IF('My investments'!$H$15="",0,IF('My investments'!$F152='My investments'!$H$15,$AA152,0))</f>
        <v/>
      </c>
    </row>
    <row r="153" ht="15" customHeight="1" s="30">
      <c r="A153" s="36">
        <f>IF('My investments'!$C153="Worth today",1,0)</f>
        <v/>
      </c>
      <c r="B153" s="36">
        <f>IF('My investments'!$C153="Money in",1,0)</f>
        <v/>
      </c>
      <c r="AA153" s="36">
        <f>IF('My investments'!$C153="Money in",'My investments'!$D153,0)</f>
        <v/>
      </c>
      <c r="AB153" s="36">
        <f>IF('My investments'!$C153="Money out",'My investments'!$D153,0)</f>
        <v/>
      </c>
      <c r="AC153" s="36">
        <f>IF('My investments'!$C153="Worth today",'My investments'!$D153,0)</f>
        <v/>
      </c>
      <c r="AE153" s="36">
        <f>IF('My investments'!$H$11="",0,IF('My investments'!$F153='My investments'!$H$11,'My investments'!$E153,0))</f>
        <v/>
      </c>
      <c r="AF153" s="36">
        <f>IF('My investments'!$H$12="",0,IF('My investments'!$F153='My investments'!$H$12,'My investments'!$E153,0))</f>
        <v/>
      </c>
      <c r="AG153" s="36">
        <f>IF('My investments'!$H$13="",0,IF('My investments'!$F153='My investments'!$H$13,'My investments'!$E153,0))</f>
        <v/>
      </c>
      <c r="AH153" s="36">
        <f>IF('My investments'!$H$14="",0,IF('My investments'!$F153='My investments'!$H$14,'My investments'!$E153,0))</f>
        <v/>
      </c>
      <c r="AI153" s="36">
        <f>IF('My investments'!$H$15="",0,IF('My investments'!$F153='My investments'!$H$15,'My investments'!$E153,0))</f>
        <v/>
      </c>
      <c r="AK153" s="36">
        <f>IF('My investments'!$H$11="",0,IF('My investments'!$F153='My investments'!$H$11,$AA153,0))</f>
        <v/>
      </c>
      <c r="AL153" s="36">
        <f>IF('My investments'!$H$12="",0,IF('My investments'!$F153='My investments'!$H$12,$AA153,0))</f>
        <v/>
      </c>
      <c r="AM153" s="36">
        <f>IF('My investments'!$H$13="",0,IF('My investments'!$F153='My investments'!$H$13,$AA153,0))</f>
        <v/>
      </c>
      <c r="AN153" s="36">
        <f>IF('My investments'!$H$14="",0,IF('My investments'!$F153='My investments'!$H$14,$AA153,0))</f>
        <v/>
      </c>
      <c r="AO153" s="36">
        <f>IF('My investments'!$H$15="",0,IF('My investments'!$F153='My investments'!$H$15,$AA153,0))</f>
        <v/>
      </c>
    </row>
    <row r="154" ht="15" customHeight="1" s="30">
      <c r="A154" s="36">
        <f>IF('My investments'!$C154="Worth today",1,0)</f>
        <v/>
      </c>
      <c r="B154" s="36">
        <f>IF('My investments'!$C154="Money in",1,0)</f>
        <v/>
      </c>
      <c r="AA154" s="36">
        <f>IF('My investments'!$C154="Money in",'My investments'!$D154,0)</f>
        <v/>
      </c>
      <c r="AB154" s="36">
        <f>IF('My investments'!$C154="Money out",'My investments'!$D154,0)</f>
        <v/>
      </c>
      <c r="AC154" s="36">
        <f>IF('My investments'!$C154="Worth today",'My investments'!$D154,0)</f>
        <v/>
      </c>
      <c r="AE154" s="36">
        <f>IF('My investments'!$H$11="",0,IF('My investments'!$F154='My investments'!$H$11,'My investments'!$E154,0))</f>
        <v/>
      </c>
      <c r="AF154" s="36">
        <f>IF('My investments'!$H$12="",0,IF('My investments'!$F154='My investments'!$H$12,'My investments'!$E154,0))</f>
        <v/>
      </c>
      <c r="AG154" s="36">
        <f>IF('My investments'!$H$13="",0,IF('My investments'!$F154='My investments'!$H$13,'My investments'!$E154,0))</f>
        <v/>
      </c>
      <c r="AH154" s="36">
        <f>IF('My investments'!$H$14="",0,IF('My investments'!$F154='My investments'!$H$14,'My investments'!$E154,0))</f>
        <v/>
      </c>
      <c r="AI154" s="36">
        <f>IF('My investments'!$H$15="",0,IF('My investments'!$F154='My investments'!$H$15,'My investments'!$E154,0))</f>
        <v/>
      </c>
      <c r="AK154" s="36">
        <f>IF('My investments'!$H$11="",0,IF('My investments'!$F154='My investments'!$H$11,$AA154,0))</f>
        <v/>
      </c>
      <c r="AL154" s="36">
        <f>IF('My investments'!$H$12="",0,IF('My investments'!$F154='My investments'!$H$12,$AA154,0))</f>
        <v/>
      </c>
      <c r="AM154" s="36">
        <f>IF('My investments'!$H$13="",0,IF('My investments'!$F154='My investments'!$H$13,$AA154,0))</f>
        <v/>
      </c>
      <c r="AN154" s="36">
        <f>IF('My investments'!$H$14="",0,IF('My investments'!$F154='My investments'!$H$14,$AA154,0))</f>
        <v/>
      </c>
      <c r="AO154" s="36">
        <f>IF('My investments'!$H$15="",0,IF('My investments'!$F154='My investments'!$H$15,$AA154,0))</f>
        <v/>
      </c>
    </row>
    <row r="155" ht="15" customHeight="1" s="30">
      <c r="A155" s="36">
        <f>IF('My investments'!$C155="Worth today",1,0)</f>
        <v/>
      </c>
      <c r="B155" s="36">
        <f>IF('My investments'!$C155="Money in",1,0)</f>
        <v/>
      </c>
      <c r="AA155" s="36">
        <f>IF('My investments'!$C155="Money in",'My investments'!$D155,0)</f>
        <v/>
      </c>
      <c r="AB155" s="36">
        <f>IF('My investments'!$C155="Money out",'My investments'!$D155,0)</f>
        <v/>
      </c>
      <c r="AC155" s="36">
        <f>IF('My investments'!$C155="Worth today",'My investments'!$D155,0)</f>
        <v/>
      </c>
      <c r="AE155" s="36">
        <f>IF('My investments'!$H$11="",0,IF('My investments'!$F155='My investments'!$H$11,'My investments'!$E155,0))</f>
        <v/>
      </c>
      <c r="AF155" s="36">
        <f>IF('My investments'!$H$12="",0,IF('My investments'!$F155='My investments'!$H$12,'My investments'!$E155,0))</f>
        <v/>
      </c>
      <c r="AG155" s="36">
        <f>IF('My investments'!$H$13="",0,IF('My investments'!$F155='My investments'!$H$13,'My investments'!$E155,0))</f>
        <v/>
      </c>
      <c r="AH155" s="36">
        <f>IF('My investments'!$H$14="",0,IF('My investments'!$F155='My investments'!$H$14,'My investments'!$E155,0))</f>
        <v/>
      </c>
      <c r="AI155" s="36">
        <f>IF('My investments'!$H$15="",0,IF('My investments'!$F155='My investments'!$H$15,'My investments'!$E155,0))</f>
        <v/>
      </c>
      <c r="AK155" s="36">
        <f>IF('My investments'!$H$11="",0,IF('My investments'!$F155='My investments'!$H$11,$AA155,0))</f>
        <v/>
      </c>
      <c r="AL155" s="36">
        <f>IF('My investments'!$H$12="",0,IF('My investments'!$F155='My investments'!$H$12,$AA155,0))</f>
        <v/>
      </c>
      <c r="AM155" s="36">
        <f>IF('My investments'!$H$13="",0,IF('My investments'!$F155='My investments'!$H$13,$AA155,0))</f>
        <v/>
      </c>
      <c r="AN155" s="36">
        <f>IF('My investments'!$H$14="",0,IF('My investments'!$F155='My investments'!$H$14,$AA155,0))</f>
        <v/>
      </c>
      <c r="AO155" s="36">
        <f>IF('My investments'!$H$15="",0,IF('My investments'!$F155='My investments'!$H$15,$AA155,0))</f>
        <v/>
      </c>
    </row>
    <row r="156" ht="15" customHeight="1" s="30">
      <c r="A156" s="36">
        <f>IF('My investments'!$C156="Worth today",1,0)</f>
        <v/>
      </c>
      <c r="B156" s="36">
        <f>IF('My investments'!$C156="Money in",1,0)</f>
        <v/>
      </c>
      <c r="AA156" s="36">
        <f>IF('My investments'!$C156="Money in",'My investments'!$D156,0)</f>
        <v/>
      </c>
      <c r="AB156" s="36">
        <f>IF('My investments'!$C156="Money out",'My investments'!$D156,0)</f>
        <v/>
      </c>
      <c r="AC156" s="36">
        <f>IF('My investments'!$C156="Worth today",'My investments'!$D156,0)</f>
        <v/>
      </c>
      <c r="AE156" s="36">
        <f>IF('My investments'!$H$11="",0,IF('My investments'!$F156='My investments'!$H$11,'My investments'!$E156,0))</f>
        <v/>
      </c>
      <c r="AF156" s="36">
        <f>IF('My investments'!$H$12="",0,IF('My investments'!$F156='My investments'!$H$12,'My investments'!$E156,0))</f>
        <v/>
      </c>
      <c r="AG156" s="36">
        <f>IF('My investments'!$H$13="",0,IF('My investments'!$F156='My investments'!$H$13,'My investments'!$E156,0))</f>
        <v/>
      </c>
      <c r="AH156" s="36">
        <f>IF('My investments'!$H$14="",0,IF('My investments'!$F156='My investments'!$H$14,'My investments'!$E156,0))</f>
        <v/>
      </c>
      <c r="AI156" s="36">
        <f>IF('My investments'!$H$15="",0,IF('My investments'!$F156='My investments'!$H$15,'My investments'!$E156,0))</f>
        <v/>
      </c>
      <c r="AK156" s="36">
        <f>IF('My investments'!$H$11="",0,IF('My investments'!$F156='My investments'!$H$11,$AA156,0))</f>
        <v/>
      </c>
      <c r="AL156" s="36">
        <f>IF('My investments'!$H$12="",0,IF('My investments'!$F156='My investments'!$H$12,$AA156,0))</f>
        <v/>
      </c>
      <c r="AM156" s="36">
        <f>IF('My investments'!$H$13="",0,IF('My investments'!$F156='My investments'!$H$13,$AA156,0))</f>
        <v/>
      </c>
      <c r="AN156" s="36">
        <f>IF('My investments'!$H$14="",0,IF('My investments'!$F156='My investments'!$H$14,$AA156,0))</f>
        <v/>
      </c>
      <c r="AO156" s="36">
        <f>IF('My investments'!$H$15="",0,IF('My investments'!$F156='My investments'!$H$15,$AA156,0))</f>
        <v/>
      </c>
    </row>
    <row r="157" ht="15" customHeight="1" s="30">
      <c r="A157" s="36">
        <f>IF('My investments'!$C157="Worth today",1,0)</f>
        <v/>
      </c>
      <c r="B157" s="36">
        <f>IF('My investments'!$C157="Money in",1,0)</f>
        <v/>
      </c>
      <c r="AA157" s="36">
        <f>IF('My investments'!$C157="Money in",'My investments'!$D157,0)</f>
        <v/>
      </c>
      <c r="AB157" s="36">
        <f>IF('My investments'!$C157="Money out",'My investments'!$D157,0)</f>
        <v/>
      </c>
      <c r="AC157" s="36">
        <f>IF('My investments'!$C157="Worth today",'My investments'!$D157,0)</f>
        <v/>
      </c>
      <c r="AE157" s="36">
        <f>IF('My investments'!$H$11="",0,IF('My investments'!$F157='My investments'!$H$11,'My investments'!$E157,0))</f>
        <v/>
      </c>
      <c r="AF157" s="36">
        <f>IF('My investments'!$H$12="",0,IF('My investments'!$F157='My investments'!$H$12,'My investments'!$E157,0))</f>
        <v/>
      </c>
      <c r="AG157" s="36">
        <f>IF('My investments'!$H$13="",0,IF('My investments'!$F157='My investments'!$H$13,'My investments'!$E157,0))</f>
        <v/>
      </c>
      <c r="AH157" s="36">
        <f>IF('My investments'!$H$14="",0,IF('My investments'!$F157='My investments'!$H$14,'My investments'!$E157,0))</f>
        <v/>
      </c>
      <c r="AI157" s="36">
        <f>IF('My investments'!$H$15="",0,IF('My investments'!$F157='My investments'!$H$15,'My investments'!$E157,0))</f>
        <v/>
      </c>
      <c r="AK157" s="36">
        <f>IF('My investments'!$H$11="",0,IF('My investments'!$F157='My investments'!$H$11,$AA157,0))</f>
        <v/>
      </c>
      <c r="AL157" s="36">
        <f>IF('My investments'!$H$12="",0,IF('My investments'!$F157='My investments'!$H$12,$AA157,0))</f>
        <v/>
      </c>
      <c r="AM157" s="36">
        <f>IF('My investments'!$H$13="",0,IF('My investments'!$F157='My investments'!$H$13,$AA157,0))</f>
        <v/>
      </c>
      <c r="AN157" s="36">
        <f>IF('My investments'!$H$14="",0,IF('My investments'!$F157='My investments'!$H$14,$AA157,0))</f>
        <v/>
      </c>
      <c r="AO157" s="36">
        <f>IF('My investments'!$H$15="",0,IF('My investments'!$F157='My investments'!$H$15,$AA157,0))</f>
        <v/>
      </c>
    </row>
    <row r="158" ht="15" customHeight="1" s="30">
      <c r="A158" s="36">
        <f>IF('My investments'!$C158="Worth today",1,0)</f>
        <v/>
      </c>
      <c r="B158" s="36">
        <f>IF('My investments'!$C158="Money in",1,0)</f>
        <v/>
      </c>
      <c r="AA158" s="36">
        <f>IF('My investments'!$C158="Money in",'My investments'!$D158,0)</f>
        <v/>
      </c>
      <c r="AB158" s="36">
        <f>IF('My investments'!$C158="Money out",'My investments'!$D158,0)</f>
        <v/>
      </c>
      <c r="AC158" s="36">
        <f>IF('My investments'!$C158="Worth today",'My investments'!$D158,0)</f>
        <v/>
      </c>
      <c r="AE158" s="36">
        <f>IF('My investments'!$H$11="",0,IF('My investments'!$F158='My investments'!$H$11,'My investments'!$E158,0))</f>
        <v/>
      </c>
      <c r="AF158" s="36">
        <f>IF('My investments'!$H$12="",0,IF('My investments'!$F158='My investments'!$H$12,'My investments'!$E158,0))</f>
        <v/>
      </c>
      <c r="AG158" s="36">
        <f>IF('My investments'!$H$13="",0,IF('My investments'!$F158='My investments'!$H$13,'My investments'!$E158,0))</f>
        <v/>
      </c>
      <c r="AH158" s="36">
        <f>IF('My investments'!$H$14="",0,IF('My investments'!$F158='My investments'!$H$14,'My investments'!$E158,0))</f>
        <v/>
      </c>
      <c r="AI158" s="36">
        <f>IF('My investments'!$H$15="",0,IF('My investments'!$F158='My investments'!$H$15,'My investments'!$E158,0))</f>
        <v/>
      </c>
      <c r="AK158" s="36">
        <f>IF('My investments'!$H$11="",0,IF('My investments'!$F158='My investments'!$H$11,$AA158,0))</f>
        <v/>
      </c>
      <c r="AL158" s="36">
        <f>IF('My investments'!$H$12="",0,IF('My investments'!$F158='My investments'!$H$12,$AA158,0))</f>
        <v/>
      </c>
      <c r="AM158" s="36">
        <f>IF('My investments'!$H$13="",0,IF('My investments'!$F158='My investments'!$H$13,$AA158,0))</f>
        <v/>
      </c>
      <c r="AN158" s="36">
        <f>IF('My investments'!$H$14="",0,IF('My investments'!$F158='My investments'!$H$14,$AA158,0))</f>
        <v/>
      </c>
      <c r="AO158" s="36">
        <f>IF('My investments'!$H$15="",0,IF('My investments'!$F158='My investments'!$H$15,$AA158,0))</f>
        <v/>
      </c>
    </row>
    <row r="159" ht="15" customHeight="1" s="30">
      <c r="A159" s="36">
        <f>IF('My investments'!$C159="Worth today",1,0)</f>
        <v/>
      </c>
      <c r="B159" s="36">
        <f>IF('My investments'!$C159="Money in",1,0)</f>
        <v/>
      </c>
      <c r="AA159" s="36">
        <f>IF('My investments'!$C159="Money in",'My investments'!$D159,0)</f>
        <v/>
      </c>
      <c r="AB159" s="36">
        <f>IF('My investments'!$C159="Money out",'My investments'!$D159,0)</f>
        <v/>
      </c>
      <c r="AC159" s="36">
        <f>IF('My investments'!$C159="Worth today",'My investments'!$D159,0)</f>
        <v/>
      </c>
      <c r="AE159" s="36">
        <f>IF('My investments'!$H$11="",0,IF('My investments'!$F159='My investments'!$H$11,'My investments'!$E159,0))</f>
        <v/>
      </c>
      <c r="AF159" s="36">
        <f>IF('My investments'!$H$12="",0,IF('My investments'!$F159='My investments'!$H$12,'My investments'!$E159,0))</f>
        <v/>
      </c>
      <c r="AG159" s="36">
        <f>IF('My investments'!$H$13="",0,IF('My investments'!$F159='My investments'!$H$13,'My investments'!$E159,0))</f>
        <v/>
      </c>
      <c r="AH159" s="36">
        <f>IF('My investments'!$H$14="",0,IF('My investments'!$F159='My investments'!$H$14,'My investments'!$E159,0))</f>
        <v/>
      </c>
      <c r="AI159" s="36">
        <f>IF('My investments'!$H$15="",0,IF('My investments'!$F159='My investments'!$H$15,'My investments'!$E159,0))</f>
        <v/>
      </c>
      <c r="AK159" s="36">
        <f>IF('My investments'!$H$11="",0,IF('My investments'!$F159='My investments'!$H$11,$AA159,0))</f>
        <v/>
      </c>
      <c r="AL159" s="36">
        <f>IF('My investments'!$H$12="",0,IF('My investments'!$F159='My investments'!$H$12,$AA159,0))</f>
        <v/>
      </c>
      <c r="AM159" s="36">
        <f>IF('My investments'!$H$13="",0,IF('My investments'!$F159='My investments'!$H$13,$AA159,0))</f>
        <v/>
      </c>
      <c r="AN159" s="36">
        <f>IF('My investments'!$H$14="",0,IF('My investments'!$F159='My investments'!$H$14,$AA159,0))</f>
        <v/>
      </c>
      <c r="AO159" s="36">
        <f>IF('My investments'!$H$15="",0,IF('My investments'!$F159='My investments'!$H$15,$AA159,0))</f>
        <v/>
      </c>
    </row>
    <row r="160" ht="15" customHeight="1" s="30">
      <c r="A160" s="36">
        <f>IF('My investments'!$C160="Worth today",1,0)</f>
        <v/>
      </c>
      <c r="B160" s="36">
        <f>IF('My investments'!$C160="Money in",1,0)</f>
        <v/>
      </c>
      <c r="AA160" s="36">
        <f>IF('My investments'!$C160="Money in",'My investments'!$D160,0)</f>
        <v/>
      </c>
      <c r="AB160" s="36">
        <f>IF('My investments'!$C160="Money out",'My investments'!$D160,0)</f>
        <v/>
      </c>
      <c r="AC160" s="36">
        <f>IF('My investments'!$C160="Worth today",'My investments'!$D160,0)</f>
        <v/>
      </c>
      <c r="AE160" s="36">
        <f>IF('My investments'!$H$11="",0,IF('My investments'!$F160='My investments'!$H$11,'My investments'!$E160,0))</f>
        <v/>
      </c>
      <c r="AF160" s="36">
        <f>IF('My investments'!$H$12="",0,IF('My investments'!$F160='My investments'!$H$12,'My investments'!$E160,0))</f>
        <v/>
      </c>
      <c r="AG160" s="36">
        <f>IF('My investments'!$H$13="",0,IF('My investments'!$F160='My investments'!$H$13,'My investments'!$E160,0))</f>
        <v/>
      </c>
      <c r="AH160" s="36">
        <f>IF('My investments'!$H$14="",0,IF('My investments'!$F160='My investments'!$H$14,'My investments'!$E160,0))</f>
        <v/>
      </c>
      <c r="AI160" s="36">
        <f>IF('My investments'!$H$15="",0,IF('My investments'!$F160='My investments'!$H$15,'My investments'!$E160,0))</f>
        <v/>
      </c>
      <c r="AK160" s="36">
        <f>IF('My investments'!$H$11="",0,IF('My investments'!$F160='My investments'!$H$11,$AA160,0))</f>
        <v/>
      </c>
      <c r="AL160" s="36">
        <f>IF('My investments'!$H$12="",0,IF('My investments'!$F160='My investments'!$H$12,$AA160,0))</f>
        <v/>
      </c>
      <c r="AM160" s="36">
        <f>IF('My investments'!$H$13="",0,IF('My investments'!$F160='My investments'!$H$13,$AA160,0))</f>
        <v/>
      </c>
      <c r="AN160" s="36">
        <f>IF('My investments'!$H$14="",0,IF('My investments'!$F160='My investments'!$H$14,$AA160,0))</f>
        <v/>
      </c>
      <c r="AO160" s="36">
        <f>IF('My investments'!$H$15="",0,IF('My investments'!$F160='My investments'!$H$15,$AA160,0))</f>
        <v/>
      </c>
    </row>
    <row r="161" ht="15" customHeight="1" s="30">
      <c r="A161" s="36">
        <f>IF('My investments'!$C161="Worth today",1,0)</f>
        <v/>
      </c>
      <c r="B161" s="36">
        <f>IF('My investments'!$C161="Money in",1,0)</f>
        <v/>
      </c>
      <c r="AA161" s="36">
        <f>IF('My investments'!$C161="Money in",'My investments'!$D161,0)</f>
        <v/>
      </c>
      <c r="AB161" s="36">
        <f>IF('My investments'!$C161="Money out",'My investments'!$D161,0)</f>
        <v/>
      </c>
      <c r="AC161" s="36">
        <f>IF('My investments'!$C161="Worth today",'My investments'!$D161,0)</f>
        <v/>
      </c>
      <c r="AE161" s="36">
        <f>IF('My investments'!$H$11="",0,IF('My investments'!$F161='My investments'!$H$11,'My investments'!$E161,0))</f>
        <v/>
      </c>
      <c r="AF161" s="36">
        <f>IF('My investments'!$H$12="",0,IF('My investments'!$F161='My investments'!$H$12,'My investments'!$E161,0))</f>
        <v/>
      </c>
      <c r="AG161" s="36">
        <f>IF('My investments'!$H$13="",0,IF('My investments'!$F161='My investments'!$H$13,'My investments'!$E161,0))</f>
        <v/>
      </c>
      <c r="AH161" s="36">
        <f>IF('My investments'!$H$14="",0,IF('My investments'!$F161='My investments'!$H$14,'My investments'!$E161,0))</f>
        <v/>
      </c>
      <c r="AI161" s="36">
        <f>IF('My investments'!$H$15="",0,IF('My investments'!$F161='My investments'!$H$15,'My investments'!$E161,0))</f>
        <v/>
      </c>
      <c r="AK161" s="36">
        <f>IF('My investments'!$H$11="",0,IF('My investments'!$F161='My investments'!$H$11,$AA161,0))</f>
        <v/>
      </c>
      <c r="AL161" s="36">
        <f>IF('My investments'!$H$12="",0,IF('My investments'!$F161='My investments'!$H$12,$AA161,0))</f>
        <v/>
      </c>
      <c r="AM161" s="36">
        <f>IF('My investments'!$H$13="",0,IF('My investments'!$F161='My investments'!$H$13,$AA161,0))</f>
        <v/>
      </c>
      <c r="AN161" s="36">
        <f>IF('My investments'!$H$14="",0,IF('My investments'!$F161='My investments'!$H$14,$AA161,0))</f>
        <v/>
      </c>
      <c r="AO161" s="36">
        <f>IF('My investments'!$H$15="",0,IF('My investments'!$F161='My investments'!$H$15,$AA161,0))</f>
        <v/>
      </c>
    </row>
    <row r="162" ht="15" customHeight="1" s="30">
      <c r="A162" s="36">
        <f>IF('My investments'!$C162="Worth today",1,0)</f>
        <v/>
      </c>
      <c r="B162" s="36">
        <f>IF('My investments'!$C162="Money in",1,0)</f>
        <v/>
      </c>
      <c r="AA162" s="36">
        <f>IF('My investments'!$C162="Money in",'My investments'!$D162,0)</f>
        <v/>
      </c>
      <c r="AB162" s="36">
        <f>IF('My investments'!$C162="Money out",'My investments'!$D162,0)</f>
        <v/>
      </c>
      <c r="AC162" s="36">
        <f>IF('My investments'!$C162="Worth today",'My investments'!$D162,0)</f>
        <v/>
      </c>
      <c r="AE162" s="36">
        <f>IF('My investments'!$H$11="",0,IF('My investments'!$F162='My investments'!$H$11,'My investments'!$E162,0))</f>
        <v/>
      </c>
      <c r="AF162" s="36">
        <f>IF('My investments'!$H$12="",0,IF('My investments'!$F162='My investments'!$H$12,'My investments'!$E162,0))</f>
        <v/>
      </c>
      <c r="AG162" s="36">
        <f>IF('My investments'!$H$13="",0,IF('My investments'!$F162='My investments'!$H$13,'My investments'!$E162,0))</f>
        <v/>
      </c>
      <c r="AH162" s="36">
        <f>IF('My investments'!$H$14="",0,IF('My investments'!$F162='My investments'!$H$14,'My investments'!$E162,0))</f>
        <v/>
      </c>
      <c r="AI162" s="36">
        <f>IF('My investments'!$H$15="",0,IF('My investments'!$F162='My investments'!$H$15,'My investments'!$E162,0))</f>
        <v/>
      </c>
      <c r="AK162" s="36">
        <f>IF('My investments'!$H$11="",0,IF('My investments'!$F162='My investments'!$H$11,$AA162,0))</f>
        <v/>
      </c>
      <c r="AL162" s="36">
        <f>IF('My investments'!$H$12="",0,IF('My investments'!$F162='My investments'!$H$12,$AA162,0))</f>
        <v/>
      </c>
      <c r="AM162" s="36">
        <f>IF('My investments'!$H$13="",0,IF('My investments'!$F162='My investments'!$H$13,$AA162,0))</f>
        <v/>
      </c>
      <c r="AN162" s="36">
        <f>IF('My investments'!$H$14="",0,IF('My investments'!$F162='My investments'!$H$14,$AA162,0))</f>
        <v/>
      </c>
      <c r="AO162" s="36">
        <f>IF('My investments'!$H$15="",0,IF('My investments'!$F162='My investments'!$H$15,$AA162,0))</f>
        <v/>
      </c>
    </row>
    <row r="163" ht="15" customHeight="1" s="30">
      <c r="A163" s="36">
        <f>IF('My investments'!$C163="Worth today",1,0)</f>
        <v/>
      </c>
      <c r="B163" s="36">
        <f>IF('My investments'!$C163="Money in",1,0)</f>
        <v/>
      </c>
      <c r="AA163" s="36">
        <f>IF('My investments'!$C163="Money in",'My investments'!$D163,0)</f>
        <v/>
      </c>
      <c r="AB163" s="36">
        <f>IF('My investments'!$C163="Money out",'My investments'!$D163,0)</f>
        <v/>
      </c>
      <c r="AC163" s="36">
        <f>IF('My investments'!$C163="Worth today",'My investments'!$D163,0)</f>
        <v/>
      </c>
      <c r="AE163" s="36">
        <f>IF('My investments'!$H$11="",0,IF('My investments'!$F163='My investments'!$H$11,'My investments'!$E163,0))</f>
        <v/>
      </c>
      <c r="AF163" s="36">
        <f>IF('My investments'!$H$12="",0,IF('My investments'!$F163='My investments'!$H$12,'My investments'!$E163,0))</f>
        <v/>
      </c>
      <c r="AG163" s="36">
        <f>IF('My investments'!$H$13="",0,IF('My investments'!$F163='My investments'!$H$13,'My investments'!$E163,0))</f>
        <v/>
      </c>
      <c r="AH163" s="36">
        <f>IF('My investments'!$H$14="",0,IF('My investments'!$F163='My investments'!$H$14,'My investments'!$E163,0))</f>
        <v/>
      </c>
      <c r="AI163" s="36">
        <f>IF('My investments'!$H$15="",0,IF('My investments'!$F163='My investments'!$H$15,'My investments'!$E163,0))</f>
        <v/>
      </c>
      <c r="AK163" s="36">
        <f>IF('My investments'!$H$11="",0,IF('My investments'!$F163='My investments'!$H$11,$AA163,0))</f>
        <v/>
      </c>
      <c r="AL163" s="36">
        <f>IF('My investments'!$H$12="",0,IF('My investments'!$F163='My investments'!$H$12,$AA163,0))</f>
        <v/>
      </c>
      <c r="AM163" s="36">
        <f>IF('My investments'!$H$13="",0,IF('My investments'!$F163='My investments'!$H$13,$AA163,0))</f>
        <v/>
      </c>
      <c r="AN163" s="36">
        <f>IF('My investments'!$H$14="",0,IF('My investments'!$F163='My investments'!$H$14,$AA163,0))</f>
        <v/>
      </c>
      <c r="AO163" s="36">
        <f>IF('My investments'!$H$15="",0,IF('My investments'!$F163='My investments'!$H$15,$AA163,0))</f>
        <v/>
      </c>
    </row>
    <row r="164" ht="15" customHeight="1" s="30">
      <c r="A164" s="36">
        <f>IF('My investments'!$C164="Worth today",1,0)</f>
        <v/>
      </c>
      <c r="B164" s="36">
        <f>IF('My investments'!$C164="Money in",1,0)</f>
        <v/>
      </c>
      <c r="AA164" s="36">
        <f>IF('My investments'!$C164="Money in",'My investments'!$D164,0)</f>
        <v/>
      </c>
      <c r="AB164" s="36">
        <f>IF('My investments'!$C164="Money out",'My investments'!$D164,0)</f>
        <v/>
      </c>
      <c r="AC164" s="36">
        <f>IF('My investments'!$C164="Worth today",'My investments'!$D164,0)</f>
        <v/>
      </c>
      <c r="AE164" s="36">
        <f>IF('My investments'!$H$11="",0,IF('My investments'!$F164='My investments'!$H$11,'My investments'!$E164,0))</f>
        <v/>
      </c>
      <c r="AF164" s="36">
        <f>IF('My investments'!$H$12="",0,IF('My investments'!$F164='My investments'!$H$12,'My investments'!$E164,0))</f>
        <v/>
      </c>
      <c r="AG164" s="36">
        <f>IF('My investments'!$H$13="",0,IF('My investments'!$F164='My investments'!$H$13,'My investments'!$E164,0))</f>
        <v/>
      </c>
      <c r="AH164" s="36">
        <f>IF('My investments'!$H$14="",0,IF('My investments'!$F164='My investments'!$H$14,'My investments'!$E164,0))</f>
        <v/>
      </c>
      <c r="AI164" s="36">
        <f>IF('My investments'!$H$15="",0,IF('My investments'!$F164='My investments'!$H$15,'My investments'!$E164,0))</f>
        <v/>
      </c>
      <c r="AK164" s="36">
        <f>IF('My investments'!$H$11="",0,IF('My investments'!$F164='My investments'!$H$11,$AA164,0))</f>
        <v/>
      </c>
      <c r="AL164" s="36">
        <f>IF('My investments'!$H$12="",0,IF('My investments'!$F164='My investments'!$H$12,$AA164,0))</f>
        <v/>
      </c>
      <c r="AM164" s="36">
        <f>IF('My investments'!$H$13="",0,IF('My investments'!$F164='My investments'!$H$13,$AA164,0))</f>
        <v/>
      </c>
      <c r="AN164" s="36">
        <f>IF('My investments'!$H$14="",0,IF('My investments'!$F164='My investments'!$H$14,$AA164,0))</f>
        <v/>
      </c>
      <c r="AO164" s="36">
        <f>IF('My investments'!$H$15="",0,IF('My investments'!$F164='My investments'!$H$15,$AA164,0))</f>
        <v/>
      </c>
    </row>
    <row r="165" ht="15" customHeight="1" s="30">
      <c r="A165" s="36">
        <f>IF('My investments'!$C165="Worth today",1,0)</f>
        <v/>
      </c>
      <c r="B165" s="36">
        <f>IF('My investments'!$C165="Money in",1,0)</f>
        <v/>
      </c>
      <c r="AA165" s="36">
        <f>IF('My investments'!$C165="Money in",'My investments'!$D165,0)</f>
        <v/>
      </c>
      <c r="AB165" s="36">
        <f>IF('My investments'!$C165="Money out",'My investments'!$D165,0)</f>
        <v/>
      </c>
      <c r="AC165" s="36">
        <f>IF('My investments'!$C165="Worth today",'My investments'!$D165,0)</f>
        <v/>
      </c>
      <c r="AE165" s="36">
        <f>IF('My investments'!$H$11="",0,IF('My investments'!$F165='My investments'!$H$11,'My investments'!$E165,0))</f>
        <v/>
      </c>
      <c r="AF165" s="36">
        <f>IF('My investments'!$H$12="",0,IF('My investments'!$F165='My investments'!$H$12,'My investments'!$E165,0))</f>
        <v/>
      </c>
      <c r="AG165" s="36">
        <f>IF('My investments'!$H$13="",0,IF('My investments'!$F165='My investments'!$H$13,'My investments'!$E165,0))</f>
        <v/>
      </c>
      <c r="AH165" s="36">
        <f>IF('My investments'!$H$14="",0,IF('My investments'!$F165='My investments'!$H$14,'My investments'!$E165,0))</f>
        <v/>
      </c>
      <c r="AI165" s="36">
        <f>IF('My investments'!$H$15="",0,IF('My investments'!$F165='My investments'!$H$15,'My investments'!$E165,0))</f>
        <v/>
      </c>
      <c r="AK165" s="36">
        <f>IF('My investments'!$H$11="",0,IF('My investments'!$F165='My investments'!$H$11,$AA165,0))</f>
        <v/>
      </c>
      <c r="AL165" s="36">
        <f>IF('My investments'!$H$12="",0,IF('My investments'!$F165='My investments'!$H$12,$AA165,0))</f>
        <v/>
      </c>
      <c r="AM165" s="36">
        <f>IF('My investments'!$H$13="",0,IF('My investments'!$F165='My investments'!$H$13,$AA165,0))</f>
        <v/>
      </c>
      <c r="AN165" s="36">
        <f>IF('My investments'!$H$14="",0,IF('My investments'!$F165='My investments'!$H$14,$AA165,0))</f>
        <v/>
      </c>
      <c r="AO165" s="36">
        <f>IF('My investments'!$H$15="",0,IF('My investments'!$F165='My investments'!$H$15,$AA165,0))</f>
        <v/>
      </c>
    </row>
    <row r="166" ht="15" customHeight="1" s="30">
      <c r="A166" s="36">
        <f>IF('My investments'!$C166="Worth today",1,0)</f>
        <v/>
      </c>
      <c r="B166" s="36">
        <f>IF('My investments'!$C166="Money in",1,0)</f>
        <v/>
      </c>
      <c r="AA166" s="36">
        <f>IF('My investments'!$C166="Money in",'My investments'!$D166,0)</f>
        <v/>
      </c>
      <c r="AB166" s="36">
        <f>IF('My investments'!$C166="Money out",'My investments'!$D166,0)</f>
        <v/>
      </c>
      <c r="AC166" s="36">
        <f>IF('My investments'!$C166="Worth today",'My investments'!$D166,0)</f>
        <v/>
      </c>
      <c r="AE166" s="36">
        <f>IF('My investments'!$H$11="",0,IF('My investments'!$F166='My investments'!$H$11,'My investments'!$E166,0))</f>
        <v/>
      </c>
      <c r="AF166" s="36">
        <f>IF('My investments'!$H$12="",0,IF('My investments'!$F166='My investments'!$H$12,'My investments'!$E166,0))</f>
        <v/>
      </c>
      <c r="AG166" s="36">
        <f>IF('My investments'!$H$13="",0,IF('My investments'!$F166='My investments'!$H$13,'My investments'!$E166,0))</f>
        <v/>
      </c>
      <c r="AH166" s="36">
        <f>IF('My investments'!$H$14="",0,IF('My investments'!$F166='My investments'!$H$14,'My investments'!$E166,0))</f>
        <v/>
      </c>
      <c r="AI166" s="36">
        <f>IF('My investments'!$H$15="",0,IF('My investments'!$F166='My investments'!$H$15,'My investments'!$E166,0))</f>
        <v/>
      </c>
      <c r="AK166" s="36">
        <f>IF('My investments'!$H$11="",0,IF('My investments'!$F166='My investments'!$H$11,$AA166,0))</f>
        <v/>
      </c>
      <c r="AL166" s="36">
        <f>IF('My investments'!$H$12="",0,IF('My investments'!$F166='My investments'!$H$12,$AA166,0))</f>
        <v/>
      </c>
      <c r="AM166" s="36">
        <f>IF('My investments'!$H$13="",0,IF('My investments'!$F166='My investments'!$H$13,$AA166,0))</f>
        <v/>
      </c>
      <c r="AN166" s="36">
        <f>IF('My investments'!$H$14="",0,IF('My investments'!$F166='My investments'!$H$14,$AA166,0))</f>
        <v/>
      </c>
      <c r="AO166" s="36">
        <f>IF('My investments'!$H$15="",0,IF('My investments'!$F166='My investments'!$H$15,$AA166,0))</f>
        <v/>
      </c>
    </row>
    <row r="167" ht="15" customHeight="1" s="30">
      <c r="A167" s="36">
        <f>IF('My investments'!$C167="Worth today",1,0)</f>
        <v/>
      </c>
      <c r="B167" s="36">
        <f>IF('My investments'!$C167="Money in",1,0)</f>
        <v/>
      </c>
      <c r="AA167" s="36">
        <f>IF('My investments'!$C167="Money in",'My investments'!$D167,0)</f>
        <v/>
      </c>
      <c r="AB167" s="36">
        <f>IF('My investments'!$C167="Money out",'My investments'!$D167,0)</f>
        <v/>
      </c>
      <c r="AC167" s="36">
        <f>IF('My investments'!$C167="Worth today",'My investments'!$D167,0)</f>
        <v/>
      </c>
      <c r="AE167" s="36">
        <f>IF('My investments'!$H$11="",0,IF('My investments'!$F167='My investments'!$H$11,'My investments'!$E167,0))</f>
        <v/>
      </c>
      <c r="AF167" s="36">
        <f>IF('My investments'!$H$12="",0,IF('My investments'!$F167='My investments'!$H$12,'My investments'!$E167,0))</f>
        <v/>
      </c>
      <c r="AG167" s="36">
        <f>IF('My investments'!$H$13="",0,IF('My investments'!$F167='My investments'!$H$13,'My investments'!$E167,0))</f>
        <v/>
      </c>
      <c r="AH167" s="36">
        <f>IF('My investments'!$H$14="",0,IF('My investments'!$F167='My investments'!$H$14,'My investments'!$E167,0))</f>
        <v/>
      </c>
      <c r="AI167" s="36">
        <f>IF('My investments'!$H$15="",0,IF('My investments'!$F167='My investments'!$H$15,'My investments'!$E167,0))</f>
        <v/>
      </c>
      <c r="AK167" s="36">
        <f>IF('My investments'!$H$11="",0,IF('My investments'!$F167='My investments'!$H$11,$AA167,0))</f>
        <v/>
      </c>
      <c r="AL167" s="36">
        <f>IF('My investments'!$H$12="",0,IF('My investments'!$F167='My investments'!$H$12,$AA167,0))</f>
        <v/>
      </c>
      <c r="AM167" s="36">
        <f>IF('My investments'!$H$13="",0,IF('My investments'!$F167='My investments'!$H$13,$AA167,0))</f>
        <v/>
      </c>
      <c r="AN167" s="36">
        <f>IF('My investments'!$H$14="",0,IF('My investments'!$F167='My investments'!$H$14,$AA167,0))</f>
        <v/>
      </c>
      <c r="AO167" s="36">
        <f>IF('My investments'!$H$15="",0,IF('My investments'!$F167='My investments'!$H$15,$AA167,0))</f>
        <v/>
      </c>
    </row>
    <row r="168" ht="15" customHeight="1" s="30">
      <c r="A168" s="36">
        <f>IF('My investments'!$C168="Worth today",1,0)</f>
        <v/>
      </c>
      <c r="B168" s="36">
        <f>IF('My investments'!$C168="Money in",1,0)</f>
        <v/>
      </c>
      <c r="AA168" s="36">
        <f>IF('My investments'!$C168="Money in",'My investments'!$D168,0)</f>
        <v/>
      </c>
      <c r="AB168" s="36">
        <f>IF('My investments'!$C168="Money out",'My investments'!$D168,0)</f>
        <v/>
      </c>
      <c r="AC168" s="36">
        <f>IF('My investments'!$C168="Worth today",'My investments'!$D168,0)</f>
        <v/>
      </c>
      <c r="AE168" s="36">
        <f>IF('My investments'!$H$11="",0,IF('My investments'!$F168='My investments'!$H$11,'My investments'!$E168,0))</f>
        <v/>
      </c>
      <c r="AF168" s="36">
        <f>IF('My investments'!$H$12="",0,IF('My investments'!$F168='My investments'!$H$12,'My investments'!$E168,0))</f>
        <v/>
      </c>
      <c r="AG168" s="36">
        <f>IF('My investments'!$H$13="",0,IF('My investments'!$F168='My investments'!$H$13,'My investments'!$E168,0))</f>
        <v/>
      </c>
      <c r="AH168" s="36">
        <f>IF('My investments'!$H$14="",0,IF('My investments'!$F168='My investments'!$H$14,'My investments'!$E168,0))</f>
        <v/>
      </c>
      <c r="AI168" s="36">
        <f>IF('My investments'!$H$15="",0,IF('My investments'!$F168='My investments'!$H$15,'My investments'!$E168,0))</f>
        <v/>
      </c>
      <c r="AK168" s="36">
        <f>IF('My investments'!$H$11="",0,IF('My investments'!$F168='My investments'!$H$11,$AA168,0))</f>
        <v/>
      </c>
      <c r="AL168" s="36">
        <f>IF('My investments'!$H$12="",0,IF('My investments'!$F168='My investments'!$H$12,$AA168,0))</f>
        <v/>
      </c>
      <c r="AM168" s="36">
        <f>IF('My investments'!$H$13="",0,IF('My investments'!$F168='My investments'!$H$13,$AA168,0))</f>
        <v/>
      </c>
      <c r="AN168" s="36">
        <f>IF('My investments'!$H$14="",0,IF('My investments'!$F168='My investments'!$H$14,$AA168,0))</f>
        <v/>
      </c>
      <c r="AO168" s="36">
        <f>IF('My investments'!$H$15="",0,IF('My investments'!$F168='My investments'!$H$15,$AA168,0))</f>
        <v/>
      </c>
    </row>
    <row r="169" ht="15" customHeight="1" s="30">
      <c r="A169" s="36">
        <f>IF('My investments'!$C169="Worth today",1,0)</f>
        <v/>
      </c>
      <c r="B169" s="36">
        <f>IF('My investments'!$C169="Money in",1,0)</f>
        <v/>
      </c>
      <c r="AA169" s="36">
        <f>IF('My investments'!$C169="Money in",'My investments'!$D169,0)</f>
        <v/>
      </c>
      <c r="AB169" s="36">
        <f>IF('My investments'!$C169="Money out",'My investments'!$D169,0)</f>
        <v/>
      </c>
      <c r="AC169" s="36">
        <f>IF('My investments'!$C169="Worth today",'My investments'!$D169,0)</f>
        <v/>
      </c>
      <c r="AE169" s="36">
        <f>IF('My investments'!$H$11="",0,IF('My investments'!$F169='My investments'!$H$11,'My investments'!$E169,0))</f>
        <v/>
      </c>
      <c r="AF169" s="36">
        <f>IF('My investments'!$H$12="",0,IF('My investments'!$F169='My investments'!$H$12,'My investments'!$E169,0))</f>
        <v/>
      </c>
      <c r="AG169" s="36">
        <f>IF('My investments'!$H$13="",0,IF('My investments'!$F169='My investments'!$H$13,'My investments'!$E169,0))</f>
        <v/>
      </c>
      <c r="AH169" s="36">
        <f>IF('My investments'!$H$14="",0,IF('My investments'!$F169='My investments'!$H$14,'My investments'!$E169,0))</f>
        <v/>
      </c>
      <c r="AI169" s="36">
        <f>IF('My investments'!$H$15="",0,IF('My investments'!$F169='My investments'!$H$15,'My investments'!$E169,0))</f>
        <v/>
      </c>
      <c r="AK169" s="36">
        <f>IF('My investments'!$H$11="",0,IF('My investments'!$F169='My investments'!$H$11,$AA169,0))</f>
        <v/>
      </c>
      <c r="AL169" s="36">
        <f>IF('My investments'!$H$12="",0,IF('My investments'!$F169='My investments'!$H$12,$AA169,0))</f>
        <v/>
      </c>
      <c r="AM169" s="36">
        <f>IF('My investments'!$H$13="",0,IF('My investments'!$F169='My investments'!$H$13,$AA169,0))</f>
        <v/>
      </c>
      <c r="AN169" s="36">
        <f>IF('My investments'!$H$14="",0,IF('My investments'!$F169='My investments'!$H$14,$AA169,0))</f>
        <v/>
      </c>
      <c r="AO169" s="36">
        <f>IF('My investments'!$H$15="",0,IF('My investments'!$F169='My investments'!$H$15,$AA169,0))</f>
        <v/>
      </c>
    </row>
    <row r="170" ht="15" customHeight="1" s="30">
      <c r="A170" s="36">
        <f>IF('My investments'!$C170="Worth today",1,0)</f>
        <v/>
      </c>
      <c r="B170" s="36">
        <f>IF('My investments'!$C170="Money in",1,0)</f>
        <v/>
      </c>
      <c r="AA170" s="36">
        <f>IF('My investments'!$C170="Money in",'My investments'!$D170,0)</f>
        <v/>
      </c>
      <c r="AB170" s="36">
        <f>IF('My investments'!$C170="Money out",'My investments'!$D170,0)</f>
        <v/>
      </c>
      <c r="AC170" s="36">
        <f>IF('My investments'!$C170="Worth today",'My investments'!$D170,0)</f>
        <v/>
      </c>
      <c r="AE170" s="36">
        <f>IF('My investments'!$H$11="",0,IF('My investments'!$F170='My investments'!$H$11,'My investments'!$E170,0))</f>
        <v/>
      </c>
      <c r="AF170" s="36">
        <f>IF('My investments'!$H$12="",0,IF('My investments'!$F170='My investments'!$H$12,'My investments'!$E170,0))</f>
        <v/>
      </c>
      <c r="AG170" s="36">
        <f>IF('My investments'!$H$13="",0,IF('My investments'!$F170='My investments'!$H$13,'My investments'!$E170,0))</f>
        <v/>
      </c>
      <c r="AH170" s="36">
        <f>IF('My investments'!$H$14="",0,IF('My investments'!$F170='My investments'!$H$14,'My investments'!$E170,0))</f>
        <v/>
      </c>
      <c r="AI170" s="36">
        <f>IF('My investments'!$H$15="",0,IF('My investments'!$F170='My investments'!$H$15,'My investments'!$E170,0))</f>
        <v/>
      </c>
      <c r="AK170" s="36">
        <f>IF('My investments'!$H$11="",0,IF('My investments'!$F170='My investments'!$H$11,$AA170,0))</f>
        <v/>
      </c>
      <c r="AL170" s="36">
        <f>IF('My investments'!$H$12="",0,IF('My investments'!$F170='My investments'!$H$12,$AA170,0))</f>
        <v/>
      </c>
      <c r="AM170" s="36">
        <f>IF('My investments'!$H$13="",0,IF('My investments'!$F170='My investments'!$H$13,$AA170,0))</f>
        <v/>
      </c>
      <c r="AN170" s="36">
        <f>IF('My investments'!$H$14="",0,IF('My investments'!$F170='My investments'!$H$14,$AA170,0))</f>
        <v/>
      </c>
      <c r="AO170" s="36">
        <f>IF('My investments'!$H$15="",0,IF('My investments'!$F170='My investments'!$H$15,$AA170,0))</f>
        <v/>
      </c>
    </row>
    <row r="171" ht="15" customHeight="1" s="30">
      <c r="A171" s="36">
        <f>IF('My investments'!$C171="Worth today",1,0)</f>
        <v/>
      </c>
      <c r="B171" s="36">
        <f>IF('My investments'!$C171="Money in",1,0)</f>
        <v/>
      </c>
      <c r="AA171" s="36">
        <f>IF('My investments'!$C171="Money in",'My investments'!$D171,0)</f>
        <v/>
      </c>
      <c r="AB171" s="36">
        <f>IF('My investments'!$C171="Money out",'My investments'!$D171,0)</f>
        <v/>
      </c>
      <c r="AC171" s="36">
        <f>IF('My investments'!$C171="Worth today",'My investments'!$D171,0)</f>
        <v/>
      </c>
      <c r="AE171" s="36">
        <f>IF('My investments'!$H$11="",0,IF('My investments'!$F171='My investments'!$H$11,'My investments'!$E171,0))</f>
        <v/>
      </c>
      <c r="AF171" s="36">
        <f>IF('My investments'!$H$12="",0,IF('My investments'!$F171='My investments'!$H$12,'My investments'!$E171,0))</f>
        <v/>
      </c>
      <c r="AG171" s="36">
        <f>IF('My investments'!$H$13="",0,IF('My investments'!$F171='My investments'!$H$13,'My investments'!$E171,0))</f>
        <v/>
      </c>
      <c r="AH171" s="36">
        <f>IF('My investments'!$H$14="",0,IF('My investments'!$F171='My investments'!$H$14,'My investments'!$E171,0))</f>
        <v/>
      </c>
      <c r="AI171" s="36">
        <f>IF('My investments'!$H$15="",0,IF('My investments'!$F171='My investments'!$H$15,'My investments'!$E171,0))</f>
        <v/>
      </c>
      <c r="AK171" s="36">
        <f>IF('My investments'!$H$11="",0,IF('My investments'!$F171='My investments'!$H$11,$AA171,0))</f>
        <v/>
      </c>
      <c r="AL171" s="36">
        <f>IF('My investments'!$H$12="",0,IF('My investments'!$F171='My investments'!$H$12,$AA171,0))</f>
        <v/>
      </c>
      <c r="AM171" s="36">
        <f>IF('My investments'!$H$13="",0,IF('My investments'!$F171='My investments'!$H$13,$AA171,0))</f>
        <v/>
      </c>
      <c r="AN171" s="36">
        <f>IF('My investments'!$H$14="",0,IF('My investments'!$F171='My investments'!$H$14,$AA171,0))</f>
        <v/>
      </c>
      <c r="AO171" s="36">
        <f>IF('My investments'!$H$15="",0,IF('My investments'!$F171='My investments'!$H$15,$AA171,0))</f>
        <v/>
      </c>
    </row>
    <row r="172" ht="15" customHeight="1" s="30">
      <c r="A172" s="36">
        <f>IF('My investments'!$C172="Worth today",1,0)</f>
        <v/>
      </c>
      <c r="B172" s="36">
        <f>IF('My investments'!$C172="Money in",1,0)</f>
        <v/>
      </c>
      <c r="AA172" s="36">
        <f>IF('My investments'!$C172="Money in",'My investments'!$D172,0)</f>
        <v/>
      </c>
      <c r="AB172" s="36">
        <f>IF('My investments'!$C172="Money out",'My investments'!$D172,0)</f>
        <v/>
      </c>
      <c r="AC172" s="36">
        <f>IF('My investments'!$C172="Worth today",'My investments'!$D172,0)</f>
        <v/>
      </c>
      <c r="AE172" s="36">
        <f>IF('My investments'!$H$11="",0,IF('My investments'!$F172='My investments'!$H$11,'My investments'!$E172,0))</f>
        <v/>
      </c>
      <c r="AF172" s="36">
        <f>IF('My investments'!$H$12="",0,IF('My investments'!$F172='My investments'!$H$12,'My investments'!$E172,0))</f>
        <v/>
      </c>
      <c r="AG172" s="36">
        <f>IF('My investments'!$H$13="",0,IF('My investments'!$F172='My investments'!$H$13,'My investments'!$E172,0))</f>
        <v/>
      </c>
      <c r="AH172" s="36">
        <f>IF('My investments'!$H$14="",0,IF('My investments'!$F172='My investments'!$H$14,'My investments'!$E172,0))</f>
        <v/>
      </c>
      <c r="AI172" s="36">
        <f>IF('My investments'!$H$15="",0,IF('My investments'!$F172='My investments'!$H$15,'My investments'!$E172,0))</f>
        <v/>
      </c>
      <c r="AK172" s="36">
        <f>IF('My investments'!$H$11="",0,IF('My investments'!$F172='My investments'!$H$11,$AA172,0))</f>
        <v/>
      </c>
      <c r="AL172" s="36">
        <f>IF('My investments'!$H$12="",0,IF('My investments'!$F172='My investments'!$H$12,$AA172,0))</f>
        <v/>
      </c>
      <c r="AM172" s="36">
        <f>IF('My investments'!$H$13="",0,IF('My investments'!$F172='My investments'!$H$13,$AA172,0))</f>
        <v/>
      </c>
      <c r="AN172" s="36">
        <f>IF('My investments'!$H$14="",0,IF('My investments'!$F172='My investments'!$H$14,$AA172,0))</f>
        <v/>
      </c>
      <c r="AO172" s="36">
        <f>IF('My investments'!$H$15="",0,IF('My investments'!$F172='My investments'!$H$15,$AA172,0))</f>
        <v/>
      </c>
    </row>
    <row r="173" ht="15" customHeight="1" s="30">
      <c r="A173" s="36">
        <f>IF('My investments'!$C173="Worth today",1,0)</f>
        <v/>
      </c>
      <c r="B173" s="36">
        <f>IF('My investments'!$C173="Money in",1,0)</f>
        <v/>
      </c>
      <c r="AA173" s="36">
        <f>IF('My investments'!$C173="Money in",'My investments'!$D173,0)</f>
        <v/>
      </c>
      <c r="AB173" s="36">
        <f>IF('My investments'!$C173="Money out",'My investments'!$D173,0)</f>
        <v/>
      </c>
      <c r="AC173" s="36">
        <f>IF('My investments'!$C173="Worth today",'My investments'!$D173,0)</f>
        <v/>
      </c>
      <c r="AE173" s="36">
        <f>IF('My investments'!$H$11="",0,IF('My investments'!$F173='My investments'!$H$11,'My investments'!$E173,0))</f>
        <v/>
      </c>
      <c r="AF173" s="36">
        <f>IF('My investments'!$H$12="",0,IF('My investments'!$F173='My investments'!$H$12,'My investments'!$E173,0))</f>
        <v/>
      </c>
      <c r="AG173" s="36">
        <f>IF('My investments'!$H$13="",0,IF('My investments'!$F173='My investments'!$H$13,'My investments'!$E173,0))</f>
        <v/>
      </c>
      <c r="AH173" s="36">
        <f>IF('My investments'!$H$14="",0,IF('My investments'!$F173='My investments'!$H$14,'My investments'!$E173,0))</f>
        <v/>
      </c>
      <c r="AI173" s="36">
        <f>IF('My investments'!$H$15="",0,IF('My investments'!$F173='My investments'!$H$15,'My investments'!$E173,0))</f>
        <v/>
      </c>
      <c r="AK173" s="36">
        <f>IF('My investments'!$H$11="",0,IF('My investments'!$F173='My investments'!$H$11,$AA173,0))</f>
        <v/>
      </c>
      <c r="AL173" s="36">
        <f>IF('My investments'!$H$12="",0,IF('My investments'!$F173='My investments'!$H$12,$AA173,0))</f>
        <v/>
      </c>
      <c r="AM173" s="36">
        <f>IF('My investments'!$H$13="",0,IF('My investments'!$F173='My investments'!$H$13,$AA173,0))</f>
        <v/>
      </c>
      <c r="AN173" s="36">
        <f>IF('My investments'!$H$14="",0,IF('My investments'!$F173='My investments'!$H$14,$AA173,0))</f>
        <v/>
      </c>
      <c r="AO173" s="36">
        <f>IF('My investments'!$H$15="",0,IF('My investments'!$F173='My investments'!$H$15,$AA173,0))</f>
        <v/>
      </c>
    </row>
    <row r="174" ht="15" customHeight="1" s="30">
      <c r="A174" s="36">
        <f>IF('My investments'!$C174="Worth today",1,0)</f>
        <v/>
      </c>
      <c r="B174" s="36">
        <f>IF('My investments'!$C174="Money in",1,0)</f>
        <v/>
      </c>
      <c r="AA174" s="36">
        <f>IF('My investments'!$C174="Money in",'My investments'!$D174,0)</f>
        <v/>
      </c>
      <c r="AB174" s="36">
        <f>IF('My investments'!$C174="Money out",'My investments'!$D174,0)</f>
        <v/>
      </c>
      <c r="AC174" s="36">
        <f>IF('My investments'!$C174="Worth today",'My investments'!$D174,0)</f>
        <v/>
      </c>
      <c r="AE174" s="36">
        <f>IF('My investments'!$H$11="",0,IF('My investments'!$F174='My investments'!$H$11,'My investments'!$E174,0))</f>
        <v/>
      </c>
      <c r="AF174" s="36">
        <f>IF('My investments'!$H$12="",0,IF('My investments'!$F174='My investments'!$H$12,'My investments'!$E174,0))</f>
        <v/>
      </c>
      <c r="AG174" s="36">
        <f>IF('My investments'!$H$13="",0,IF('My investments'!$F174='My investments'!$H$13,'My investments'!$E174,0))</f>
        <v/>
      </c>
      <c r="AH174" s="36">
        <f>IF('My investments'!$H$14="",0,IF('My investments'!$F174='My investments'!$H$14,'My investments'!$E174,0))</f>
        <v/>
      </c>
      <c r="AI174" s="36">
        <f>IF('My investments'!$H$15="",0,IF('My investments'!$F174='My investments'!$H$15,'My investments'!$E174,0))</f>
        <v/>
      </c>
      <c r="AK174" s="36">
        <f>IF('My investments'!$H$11="",0,IF('My investments'!$F174='My investments'!$H$11,$AA174,0))</f>
        <v/>
      </c>
      <c r="AL174" s="36">
        <f>IF('My investments'!$H$12="",0,IF('My investments'!$F174='My investments'!$H$12,$AA174,0))</f>
        <v/>
      </c>
      <c r="AM174" s="36">
        <f>IF('My investments'!$H$13="",0,IF('My investments'!$F174='My investments'!$H$13,$AA174,0))</f>
        <v/>
      </c>
      <c r="AN174" s="36">
        <f>IF('My investments'!$H$14="",0,IF('My investments'!$F174='My investments'!$H$14,$AA174,0))</f>
        <v/>
      </c>
      <c r="AO174" s="36">
        <f>IF('My investments'!$H$15="",0,IF('My investments'!$F174='My investments'!$H$15,$AA174,0))</f>
        <v/>
      </c>
    </row>
    <row r="175" ht="15" customHeight="1" s="30">
      <c r="A175" s="36">
        <f>IF('My investments'!$C175="Worth today",1,0)</f>
        <v/>
      </c>
      <c r="B175" s="36">
        <f>IF('My investments'!$C175="Money in",1,0)</f>
        <v/>
      </c>
      <c r="AA175" s="36">
        <f>IF('My investments'!$C175="Money in",'My investments'!$D175,0)</f>
        <v/>
      </c>
      <c r="AB175" s="36">
        <f>IF('My investments'!$C175="Money out",'My investments'!$D175,0)</f>
        <v/>
      </c>
      <c r="AC175" s="36">
        <f>IF('My investments'!$C175="Worth today",'My investments'!$D175,0)</f>
        <v/>
      </c>
      <c r="AE175" s="36">
        <f>IF('My investments'!$H$11="",0,IF('My investments'!$F175='My investments'!$H$11,'My investments'!$E175,0))</f>
        <v/>
      </c>
      <c r="AF175" s="36">
        <f>IF('My investments'!$H$12="",0,IF('My investments'!$F175='My investments'!$H$12,'My investments'!$E175,0))</f>
        <v/>
      </c>
      <c r="AG175" s="36">
        <f>IF('My investments'!$H$13="",0,IF('My investments'!$F175='My investments'!$H$13,'My investments'!$E175,0))</f>
        <v/>
      </c>
      <c r="AH175" s="36">
        <f>IF('My investments'!$H$14="",0,IF('My investments'!$F175='My investments'!$H$14,'My investments'!$E175,0))</f>
        <v/>
      </c>
      <c r="AI175" s="36">
        <f>IF('My investments'!$H$15="",0,IF('My investments'!$F175='My investments'!$H$15,'My investments'!$E175,0))</f>
        <v/>
      </c>
      <c r="AK175" s="36">
        <f>IF('My investments'!$H$11="",0,IF('My investments'!$F175='My investments'!$H$11,$AA175,0))</f>
        <v/>
      </c>
      <c r="AL175" s="36">
        <f>IF('My investments'!$H$12="",0,IF('My investments'!$F175='My investments'!$H$12,$AA175,0))</f>
        <v/>
      </c>
      <c r="AM175" s="36">
        <f>IF('My investments'!$H$13="",0,IF('My investments'!$F175='My investments'!$H$13,$AA175,0))</f>
        <v/>
      </c>
      <c r="AN175" s="36">
        <f>IF('My investments'!$H$14="",0,IF('My investments'!$F175='My investments'!$H$14,$AA175,0))</f>
        <v/>
      </c>
      <c r="AO175" s="36">
        <f>IF('My investments'!$H$15="",0,IF('My investments'!$F175='My investments'!$H$15,$AA175,0))</f>
        <v/>
      </c>
    </row>
    <row r="176" ht="15" customHeight="1" s="30">
      <c r="A176" s="36">
        <f>IF('My investments'!$C176="Worth today",1,0)</f>
        <v/>
      </c>
      <c r="B176" s="36">
        <f>IF('My investments'!$C176="Money in",1,0)</f>
        <v/>
      </c>
      <c r="AA176" s="36">
        <f>IF('My investments'!$C176="Money in",'My investments'!$D176,0)</f>
        <v/>
      </c>
      <c r="AB176" s="36">
        <f>IF('My investments'!$C176="Money out",'My investments'!$D176,0)</f>
        <v/>
      </c>
      <c r="AC176" s="36">
        <f>IF('My investments'!$C176="Worth today",'My investments'!$D176,0)</f>
        <v/>
      </c>
      <c r="AE176" s="36">
        <f>IF('My investments'!$H$11="",0,IF('My investments'!$F176='My investments'!$H$11,'My investments'!$E176,0))</f>
        <v/>
      </c>
      <c r="AF176" s="36">
        <f>IF('My investments'!$H$12="",0,IF('My investments'!$F176='My investments'!$H$12,'My investments'!$E176,0))</f>
        <v/>
      </c>
      <c r="AG176" s="36">
        <f>IF('My investments'!$H$13="",0,IF('My investments'!$F176='My investments'!$H$13,'My investments'!$E176,0))</f>
        <v/>
      </c>
      <c r="AH176" s="36">
        <f>IF('My investments'!$H$14="",0,IF('My investments'!$F176='My investments'!$H$14,'My investments'!$E176,0))</f>
        <v/>
      </c>
      <c r="AI176" s="36">
        <f>IF('My investments'!$H$15="",0,IF('My investments'!$F176='My investments'!$H$15,'My investments'!$E176,0))</f>
        <v/>
      </c>
      <c r="AK176" s="36">
        <f>IF('My investments'!$H$11="",0,IF('My investments'!$F176='My investments'!$H$11,$AA176,0))</f>
        <v/>
      </c>
      <c r="AL176" s="36">
        <f>IF('My investments'!$H$12="",0,IF('My investments'!$F176='My investments'!$H$12,$AA176,0))</f>
        <v/>
      </c>
      <c r="AM176" s="36">
        <f>IF('My investments'!$H$13="",0,IF('My investments'!$F176='My investments'!$H$13,$AA176,0))</f>
        <v/>
      </c>
      <c r="AN176" s="36">
        <f>IF('My investments'!$H$14="",0,IF('My investments'!$F176='My investments'!$H$14,$AA176,0))</f>
        <v/>
      </c>
      <c r="AO176" s="36">
        <f>IF('My investments'!$H$15="",0,IF('My investments'!$F176='My investments'!$H$15,$AA176,0))</f>
        <v/>
      </c>
    </row>
    <row r="177" ht="15" customHeight="1" s="30">
      <c r="A177" s="36">
        <f>IF('My investments'!$C177="Worth today",1,0)</f>
        <v/>
      </c>
      <c r="B177" s="36">
        <f>IF('My investments'!$C177="Money in",1,0)</f>
        <v/>
      </c>
      <c r="AA177" s="36">
        <f>IF('My investments'!$C177="Money in",'My investments'!$D177,0)</f>
        <v/>
      </c>
      <c r="AB177" s="36">
        <f>IF('My investments'!$C177="Money out",'My investments'!$D177,0)</f>
        <v/>
      </c>
      <c r="AC177" s="36">
        <f>IF('My investments'!$C177="Worth today",'My investments'!$D177,0)</f>
        <v/>
      </c>
      <c r="AE177" s="36">
        <f>IF('My investments'!$H$11="",0,IF('My investments'!$F177='My investments'!$H$11,'My investments'!$E177,0))</f>
        <v/>
      </c>
      <c r="AF177" s="36">
        <f>IF('My investments'!$H$12="",0,IF('My investments'!$F177='My investments'!$H$12,'My investments'!$E177,0))</f>
        <v/>
      </c>
      <c r="AG177" s="36">
        <f>IF('My investments'!$H$13="",0,IF('My investments'!$F177='My investments'!$H$13,'My investments'!$E177,0))</f>
        <v/>
      </c>
      <c r="AH177" s="36">
        <f>IF('My investments'!$H$14="",0,IF('My investments'!$F177='My investments'!$H$14,'My investments'!$E177,0))</f>
        <v/>
      </c>
      <c r="AI177" s="36">
        <f>IF('My investments'!$H$15="",0,IF('My investments'!$F177='My investments'!$H$15,'My investments'!$E177,0))</f>
        <v/>
      </c>
      <c r="AK177" s="36">
        <f>IF('My investments'!$H$11="",0,IF('My investments'!$F177='My investments'!$H$11,$AA177,0))</f>
        <v/>
      </c>
      <c r="AL177" s="36">
        <f>IF('My investments'!$H$12="",0,IF('My investments'!$F177='My investments'!$H$12,$AA177,0))</f>
        <v/>
      </c>
      <c r="AM177" s="36">
        <f>IF('My investments'!$H$13="",0,IF('My investments'!$F177='My investments'!$H$13,$AA177,0))</f>
        <v/>
      </c>
      <c r="AN177" s="36">
        <f>IF('My investments'!$H$14="",0,IF('My investments'!$F177='My investments'!$H$14,$AA177,0))</f>
        <v/>
      </c>
      <c r="AO177" s="36">
        <f>IF('My investments'!$H$15="",0,IF('My investments'!$F177='My investments'!$H$15,$AA177,0))</f>
        <v/>
      </c>
    </row>
    <row r="178" ht="15" customHeight="1" s="30">
      <c r="A178" s="36">
        <f>IF('My investments'!$C178="Worth today",1,0)</f>
        <v/>
      </c>
      <c r="B178" s="36">
        <f>IF('My investments'!$C178="Money in",1,0)</f>
        <v/>
      </c>
      <c r="AA178" s="36">
        <f>IF('My investments'!$C178="Money in",'My investments'!$D178,0)</f>
        <v/>
      </c>
      <c r="AB178" s="36">
        <f>IF('My investments'!$C178="Money out",'My investments'!$D178,0)</f>
        <v/>
      </c>
      <c r="AC178" s="36">
        <f>IF('My investments'!$C178="Worth today",'My investments'!$D178,0)</f>
        <v/>
      </c>
      <c r="AE178" s="36">
        <f>IF('My investments'!$H$11="",0,IF('My investments'!$F178='My investments'!$H$11,'My investments'!$E178,0))</f>
        <v/>
      </c>
      <c r="AF178" s="36">
        <f>IF('My investments'!$H$12="",0,IF('My investments'!$F178='My investments'!$H$12,'My investments'!$E178,0))</f>
        <v/>
      </c>
      <c r="AG178" s="36">
        <f>IF('My investments'!$H$13="",0,IF('My investments'!$F178='My investments'!$H$13,'My investments'!$E178,0))</f>
        <v/>
      </c>
      <c r="AH178" s="36">
        <f>IF('My investments'!$H$14="",0,IF('My investments'!$F178='My investments'!$H$14,'My investments'!$E178,0))</f>
        <v/>
      </c>
      <c r="AI178" s="36">
        <f>IF('My investments'!$H$15="",0,IF('My investments'!$F178='My investments'!$H$15,'My investments'!$E178,0))</f>
        <v/>
      </c>
      <c r="AK178" s="36">
        <f>IF('My investments'!$H$11="",0,IF('My investments'!$F178='My investments'!$H$11,$AA178,0))</f>
        <v/>
      </c>
      <c r="AL178" s="36">
        <f>IF('My investments'!$H$12="",0,IF('My investments'!$F178='My investments'!$H$12,$AA178,0))</f>
        <v/>
      </c>
      <c r="AM178" s="36">
        <f>IF('My investments'!$H$13="",0,IF('My investments'!$F178='My investments'!$H$13,$AA178,0))</f>
        <v/>
      </c>
      <c r="AN178" s="36">
        <f>IF('My investments'!$H$14="",0,IF('My investments'!$F178='My investments'!$H$14,$AA178,0))</f>
        <v/>
      </c>
      <c r="AO178" s="36">
        <f>IF('My investments'!$H$15="",0,IF('My investments'!$F178='My investments'!$H$15,$AA178,0))</f>
        <v/>
      </c>
    </row>
    <row r="179" ht="15" customHeight="1" s="30">
      <c r="A179" s="36">
        <f>IF('My investments'!$C179="Worth today",1,0)</f>
        <v/>
      </c>
      <c r="B179" s="36">
        <f>IF('My investments'!$C179="Money in",1,0)</f>
        <v/>
      </c>
      <c r="AA179" s="36">
        <f>IF('My investments'!$C179="Money in",'My investments'!$D179,0)</f>
        <v/>
      </c>
      <c r="AB179" s="36">
        <f>IF('My investments'!$C179="Money out",'My investments'!$D179,0)</f>
        <v/>
      </c>
      <c r="AC179" s="36">
        <f>IF('My investments'!$C179="Worth today",'My investments'!$D179,0)</f>
        <v/>
      </c>
      <c r="AE179" s="36">
        <f>IF('My investments'!$H$11="",0,IF('My investments'!$F179='My investments'!$H$11,'My investments'!$E179,0))</f>
        <v/>
      </c>
      <c r="AF179" s="36">
        <f>IF('My investments'!$H$12="",0,IF('My investments'!$F179='My investments'!$H$12,'My investments'!$E179,0))</f>
        <v/>
      </c>
      <c r="AG179" s="36">
        <f>IF('My investments'!$H$13="",0,IF('My investments'!$F179='My investments'!$H$13,'My investments'!$E179,0))</f>
        <v/>
      </c>
      <c r="AH179" s="36">
        <f>IF('My investments'!$H$14="",0,IF('My investments'!$F179='My investments'!$H$14,'My investments'!$E179,0))</f>
        <v/>
      </c>
      <c r="AI179" s="36">
        <f>IF('My investments'!$H$15="",0,IF('My investments'!$F179='My investments'!$H$15,'My investments'!$E179,0))</f>
        <v/>
      </c>
      <c r="AK179" s="36">
        <f>IF('My investments'!$H$11="",0,IF('My investments'!$F179='My investments'!$H$11,$AA179,0))</f>
        <v/>
      </c>
      <c r="AL179" s="36">
        <f>IF('My investments'!$H$12="",0,IF('My investments'!$F179='My investments'!$H$12,$AA179,0))</f>
        <v/>
      </c>
      <c r="AM179" s="36">
        <f>IF('My investments'!$H$13="",0,IF('My investments'!$F179='My investments'!$H$13,$AA179,0))</f>
        <v/>
      </c>
      <c r="AN179" s="36">
        <f>IF('My investments'!$H$14="",0,IF('My investments'!$F179='My investments'!$H$14,$AA179,0))</f>
        <v/>
      </c>
      <c r="AO179" s="36">
        <f>IF('My investments'!$H$15="",0,IF('My investments'!$F179='My investments'!$H$15,$AA179,0))</f>
        <v/>
      </c>
    </row>
    <row r="180" ht="15" customHeight="1" s="30">
      <c r="A180" s="36">
        <f>IF('My investments'!$C180="Worth today",1,0)</f>
        <v/>
      </c>
      <c r="B180" s="36">
        <f>IF('My investments'!$C180="Money in",1,0)</f>
        <v/>
      </c>
      <c r="AA180" s="36">
        <f>IF('My investments'!$C180="Money in",'My investments'!$D180,0)</f>
        <v/>
      </c>
      <c r="AB180" s="36">
        <f>IF('My investments'!$C180="Money out",'My investments'!$D180,0)</f>
        <v/>
      </c>
      <c r="AC180" s="36">
        <f>IF('My investments'!$C180="Worth today",'My investments'!$D180,0)</f>
        <v/>
      </c>
      <c r="AE180" s="36">
        <f>IF('My investments'!$H$11="",0,IF('My investments'!$F180='My investments'!$H$11,'My investments'!$E180,0))</f>
        <v/>
      </c>
      <c r="AF180" s="36">
        <f>IF('My investments'!$H$12="",0,IF('My investments'!$F180='My investments'!$H$12,'My investments'!$E180,0))</f>
        <v/>
      </c>
      <c r="AG180" s="36">
        <f>IF('My investments'!$H$13="",0,IF('My investments'!$F180='My investments'!$H$13,'My investments'!$E180,0))</f>
        <v/>
      </c>
      <c r="AH180" s="36">
        <f>IF('My investments'!$H$14="",0,IF('My investments'!$F180='My investments'!$H$14,'My investments'!$E180,0))</f>
        <v/>
      </c>
      <c r="AI180" s="36">
        <f>IF('My investments'!$H$15="",0,IF('My investments'!$F180='My investments'!$H$15,'My investments'!$E180,0))</f>
        <v/>
      </c>
      <c r="AK180" s="36">
        <f>IF('My investments'!$H$11="",0,IF('My investments'!$F180='My investments'!$H$11,$AA180,0))</f>
        <v/>
      </c>
      <c r="AL180" s="36">
        <f>IF('My investments'!$H$12="",0,IF('My investments'!$F180='My investments'!$H$12,$AA180,0))</f>
        <v/>
      </c>
      <c r="AM180" s="36">
        <f>IF('My investments'!$H$13="",0,IF('My investments'!$F180='My investments'!$H$13,$AA180,0))</f>
        <v/>
      </c>
      <c r="AN180" s="36">
        <f>IF('My investments'!$H$14="",0,IF('My investments'!$F180='My investments'!$H$14,$AA180,0))</f>
        <v/>
      </c>
      <c r="AO180" s="36">
        <f>IF('My investments'!$H$15="",0,IF('My investments'!$F180='My investments'!$H$15,$AA180,0))</f>
        <v/>
      </c>
    </row>
    <row r="181" ht="15" customHeight="1" s="30">
      <c r="A181" s="36">
        <f>IF('My investments'!$C181="Worth today",1,0)</f>
        <v/>
      </c>
      <c r="B181" s="36">
        <f>IF('My investments'!$C181="Money in",1,0)</f>
        <v/>
      </c>
      <c r="AA181" s="36">
        <f>IF('My investments'!$C181="Money in",'My investments'!$D181,0)</f>
        <v/>
      </c>
      <c r="AB181" s="36">
        <f>IF('My investments'!$C181="Money out",'My investments'!$D181,0)</f>
        <v/>
      </c>
      <c r="AC181" s="36">
        <f>IF('My investments'!$C181="Worth today",'My investments'!$D181,0)</f>
        <v/>
      </c>
      <c r="AE181" s="36">
        <f>IF('My investments'!$H$11="",0,IF('My investments'!$F181='My investments'!$H$11,'My investments'!$E181,0))</f>
        <v/>
      </c>
      <c r="AF181" s="36">
        <f>IF('My investments'!$H$12="",0,IF('My investments'!$F181='My investments'!$H$12,'My investments'!$E181,0))</f>
        <v/>
      </c>
      <c r="AG181" s="36">
        <f>IF('My investments'!$H$13="",0,IF('My investments'!$F181='My investments'!$H$13,'My investments'!$E181,0))</f>
        <v/>
      </c>
      <c r="AH181" s="36">
        <f>IF('My investments'!$H$14="",0,IF('My investments'!$F181='My investments'!$H$14,'My investments'!$E181,0))</f>
        <v/>
      </c>
      <c r="AI181" s="36">
        <f>IF('My investments'!$H$15="",0,IF('My investments'!$F181='My investments'!$H$15,'My investments'!$E181,0))</f>
        <v/>
      </c>
      <c r="AK181" s="36">
        <f>IF('My investments'!$H$11="",0,IF('My investments'!$F181='My investments'!$H$11,$AA181,0))</f>
        <v/>
      </c>
      <c r="AL181" s="36">
        <f>IF('My investments'!$H$12="",0,IF('My investments'!$F181='My investments'!$H$12,$AA181,0))</f>
        <v/>
      </c>
      <c r="AM181" s="36">
        <f>IF('My investments'!$H$13="",0,IF('My investments'!$F181='My investments'!$H$13,$AA181,0))</f>
        <v/>
      </c>
      <c r="AN181" s="36">
        <f>IF('My investments'!$H$14="",0,IF('My investments'!$F181='My investments'!$H$14,$AA181,0))</f>
        <v/>
      </c>
      <c r="AO181" s="36">
        <f>IF('My investments'!$H$15="",0,IF('My investments'!$F181='My investments'!$H$15,$AA181,0))</f>
        <v/>
      </c>
    </row>
    <row r="182" ht="15" customHeight="1" s="30">
      <c r="A182" s="36">
        <f>IF('My investments'!$C182="Worth today",1,0)</f>
        <v/>
      </c>
      <c r="B182" s="36">
        <f>IF('My investments'!$C182="Money in",1,0)</f>
        <v/>
      </c>
      <c r="AA182" s="36">
        <f>IF('My investments'!$C182="Money in",'My investments'!$D182,0)</f>
        <v/>
      </c>
      <c r="AB182" s="36">
        <f>IF('My investments'!$C182="Money out",'My investments'!$D182,0)</f>
        <v/>
      </c>
      <c r="AC182" s="36">
        <f>IF('My investments'!$C182="Worth today",'My investments'!$D182,0)</f>
        <v/>
      </c>
      <c r="AE182" s="36">
        <f>IF('My investments'!$H$11="",0,IF('My investments'!$F182='My investments'!$H$11,'My investments'!$E182,0))</f>
        <v/>
      </c>
      <c r="AF182" s="36">
        <f>IF('My investments'!$H$12="",0,IF('My investments'!$F182='My investments'!$H$12,'My investments'!$E182,0))</f>
        <v/>
      </c>
      <c r="AG182" s="36">
        <f>IF('My investments'!$H$13="",0,IF('My investments'!$F182='My investments'!$H$13,'My investments'!$E182,0))</f>
        <v/>
      </c>
      <c r="AH182" s="36">
        <f>IF('My investments'!$H$14="",0,IF('My investments'!$F182='My investments'!$H$14,'My investments'!$E182,0))</f>
        <v/>
      </c>
      <c r="AI182" s="36">
        <f>IF('My investments'!$H$15="",0,IF('My investments'!$F182='My investments'!$H$15,'My investments'!$E182,0))</f>
        <v/>
      </c>
      <c r="AK182" s="36">
        <f>IF('My investments'!$H$11="",0,IF('My investments'!$F182='My investments'!$H$11,$AA182,0))</f>
        <v/>
      </c>
      <c r="AL182" s="36">
        <f>IF('My investments'!$H$12="",0,IF('My investments'!$F182='My investments'!$H$12,$AA182,0))</f>
        <v/>
      </c>
      <c r="AM182" s="36">
        <f>IF('My investments'!$H$13="",0,IF('My investments'!$F182='My investments'!$H$13,$AA182,0))</f>
        <v/>
      </c>
      <c r="AN182" s="36">
        <f>IF('My investments'!$H$14="",0,IF('My investments'!$F182='My investments'!$H$14,$AA182,0))</f>
        <v/>
      </c>
      <c r="AO182" s="36">
        <f>IF('My investments'!$H$15="",0,IF('My investments'!$F182='My investments'!$H$15,$AA182,0))</f>
        <v/>
      </c>
    </row>
    <row r="183" ht="15" customHeight="1" s="30">
      <c r="A183" s="36">
        <f>IF('My investments'!$C183="Worth today",1,0)</f>
        <v/>
      </c>
      <c r="B183" s="36">
        <f>IF('My investments'!$C183="Money in",1,0)</f>
        <v/>
      </c>
      <c r="AA183" s="36">
        <f>IF('My investments'!$C183="Money in",'My investments'!$D183,0)</f>
        <v/>
      </c>
      <c r="AB183" s="36">
        <f>IF('My investments'!$C183="Money out",'My investments'!$D183,0)</f>
        <v/>
      </c>
      <c r="AC183" s="36">
        <f>IF('My investments'!$C183="Worth today",'My investments'!$D183,0)</f>
        <v/>
      </c>
      <c r="AE183" s="36">
        <f>IF('My investments'!$H$11="",0,IF('My investments'!$F183='My investments'!$H$11,'My investments'!$E183,0))</f>
        <v/>
      </c>
      <c r="AF183" s="36">
        <f>IF('My investments'!$H$12="",0,IF('My investments'!$F183='My investments'!$H$12,'My investments'!$E183,0))</f>
        <v/>
      </c>
      <c r="AG183" s="36">
        <f>IF('My investments'!$H$13="",0,IF('My investments'!$F183='My investments'!$H$13,'My investments'!$E183,0))</f>
        <v/>
      </c>
      <c r="AH183" s="36">
        <f>IF('My investments'!$H$14="",0,IF('My investments'!$F183='My investments'!$H$14,'My investments'!$E183,0))</f>
        <v/>
      </c>
      <c r="AI183" s="36">
        <f>IF('My investments'!$H$15="",0,IF('My investments'!$F183='My investments'!$H$15,'My investments'!$E183,0))</f>
        <v/>
      </c>
      <c r="AK183" s="36">
        <f>IF('My investments'!$H$11="",0,IF('My investments'!$F183='My investments'!$H$11,$AA183,0))</f>
        <v/>
      </c>
      <c r="AL183" s="36">
        <f>IF('My investments'!$H$12="",0,IF('My investments'!$F183='My investments'!$H$12,$AA183,0))</f>
        <v/>
      </c>
      <c r="AM183" s="36">
        <f>IF('My investments'!$H$13="",0,IF('My investments'!$F183='My investments'!$H$13,$AA183,0))</f>
        <v/>
      </c>
      <c r="AN183" s="36">
        <f>IF('My investments'!$H$14="",0,IF('My investments'!$F183='My investments'!$H$14,$AA183,0))</f>
        <v/>
      </c>
      <c r="AO183" s="36">
        <f>IF('My investments'!$H$15="",0,IF('My investments'!$F183='My investments'!$H$15,$AA183,0))</f>
        <v/>
      </c>
    </row>
    <row r="184" ht="15" customHeight="1" s="30">
      <c r="A184" s="36">
        <f>IF('My investments'!$C184="Worth today",1,0)</f>
        <v/>
      </c>
      <c r="B184" s="36">
        <f>IF('My investments'!$C184="Money in",1,0)</f>
        <v/>
      </c>
      <c r="AA184" s="36">
        <f>IF('My investments'!$C184="Money in",'My investments'!$D184,0)</f>
        <v/>
      </c>
      <c r="AB184" s="36">
        <f>IF('My investments'!$C184="Money out",'My investments'!$D184,0)</f>
        <v/>
      </c>
      <c r="AC184" s="36">
        <f>IF('My investments'!$C184="Worth today",'My investments'!$D184,0)</f>
        <v/>
      </c>
      <c r="AE184" s="36">
        <f>IF('My investments'!$H$11="",0,IF('My investments'!$F184='My investments'!$H$11,'My investments'!$E184,0))</f>
        <v/>
      </c>
      <c r="AF184" s="36">
        <f>IF('My investments'!$H$12="",0,IF('My investments'!$F184='My investments'!$H$12,'My investments'!$E184,0))</f>
        <v/>
      </c>
      <c r="AG184" s="36">
        <f>IF('My investments'!$H$13="",0,IF('My investments'!$F184='My investments'!$H$13,'My investments'!$E184,0))</f>
        <v/>
      </c>
      <c r="AH184" s="36">
        <f>IF('My investments'!$H$14="",0,IF('My investments'!$F184='My investments'!$H$14,'My investments'!$E184,0))</f>
        <v/>
      </c>
      <c r="AI184" s="36">
        <f>IF('My investments'!$H$15="",0,IF('My investments'!$F184='My investments'!$H$15,'My investments'!$E184,0))</f>
        <v/>
      </c>
      <c r="AK184" s="36">
        <f>IF('My investments'!$H$11="",0,IF('My investments'!$F184='My investments'!$H$11,$AA184,0))</f>
        <v/>
      </c>
      <c r="AL184" s="36">
        <f>IF('My investments'!$H$12="",0,IF('My investments'!$F184='My investments'!$H$12,$AA184,0))</f>
        <v/>
      </c>
      <c r="AM184" s="36">
        <f>IF('My investments'!$H$13="",0,IF('My investments'!$F184='My investments'!$H$13,$AA184,0))</f>
        <v/>
      </c>
      <c r="AN184" s="36">
        <f>IF('My investments'!$H$14="",0,IF('My investments'!$F184='My investments'!$H$14,$AA184,0))</f>
        <v/>
      </c>
      <c r="AO184" s="36">
        <f>IF('My investments'!$H$15="",0,IF('My investments'!$F184='My investments'!$H$15,$AA184,0))</f>
        <v/>
      </c>
    </row>
    <row r="185" ht="15" customHeight="1" s="30">
      <c r="A185" s="36">
        <f>IF('My investments'!$C185="Worth today",1,0)</f>
        <v/>
      </c>
      <c r="B185" s="36">
        <f>IF('My investments'!$C185="Money in",1,0)</f>
        <v/>
      </c>
      <c r="AA185" s="36">
        <f>IF('My investments'!$C185="Money in",'My investments'!$D185,0)</f>
        <v/>
      </c>
      <c r="AB185" s="36">
        <f>IF('My investments'!$C185="Money out",'My investments'!$D185,0)</f>
        <v/>
      </c>
      <c r="AC185" s="36">
        <f>IF('My investments'!$C185="Worth today",'My investments'!$D185,0)</f>
        <v/>
      </c>
      <c r="AE185" s="36">
        <f>IF('My investments'!$H$11="",0,IF('My investments'!$F185='My investments'!$H$11,'My investments'!$E185,0))</f>
        <v/>
      </c>
      <c r="AF185" s="36">
        <f>IF('My investments'!$H$12="",0,IF('My investments'!$F185='My investments'!$H$12,'My investments'!$E185,0))</f>
        <v/>
      </c>
      <c r="AG185" s="36">
        <f>IF('My investments'!$H$13="",0,IF('My investments'!$F185='My investments'!$H$13,'My investments'!$E185,0))</f>
        <v/>
      </c>
      <c r="AH185" s="36">
        <f>IF('My investments'!$H$14="",0,IF('My investments'!$F185='My investments'!$H$14,'My investments'!$E185,0))</f>
        <v/>
      </c>
      <c r="AI185" s="36">
        <f>IF('My investments'!$H$15="",0,IF('My investments'!$F185='My investments'!$H$15,'My investments'!$E185,0))</f>
        <v/>
      </c>
      <c r="AK185" s="36">
        <f>IF('My investments'!$H$11="",0,IF('My investments'!$F185='My investments'!$H$11,$AA185,0))</f>
        <v/>
      </c>
      <c r="AL185" s="36">
        <f>IF('My investments'!$H$12="",0,IF('My investments'!$F185='My investments'!$H$12,$AA185,0))</f>
        <v/>
      </c>
      <c r="AM185" s="36">
        <f>IF('My investments'!$H$13="",0,IF('My investments'!$F185='My investments'!$H$13,$AA185,0))</f>
        <v/>
      </c>
      <c r="AN185" s="36">
        <f>IF('My investments'!$H$14="",0,IF('My investments'!$F185='My investments'!$H$14,$AA185,0))</f>
        <v/>
      </c>
      <c r="AO185" s="36">
        <f>IF('My investments'!$H$15="",0,IF('My investments'!$F185='My investments'!$H$15,$AA185,0))</f>
        <v/>
      </c>
    </row>
    <row r="186" ht="15" customHeight="1" s="30">
      <c r="A186" s="36">
        <f>IF('My investments'!$C186="Worth today",1,0)</f>
        <v/>
      </c>
      <c r="B186" s="36">
        <f>IF('My investments'!$C186="Money in",1,0)</f>
        <v/>
      </c>
      <c r="AA186" s="36">
        <f>IF('My investments'!$C186="Money in",'My investments'!$D186,0)</f>
        <v/>
      </c>
      <c r="AB186" s="36">
        <f>IF('My investments'!$C186="Money out",'My investments'!$D186,0)</f>
        <v/>
      </c>
      <c r="AC186" s="36">
        <f>IF('My investments'!$C186="Worth today",'My investments'!$D186,0)</f>
        <v/>
      </c>
      <c r="AE186" s="36">
        <f>IF('My investments'!$H$11="",0,IF('My investments'!$F186='My investments'!$H$11,'My investments'!$E186,0))</f>
        <v/>
      </c>
      <c r="AF186" s="36">
        <f>IF('My investments'!$H$12="",0,IF('My investments'!$F186='My investments'!$H$12,'My investments'!$E186,0))</f>
        <v/>
      </c>
      <c r="AG186" s="36">
        <f>IF('My investments'!$H$13="",0,IF('My investments'!$F186='My investments'!$H$13,'My investments'!$E186,0))</f>
        <v/>
      </c>
      <c r="AH186" s="36">
        <f>IF('My investments'!$H$14="",0,IF('My investments'!$F186='My investments'!$H$14,'My investments'!$E186,0))</f>
        <v/>
      </c>
      <c r="AI186" s="36">
        <f>IF('My investments'!$H$15="",0,IF('My investments'!$F186='My investments'!$H$15,'My investments'!$E186,0))</f>
        <v/>
      </c>
      <c r="AK186" s="36">
        <f>IF('My investments'!$H$11="",0,IF('My investments'!$F186='My investments'!$H$11,$AA186,0))</f>
        <v/>
      </c>
      <c r="AL186" s="36">
        <f>IF('My investments'!$H$12="",0,IF('My investments'!$F186='My investments'!$H$12,$AA186,0))</f>
        <v/>
      </c>
      <c r="AM186" s="36">
        <f>IF('My investments'!$H$13="",0,IF('My investments'!$F186='My investments'!$H$13,$AA186,0))</f>
        <v/>
      </c>
      <c r="AN186" s="36">
        <f>IF('My investments'!$H$14="",0,IF('My investments'!$F186='My investments'!$H$14,$AA186,0))</f>
        <v/>
      </c>
      <c r="AO186" s="36">
        <f>IF('My investments'!$H$15="",0,IF('My investments'!$F186='My investments'!$H$15,$AA186,0))</f>
        <v/>
      </c>
    </row>
    <row r="187" ht="15" customHeight="1" s="30">
      <c r="A187" s="36">
        <f>IF('My investments'!$C187="Worth today",1,0)</f>
        <v/>
      </c>
      <c r="B187" s="36">
        <f>IF('My investments'!$C187="Money in",1,0)</f>
        <v/>
      </c>
      <c r="AA187" s="36">
        <f>IF('My investments'!$C187="Money in",'My investments'!$D187,0)</f>
        <v/>
      </c>
      <c r="AB187" s="36">
        <f>IF('My investments'!$C187="Money out",'My investments'!$D187,0)</f>
        <v/>
      </c>
      <c r="AC187" s="36">
        <f>IF('My investments'!$C187="Worth today",'My investments'!$D187,0)</f>
        <v/>
      </c>
      <c r="AE187" s="36">
        <f>IF('My investments'!$H$11="",0,IF('My investments'!$F187='My investments'!$H$11,'My investments'!$E187,0))</f>
        <v/>
      </c>
      <c r="AF187" s="36">
        <f>IF('My investments'!$H$12="",0,IF('My investments'!$F187='My investments'!$H$12,'My investments'!$E187,0))</f>
        <v/>
      </c>
      <c r="AG187" s="36">
        <f>IF('My investments'!$H$13="",0,IF('My investments'!$F187='My investments'!$H$13,'My investments'!$E187,0))</f>
        <v/>
      </c>
      <c r="AH187" s="36">
        <f>IF('My investments'!$H$14="",0,IF('My investments'!$F187='My investments'!$H$14,'My investments'!$E187,0))</f>
        <v/>
      </c>
      <c r="AI187" s="36">
        <f>IF('My investments'!$H$15="",0,IF('My investments'!$F187='My investments'!$H$15,'My investments'!$E187,0))</f>
        <v/>
      </c>
      <c r="AK187" s="36">
        <f>IF('My investments'!$H$11="",0,IF('My investments'!$F187='My investments'!$H$11,$AA187,0))</f>
        <v/>
      </c>
      <c r="AL187" s="36">
        <f>IF('My investments'!$H$12="",0,IF('My investments'!$F187='My investments'!$H$12,$AA187,0))</f>
        <v/>
      </c>
      <c r="AM187" s="36">
        <f>IF('My investments'!$H$13="",0,IF('My investments'!$F187='My investments'!$H$13,$AA187,0))</f>
        <v/>
      </c>
      <c r="AN187" s="36">
        <f>IF('My investments'!$H$14="",0,IF('My investments'!$F187='My investments'!$H$14,$AA187,0))</f>
        <v/>
      </c>
      <c r="AO187" s="36">
        <f>IF('My investments'!$H$15="",0,IF('My investments'!$F187='My investments'!$H$15,$AA187,0))</f>
        <v/>
      </c>
    </row>
    <row r="188" ht="15" customHeight="1" s="30">
      <c r="A188" s="36">
        <f>IF('My investments'!$C188="Worth today",1,0)</f>
        <v/>
      </c>
      <c r="B188" s="36">
        <f>IF('My investments'!$C188="Money in",1,0)</f>
        <v/>
      </c>
      <c r="AA188" s="36">
        <f>IF('My investments'!$C188="Money in",'My investments'!$D188,0)</f>
        <v/>
      </c>
      <c r="AB188" s="36">
        <f>IF('My investments'!$C188="Money out",'My investments'!$D188,0)</f>
        <v/>
      </c>
      <c r="AC188" s="36">
        <f>IF('My investments'!$C188="Worth today",'My investments'!$D188,0)</f>
        <v/>
      </c>
      <c r="AE188" s="36">
        <f>IF('My investments'!$H$11="",0,IF('My investments'!$F188='My investments'!$H$11,'My investments'!$E188,0))</f>
        <v/>
      </c>
      <c r="AF188" s="36">
        <f>IF('My investments'!$H$12="",0,IF('My investments'!$F188='My investments'!$H$12,'My investments'!$E188,0))</f>
        <v/>
      </c>
      <c r="AG188" s="36">
        <f>IF('My investments'!$H$13="",0,IF('My investments'!$F188='My investments'!$H$13,'My investments'!$E188,0))</f>
        <v/>
      </c>
      <c r="AH188" s="36">
        <f>IF('My investments'!$H$14="",0,IF('My investments'!$F188='My investments'!$H$14,'My investments'!$E188,0))</f>
        <v/>
      </c>
      <c r="AI188" s="36">
        <f>IF('My investments'!$H$15="",0,IF('My investments'!$F188='My investments'!$H$15,'My investments'!$E188,0))</f>
        <v/>
      </c>
      <c r="AK188" s="36">
        <f>IF('My investments'!$H$11="",0,IF('My investments'!$F188='My investments'!$H$11,$AA188,0))</f>
        <v/>
      </c>
      <c r="AL188" s="36">
        <f>IF('My investments'!$H$12="",0,IF('My investments'!$F188='My investments'!$H$12,$AA188,0))</f>
        <v/>
      </c>
      <c r="AM188" s="36">
        <f>IF('My investments'!$H$13="",0,IF('My investments'!$F188='My investments'!$H$13,$AA188,0))</f>
        <v/>
      </c>
      <c r="AN188" s="36">
        <f>IF('My investments'!$H$14="",0,IF('My investments'!$F188='My investments'!$H$14,$AA188,0))</f>
        <v/>
      </c>
      <c r="AO188" s="36">
        <f>IF('My investments'!$H$15="",0,IF('My investments'!$F188='My investments'!$H$15,$AA188,0))</f>
        <v/>
      </c>
    </row>
    <row r="189" ht="15" customHeight="1" s="30">
      <c r="A189" s="36">
        <f>IF('My investments'!$C189="Worth today",1,0)</f>
        <v/>
      </c>
      <c r="B189" s="36">
        <f>IF('My investments'!$C189="Money in",1,0)</f>
        <v/>
      </c>
      <c r="AA189" s="36">
        <f>IF('My investments'!$C189="Money in",'My investments'!$D189,0)</f>
        <v/>
      </c>
      <c r="AB189" s="36">
        <f>IF('My investments'!$C189="Money out",'My investments'!$D189,0)</f>
        <v/>
      </c>
      <c r="AC189" s="36">
        <f>IF('My investments'!$C189="Worth today",'My investments'!$D189,0)</f>
        <v/>
      </c>
      <c r="AE189" s="36">
        <f>IF('My investments'!$H$11="",0,IF('My investments'!$F189='My investments'!$H$11,'My investments'!$E189,0))</f>
        <v/>
      </c>
      <c r="AF189" s="36">
        <f>IF('My investments'!$H$12="",0,IF('My investments'!$F189='My investments'!$H$12,'My investments'!$E189,0))</f>
        <v/>
      </c>
      <c r="AG189" s="36">
        <f>IF('My investments'!$H$13="",0,IF('My investments'!$F189='My investments'!$H$13,'My investments'!$E189,0))</f>
        <v/>
      </c>
      <c r="AH189" s="36">
        <f>IF('My investments'!$H$14="",0,IF('My investments'!$F189='My investments'!$H$14,'My investments'!$E189,0))</f>
        <v/>
      </c>
      <c r="AI189" s="36">
        <f>IF('My investments'!$H$15="",0,IF('My investments'!$F189='My investments'!$H$15,'My investments'!$E189,0))</f>
        <v/>
      </c>
      <c r="AK189" s="36">
        <f>IF('My investments'!$H$11="",0,IF('My investments'!$F189='My investments'!$H$11,$AA189,0))</f>
        <v/>
      </c>
      <c r="AL189" s="36">
        <f>IF('My investments'!$H$12="",0,IF('My investments'!$F189='My investments'!$H$12,$AA189,0))</f>
        <v/>
      </c>
      <c r="AM189" s="36">
        <f>IF('My investments'!$H$13="",0,IF('My investments'!$F189='My investments'!$H$13,$AA189,0))</f>
        <v/>
      </c>
      <c r="AN189" s="36">
        <f>IF('My investments'!$H$14="",0,IF('My investments'!$F189='My investments'!$H$14,$AA189,0))</f>
        <v/>
      </c>
      <c r="AO189" s="36">
        <f>IF('My investments'!$H$15="",0,IF('My investments'!$F189='My investments'!$H$15,$AA189,0))</f>
        <v/>
      </c>
    </row>
    <row r="190" ht="15" customHeight="1" s="30">
      <c r="A190" s="36">
        <f>IF('My investments'!$C190="Worth today",1,0)</f>
        <v/>
      </c>
      <c r="B190" s="36">
        <f>IF('My investments'!$C190="Money in",1,0)</f>
        <v/>
      </c>
      <c r="AA190" s="36">
        <f>IF('My investments'!$C190="Money in",'My investments'!$D190,0)</f>
        <v/>
      </c>
      <c r="AB190" s="36">
        <f>IF('My investments'!$C190="Money out",'My investments'!$D190,0)</f>
        <v/>
      </c>
      <c r="AC190" s="36">
        <f>IF('My investments'!$C190="Worth today",'My investments'!$D190,0)</f>
        <v/>
      </c>
      <c r="AE190" s="36">
        <f>IF('My investments'!$H$11="",0,IF('My investments'!$F190='My investments'!$H$11,'My investments'!$E190,0))</f>
        <v/>
      </c>
      <c r="AF190" s="36">
        <f>IF('My investments'!$H$12="",0,IF('My investments'!$F190='My investments'!$H$12,'My investments'!$E190,0))</f>
        <v/>
      </c>
      <c r="AG190" s="36">
        <f>IF('My investments'!$H$13="",0,IF('My investments'!$F190='My investments'!$H$13,'My investments'!$E190,0))</f>
        <v/>
      </c>
      <c r="AH190" s="36">
        <f>IF('My investments'!$H$14="",0,IF('My investments'!$F190='My investments'!$H$14,'My investments'!$E190,0))</f>
        <v/>
      </c>
      <c r="AI190" s="36">
        <f>IF('My investments'!$H$15="",0,IF('My investments'!$F190='My investments'!$H$15,'My investments'!$E190,0))</f>
        <v/>
      </c>
      <c r="AK190" s="36">
        <f>IF('My investments'!$H$11="",0,IF('My investments'!$F190='My investments'!$H$11,$AA190,0))</f>
        <v/>
      </c>
      <c r="AL190" s="36">
        <f>IF('My investments'!$H$12="",0,IF('My investments'!$F190='My investments'!$H$12,$AA190,0))</f>
        <v/>
      </c>
      <c r="AM190" s="36">
        <f>IF('My investments'!$H$13="",0,IF('My investments'!$F190='My investments'!$H$13,$AA190,0))</f>
        <v/>
      </c>
      <c r="AN190" s="36">
        <f>IF('My investments'!$H$14="",0,IF('My investments'!$F190='My investments'!$H$14,$AA190,0))</f>
        <v/>
      </c>
      <c r="AO190" s="36">
        <f>IF('My investments'!$H$15="",0,IF('My investments'!$F190='My investments'!$H$15,$AA190,0))</f>
        <v/>
      </c>
    </row>
    <row r="191" ht="15" customHeight="1" s="30">
      <c r="A191" s="36">
        <f>IF('My investments'!$C191="Worth today",1,0)</f>
        <v/>
      </c>
      <c r="B191" s="36">
        <f>IF('My investments'!$C191="Money in",1,0)</f>
        <v/>
      </c>
      <c r="AA191" s="36">
        <f>IF('My investments'!$C191="Money in",'My investments'!$D191,0)</f>
        <v/>
      </c>
      <c r="AB191" s="36">
        <f>IF('My investments'!$C191="Money out",'My investments'!$D191,0)</f>
        <v/>
      </c>
      <c r="AC191" s="36">
        <f>IF('My investments'!$C191="Worth today",'My investments'!$D191,0)</f>
        <v/>
      </c>
      <c r="AE191" s="36">
        <f>IF('My investments'!$H$11="",0,IF('My investments'!$F191='My investments'!$H$11,'My investments'!$E191,0))</f>
        <v/>
      </c>
      <c r="AF191" s="36">
        <f>IF('My investments'!$H$12="",0,IF('My investments'!$F191='My investments'!$H$12,'My investments'!$E191,0))</f>
        <v/>
      </c>
      <c r="AG191" s="36">
        <f>IF('My investments'!$H$13="",0,IF('My investments'!$F191='My investments'!$H$13,'My investments'!$E191,0))</f>
        <v/>
      </c>
      <c r="AH191" s="36">
        <f>IF('My investments'!$H$14="",0,IF('My investments'!$F191='My investments'!$H$14,'My investments'!$E191,0))</f>
        <v/>
      </c>
      <c r="AI191" s="36">
        <f>IF('My investments'!$H$15="",0,IF('My investments'!$F191='My investments'!$H$15,'My investments'!$E191,0))</f>
        <v/>
      </c>
      <c r="AK191" s="36">
        <f>IF('My investments'!$H$11="",0,IF('My investments'!$F191='My investments'!$H$11,$AA191,0))</f>
        <v/>
      </c>
      <c r="AL191" s="36">
        <f>IF('My investments'!$H$12="",0,IF('My investments'!$F191='My investments'!$H$12,$AA191,0))</f>
        <v/>
      </c>
      <c r="AM191" s="36">
        <f>IF('My investments'!$H$13="",0,IF('My investments'!$F191='My investments'!$H$13,$AA191,0))</f>
        <v/>
      </c>
      <c r="AN191" s="36">
        <f>IF('My investments'!$H$14="",0,IF('My investments'!$F191='My investments'!$H$14,$AA191,0))</f>
        <v/>
      </c>
      <c r="AO191" s="36">
        <f>IF('My investments'!$H$15="",0,IF('My investments'!$F191='My investments'!$H$15,$AA191,0))</f>
        <v/>
      </c>
    </row>
    <row r="192" ht="15" customHeight="1" s="30">
      <c r="A192" s="36">
        <f>IF('My investments'!$C192="Worth today",1,0)</f>
        <v/>
      </c>
      <c r="B192" s="36">
        <f>IF('My investments'!$C192="Money in",1,0)</f>
        <v/>
      </c>
      <c r="AA192" s="36">
        <f>IF('My investments'!$C192="Money in",'My investments'!$D192,0)</f>
        <v/>
      </c>
      <c r="AB192" s="36">
        <f>IF('My investments'!$C192="Money out",'My investments'!$D192,0)</f>
        <v/>
      </c>
      <c r="AC192" s="36">
        <f>IF('My investments'!$C192="Worth today",'My investments'!$D192,0)</f>
        <v/>
      </c>
      <c r="AE192" s="36">
        <f>IF('My investments'!$H$11="",0,IF('My investments'!$F192='My investments'!$H$11,'My investments'!$E192,0))</f>
        <v/>
      </c>
      <c r="AF192" s="36">
        <f>IF('My investments'!$H$12="",0,IF('My investments'!$F192='My investments'!$H$12,'My investments'!$E192,0))</f>
        <v/>
      </c>
      <c r="AG192" s="36">
        <f>IF('My investments'!$H$13="",0,IF('My investments'!$F192='My investments'!$H$13,'My investments'!$E192,0))</f>
        <v/>
      </c>
      <c r="AH192" s="36">
        <f>IF('My investments'!$H$14="",0,IF('My investments'!$F192='My investments'!$H$14,'My investments'!$E192,0))</f>
        <v/>
      </c>
      <c r="AI192" s="36">
        <f>IF('My investments'!$H$15="",0,IF('My investments'!$F192='My investments'!$H$15,'My investments'!$E192,0))</f>
        <v/>
      </c>
      <c r="AK192" s="36">
        <f>IF('My investments'!$H$11="",0,IF('My investments'!$F192='My investments'!$H$11,$AA192,0))</f>
        <v/>
      </c>
      <c r="AL192" s="36">
        <f>IF('My investments'!$H$12="",0,IF('My investments'!$F192='My investments'!$H$12,$AA192,0))</f>
        <v/>
      </c>
      <c r="AM192" s="36">
        <f>IF('My investments'!$H$13="",0,IF('My investments'!$F192='My investments'!$H$13,$AA192,0))</f>
        <v/>
      </c>
      <c r="AN192" s="36">
        <f>IF('My investments'!$H$14="",0,IF('My investments'!$F192='My investments'!$H$14,$AA192,0))</f>
        <v/>
      </c>
      <c r="AO192" s="36">
        <f>IF('My investments'!$H$15="",0,IF('My investments'!$F192='My investments'!$H$15,$AA192,0))</f>
        <v/>
      </c>
    </row>
    <row r="193" ht="15" customHeight="1" s="30">
      <c r="A193" s="36">
        <f>IF('My investments'!$C193="Worth today",1,0)</f>
        <v/>
      </c>
      <c r="B193" s="36">
        <f>IF('My investments'!$C193="Money in",1,0)</f>
        <v/>
      </c>
      <c r="AA193" s="36">
        <f>IF('My investments'!$C193="Money in",'My investments'!$D193,0)</f>
        <v/>
      </c>
      <c r="AB193" s="36">
        <f>IF('My investments'!$C193="Money out",'My investments'!$D193,0)</f>
        <v/>
      </c>
      <c r="AC193" s="36">
        <f>IF('My investments'!$C193="Worth today",'My investments'!$D193,0)</f>
        <v/>
      </c>
      <c r="AE193" s="36">
        <f>IF('My investments'!$H$11="",0,IF('My investments'!$F193='My investments'!$H$11,'My investments'!$E193,0))</f>
        <v/>
      </c>
      <c r="AF193" s="36">
        <f>IF('My investments'!$H$12="",0,IF('My investments'!$F193='My investments'!$H$12,'My investments'!$E193,0))</f>
        <v/>
      </c>
      <c r="AG193" s="36">
        <f>IF('My investments'!$H$13="",0,IF('My investments'!$F193='My investments'!$H$13,'My investments'!$E193,0))</f>
        <v/>
      </c>
      <c r="AH193" s="36">
        <f>IF('My investments'!$H$14="",0,IF('My investments'!$F193='My investments'!$H$14,'My investments'!$E193,0))</f>
        <v/>
      </c>
      <c r="AI193" s="36">
        <f>IF('My investments'!$H$15="",0,IF('My investments'!$F193='My investments'!$H$15,'My investments'!$E193,0))</f>
        <v/>
      </c>
      <c r="AK193" s="36">
        <f>IF('My investments'!$H$11="",0,IF('My investments'!$F193='My investments'!$H$11,$AA193,0))</f>
        <v/>
      </c>
      <c r="AL193" s="36">
        <f>IF('My investments'!$H$12="",0,IF('My investments'!$F193='My investments'!$H$12,$AA193,0))</f>
        <v/>
      </c>
      <c r="AM193" s="36">
        <f>IF('My investments'!$H$13="",0,IF('My investments'!$F193='My investments'!$H$13,$AA193,0))</f>
        <v/>
      </c>
      <c r="AN193" s="36">
        <f>IF('My investments'!$H$14="",0,IF('My investments'!$F193='My investments'!$H$14,$AA193,0))</f>
        <v/>
      </c>
      <c r="AO193" s="36">
        <f>IF('My investments'!$H$15="",0,IF('My investments'!$F193='My investments'!$H$15,$AA193,0))</f>
        <v/>
      </c>
    </row>
    <row r="194" ht="15" customHeight="1" s="30">
      <c r="A194" s="36">
        <f>IF('My investments'!$C194="Worth today",1,0)</f>
        <v/>
      </c>
      <c r="B194" s="36">
        <f>IF('My investments'!$C194="Money in",1,0)</f>
        <v/>
      </c>
      <c r="AA194" s="36">
        <f>IF('My investments'!$C194="Money in",'My investments'!$D194,0)</f>
        <v/>
      </c>
      <c r="AB194" s="36">
        <f>IF('My investments'!$C194="Money out",'My investments'!$D194,0)</f>
        <v/>
      </c>
      <c r="AC194" s="36">
        <f>IF('My investments'!$C194="Worth today",'My investments'!$D194,0)</f>
        <v/>
      </c>
      <c r="AE194" s="36">
        <f>IF('My investments'!$H$11="",0,IF('My investments'!$F194='My investments'!$H$11,'My investments'!$E194,0))</f>
        <v/>
      </c>
      <c r="AF194" s="36">
        <f>IF('My investments'!$H$12="",0,IF('My investments'!$F194='My investments'!$H$12,'My investments'!$E194,0))</f>
        <v/>
      </c>
      <c r="AG194" s="36">
        <f>IF('My investments'!$H$13="",0,IF('My investments'!$F194='My investments'!$H$13,'My investments'!$E194,0))</f>
        <v/>
      </c>
      <c r="AH194" s="36">
        <f>IF('My investments'!$H$14="",0,IF('My investments'!$F194='My investments'!$H$14,'My investments'!$E194,0))</f>
        <v/>
      </c>
      <c r="AI194" s="36">
        <f>IF('My investments'!$H$15="",0,IF('My investments'!$F194='My investments'!$H$15,'My investments'!$E194,0))</f>
        <v/>
      </c>
      <c r="AK194" s="36">
        <f>IF('My investments'!$H$11="",0,IF('My investments'!$F194='My investments'!$H$11,$AA194,0))</f>
        <v/>
      </c>
      <c r="AL194" s="36">
        <f>IF('My investments'!$H$12="",0,IF('My investments'!$F194='My investments'!$H$12,$AA194,0))</f>
        <v/>
      </c>
      <c r="AM194" s="36">
        <f>IF('My investments'!$H$13="",0,IF('My investments'!$F194='My investments'!$H$13,$AA194,0))</f>
        <v/>
      </c>
      <c r="AN194" s="36">
        <f>IF('My investments'!$H$14="",0,IF('My investments'!$F194='My investments'!$H$14,$AA194,0))</f>
        <v/>
      </c>
      <c r="AO194" s="36">
        <f>IF('My investments'!$H$15="",0,IF('My investments'!$F194='My investments'!$H$15,$AA194,0))</f>
        <v/>
      </c>
    </row>
    <row r="195" ht="15" customHeight="1" s="30">
      <c r="A195" s="36">
        <f>IF('My investments'!$C195="Worth today",1,0)</f>
        <v/>
      </c>
      <c r="B195" s="36">
        <f>IF('My investments'!$C195="Money in",1,0)</f>
        <v/>
      </c>
      <c r="AA195" s="36">
        <f>IF('My investments'!$C195="Money in",'My investments'!$D195,0)</f>
        <v/>
      </c>
      <c r="AB195" s="36">
        <f>IF('My investments'!$C195="Money out",'My investments'!$D195,0)</f>
        <v/>
      </c>
      <c r="AC195" s="36">
        <f>IF('My investments'!$C195="Worth today",'My investments'!$D195,0)</f>
        <v/>
      </c>
      <c r="AE195" s="36">
        <f>IF('My investments'!$H$11="",0,IF('My investments'!$F195='My investments'!$H$11,'My investments'!$E195,0))</f>
        <v/>
      </c>
      <c r="AF195" s="36">
        <f>IF('My investments'!$H$12="",0,IF('My investments'!$F195='My investments'!$H$12,'My investments'!$E195,0))</f>
        <v/>
      </c>
      <c r="AG195" s="36">
        <f>IF('My investments'!$H$13="",0,IF('My investments'!$F195='My investments'!$H$13,'My investments'!$E195,0))</f>
        <v/>
      </c>
      <c r="AH195" s="36">
        <f>IF('My investments'!$H$14="",0,IF('My investments'!$F195='My investments'!$H$14,'My investments'!$E195,0))</f>
        <v/>
      </c>
      <c r="AI195" s="36">
        <f>IF('My investments'!$H$15="",0,IF('My investments'!$F195='My investments'!$H$15,'My investments'!$E195,0))</f>
        <v/>
      </c>
      <c r="AK195" s="36">
        <f>IF('My investments'!$H$11="",0,IF('My investments'!$F195='My investments'!$H$11,$AA195,0))</f>
        <v/>
      </c>
      <c r="AL195" s="36">
        <f>IF('My investments'!$H$12="",0,IF('My investments'!$F195='My investments'!$H$12,$AA195,0))</f>
        <v/>
      </c>
      <c r="AM195" s="36">
        <f>IF('My investments'!$H$13="",0,IF('My investments'!$F195='My investments'!$H$13,$AA195,0))</f>
        <v/>
      </c>
      <c r="AN195" s="36">
        <f>IF('My investments'!$H$14="",0,IF('My investments'!$F195='My investments'!$H$14,$AA195,0))</f>
        <v/>
      </c>
      <c r="AO195" s="36">
        <f>IF('My investments'!$H$15="",0,IF('My investments'!$F195='My investments'!$H$15,$AA195,0))</f>
        <v/>
      </c>
    </row>
    <row r="196" ht="15" customHeight="1" s="30">
      <c r="A196" s="36">
        <f>IF('My investments'!$C196="Worth today",1,0)</f>
        <v/>
      </c>
      <c r="B196" s="36">
        <f>IF('My investments'!$C196="Money in",1,0)</f>
        <v/>
      </c>
      <c r="AA196" s="36">
        <f>IF('My investments'!$C196="Money in",'My investments'!$D196,0)</f>
        <v/>
      </c>
      <c r="AB196" s="36">
        <f>IF('My investments'!$C196="Money out",'My investments'!$D196,0)</f>
        <v/>
      </c>
      <c r="AC196" s="36">
        <f>IF('My investments'!$C196="Worth today",'My investments'!$D196,0)</f>
        <v/>
      </c>
      <c r="AE196" s="36">
        <f>IF('My investments'!$H$11="",0,IF('My investments'!$F196='My investments'!$H$11,'My investments'!$E196,0))</f>
        <v/>
      </c>
      <c r="AF196" s="36">
        <f>IF('My investments'!$H$12="",0,IF('My investments'!$F196='My investments'!$H$12,'My investments'!$E196,0))</f>
        <v/>
      </c>
      <c r="AG196" s="36">
        <f>IF('My investments'!$H$13="",0,IF('My investments'!$F196='My investments'!$H$13,'My investments'!$E196,0))</f>
        <v/>
      </c>
      <c r="AH196" s="36">
        <f>IF('My investments'!$H$14="",0,IF('My investments'!$F196='My investments'!$H$14,'My investments'!$E196,0))</f>
        <v/>
      </c>
      <c r="AI196" s="36">
        <f>IF('My investments'!$H$15="",0,IF('My investments'!$F196='My investments'!$H$15,'My investments'!$E196,0))</f>
        <v/>
      </c>
      <c r="AK196" s="36">
        <f>IF('My investments'!$H$11="",0,IF('My investments'!$F196='My investments'!$H$11,$AA196,0))</f>
        <v/>
      </c>
      <c r="AL196" s="36">
        <f>IF('My investments'!$H$12="",0,IF('My investments'!$F196='My investments'!$H$12,$AA196,0))</f>
        <v/>
      </c>
      <c r="AM196" s="36">
        <f>IF('My investments'!$H$13="",0,IF('My investments'!$F196='My investments'!$H$13,$AA196,0))</f>
        <v/>
      </c>
      <c r="AN196" s="36">
        <f>IF('My investments'!$H$14="",0,IF('My investments'!$F196='My investments'!$H$14,$AA196,0))</f>
        <v/>
      </c>
      <c r="AO196" s="36">
        <f>IF('My investments'!$H$15="",0,IF('My investments'!$F196='My investments'!$H$15,$AA196,0))</f>
        <v/>
      </c>
    </row>
    <row r="197" ht="15" customHeight="1" s="30">
      <c r="A197" s="36">
        <f>IF('My investments'!$C197="Worth today",1,0)</f>
        <v/>
      </c>
      <c r="B197" s="36">
        <f>IF('My investments'!$C197="Money in",1,0)</f>
        <v/>
      </c>
      <c r="AA197" s="36">
        <f>IF('My investments'!$C197="Money in",'My investments'!$D197,0)</f>
        <v/>
      </c>
      <c r="AB197" s="36">
        <f>IF('My investments'!$C197="Money out",'My investments'!$D197,0)</f>
        <v/>
      </c>
      <c r="AC197" s="36">
        <f>IF('My investments'!$C197="Worth today",'My investments'!$D197,0)</f>
        <v/>
      </c>
      <c r="AE197" s="36">
        <f>IF('My investments'!$H$11="",0,IF('My investments'!$F197='My investments'!$H$11,'My investments'!$E197,0))</f>
        <v/>
      </c>
      <c r="AF197" s="36">
        <f>IF('My investments'!$H$12="",0,IF('My investments'!$F197='My investments'!$H$12,'My investments'!$E197,0))</f>
        <v/>
      </c>
      <c r="AG197" s="36">
        <f>IF('My investments'!$H$13="",0,IF('My investments'!$F197='My investments'!$H$13,'My investments'!$E197,0))</f>
        <v/>
      </c>
      <c r="AH197" s="36">
        <f>IF('My investments'!$H$14="",0,IF('My investments'!$F197='My investments'!$H$14,'My investments'!$E197,0))</f>
        <v/>
      </c>
      <c r="AI197" s="36">
        <f>IF('My investments'!$H$15="",0,IF('My investments'!$F197='My investments'!$H$15,'My investments'!$E197,0))</f>
        <v/>
      </c>
      <c r="AK197" s="36">
        <f>IF('My investments'!$H$11="",0,IF('My investments'!$F197='My investments'!$H$11,$AA197,0))</f>
        <v/>
      </c>
      <c r="AL197" s="36">
        <f>IF('My investments'!$H$12="",0,IF('My investments'!$F197='My investments'!$H$12,$AA197,0))</f>
        <v/>
      </c>
      <c r="AM197" s="36">
        <f>IF('My investments'!$H$13="",0,IF('My investments'!$F197='My investments'!$H$13,$AA197,0))</f>
        <v/>
      </c>
      <c r="AN197" s="36">
        <f>IF('My investments'!$H$14="",0,IF('My investments'!$F197='My investments'!$H$14,$AA197,0))</f>
        <v/>
      </c>
      <c r="AO197" s="36">
        <f>IF('My investments'!$H$15="",0,IF('My investments'!$F197='My investments'!$H$15,$AA197,0))</f>
        <v/>
      </c>
    </row>
    <row r="198" ht="15" customHeight="1" s="30">
      <c r="A198" s="36">
        <f>IF('My investments'!$C198="Worth today",1,0)</f>
        <v/>
      </c>
      <c r="B198" s="36">
        <f>IF('My investments'!$C198="Money in",1,0)</f>
        <v/>
      </c>
      <c r="AA198" s="36">
        <f>IF('My investments'!$C198="Money in",'My investments'!$D198,0)</f>
        <v/>
      </c>
      <c r="AB198" s="36">
        <f>IF('My investments'!$C198="Money out",'My investments'!$D198,0)</f>
        <v/>
      </c>
      <c r="AC198" s="36">
        <f>IF('My investments'!$C198="Worth today",'My investments'!$D198,0)</f>
        <v/>
      </c>
      <c r="AE198" s="36">
        <f>IF('My investments'!$H$11="",0,IF('My investments'!$F198='My investments'!$H$11,'My investments'!$E198,0))</f>
        <v/>
      </c>
      <c r="AF198" s="36">
        <f>IF('My investments'!$H$12="",0,IF('My investments'!$F198='My investments'!$H$12,'My investments'!$E198,0))</f>
        <v/>
      </c>
      <c r="AG198" s="36">
        <f>IF('My investments'!$H$13="",0,IF('My investments'!$F198='My investments'!$H$13,'My investments'!$E198,0))</f>
        <v/>
      </c>
      <c r="AH198" s="36">
        <f>IF('My investments'!$H$14="",0,IF('My investments'!$F198='My investments'!$H$14,'My investments'!$E198,0))</f>
        <v/>
      </c>
      <c r="AI198" s="36">
        <f>IF('My investments'!$H$15="",0,IF('My investments'!$F198='My investments'!$H$15,'My investments'!$E198,0))</f>
        <v/>
      </c>
      <c r="AK198" s="36">
        <f>IF('My investments'!$H$11="",0,IF('My investments'!$F198='My investments'!$H$11,$AA198,0))</f>
        <v/>
      </c>
      <c r="AL198" s="36">
        <f>IF('My investments'!$H$12="",0,IF('My investments'!$F198='My investments'!$H$12,$AA198,0))</f>
        <v/>
      </c>
      <c r="AM198" s="36">
        <f>IF('My investments'!$H$13="",0,IF('My investments'!$F198='My investments'!$H$13,$AA198,0))</f>
        <v/>
      </c>
      <c r="AN198" s="36">
        <f>IF('My investments'!$H$14="",0,IF('My investments'!$F198='My investments'!$H$14,$AA198,0))</f>
        <v/>
      </c>
      <c r="AO198" s="36">
        <f>IF('My investments'!$H$15="",0,IF('My investments'!$F198='My investments'!$H$15,$AA198,0))</f>
        <v/>
      </c>
    </row>
    <row r="199" ht="15" customHeight="1" s="30">
      <c r="A199" s="36">
        <f>IF('My investments'!$C199="Worth today",1,0)</f>
        <v/>
      </c>
      <c r="B199" s="36">
        <f>IF('My investments'!$C199="Money in",1,0)</f>
        <v/>
      </c>
      <c r="AA199" s="36">
        <f>IF('My investments'!$C199="Money in",'My investments'!$D199,0)</f>
        <v/>
      </c>
      <c r="AB199" s="36">
        <f>IF('My investments'!$C199="Money out",'My investments'!$D199,0)</f>
        <v/>
      </c>
      <c r="AC199" s="36">
        <f>IF('My investments'!$C199="Worth today",'My investments'!$D199,0)</f>
        <v/>
      </c>
      <c r="AE199" s="36">
        <f>IF('My investments'!$H$11="",0,IF('My investments'!$F199='My investments'!$H$11,'My investments'!$E199,0))</f>
        <v/>
      </c>
      <c r="AF199" s="36">
        <f>IF('My investments'!$H$12="",0,IF('My investments'!$F199='My investments'!$H$12,'My investments'!$E199,0))</f>
        <v/>
      </c>
      <c r="AG199" s="36">
        <f>IF('My investments'!$H$13="",0,IF('My investments'!$F199='My investments'!$H$13,'My investments'!$E199,0))</f>
        <v/>
      </c>
      <c r="AH199" s="36">
        <f>IF('My investments'!$H$14="",0,IF('My investments'!$F199='My investments'!$H$14,'My investments'!$E199,0))</f>
        <v/>
      </c>
      <c r="AI199" s="36">
        <f>IF('My investments'!$H$15="",0,IF('My investments'!$F199='My investments'!$H$15,'My investments'!$E199,0))</f>
        <v/>
      </c>
      <c r="AK199" s="36">
        <f>IF('My investments'!$H$11="",0,IF('My investments'!$F199='My investments'!$H$11,$AA199,0))</f>
        <v/>
      </c>
      <c r="AL199" s="36">
        <f>IF('My investments'!$H$12="",0,IF('My investments'!$F199='My investments'!$H$12,$AA199,0))</f>
        <v/>
      </c>
      <c r="AM199" s="36">
        <f>IF('My investments'!$H$13="",0,IF('My investments'!$F199='My investments'!$H$13,$AA199,0))</f>
        <v/>
      </c>
      <c r="AN199" s="36">
        <f>IF('My investments'!$H$14="",0,IF('My investments'!$F199='My investments'!$H$14,$AA199,0))</f>
        <v/>
      </c>
      <c r="AO199" s="36">
        <f>IF('My investments'!$H$15="",0,IF('My investments'!$F199='My investments'!$H$15,$AA199,0))</f>
        <v/>
      </c>
    </row>
    <row r="200" ht="15" customHeight="1" s="30">
      <c r="A200" s="36">
        <f>IF('My investments'!$C200="Worth today",1,0)</f>
        <v/>
      </c>
      <c r="B200" s="36">
        <f>IF('My investments'!$C200="Money in",1,0)</f>
        <v/>
      </c>
      <c r="AA200" s="36">
        <f>IF('My investments'!$C200="Money in",'My investments'!$D200,0)</f>
        <v/>
      </c>
      <c r="AB200" s="36">
        <f>IF('My investments'!$C200="Money out",'My investments'!$D200,0)</f>
        <v/>
      </c>
      <c r="AC200" s="36">
        <f>IF('My investments'!$C200="Worth today",'My investments'!$D200,0)</f>
        <v/>
      </c>
      <c r="AE200" s="36">
        <f>IF('My investments'!$H$11="",0,IF('My investments'!$F200='My investments'!$H$11,'My investments'!$E200,0))</f>
        <v/>
      </c>
      <c r="AF200" s="36">
        <f>IF('My investments'!$H$12="",0,IF('My investments'!$F200='My investments'!$H$12,'My investments'!$E200,0))</f>
        <v/>
      </c>
      <c r="AG200" s="36">
        <f>IF('My investments'!$H$13="",0,IF('My investments'!$F200='My investments'!$H$13,'My investments'!$E200,0))</f>
        <v/>
      </c>
      <c r="AH200" s="36">
        <f>IF('My investments'!$H$14="",0,IF('My investments'!$F200='My investments'!$H$14,'My investments'!$E200,0))</f>
        <v/>
      </c>
      <c r="AI200" s="36">
        <f>IF('My investments'!$H$15="",0,IF('My investments'!$F200='My investments'!$H$15,'My investments'!$E200,0))</f>
        <v/>
      </c>
      <c r="AK200" s="36">
        <f>IF('My investments'!$H$11="",0,IF('My investments'!$F200='My investments'!$H$11,$AA200,0))</f>
        <v/>
      </c>
      <c r="AL200" s="36">
        <f>IF('My investments'!$H$12="",0,IF('My investments'!$F200='My investments'!$H$12,$AA200,0))</f>
        <v/>
      </c>
      <c r="AM200" s="36">
        <f>IF('My investments'!$H$13="",0,IF('My investments'!$F200='My investments'!$H$13,$AA200,0))</f>
        <v/>
      </c>
      <c r="AN200" s="36">
        <f>IF('My investments'!$H$14="",0,IF('My investments'!$F200='My investments'!$H$14,$AA200,0))</f>
        <v/>
      </c>
      <c r="AO200" s="36">
        <f>IF('My investments'!$H$15="",0,IF('My investments'!$F200='My investments'!$H$15,$AA200,0))</f>
        <v/>
      </c>
    </row>
    <row r="201" ht="15" customHeight="1" s="30">
      <c r="A201" s="36">
        <f>IF('My investments'!$C201="Worth today",1,0)</f>
        <v/>
      </c>
      <c r="B201" s="36">
        <f>IF('My investments'!$C201="Money in",1,0)</f>
        <v/>
      </c>
      <c r="AA201" s="36">
        <f>IF('My investments'!$C201="Money in",'My investments'!$D201,0)</f>
        <v/>
      </c>
      <c r="AB201" s="36">
        <f>IF('My investments'!$C201="Money out",'My investments'!$D201,0)</f>
        <v/>
      </c>
      <c r="AC201" s="36">
        <f>IF('My investments'!$C201="Worth today",'My investments'!$D201,0)</f>
        <v/>
      </c>
      <c r="AE201" s="36">
        <f>IF('My investments'!$H$11="",0,IF('My investments'!$F201='My investments'!$H$11,'My investments'!$E201,0))</f>
        <v/>
      </c>
      <c r="AF201" s="36">
        <f>IF('My investments'!$H$12="",0,IF('My investments'!$F201='My investments'!$H$12,'My investments'!$E201,0))</f>
        <v/>
      </c>
      <c r="AG201" s="36">
        <f>IF('My investments'!$H$13="",0,IF('My investments'!$F201='My investments'!$H$13,'My investments'!$E201,0))</f>
        <v/>
      </c>
      <c r="AH201" s="36">
        <f>IF('My investments'!$H$14="",0,IF('My investments'!$F201='My investments'!$H$14,'My investments'!$E201,0))</f>
        <v/>
      </c>
      <c r="AI201" s="36">
        <f>IF('My investments'!$H$15="",0,IF('My investments'!$F201='My investments'!$H$15,'My investments'!$E201,0))</f>
        <v/>
      </c>
      <c r="AK201" s="36">
        <f>IF('My investments'!$H$11="",0,IF('My investments'!$F201='My investments'!$H$11,$AA201,0))</f>
        <v/>
      </c>
      <c r="AL201" s="36">
        <f>IF('My investments'!$H$12="",0,IF('My investments'!$F201='My investments'!$H$12,$AA201,0))</f>
        <v/>
      </c>
      <c r="AM201" s="36">
        <f>IF('My investments'!$H$13="",0,IF('My investments'!$F201='My investments'!$H$13,$AA201,0))</f>
        <v/>
      </c>
      <c r="AN201" s="36">
        <f>IF('My investments'!$H$14="",0,IF('My investments'!$F201='My investments'!$H$14,$AA201,0))</f>
        <v/>
      </c>
      <c r="AO201" s="36">
        <f>IF('My investments'!$H$15="",0,IF('My investments'!$F201='My investments'!$H$15,$AA201,0))</f>
        <v/>
      </c>
    </row>
    <row r="202" ht="15" customHeight="1" s="30">
      <c r="A202" s="36">
        <f>IF('My investments'!$C202="Worth today",1,0)</f>
        <v/>
      </c>
      <c r="B202" s="36">
        <f>IF('My investments'!$C202="Money in",1,0)</f>
        <v/>
      </c>
      <c r="AA202" s="36">
        <f>IF('My investments'!$C202="Money in",'My investments'!$D202,0)</f>
        <v/>
      </c>
      <c r="AB202" s="36">
        <f>IF('My investments'!$C202="Money out",'My investments'!$D202,0)</f>
        <v/>
      </c>
      <c r="AC202" s="36">
        <f>IF('My investments'!$C202="Worth today",'My investments'!$D202,0)</f>
        <v/>
      </c>
      <c r="AE202" s="36">
        <f>IF('My investments'!$H$11="",0,IF('My investments'!$F202='My investments'!$H$11,'My investments'!$E202,0))</f>
        <v/>
      </c>
      <c r="AF202" s="36">
        <f>IF('My investments'!$H$12="",0,IF('My investments'!$F202='My investments'!$H$12,'My investments'!$E202,0))</f>
        <v/>
      </c>
      <c r="AG202" s="36">
        <f>IF('My investments'!$H$13="",0,IF('My investments'!$F202='My investments'!$H$13,'My investments'!$E202,0))</f>
        <v/>
      </c>
      <c r="AH202" s="36">
        <f>IF('My investments'!$H$14="",0,IF('My investments'!$F202='My investments'!$H$14,'My investments'!$E202,0))</f>
        <v/>
      </c>
      <c r="AI202" s="36">
        <f>IF('My investments'!$H$15="",0,IF('My investments'!$F202='My investments'!$H$15,'My investments'!$E202,0))</f>
        <v/>
      </c>
      <c r="AK202" s="36">
        <f>IF('My investments'!$H$11="",0,IF('My investments'!$F202='My investments'!$H$11,$AA202,0))</f>
        <v/>
      </c>
      <c r="AL202" s="36">
        <f>IF('My investments'!$H$12="",0,IF('My investments'!$F202='My investments'!$H$12,$AA202,0))</f>
        <v/>
      </c>
      <c r="AM202" s="36">
        <f>IF('My investments'!$H$13="",0,IF('My investments'!$F202='My investments'!$H$13,$AA202,0))</f>
        <v/>
      </c>
      <c r="AN202" s="36">
        <f>IF('My investments'!$H$14="",0,IF('My investments'!$F202='My investments'!$H$14,$AA202,0))</f>
        <v/>
      </c>
      <c r="AO202" s="36">
        <f>IF('My investments'!$H$15="",0,IF('My investments'!$F202='My investments'!$H$15,$AA202,0))</f>
        <v/>
      </c>
    </row>
    <row r="203" ht="15" customHeight="1" s="30">
      <c r="A203" s="36">
        <f>IF('My investments'!$C203="Worth today",1,0)</f>
        <v/>
      </c>
      <c r="B203" s="36">
        <f>IF('My investments'!$C203="Money in",1,0)</f>
        <v/>
      </c>
      <c r="AA203" s="36">
        <f>IF('My investments'!$C203="Money in",'My investments'!$D203,0)</f>
        <v/>
      </c>
      <c r="AB203" s="36">
        <f>IF('My investments'!$C203="Money out",'My investments'!$D203,0)</f>
        <v/>
      </c>
      <c r="AC203" s="36">
        <f>IF('My investments'!$C203="Worth today",'My investments'!$D203,0)</f>
        <v/>
      </c>
      <c r="AE203" s="36">
        <f>IF('My investments'!$H$11="",0,IF('My investments'!$F203='My investments'!$H$11,'My investments'!$E203,0))</f>
        <v/>
      </c>
      <c r="AF203" s="36">
        <f>IF('My investments'!$H$12="",0,IF('My investments'!$F203='My investments'!$H$12,'My investments'!$E203,0))</f>
        <v/>
      </c>
      <c r="AG203" s="36">
        <f>IF('My investments'!$H$13="",0,IF('My investments'!$F203='My investments'!$H$13,'My investments'!$E203,0))</f>
        <v/>
      </c>
      <c r="AH203" s="36">
        <f>IF('My investments'!$H$14="",0,IF('My investments'!$F203='My investments'!$H$14,'My investments'!$E203,0))</f>
        <v/>
      </c>
      <c r="AI203" s="36">
        <f>IF('My investments'!$H$15="",0,IF('My investments'!$F203='My investments'!$H$15,'My investments'!$E203,0))</f>
        <v/>
      </c>
      <c r="AK203" s="36">
        <f>IF('My investments'!$H$11="",0,IF('My investments'!$F203='My investments'!$H$11,$AA203,0))</f>
        <v/>
      </c>
      <c r="AL203" s="36">
        <f>IF('My investments'!$H$12="",0,IF('My investments'!$F203='My investments'!$H$12,$AA203,0))</f>
        <v/>
      </c>
      <c r="AM203" s="36">
        <f>IF('My investments'!$H$13="",0,IF('My investments'!$F203='My investments'!$H$13,$AA203,0))</f>
        <v/>
      </c>
      <c r="AN203" s="36">
        <f>IF('My investments'!$H$14="",0,IF('My investments'!$F203='My investments'!$H$14,$AA203,0))</f>
        <v/>
      </c>
      <c r="AO203" s="36">
        <f>IF('My investments'!$H$15="",0,IF('My investments'!$F203='My investments'!$H$15,$AA203,0))</f>
        <v/>
      </c>
    </row>
    <row r="204" ht="15" customHeight="1" s="30">
      <c r="A204" s="36">
        <f>IF('My investments'!$C204="Worth today",1,0)</f>
        <v/>
      </c>
      <c r="B204" s="36">
        <f>IF('My investments'!$C204="Money in",1,0)</f>
        <v/>
      </c>
      <c r="AA204" s="36">
        <f>IF('My investments'!$C204="Money in",'My investments'!$D204,0)</f>
        <v/>
      </c>
      <c r="AB204" s="36">
        <f>IF('My investments'!$C204="Money out",'My investments'!$D204,0)</f>
        <v/>
      </c>
      <c r="AC204" s="36">
        <f>IF('My investments'!$C204="Worth today",'My investments'!$D204,0)</f>
        <v/>
      </c>
      <c r="AE204" s="36">
        <f>IF('My investments'!$H$11="",0,IF('My investments'!$F204='My investments'!$H$11,'My investments'!$E204,0))</f>
        <v/>
      </c>
      <c r="AF204" s="36">
        <f>IF('My investments'!$H$12="",0,IF('My investments'!$F204='My investments'!$H$12,'My investments'!$E204,0))</f>
        <v/>
      </c>
      <c r="AG204" s="36">
        <f>IF('My investments'!$H$13="",0,IF('My investments'!$F204='My investments'!$H$13,'My investments'!$E204,0))</f>
        <v/>
      </c>
      <c r="AH204" s="36">
        <f>IF('My investments'!$H$14="",0,IF('My investments'!$F204='My investments'!$H$14,'My investments'!$E204,0))</f>
        <v/>
      </c>
      <c r="AI204" s="36">
        <f>IF('My investments'!$H$15="",0,IF('My investments'!$F204='My investments'!$H$15,'My investments'!$E204,0))</f>
        <v/>
      </c>
      <c r="AK204" s="36">
        <f>IF('My investments'!$H$11="",0,IF('My investments'!$F204='My investments'!$H$11,$AA204,0))</f>
        <v/>
      </c>
      <c r="AL204" s="36">
        <f>IF('My investments'!$H$12="",0,IF('My investments'!$F204='My investments'!$H$12,$AA204,0))</f>
        <v/>
      </c>
      <c r="AM204" s="36">
        <f>IF('My investments'!$H$13="",0,IF('My investments'!$F204='My investments'!$H$13,$AA204,0))</f>
        <v/>
      </c>
      <c r="AN204" s="36">
        <f>IF('My investments'!$H$14="",0,IF('My investments'!$F204='My investments'!$H$14,$AA204,0))</f>
        <v/>
      </c>
      <c r="AO204" s="36">
        <f>IF('My investments'!$H$15="",0,IF('My investments'!$F204='My investments'!$H$15,$AA204,0))</f>
        <v/>
      </c>
    </row>
    <row r="205" ht="15" customHeight="1" s="30">
      <c r="A205" s="36">
        <f>IF('My investments'!$C205="Worth today",1,0)</f>
        <v/>
      </c>
      <c r="B205" s="36">
        <f>IF('My investments'!$C205="Money in",1,0)</f>
        <v/>
      </c>
      <c r="AA205" s="36">
        <f>IF('My investments'!$C205="Money in",'My investments'!$D205,0)</f>
        <v/>
      </c>
      <c r="AB205" s="36">
        <f>IF('My investments'!$C205="Money out",'My investments'!$D205,0)</f>
        <v/>
      </c>
      <c r="AC205" s="36">
        <f>IF('My investments'!$C205="Worth today",'My investments'!$D205,0)</f>
        <v/>
      </c>
      <c r="AE205" s="36">
        <f>IF('My investments'!$H$11="",0,IF('My investments'!$F205='My investments'!$H$11,'My investments'!$E205,0))</f>
        <v/>
      </c>
      <c r="AF205" s="36">
        <f>IF('My investments'!$H$12="",0,IF('My investments'!$F205='My investments'!$H$12,'My investments'!$E205,0))</f>
        <v/>
      </c>
      <c r="AG205" s="36">
        <f>IF('My investments'!$H$13="",0,IF('My investments'!$F205='My investments'!$H$13,'My investments'!$E205,0))</f>
        <v/>
      </c>
      <c r="AH205" s="36">
        <f>IF('My investments'!$H$14="",0,IF('My investments'!$F205='My investments'!$H$14,'My investments'!$E205,0))</f>
        <v/>
      </c>
      <c r="AI205" s="36">
        <f>IF('My investments'!$H$15="",0,IF('My investments'!$F205='My investments'!$H$15,'My investments'!$E205,0))</f>
        <v/>
      </c>
      <c r="AK205" s="36">
        <f>IF('My investments'!$H$11="",0,IF('My investments'!$F205='My investments'!$H$11,$AA205,0))</f>
        <v/>
      </c>
      <c r="AL205" s="36">
        <f>IF('My investments'!$H$12="",0,IF('My investments'!$F205='My investments'!$H$12,$AA205,0))</f>
        <v/>
      </c>
      <c r="AM205" s="36">
        <f>IF('My investments'!$H$13="",0,IF('My investments'!$F205='My investments'!$H$13,$AA205,0))</f>
        <v/>
      </c>
      <c r="AN205" s="36">
        <f>IF('My investments'!$H$14="",0,IF('My investments'!$F205='My investments'!$H$14,$AA205,0))</f>
        <v/>
      </c>
      <c r="AO205" s="36">
        <f>IF('My investments'!$H$15="",0,IF('My investments'!$F205='My investments'!$H$15,$AA205,0))</f>
        <v/>
      </c>
    </row>
    <row r="206" ht="15" customHeight="1" s="30">
      <c r="A206" s="36">
        <f>IF('My investments'!$C206="Worth today",1,0)</f>
        <v/>
      </c>
      <c r="B206" s="36">
        <f>IF('My investments'!$C206="Money in",1,0)</f>
        <v/>
      </c>
      <c r="AA206" s="36">
        <f>IF('My investments'!$C206="Money in",'My investments'!$D206,0)</f>
        <v/>
      </c>
      <c r="AB206" s="36">
        <f>IF('My investments'!$C206="Money out",'My investments'!$D206,0)</f>
        <v/>
      </c>
      <c r="AC206" s="36">
        <f>IF('My investments'!$C206="Worth today",'My investments'!$D206,0)</f>
        <v/>
      </c>
      <c r="AE206" s="36">
        <f>IF('My investments'!$H$11="",0,IF('My investments'!$F206='My investments'!$H$11,'My investments'!$E206,0))</f>
        <v/>
      </c>
      <c r="AF206" s="36">
        <f>IF('My investments'!$H$12="",0,IF('My investments'!$F206='My investments'!$H$12,'My investments'!$E206,0))</f>
        <v/>
      </c>
      <c r="AG206" s="36">
        <f>IF('My investments'!$H$13="",0,IF('My investments'!$F206='My investments'!$H$13,'My investments'!$E206,0))</f>
        <v/>
      </c>
      <c r="AH206" s="36">
        <f>IF('My investments'!$H$14="",0,IF('My investments'!$F206='My investments'!$H$14,'My investments'!$E206,0))</f>
        <v/>
      </c>
      <c r="AI206" s="36">
        <f>IF('My investments'!$H$15="",0,IF('My investments'!$F206='My investments'!$H$15,'My investments'!$E206,0))</f>
        <v/>
      </c>
      <c r="AK206" s="36">
        <f>IF('My investments'!$H$11="",0,IF('My investments'!$F206='My investments'!$H$11,$AA206,0))</f>
        <v/>
      </c>
      <c r="AL206" s="36">
        <f>IF('My investments'!$H$12="",0,IF('My investments'!$F206='My investments'!$H$12,$AA206,0))</f>
        <v/>
      </c>
      <c r="AM206" s="36">
        <f>IF('My investments'!$H$13="",0,IF('My investments'!$F206='My investments'!$H$13,$AA206,0))</f>
        <v/>
      </c>
      <c r="AN206" s="36">
        <f>IF('My investments'!$H$14="",0,IF('My investments'!$F206='My investments'!$H$14,$AA206,0))</f>
        <v/>
      </c>
      <c r="AO206" s="36">
        <f>IF('My investments'!$H$15="",0,IF('My investments'!$F206='My investments'!$H$15,$AA206,0))</f>
        <v/>
      </c>
    </row>
    <row r="207" ht="15" customHeight="1" s="30">
      <c r="A207" s="36">
        <f>IF('My investments'!$C207="Worth today",1,0)</f>
        <v/>
      </c>
      <c r="B207" s="36">
        <f>IF('My investments'!$C207="Money in",1,0)</f>
        <v/>
      </c>
      <c r="AA207" s="36">
        <f>IF('My investments'!$C207="Money in",'My investments'!$D207,0)</f>
        <v/>
      </c>
      <c r="AB207" s="36">
        <f>IF('My investments'!$C207="Money out",'My investments'!$D207,0)</f>
        <v/>
      </c>
      <c r="AC207" s="36">
        <f>IF('My investments'!$C207="Worth today",'My investments'!$D207,0)</f>
        <v/>
      </c>
      <c r="AE207" s="36">
        <f>IF('My investments'!$H$11="",0,IF('My investments'!$F207='My investments'!$H$11,'My investments'!$E207,0))</f>
        <v/>
      </c>
      <c r="AF207" s="36">
        <f>IF('My investments'!$H$12="",0,IF('My investments'!$F207='My investments'!$H$12,'My investments'!$E207,0))</f>
        <v/>
      </c>
      <c r="AG207" s="36">
        <f>IF('My investments'!$H$13="",0,IF('My investments'!$F207='My investments'!$H$13,'My investments'!$E207,0))</f>
        <v/>
      </c>
      <c r="AH207" s="36">
        <f>IF('My investments'!$H$14="",0,IF('My investments'!$F207='My investments'!$H$14,'My investments'!$E207,0))</f>
        <v/>
      </c>
      <c r="AI207" s="36">
        <f>IF('My investments'!$H$15="",0,IF('My investments'!$F207='My investments'!$H$15,'My investments'!$E207,0))</f>
        <v/>
      </c>
      <c r="AK207" s="36">
        <f>IF('My investments'!$H$11="",0,IF('My investments'!$F207='My investments'!$H$11,$AA207,0))</f>
        <v/>
      </c>
      <c r="AL207" s="36">
        <f>IF('My investments'!$H$12="",0,IF('My investments'!$F207='My investments'!$H$12,$AA207,0))</f>
        <v/>
      </c>
      <c r="AM207" s="36">
        <f>IF('My investments'!$H$13="",0,IF('My investments'!$F207='My investments'!$H$13,$AA207,0))</f>
        <v/>
      </c>
      <c r="AN207" s="36">
        <f>IF('My investments'!$H$14="",0,IF('My investments'!$F207='My investments'!$H$14,$AA207,0))</f>
        <v/>
      </c>
      <c r="AO207" s="36">
        <f>IF('My investments'!$H$15="",0,IF('My investments'!$F207='My investments'!$H$15,$AA207,0))</f>
        <v/>
      </c>
    </row>
    <row r="208" ht="15" customHeight="1" s="30">
      <c r="A208" s="36">
        <f>IF('My investments'!$C208="Worth today",1,0)</f>
        <v/>
      </c>
      <c r="B208" s="36">
        <f>IF('My investments'!$C208="Money in",1,0)</f>
        <v/>
      </c>
      <c r="AA208" s="36">
        <f>IF('My investments'!$C208="Money in",'My investments'!$D208,0)</f>
        <v/>
      </c>
      <c r="AB208" s="36">
        <f>IF('My investments'!$C208="Money out",'My investments'!$D208,0)</f>
        <v/>
      </c>
      <c r="AC208" s="36">
        <f>IF('My investments'!$C208="Worth today",'My investments'!$D208,0)</f>
        <v/>
      </c>
      <c r="AE208" s="36">
        <f>IF('My investments'!$H$11="",0,IF('My investments'!$F208='My investments'!$H$11,'My investments'!$E208,0))</f>
        <v/>
      </c>
      <c r="AF208" s="36">
        <f>IF('My investments'!$H$12="",0,IF('My investments'!$F208='My investments'!$H$12,'My investments'!$E208,0))</f>
        <v/>
      </c>
      <c r="AG208" s="36">
        <f>IF('My investments'!$H$13="",0,IF('My investments'!$F208='My investments'!$H$13,'My investments'!$E208,0))</f>
        <v/>
      </c>
      <c r="AH208" s="36">
        <f>IF('My investments'!$H$14="",0,IF('My investments'!$F208='My investments'!$H$14,'My investments'!$E208,0))</f>
        <v/>
      </c>
      <c r="AI208" s="36">
        <f>IF('My investments'!$H$15="",0,IF('My investments'!$F208='My investments'!$H$15,'My investments'!$E208,0))</f>
        <v/>
      </c>
      <c r="AK208" s="36">
        <f>IF('My investments'!$H$11="",0,IF('My investments'!$F208='My investments'!$H$11,$AA208,0))</f>
        <v/>
      </c>
      <c r="AL208" s="36">
        <f>IF('My investments'!$H$12="",0,IF('My investments'!$F208='My investments'!$H$12,$AA208,0))</f>
        <v/>
      </c>
      <c r="AM208" s="36">
        <f>IF('My investments'!$H$13="",0,IF('My investments'!$F208='My investments'!$H$13,$AA208,0))</f>
        <v/>
      </c>
      <c r="AN208" s="36">
        <f>IF('My investments'!$H$14="",0,IF('My investments'!$F208='My investments'!$H$14,$AA208,0))</f>
        <v/>
      </c>
      <c r="AO208" s="36">
        <f>IF('My investments'!$H$15="",0,IF('My investments'!$F208='My investments'!$H$15,$AA208,0))</f>
        <v/>
      </c>
    </row>
    <row r="209" ht="15" customHeight="1" s="30">
      <c r="A209" s="36">
        <f>IF('My investments'!$C209="Worth today",1,0)</f>
        <v/>
      </c>
      <c r="B209" s="36">
        <f>IF('My investments'!$C209="Money in",1,0)</f>
        <v/>
      </c>
      <c r="AA209" s="36">
        <f>IF('My investments'!$C209="Money in",'My investments'!$D209,0)</f>
        <v/>
      </c>
      <c r="AB209" s="36">
        <f>IF('My investments'!$C209="Money out",'My investments'!$D209,0)</f>
        <v/>
      </c>
      <c r="AC209" s="36">
        <f>IF('My investments'!$C209="Worth today",'My investments'!$D209,0)</f>
        <v/>
      </c>
      <c r="AE209" s="36">
        <f>IF('My investments'!$H$11="",0,IF('My investments'!$F209='My investments'!$H$11,'My investments'!$E209,0))</f>
        <v/>
      </c>
      <c r="AF209" s="36">
        <f>IF('My investments'!$H$12="",0,IF('My investments'!$F209='My investments'!$H$12,'My investments'!$E209,0))</f>
        <v/>
      </c>
      <c r="AG209" s="36">
        <f>IF('My investments'!$H$13="",0,IF('My investments'!$F209='My investments'!$H$13,'My investments'!$E209,0))</f>
        <v/>
      </c>
      <c r="AH209" s="36">
        <f>IF('My investments'!$H$14="",0,IF('My investments'!$F209='My investments'!$H$14,'My investments'!$E209,0))</f>
        <v/>
      </c>
      <c r="AI209" s="36">
        <f>IF('My investments'!$H$15="",0,IF('My investments'!$F209='My investments'!$H$15,'My investments'!$E209,0))</f>
        <v/>
      </c>
      <c r="AK209" s="36">
        <f>IF('My investments'!$H$11="",0,IF('My investments'!$F209='My investments'!$H$11,$AA209,0))</f>
        <v/>
      </c>
      <c r="AL209" s="36">
        <f>IF('My investments'!$H$12="",0,IF('My investments'!$F209='My investments'!$H$12,$AA209,0))</f>
        <v/>
      </c>
      <c r="AM209" s="36">
        <f>IF('My investments'!$H$13="",0,IF('My investments'!$F209='My investments'!$H$13,$AA209,0))</f>
        <v/>
      </c>
      <c r="AN209" s="36">
        <f>IF('My investments'!$H$14="",0,IF('My investments'!$F209='My investments'!$H$14,$AA209,0))</f>
        <v/>
      </c>
      <c r="AO209" s="36">
        <f>IF('My investments'!$H$15="",0,IF('My investments'!$F209='My investments'!$H$15,$AA209,0))</f>
        <v/>
      </c>
    </row>
    <row r="210" ht="15" customHeight="1" s="30">
      <c r="A210" s="36">
        <f>IF('My investments'!$C210="Worth today",1,0)</f>
        <v/>
      </c>
      <c r="B210" s="36">
        <f>IF('My investments'!$C210="Money in",1,0)</f>
        <v/>
      </c>
      <c r="AA210" s="36">
        <f>IF('My investments'!$C210="Money in",'My investments'!$D210,0)</f>
        <v/>
      </c>
      <c r="AB210" s="36">
        <f>IF('My investments'!$C210="Money out",'My investments'!$D210,0)</f>
        <v/>
      </c>
      <c r="AC210" s="36">
        <f>IF('My investments'!$C210="Worth today",'My investments'!$D210,0)</f>
        <v/>
      </c>
      <c r="AE210" s="36">
        <f>IF('My investments'!$H$11="",0,IF('My investments'!$F210='My investments'!$H$11,'My investments'!$E210,0))</f>
        <v/>
      </c>
      <c r="AF210" s="36">
        <f>IF('My investments'!$H$12="",0,IF('My investments'!$F210='My investments'!$H$12,'My investments'!$E210,0))</f>
        <v/>
      </c>
      <c r="AG210" s="36">
        <f>IF('My investments'!$H$13="",0,IF('My investments'!$F210='My investments'!$H$13,'My investments'!$E210,0))</f>
        <v/>
      </c>
      <c r="AH210" s="36">
        <f>IF('My investments'!$H$14="",0,IF('My investments'!$F210='My investments'!$H$14,'My investments'!$E210,0))</f>
        <v/>
      </c>
      <c r="AI210" s="36">
        <f>IF('My investments'!$H$15="",0,IF('My investments'!$F210='My investments'!$H$15,'My investments'!$E210,0))</f>
        <v/>
      </c>
      <c r="AK210" s="36">
        <f>IF('My investments'!$H$11="",0,IF('My investments'!$F210='My investments'!$H$11,$AA210,0))</f>
        <v/>
      </c>
      <c r="AL210" s="36">
        <f>IF('My investments'!$H$12="",0,IF('My investments'!$F210='My investments'!$H$12,$AA210,0))</f>
        <v/>
      </c>
      <c r="AM210" s="36">
        <f>IF('My investments'!$H$13="",0,IF('My investments'!$F210='My investments'!$H$13,$AA210,0))</f>
        <v/>
      </c>
      <c r="AN210" s="36">
        <f>IF('My investments'!$H$14="",0,IF('My investments'!$F210='My investments'!$H$14,$AA210,0))</f>
        <v/>
      </c>
      <c r="AO210" s="36">
        <f>IF('My investments'!$H$15="",0,IF('My investments'!$F210='My investments'!$H$15,$AA210,0))</f>
        <v/>
      </c>
    </row>
    <row r="211" ht="15" customHeight="1" s="30">
      <c r="A211" s="36">
        <f>IF('My investments'!$C211="Worth today",1,0)</f>
        <v/>
      </c>
      <c r="B211" s="36">
        <f>IF('My investments'!$C211="Money in",1,0)</f>
        <v/>
      </c>
      <c r="AA211" s="36">
        <f>IF('My investments'!$C211="Money in",'My investments'!$D211,0)</f>
        <v/>
      </c>
      <c r="AB211" s="36">
        <f>IF('My investments'!$C211="Money out",'My investments'!$D211,0)</f>
        <v/>
      </c>
      <c r="AC211" s="36">
        <f>IF('My investments'!$C211="Worth today",'My investments'!$D211,0)</f>
        <v/>
      </c>
      <c r="AE211" s="36">
        <f>IF('My investments'!$H$11="",0,IF('My investments'!$F211='My investments'!$H$11,'My investments'!$E211,0))</f>
        <v/>
      </c>
      <c r="AF211" s="36">
        <f>IF('My investments'!$H$12="",0,IF('My investments'!$F211='My investments'!$H$12,'My investments'!$E211,0))</f>
        <v/>
      </c>
      <c r="AG211" s="36">
        <f>IF('My investments'!$H$13="",0,IF('My investments'!$F211='My investments'!$H$13,'My investments'!$E211,0))</f>
        <v/>
      </c>
      <c r="AH211" s="36">
        <f>IF('My investments'!$H$14="",0,IF('My investments'!$F211='My investments'!$H$14,'My investments'!$E211,0))</f>
        <v/>
      </c>
      <c r="AI211" s="36">
        <f>IF('My investments'!$H$15="",0,IF('My investments'!$F211='My investments'!$H$15,'My investments'!$E211,0))</f>
        <v/>
      </c>
      <c r="AK211" s="36">
        <f>IF('My investments'!$H$11="",0,IF('My investments'!$F211='My investments'!$H$11,$AA211,0))</f>
        <v/>
      </c>
      <c r="AL211" s="36">
        <f>IF('My investments'!$H$12="",0,IF('My investments'!$F211='My investments'!$H$12,$AA211,0))</f>
        <v/>
      </c>
      <c r="AM211" s="36">
        <f>IF('My investments'!$H$13="",0,IF('My investments'!$F211='My investments'!$H$13,$AA211,0))</f>
        <v/>
      </c>
      <c r="AN211" s="36">
        <f>IF('My investments'!$H$14="",0,IF('My investments'!$F211='My investments'!$H$14,$AA211,0))</f>
        <v/>
      </c>
      <c r="AO211" s="36">
        <f>IF('My investments'!$H$15="",0,IF('My investments'!$F211='My investments'!$H$15,$AA211,0))</f>
        <v/>
      </c>
    </row>
    <row r="212" ht="15" customHeight="1" s="30">
      <c r="A212" s="36">
        <f>IF('My investments'!$C212="Worth today",1,0)</f>
        <v/>
      </c>
      <c r="B212" s="36">
        <f>IF('My investments'!$C212="Money in",1,0)</f>
        <v/>
      </c>
      <c r="AA212" s="36">
        <f>IF('My investments'!$C212="Money in",'My investments'!$D212,0)</f>
        <v/>
      </c>
      <c r="AB212" s="36">
        <f>IF('My investments'!$C212="Money out",'My investments'!$D212,0)</f>
        <v/>
      </c>
      <c r="AC212" s="36">
        <f>IF('My investments'!$C212="Worth today",'My investments'!$D212,0)</f>
        <v/>
      </c>
      <c r="AE212" s="36">
        <f>IF('My investments'!$H$11="",0,IF('My investments'!$F212='My investments'!$H$11,'My investments'!$E212,0))</f>
        <v/>
      </c>
      <c r="AF212" s="36">
        <f>IF('My investments'!$H$12="",0,IF('My investments'!$F212='My investments'!$H$12,'My investments'!$E212,0))</f>
        <v/>
      </c>
      <c r="AG212" s="36">
        <f>IF('My investments'!$H$13="",0,IF('My investments'!$F212='My investments'!$H$13,'My investments'!$E212,0))</f>
        <v/>
      </c>
      <c r="AH212" s="36">
        <f>IF('My investments'!$H$14="",0,IF('My investments'!$F212='My investments'!$H$14,'My investments'!$E212,0))</f>
        <v/>
      </c>
      <c r="AI212" s="36">
        <f>IF('My investments'!$H$15="",0,IF('My investments'!$F212='My investments'!$H$15,'My investments'!$E212,0))</f>
        <v/>
      </c>
      <c r="AK212" s="36">
        <f>IF('My investments'!$H$11="",0,IF('My investments'!$F212='My investments'!$H$11,$AA212,0))</f>
        <v/>
      </c>
      <c r="AL212" s="36">
        <f>IF('My investments'!$H$12="",0,IF('My investments'!$F212='My investments'!$H$12,$AA212,0))</f>
        <v/>
      </c>
      <c r="AM212" s="36">
        <f>IF('My investments'!$H$13="",0,IF('My investments'!$F212='My investments'!$H$13,$AA212,0))</f>
        <v/>
      </c>
      <c r="AN212" s="36">
        <f>IF('My investments'!$H$14="",0,IF('My investments'!$F212='My investments'!$H$14,$AA212,0))</f>
        <v/>
      </c>
      <c r="AO212" s="36">
        <f>IF('My investments'!$H$15="",0,IF('My investments'!$F212='My investments'!$H$15,$AA212,0))</f>
        <v/>
      </c>
    </row>
    <row r="213" ht="15" customHeight="1" s="30">
      <c r="A213" s="36">
        <f>IF('My investments'!$C213="Worth today",1,0)</f>
        <v/>
      </c>
      <c r="B213" s="36">
        <f>IF('My investments'!$C213="Money in",1,0)</f>
        <v/>
      </c>
      <c r="AA213" s="36">
        <f>IF('My investments'!$C213="Money in",'My investments'!$D213,0)</f>
        <v/>
      </c>
      <c r="AB213" s="36">
        <f>IF('My investments'!$C213="Money out",'My investments'!$D213,0)</f>
        <v/>
      </c>
      <c r="AC213" s="36">
        <f>IF('My investments'!$C213="Worth today",'My investments'!$D213,0)</f>
        <v/>
      </c>
      <c r="AE213" s="36">
        <f>IF('My investments'!$H$11="",0,IF('My investments'!$F213='My investments'!$H$11,'My investments'!$E213,0))</f>
        <v/>
      </c>
      <c r="AF213" s="36">
        <f>IF('My investments'!$H$12="",0,IF('My investments'!$F213='My investments'!$H$12,'My investments'!$E213,0))</f>
        <v/>
      </c>
      <c r="AG213" s="36">
        <f>IF('My investments'!$H$13="",0,IF('My investments'!$F213='My investments'!$H$13,'My investments'!$E213,0))</f>
        <v/>
      </c>
      <c r="AH213" s="36">
        <f>IF('My investments'!$H$14="",0,IF('My investments'!$F213='My investments'!$H$14,'My investments'!$E213,0))</f>
        <v/>
      </c>
      <c r="AI213" s="36">
        <f>IF('My investments'!$H$15="",0,IF('My investments'!$F213='My investments'!$H$15,'My investments'!$E213,0))</f>
        <v/>
      </c>
      <c r="AK213" s="36">
        <f>IF('My investments'!$H$11="",0,IF('My investments'!$F213='My investments'!$H$11,$AA213,0))</f>
        <v/>
      </c>
      <c r="AL213" s="36">
        <f>IF('My investments'!$H$12="",0,IF('My investments'!$F213='My investments'!$H$12,$AA213,0))</f>
        <v/>
      </c>
      <c r="AM213" s="36">
        <f>IF('My investments'!$H$13="",0,IF('My investments'!$F213='My investments'!$H$13,$AA213,0))</f>
        <v/>
      </c>
      <c r="AN213" s="36">
        <f>IF('My investments'!$H$14="",0,IF('My investments'!$F213='My investments'!$H$14,$AA213,0))</f>
        <v/>
      </c>
      <c r="AO213" s="36">
        <f>IF('My investments'!$H$15="",0,IF('My investments'!$F213='My investments'!$H$15,$AA213,0))</f>
        <v/>
      </c>
    </row>
    <row r="214" ht="15" customHeight="1" s="30">
      <c r="A214" s="36">
        <f>IF('My investments'!$C214="Worth today",1,0)</f>
        <v/>
      </c>
      <c r="B214" s="36">
        <f>IF('My investments'!$C214="Money in",1,0)</f>
        <v/>
      </c>
      <c r="AA214" s="36">
        <f>IF('My investments'!$C214="Money in",'My investments'!$D214,0)</f>
        <v/>
      </c>
      <c r="AB214" s="36">
        <f>IF('My investments'!$C214="Money out",'My investments'!$D214,0)</f>
        <v/>
      </c>
      <c r="AC214" s="36">
        <f>IF('My investments'!$C214="Worth today",'My investments'!$D214,0)</f>
        <v/>
      </c>
      <c r="AE214" s="36">
        <f>IF('My investments'!$H$11="",0,IF('My investments'!$F214='My investments'!$H$11,'My investments'!$E214,0))</f>
        <v/>
      </c>
      <c r="AF214" s="36">
        <f>IF('My investments'!$H$12="",0,IF('My investments'!$F214='My investments'!$H$12,'My investments'!$E214,0))</f>
        <v/>
      </c>
      <c r="AG214" s="36">
        <f>IF('My investments'!$H$13="",0,IF('My investments'!$F214='My investments'!$H$13,'My investments'!$E214,0))</f>
        <v/>
      </c>
      <c r="AH214" s="36">
        <f>IF('My investments'!$H$14="",0,IF('My investments'!$F214='My investments'!$H$14,'My investments'!$E214,0))</f>
        <v/>
      </c>
      <c r="AI214" s="36">
        <f>IF('My investments'!$H$15="",0,IF('My investments'!$F214='My investments'!$H$15,'My investments'!$E214,0))</f>
        <v/>
      </c>
      <c r="AK214" s="36">
        <f>IF('My investments'!$H$11="",0,IF('My investments'!$F214='My investments'!$H$11,$AA214,0))</f>
        <v/>
      </c>
      <c r="AL214" s="36">
        <f>IF('My investments'!$H$12="",0,IF('My investments'!$F214='My investments'!$H$12,$AA214,0))</f>
        <v/>
      </c>
      <c r="AM214" s="36">
        <f>IF('My investments'!$H$13="",0,IF('My investments'!$F214='My investments'!$H$13,$AA214,0))</f>
        <v/>
      </c>
      <c r="AN214" s="36">
        <f>IF('My investments'!$H$14="",0,IF('My investments'!$F214='My investments'!$H$14,$AA214,0))</f>
        <v/>
      </c>
      <c r="AO214" s="36">
        <f>IF('My investments'!$H$15="",0,IF('My investments'!$F214='My investments'!$H$15,$AA214,0))</f>
        <v/>
      </c>
    </row>
    <row r="215" ht="15" customHeight="1" s="30">
      <c r="A215" s="36">
        <f>IF('My investments'!$C215="Worth today",1,0)</f>
        <v/>
      </c>
      <c r="B215" s="36">
        <f>IF('My investments'!$C215="Money in",1,0)</f>
        <v/>
      </c>
      <c r="AA215" s="36">
        <f>IF('My investments'!$C215="Money in",'My investments'!$D215,0)</f>
        <v/>
      </c>
      <c r="AB215" s="36">
        <f>IF('My investments'!$C215="Money out",'My investments'!$D215,0)</f>
        <v/>
      </c>
      <c r="AC215" s="36">
        <f>IF('My investments'!$C215="Worth today",'My investments'!$D215,0)</f>
        <v/>
      </c>
      <c r="AE215" s="36">
        <f>IF('My investments'!$H$11="",0,IF('My investments'!$F215='My investments'!$H$11,'My investments'!$E215,0))</f>
        <v/>
      </c>
      <c r="AF215" s="36">
        <f>IF('My investments'!$H$12="",0,IF('My investments'!$F215='My investments'!$H$12,'My investments'!$E215,0))</f>
        <v/>
      </c>
      <c r="AG215" s="36">
        <f>IF('My investments'!$H$13="",0,IF('My investments'!$F215='My investments'!$H$13,'My investments'!$E215,0))</f>
        <v/>
      </c>
      <c r="AH215" s="36">
        <f>IF('My investments'!$H$14="",0,IF('My investments'!$F215='My investments'!$H$14,'My investments'!$E215,0))</f>
        <v/>
      </c>
      <c r="AI215" s="36">
        <f>IF('My investments'!$H$15="",0,IF('My investments'!$F215='My investments'!$H$15,'My investments'!$E215,0))</f>
        <v/>
      </c>
      <c r="AK215" s="36">
        <f>IF('My investments'!$H$11="",0,IF('My investments'!$F215='My investments'!$H$11,$AA215,0))</f>
        <v/>
      </c>
      <c r="AL215" s="36">
        <f>IF('My investments'!$H$12="",0,IF('My investments'!$F215='My investments'!$H$12,$AA215,0))</f>
        <v/>
      </c>
      <c r="AM215" s="36">
        <f>IF('My investments'!$H$13="",0,IF('My investments'!$F215='My investments'!$H$13,$AA215,0))</f>
        <v/>
      </c>
      <c r="AN215" s="36">
        <f>IF('My investments'!$H$14="",0,IF('My investments'!$F215='My investments'!$H$14,$AA215,0))</f>
        <v/>
      </c>
      <c r="AO215" s="36">
        <f>IF('My investments'!$H$15="",0,IF('My investments'!$F215='My investments'!$H$15,$AA215,0))</f>
        <v/>
      </c>
    </row>
    <row r="216" ht="15" customHeight="1" s="30">
      <c r="A216" s="36">
        <f>IF('My investments'!$C216="Worth today",1,0)</f>
        <v/>
      </c>
      <c r="B216" s="36">
        <f>IF('My investments'!$C216="Money in",1,0)</f>
        <v/>
      </c>
      <c r="AA216" s="36">
        <f>IF('My investments'!$C216="Money in",'My investments'!$D216,0)</f>
        <v/>
      </c>
      <c r="AB216" s="36">
        <f>IF('My investments'!$C216="Money out",'My investments'!$D216,0)</f>
        <v/>
      </c>
      <c r="AC216" s="36">
        <f>IF('My investments'!$C216="Worth today",'My investments'!$D216,0)</f>
        <v/>
      </c>
      <c r="AE216" s="36">
        <f>IF('My investments'!$H$11="",0,IF('My investments'!$F216='My investments'!$H$11,'My investments'!$E216,0))</f>
        <v/>
      </c>
      <c r="AF216" s="36">
        <f>IF('My investments'!$H$12="",0,IF('My investments'!$F216='My investments'!$H$12,'My investments'!$E216,0))</f>
        <v/>
      </c>
      <c r="AG216" s="36">
        <f>IF('My investments'!$H$13="",0,IF('My investments'!$F216='My investments'!$H$13,'My investments'!$E216,0))</f>
        <v/>
      </c>
      <c r="AH216" s="36">
        <f>IF('My investments'!$H$14="",0,IF('My investments'!$F216='My investments'!$H$14,'My investments'!$E216,0))</f>
        <v/>
      </c>
      <c r="AI216" s="36">
        <f>IF('My investments'!$H$15="",0,IF('My investments'!$F216='My investments'!$H$15,'My investments'!$E216,0))</f>
        <v/>
      </c>
      <c r="AK216" s="36">
        <f>IF('My investments'!$H$11="",0,IF('My investments'!$F216='My investments'!$H$11,$AA216,0))</f>
        <v/>
      </c>
      <c r="AL216" s="36">
        <f>IF('My investments'!$H$12="",0,IF('My investments'!$F216='My investments'!$H$12,$AA216,0))</f>
        <v/>
      </c>
      <c r="AM216" s="36">
        <f>IF('My investments'!$H$13="",0,IF('My investments'!$F216='My investments'!$H$13,$AA216,0))</f>
        <v/>
      </c>
      <c r="AN216" s="36">
        <f>IF('My investments'!$H$14="",0,IF('My investments'!$F216='My investments'!$H$14,$AA216,0))</f>
        <v/>
      </c>
      <c r="AO216" s="36">
        <f>IF('My investments'!$H$15="",0,IF('My investments'!$F216='My investments'!$H$15,$AA216,0))</f>
        <v/>
      </c>
    </row>
    <row r="217" ht="15" customHeight="1" s="30">
      <c r="A217" s="36">
        <f>IF('My investments'!$C217="Worth today",1,0)</f>
        <v/>
      </c>
      <c r="B217" s="36">
        <f>IF('My investments'!$C217="Money in",1,0)</f>
        <v/>
      </c>
      <c r="AA217" s="36">
        <f>IF('My investments'!$C217="Money in",'My investments'!$D217,0)</f>
        <v/>
      </c>
      <c r="AB217" s="36">
        <f>IF('My investments'!$C217="Money out",'My investments'!$D217,0)</f>
        <v/>
      </c>
      <c r="AC217" s="36">
        <f>IF('My investments'!$C217="Worth today",'My investments'!$D217,0)</f>
        <v/>
      </c>
      <c r="AE217" s="36">
        <f>IF('My investments'!$H$11="",0,IF('My investments'!$F217='My investments'!$H$11,'My investments'!$E217,0))</f>
        <v/>
      </c>
      <c r="AF217" s="36">
        <f>IF('My investments'!$H$12="",0,IF('My investments'!$F217='My investments'!$H$12,'My investments'!$E217,0))</f>
        <v/>
      </c>
      <c r="AG217" s="36">
        <f>IF('My investments'!$H$13="",0,IF('My investments'!$F217='My investments'!$H$13,'My investments'!$E217,0))</f>
        <v/>
      </c>
      <c r="AH217" s="36">
        <f>IF('My investments'!$H$14="",0,IF('My investments'!$F217='My investments'!$H$14,'My investments'!$E217,0))</f>
        <v/>
      </c>
      <c r="AI217" s="36">
        <f>IF('My investments'!$H$15="",0,IF('My investments'!$F217='My investments'!$H$15,'My investments'!$E217,0))</f>
        <v/>
      </c>
      <c r="AK217" s="36">
        <f>IF('My investments'!$H$11="",0,IF('My investments'!$F217='My investments'!$H$11,$AA217,0))</f>
        <v/>
      </c>
      <c r="AL217" s="36">
        <f>IF('My investments'!$H$12="",0,IF('My investments'!$F217='My investments'!$H$12,$AA217,0))</f>
        <v/>
      </c>
      <c r="AM217" s="36">
        <f>IF('My investments'!$H$13="",0,IF('My investments'!$F217='My investments'!$H$13,$AA217,0))</f>
        <v/>
      </c>
      <c r="AN217" s="36">
        <f>IF('My investments'!$H$14="",0,IF('My investments'!$F217='My investments'!$H$14,$AA217,0))</f>
        <v/>
      </c>
      <c r="AO217" s="36">
        <f>IF('My investments'!$H$15="",0,IF('My investments'!$F217='My investments'!$H$15,$AA217,0))</f>
        <v/>
      </c>
    </row>
    <row r="218" ht="15" customHeight="1" s="30">
      <c r="A218" s="36">
        <f>IF('My investments'!$C218="Worth today",1,0)</f>
        <v/>
      </c>
      <c r="B218" s="36">
        <f>IF('My investments'!$C218="Money in",1,0)</f>
        <v/>
      </c>
      <c r="AA218" s="36">
        <f>IF('My investments'!$C218="Money in",'My investments'!$D218,0)</f>
        <v/>
      </c>
      <c r="AB218" s="36">
        <f>IF('My investments'!$C218="Money out",'My investments'!$D218,0)</f>
        <v/>
      </c>
      <c r="AC218" s="36">
        <f>IF('My investments'!$C218="Worth today",'My investments'!$D218,0)</f>
        <v/>
      </c>
      <c r="AE218" s="36">
        <f>IF('My investments'!$H$11="",0,IF('My investments'!$F218='My investments'!$H$11,'My investments'!$E218,0))</f>
        <v/>
      </c>
      <c r="AF218" s="36">
        <f>IF('My investments'!$H$12="",0,IF('My investments'!$F218='My investments'!$H$12,'My investments'!$E218,0))</f>
        <v/>
      </c>
      <c r="AG218" s="36">
        <f>IF('My investments'!$H$13="",0,IF('My investments'!$F218='My investments'!$H$13,'My investments'!$E218,0))</f>
        <v/>
      </c>
      <c r="AH218" s="36">
        <f>IF('My investments'!$H$14="",0,IF('My investments'!$F218='My investments'!$H$14,'My investments'!$E218,0))</f>
        <v/>
      </c>
      <c r="AI218" s="36">
        <f>IF('My investments'!$H$15="",0,IF('My investments'!$F218='My investments'!$H$15,'My investments'!$E218,0))</f>
        <v/>
      </c>
      <c r="AK218" s="36">
        <f>IF('My investments'!$H$11="",0,IF('My investments'!$F218='My investments'!$H$11,$AA218,0))</f>
        <v/>
      </c>
      <c r="AL218" s="36">
        <f>IF('My investments'!$H$12="",0,IF('My investments'!$F218='My investments'!$H$12,$AA218,0))</f>
        <v/>
      </c>
      <c r="AM218" s="36">
        <f>IF('My investments'!$H$13="",0,IF('My investments'!$F218='My investments'!$H$13,$AA218,0))</f>
        <v/>
      </c>
      <c r="AN218" s="36">
        <f>IF('My investments'!$H$14="",0,IF('My investments'!$F218='My investments'!$H$14,$AA218,0))</f>
        <v/>
      </c>
      <c r="AO218" s="36">
        <f>IF('My investments'!$H$15="",0,IF('My investments'!$F218='My investments'!$H$15,$AA218,0))</f>
        <v/>
      </c>
    </row>
    <row r="219" ht="15" customHeight="1" s="30">
      <c r="A219" s="36">
        <f>IF('My investments'!$C219="Worth today",1,0)</f>
        <v/>
      </c>
      <c r="B219" s="36">
        <f>IF('My investments'!$C219="Money in",1,0)</f>
        <v/>
      </c>
      <c r="AA219" s="36">
        <f>IF('My investments'!$C219="Money in",'My investments'!$D219,0)</f>
        <v/>
      </c>
      <c r="AB219" s="36">
        <f>IF('My investments'!$C219="Money out",'My investments'!$D219,0)</f>
        <v/>
      </c>
      <c r="AC219" s="36">
        <f>IF('My investments'!$C219="Worth today",'My investments'!$D219,0)</f>
        <v/>
      </c>
      <c r="AE219" s="36">
        <f>IF('My investments'!$H$11="",0,IF('My investments'!$F219='My investments'!$H$11,'My investments'!$E219,0))</f>
        <v/>
      </c>
      <c r="AF219" s="36">
        <f>IF('My investments'!$H$12="",0,IF('My investments'!$F219='My investments'!$H$12,'My investments'!$E219,0))</f>
        <v/>
      </c>
      <c r="AG219" s="36">
        <f>IF('My investments'!$H$13="",0,IF('My investments'!$F219='My investments'!$H$13,'My investments'!$E219,0))</f>
        <v/>
      </c>
      <c r="AH219" s="36">
        <f>IF('My investments'!$H$14="",0,IF('My investments'!$F219='My investments'!$H$14,'My investments'!$E219,0))</f>
        <v/>
      </c>
      <c r="AI219" s="36">
        <f>IF('My investments'!$H$15="",0,IF('My investments'!$F219='My investments'!$H$15,'My investments'!$E219,0))</f>
        <v/>
      </c>
      <c r="AK219" s="36">
        <f>IF('My investments'!$H$11="",0,IF('My investments'!$F219='My investments'!$H$11,$AA219,0))</f>
        <v/>
      </c>
      <c r="AL219" s="36">
        <f>IF('My investments'!$H$12="",0,IF('My investments'!$F219='My investments'!$H$12,$AA219,0))</f>
        <v/>
      </c>
      <c r="AM219" s="36">
        <f>IF('My investments'!$H$13="",0,IF('My investments'!$F219='My investments'!$H$13,$AA219,0))</f>
        <v/>
      </c>
      <c r="AN219" s="36">
        <f>IF('My investments'!$H$14="",0,IF('My investments'!$F219='My investments'!$H$14,$AA219,0))</f>
        <v/>
      </c>
      <c r="AO219" s="36">
        <f>IF('My investments'!$H$15="",0,IF('My investments'!$F219='My investments'!$H$15,$AA219,0))</f>
        <v/>
      </c>
    </row>
    <row r="220" ht="15" customHeight="1" s="30">
      <c r="A220" s="36">
        <f>IF('My investments'!$C220="Worth today",1,0)</f>
        <v/>
      </c>
      <c r="B220" s="36">
        <f>IF('My investments'!$C220="Money in",1,0)</f>
        <v/>
      </c>
      <c r="AA220" s="36">
        <f>IF('My investments'!$C220="Money in",'My investments'!$D220,0)</f>
        <v/>
      </c>
      <c r="AB220" s="36">
        <f>IF('My investments'!$C220="Money out",'My investments'!$D220,0)</f>
        <v/>
      </c>
      <c r="AC220" s="36">
        <f>IF('My investments'!$C220="Worth today",'My investments'!$D220,0)</f>
        <v/>
      </c>
      <c r="AE220" s="36">
        <f>IF('My investments'!$H$11="",0,IF('My investments'!$F220='My investments'!$H$11,'My investments'!$E220,0))</f>
        <v/>
      </c>
      <c r="AF220" s="36">
        <f>IF('My investments'!$H$12="",0,IF('My investments'!$F220='My investments'!$H$12,'My investments'!$E220,0))</f>
        <v/>
      </c>
      <c r="AG220" s="36">
        <f>IF('My investments'!$H$13="",0,IF('My investments'!$F220='My investments'!$H$13,'My investments'!$E220,0))</f>
        <v/>
      </c>
      <c r="AH220" s="36">
        <f>IF('My investments'!$H$14="",0,IF('My investments'!$F220='My investments'!$H$14,'My investments'!$E220,0))</f>
        <v/>
      </c>
      <c r="AI220" s="36">
        <f>IF('My investments'!$H$15="",0,IF('My investments'!$F220='My investments'!$H$15,'My investments'!$E220,0))</f>
        <v/>
      </c>
      <c r="AK220" s="36">
        <f>IF('My investments'!$H$11="",0,IF('My investments'!$F220='My investments'!$H$11,$AA220,0))</f>
        <v/>
      </c>
      <c r="AL220" s="36">
        <f>IF('My investments'!$H$12="",0,IF('My investments'!$F220='My investments'!$H$12,$AA220,0))</f>
        <v/>
      </c>
      <c r="AM220" s="36">
        <f>IF('My investments'!$H$13="",0,IF('My investments'!$F220='My investments'!$H$13,$AA220,0))</f>
        <v/>
      </c>
      <c r="AN220" s="36">
        <f>IF('My investments'!$H$14="",0,IF('My investments'!$F220='My investments'!$H$14,$AA220,0))</f>
        <v/>
      </c>
      <c r="AO220" s="36">
        <f>IF('My investments'!$H$15="",0,IF('My investments'!$F220='My investments'!$H$15,$AA220,0))</f>
        <v/>
      </c>
    </row>
    <row r="221" ht="15" customHeight="1" s="30">
      <c r="A221" s="36">
        <f>IF('My investments'!$C221="Worth today",1,0)</f>
        <v/>
      </c>
      <c r="B221" s="36">
        <f>IF('My investments'!$C221="Money in",1,0)</f>
        <v/>
      </c>
      <c r="AA221" s="36">
        <f>IF('My investments'!$C221="Money in",'My investments'!$D221,0)</f>
        <v/>
      </c>
      <c r="AB221" s="36">
        <f>IF('My investments'!$C221="Money out",'My investments'!$D221,0)</f>
        <v/>
      </c>
      <c r="AC221" s="36">
        <f>IF('My investments'!$C221="Worth today",'My investments'!$D221,0)</f>
        <v/>
      </c>
      <c r="AE221" s="36">
        <f>IF('My investments'!$H$11="",0,IF('My investments'!$F221='My investments'!$H$11,'My investments'!$E221,0))</f>
        <v/>
      </c>
      <c r="AF221" s="36">
        <f>IF('My investments'!$H$12="",0,IF('My investments'!$F221='My investments'!$H$12,'My investments'!$E221,0))</f>
        <v/>
      </c>
      <c r="AG221" s="36">
        <f>IF('My investments'!$H$13="",0,IF('My investments'!$F221='My investments'!$H$13,'My investments'!$E221,0))</f>
        <v/>
      </c>
      <c r="AH221" s="36">
        <f>IF('My investments'!$H$14="",0,IF('My investments'!$F221='My investments'!$H$14,'My investments'!$E221,0))</f>
        <v/>
      </c>
      <c r="AI221" s="36">
        <f>IF('My investments'!$H$15="",0,IF('My investments'!$F221='My investments'!$H$15,'My investments'!$E221,0))</f>
        <v/>
      </c>
      <c r="AK221" s="36">
        <f>IF('My investments'!$H$11="",0,IF('My investments'!$F221='My investments'!$H$11,$AA221,0))</f>
        <v/>
      </c>
      <c r="AL221" s="36">
        <f>IF('My investments'!$H$12="",0,IF('My investments'!$F221='My investments'!$H$12,$AA221,0))</f>
        <v/>
      </c>
      <c r="AM221" s="36">
        <f>IF('My investments'!$H$13="",0,IF('My investments'!$F221='My investments'!$H$13,$AA221,0))</f>
        <v/>
      </c>
      <c r="AN221" s="36">
        <f>IF('My investments'!$H$14="",0,IF('My investments'!$F221='My investments'!$H$14,$AA221,0))</f>
        <v/>
      </c>
      <c r="AO221" s="36">
        <f>IF('My investments'!$H$15="",0,IF('My investments'!$F221='My investments'!$H$15,$AA221,0))</f>
        <v/>
      </c>
    </row>
    <row r="222" ht="15" customHeight="1" s="30">
      <c r="A222" s="36">
        <f>IF('My investments'!$C222="Worth today",1,0)</f>
        <v/>
      </c>
      <c r="B222" s="36">
        <f>IF('My investments'!$C222="Money in",1,0)</f>
        <v/>
      </c>
      <c r="AA222" s="36">
        <f>IF('My investments'!$C222="Money in",'My investments'!$D222,0)</f>
        <v/>
      </c>
      <c r="AB222" s="36">
        <f>IF('My investments'!$C222="Money out",'My investments'!$D222,0)</f>
        <v/>
      </c>
      <c r="AC222" s="36">
        <f>IF('My investments'!$C222="Worth today",'My investments'!$D222,0)</f>
        <v/>
      </c>
      <c r="AE222" s="36">
        <f>IF('My investments'!$H$11="",0,IF('My investments'!$F222='My investments'!$H$11,'My investments'!$E222,0))</f>
        <v/>
      </c>
      <c r="AF222" s="36">
        <f>IF('My investments'!$H$12="",0,IF('My investments'!$F222='My investments'!$H$12,'My investments'!$E222,0))</f>
        <v/>
      </c>
      <c r="AG222" s="36">
        <f>IF('My investments'!$H$13="",0,IF('My investments'!$F222='My investments'!$H$13,'My investments'!$E222,0))</f>
        <v/>
      </c>
      <c r="AH222" s="36">
        <f>IF('My investments'!$H$14="",0,IF('My investments'!$F222='My investments'!$H$14,'My investments'!$E222,0))</f>
        <v/>
      </c>
      <c r="AI222" s="36">
        <f>IF('My investments'!$H$15="",0,IF('My investments'!$F222='My investments'!$H$15,'My investments'!$E222,0))</f>
        <v/>
      </c>
      <c r="AK222" s="36">
        <f>IF('My investments'!$H$11="",0,IF('My investments'!$F222='My investments'!$H$11,$AA222,0))</f>
        <v/>
      </c>
      <c r="AL222" s="36">
        <f>IF('My investments'!$H$12="",0,IF('My investments'!$F222='My investments'!$H$12,$AA222,0))</f>
        <v/>
      </c>
      <c r="AM222" s="36">
        <f>IF('My investments'!$H$13="",0,IF('My investments'!$F222='My investments'!$H$13,$AA222,0))</f>
        <v/>
      </c>
      <c r="AN222" s="36">
        <f>IF('My investments'!$H$14="",0,IF('My investments'!$F222='My investments'!$H$14,$AA222,0))</f>
        <v/>
      </c>
      <c r="AO222" s="36">
        <f>IF('My investments'!$H$15="",0,IF('My investments'!$F222='My investments'!$H$15,$AA222,0))</f>
        <v/>
      </c>
    </row>
    <row r="223" ht="15" customHeight="1" s="30">
      <c r="A223" s="36">
        <f>IF('My investments'!$C223="Worth today",1,0)</f>
        <v/>
      </c>
      <c r="B223" s="36">
        <f>IF('My investments'!$C223="Money in",1,0)</f>
        <v/>
      </c>
      <c r="AA223" s="36">
        <f>IF('My investments'!$C223="Money in",'My investments'!$D223,0)</f>
        <v/>
      </c>
      <c r="AB223" s="36">
        <f>IF('My investments'!$C223="Money out",'My investments'!$D223,0)</f>
        <v/>
      </c>
      <c r="AC223" s="36">
        <f>IF('My investments'!$C223="Worth today",'My investments'!$D223,0)</f>
        <v/>
      </c>
      <c r="AE223" s="36">
        <f>IF('My investments'!$H$11="",0,IF('My investments'!$F223='My investments'!$H$11,'My investments'!$E223,0))</f>
        <v/>
      </c>
      <c r="AF223" s="36">
        <f>IF('My investments'!$H$12="",0,IF('My investments'!$F223='My investments'!$H$12,'My investments'!$E223,0))</f>
        <v/>
      </c>
      <c r="AG223" s="36">
        <f>IF('My investments'!$H$13="",0,IF('My investments'!$F223='My investments'!$H$13,'My investments'!$E223,0))</f>
        <v/>
      </c>
      <c r="AH223" s="36">
        <f>IF('My investments'!$H$14="",0,IF('My investments'!$F223='My investments'!$H$14,'My investments'!$E223,0))</f>
        <v/>
      </c>
      <c r="AI223" s="36">
        <f>IF('My investments'!$H$15="",0,IF('My investments'!$F223='My investments'!$H$15,'My investments'!$E223,0))</f>
        <v/>
      </c>
      <c r="AK223" s="36">
        <f>IF('My investments'!$H$11="",0,IF('My investments'!$F223='My investments'!$H$11,$AA223,0))</f>
        <v/>
      </c>
      <c r="AL223" s="36">
        <f>IF('My investments'!$H$12="",0,IF('My investments'!$F223='My investments'!$H$12,$AA223,0))</f>
        <v/>
      </c>
      <c r="AM223" s="36">
        <f>IF('My investments'!$H$13="",0,IF('My investments'!$F223='My investments'!$H$13,$AA223,0))</f>
        <v/>
      </c>
      <c r="AN223" s="36">
        <f>IF('My investments'!$H$14="",0,IF('My investments'!$F223='My investments'!$H$14,$AA223,0))</f>
        <v/>
      </c>
      <c r="AO223" s="36">
        <f>IF('My investments'!$H$15="",0,IF('My investments'!$F223='My investments'!$H$15,$AA223,0))</f>
        <v/>
      </c>
    </row>
    <row r="224" ht="15" customHeight="1" s="30">
      <c r="A224" s="36">
        <f>IF('My investments'!$C224="Worth today",1,0)</f>
        <v/>
      </c>
      <c r="B224" s="36">
        <f>IF('My investments'!$C224="Money in",1,0)</f>
        <v/>
      </c>
      <c r="AA224" s="36">
        <f>IF('My investments'!$C224="Money in",'My investments'!$D224,0)</f>
        <v/>
      </c>
      <c r="AB224" s="36">
        <f>IF('My investments'!$C224="Money out",'My investments'!$D224,0)</f>
        <v/>
      </c>
      <c r="AC224" s="36">
        <f>IF('My investments'!$C224="Worth today",'My investments'!$D224,0)</f>
        <v/>
      </c>
      <c r="AE224" s="36">
        <f>IF('My investments'!$H$11="",0,IF('My investments'!$F224='My investments'!$H$11,'My investments'!$E224,0))</f>
        <v/>
      </c>
      <c r="AF224" s="36">
        <f>IF('My investments'!$H$12="",0,IF('My investments'!$F224='My investments'!$H$12,'My investments'!$E224,0))</f>
        <v/>
      </c>
      <c r="AG224" s="36">
        <f>IF('My investments'!$H$13="",0,IF('My investments'!$F224='My investments'!$H$13,'My investments'!$E224,0))</f>
        <v/>
      </c>
      <c r="AH224" s="36">
        <f>IF('My investments'!$H$14="",0,IF('My investments'!$F224='My investments'!$H$14,'My investments'!$E224,0))</f>
        <v/>
      </c>
      <c r="AI224" s="36">
        <f>IF('My investments'!$H$15="",0,IF('My investments'!$F224='My investments'!$H$15,'My investments'!$E224,0))</f>
        <v/>
      </c>
      <c r="AK224" s="36">
        <f>IF('My investments'!$H$11="",0,IF('My investments'!$F224='My investments'!$H$11,$AA224,0))</f>
        <v/>
      </c>
      <c r="AL224" s="36">
        <f>IF('My investments'!$H$12="",0,IF('My investments'!$F224='My investments'!$H$12,$AA224,0))</f>
        <v/>
      </c>
      <c r="AM224" s="36">
        <f>IF('My investments'!$H$13="",0,IF('My investments'!$F224='My investments'!$H$13,$AA224,0))</f>
        <v/>
      </c>
      <c r="AN224" s="36">
        <f>IF('My investments'!$H$14="",0,IF('My investments'!$F224='My investments'!$H$14,$AA224,0))</f>
        <v/>
      </c>
      <c r="AO224" s="36">
        <f>IF('My investments'!$H$15="",0,IF('My investments'!$F224='My investments'!$H$15,$AA224,0))</f>
        <v/>
      </c>
    </row>
    <row r="225" ht="15" customHeight="1" s="30">
      <c r="A225" s="36">
        <f>IF('My investments'!$C225="Worth today",1,0)</f>
        <v/>
      </c>
      <c r="B225" s="36">
        <f>IF('My investments'!$C225="Money in",1,0)</f>
        <v/>
      </c>
      <c r="AA225" s="36">
        <f>IF('My investments'!$C225="Money in",'My investments'!$D225,0)</f>
        <v/>
      </c>
      <c r="AB225" s="36">
        <f>IF('My investments'!$C225="Money out",'My investments'!$D225,0)</f>
        <v/>
      </c>
      <c r="AC225" s="36">
        <f>IF('My investments'!$C225="Worth today",'My investments'!$D225,0)</f>
        <v/>
      </c>
      <c r="AE225" s="36">
        <f>IF('My investments'!$H$11="",0,IF('My investments'!$F225='My investments'!$H$11,'My investments'!$E225,0))</f>
        <v/>
      </c>
      <c r="AF225" s="36">
        <f>IF('My investments'!$H$12="",0,IF('My investments'!$F225='My investments'!$H$12,'My investments'!$E225,0))</f>
        <v/>
      </c>
      <c r="AG225" s="36">
        <f>IF('My investments'!$H$13="",0,IF('My investments'!$F225='My investments'!$H$13,'My investments'!$E225,0))</f>
        <v/>
      </c>
      <c r="AH225" s="36">
        <f>IF('My investments'!$H$14="",0,IF('My investments'!$F225='My investments'!$H$14,'My investments'!$E225,0))</f>
        <v/>
      </c>
      <c r="AI225" s="36">
        <f>IF('My investments'!$H$15="",0,IF('My investments'!$F225='My investments'!$H$15,'My investments'!$E225,0))</f>
        <v/>
      </c>
      <c r="AK225" s="36">
        <f>IF('My investments'!$H$11="",0,IF('My investments'!$F225='My investments'!$H$11,$AA225,0))</f>
        <v/>
      </c>
      <c r="AL225" s="36">
        <f>IF('My investments'!$H$12="",0,IF('My investments'!$F225='My investments'!$H$12,$AA225,0))</f>
        <v/>
      </c>
      <c r="AM225" s="36">
        <f>IF('My investments'!$H$13="",0,IF('My investments'!$F225='My investments'!$H$13,$AA225,0))</f>
        <v/>
      </c>
      <c r="AN225" s="36">
        <f>IF('My investments'!$H$14="",0,IF('My investments'!$F225='My investments'!$H$14,$AA225,0))</f>
        <v/>
      </c>
      <c r="AO225" s="36">
        <f>IF('My investments'!$H$15="",0,IF('My investments'!$F225='My investments'!$H$15,$AA225,0))</f>
        <v/>
      </c>
    </row>
    <row r="226" ht="15" customHeight="1" s="30">
      <c r="A226" s="36">
        <f>IF('My investments'!$C226="Worth today",1,0)</f>
        <v/>
      </c>
      <c r="B226" s="36">
        <f>IF('My investments'!$C226="Money in",1,0)</f>
        <v/>
      </c>
      <c r="AA226" s="36">
        <f>IF('My investments'!$C226="Money in",'My investments'!$D226,0)</f>
        <v/>
      </c>
      <c r="AB226" s="36">
        <f>IF('My investments'!$C226="Money out",'My investments'!$D226,0)</f>
        <v/>
      </c>
      <c r="AC226" s="36">
        <f>IF('My investments'!$C226="Worth today",'My investments'!$D226,0)</f>
        <v/>
      </c>
      <c r="AE226" s="36">
        <f>IF('My investments'!$H$11="",0,IF('My investments'!$F226='My investments'!$H$11,'My investments'!$E226,0))</f>
        <v/>
      </c>
      <c r="AF226" s="36">
        <f>IF('My investments'!$H$12="",0,IF('My investments'!$F226='My investments'!$H$12,'My investments'!$E226,0))</f>
        <v/>
      </c>
      <c r="AG226" s="36">
        <f>IF('My investments'!$H$13="",0,IF('My investments'!$F226='My investments'!$H$13,'My investments'!$E226,0))</f>
        <v/>
      </c>
      <c r="AH226" s="36">
        <f>IF('My investments'!$H$14="",0,IF('My investments'!$F226='My investments'!$H$14,'My investments'!$E226,0))</f>
        <v/>
      </c>
      <c r="AI226" s="36">
        <f>IF('My investments'!$H$15="",0,IF('My investments'!$F226='My investments'!$H$15,'My investments'!$E226,0))</f>
        <v/>
      </c>
      <c r="AK226" s="36">
        <f>IF('My investments'!$H$11="",0,IF('My investments'!$F226='My investments'!$H$11,$AA226,0))</f>
        <v/>
      </c>
      <c r="AL226" s="36">
        <f>IF('My investments'!$H$12="",0,IF('My investments'!$F226='My investments'!$H$12,$AA226,0))</f>
        <v/>
      </c>
      <c r="AM226" s="36">
        <f>IF('My investments'!$H$13="",0,IF('My investments'!$F226='My investments'!$H$13,$AA226,0))</f>
        <v/>
      </c>
      <c r="AN226" s="36">
        <f>IF('My investments'!$H$14="",0,IF('My investments'!$F226='My investments'!$H$14,$AA226,0))</f>
        <v/>
      </c>
      <c r="AO226" s="36">
        <f>IF('My investments'!$H$15="",0,IF('My investments'!$F226='My investments'!$H$15,$AA226,0))</f>
        <v/>
      </c>
    </row>
    <row r="227" ht="15" customHeight="1" s="30">
      <c r="A227" s="36">
        <f>IF('My investments'!$C227="Worth today",1,0)</f>
        <v/>
      </c>
      <c r="B227" s="36">
        <f>IF('My investments'!$C227="Money in",1,0)</f>
        <v/>
      </c>
      <c r="AA227" s="36">
        <f>IF('My investments'!$C227="Money in",'My investments'!$D227,0)</f>
        <v/>
      </c>
      <c r="AB227" s="36">
        <f>IF('My investments'!$C227="Money out",'My investments'!$D227,0)</f>
        <v/>
      </c>
      <c r="AC227" s="36">
        <f>IF('My investments'!$C227="Worth today",'My investments'!$D227,0)</f>
        <v/>
      </c>
      <c r="AE227" s="36">
        <f>IF('My investments'!$H$11="",0,IF('My investments'!$F227='My investments'!$H$11,'My investments'!$E227,0))</f>
        <v/>
      </c>
      <c r="AF227" s="36">
        <f>IF('My investments'!$H$12="",0,IF('My investments'!$F227='My investments'!$H$12,'My investments'!$E227,0))</f>
        <v/>
      </c>
      <c r="AG227" s="36">
        <f>IF('My investments'!$H$13="",0,IF('My investments'!$F227='My investments'!$H$13,'My investments'!$E227,0))</f>
        <v/>
      </c>
      <c r="AH227" s="36">
        <f>IF('My investments'!$H$14="",0,IF('My investments'!$F227='My investments'!$H$14,'My investments'!$E227,0))</f>
        <v/>
      </c>
      <c r="AI227" s="36">
        <f>IF('My investments'!$H$15="",0,IF('My investments'!$F227='My investments'!$H$15,'My investments'!$E227,0))</f>
        <v/>
      </c>
      <c r="AK227" s="36">
        <f>IF('My investments'!$H$11="",0,IF('My investments'!$F227='My investments'!$H$11,$AA227,0))</f>
        <v/>
      </c>
      <c r="AL227" s="36">
        <f>IF('My investments'!$H$12="",0,IF('My investments'!$F227='My investments'!$H$12,$AA227,0))</f>
        <v/>
      </c>
      <c r="AM227" s="36">
        <f>IF('My investments'!$H$13="",0,IF('My investments'!$F227='My investments'!$H$13,$AA227,0))</f>
        <v/>
      </c>
      <c r="AN227" s="36">
        <f>IF('My investments'!$H$14="",0,IF('My investments'!$F227='My investments'!$H$14,$AA227,0))</f>
        <v/>
      </c>
      <c r="AO227" s="36">
        <f>IF('My investments'!$H$15="",0,IF('My investments'!$F227='My investments'!$H$15,$AA227,0))</f>
        <v/>
      </c>
    </row>
    <row r="228" ht="15" customHeight="1" s="30">
      <c r="A228" s="36">
        <f>IF('My investments'!$C228="Worth today",1,0)</f>
        <v/>
      </c>
      <c r="B228" s="36">
        <f>IF('My investments'!$C228="Money in",1,0)</f>
        <v/>
      </c>
      <c r="AA228" s="36">
        <f>IF('My investments'!$C228="Money in",'My investments'!$D228,0)</f>
        <v/>
      </c>
      <c r="AB228" s="36">
        <f>IF('My investments'!$C228="Money out",'My investments'!$D228,0)</f>
        <v/>
      </c>
      <c r="AC228" s="36">
        <f>IF('My investments'!$C228="Worth today",'My investments'!$D228,0)</f>
        <v/>
      </c>
      <c r="AE228" s="36">
        <f>IF('My investments'!$H$11="",0,IF('My investments'!$F228='My investments'!$H$11,'My investments'!$E228,0))</f>
        <v/>
      </c>
      <c r="AF228" s="36">
        <f>IF('My investments'!$H$12="",0,IF('My investments'!$F228='My investments'!$H$12,'My investments'!$E228,0))</f>
        <v/>
      </c>
      <c r="AG228" s="36">
        <f>IF('My investments'!$H$13="",0,IF('My investments'!$F228='My investments'!$H$13,'My investments'!$E228,0))</f>
        <v/>
      </c>
      <c r="AH228" s="36">
        <f>IF('My investments'!$H$14="",0,IF('My investments'!$F228='My investments'!$H$14,'My investments'!$E228,0))</f>
        <v/>
      </c>
      <c r="AI228" s="36">
        <f>IF('My investments'!$H$15="",0,IF('My investments'!$F228='My investments'!$H$15,'My investments'!$E228,0))</f>
        <v/>
      </c>
      <c r="AK228" s="36">
        <f>IF('My investments'!$H$11="",0,IF('My investments'!$F228='My investments'!$H$11,$AA228,0))</f>
        <v/>
      </c>
      <c r="AL228" s="36">
        <f>IF('My investments'!$H$12="",0,IF('My investments'!$F228='My investments'!$H$12,$AA228,0))</f>
        <v/>
      </c>
      <c r="AM228" s="36">
        <f>IF('My investments'!$H$13="",0,IF('My investments'!$F228='My investments'!$H$13,$AA228,0))</f>
        <v/>
      </c>
      <c r="AN228" s="36">
        <f>IF('My investments'!$H$14="",0,IF('My investments'!$F228='My investments'!$H$14,$AA228,0))</f>
        <v/>
      </c>
      <c r="AO228" s="36">
        <f>IF('My investments'!$H$15="",0,IF('My investments'!$F228='My investments'!$H$15,$AA228,0))</f>
        <v/>
      </c>
    </row>
    <row r="229" ht="15" customHeight="1" s="30">
      <c r="A229" s="36">
        <f>IF('My investments'!$C229="Worth today",1,0)</f>
        <v/>
      </c>
      <c r="B229" s="36">
        <f>IF('My investments'!$C229="Money in",1,0)</f>
        <v/>
      </c>
      <c r="AA229" s="36">
        <f>IF('My investments'!$C229="Money in",'My investments'!$D229,0)</f>
        <v/>
      </c>
      <c r="AB229" s="36">
        <f>IF('My investments'!$C229="Money out",'My investments'!$D229,0)</f>
        <v/>
      </c>
      <c r="AC229" s="36">
        <f>IF('My investments'!$C229="Worth today",'My investments'!$D229,0)</f>
        <v/>
      </c>
      <c r="AE229" s="36">
        <f>IF('My investments'!$H$11="",0,IF('My investments'!$F229='My investments'!$H$11,'My investments'!$E229,0))</f>
        <v/>
      </c>
      <c r="AF229" s="36">
        <f>IF('My investments'!$H$12="",0,IF('My investments'!$F229='My investments'!$H$12,'My investments'!$E229,0))</f>
        <v/>
      </c>
      <c r="AG229" s="36">
        <f>IF('My investments'!$H$13="",0,IF('My investments'!$F229='My investments'!$H$13,'My investments'!$E229,0))</f>
        <v/>
      </c>
      <c r="AH229" s="36">
        <f>IF('My investments'!$H$14="",0,IF('My investments'!$F229='My investments'!$H$14,'My investments'!$E229,0))</f>
        <v/>
      </c>
      <c r="AI229" s="36">
        <f>IF('My investments'!$H$15="",0,IF('My investments'!$F229='My investments'!$H$15,'My investments'!$E229,0))</f>
        <v/>
      </c>
      <c r="AK229" s="36">
        <f>IF('My investments'!$H$11="",0,IF('My investments'!$F229='My investments'!$H$11,$AA229,0))</f>
        <v/>
      </c>
      <c r="AL229" s="36">
        <f>IF('My investments'!$H$12="",0,IF('My investments'!$F229='My investments'!$H$12,$AA229,0))</f>
        <v/>
      </c>
      <c r="AM229" s="36">
        <f>IF('My investments'!$H$13="",0,IF('My investments'!$F229='My investments'!$H$13,$AA229,0))</f>
        <v/>
      </c>
      <c r="AN229" s="36">
        <f>IF('My investments'!$H$14="",0,IF('My investments'!$F229='My investments'!$H$14,$AA229,0))</f>
        <v/>
      </c>
      <c r="AO229" s="36">
        <f>IF('My investments'!$H$15="",0,IF('My investments'!$F229='My investments'!$H$15,$AA229,0))</f>
        <v/>
      </c>
    </row>
    <row r="230" ht="15" customHeight="1" s="30">
      <c r="A230" s="36">
        <f>IF('My investments'!$C230="Worth today",1,0)</f>
        <v/>
      </c>
      <c r="B230" s="36">
        <f>IF('My investments'!$C230="Money in",1,0)</f>
        <v/>
      </c>
      <c r="AA230" s="36">
        <f>IF('My investments'!$C230="Money in",'My investments'!$D230,0)</f>
        <v/>
      </c>
      <c r="AB230" s="36">
        <f>IF('My investments'!$C230="Money out",'My investments'!$D230,0)</f>
        <v/>
      </c>
      <c r="AC230" s="36">
        <f>IF('My investments'!$C230="Worth today",'My investments'!$D230,0)</f>
        <v/>
      </c>
      <c r="AE230" s="36">
        <f>IF('My investments'!$H$11="",0,IF('My investments'!$F230='My investments'!$H$11,'My investments'!$E230,0))</f>
        <v/>
      </c>
      <c r="AF230" s="36">
        <f>IF('My investments'!$H$12="",0,IF('My investments'!$F230='My investments'!$H$12,'My investments'!$E230,0))</f>
        <v/>
      </c>
      <c r="AG230" s="36">
        <f>IF('My investments'!$H$13="",0,IF('My investments'!$F230='My investments'!$H$13,'My investments'!$E230,0))</f>
        <v/>
      </c>
      <c r="AH230" s="36">
        <f>IF('My investments'!$H$14="",0,IF('My investments'!$F230='My investments'!$H$14,'My investments'!$E230,0))</f>
        <v/>
      </c>
      <c r="AI230" s="36">
        <f>IF('My investments'!$H$15="",0,IF('My investments'!$F230='My investments'!$H$15,'My investments'!$E230,0))</f>
        <v/>
      </c>
      <c r="AK230" s="36">
        <f>IF('My investments'!$H$11="",0,IF('My investments'!$F230='My investments'!$H$11,$AA230,0))</f>
        <v/>
      </c>
      <c r="AL230" s="36">
        <f>IF('My investments'!$H$12="",0,IF('My investments'!$F230='My investments'!$H$12,$AA230,0))</f>
        <v/>
      </c>
      <c r="AM230" s="36">
        <f>IF('My investments'!$H$13="",0,IF('My investments'!$F230='My investments'!$H$13,$AA230,0))</f>
        <v/>
      </c>
      <c r="AN230" s="36">
        <f>IF('My investments'!$H$14="",0,IF('My investments'!$F230='My investments'!$H$14,$AA230,0))</f>
        <v/>
      </c>
      <c r="AO230" s="36">
        <f>IF('My investments'!$H$15="",0,IF('My investments'!$F230='My investments'!$H$15,$AA230,0))</f>
        <v/>
      </c>
    </row>
    <row r="231" ht="15" customHeight="1" s="30">
      <c r="A231" s="36">
        <f>IF('My investments'!$C231="Worth today",1,0)</f>
        <v/>
      </c>
      <c r="B231" s="36">
        <f>IF('My investments'!$C231="Money in",1,0)</f>
        <v/>
      </c>
      <c r="AA231" s="36">
        <f>IF('My investments'!$C231="Money in",'My investments'!$D231,0)</f>
        <v/>
      </c>
      <c r="AB231" s="36">
        <f>IF('My investments'!$C231="Money out",'My investments'!$D231,0)</f>
        <v/>
      </c>
      <c r="AC231" s="36">
        <f>IF('My investments'!$C231="Worth today",'My investments'!$D231,0)</f>
        <v/>
      </c>
      <c r="AE231" s="36">
        <f>IF('My investments'!$H$11="",0,IF('My investments'!$F231='My investments'!$H$11,'My investments'!$E231,0))</f>
        <v/>
      </c>
      <c r="AF231" s="36">
        <f>IF('My investments'!$H$12="",0,IF('My investments'!$F231='My investments'!$H$12,'My investments'!$E231,0))</f>
        <v/>
      </c>
      <c r="AG231" s="36">
        <f>IF('My investments'!$H$13="",0,IF('My investments'!$F231='My investments'!$H$13,'My investments'!$E231,0))</f>
        <v/>
      </c>
      <c r="AH231" s="36">
        <f>IF('My investments'!$H$14="",0,IF('My investments'!$F231='My investments'!$H$14,'My investments'!$E231,0))</f>
        <v/>
      </c>
      <c r="AI231" s="36">
        <f>IF('My investments'!$H$15="",0,IF('My investments'!$F231='My investments'!$H$15,'My investments'!$E231,0))</f>
        <v/>
      </c>
      <c r="AK231" s="36">
        <f>IF('My investments'!$H$11="",0,IF('My investments'!$F231='My investments'!$H$11,$AA231,0))</f>
        <v/>
      </c>
      <c r="AL231" s="36">
        <f>IF('My investments'!$H$12="",0,IF('My investments'!$F231='My investments'!$H$12,$AA231,0))</f>
        <v/>
      </c>
      <c r="AM231" s="36">
        <f>IF('My investments'!$H$13="",0,IF('My investments'!$F231='My investments'!$H$13,$AA231,0))</f>
        <v/>
      </c>
      <c r="AN231" s="36">
        <f>IF('My investments'!$H$14="",0,IF('My investments'!$F231='My investments'!$H$14,$AA231,0))</f>
        <v/>
      </c>
      <c r="AO231" s="36">
        <f>IF('My investments'!$H$15="",0,IF('My investments'!$F231='My investments'!$H$15,$AA231,0))</f>
        <v/>
      </c>
    </row>
    <row r="232" ht="15" customHeight="1" s="30">
      <c r="A232" s="36">
        <f>IF('My investments'!$C232="Worth today",1,0)</f>
        <v/>
      </c>
      <c r="B232" s="36">
        <f>IF('My investments'!$C232="Money in",1,0)</f>
        <v/>
      </c>
      <c r="AA232" s="36">
        <f>IF('My investments'!$C232="Money in",'My investments'!$D232,0)</f>
        <v/>
      </c>
      <c r="AB232" s="36">
        <f>IF('My investments'!$C232="Money out",'My investments'!$D232,0)</f>
        <v/>
      </c>
      <c r="AC232" s="36">
        <f>IF('My investments'!$C232="Worth today",'My investments'!$D232,0)</f>
        <v/>
      </c>
      <c r="AE232" s="36">
        <f>IF('My investments'!$H$11="",0,IF('My investments'!$F232='My investments'!$H$11,'My investments'!$E232,0))</f>
        <v/>
      </c>
      <c r="AF232" s="36">
        <f>IF('My investments'!$H$12="",0,IF('My investments'!$F232='My investments'!$H$12,'My investments'!$E232,0))</f>
        <v/>
      </c>
      <c r="AG232" s="36">
        <f>IF('My investments'!$H$13="",0,IF('My investments'!$F232='My investments'!$H$13,'My investments'!$E232,0))</f>
        <v/>
      </c>
      <c r="AH232" s="36">
        <f>IF('My investments'!$H$14="",0,IF('My investments'!$F232='My investments'!$H$14,'My investments'!$E232,0))</f>
        <v/>
      </c>
      <c r="AI232" s="36">
        <f>IF('My investments'!$H$15="",0,IF('My investments'!$F232='My investments'!$H$15,'My investments'!$E232,0))</f>
        <v/>
      </c>
      <c r="AK232" s="36">
        <f>IF('My investments'!$H$11="",0,IF('My investments'!$F232='My investments'!$H$11,$AA232,0))</f>
        <v/>
      </c>
      <c r="AL232" s="36">
        <f>IF('My investments'!$H$12="",0,IF('My investments'!$F232='My investments'!$H$12,$AA232,0))</f>
        <v/>
      </c>
      <c r="AM232" s="36">
        <f>IF('My investments'!$H$13="",0,IF('My investments'!$F232='My investments'!$H$13,$AA232,0))</f>
        <v/>
      </c>
      <c r="AN232" s="36">
        <f>IF('My investments'!$H$14="",0,IF('My investments'!$F232='My investments'!$H$14,$AA232,0))</f>
        <v/>
      </c>
      <c r="AO232" s="36">
        <f>IF('My investments'!$H$15="",0,IF('My investments'!$F232='My investments'!$H$15,$AA232,0))</f>
        <v/>
      </c>
    </row>
    <row r="233" ht="15" customHeight="1" s="30">
      <c r="A233" s="36">
        <f>IF('My investments'!$C233="Worth today",1,0)</f>
        <v/>
      </c>
      <c r="B233" s="36">
        <f>IF('My investments'!$C233="Money in",1,0)</f>
        <v/>
      </c>
      <c r="AA233" s="36">
        <f>IF('My investments'!$C233="Money in",'My investments'!$D233,0)</f>
        <v/>
      </c>
      <c r="AB233" s="36">
        <f>IF('My investments'!$C233="Money out",'My investments'!$D233,0)</f>
        <v/>
      </c>
      <c r="AC233" s="36">
        <f>IF('My investments'!$C233="Worth today",'My investments'!$D233,0)</f>
        <v/>
      </c>
      <c r="AE233" s="36">
        <f>IF('My investments'!$H$11="",0,IF('My investments'!$F233='My investments'!$H$11,'My investments'!$E233,0))</f>
        <v/>
      </c>
      <c r="AF233" s="36">
        <f>IF('My investments'!$H$12="",0,IF('My investments'!$F233='My investments'!$H$12,'My investments'!$E233,0))</f>
        <v/>
      </c>
      <c r="AG233" s="36">
        <f>IF('My investments'!$H$13="",0,IF('My investments'!$F233='My investments'!$H$13,'My investments'!$E233,0))</f>
        <v/>
      </c>
      <c r="AH233" s="36">
        <f>IF('My investments'!$H$14="",0,IF('My investments'!$F233='My investments'!$H$14,'My investments'!$E233,0))</f>
        <v/>
      </c>
      <c r="AI233" s="36">
        <f>IF('My investments'!$H$15="",0,IF('My investments'!$F233='My investments'!$H$15,'My investments'!$E233,0))</f>
        <v/>
      </c>
      <c r="AK233" s="36">
        <f>IF('My investments'!$H$11="",0,IF('My investments'!$F233='My investments'!$H$11,$AA233,0))</f>
        <v/>
      </c>
      <c r="AL233" s="36">
        <f>IF('My investments'!$H$12="",0,IF('My investments'!$F233='My investments'!$H$12,$AA233,0))</f>
        <v/>
      </c>
      <c r="AM233" s="36">
        <f>IF('My investments'!$H$13="",0,IF('My investments'!$F233='My investments'!$H$13,$AA233,0))</f>
        <v/>
      </c>
      <c r="AN233" s="36">
        <f>IF('My investments'!$H$14="",0,IF('My investments'!$F233='My investments'!$H$14,$AA233,0))</f>
        <v/>
      </c>
      <c r="AO233" s="36">
        <f>IF('My investments'!$H$15="",0,IF('My investments'!$F233='My investments'!$H$15,$AA233,0))</f>
        <v/>
      </c>
    </row>
    <row r="234" ht="15" customHeight="1" s="30">
      <c r="A234" s="36">
        <f>IF('My investments'!$C234="Worth today",1,0)</f>
        <v/>
      </c>
      <c r="B234" s="36">
        <f>IF('My investments'!$C234="Money in",1,0)</f>
        <v/>
      </c>
      <c r="AA234" s="36">
        <f>IF('My investments'!$C234="Money in",'My investments'!$D234,0)</f>
        <v/>
      </c>
      <c r="AB234" s="36">
        <f>IF('My investments'!$C234="Money out",'My investments'!$D234,0)</f>
        <v/>
      </c>
      <c r="AC234" s="36">
        <f>IF('My investments'!$C234="Worth today",'My investments'!$D234,0)</f>
        <v/>
      </c>
      <c r="AE234" s="36">
        <f>IF('My investments'!$H$11="",0,IF('My investments'!$F234='My investments'!$H$11,'My investments'!$E234,0))</f>
        <v/>
      </c>
      <c r="AF234" s="36">
        <f>IF('My investments'!$H$12="",0,IF('My investments'!$F234='My investments'!$H$12,'My investments'!$E234,0))</f>
        <v/>
      </c>
      <c r="AG234" s="36">
        <f>IF('My investments'!$H$13="",0,IF('My investments'!$F234='My investments'!$H$13,'My investments'!$E234,0))</f>
        <v/>
      </c>
      <c r="AH234" s="36">
        <f>IF('My investments'!$H$14="",0,IF('My investments'!$F234='My investments'!$H$14,'My investments'!$E234,0))</f>
        <v/>
      </c>
      <c r="AI234" s="36">
        <f>IF('My investments'!$H$15="",0,IF('My investments'!$F234='My investments'!$H$15,'My investments'!$E234,0))</f>
        <v/>
      </c>
      <c r="AK234" s="36">
        <f>IF('My investments'!$H$11="",0,IF('My investments'!$F234='My investments'!$H$11,$AA234,0))</f>
        <v/>
      </c>
      <c r="AL234" s="36">
        <f>IF('My investments'!$H$12="",0,IF('My investments'!$F234='My investments'!$H$12,$AA234,0))</f>
        <v/>
      </c>
      <c r="AM234" s="36">
        <f>IF('My investments'!$H$13="",0,IF('My investments'!$F234='My investments'!$H$13,$AA234,0))</f>
        <v/>
      </c>
      <c r="AN234" s="36">
        <f>IF('My investments'!$H$14="",0,IF('My investments'!$F234='My investments'!$H$14,$AA234,0))</f>
        <v/>
      </c>
      <c r="AO234" s="36">
        <f>IF('My investments'!$H$15="",0,IF('My investments'!$F234='My investments'!$H$15,$AA234,0))</f>
        <v/>
      </c>
    </row>
    <row r="235" ht="15" customHeight="1" s="30">
      <c r="A235" s="36">
        <f>IF('My investments'!$C235="Worth today",1,0)</f>
        <v/>
      </c>
      <c r="B235" s="36">
        <f>IF('My investments'!$C235="Money in",1,0)</f>
        <v/>
      </c>
      <c r="AA235" s="36">
        <f>IF('My investments'!$C235="Money in",'My investments'!$D235,0)</f>
        <v/>
      </c>
      <c r="AB235" s="36">
        <f>IF('My investments'!$C235="Money out",'My investments'!$D235,0)</f>
        <v/>
      </c>
      <c r="AC235" s="36">
        <f>IF('My investments'!$C235="Worth today",'My investments'!$D235,0)</f>
        <v/>
      </c>
      <c r="AE235" s="36">
        <f>IF('My investments'!$H$11="",0,IF('My investments'!$F235='My investments'!$H$11,'My investments'!$E235,0))</f>
        <v/>
      </c>
      <c r="AF235" s="36">
        <f>IF('My investments'!$H$12="",0,IF('My investments'!$F235='My investments'!$H$12,'My investments'!$E235,0))</f>
        <v/>
      </c>
      <c r="AG235" s="36">
        <f>IF('My investments'!$H$13="",0,IF('My investments'!$F235='My investments'!$H$13,'My investments'!$E235,0))</f>
        <v/>
      </c>
      <c r="AH235" s="36">
        <f>IF('My investments'!$H$14="",0,IF('My investments'!$F235='My investments'!$H$14,'My investments'!$E235,0))</f>
        <v/>
      </c>
      <c r="AI235" s="36">
        <f>IF('My investments'!$H$15="",0,IF('My investments'!$F235='My investments'!$H$15,'My investments'!$E235,0))</f>
        <v/>
      </c>
      <c r="AK235" s="36">
        <f>IF('My investments'!$H$11="",0,IF('My investments'!$F235='My investments'!$H$11,$AA235,0))</f>
        <v/>
      </c>
      <c r="AL235" s="36">
        <f>IF('My investments'!$H$12="",0,IF('My investments'!$F235='My investments'!$H$12,$AA235,0))</f>
        <v/>
      </c>
      <c r="AM235" s="36">
        <f>IF('My investments'!$H$13="",0,IF('My investments'!$F235='My investments'!$H$13,$AA235,0))</f>
        <v/>
      </c>
      <c r="AN235" s="36">
        <f>IF('My investments'!$H$14="",0,IF('My investments'!$F235='My investments'!$H$14,$AA235,0))</f>
        <v/>
      </c>
      <c r="AO235" s="36">
        <f>IF('My investments'!$H$15="",0,IF('My investments'!$F235='My investments'!$H$15,$AA235,0))</f>
        <v/>
      </c>
    </row>
    <row r="236" ht="15" customHeight="1" s="30">
      <c r="A236" s="36">
        <f>IF('My investments'!$C236="Worth today",1,0)</f>
        <v/>
      </c>
      <c r="B236" s="36">
        <f>IF('My investments'!$C236="Money in",1,0)</f>
        <v/>
      </c>
      <c r="AA236" s="36">
        <f>IF('My investments'!$C236="Money in",'My investments'!$D236,0)</f>
        <v/>
      </c>
      <c r="AB236" s="36">
        <f>IF('My investments'!$C236="Money out",'My investments'!$D236,0)</f>
        <v/>
      </c>
      <c r="AC236" s="36">
        <f>IF('My investments'!$C236="Worth today",'My investments'!$D236,0)</f>
        <v/>
      </c>
      <c r="AE236" s="36">
        <f>IF('My investments'!$H$11="",0,IF('My investments'!$F236='My investments'!$H$11,'My investments'!$E236,0))</f>
        <v/>
      </c>
      <c r="AF236" s="36">
        <f>IF('My investments'!$H$12="",0,IF('My investments'!$F236='My investments'!$H$12,'My investments'!$E236,0))</f>
        <v/>
      </c>
      <c r="AG236" s="36">
        <f>IF('My investments'!$H$13="",0,IF('My investments'!$F236='My investments'!$H$13,'My investments'!$E236,0))</f>
        <v/>
      </c>
      <c r="AH236" s="36">
        <f>IF('My investments'!$H$14="",0,IF('My investments'!$F236='My investments'!$H$14,'My investments'!$E236,0))</f>
        <v/>
      </c>
      <c r="AI236" s="36">
        <f>IF('My investments'!$H$15="",0,IF('My investments'!$F236='My investments'!$H$15,'My investments'!$E236,0))</f>
        <v/>
      </c>
      <c r="AK236" s="36">
        <f>IF('My investments'!$H$11="",0,IF('My investments'!$F236='My investments'!$H$11,$AA236,0))</f>
        <v/>
      </c>
      <c r="AL236" s="36">
        <f>IF('My investments'!$H$12="",0,IF('My investments'!$F236='My investments'!$H$12,$AA236,0))</f>
        <v/>
      </c>
      <c r="AM236" s="36">
        <f>IF('My investments'!$H$13="",0,IF('My investments'!$F236='My investments'!$H$13,$AA236,0))</f>
        <v/>
      </c>
      <c r="AN236" s="36">
        <f>IF('My investments'!$H$14="",0,IF('My investments'!$F236='My investments'!$H$14,$AA236,0))</f>
        <v/>
      </c>
      <c r="AO236" s="36">
        <f>IF('My investments'!$H$15="",0,IF('My investments'!$F236='My investments'!$H$15,$AA236,0))</f>
        <v/>
      </c>
    </row>
    <row r="237" ht="15" customHeight="1" s="30">
      <c r="A237" s="36">
        <f>IF('My investments'!$C237="Worth today",1,0)</f>
        <v/>
      </c>
      <c r="B237" s="36">
        <f>IF('My investments'!$C237="Money in",1,0)</f>
        <v/>
      </c>
      <c r="AA237" s="36">
        <f>IF('My investments'!$C237="Money in",'My investments'!$D237,0)</f>
        <v/>
      </c>
      <c r="AB237" s="36">
        <f>IF('My investments'!$C237="Money out",'My investments'!$D237,0)</f>
        <v/>
      </c>
      <c r="AC237" s="36">
        <f>IF('My investments'!$C237="Worth today",'My investments'!$D237,0)</f>
        <v/>
      </c>
      <c r="AE237" s="36">
        <f>IF('My investments'!$H$11="",0,IF('My investments'!$F237='My investments'!$H$11,'My investments'!$E237,0))</f>
        <v/>
      </c>
      <c r="AF237" s="36">
        <f>IF('My investments'!$H$12="",0,IF('My investments'!$F237='My investments'!$H$12,'My investments'!$E237,0))</f>
        <v/>
      </c>
      <c r="AG237" s="36">
        <f>IF('My investments'!$H$13="",0,IF('My investments'!$F237='My investments'!$H$13,'My investments'!$E237,0))</f>
        <v/>
      </c>
      <c r="AH237" s="36">
        <f>IF('My investments'!$H$14="",0,IF('My investments'!$F237='My investments'!$H$14,'My investments'!$E237,0))</f>
        <v/>
      </c>
      <c r="AI237" s="36">
        <f>IF('My investments'!$H$15="",0,IF('My investments'!$F237='My investments'!$H$15,'My investments'!$E237,0))</f>
        <v/>
      </c>
      <c r="AK237" s="36">
        <f>IF('My investments'!$H$11="",0,IF('My investments'!$F237='My investments'!$H$11,$AA237,0))</f>
        <v/>
      </c>
      <c r="AL237" s="36">
        <f>IF('My investments'!$H$12="",0,IF('My investments'!$F237='My investments'!$H$12,$AA237,0))</f>
        <v/>
      </c>
      <c r="AM237" s="36">
        <f>IF('My investments'!$H$13="",0,IF('My investments'!$F237='My investments'!$H$13,$AA237,0))</f>
        <v/>
      </c>
      <c r="AN237" s="36">
        <f>IF('My investments'!$H$14="",0,IF('My investments'!$F237='My investments'!$H$14,$AA237,0))</f>
        <v/>
      </c>
      <c r="AO237" s="36">
        <f>IF('My investments'!$H$15="",0,IF('My investments'!$F237='My investments'!$H$15,$AA237,0))</f>
        <v/>
      </c>
    </row>
    <row r="238" ht="15" customHeight="1" s="30">
      <c r="A238" s="36">
        <f>IF('My investments'!$C238="Worth today",1,0)</f>
        <v/>
      </c>
      <c r="B238" s="36">
        <f>IF('My investments'!$C238="Money in",1,0)</f>
        <v/>
      </c>
      <c r="AA238" s="36">
        <f>IF('My investments'!$C238="Money in",'My investments'!$D238,0)</f>
        <v/>
      </c>
      <c r="AB238" s="36">
        <f>IF('My investments'!$C238="Money out",'My investments'!$D238,0)</f>
        <v/>
      </c>
      <c r="AC238" s="36">
        <f>IF('My investments'!$C238="Worth today",'My investments'!$D238,0)</f>
        <v/>
      </c>
      <c r="AE238" s="36">
        <f>IF('My investments'!$H$11="",0,IF('My investments'!$F238='My investments'!$H$11,'My investments'!$E238,0))</f>
        <v/>
      </c>
      <c r="AF238" s="36">
        <f>IF('My investments'!$H$12="",0,IF('My investments'!$F238='My investments'!$H$12,'My investments'!$E238,0))</f>
        <v/>
      </c>
      <c r="AG238" s="36">
        <f>IF('My investments'!$H$13="",0,IF('My investments'!$F238='My investments'!$H$13,'My investments'!$E238,0))</f>
        <v/>
      </c>
      <c r="AH238" s="36">
        <f>IF('My investments'!$H$14="",0,IF('My investments'!$F238='My investments'!$H$14,'My investments'!$E238,0))</f>
        <v/>
      </c>
      <c r="AI238" s="36">
        <f>IF('My investments'!$H$15="",0,IF('My investments'!$F238='My investments'!$H$15,'My investments'!$E238,0))</f>
        <v/>
      </c>
      <c r="AK238" s="36">
        <f>IF('My investments'!$H$11="",0,IF('My investments'!$F238='My investments'!$H$11,$AA238,0))</f>
        <v/>
      </c>
      <c r="AL238" s="36">
        <f>IF('My investments'!$H$12="",0,IF('My investments'!$F238='My investments'!$H$12,$AA238,0))</f>
        <v/>
      </c>
      <c r="AM238" s="36">
        <f>IF('My investments'!$H$13="",0,IF('My investments'!$F238='My investments'!$H$13,$AA238,0))</f>
        <v/>
      </c>
      <c r="AN238" s="36">
        <f>IF('My investments'!$H$14="",0,IF('My investments'!$F238='My investments'!$H$14,$AA238,0))</f>
        <v/>
      </c>
      <c r="AO238" s="36">
        <f>IF('My investments'!$H$15="",0,IF('My investments'!$F238='My investments'!$H$15,$AA238,0))</f>
        <v/>
      </c>
    </row>
    <row r="239" ht="15" customHeight="1" s="30">
      <c r="A239" s="36">
        <f>IF('My investments'!$C239="Worth today",1,0)</f>
        <v/>
      </c>
      <c r="B239" s="36">
        <f>IF('My investments'!$C239="Money in",1,0)</f>
        <v/>
      </c>
      <c r="AA239" s="36">
        <f>IF('My investments'!$C239="Money in",'My investments'!$D239,0)</f>
        <v/>
      </c>
      <c r="AB239" s="36">
        <f>IF('My investments'!$C239="Money out",'My investments'!$D239,0)</f>
        <v/>
      </c>
      <c r="AC239" s="36">
        <f>IF('My investments'!$C239="Worth today",'My investments'!$D239,0)</f>
        <v/>
      </c>
      <c r="AE239" s="36">
        <f>IF('My investments'!$H$11="",0,IF('My investments'!$F239='My investments'!$H$11,'My investments'!$E239,0))</f>
        <v/>
      </c>
      <c r="AF239" s="36">
        <f>IF('My investments'!$H$12="",0,IF('My investments'!$F239='My investments'!$H$12,'My investments'!$E239,0))</f>
        <v/>
      </c>
      <c r="AG239" s="36">
        <f>IF('My investments'!$H$13="",0,IF('My investments'!$F239='My investments'!$H$13,'My investments'!$E239,0))</f>
        <v/>
      </c>
      <c r="AH239" s="36">
        <f>IF('My investments'!$H$14="",0,IF('My investments'!$F239='My investments'!$H$14,'My investments'!$E239,0))</f>
        <v/>
      </c>
      <c r="AI239" s="36">
        <f>IF('My investments'!$H$15="",0,IF('My investments'!$F239='My investments'!$H$15,'My investments'!$E239,0))</f>
        <v/>
      </c>
      <c r="AK239" s="36">
        <f>IF('My investments'!$H$11="",0,IF('My investments'!$F239='My investments'!$H$11,$AA239,0))</f>
        <v/>
      </c>
      <c r="AL239" s="36">
        <f>IF('My investments'!$H$12="",0,IF('My investments'!$F239='My investments'!$H$12,$AA239,0))</f>
        <v/>
      </c>
      <c r="AM239" s="36">
        <f>IF('My investments'!$H$13="",0,IF('My investments'!$F239='My investments'!$H$13,$AA239,0))</f>
        <v/>
      </c>
      <c r="AN239" s="36">
        <f>IF('My investments'!$H$14="",0,IF('My investments'!$F239='My investments'!$H$14,$AA239,0))</f>
        <v/>
      </c>
      <c r="AO239" s="36">
        <f>IF('My investments'!$H$15="",0,IF('My investments'!$F239='My investments'!$H$15,$AA239,0))</f>
        <v/>
      </c>
    </row>
    <row r="240" ht="15" customHeight="1" s="30">
      <c r="A240" s="36">
        <f>IF('My investments'!$C240="Worth today",1,0)</f>
        <v/>
      </c>
      <c r="B240" s="36">
        <f>IF('My investments'!$C240="Money in",1,0)</f>
        <v/>
      </c>
      <c r="AA240" s="36">
        <f>IF('My investments'!$C240="Money in",'My investments'!$D240,0)</f>
        <v/>
      </c>
      <c r="AB240" s="36">
        <f>IF('My investments'!$C240="Money out",'My investments'!$D240,0)</f>
        <v/>
      </c>
      <c r="AC240" s="36">
        <f>IF('My investments'!$C240="Worth today",'My investments'!$D240,0)</f>
        <v/>
      </c>
      <c r="AE240" s="36">
        <f>IF('My investments'!$H$11="",0,IF('My investments'!$F240='My investments'!$H$11,'My investments'!$E240,0))</f>
        <v/>
      </c>
      <c r="AF240" s="36">
        <f>IF('My investments'!$H$12="",0,IF('My investments'!$F240='My investments'!$H$12,'My investments'!$E240,0))</f>
        <v/>
      </c>
      <c r="AG240" s="36">
        <f>IF('My investments'!$H$13="",0,IF('My investments'!$F240='My investments'!$H$13,'My investments'!$E240,0))</f>
        <v/>
      </c>
      <c r="AH240" s="36">
        <f>IF('My investments'!$H$14="",0,IF('My investments'!$F240='My investments'!$H$14,'My investments'!$E240,0))</f>
        <v/>
      </c>
      <c r="AI240" s="36">
        <f>IF('My investments'!$H$15="",0,IF('My investments'!$F240='My investments'!$H$15,'My investments'!$E240,0))</f>
        <v/>
      </c>
      <c r="AK240" s="36">
        <f>IF('My investments'!$H$11="",0,IF('My investments'!$F240='My investments'!$H$11,$AA240,0))</f>
        <v/>
      </c>
      <c r="AL240" s="36">
        <f>IF('My investments'!$H$12="",0,IF('My investments'!$F240='My investments'!$H$12,$AA240,0))</f>
        <v/>
      </c>
      <c r="AM240" s="36">
        <f>IF('My investments'!$H$13="",0,IF('My investments'!$F240='My investments'!$H$13,$AA240,0))</f>
        <v/>
      </c>
      <c r="AN240" s="36">
        <f>IF('My investments'!$H$14="",0,IF('My investments'!$F240='My investments'!$H$14,$AA240,0))</f>
        <v/>
      </c>
      <c r="AO240" s="36">
        <f>IF('My investments'!$H$15="",0,IF('My investments'!$F240='My investments'!$H$15,$AA240,0))</f>
        <v/>
      </c>
    </row>
    <row r="241" ht="15" customHeight="1" s="30">
      <c r="A241" s="36">
        <f>IF('My investments'!$C241="Worth today",1,0)</f>
        <v/>
      </c>
      <c r="B241" s="36">
        <f>IF('My investments'!$C241="Money in",1,0)</f>
        <v/>
      </c>
      <c r="AA241" s="36">
        <f>IF('My investments'!$C241="Money in",'My investments'!$D241,0)</f>
        <v/>
      </c>
      <c r="AB241" s="36">
        <f>IF('My investments'!$C241="Money out",'My investments'!$D241,0)</f>
        <v/>
      </c>
      <c r="AC241" s="36">
        <f>IF('My investments'!$C241="Worth today",'My investments'!$D241,0)</f>
        <v/>
      </c>
      <c r="AE241" s="36">
        <f>IF('My investments'!$H$11="",0,IF('My investments'!$F241='My investments'!$H$11,'My investments'!$E241,0))</f>
        <v/>
      </c>
      <c r="AF241" s="36">
        <f>IF('My investments'!$H$12="",0,IF('My investments'!$F241='My investments'!$H$12,'My investments'!$E241,0))</f>
        <v/>
      </c>
      <c r="AG241" s="36">
        <f>IF('My investments'!$H$13="",0,IF('My investments'!$F241='My investments'!$H$13,'My investments'!$E241,0))</f>
        <v/>
      </c>
      <c r="AH241" s="36">
        <f>IF('My investments'!$H$14="",0,IF('My investments'!$F241='My investments'!$H$14,'My investments'!$E241,0))</f>
        <v/>
      </c>
      <c r="AI241" s="36">
        <f>IF('My investments'!$H$15="",0,IF('My investments'!$F241='My investments'!$H$15,'My investments'!$E241,0))</f>
        <v/>
      </c>
      <c r="AK241" s="36">
        <f>IF('My investments'!$H$11="",0,IF('My investments'!$F241='My investments'!$H$11,$AA241,0))</f>
        <v/>
      </c>
      <c r="AL241" s="36">
        <f>IF('My investments'!$H$12="",0,IF('My investments'!$F241='My investments'!$H$12,$AA241,0))</f>
        <v/>
      </c>
      <c r="AM241" s="36">
        <f>IF('My investments'!$H$13="",0,IF('My investments'!$F241='My investments'!$H$13,$AA241,0))</f>
        <v/>
      </c>
      <c r="AN241" s="36">
        <f>IF('My investments'!$H$14="",0,IF('My investments'!$F241='My investments'!$H$14,$AA241,0))</f>
        <v/>
      </c>
      <c r="AO241" s="36">
        <f>IF('My investments'!$H$15="",0,IF('My investments'!$F241='My investments'!$H$15,$AA241,0))</f>
        <v/>
      </c>
    </row>
    <row r="242" ht="15" customHeight="1" s="30">
      <c r="A242" s="36">
        <f>IF('My investments'!$C242="Worth today",1,0)</f>
        <v/>
      </c>
      <c r="B242" s="36">
        <f>IF('My investments'!$C242="Money in",1,0)</f>
        <v/>
      </c>
      <c r="AA242" s="36">
        <f>IF('My investments'!$C242="Money in",'My investments'!$D242,0)</f>
        <v/>
      </c>
      <c r="AB242" s="36">
        <f>IF('My investments'!$C242="Money out",'My investments'!$D242,0)</f>
        <v/>
      </c>
      <c r="AC242" s="36">
        <f>IF('My investments'!$C242="Worth today",'My investments'!$D242,0)</f>
        <v/>
      </c>
      <c r="AE242" s="36">
        <f>IF('My investments'!$H$11="",0,IF('My investments'!$F242='My investments'!$H$11,'My investments'!$E242,0))</f>
        <v/>
      </c>
      <c r="AF242" s="36">
        <f>IF('My investments'!$H$12="",0,IF('My investments'!$F242='My investments'!$H$12,'My investments'!$E242,0))</f>
        <v/>
      </c>
      <c r="AG242" s="36">
        <f>IF('My investments'!$H$13="",0,IF('My investments'!$F242='My investments'!$H$13,'My investments'!$E242,0))</f>
        <v/>
      </c>
      <c r="AH242" s="36">
        <f>IF('My investments'!$H$14="",0,IF('My investments'!$F242='My investments'!$H$14,'My investments'!$E242,0))</f>
        <v/>
      </c>
      <c r="AI242" s="36">
        <f>IF('My investments'!$H$15="",0,IF('My investments'!$F242='My investments'!$H$15,'My investments'!$E242,0))</f>
        <v/>
      </c>
      <c r="AK242" s="36">
        <f>IF('My investments'!$H$11="",0,IF('My investments'!$F242='My investments'!$H$11,$AA242,0))</f>
        <v/>
      </c>
      <c r="AL242" s="36">
        <f>IF('My investments'!$H$12="",0,IF('My investments'!$F242='My investments'!$H$12,$AA242,0))</f>
        <v/>
      </c>
      <c r="AM242" s="36">
        <f>IF('My investments'!$H$13="",0,IF('My investments'!$F242='My investments'!$H$13,$AA242,0))</f>
        <v/>
      </c>
      <c r="AN242" s="36">
        <f>IF('My investments'!$H$14="",0,IF('My investments'!$F242='My investments'!$H$14,$AA242,0))</f>
        <v/>
      </c>
      <c r="AO242" s="36">
        <f>IF('My investments'!$H$15="",0,IF('My investments'!$F242='My investments'!$H$15,$AA242,0))</f>
        <v/>
      </c>
    </row>
    <row r="243" ht="15" customHeight="1" s="30">
      <c r="A243" s="36">
        <f>IF('My investments'!$C243="Worth today",1,0)</f>
        <v/>
      </c>
      <c r="B243" s="36">
        <f>IF('My investments'!$C243="Money in",1,0)</f>
        <v/>
      </c>
      <c r="AA243" s="36">
        <f>IF('My investments'!$C243="Money in",'My investments'!$D243,0)</f>
        <v/>
      </c>
      <c r="AB243" s="36">
        <f>IF('My investments'!$C243="Money out",'My investments'!$D243,0)</f>
        <v/>
      </c>
      <c r="AC243" s="36">
        <f>IF('My investments'!$C243="Worth today",'My investments'!$D243,0)</f>
        <v/>
      </c>
      <c r="AE243" s="36">
        <f>IF('My investments'!$H$11="",0,IF('My investments'!$F243='My investments'!$H$11,'My investments'!$E243,0))</f>
        <v/>
      </c>
      <c r="AF243" s="36">
        <f>IF('My investments'!$H$12="",0,IF('My investments'!$F243='My investments'!$H$12,'My investments'!$E243,0))</f>
        <v/>
      </c>
      <c r="AG243" s="36">
        <f>IF('My investments'!$H$13="",0,IF('My investments'!$F243='My investments'!$H$13,'My investments'!$E243,0))</f>
        <v/>
      </c>
      <c r="AH243" s="36">
        <f>IF('My investments'!$H$14="",0,IF('My investments'!$F243='My investments'!$H$14,'My investments'!$E243,0))</f>
        <v/>
      </c>
      <c r="AI243" s="36">
        <f>IF('My investments'!$H$15="",0,IF('My investments'!$F243='My investments'!$H$15,'My investments'!$E243,0))</f>
        <v/>
      </c>
      <c r="AK243" s="36">
        <f>IF('My investments'!$H$11="",0,IF('My investments'!$F243='My investments'!$H$11,$AA243,0))</f>
        <v/>
      </c>
      <c r="AL243" s="36">
        <f>IF('My investments'!$H$12="",0,IF('My investments'!$F243='My investments'!$H$12,$AA243,0))</f>
        <v/>
      </c>
      <c r="AM243" s="36">
        <f>IF('My investments'!$H$13="",0,IF('My investments'!$F243='My investments'!$H$13,$AA243,0))</f>
        <v/>
      </c>
      <c r="AN243" s="36">
        <f>IF('My investments'!$H$14="",0,IF('My investments'!$F243='My investments'!$H$14,$AA243,0))</f>
        <v/>
      </c>
      <c r="AO243" s="36">
        <f>IF('My investments'!$H$15="",0,IF('My investments'!$F243='My investments'!$H$15,$AA243,0))</f>
        <v/>
      </c>
    </row>
    <row r="244" ht="15" customHeight="1" s="30">
      <c r="A244" s="36">
        <f>IF('My investments'!$C244="Worth today",1,0)</f>
        <v/>
      </c>
      <c r="B244" s="36">
        <f>IF('My investments'!$C244="Money in",1,0)</f>
        <v/>
      </c>
      <c r="AA244" s="36">
        <f>IF('My investments'!$C244="Money in",'My investments'!$D244,0)</f>
        <v/>
      </c>
      <c r="AB244" s="36">
        <f>IF('My investments'!$C244="Money out",'My investments'!$D244,0)</f>
        <v/>
      </c>
      <c r="AC244" s="36">
        <f>IF('My investments'!$C244="Worth today",'My investments'!$D244,0)</f>
        <v/>
      </c>
      <c r="AE244" s="36">
        <f>IF('My investments'!$H$11="",0,IF('My investments'!$F244='My investments'!$H$11,'My investments'!$E244,0))</f>
        <v/>
      </c>
      <c r="AF244" s="36">
        <f>IF('My investments'!$H$12="",0,IF('My investments'!$F244='My investments'!$H$12,'My investments'!$E244,0))</f>
        <v/>
      </c>
      <c r="AG244" s="36">
        <f>IF('My investments'!$H$13="",0,IF('My investments'!$F244='My investments'!$H$13,'My investments'!$E244,0))</f>
        <v/>
      </c>
      <c r="AH244" s="36">
        <f>IF('My investments'!$H$14="",0,IF('My investments'!$F244='My investments'!$H$14,'My investments'!$E244,0))</f>
        <v/>
      </c>
      <c r="AI244" s="36">
        <f>IF('My investments'!$H$15="",0,IF('My investments'!$F244='My investments'!$H$15,'My investments'!$E244,0))</f>
        <v/>
      </c>
      <c r="AK244" s="36">
        <f>IF('My investments'!$H$11="",0,IF('My investments'!$F244='My investments'!$H$11,$AA244,0))</f>
        <v/>
      </c>
      <c r="AL244" s="36">
        <f>IF('My investments'!$H$12="",0,IF('My investments'!$F244='My investments'!$H$12,$AA244,0))</f>
        <v/>
      </c>
      <c r="AM244" s="36">
        <f>IF('My investments'!$H$13="",0,IF('My investments'!$F244='My investments'!$H$13,$AA244,0))</f>
        <v/>
      </c>
      <c r="AN244" s="36">
        <f>IF('My investments'!$H$14="",0,IF('My investments'!$F244='My investments'!$H$14,$AA244,0))</f>
        <v/>
      </c>
      <c r="AO244" s="36">
        <f>IF('My investments'!$H$15="",0,IF('My investments'!$F244='My investments'!$H$15,$AA244,0))</f>
        <v/>
      </c>
    </row>
    <row r="245" ht="15" customHeight="1" s="30">
      <c r="A245" s="36">
        <f>IF('My investments'!$C245="Worth today",1,0)</f>
        <v/>
      </c>
      <c r="B245" s="36">
        <f>IF('My investments'!$C245="Money in",1,0)</f>
        <v/>
      </c>
      <c r="AA245" s="36">
        <f>IF('My investments'!$C245="Money in",'My investments'!$D245,0)</f>
        <v/>
      </c>
      <c r="AB245" s="36">
        <f>IF('My investments'!$C245="Money out",'My investments'!$D245,0)</f>
        <v/>
      </c>
      <c r="AC245" s="36">
        <f>IF('My investments'!$C245="Worth today",'My investments'!$D245,0)</f>
        <v/>
      </c>
      <c r="AE245" s="36">
        <f>IF('My investments'!$H$11="",0,IF('My investments'!$F245='My investments'!$H$11,'My investments'!$E245,0))</f>
        <v/>
      </c>
      <c r="AF245" s="36">
        <f>IF('My investments'!$H$12="",0,IF('My investments'!$F245='My investments'!$H$12,'My investments'!$E245,0))</f>
        <v/>
      </c>
      <c r="AG245" s="36">
        <f>IF('My investments'!$H$13="",0,IF('My investments'!$F245='My investments'!$H$13,'My investments'!$E245,0))</f>
        <v/>
      </c>
      <c r="AH245" s="36">
        <f>IF('My investments'!$H$14="",0,IF('My investments'!$F245='My investments'!$H$14,'My investments'!$E245,0))</f>
        <v/>
      </c>
      <c r="AI245" s="36">
        <f>IF('My investments'!$H$15="",0,IF('My investments'!$F245='My investments'!$H$15,'My investments'!$E245,0))</f>
        <v/>
      </c>
      <c r="AK245" s="36">
        <f>IF('My investments'!$H$11="",0,IF('My investments'!$F245='My investments'!$H$11,$AA245,0))</f>
        <v/>
      </c>
      <c r="AL245" s="36">
        <f>IF('My investments'!$H$12="",0,IF('My investments'!$F245='My investments'!$H$12,$AA245,0))</f>
        <v/>
      </c>
      <c r="AM245" s="36">
        <f>IF('My investments'!$H$13="",0,IF('My investments'!$F245='My investments'!$H$13,$AA245,0))</f>
        <v/>
      </c>
      <c r="AN245" s="36">
        <f>IF('My investments'!$H$14="",0,IF('My investments'!$F245='My investments'!$H$14,$AA245,0))</f>
        <v/>
      </c>
      <c r="AO245" s="36">
        <f>IF('My investments'!$H$15="",0,IF('My investments'!$F245='My investments'!$H$15,$AA245,0))</f>
        <v/>
      </c>
    </row>
    <row r="246" ht="15" customHeight="1" s="30">
      <c r="A246" s="36">
        <f>IF('My investments'!$C246="Worth today",1,0)</f>
        <v/>
      </c>
      <c r="B246" s="36">
        <f>IF('My investments'!$C246="Money in",1,0)</f>
        <v/>
      </c>
      <c r="AA246" s="36">
        <f>IF('My investments'!$C246="Money in",'My investments'!$D246,0)</f>
        <v/>
      </c>
      <c r="AB246" s="36">
        <f>IF('My investments'!$C246="Money out",'My investments'!$D246,0)</f>
        <v/>
      </c>
      <c r="AC246" s="36">
        <f>IF('My investments'!$C246="Worth today",'My investments'!$D246,0)</f>
        <v/>
      </c>
      <c r="AE246" s="36">
        <f>IF('My investments'!$H$11="",0,IF('My investments'!$F246='My investments'!$H$11,'My investments'!$E246,0))</f>
        <v/>
      </c>
      <c r="AF246" s="36">
        <f>IF('My investments'!$H$12="",0,IF('My investments'!$F246='My investments'!$H$12,'My investments'!$E246,0))</f>
        <v/>
      </c>
      <c r="AG246" s="36">
        <f>IF('My investments'!$H$13="",0,IF('My investments'!$F246='My investments'!$H$13,'My investments'!$E246,0))</f>
        <v/>
      </c>
      <c r="AH246" s="36">
        <f>IF('My investments'!$H$14="",0,IF('My investments'!$F246='My investments'!$H$14,'My investments'!$E246,0))</f>
        <v/>
      </c>
      <c r="AI246" s="36">
        <f>IF('My investments'!$H$15="",0,IF('My investments'!$F246='My investments'!$H$15,'My investments'!$E246,0))</f>
        <v/>
      </c>
      <c r="AK246" s="36">
        <f>IF('My investments'!$H$11="",0,IF('My investments'!$F246='My investments'!$H$11,$AA246,0))</f>
        <v/>
      </c>
      <c r="AL246" s="36">
        <f>IF('My investments'!$H$12="",0,IF('My investments'!$F246='My investments'!$H$12,$AA246,0))</f>
        <v/>
      </c>
      <c r="AM246" s="36">
        <f>IF('My investments'!$H$13="",0,IF('My investments'!$F246='My investments'!$H$13,$AA246,0))</f>
        <v/>
      </c>
      <c r="AN246" s="36">
        <f>IF('My investments'!$H$14="",0,IF('My investments'!$F246='My investments'!$H$14,$AA246,0))</f>
        <v/>
      </c>
      <c r="AO246" s="36">
        <f>IF('My investments'!$H$15="",0,IF('My investments'!$F246='My investments'!$H$15,$AA246,0))</f>
        <v/>
      </c>
    </row>
    <row r="247" ht="15" customHeight="1" s="30">
      <c r="A247" s="36">
        <f>IF('My investments'!$C247="Worth today",1,0)</f>
        <v/>
      </c>
      <c r="B247" s="36">
        <f>IF('My investments'!$C247="Money in",1,0)</f>
        <v/>
      </c>
      <c r="AA247" s="36">
        <f>IF('My investments'!$C247="Money in",'My investments'!$D247,0)</f>
        <v/>
      </c>
      <c r="AB247" s="36">
        <f>IF('My investments'!$C247="Money out",'My investments'!$D247,0)</f>
        <v/>
      </c>
      <c r="AC247" s="36">
        <f>IF('My investments'!$C247="Worth today",'My investments'!$D247,0)</f>
        <v/>
      </c>
      <c r="AE247" s="36">
        <f>IF('My investments'!$H$11="",0,IF('My investments'!$F247='My investments'!$H$11,'My investments'!$E247,0))</f>
        <v/>
      </c>
      <c r="AF247" s="36">
        <f>IF('My investments'!$H$12="",0,IF('My investments'!$F247='My investments'!$H$12,'My investments'!$E247,0))</f>
        <v/>
      </c>
      <c r="AG247" s="36">
        <f>IF('My investments'!$H$13="",0,IF('My investments'!$F247='My investments'!$H$13,'My investments'!$E247,0))</f>
        <v/>
      </c>
      <c r="AH247" s="36">
        <f>IF('My investments'!$H$14="",0,IF('My investments'!$F247='My investments'!$H$14,'My investments'!$E247,0))</f>
        <v/>
      </c>
      <c r="AI247" s="36">
        <f>IF('My investments'!$H$15="",0,IF('My investments'!$F247='My investments'!$H$15,'My investments'!$E247,0))</f>
        <v/>
      </c>
      <c r="AK247" s="36">
        <f>IF('My investments'!$H$11="",0,IF('My investments'!$F247='My investments'!$H$11,$AA247,0))</f>
        <v/>
      </c>
      <c r="AL247" s="36">
        <f>IF('My investments'!$H$12="",0,IF('My investments'!$F247='My investments'!$H$12,$AA247,0))</f>
        <v/>
      </c>
      <c r="AM247" s="36">
        <f>IF('My investments'!$H$13="",0,IF('My investments'!$F247='My investments'!$H$13,$AA247,0))</f>
        <v/>
      </c>
      <c r="AN247" s="36">
        <f>IF('My investments'!$H$14="",0,IF('My investments'!$F247='My investments'!$H$14,$AA247,0))</f>
        <v/>
      </c>
      <c r="AO247" s="36">
        <f>IF('My investments'!$H$15="",0,IF('My investments'!$F247='My investments'!$H$15,$AA247,0))</f>
        <v/>
      </c>
    </row>
    <row r="248" ht="15" customHeight="1" s="30">
      <c r="A248" s="36">
        <f>IF('My investments'!$C248="Worth today",1,0)</f>
        <v/>
      </c>
      <c r="B248" s="36">
        <f>IF('My investments'!$C248="Money in",1,0)</f>
        <v/>
      </c>
      <c r="AA248" s="36">
        <f>IF('My investments'!$C248="Money in",'My investments'!$D248,0)</f>
        <v/>
      </c>
      <c r="AB248" s="36">
        <f>IF('My investments'!$C248="Money out",'My investments'!$D248,0)</f>
        <v/>
      </c>
      <c r="AC248" s="36">
        <f>IF('My investments'!$C248="Worth today",'My investments'!$D248,0)</f>
        <v/>
      </c>
      <c r="AE248" s="36">
        <f>IF('My investments'!$H$11="",0,IF('My investments'!$F248='My investments'!$H$11,'My investments'!$E248,0))</f>
        <v/>
      </c>
      <c r="AF248" s="36">
        <f>IF('My investments'!$H$12="",0,IF('My investments'!$F248='My investments'!$H$12,'My investments'!$E248,0))</f>
        <v/>
      </c>
      <c r="AG248" s="36">
        <f>IF('My investments'!$H$13="",0,IF('My investments'!$F248='My investments'!$H$13,'My investments'!$E248,0))</f>
        <v/>
      </c>
      <c r="AH248" s="36">
        <f>IF('My investments'!$H$14="",0,IF('My investments'!$F248='My investments'!$H$14,'My investments'!$E248,0))</f>
        <v/>
      </c>
      <c r="AI248" s="36">
        <f>IF('My investments'!$H$15="",0,IF('My investments'!$F248='My investments'!$H$15,'My investments'!$E248,0))</f>
        <v/>
      </c>
      <c r="AK248" s="36">
        <f>IF('My investments'!$H$11="",0,IF('My investments'!$F248='My investments'!$H$11,$AA248,0))</f>
        <v/>
      </c>
      <c r="AL248" s="36">
        <f>IF('My investments'!$H$12="",0,IF('My investments'!$F248='My investments'!$H$12,$AA248,0))</f>
        <v/>
      </c>
      <c r="AM248" s="36">
        <f>IF('My investments'!$H$13="",0,IF('My investments'!$F248='My investments'!$H$13,$AA248,0))</f>
        <v/>
      </c>
      <c r="AN248" s="36">
        <f>IF('My investments'!$H$14="",0,IF('My investments'!$F248='My investments'!$H$14,$AA248,0))</f>
        <v/>
      </c>
      <c r="AO248" s="36">
        <f>IF('My investments'!$H$15="",0,IF('My investments'!$F248='My investments'!$H$15,$AA248,0))</f>
        <v/>
      </c>
    </row>
    <row r="249" ht="15" customHeight="1" s="30">
      <c r="A249" s="36">
        <f>IF('My investments'!$C249="Worth today",1,0)</f>
        <v/>
      </c>
      <c r="B249" s="36">
        <f>IF('My investments'!$C249="Money in",1,0)</f>
        <v/>
      </c>
      <c r="AA249" s="36">
        <f>IF('My investments'!$C249="Money in",'My investments'!$D249,0)</f>
        <v/>
      </c>
      <c r="AB249" s="36">
        <f>IF('My investments'!$C249="Money out",'My investments'!$D249,0)</f>
        <v/>
      </c>
      <c r="AC249" s="36">
        <f>IF('My investments'!$C249="Worth today",'My investments'!$D249,0)</f>
        <v/>
      </c>
      <c r="AE249" s="36">
        <f>IF('My investments'!$H$11="",0,IF('My investments'!$F249='My investments'!$H$11,'My investments'!$E249,0))</f>
        <v/>
      </c>
      <c r="AF249" s="36">
        <f>IF('My investments'!$H$12="",0,IF('My investments'!$F249='My investments'!$H$12,'My investments'!$E249,0))</f>
        <v/>
      </c>
      <c r="AG249" s="36">
        <f>IF('My investments'!$H$13="",0,IF('My investments'!$F249='My investments'!$H$13,'My investments'!$E249,0))</f>
        <v/>
      </c>
      <c r="AH249" s="36">
        <f>IF('My investments'!$H$14="",0,IF('My investments'!$F249='My investments'!$H$14,'My investments'!$E249,0))</f>
        <v/>
      </c>
      <c r="AI249" s="36">
        <f>IF('My investments'!$H$15="",0,IF('My investments'!$F249='My investments'!$H$15,'My investments'!$E249,0))</f>
        <v/>
      </c>
      <c r="AK249" s="36">
        <f>IF('My investments'!$H$11="",0,IF('My investments'!$F249='My investments'!$H$11,$AA249,0))</f>
        <v/>
      </c>
      <c r="AL249" s="36">
        <f>IF('My investments'!$H$12="",0,IF('My investments'!$F249='My investments'!$H$12,$AA249,0))</f>
        <v/>
      </c>
      <c r="AM249" s="36">
        <f>IF('My investments'!$H$13="",0,IF('My investments'!$F249='My investments'!$H$13,$AA249,0))</f>
        <v/>
      </c>
      <c r="AN249" s="36">
        <f>IF('My investments'!$H$14="",0,IF('My investments'!$F249='My investments'!$H$14,$AA249,0))</f>
        <v/>
      </c>
      <c r="AO249" s="36">
        <f>IF('My investments'!$H$15="",0,IF('My investments'!$F249='My investments'!$H$15,$AA249,0))</f>
        <v/>
      </c>
    </row>
    <row r="250" ht="15" customHeight="1" s="30">
      <c r="A250" s="36">
        <f>IF('My investments'!$C250="Worth today",1,0)</f>
        <v/>
      </c>
      <c r="B250" s="36">
        <f>IF('My investments'!$C250="Money in",1,0)</f>
        <v/>
      </c>
      <c r="AA250" s="36">
        <f>IF('My investments'!$C250="Money in",'My investments'!$D250,0)</f>
        <v/>
      </c>
      <c r="AB250" s="36">
        <f>IF('My investments'!$C250="Money out",'My investments'!$D250,0)</f>
        <v/>
      </c>
      <c r="AC250" s="36">
        <f>IF('My investments'!$C250="Worth today",'My investments'!$D250,0)</f>
        <v/>
      </c>
      <c r="AE250" s="36">
        <f>IF('My investments'!$H$11="",0,IF('My investments'!$F250='My investments'!$H$11,'My investments'!$E250,0))</f>
        <v/>
      </c>
      <c r="AF250" s="36">
        <f>IF('My investments'!$H$12="",0,IF('My investments'!$F250='My investments'!$H$12,'My investments'!$E250,0))</f>
        <v/>
      </c>
      <c r="AG250" s="36">
        <f>IF('My investments'!$H$13="",0,IF('My investments'!$F250='My investments'!$H$13,'My investments'!$E250,0))</f>
        <v/>
      </c>
      <c r="AH250" s="36">
        <f>IF('My investments'!$H$14="",0,IF('My investments'!$F250='My investments'!$H$14,'My investments'!$E250,0))</f>
        <v/>
      </c>
      <c r="AI250" s="36">
        <f>IF('My investments'!$H$15="",0,IF('My investments'!$F250='My investments'!$H$15,'My investments'!$E250,0))</f>
        <v/>
      </c>
      <c r="AK250" s="36">
        <f>IF('My investments'!$H$11="",0,IF('My investments'!$F250='My investments'!$H$11,$AA250,0))</f>
        <v/>
      </c>
      <c r="AL250" s="36">
        <f>IF('My investments'!$H$12="",0,IF('My investments'!$F250='My investments'!$H$12,$AA250,0))</f>
        <v/>
      </c>
      <c r="AM250" s="36">
        <f>IF('My investments'!$H$13="",0,IF('My investments'!$F250='My investments'!$H$13,$AA250,0))</f>
        <v/>
      </c>
      <c r="AN250" s="36">
        <f>IF('My investments'!$H$14="",0,IF('My investments'!$F250='My investments'!$H$14,$AA250,0))</f>
        <v/>
      </c>
      <c r="AO250" s="36">
        <f>IF('My investments'!$H$15="",0,IF('My investments'!$F250='My investments'!$H$15,$AA250,0))</f>
        <v/>
      </c>
    </row>
    <row r="251" ht="15" customHeight="1" s="30">
      <c r="A251" s="36">
        <f>IF('My investments'!$C251="Worth today",1,0)</f>
        <v/>
      </c>
      <c r="B251" s="36">
        <f>IF('My investments'!$C251="Money in",1,0)</f>
        <v/>
      </c>
      <c r="AA251" s="36">
        <f>IF('My investments'!$C251="Money in",'My investments'!$D251,0)</f>
        <v/>
      </c>
      <c r="AB251" s="36">
        <f>IF('My investments'!$C251="Money out",'My investments'!$D251,0)</f>
        <v/>
      </c>
      <c r="AC251" s="36">
        <f>IF('My investments'!$C251="Worth today",'My investments'!$D251,0)</f>
        <v/>
      </c>
      <c r="AE251" s="36">
        <f>IF('My investments'!$H$11="",0,IF('My investments'!$F251='My investments'!$H$11,'My investments'!$E251,0))</f>
        <v/>
      </c>
      <c r="AF251" s="36">
        <f>IF('My investments'!$H$12="",0,IF('My investments'!$F251='My investments'!$H$12,'My investments'!$E251,0))</f>
        <v/>
      </c>
      <c r="AG251" s="36">
        <f>IF('My investments'!$H$13="",0,IF('My investments'!$F251='My investments'!$H$13,'My investments'!$E251,0))</f>
        <v/>
      </c>
      <c r="AH251" s="36">
        <f>IF('My investments'!$H$14="",0,IF('My investments'!$F251='My investments'!$H$14,'My investments'!$E251,0))</f>
        <v/>
      </c>
      <c r="AI251" s="36">
        <f>IF('My investments'!$H$15="",0,IF('My investments'!$F251='My investments'!$H$15,'My investments'!$E251,0))</f>
        <v/>
      </c>
      <c r="AK251" s="36">
        <f>IF('My investments'!$H$11="",0,IF('My investments'!$F251='My investments'!$H$11,$AA251,0))</f>
        <v/>
      </c>
      <c r="AL251" s="36">
        <f>IF('My investments'!$H$12="",0,IF('My investments'!$F251='My investments'!$H$12,$AA251,0))</f>
        <v/>
      </c>
      <c r="AM251" s="36">
        <f>IF('My investments'!$H$13="",0,IF('My investments'!$F251='My investments'!$H$13,$AA251,0))</f>
        <v/>
      </c>
      <c r="AN251" s="36">
        <f>IF('My investments'!$H$14="",0,IF('My investments'!$F251='My investments'!$H$14,$AA251,0))</f>
        <v/>
      </c>
      <c r="AO251" s="36">
        <f>IF('My investments'!$H$15="",0,IF('My investments'!$F251='My investments'!$H$15,$AA251,0))</f>
        <v/>
      </c>
    </row>
    <row r="252" ht="15" customHeight="1" s="30">
      <c r="A252" s="36">
        <f>IF('My investments'!$C252="Worth today",1,0)</f>
        <v/>
      </c>
      <c r="B252" s="36">
        <f>IF('My investments'!$C252="Money in",1,0)</f>
        <v/>
      </c>
      <c r="AA252" s="36">
        <f>IF('My investments'!$C252="Money in",'My investments'!$D252,0)</f>
        <v/>
      </c>
      <c r="AB252" s="36">
        <f>IF('My investments'!$C252="Money out",'My investments'!$D252,0)</f>
        <v/>
      </c>
      <c r="AC252" s="36">
        <f>IF('My investments'!$C252="Worth today",'My investments'!$D252,0)</f>
        <v/>
      </c>
      <c r="AE252" s="36">
        <f>IF('My investments'!$H$11="",0,IF('My investments'!$F252='My investments'!$H$11,'My investments'!$E252,0))</f>
        <v/>
      </c>
      <c r="AF252" s="36">
        <f>IF('My investments'!$H$12="",0,IF('My investments'!$F252='My investments'!$H$12,'My investments'!$E252,0))</f>
        <v/>
      </c>
      <c r="AG252" s="36">
        <f>IF('My investments'!$H$13="",0,IF('My investments'!$F252='My investments'!$H$13,'My investments'!$E252,0))</f>
        <v/>
      </c>
      <c r="AH252" s="36">
        <f>IF('My investments'!$H$14="",0,IF('My investments'!$F252='My investments'!$H$14,'My investments'!$E252,0))</f>
        <v/>
      </c>
      <c r="AI252" s="36">
        <f>IF('My investments'!$H$15="",0,IF('My investments'!$F252='My investments'!$H$15,'My investments'!$E252,0))</f>
        <v/>
      </c>
      <c r="AK252" s="36">
        <f>IF('My investments'!$H$11="",0,IF('My investments'!$F252='My investments'!$H$11,$AA252,0))</f>
        <v/>
      </c>
      <c r="AL252" s="36">
        <f>IF('My investments'!$H$12="",0,IF('My investments'!$F252='My investments'!$H$12,$AA252,0))</f>
        <v/>
      </c>
      <c r="AM252" s="36">
        <f>IF('My investments'!$H$13="",0,IF('My investments'!$F252='My investments'!$H$13,$AA252,0))</f>
        <v/>
      </c>
      <c r="AN252" s="36">
        <f>IF('My investments'!$H$14="",0,IF('My investments'!$F252='My investments'!$H$14,$AA252,0))</f>
        <v/>
      </c>
      <c r="AO252" s="36">
        <f>IF('My investments'!$H$15="",0,IF('My investments'!$F252='My investments'!$H$15,$AA252,0))</f>
        <v/>
      </c>
    </row>
    <row r="253" ht="15" customHeight="1" s="30">
      <c r="A253" s="36">
        <f>IF('My investments'!$C253="Worth today",1,0)</f>
        <v/>
      </c>
      <c r="B253" s="36">
        <f>IF('My investments'!$C253="Money in",1,0)</f>
        <v/>
      </c>
      <c r="AA253" s="36">
        <f>IF('My investments'!$C253="Money in",'My investments'!$D253,0)</f>
        <v/>
      </c>
      <c r="AB253" s="36">
        <f>IF('My investments'!$C253="Money out",'My investments'!$D253,0)</f>
        <v/>
      </c>
      <c r="AC253" s="36">
        <f>IF('My investments'!$C253="Worth today",'My investments'!$D253,0)</f>
        <v/>
      </c>
      <c r="AE253" s="36">
        <f>IF('My investments'!$H$11="",0,IF('My investments'!$F253='My investments'!$H$11,'My investments'!$E253,0))</f>
        <v/>
      </c>
      <c r="AF253" s="36">
        <f>IF('My investments'!$H$12="",0,IF('My investments'!$F253='My investments'!$H$12,'My investments'!$E253,0))</f>
        <v/>
      </c>
      <c r="AG253" s="36">
        <f>IF('My investments'!$H$13="",0,IF('My investments'!$F253='My investments'!$H$13,'My investments'!$E253,0))</f>
        <v/>
      </c>
      <c r="AH253" s="36">
        <f>IF('My investments'!$H$14="",0,IF('My investments'!$F253='My investments'!$H$14,'My investments'!$E253,0))</f>
        <v/>
      </c>
      <c r="AI253" s="36">
        <f>IF('My investments'!$H$15="",0,IF('My investments'!$F253='My investments'!$H$15,'My investments'!$E253,0))</f>
        <v/>
      </c>
      <c r="AK253" s="36">
        <f>IF('My investments'!$H$11="",0,IF('My investments'!$F253='My investments'!$H$11,$AA253,0))</f>
        <v/>
      </c>
      <c r="AL253" s="36">
        <f>IF('My investments'!$H$12="",0,IF('My investments'!$F253='My investments'!$H$12,$AA253,0))</f>
        <v/>
      </c>
      <c r="AM253" s="36">
        <f>IF('My investments'!$H$13="",0,IF('My investments'!$F253='My investments'!$H$13,$AA253,0))</f>
        <v/>
      </c>
      <c r="AN253" s="36">
        <f>IF('My investments'!$H$14="",0,IF('My investments'!$F253='My investments'!$H$14,$AA253,0))</f>
        <v/>
      </c>
      <c r="AO253" s="36">
        <f>IF('My investments'!$H$15="",0,IF('My investments'!$F253='My investments'!$H$15,$AA253,0))</f>
        <v/>
      </c>
    </row>
    <row r="254" ht="15" customHeight="1" s="30">
      <c r="A254" s="36">
        <f>IF('My investments'!$C254="Worth today",1,0)</f>
        <v/>
      </c>
      <c r="B254" s="36">
        <f>IF('My investments'!$C254="Money in",1,0)</f>
        <v/>
      </c>
      <c r="AA254" s="36">
        <f>IF('My investments'!$C254="Money in",'My investments'!$D254,0)</f>
        <v/>
      </c>
      <c r="AB254" s="36">
        <f>IF('My investments'!$C254="Money out",'My investments'!$D254,0)</f>
        <v/>
      </c>
      <c r="AC254" s="36">
        <f>IF('My investments'!$C254="Worth today",'My investments'!$D254,0)</f>
        <v/>
      </c>
      <c r="AE254" s="36">
        <f>IF('My investments'!$H$11="",0,IF('My investments'!$F254='My investments'!$H$11,'My investments'!$E254,0))</f>
        <v/>
      </c>
      <c r="AF254" s="36">
        <f>IF('My investments'!$H$12="",0,IF('My investments'!$F254='My investments'!$H$12,'My investments'!$E254,0))</f>
        <v/>
      </c>
      <c r="AG254" s="36">
        <f>IF('My investments'!$H$13="",0,IF('My investments'!$F254='My investments'!$H$13,'My investments'!$E254,0))</f>
        <v/>
      </c>
      <c r="AH254" s="36">
        <f>IF('My investments'!$H$14="",0,IF('My investments'!$F254='My investments'!$H$14,'My investments'!$E254,0))</f>
        <v/>
      </c>
      <c r="AI254" s="36">
        <f>IF('My investments'!$H$15="",0,IF('My investments'!$F254='My investments'!$H$15,'My investments'!$E254,0))</f>
        <v/>
      </c>
      <c r="AK254" s="36">
        <f>IF('My investments'!$H$11="",0,IF('My investments'!$F254='My investments'!$H$11,$AA254,0))</f>
        <v/>
      </c>
      <c r="AL254" s="36">
        <f>IF('My investments'!$H$12="",0,IF('My investments'!$F254='My investments'!$H$12,$AA254,0))</f>
        <v/>
      </c>
      <c r="AM254" s="36">
        <f>IF('My investments'!$H$13="",0,IF('My investments'!$F254='My investments'!$H$13,$AA254,0))</f>
        <v/>
      </c>
      <c r="AN254" s="36">
        <f>IF('My investments'!$H$14="",0,IF('My investments'!$F254='My investments'!$H$14,$AA254,0))</f>
        <v/>
      </c>
      <c r="AO254" s="36">
        <f>IF('My investments'!$H$15="",0,IF('My investments'!$F254='My investments'!$H$15,$AA254,0))</f>
        <v/>
      </c>
    </row>
    <row r="255" ht="15" customHeight="1" s="30">
      <c r="A255" s="36">
        <f>IF('My investments'!$C255="Worth today",1,0)</f>
        <v/>
      </c>
      <c r="B255" s="36">
        <f>IF('My investments'!$C255="Money in",1,0)</f>
        <v/>
      </c>
      <c r="AA255" s="36">
        <f>IF('My investments'!$C255="Money in",'My investments'!$D255,0)</f>
        <v/>
      </c>
      <c r="AB255" s="36">
        <f>IF('My investments'!$C255="Money out",'My investments'!$D255,0)</f>
        <v/>
      </c>
      <c r="AC255" s="36">
        <f>IF('My investments'!$C255="Worth today",'My investments'!$D255,0)</f>
        <v/>
      </c>
      <c r="AE255" s="36">
        <f>IF('My investments'!$H$11="",0,IF('My investments'!$F255='My investments'!$H$11,'My investments'!$E255,0))</f>
        <v/>
      </c>
      <c r="AF255" s="36">
        <f>IF('My investments'!$H$12="",0,IF('My investments'!$F255='My investments'!$H$12,'My investments'!$E255,0))</f>
        <v/>
      </c>
      <c r="AG255" s="36">
        <f>IF('My investments'!$H$13="",0,IF('My investments'!$F255='My investments'!$H$13,'My investments'!$E255,0))</f>
        <v/>
      </c>
      <c r="AH255" s="36">
        <f>IF('My investments'!$H$14="",0,IF('My investments'!$F255='My investments'!$H$14,'My investments'!$E255,0))</f>
        <v/>
      </c>
      <c r="AI255" s="36">
        <f>IF('My investments'!$H$15="",0,IF('My investments'!$F255='My investments'!$H$15,'My investments'!$E255,0))</f>
        <v/>
      </c>
      <c r="AK255" s="36">
        <f>IF('My investments'!$H$11="",0,IF('My investments'!$F255='My investments'!$H$11,$AA255,0))</f>
        <v/>
      </c>
      <c r="AL255" s="36">
        <f>IF('My investments'!$H$12="",0,IF('My investments'!$F255='My investments'!$H$12,$AA255,0))</f>
        <v/>
      </c>
      <c r="AM255" s="36">
        <f>IF('My investments'!$H$13="",0,IF('My investments'!$F255='My investments'!$H$13,$AA255,0))</f>
        <v/>
      </c>
      <c r="AN255" s="36">
        <f>IF('My investments'!$H$14="",0,IF('My investments'!$F255='My investments'!$H$14,$AA255,0))</f>
        <v/>
      </c>
      <c r="AO255" s="36">
        <f>IF('My investments'!$H$15="",0,IF('My investments'!$F255='My investments'!$H$15,$AA255,0))</f>
        <v/>
      </c>
    </row>
    <row r="256" ht="15" customHeight="1" s="30">
      <c r="A256" s="36">
        <f>IF('My investments'!$C256="Worth today",1,0)</f>
        <v/>
      </c>
      <c r="B256" s="36">
        <f>IF('My investments'!$C256="Money in",1,0)</f>
        <v/>
      </c>
      <c r="AA256" s="36">
        <f>IF('My investments'!$C256="Money in",'My investments'!$D256,0)</f>
        <v/>
      </c>
      <c r="AB256" s="36">
        <f>IF('My investments'!$C256="Money out",'My investments'!$D256,0)</f>
        <v/>
      </c>
      <c r="AC256" s="36">
        <f>IF('My investments'!$C256="Worth today",'My investments'!$D256,0)</f>
        <v/>
      </c>
      <c r="AE256" s="36">
        <f>IF('My investments'!$H$11="",0,IF('My investments'!$F256='My investments'!$H$11,'My investments'!$E256,0))</f>
        <v/>
      </c>
      <c r="AF256" s="36">
        <f>IF('My investments'!$H$12="",0,IF('My investments'!$F256='My investments'!$H$12,'My investments'!$E256,0))</f>
        <v/>
      </c>
      <c r="AG256" s="36">
        <f>IF('My investments'!$H$13="",0,IF('My investments'!$F256='My investments'!$H$13,'My investments'!$E256,0))</f>
        <v/>
      </c>
      <c r="AH256" s="36">
        <f>IF('My investments'!$H$14="",0,IF('My investments'!$F256='My investments'!$H$14,'My investments'!$E256,0))</f>
        <v/>
      </c>
      <c r="AI256" s="36">
        <f>IF('My investments'!$H$15="",0,IF('My investments'!$F256='My investments'!$H$15,'My investments'!$E256,0))</f>
        <v/>
      </c>
      <c r="AK256" s="36">
        <f>IF('My investments'!$H$11="",0,IF('My investments'!$F256='My investments'!$H$11,$AA256,0))</f>
        <v/>
      </c>
      <c r="AL256" s="36">
        <f>IF('My investments'!$H$12="",0,IF('My investments'!$F256='My investments'!$H$12,$AA256,0))</f>
        <v/>
      </c>
      <c r="AM256" s="36">
        <f>IF('My investments'!$H$13="",0,IF('My investments'!$F256='My investments'!$H$13,$AA256,0))</f>
        <v/>
      </c>
      <c r="AN256" s="36">
        <f>IF('My investments'!$H$14="",0,IF('My investments'!$F256='My investments'!$H$14,$AA256,0))</f>
        <v/>
      </c>
      <c r="AO256" s="36">
        <f>IF('My investments'!$H$15="",0,IF('My investments'!$F256='My investments'!$H$15,$AA256,0))</f>
        <v/>
      </c>
    </row>
    <row r="257" ht="15" customHeight="1" s="30">
      <c r="A257" s="36">
        <f>IF('My investments'!$C257="Worth today",1,0)</f>
        <v/>
      </c>
      <c r="B257" s="36">
        <f>IF('My investments'!$C257="Money in",1,0)</f>
        <v/>
      </c>
      <c r="AA257" s="36">
        <f>IF('My investments'!$C257="Money in",'My investments'!$D257,0)</f>
        <v/>
      </c>
      <c r="AB257" s="36">
        <f>IF('My investments'!$C257="Money out",'My investments'!$D257,0)</f>
        <v/>
      </c>
      <c r="AC257" s="36">
        <f>IF('My investments'!$C257="Worth today",'My investments'!$D257,0)</f>
        <v/>
      </c>
      <c r="AE257" s="36">
        <f>IF('My investments'!$H$11="",0,IF('My investments'!$F257='My investments'!$H$11,'My investments'!$E257,0))</f>
        <v/>
      </c>
      <c r="AF257" s="36">
        <f>IF('My investments'!$H$12="",0,IF('My investments'!$F257='My investments'!$H$12,'My investments'!$E257,0))</f>
        <v/>
      </c>
      <c r="AG257" s="36">
        <f>IF('My investments'!$H$13="",0,IF('My investments'!$F257='My investments'!$H$13,'My investments'!$E257,0))</f>
        <v/>
      </c>
      <c r="AH257" s="36">
        <f>IF('My investments'!$H$14="",0,IF('My investments'!$F257='My investments'!$H$14,'My investments'!$E257,0))</f>
        <v/>
      </c>
      <c r="AI257" s="36">
        <f>IF('My investments'!$H$15="",0,IF('My investments'!$F257='My investments'!$H$15,'My investments'!$E257,0))</f>
        <v/>
      </c>
      <c r="AK257" s="36">
        <f>IF('My investments'!$H$11="",0,IF('My investments'!$F257='My investments'!$H$11,$AA257,0))</f>
        <v/>
      </c>
      <c r="AL257" s="36">
        <f>IF('My investments'!$H$12="",0,IF('My investments'!$F257='My investments'!$H$12,$AA257,0))</f>
        <v/>
      </c>
      <c r="AM257" s="36">
        <f>IF('My investments'!$H$13="",0,IF('My investments'!$F257='My investments'!$H$13,$AA257,0))</f>
        <v/>
      </c>
      <c r="AN257" s="36">
        <f>IF('My investments'!$H$14="",0,IF('My investments'!$F257='My investments'!$H$14,$AA257,0))</f>
        <v/>
      </c>
      <c r="AO257" s="36">
        <f>IF('My investments'!$H$15="",0,IF('My investments'!$F257='My investments'!$H$15,$AA257,0))</f>
        <v/>
      </c>
    </row>
    <row r="258" ht="15" customHeight="1" s="30">
      <c r="A258" s="36">
        <f>IF('My investments'!$C258="Worth today",1,0)</f>
        <v/>
      </c>
      <c r="B258" s="36">
        <f>IF('My investments'!$C258="Money in",1,0)</f>
        <v/>
      </c>
      <c r="AA258" s="36">
        <f>IF('My investments'!$C258="Money in",'My investments'!$D258,0)</f>
        <v/>
      </c>
      <c r="AB258" s="36">
        <f>IF('My investments'!$C258="Money out",'My investments'!$D258,0)</f>
        <v/>
      </c>
      <c r="AC258" s="36">
        <f>IF('My investments'!$C258="Worth today",'My investments'!$D258,0)</f>
        <v/>
      </c>
      <c r="AE258" s="36">
        <f>IF('My investments'!$H$11="",0,IF('My investments'!$F258='My investments'!$H$11,'My investments'!$E258,0))</f>
        <v/>
      </c>
      <c r="AF258" s="36">
        <f>IF('My investments'!$H$12="",0,IF('My investments'!$F258='My investments'!$H$12,'My investments'!$E258,0))</f>
        <v/>
      </c>
      <c r="AG258" s="36">
        <f>IF('My investments'!$H$13="",0,IF('My investments'!$F258='My investments'!$H$13,'My investments'!$E258,0))</f>
        <v/>
      </c>
      <c r="AH258" s="36">
        <f>IF('My investments'!$H$14="",0,IF('My investments'!$F258='My investments'!$H$14,'My investments'!$E258,0))</f>
        <v/>
      </c>
      <c r="AI258" s="36">
        <f>IF('My investments'!$H$15="",0,IF('My investments'!$F258='My investments'!$H$15,'My investments'!$E258,0))</f>
        <v/>
      </c>
      <c r="AK258" s="36">
        <f>IF('My investments'!$H$11="",0,IF('My investments'!$F258='My investments'!$H$11,$AA258,0))</f>
        <v/>
      </c>
      <c r="AL258" s="36">
        <f>IF('My investments'!$H$12="",0,IF('My investments'!$F258='My investments'!$H$12,$AA258,0))</f>
        <v/>
      </c>
      <c r="AM258" s="36">
        <f>IF('My investments'!$H$13="",0,IF('My investments'!$F258='My investments'!$H$13,$AA258,0))</f>
        <v/>
      </c>
      <c r="AN258" s="36">
        <f>IF('My investments'!$H$14="",0,IF('My investments'!$F258='My investments'!$H$14,$AA258,0))</f>
        <v/>
      </c>
      <c r="AO258" s="36">
        <f>IF('My investments'!$H$15="",0,IF('My investments'!$F258='My investments'!$H$15,$AA258,0))</f>
        <v/>
      </c>
    </row>
    <row r="259" ht="15" customHeight="1" s="30">
      <c r="A259" s="36">
        <f>IF('My investments'!$C259="Worth today",1,0)</f>
        <v/>
      </c>
      <c r="B259" s="36">
        <f>IF('My investments'!$C259="Money in",1,0)</f>
        <v/>
      </c>
      <c r="AA259" s="36">
        <f>IF('My investments'!$C259="Money in",'My investments'!$D259,0)</f>
        <v/>
      </c>
      <c r="AB259" s="36">
        <f>IF('My investments'!$C259="Money out",'My investments'!$D259,0)</f>
        <v/>
      </c>
      <c r="AC259" s="36">
        <f>IF('My investments'!$C259="Worth today",'My investments'!$D259,0)</f>
        <v/>
      </c>
      <c r="AE259" s="36">
        <f>IF('My investments'!$H$11="",0,IF('My investments'!$F259='My investments'!$H$11,'My investments'!$E259,0))</f>
        <v/>
      </c>
      <c r="AF259" s="36">
        <f>IF('My investments'!$H$12="",0,IF('My investments'!$F259='My investments'!$H$12,'My investments'!$E259,0))</f>
        <v/>
      </c>
      <c r="AG259" s="36">
        <f>IF('My investments'!$H$13="",0,IF('My investments'!$F259='My investments'!$H$13,'My investments'!$E259,0))</f>
        <v/>
      </c>
      <c r="AH259" s="36">
        <f>IF('My investments'!$H$14="",0,IF('My investments'!$F259='My investments'!$H$14,'My investments'!$E259,0))</f>
        <v/>
      </c>
      <c r="AI259" s="36">
        <f>IF('My investments'!$H$15="",0,IF('My investments'!$F259='My investments'!$H$15,'My investments'!$E259,0))</f>
        <v/>
      </c>
      <c r="AK259" s="36">
        <f>IF('My investments'!$H$11="",0,IF('My investments'!$F259='My investments'!$H$11,$AA259,0))</f>
        <v/>
      </c>
      <c r="AL259" s="36">
        <f>IF('My investments'!$H$12="",0,IF('My investments'!$F259='My investments'!$H$12,$AA259,0))</f>
        <v/>
      </c>
      <c r="AM259" s="36">
        <f>IF('My investments'!$H$13="",0,IF('My investments'!$F259='My investments'!$H$13,$AA259,0))</f>
        <v/>
      </c>
      <c r="AN259" s="36">
        <f>IF('My investments'!$H$14="",0,IF('My investments'!$F259='My investments'!$H$14,$AA259,0))</f>
        <v/>
      </c>
      <c r="AO259" s="36">
        <f>IF('My investments'!$H$15="",0,IF('My investments'!$F259='My investments'!$H$15,$AA259,0))</f>
        <v/>
      </c>
    </row>
    <row r="260" ht="15" customHeight="1" s="30">
      <c r="A260" s="36">
        <f>IF('My investments'!$C260="Worth today",1,0)</f>
        <v/>
      </c>
      <c r="B260" s="36">
        <f>IF('My investments'!$C260="Money in",1,0)</f>
        <v/>
      </c>
      <c r="AA260" s="36">
        <f>IF('My investments'!$C260="Money in",'My investments'!$D260,0)</f>
        <v/>
      </c>
      <c r="AB260" s="36">
        <f>IF('My investments'!$C260="Money out",'My investments'!$D260,0)</f>
        <v/>
      </c>
      <c r="AC260" s="36">
        <f>IF('My investments'!$C260="Worth today",'My investments'!$D260,0)</f>
        <v/>
      </c>
      <c r="AE260" s="36">
        <f>IF('My investments'!$H$11="",0,IF('My investments'!$F260='My investments'!$H$11,'My investments'!$E260,0))</f>
        <v/>
      </c>
      <c r="AF260" s="36">
        <f>IF('My investments'!$H$12="",0,IF('My investments'!$F260='My investments'!$H$12,'My investments'!$E260,0))</f>
        <v/>
      </c>
      <c r="AG260" s="36">
        <f>IF('My investments'!$H$13="",0,IF('My investments'!$F260='My investments'!$H$13,'My investments'!$E260,0))</f>
        <v/>
      </c>
      <c r="AH260" s="36">
        <f>IF('My investments'!$H$14="",0,IF('My investments'!$F260='My investments'!$H$14,'My investments'!$E260,0))</f>
        <v/>
      </c>
      <c r="AI260" s="36">
        <f>IF('My investments'!$H$15="",0,IF('My investments'!$F260='My investments'!$H$15,'My investments'!$E260,0))</f>
        <v/>
      </c>
      <c r="AK260" s="36">
        <f>IF('My investments'!$H$11="",0,IF('My investments'!$F260='My investments'!$H$11,$AA260,0))</f>
        <v/>
      </c>
      <c r="AL260" s="36">
        <f>IF('My investments'!$H$12="",0,IF('My investments'!$F260='My investments'!$H$12,$AA260,0))</f>
        <v/>
      </c>
      <c r="AM260" s="36">
        <f>IF('My investments'!$H$13="",0,IF('My investments'!$F260='My investments'!$H$13,$AA260,0))</f>
        <v/>
      </c>
      <c r="AN260" s="36">
        <f>IF('My investments'!$H$14="",0,IF('My investments'!$F260='My investments'!$H$14,$AA260,0))</f>
        <v/>
      </c>
      <c r="AO260" s="36">
        <f>IF('My investments'!$H$15="",0,IF('My investments'!$F260='My investments'!$H$15,$AA260,0))</f>
        <v/>
      </c>
    </row>
    <row r="261" ht="15" customHeight="1" s="30">
      <c r="A261" s="36">
        <f>IF('My investments'!$C261="Worth today",1,0)</f>
        <v/>
      </c>
      <c r="B261" s="36">
        <f>IF('My investments'!$C261="Money in",1,0)</f>
        <v/>
      </c>
      <c r="AA261" s="36">
        <f>IF('My investments'!$C261="Money in",'My investments'!$D261,0)</f>
        <v/>
      </c>
      <c r="AB261" s="36">
        <f>IF('My investments'!$C261="Money out",'My investments'!$D261,0)</f>
        <v/>
      </c>
      <c r="AC261" s="36">
        <f>IF('My investments'!$C261="Worth today",'My investments'!$D261,0)</f>
        <v/>
      </c>
      <c r="AE261" s="36">
        <f>IF('My investments'!$H$11="",0,IF('My investments'!$F261='My investments'!$H$11,'My investments'!$E261,0))</f>
        <v/>
      </c>
      <c r="AF261" s="36">
        <f>IF('My investments'!$H$12="",0,IF('My investments'!$F261='My investments'!$H$12,'My investments'!$E261,0))</f>
        <v/>
      </c>
      <c r="AG261" s="36">
        <f>IF('My investments'!$H$13="",0,IF('My investments'!$F261='My investments'!$H$13,'My investments'!$E261,0))</f>
        <v/>
      </c>
      <c r="AH261" s="36">
        <f>IF('My investments'!$H$14="",0,IF('My investments'!$F261='My investments'!$H$14,'My investments'!$E261,0))</f>
        <v/>
      </c>
      <c r="AI261" s="36">
        <f>IF('My investments'!$H$15="",0,IF('My investments'!$F261='My investments'!$H$15,'My investments'!$E261,0))</f>
        <v/>
      </c>
      <c r="AK261" s="36">
        <f>IF('My investments'!$H$11="",0,IF('My investments'!$F261='My investments'!$H$11,$AA261,0))</f>
        <v/>
      </c>
      <c r="AL261" s="36">
        <f>IF('My investments'!$H$12="",0,IF('My investments'!$F261='My investments'!$H$12,$AA261,0))</f>
        <v/>
      </c>
      <c r="AM261" s="36">
        <f>IF('My investments'!$H$13="",0,IF('My investments'!$F261='My investments'!$H$13,$AA261,0))</f>
        <v/>
      </c>
      <c r="AN261" s="36">
        <f>IF('My investments'!$H$14="",0,IF('My investments'!$F261='My investments'!$H$14,$AA261,0))</f>
        <v/>
      </c>
      <c r="AO261" s="36">
        <f>IF('My investments'!$H$15="",0,IF('My investments'!$F261='My investments'!$H$15,$AA261,0))</f>
        <v/>
      </c>
    </row>
    <row r="262" ht="15" customHeight="1" s="30">
      <c r="A262" s="36">
        <f>IF('My investments'!$C262="Worth today",1,0)</f>
        <v/>
      </c>
      <c r="B262" s="36">
        <f>IF('My investments'!$C262="Money in",1,0)</f>
        <v/>
      </c>
      <c r="AA262" s="36">
        <f>IF('My investments'!$C262="Money in",'My investments'!$D262,0)</f>
        <v/>
      </c>
      <c r="AB262" s="36">
        <f>IF('My investments'!$C262="Money out",'My investments'!$D262,0)</f>
        <v/>
      </c>
      <c r="AC262" s="36">
        <f>IF('My investments'!$C262="Worth today",'My investments'!$D262,0)</f>
        <v/>
      </c>
      <c r="AE262" s="36">
        <f>IF('My investments'!$H$11="",0,IF('My investments'!$F262='My investments'!$H$11,'My investments'!$E262,0))</f>
        <v/>
      </c>
      <c r="AF262" s="36">
        <f>IF('My investments'!$H$12="",0,IF('My investments'!$F262='My investments'!$H$12,'My investments'!$E262,0))</f>
        <v/>
      </c>
      <c r="AG262" s="36">
        <f>IF('My investments'!$H$13="",0,IF('My investments'!$F262='My investments'!$H$13,'My investments'!$E262,0))</f>
        <v/>
      </c>
      <c r="AH262" s="36">
        <f>IF('My investments'!$H$14="",0,IF('My investments'!$F262='My investments'!$H$14,'My investments'!$E262,0))</f>
        <v/>
      </c>
      <c r="AI262" s="36">
        <f>IF('My investments'!$H$15="",0,IF('My investments'!$F262='My investments'!$H$15,'My investments'!$E262,0))</f>
        <v/>
      </c>
      <c r="AK262" s="36">
        <f>IF('My investments'!$H$11="",0,IF('My investments'!$F262='My investments'!$H$11,$AA262,0))</f>
        <v/>
      </c>
      <c r="AL262" s="36">
        <f>IF('My investments'!$H$12="",0,IF('My investments'!$F262='My investments'!$H$12,$AA262,0))</f>
        <v/>
      </c>
      <c r="AM262" s="36">
        <f>IF('My investments'!$H$13="",0,IF('My investments'!$F262='My investments'!$H$13,$AA262,0))</f>
        <v/>
      </c>
      <c r="AN262" s="36">
        <f>IF('My investments'!$H$14="",0,IF('My investments'!$F262='My investments'!$H$14,$AA262,0))</f>
        <v/>
      </c>
      <c r="AO262" s="36">
        <f>IF('My investments'!$H$15="",0,IF('My investments'!$F262='My investments'!$H$15,$AA262,0))</f>
        <v/>
      </c>
    </row>
    <row r="263" ht="15" customHeight="1" s="30">
      <c r="A263" s="36">
        <f>IF('My investments'!$C263="Worth today",1,0)</f>
        <v/>
      </c>
      <c r="B263" s="36">
        <f>IF('My investments'!$C263="Money in",1,0)</f>
        <v/>
      </c>
      <c r="AA263" s="36">
        <f>IF('My investments'!$C263="Money in",'My investments'!$D263,0)</f>
        <v/>
      </c>
      <c r="AB263" s="36">
        <f>IF('My investments'!$C263="Money out",'My investments'!$D263,0)</f>
        <v/>
      </c>
      <c r="AC263" s="36">
        <f>IF('My investments'!$C263="Worth today",'My investments'!$D263,0)</f>
        <v/>
      </c>
      <c r="AE263" s="36">
        <f>IF('My investments'!$H$11="",0,IF('My investments'!$F263='My investments'!$H$11,'My investments'!$E263,0))</f>
        <v/>
      </c>
      <c r="AF263" s="36">
        <f>IF('My investments'!$H$12="",0,IF('My investments'!$F263='My investments'!$H$12,'My investments'!$E263,0))</f>
        <v/>
      </c>
      <c r="AG263" s="36">
        <f>IF('My investments'!$H$13="",0,IF('My investments'!$F263='My investments'!$H$13,'My investments'!$E263,0))</f>
        <v/>
      </c>
      <c r="AH263" s="36">
        <f>IF('My investments'!$H$14="",0,IF('My investments'!$F263='My investments'!$H$14,'My investments'!$E263,0))</f>
        <v/>
      </c>
      <c r="AI263" s="36">
        <f>IF('My investments'!$H$15="",0,IF('My investments'!$F263='My investments'!$H$15,'My investments'!$E263,0))</f>
        <v/>
      </c>
      <c r="AK263" s="36">
        <f>IF('My investments'!$H$11="",0,IF('My investments'!$F263='My investments'!$H$11,$AA263,0))</f>
        <v/>
      </c>
      <c r="AL263" s="36">
        <f>IF('My investments'!$H$12="",0,IF('My investments'!$F263='My investments'!$H$12,$AA263,0))</f>
        <v/>
      </c>
      <c r="AM263" s="36">
        <f>IF('My investments'!$H$13="",0,IF('My investments'!$F263='My investments'!$H$13,$AA263,0))</f>
        <v/>
      </c>
      <c r="AN263" s="36">
        <f>IF('My investments'!$H$14="",0,IF('My investments'!$F263='My investments'!$H$14,$AA263,0))</f>
        <v/>
      </c>
      <c r="AO263" s="36">
        <f>IF('My investments'!$H$15="",0,IF('My investments'!$F263='My investments'!$H$15,$AA263,0))</f>
        <v/>
      </c>
    </row>
    <row r="264" ht="15" customHeight="1" s="30">
      <c r="A264" s="36">
        <f>IF('My investments'!$C264="Worth today",1,0)</f>
        <v/>
      </c>
      <c r="B264" s="36">
        <f>IF('My investments'!$C264="Money in",1,0)</f>
        <v/>
      </c>
      <c r="AA264" s="36">
        <f>IF('My investments'!$C264="Money in",'My investments'!$D264,0)</f>
        <v/>
      </c>
      <c r="AB264" s="36">
        <f>IF('My investments'!$C264="Money out",'My investments'!$D264,0)</f>
        <v/>
      </c>
      <c r="AC264" s="36">
        <f>IF('My investments'!$C264="Worth today",'My investments'!$D264,0)</f>
        <v/>
      </c>
      <c r="AE264" s="36">
        <f>IF('My investments'!$H$11="",0,IF('My investments'!$F264='My investments'!$H$11,'My investments'!$E264,0))</f>
        <v/>
      </c>
      <c r="AF264" s="36">
        <f>IF('My investments'!$H$12="",0,IF('My investments'!$F264='My investments'!$H$12,'My investments'!$E264,0))</f>
        <v/>
      </c>
      <c r="AG264" s="36">
        <f>IF('My investments'!$H$13="",0,IF('My investments'!$F264='My investments'!$H$13,'My investments'!$E264,0))</f>
        <v/>
      </c>
      <c r="AH264" s="36">
        <f>IF('My investments'!$H$14="",0,IF('My investments'!$F264='My investments'!$H$14,'My investments'!$E264,0))</f>
        <v/>
      </c>
      <c r="AI264" s="36">
        <f>IF('My investments'!$H$15="",0,IF('My investments'!$F264='My investments'!$H$15,'My investments'!$E264,0))</f>
        <v/>
      </c>
      <c r="AK264" s="36">
        <f>IF('My investments'!$H$11="",0,IF('My investments'!$F264='My investments'!$H$11,$AA264,0))</f>
        <v/>
      </c>
      <c r="AL264" s="36">
        <f>IF('My investments'!$H$12="",0,IF('My investments'!$F264='My investments'!$H$12,$AA264,0))</f>
        <v/>
      </c>
      <c r="AM264" s="36">
        <f>IF('My investments'!$H$13="",0,IF('My investments'!$F264='My investments'!$H$13,$AA264,0))</f>
        <v/>
      </c>
      <c r="AN264" s="36">
        <f>IF('My investments'!$H$14="",0,IF('My investments'!$F264='My investments'!$H$14,$AA264,0))</f>
        <v/>
      </c>
      <c r="AO264" s="36">
        <f>IF('My investments'!$H$15="",0,IF('My investments'!$F264='My investments'!$H$15,$AA264,0))</f>
        <v/>
      </c>
    </row>
    <row r="265" ht="15" customHeight="1" s="30">
      <c r="A265" s="36">
        <f>IF('My investments'!$C265="Worth today",1,0)</f>
        <v/>
      </c>
      <c r="B265" s="36">
        <f>IF('My investments'!$C265="Money in",1,0)</f>
        <v/>
      </c>
      <c r="AA265" s="36">
        <f>IF('My investments'!$C265="Money in",'My investments'!$D265,0)</f>
        <v/>
      </c>
      <c r="AB265" s="36">
        <f>IF('My investments'!$C265="Money out",'My investments'!$D265,0)</f>
        <v/>
      </c>
      <c r="AC265" s="36">
        <f>IF('My investments'!$C265="Worth today",'My investments'!$D265,0)</f>
        <v/>
      </c>
      <c r="AE265" s="36">
        <f>IF('My investments'!$H$11="",0,IF('My investments'!$F265='My investments'!$H$11,'My investments'!$E265,0))</f>
        <v/>
      </c>
      <c r="AF265" s="36">
        <f>IF('My investments'!$H$12="",0,IF('My investments'!$F265='My investments'!$H$12,'My investments'!$E265,0))</f>
        <v/>
      </c>
      <c r="AG265" s="36">
        <f>IF('My investments'!$H$13="",0,IF('My investments'!$F265='My investments'!$H$13,'My investments'!$E265,0))</f>
        <v/>
      </c>
      <c r="AH265" s="36">
        <f>IF('My investments'!$H$14="",0,IF('My investments'!$F265='My investments'!$H$14,'My investments'!$E265,0))</f>
        <v/>
      </c>
      <c r="AI265" s="36">
        <f>IF('My investments'!$H$15="",0,IF('My investments'!$F265='My investments'!$H$15,'My investments'!$E265,0))</f>
        <v/>
      </c>
      <c r="AK265" s="36">
        <f>IF('My investments'!$H$11="",0,IF('My investments'!$F265='My investments'!$H$11,$AA265,0))</f>
        <v/>
      </c>
      <c r="AL265" s="36">
        <f>IF('My investments'!$H$12="",0,IF('My investments'!$F265='My investments'!$H$12,$AA265,0))</f>
        <v/>
      </c>
      <c r="AM265" s="36">
        <f>IF('My investments'!$H$13="",0,IF('My investments'!$F265='My investments'!$H$13,$AA265,0))</f>
        <v/>
      </c>
      <c r="AN265" s="36">
        <f>IF('My investments'!$H$14="",0,IF('My investments'!$F265='My investments'!$H$14,$AA265,0))</f>
        <v/>
      </c>
      <c r="AO265" s="36">
        <f>IF('My investments'!$H$15="",0,IF('My investments'!$F265='My investments'!$H$15,$AA265,0))</f>
        <v/>
      </c>
    </row>
    <row r="266" ht="15" customHeight="1" s="30">
      <c r="A266" s="36">
        <f>IF('My investments'!$C266="Worth today",1,0)</f>
        <v/>
      </c>
      <c r="B266" s="36">
        <f>IF('My investments'!$C266="Money in",1,0)</f>
        <v/>
      </c>
      <c r="AA266" s="36">
        <f>IF('My investments'!$C266="Money in",'My investments'!$D266,0)</f>
        <v/>
      </c>
      <c r="AB266" s="36">
        <f>IF('My investments'!$C266="Money out",'My investments'!$D266,0)</f>
        <v/>
      </c>
      <c r="AC266" s="36">
        <f>IF('My investments'!$C266="Worth today",'My investments'!$D266,0)</f>
        <v/>
      </c>
      <c r="AE266" s="36">
        <f>IF('My investments'!$H$11="",0,IF('My investments'!$F266='My investments'!$H$11,'My investments'!$E266,0))</f>
        <v/>
      </c>
      <c r="AF266" s="36">
        <f>IF('My investments'!$H$12="",0,IF('My investments'!$F266='My investments'!$H$12,'My investments'!$E266,0))</f>
        <v/>
      </c>
      <c r="AG266" s="36">
        <f>IF('My investments'!$H$13="",0,IF('My investments'!$F266='My investments'!$H$13,'My investments'!$E266,0))</f>
        <v/>
      </c>
      <c r="AH266" s="36">
        <f>IF('My investments'!$H$14="",0,IF('My investments'!$F266='My investments'!$H$14,'My investments'!$E266,0))</f>
        <v/>
      </c>
      <c r="AI266" s="36">
        <f>IF('My investments'!$H$15="",0,IF('My investments'!$F266='My investments'!$H$15,'My investments'!$E266,0))</f>
        <v/>
      </c>
      <c r="AK266" s="36">
        <f>IF('My investments'!$H$11="",0,IF('My investments'!$F266='My investments'!$H$11,$AA266,0))</f>
        <v/>
      </c>
      <c r="AL266" s="36">
        <f>IF('My investments'!$H$12="",0,IF('My investments'!$F266='My investments'!$H$12,$AA266,0))</f>
        <v/>
      </c>
      <c r="AM266" s="36">
        <f>IF('My investments'!$H$13="",0,IF('My investments'!$F266='My investments'!$H$13,$AA266,0))</f>
        <v/>
      </c>
      <c r="AN266" s="36">
        <f>IF('My investments'!$H$14="",0,IF('My investments'!$F266='My investments'!$H$14,$AA266,0))</f>
        <v/>
      </c>
      <c r="AO266" s="36">
        <f>IF('My investments'!$H$15="",0,IF('My investments'!$F266='My investments'!$H$15,$AA266,0))</f>
        <v/>
      </c>
    </row>
    <row r="267" ht="15" customHeight="1" s="30">
      <c r="A267" s="36">
        <f>IF('My investments'!$C267="Worth today",1,0)</f>
        <v/>
      </c>
      <c r="B267" s="36">
        <f>IF('My investments'!$C267="Money in",1,0)</f>
        <v/>
      </c>
      <c r="AA267" s="36">
        <f>IF('My investments'!$C267="Money in",'My investments'!$D267,0)</f>
        <v/>
      </c>
      <c r="AB267" s="36">
        <f>IF('My investments'!$C267="Money out",'My investments'!$D267,0)</f>
        <v/>
      </c>
      <c r="AC267" s="36">
        <f>IF('My investments'!$C267="Worth today",'My investments'!$D267,0)</f>
        <v/>
      </c>
      <c r="AE267" s="36">
        <f>IF('My investments'!$H$11="",0,IF('My investments'!$F267='My investments'!$H$11,'My investments'!$E267,0))</f>
        <v/>
      </c>
      <c r="AF267" s="36">
        <f>IF('My investments'!$H$12="",0,IF('My investments'!$F267='My investments'!$H$12,'My investments'!$E267,0))</f>
        <v/>
      </c>
      <c r="AG267" s="36">
        <f>IF('My investments'!$H$13="",0,IF('My investments'!$F267='My investments'!$H$13,'My investments'!$E267,0))</f>
        <v/>
      </c>
      <c r="AH267" s="36">
        <f>IF('My investments'!$H$14="",0,IF('My investments'!$F267='My investments'!$H$14,'My investments'!$E267,0))</f>
        <v/>
      </c>
      <c r="AI267" s="36">
        <f>IF('My investments'!$H$15="",0,IF('My investments'!$F267='My investments'!$H$15,'My investments'!$E267,0))</f>
        <v/>
      </c>
      <c r="AK267" s="36">
        <f>IF('My investments'!$H$11="",0,IF('My investments'!$F267='My investments'!$H$11,$AA267,0))</f>
        <v/>
      </c>
      <c r="AL267" s="36">
        <f>IF('My investments'!$H$12="",0,IF('My investments'!$F267='My investments'!$H$12,$AA267,0))</f>
        <v/>
      </c>
      <c r="AM267" s="36">
        <f>IF('My investments'!$H$13="",0,IF('My investments'!$F267='My investments'!$H$13,$AA267,0))</f>
        <v/>
      </c>
      <c r="AN267" s="36">
        <f>IF('My investments'!$H$14="",0,IF('My investments'!$F267='My investments'!$H$14,$AA267,0))</f>
        <v/>
      </c>
      <c r="AO267" s="36">
        <f>IF('My investments'!$H$15="",0,IF('My investments'!$F267='My investments'!$H$15,$AA267,0))</f>
        <v/>
      </c>
    </row>
    <row r="268" ht="15" customHeight="1" s="30">
      <c r="A268" s="36">
        <f>IF('My investments'!$C268="Worth today",1,0)</f>
        <v/>
      </c>
      <c r="B268" s="36">
        <f>IF('My investments'!$C268="Money in",1,0)</f>
        <v/>
      </c>
      <c r="AA268" s="36">
        <f>IF('My investments'!$C268="Money in",'My investments'!$D268,0)</f>
        <v/>
      </c>
      <c r="AB268" s="36">
        <f>IF('My investments'!$C268="Money out",'My investments'!$D268,0)</f>
        <v/>
      </c>
      <c r="AC268" s="36">
        <f>IF('My investments'!$C268="Worth today",'My investments'!$D268,0)</f>
        <v/>
      </c>
      <c r="AE268" s="36">
        <f>IF('My investments'!$H$11="",0,IF('My investments'!$F268='My investments'!$H$11,'My investments'!$E268,0))</f>
        <v/>
      </c>
      <c r="AF268" s="36">
        <f>IF('My investments'!$H$12="",0,IF('My investments'!$F268='My investments'!$H$12,'My investments'!$E268,0))</f>
        <v/>
      </c>
      <c r="AG268" s="36">
        <f>IF('My investments'!$H$13="",0,IF('My investments'!$F268='My investments'!$H$13,'My investments'!$E268,0))</f>
        <v/>
      </c>
      <c r="AH268" s="36">
        <f>IF('My investments'!$H$14="",0,IF('My investments'!$F268='My investments'!$H$14,'My investments'!$E268,0))</f>
        <v/>
      </c>
      <c r="AI268" s="36">
        <f>IF('My investments'!$H$15="",0,IF('My investments'!$F268='My investments'!$H$15,'My investments'!$E268,0))</f>
        <v/>
      </c>
      <c r="AK268" s="36">
        <f>IF('My investments'!$H$11="",0,IF('My investments'!$F268='My investments'!$H$11,$AA268,0))</f>
        <v/>
      </c>
      <c r="AL268" s="36">
        <f>IF('My investments'!$H$12="",0,IF('My investments'!$F268='My investments'!$H$12,$AA268,0))</f>
        <v/>
      </c>
      <c r="AM268" s="36">
        <f>IF('My investments'!$H$13="",0,IF('My investments'!$F268='My investments'!$H$13,$AA268,0))</f>
        <v/>
      </c>
      <c r="AN268" s="36">
        <f>IF('My investments'!$H$14="",0,IF('My investments'!$F268='My investments'!$H$14,$AA268,0))</f>
        <v/>
      </c>
      <c r="AO268" s="36">
        <f>IF('My investments'!$H$15="",0,IF('My investments'!$F268='My investments'!$H$15,$AA268,0))</f>
        <v/>
      </c>
    </row>
    <row r="269" ht="15" customHeight="1" s="30">
      <c r="A269" s="36">
        <f>IF('My investments'!$C269="Worth today",1,0)</f>
        <v/>
      </c>
      <c r="B269" s="36">
        <f>IF('My investments'!$C269="Money in",1,0)</f>
        <v/>
      </c>
      <c r="AA269" s="36">
        <f>IF('My investments'!$C269="Money in",'My investments'!$D269,0)</f>
        <v/>
      </c>
      <c r="AB269" s="36">
        <f>IF('My investments'!$C269="Money out",'My investments'!$D269,0)</f>
        <v/>
      </c>
      <c r="AC269" s="36">
        <f>IF('My investments'!$C269="Worth today",'My investments'!$D269,0)</f>
        <v/>
      </c>
      <c r="AE269" s="36">
        <f>IF('My investments'!$H$11="",0,IF('My investments'!$F269='My investments'!$H$11,'My investments'!$E269,0))</f>
        <v/>
      </c>
      <c r="AF269" s="36">
        <f>IF('My investments'!$H$12="",0,IF('My investments'!$F269='My investments'!$H$12,'My investments'!$E269,0))</f>
        <v/>
      </c>
      <c r="AG269" s="36">
        <f>IF('My investments'!$H$13="",0,IF('My investments'!$F269='My investments'!$H$13,'My investments'!$E269,0))</f>
        <v/>
      </c>
      <c r="AH269" s="36">
        <f>IF('My investments'!$H$14="",0,IF('My investments'!$F269='My investments'!$H$14,'My investments'!$E269,0))</f>
        <v/>
      </c>
      <c r="AI269" s="36">
        <f>IF('My investments'!$H$15="",0,IF('My investments'!$F269='My investments'!$H$15,'My investments'!$E269,0))</f>
        <v/>
      </c>
      <c r="AK269" s="36">
        <f>IF('My investments'!$H$11="",0,IF('My investments'!$F269='My investments'!$H$11,$AA269,0))</f>
        <v/>
      </c>
      <c r="AL269" s="36">
        <f>IF('My investments'!$H$12="",0,IF('My investments'!$F269='My investments'!$H$12,$AA269,0))</f>
        <v/>
      </c>
      <c r="AM269" s="36">
        <f>IF('My investments'!$H$13="",0,IF('My investments'!$F269='My investments'!$H$13,$AA269,0))</f>
        <v/>
      </c>
      <c r="AN269" s="36">
        <f>IF('My investments'!$H$14="",0,IF('My investments'!$F269='My investments'!$H$14,$AA269,0))</f>
        <v/>
      </c>
      <c r="AO269" s="36">
        <f>IF('My investments'!$H$15="",0,IF('My investments'!$F269='My investments'!$H$15,$AA269,0))</f>
        <v/>
      </c>
    </row>
    <row r="270" ht="15" customHeight="1" s="30">
      <c r="A270" s="36">
        <f>IF('My investments'!$C270="Worth today",1,0)</f>
        <v/>
      </c>
      <c r="B270" s="36">
        <f>IF('My investments'!$C270="Money in",1,0)</f>
        <v/>
      </c>
      <c r="AA270" s="36">
        <f>IF('My investments'!$C270="Money in",'My investments'!$D270,0)</f>
        <v/>
      </c>
      <c r="AB270" s="36">
        <f>IF('My investments'!$C270="Money out",'My investments'!$D270,0)</f>
        <v/>
      </c>
      <c r="AC270" s="36">
        <f>IF('My investments'!$C270="Worth today",'My investments'!$D270,0)</f>
        <v/>
      </c>
      <c r="AE270" s="36">
        <f>IF('My investments'!$H$11="",0,IF('My investments'!$F270='My investments'!$H$11,'My investments'!$E270,0))</f>
        <v/>
      </c>
      <c r="AF270" s="36">
        <f>IF('My investments'!$H$12="",0,IF('My investments'!$F270='My investments'!$H$12,'My investments'!$E270,0))</f>
        <v/>
      </c>
      <c r="AG270" s="36">
        <f>IF('My investments'!$H$13="",0,IF('My investments'!$F270='My investments'!$H$13,'My investments'!$E270,0))</f>
        <v/>
      </c>
      <c r="AH270" s="36">
        <f>IF('My investments'!$H$14="",0,IF('My investments'!$F270='My investments'!$H$14,'My investments'!$E270,0))</f>
        <v/>
      </c>
      <c r="AI270" s="36">
        <f>IF('My investments'!$H$15="",0,IF('My investments'!$F270='My investments'!$H$15,'My investments'!$E270,0))</f>
        <v/>
      </c>
      <c r="AK270" s="36">
        <f>IF('My investments'!$H$11="",0,IF('My investments'!$F270='My investments'!$H$11,$AA270,0))</f>
        <v/>
      </c>
      <c r="AL270" s="36">
        <f>IF('My investments'!$H$12="",0,IF('My investments'!$F270='My investments'!$H$12,$AA270,0))</f>
        <v/>
      </c>
      <c r="AM270" s="36">
        <f>IF('My investments'!$H$13="",0,IF('My investments'!$F270='My investments'!$H$13,$AA270,0))</f>
        <v/>
      </c>
      <c r="AN270" s="36">
        <f>IF('My investments'!$H$14="",0,IF('My investments'!$F270='My investments'!$H$14,$AA270,0))</f>
        <v/>
      </c>
      <c r="AO270" s="36">
        <f>IF('My investments'!$H$15="",0,IF('My investments'!$F270='My investments'!$H$15,$AA270,0))</f>
        <v/>
      </c>
    </row>
    <row r="271" ht="15" customHeight="1" s="30">
      <c r="A271" s="36">
        <f>IF('My investments'!$C271="Worth today",1,0)</f>
        <v/>
      </c>
      <c r="B271" s="36">
        <f>IF('My investments'!$C271="Money in",1,0)</f>
        <v/>
      </c>
      <c r="AA271" s="36">
        <f>IF('My investments'!$C271="Money in",'My investments'!$D271,0)</f>
        <v/>
      </c>
      <c r="AB271" s="36">
        <f>IF('My investments'!$C271="Money out",'My investments'!$D271,0)</f>
        <v/>
      </c>
      <c r="AC271" s="36">
        <f>IF('My investments'!$C271="Worth today",'My investments'!$D271,0)</f>
        <v/>
      </c>
      <c r="AE271" s="36">
        <f>IF('My investments'!$H$11="",0,IF('My investments'!$F271='My investments'!$H$11,'My investments'!$E271,0))</f>
        <v/>
      </c>
      <c r="AF271" s="36">
        <f>IF('My investments'!$H$12="",0,IF('My investments'!$F271='My investments'!$H$12,'My investments'!$E271,0))</f>
        <v/>
      </c>
      <c r="AG271" s="36">
        <f>IF('My investments'!$H$13="",0,IF('My investments'!$F271='My investments'!$H$13,'My investments'!$E271,0))</f>
        <v/>
      </c>
      <c r="AH271" s="36">
        <f>IF('My investments'!$H$14="",0,IF('My investments'!$F271='My investments'!$H$14,'My investments'!$E271,0))</f>
        <v/>
      </c>
      <c r="AI271" s="36">
        <f>IF('My investments'!$H$15="",0,IF('My investments'!$F271='My investments'!$H$15,'My investments'!$E271,0))</f>
        <v/>
      </c>
      <c r="AK271" s="36">
        <f>IF('My investments'!$H$11="",0,IF('My investments'!$F271='My investments'!$H$11,$AA271,0))</f>
        <v/>
      </c>
      <c r="AL271" s="36">
        <f>IF('My investments'!$H$12="",0,IF('My investments'!$F271='My investments'!$H$12,$AA271,0))</f>
        <v/>
      </c>
      <c r="AM271" s="36">
        <f>IF('My investments'!$H$13="",0,IF('My investments'!$F271='My investments'!$H$13,$AA271,0))</f>
        <v/>
      </c>
      <c r="AN271" s="36">
        <f>IF('My investments'!$H$14="",0,IF('My investments'!$F271='My investments'!$H$14,$AA271,0))</f>
        <v/>
      </c>
      <c r="AO271" s="36">
        <f>IF('My investments'!$H$15="",0,IF('My investments'!$F271='My investments'!$H$15,$AA271,0))</f>
        <v/>
      </c>
    </row>
    <row r="272" ht="15" customHeight="1" s="30">
      <c r="A272" s="36">
        <f>IF('My investments'!$C272="Worth today",1,0)</f>
        <v/>
      </c>
      <c r="B272" s="36">
        <f>IF('My investments'!$C272="Money in",1,0)</f>
        <v/>
      </c>
      <c r="AA272" s="36">
        <f>IF('My investments'!$C272="Money in",'My investments'!$D272,0)</f>
        <v/>
      </c>
      <c r="AB272" s="36">
        <f>IF('My investments'!$C272="Money out",'My investments'!$D272,0)</f>
        <v/>
      </c>
      <c r="AC272" s="36">
        <f>IF('My investments'!$C272="Worth today",'My investments'!$D272,0)</f>
        <v/>
      </c>
      <c r="AE272" s="36">
        <f>IF('My investments'!$H$11="",0,IF('My investments'!$F272='My investments'!$H$11,'My investments'!$E272,0))</f>
        <v/>
      </c>
      <c r="AF272" s="36">
        <f>IF('My investments'!$H$12="",0,IF('My investments'!$F272='My investments'!$H$12,'My investments'!$E272,0))</f>
        <v/>
      </c>
      <c r="AG272" s="36">
        <f>IF('My investments'!$H$13="",0,IF('My investments'!$F272='My investments'!$H$13,'My investments'!$E272,0))</f>
        <v/>
      </c>
      <c r="AH272" s="36">
        <f>IF('My investments'!$H$14="",0,IF('My investments'!$F272='My investments'!$H$14,'My investments'!$E272,0))</f>
        <v/>
      </c>
      <c r="AI272" s="36">
        <f>IF('My investments'!$H$15="",0,IF('My investments'!$F272='My investments'!$H$15,'My investments'!$E272,0))</f>
        <v/>
      </c>
      <c r="AK272" s="36">
        <f>IF('My investments'!$H$11="",0,IF('My investments'!$F272='My investments'!$H$11,$AA272,0))</f>
        <v/>
      </c>
      <c r="AL272" s="36">
        <f>IF('My investments'!$H$12="",0,IF('My investments'!$F272='My investments'!$H$12,$AA272,0))</f>
        <v/>
      </c>
      <c r="AM272" s="36">
        <f>IF('My investments'!$H$13="",0,IF('My investments'!$F272='My investments'!$H$13,$AA272,0))</f>
        <v/>
      </c>
      <c r="AN272" s="36">
        <f>IF('My investments'!$H$14="",0,IF('My investments'!$F272='My investments'!$H$14,$AA272,0))</f>
        <v/>
      </c>
      <c r="AO272" s="36">
        <f>IF('My investments'!$H$15="",0,IF('My investments'!$F272='My investments'!$H$15,$AA272,0))</f>
        <v/>
      </c>
    </row>
    <row r="273" ht="15" customHeight="1" s="30">
      <c r="A273" s="36">
        <f>IF('My investments'!$C273="Worth today",1,0)</f>
        <v/>
      </c>
      <c r="B273" s="36">
        <f>IF('My investments'!$C273="Money in",1,0)</f>
        <v/>
      </c>
      <c r="AA273" s="36">
        <f>IF('My investments'!$C273="Money in",'My investments'!$D273,0)</f>
        <v/>
      </c>
      <c r="AB273" s="36">
        <f>IF('My investments'!$C273="Money out",'My investments'!$D273,0)</f>
        <v/>
      </c>
      <c r="AC273" s="36">
        <f>IF('My investments'!$C273="Worth today",'My investments'!$D273,0)</f>
        <v/>
      </c>
      <c r="AE273" s="36">
        <f>IF('My investments'!$H$11="",0,IF('My investments'!$F273='My investments'!$H$11,'My investments'!$E273,0))</f>
        <v/>
      </c>
      <c r="AF273" s="36">
        <f>IF('My investments'!$H$12="",0,IF('My investments'!$F273='My investments'!$H$12,'My investments'!$E273,0))</f>
        <v/>
      </c>
      <c r="AG273" s="36">
        <f>IF('My investments'!$H$13="",0,IF('My investments'!$F273='My investments'!$H$13,'My investments'!$E273,0))</f>
        <v/>
      </c>
      <c r="AH273" s="36">
        <f>IF('My investments'!$H$14="",0,IF('My investments'!$F273='My investments'!$H$14,'My investments'!$E273,0))</f>
        <v/>
      </c>
      <c r="AI273" s="36">
        <f>IF('My investments'!$H$15="",0,IF('My investments'!$F273='My investments'!$H$15,'My investments'!$E273,0))</f>
        <v/>
      </c>
      <c r="AK273" s="36">
        <f>IF('My investments'!$H$11="",0,IF('My investments'!$F273='My investments'!$H$11,$AA273,0))</f>
        <v/>
      </c>
      <c r="AL273" s="36">
        <f>IF('My investments'!$H$12="",0,IF('My investments'!$F273='My investments'!$H$12,$AA273,0))</f>
        <v/>
      </c>
      <c r="AM273" s="36">
        <f>IF('My investments'!$H$13="",0,IF('My investments'!$F273='My investments'!$H$13,$AA273,0))</f>
        <v/>
      </c>
      <c r="AN273" s="36">
        <f>IF('My investments'!$H$14="",0,IF('My investments'!$F273='My investments'!$H$14,$AA273,0))</f>
        <v/>
      </c>
      <c r="AO273" s="36">
        <f>IF('My investments'!$H$15="",0,IF('My investments'!$F273='My investments'!$H$15,$AA273,0))</f>
        <v/>
      </c>
    </row>
    <row r="274" ht="15" customHeight="1" s="30">
      <c r="A274" s="36">
        <f>IF('My investments'!$C274="Worth today",1,0)</f>
        <v/>
      </c>
      <c r="B274" s="36">
        <f>IF('My investments'!$C274="Money in",1,0)</f>
        <v/>
      </c>
      <c r="AA274" s="36">
        <f>IF('My investments'!$C274="Money in",'My investments'!$D274,0)</f>
        <v/>
      </c>
      <c r="AB274" s="36">
        <f>IF('My investments'!$C274="Money out",'My investments'!$D274,0)</f>
        <v/>
      </c>
      <c r="AC274" s="36">
        <f>IF('My investments'!$C274="Worth today",'My investments'!$D274,0)</f>
        <v/>
      </c>
      <c r="AE274" s="36">
        <f>IF('My investments'!$H$11="",0,IF('My investments'!$F274='My investments'!$H$11,'My investments'!$E274,0))</f>
        <v/>
      </c>
      <c r="AF274" s="36">
        <f>IF('My investments'!$H$12="",0,IF('My investments'!$F274='My investments'!$H$12,'My investments'!$E274,0))</f>
        <v/>
      </c>
      <c r="AG274" s="36">
        <f>IF('My investments'!$H$13="",0,IF('My investments'!$F274='My investments'!$H$13,'My investments'!$E274,0))</f>
        <v/>
      </c>
      <c r="AH274" s="36">
        <f>IF('My investments'!$H$14="",0,IF('My investments'!$F274='My investments'!$H$14,'My investments'!$E274,0))</f>
        <v/>
      </c>
      <c r="AI274" s="36">
        <f>IF('My investments'!$H$15="",0,IF('My investments'!$F274='My investments'!$H$15,'My investments'!$E274,0))</f>
        <v/>
      </c>
      <c r="AK274" s="36">
        <f>IF('My investments'!$H$11="",0,IF('My investments'!$F274='My investments'!$H$11,$AA274,0))</f>
        <v/>
      </c>
      <c r="AL274" s="36">
        <f>IF('My investments'!$H$12="",0,IF('My investments'!$F274='My investments'!$H$12,$AA274,0))</f>
        <v/>
      </c>
      <c r="AM274" s="36">
        <f>IF('My investments'!$H$13="",0,IF('My investments'!$F274='My investments'!$H$13,$AA274,0))</f>
        <v/>
      </c>
      <c r="AN274" s="36">
        <f>IF('My investments'!$H$14="",0,IF('My investments'!$F274='My investments'!$H$14,$AA274,0))</f>
        <v/>
      </c>
      <c r="AO274" s="36">
        <f>IF('My investments'!$H$15="",0,IF('My investments'!$F274='My investments'!$H$15,$AA274,0))</f>
        <v/>
      </c>
    </row>
    <row r="275" ht="15" customHeight="1" s="30">
      <c r="A275" s="36">
        <f>IF('My investments'!$C275="Worth today",1,0)</f>
        <v/>
      </c>
      <c r="B275" s="36">
        <f>IF('My investments'!$C275="Money in",1,0)</f>
        <v/>
      </c>
      <c r="AA275" s="36">
        <f>IF('My investments'!$C275="Money in",'My investments'!$D275,0)</f>
        <v/>
      </c>
      <c r="AB275" s="36">
        <f>IF('My investments'!$C275="Money out",'My investments'!$D275,0)</f>
        <v/>
      </c>
      <c r="AC275" s="36">
        <f>IF('My investments'!$C275="Worth today",'My investments'!$D275,0)</f>
        <v/>
      </c>
      <c r="AE275" s="36">
        <f>IF('My investments'!$H$11="",0,IF('My investments'!$F275='My investments'!$H$11,'My investments'!$E275,0))</f>
        <v/>
      </c>
      <c r="AF275" s="36">
        <f>IF('My investments'!$H$12="",0,IF('My investments'!$F275='My investments'!$H$12,'My investments'!$E275,0))</f>
        <v/>
      </c>
      <c r="AG275" s="36">
        <f>IF('My investments'!$H$13="",0,IF('My investments'!$F275='My investments'!$H$13,'My investments'!$E275,0))</f>
        <v/>
      </c>
      <c r="AH275" s="36">
        <f>IF('My investments'!$H$14="",0,IF('My investments'!$F275='My investments'!$H$14,'My investments'!$E275,0))</f>
        <v/>
      </c>
      <c r="AI275" s="36">
        <f>IF('My investments'!$H$15="",0,IF('My investments'!$F275='My investments'!$H$15,'My investments'!$E275,0))</f>
        <v/>
      </c>
      <c r="AK275" s="36">
        <f>IF('My investments'!$H$11="",0,IF('My investments'!$F275='My investments'!$H$11,$AA275,0))</f>
        <v/>
      </c>
      <c r="AL275" s="36">
        <f>IF('My investments'!$H$12="",0,IF('My investments'!$F275='My investments'!$H$12,$AA275,0))</f>
        <v/>
      </c>
      <c r="AM275" s="36">
        <f>IF('My investments'!$H$13="",0,IF('My investments'!$F275='My investments'!$H$13,$AA275,0))</f>
        <v/>
      </c>
      <c r="AN275" s="36">
        <f>IF('My investments'!$H$14="",0,IF('My investments'!$F275='My investments'!$H$14,$AA275,0))</f>
        <v/>
      </c>
      <c r="AO275" s="36">
        <f>IF('My investments'!$H$15="",0,IF('My investments'!$F275='My investments'!$H$15,$AA275,0))</f>
        <v/>
      </c>
    </row>
    <row r="276" ht="15" customHeight="1" s="30">
      <c r="A276" s="36">
        <f>IF('My investments'!$C276="Worth today",1,0)</f>
        <v/>
      </c>
      <c r="B276" s="36">
        <f>IF('My investments'!$C276="Money in",1,0)</f>
        <v/>
      </c>
      <c r="AA276" s="36">
        <f>IF('My investments'!$C276="Money in",'My investments'!$D276,0)</f>
        <v/>
      </c>
      <c r="AB276" s="36">
        <f>IF('My investments'!$C276="Money out",'My investments'!$D276,0)</f>
        <v/>
      </c>
      <c r="AC276" s="36">
        <f>IF('My investments'!$C276="Worth today",'My investments'!$D276,0)</f>
        <v/>
      </c>
      <c r="AE276" s="36">
        <f>IF('My investments'!$H$11="",0,IF('My investments'!$F276='My investments'!$H$11,'My investments'!$E276,0))</f>
        <v/>
      </c>
      <c r="AF276" s="36">
        <f>IF('My investments'!$H$12="",0,IF('My investments'!$F276='My investments'!$H$12,'My investments'!$E276,0))</f>
        <v/>
      </c>
      <c r="AG276" s="36">
        <f>IF('My investments'!$H$13="",0,IF('My investments'!$F276='My investments'!$H$13,'My investments'!$E276,0))</f>
        <v/>
      </c>
      <c r="AH276" s="36">
        <f>IF('My investments'!$H$14="",0,IF('My investments'!$F276='My investments'!$H$14,'My investments'!$E276,0))</f>
        <v/>
      </c>
      <c r="AI276" s="36">
        <f>IF('My investments'!$H$15="",0,IF('My investments'!$F276='My investments'!$H$15,'My investments'!$E276,0))</f>
        <v/>
      </c>
      <c r="AK276" s="36">
        <f>IF('My investments'!$H$11="",0,IF('My investments'!$F276='My investments'!$H$11,$AA276,0))</f>
        <v/>
      </c>
      <c r="AL276" s="36">
        <f>IF('My investments'!$H$12="",0,IF('My investments'!$F276='My investments'!$H$12,$AA276,0))</f>
        <v/>
      </c>
      <c r="AM276" s="36">
        <f>IF('My investments'!$H$13="",0,IF('My investments'!$F276='My investments'!$H$13,$AA276,0))</f>
        <v/>
      </c>
      <c r="AN276" s="36">
        <f>IF('My investments'!$H$14="",0,IF('My investments'!$F276='My investments'!$H$14,$AA276,0))</f>
        <v/>
      </c>
      <c r="AO276" s="36">
        <f>IF('My investments'!$H$15="",0,IF('My investments'!$F276='My investments'!$H$15,$AA276,0))</f>
        <v/>
      </c>
    </row>
    <row r="277" ht="15" customHeight="1" s="30">
      <c r="A277" s="36">
        <f>IF('My investments'!$C277="Worth today",1,0)</f>
        <v/>
      </c>
      <c r="B277" s="36">
        <f>IF('My investments'!$C277="Money in",1,0)</f>
        <v/>
      </c>
      <c r="AA277" s="36">
        <f>IF('My investments'!$C277="Money in",'My investments'!$D277,0)</f>
        <v/>
      </c>
      <c r="AB277" s="36">
        <f>IF('My investments'!$C277="Money out",'My investments'!$D277,0)</f>
        <v/>
      </c>
      <c r="AC277" s="36">
        <f>IF('My investments'!$C277="Worth today",'My investments'!$D277,0)</f>
        <v/>
      </c>
      <c r="AE277" s="36">
        <f>IF('My investments'!$H$11="",0,IF('My investments'!$F277='My investments'!$H$11,'My investments'!$E277,0))</f>
        <v/>
      </c>
      <c r="AF277" s="36">
        <f>IF('My investments'!$H$12="",0,IF('My investments'!$F277='My investments'!$H$12,'My investments'!$E277,0))</f>
        <v/>
      </c>
      <c r="AG277" s="36">
        <f>IF('My investments'!$H$13="",0,IF('My investments'!$F277='My investments'!$H$13,'My investments'!$E277,0))</f>
        <v/>
      </c>
      <c r="AH277" s="36">
        <f>IF('My investments'!$H$14="",0,IF('My investments'!$F277='My investments'!$H$14,'My investments'!$E277,0))</f>
        <v/>
      </c>
      <c r="AI277" s="36">
        <f>IF('My investments'!$H$15="",0,IF('My investments'!$F277='My investments'!$H$15,'My investments'!$E277,0))</f>
        <v/>
      </c>
      <c r="AK277" s="36">
        <f>IF('My investments'!$H$11="",0,IF('My investments'!$F277='My investments'!$H$11,$AA277,0))</f>
        <v/>
      </c>
      <c r="AL277" s="36">
        <f>IF('My investments'!$H$12="",0,IF('My investments'!$F277='My investments'!$H$12,$AA277,0))</f>
        <v/>
      </c>
      <c r="AM277" s="36">
        <f>IF('My investments'!$H$13="",0,IF('My investments'!$F277='My investments'!$H$13,$AA277,0))</f>
        <v/>
      </c>
      <c r="AN277" s="36">
        <f>IF('My investments'!$H$14="",0,IF('My investments'!$F277='My investments'!$H$14,$AA277,0))</f>
        <v/>
      </c>
      <c r="AO277" s="36">
        <f>IF('My investments'!$H$15="",0,IF('My investments'!$F277='My investments'!$H$15,$AA277,0))</f>
        <v/>
      </c>
    </row>
    <row r="278" ht="15" customHeight="1" s="30">
      <c r="A278" s="36">
        <f>IF('My investments'!$C278="Worth today",1,0)</f>
        <v/>
      </c>
      <c r="B278" s="36">
        <f>IF('My investments'!$C278="Money in",1,0)</f>
        <v/>
      </c>
      <c r="AA278" s="36">
        <f>IF('My investments'!$C278="Money in",'My investments'!$D278,0)</f>
        <v/>
      </c>
      <c r="AB278" s="36">
        <f>IF('My investments'!$C278="Money out",'My investments'!$D278,0)</f>
        <v/>
      </c>
      <c r="AC278" s="36">
        <f>IF('My investments'!$C278="Worth today",'My investments'!$D278,0)</f>
        <v/>
      </c>
      <c r="AE278" s="36">
        <f>IF('My investments'!$H$11="",0,IF('My investments'!$F278='My investments'!$H$11,'My investments'!$E278,0))</f>
        <v/>
      </c>
      <c r="AF278" s="36">
        <f>IF('My investments'!$H$12="",0,IF('My investments'!$F278='My investments'!$H$12,'My investments'!$E278,0))</f>
        <v/>
      </c>
      <c r="AG278" s="36">
        <f>IF('My investments'!$H$13="",0,IF('My investments'!$F278='My investments'!$H$13,'My investments'!$E278,0))</f>
        <v/>
      </c>
      <c r="AH278" s="36">
        <f>IF('My investments'!$H$14="",0,IF('My investments'!$F278='My investments'!$H$14,'My investments'!$E278,0))</f>
        <v/>
      </c>
      <c r="AI278" s="36">
        <f>IF('My investments'!$H$15="",0,IF('My investments'!$F278='My investments'!$H$15,'My investments'!$E278,0))</f>
        <v/>
      </c>
      <c r="AK278" s="36">
        <f>IF('My investments'!$H$11="",0,IF('My investments'!$F278='My investments'!$H$11,$AA278,0))</f>
        <v/>
      </c>
      <c r="AL278" s="36">
        <f>IF('My investments'!$H$12="",0,IF('My investments'!$F278='My investments'!$H$12,$AA278,0))</f>
        <v/>
      </c>
      <c r="AM278" s="36">
        <f>IF('My investments'!$H$13="",0,IF('My investments'!$F278='My investments'!$H$13,$AA278,0))</f>
        <v/>
      </c>
      <c r="AN278" s="36">
        <f>IF('My investments'!$H$14="",0,IF('My investments'!$F278='My investments'!$H$14,$AA278,0))</f>
        <v/>
      </c>
      <c r="AO278" s="36">
        <f>IF('My investments'!$H$15="",0,IF('My investments'!$F278='My investments'!$H$15,$AA278,0))</f>
        <v/>
      </c>
    </row>
    <row r="279" ht="15" customHeight="1" s="30">
      <c r="A279" s="36">
        <f>IF('My investments'!$C279="Worth today",1,0)</f>
        <v/>
      </c>
      <c r="B279" s="36">
        <f>IF('My investments'!$C279="Money in",1,0)</f>
        <v/>
      </c>
      <c r="AA279" s="36">
        <f>IF('My investments'!$C279="Money in",'My investments'!$D279,0)</f>
        <v/>
      </c>
      <c r="AB279" s="36">
        <f>IF('My investments'!$C279="Money out",'My investments'!$D279,0)</f>
        <v/>
      </c>
      <c r="AC279" s="36">
        <f>IF('My investments'!$C279="Worth today",'My investments'!$D279,0)</f>
        <v/>
      </c>
      <c r="AE279" s="36">
        <f>IF('My investments'!$H$11="",0,IF('My investments'!$F279='My investments'!$H$11,'My investments'!$E279,0))</f>
        <v/>
      </c>
      <c r="AF279" s="36">
        <f>IF('My investments'!$H$12="",0,IF('My investments'!$F279='My investments'!$H$12,'My investments'!$E279,0))</f>
        <v/>
      </c>
      <c r="AG279" s="36">
        <f>IF('My investments'!$H$13="",0,IF('My investments'!$F279='My investments'!$H$13,'My investments'!$E279,0))</f>
        <v/>
      </c>
      <c r="AH279" s="36">
        <f>IF('My investments'!$H$14="",0,IF('My investments'!$F279='My investments'!$H$14,'My investments'!$E279,0))</f>
        <v/>
      </c>
      <c r="AI279" s="36">
        <f>IF('My investments'!$H$15="",0,IF('My investments'!$F279='My investments'!$H$15,'My investments'!$E279,0))</f>
        <v/>
      </c>
      <c r="AK279" s="36">
        <f>IF('My investments'!$H$11="",0,IF('My investments'!$F279='My investments'!$H$11,$AA279,0))</f>
        <v/>
      </c>
      <c r="AL279" s="36">
        <f>IF('My investments'!$H$12="",0,IF('My investments'!$F279='My investments'!$H$12,$AA279,0))</f>
        <v/>
      </c>
      <c r="AM279" s="36">
        <f>IF('My investments'!$H$13="",0,IF('My investments'!$F279='My investments'!$H$13,$AA279,0))</f>
        <v/>
      </c>
      <c r="AN279" s="36">
        <f>IF('My investments'!$H$14="",0,IF('My investments'!$F279='My investments'!$H$14,$AA279,0))</f>
        <v/>
      </c>
      <c r="AO279" s="36">
        <f>IF('My investments'!$H$15="",0,IF('My investments'!$F279='My investments'!$H$15,$AA279,0))</f>
        <v/>
      </c>
    </row>
    <row r="280" ht="15" customHeight="1" s="30">
      <c r="A280" s="36">
        <f>IF('My investments'!$C280="Worth today",1,0)</f>
        <v/>
      </c>
      <c r="B280" s="36">
        <f>IF('My investments'!$C280="Money in",1,0)</f>
        <v/>
      </c>
      <c r="AA280" s="36">
        <f>IF('My investments'!$C280="Money in",'My investments'!$D280,0)</f>
        <v/>
      </c>
      <c r="AB280" s="36">
        <f>IF('My investments'!$C280="Money out",'My investments'!$D280,0)</f>
        <v/>
      </c>
      <c r="AC280" s="36">
        <f>IF('My investments'!$C280="Worth today",'My investments'!$D280,0)</f>
        <v/>
      </c>
      <c r="AE280" s="36">
        <f>IF('My investments'!$H$11="",0,IF('My investments'!$F280='My investments'!$H$11,'My investments'!$E280,0))</f>
        <v/>
      </c>
      <c r="AF280" s="36">
        <f>IF('My investments'!$H$12="",0,IF('My investments'!$F280='My investments'!$H$12,'My investments'!$E280,0))</f>
        <v/>
      </c>
      <c r="AG280" s="36">
        <f>IF('My investments'!$H$13="",0,IF('My investments'!$F280='My investments'!$H$13,'My investments'!$E280,0))</f>
        <v/>
      </c>
      <c r="AH280" s="36">
        <f>IF('My investments'!$H$14="",0,IF('My investments'!$F280='My investments'!$H$14,'My investments'!$E280,0))</f>
        <v/>
      </c>
      <c r="AI280" s="36">
        <f>IF('My investments'!$H$15="",0,IF('My investments'!$F280='My investments'!$H$15,'My investments'!$E280,0))</f>
        <v/>
      </c>
      <c r="AK280" s="36">
        <f>IF('My investments'!$H$11="",0,IF('My investments'!$F280='My investments'!$H$11,$AA280,0))</f>
        <v/>
      </c>
      <c r="AL280" s="36">
        <f>IF('My investments'!$H$12="",0,IF('My investments'!$F280='My investments'!$H$12,$AA280,0))</f>
        <v/>
      </c>
      <c r="AM280" s="36">
        <f>IF('My investments'!$H$13="",0,IF('My investments'!$F280='My investments'!$H$13,$AA280,0))</f>
        <v/>
      </c>
      <c r="AN280" s="36">
        <f>IF('My investments'!$H$14="",0,IF('My investments'!$F280='My investments'!$H$14,$AA280,0))</f>
        <v/>
      </c>
      <c r="AO280" s="36">
        <f>IF('My investments'!$H$15="",0,IF('My investments'!$F280='My investments'!$H$15,$AA280,0))</f>
        <v/>
      </c>
    </row>
    <row r="281" ht="15" customHeight="1" s="30">
      <c r="A281" s="36">
        <f>IF('My investments'!$C281="Worth today",1,0)</f>
        <v/>
      </c>
      <c r="B281" s="36">
        <f>IF('My investments'!$C281="Money in",1,0)</f>
        <v/>
      </c>
      <c r="AA281" s="36">
        <f>IF('My investments'!$C281="Money in",'My investments'!$D281,0)</f>
        <v/>
      </c>
      <c r="AB281" s="36">
        <f>IF('My investments'!$C281="Money out",'My investments'!$D281,0)</f>
        <v/>
      </c>
      <c r="AC281" s="36">
        <f>IF('My investments'!$C281="Worth today",'My investments'!$D281,0)</f>
        <v/>
      </c>
      <c r="AE281" s="36">
        <f>IF('My investments'!$H$11="",0,IF('My investments'!$F281='My investments'!$H$11,'My investments'!$E281,0))</f>
        <v/>
      </c>
      <c r="AF281" s="36">
        <f>IF('My investments'!$H$12="",0,IF('My investments'!$F281='My investments'!$H$12,'My investments'!$E281,0))</f>
        <v/>
      </c>
      <c r="AG281" s="36">
        <f>IF('My investments'!$H$13="",0,IF('My investments'!$F281='My investments'!$H$13,'My investments'!$E281,0))</f>
        <v/>
      </c>
      <c r="AH281" s="36">
        <f>IF('My investments'!$H$14="",0,IF('My investments'!$F281='My investments'!$H$14,'My investments'!$E281,0))</f>
        <v/>
      </c>
      <c r="AI281" s="36">
        <f>IF('My investments'!$H$15="",0,IF('My investments'!$F281='My investments'!$H$15,'My investments'!$E281,0))</f>
        <v/>
      </c>
      <c r="AK281" s="36">
        <f>IF('My investments'!$H$11="",0,IF('My investments'!$F281='My investments'!$H$11,$AA281,0))</f>
        <v/>
      </c>
      <c r="AL281" s="36">
        <f>IF('My investments'!$H$12="",0,IF('My investments'!$F281='My investments'!$H$12,$AA281,0))</f>
        <v/>
      </c>
      <c r="AM281" s="36">
        <f>IF('My investments'!$H$13="",0,IF('My investments'!$F281='My investments'!$H$13,$AA281,0))</f>
        <v/>
      </c>
      <c r="AN281" s="36">
        <f>IF('My investments'!$H$14="",0,IF('My investments'!$F281='My investments'!$H$14,$AA281,0))</f>
        <v/>
      </c>
      <c r="AO281" s="36">
        <f>IF('My investments'!$H$15="",0,IF('My investments'!$F281='My investments'!$H$15,$AA281,0))</f>
        <v/>
      </c>
    </row>
    <row r="282" ht="15" customHeight="1" s="30">
      <c r="A282" s="36">
        <f>IF('My investments'!$C282="Worth today",1,0)</f>
        <v/>
      </c>
      <c r="B282" s="36">
        <f>IF('My investments'!$C282="Money in",1,0)</f>
        <v/>
      </c>
      <c r="AA282" s="36">
        <f>IF('My investments'!$C282="Money in",'My investments'!$D282,0)</f>
        <v/>
      </c>
      <c r="AB282" s="36">
        <f>IF('My investments'!$C282="Money out",'My investments'!$D282,0)</f>
        <v/>
      </c>
      <c r="AC282" s="36">
        <f>IF('My investments'!$C282="Worth today",'My investments'!$D282,0)</f>
        <v/>
      </c>
      <c r="AE282" s="36">
        <f>IF('My investments'!$H$11="",0,IF('My investments'!$F282='My investments'!$H$11,'My investments'!$E282,0))</f>
        <v/>
      </c>
      <c r="AF282" s="36">
        <f>IF('My investments'!$H$12="",0,IF('My investments'!$F282='My investments'!$H$12,'My investments'!$E282,0))</f>
        <v/>
      </c>
      <c r="AG282" s="36">
        <f>IF('My investments'!$H$13="",0,IF('My investments'!$F282='My investments'!$H$13,'My investments'!$E282,0))</f>
        <v/>
      </c>
      <c r="AH282" s="36">
        <f>IF('My investments'!$H$14="",0,IF('My investments'!$F282='My investments'!$H$14,'My investments'!$E282,0))</f>
        <v/>
      </c>
      <c r="AI282" s="36">
        <f>IF('My investments'!$H$15="",0,IF('My investments'!$F282='My investments'!$H$15,'My investments'!$E282,0))</f>
        <v/>
      </c>
      <c r="AK282" s="36">
        <f>IF('My investments'!$H$11="",0,IF('My investments'!$F282='My investments'!$H$11,$AA282,0))</f>
        <v/>
      </c>
      <c r="AL282" s="36">
        <f>IF('My investments'!$H$12="",0,IF('My investments'!$F282='My investments'!$H$12,$AA282,0))</f>
        <v/>
      </c>
      <c r="AM282" s="36">
        <f>IF('My investments'!$H$13="",0,IF('My investments'!$F282='My investments'!$H$13,$AA282,0))</f>
        <v/>
      </c>
      <c r="AN282" s="36">
        <f>IF('My investments'!$H$14="",0,IF('My investments'!$F282='My investments'!$H$14,$AA282,0))</f>
        <v/>
      </c>
      <c r="AO282" s="36">
        <f>IF('My investments'!$H$15="",0,IF('My investments'!$F282='My investments'!$H$15,$AA282,0))</f>
        <v/>
      </c>
    </row>
    <row r="283" ht="15" customHeight="1" s="30">
      <c r="A283" s="36">
        <f>IF('My investments'!$C283="Worth today",1,0)</f>
        <v/>
      </c>
      <c r="B283" s="36">
        <f>IF('My investments'!$C283="Money in",1,0)</f>
        <v/>
      </c>
      <c r="AA283" s="36">
        <f>IF('My investments'!$C283="Money in",'My investments'!$D283,0)</f>
        <v/>
      </c>
      <c r="AB283" s="36">
        <f>IF('My investments'!$C283="Money out",'My investments'!$D283,0)</f>
        <v/>
      </c>
      <c r="AC283" s="36">
        <f>IF('My investments'!$C283="Worth today",'My investments'!$D283,0)</f>
        <v/>
      </c>
      <c r="AE283" s="36">
        <f>IF('My investments'!$H$11="",0,IF('My investments'!$F283='My investments'!$H$11,'My investments'!$E283,0))</f>
        <v/>
      </c>
      <c r="AF283" s="36">
        <f>IF('My investments'!$H$12="",0,IF('My investments'!$F283='My investments'!$H$12,'My investments'!$E283,0))</f>
        <v/>
      </c>
      <c r="AG283" s="36">
        <f>IF('My investments'!$H$13="",0,IF('My investments'!$F283='My investments'!$H$13,'My investments'!$E283,0))</f>
        <v/>
      </c>
      <c r="AH283" s="36">
        <f>IF('My investments'!$H$14="",0,IF('My investments'!$F283='My investments'!$H$14,'My investments'!$E283,0))</f>
        <v/>
      </c>
      <c r="AI283" s="36">
        <f>IF('My investments'!$H$15="",0,IF('My investments'!$F283='My investments'!$H$15,'My investments'!$E283,0))</f>
        <v/>
      </c>
      <c r="AK283" s="36">
        <f>IF('My investments'!$H$11="",0,IF('My investments'!$F283='My investments'!$H$11,$AA283,0))</f>
        <v/>
      </c>
      <c r="AL283" s="36">
        <f>IF('My investments'!$H$12="",0,IF('My investments'!$F283='My investments'!$H$12,$AA283,0))</f>
        <v/>
      </c>
      <c r="AM283" s="36">
        <f>IF('My investments'!$H$13="",0,IF('My investments'!$F283='My investments'!$H$13,$AA283,0))</f>
        <v/>
      </c>
      <c r="AN283" s="36">
        <f>IF('My investments'!$H$14="",0,IF('My investments'!$F283='My investments'!$H$14,$AA283,0))</f>
        <v/>
      </c>
      <c r="AO283" s="36">
        <f>IF('My investments'!$H$15="",0,IF('My investments'!$F283='My investments'!$H$15,$AA283,0))</f>
        <v/>
      </c>
    </row>
    <row r="284" ht="15" customHeight="1" s="30">
      <c r="A284" s="36">
        <f>IF('My investments'!$C284="Worth today",1,0)</f>
        <v/>
      </c>
      <c r="B284" s="36">
        <f>IF('My investments'!$C284="Money in",1,0)</f>
        <v/>
      </c>
      <c r="AA284" s="36">
        <f>IF('My investments'!$C284="Money in",'My investments'!$D284,0)</f>
        <v/>
      </c>
      <c r="AB284" s="36">
        <f>IF('My investments'!$C284="Money out",'My investments'!$D284,0)</f>
        <v/>
      </c>
      <c r="AC284" s="36">
        <f>IF('My investments'!$C284="Worth today",'My investments'!$D284,0)</f>
        <v/>
      </c>
      <c r="AE284" s="36">
        <f>IF('My investments'!$H$11="",0,IF('My investments'!$F284='My investments'!$H$11,'My investments'!$E284,0))</f>
        <v/>
      </c>
      <c r="AF284" s="36">
        <f>IF('My investments'!$H$12="",0,IF('My investments'!$F284='My investments'!$H$12,'My investments'!$E284,0))</f>
        <v/>
      </c>
      <c r="AG284" s="36">
        <f>IF('My investments'!$H$13="",0,IF('My investments'!$F284='My investments'!$H$13,'My investments'!$E284,0))</f>
        <v/>
      </c>
      <c r="AH284" s="36">
        <f>IF('My investments'!$H$14="",0,IF('My investments'!$F284='My investments'!$H$14,'My investments'!$E284,0))</f>
        <v/>
      </c>
      <c r="AI284" s="36">
        <f>IF('My investments'!$H$15="",0,IF('My investments'!$F284='My investments'!$H$15,'My investments'!$E284,0))</f>
        <v/>
      </c>
      <c r="AK284" s="36">
        <f>IF('My investments'!$H$11="",0,IF('My investments'!$F284='My investments'!$H$11,$AA284,0))</f>
        <v/>
      </c>
      <c r="AL284" s="36">
        <f>IF('My investments'!$H$12="",0,IF('My investments'!$F284='My investments'!$H$12,$AA284,0))</f>
        <v/>
      </c>
      <c r="AM284" s="36">
        <f>IF('My investments'!$H$13="",0,IF('My investments'!$F284='My investments'!$H$13,$AA284,0))</f>
        <v/>
      </c>
      <c r="AN284" s="36">
        <f>IF('My investments'!$H$14="",0,IF('My investments'!$F284='My investments'!$H$14,$AA284,0))</f>
        <v/>
      </c>
      <c r="AO284" s="36">
        <f>IF('My investments'!$H$15="",0,IF('My investments'!$F284='My investments'!$H$15,$AA284,0))</f>
        <v/>
      </c>
    </row>
    <row r="285" ht="15" customHeight="1" s="30">
      <c r="A285" s="36">
        <f>IF('My investments'!$C285="Worth today",1,0)</f>
        <v/>
      </c>
      <c r="B285" s="36">
        <f>IF('My investments'!$C285="Money in",1,0)</f>
        <v/>
      </c>
      <c r="AA285" s="36">
        <f>IF('My investments'!$C285="Money in",'My investments'!$D285,0)</f>
        <v/>
      </c>
      <c r="AB285" s="36">
        <f>IF('My investments'!$C285="Money out",'My investments'!$D285,0)</f>
        <v/>
      </c>
      <c r="AC285" s="36">
        <f>IF('My investments'!$C285="Worth today",'My investments'!$D285,0)</f>
        <v/>
      </c>
      <c r="AE285" s="36">
        <f>IF('My investments'!$H$11="",0,IF('My investments'!$F285='My investments'!$H$11,'My investments'!$E285,0))</f>
        <v/>
      </c>
      <c r="AF285" s="36">
        <f>IF('My investments'!$H$12="",0,IF('My investments'!$F285='My investments'!$H$12,'My investments'!$E285,0))</f>
        <v/>
      </c>
      <c r="AG285" s="36">
        <f>IF('My investments'!$H$13="",0,IF('My investments'!$F285='My investments'!$H$13,'My investments'!$E285,0))</f>
        <v/>
      </c>
      <c r="AH285" s="36">
        <f>IF('My investments'!$H$14="",0,IF('My investments'!$F285='My investments'!$H$14,'My investments'!$E285,0))</f>
        <v/>
      </c>
      <c r="AI285" s="36">
        <f>IF('My investments'!$H$15="",0,IF('My investments'!$F285='My investments'!$H$15,'My investments'!$E285,0))</f>
        <v/>
      </c>
      <c r="AK285" s="36">
        <f>IF('My investments'!$H$11="",0,IF('My investments'!$F285='My investments'!$H$11,$AA285,0))</f>
        <v/>
      </c>
      <c r="AL285" s="36">
        <f>IF('My investments'!$H$12="",0,IF('My investments'!$F285='My investments'!$H$12,$AA285,0))</f>
        <v/>
      </c>
      <c r="AM285" s="36">
        <f>IF('My investments'!$H$13="",0,IF('My investments'!$F285='My investments'!$H$13,$AA285,0))</f>
        <v/>
      </c>
      <c r="AN285" s="36">
        <f>IF('My investments'!$H$14="",0,IF('My investments'!$F285='My investments'!$H$14,$AA285,0))</f>
        <v/>
      </c>
      <c r="AO285" s="36">
        <f>IF('My investments'!$H$15="",0,IF('My investments'!$F285='My investments'!$H$15,$AA285,0))</f>
        <v/>
      </c>
    </row>
    <row r="286" ht="15" customHeight="1" s="30">
      <c r="A286" s="36">
        <f>IF('My investments'!$C286="Worth today",1,0)</f>
        <v/>
      </c>
      <c r="B286" s="36">
        <f>IF('My investments'!$C286="Money in",1,0)</f>
        <v/>
      </c>
      <c r="AA286" s="36">
        <f>IF('My investments'!$C286="Money in",'My investments'!$D286,0)</f>
        <v/>
      </c>
      <c r="AB286" s="36">
        <f>IF('My investments'!$C286="Money out",'My investments'!$D286,0)</f>
        <v/>
      </c>
      <c r="AC286" s="36">
        <f>IF('My investments'!$C286="Worth today",'My investments'!$D286,0)</f>
        <v/>
      </c>
      <c r="AE286" s="36">
        <f>IF('My investments'!$H$11="",0,IF('My investments'!$F286='My investments'!$H$11,'My investments'!$E286,0))</f>
        <v/>
      </c>
      <c r="AF286" s="36">
        <f>IF('My investments'!$H$12="",0,IF('My investments'!$F286='My investments'!$H$12,'My investments'!$E286,0))</f>
        <v/>
      </c>
      <c r="AG286" s="36">
        <f>IF('My investments'!$H$13="",0,IF('My investments'!$F286='My investments'!$H$13,'My investments'!$E286,0))</f>
        <v/>
      </c>
      <c r="AH286" s="36">
        <f>IF('My investments'!$H$14="",0,IF('My investments'!$F286='My investments'!$H$14,'My investments'!$E286,0))</f>
        <v/>
      </c>
      <c r="AI286" s="36">
        <f>IF('My investments'!$H$15="",0,IF('My investments'!$F286='My investments'!$H$15,'My investments'!$E286,0))</f>
        <v/>
      </c>
      <c r="AK286" s="36">
        <f>IF('My investments'!$H$11="",0,IF('My investments'!$F286='My investments'!$H$11,$AA286,0))</f>
        <v/>
      </c>
      <c r="AL286" s="36">
        <f>IF('My investments'!$H$12="",0,IF('My investments'!$F286='My investments'!$H$12,$AA286,0))</f>
        <v/>
      </c>
      <c r="AM286" s="36">
        <f>IF('My investments'!$H$13="",0,IF('My investments'!$F286='My investments'!$H$13,$AA286,0))</f>
        <v/>
      </c>
      <c r="AN286" s="36">
        <f>IF('My investments'!$H$14="",0,IF('My investments'!$F286='My investments'!$H$14,$AA286,0))</f>
        <v/>
      </c>
      <c r="AO286" s="36">
        <f>IF('My investments'!$H$15="",0,IF('My investments'!$F286='My investments'!$H$15,$AA286,0))</f>
        <v/>
      </c>
    </row>
    <row r="287" ht="15" customHeight="1" s="30">
      <c r="A287" s="36">
        <f>IF('My investments'!$C287="Worth today",1,0)</f>
        <v/>
      </c>
      <c r="B287" s="36">
        <f>IF('My investments'!$C287="Money in",1,0)</f>
        <v/>
      </c>
      <c r="AA287" s="36">
        <f>IF('My investments'!$C287="Money in",'My investments'!$D287,0)</f>
        <v/>
      </c>
      <c r="AB287" s="36">
        <f>IF('My investments'!$C287="Money out",'My investments'!$D287,0)</f>
        <v/>
      </c>
      <c r="AC287" s="36">
        <f>IF('My investments'!$C287="Worth today",'My investments'!$D287,0)</f>
        <v/>
      </c>
      <c r="AE287" s="36">
        <f>IF('My investments'!$H$11="",0,IF('My investments'!$F287='My investments'!$H$11,'My investments'!$E287,0))</f>
        <v/>
      </c>
      <c r="AF287" s="36">
        <f>IF('My investments'!$H$12="",0,IF('My investments'!$F287='My investments'!$H$12,'My investments'!$E287,0))</f>
        <v/>
      </c>
      <c r="AG287" s="36">
        <f>IF('My investments'!$H$13="",0,IF('My investments'!$F287='My investments'!$H$13,'My investments'!$E287,0))</f>
        <v/>
      </c>
      <c r="AH287" s="36">
        <f>IF('My investments'!$H$14="",0,IF('My investments'!$F287='My investments'!$H$14,'My investments'!$E287,0))</f>
        <v/>
      </c>
      <c r="AI287" s="36">
        <f>IF('My investments'!$H$15="",0,IF('My investments'!$F287='My investments'!$H$15,'My investments'!$E287,0))</f>
        <v/>
      </c>
      <c r="AK287" s="36">
        <f>IF('My investments'!$H$11="",0,IF('My investments'!$F287='My investments'!$H$11,$AA287,0))</f>
        <v/>
      </c>
      <c r="AL287" s="36">
        <f>IF('My investments'!$H$12="",0,IF('My investments'!$F287='My investments'!$H$12,$AA287,0))</f>
        <v/>
      </c>
      <c r="AM287" s="36">
        <f>IF('My investments'!$H$13="",0,IF('My investments'!$F287='My investments'!$H$13,$AA287,0))</f>
        <v/>
      </c>
      <c r="AN287" s="36">
        <f>IF('My investments'!$H$14="",0,IF('My investments'!$F287='My investments'!$H$14,$AA287,0))</f>
        <v/>
      </c>
      <c r="AO287" s="36">
        <f>IF('My investments'!$H$15="",0,IF('My investments'!$F287='My investments'!$H$15,$AA287,0))</f>
        <v/>
      </c>
    </row>
    <row r="288" ht="15" customHeight="1" s="30">
      <c r="A288" s="36">
        <f>IF('My investments'!$C288="Worth today",1,0)</f>
        <v/>
      </c>
      <c r="B288" s="36">
        <f>IF('My investments'!$C288="Money in",1,0)</f>
        <v/>
      </c>
      <c r="AA288" s="36">
        <f>IF('My investments'!$C288="Money in",'My investments'!$D288,0)</f>
        <v/>
      </c>
      <c r="AB288" s="36">
        <f>IF('My investments'!$C288="Money out",'My investments'!$D288,0)</f>
        <v/>
      </c>
      <c r="AC288" s="36">
        <f>IF('My investments'!$C288="Worth today",'My investments'!$D288,0)</f>
        <v/>
      </c>
      <c r="AE288" s="36">
        <f>IF('My investments'!$H$11="",0,IF('My investments'!$F288='My investments'!$H$11,'My investments'!$E288,0))</f>
        <v/>
      </c>
      <c r="AF288" s="36">
        <f>IF('My investments'!$H$12="",0,IF('My investments'!$F288='My investments'!$H$12,'My investments'!$E288,0))</f>
        <v/>
      </c>
      <c r="AG288" s="36">
        <f>IF('My investments'!$H$13="",0,IF('My investments'!$F288='My investments'!$H$13,'My investments'!$E288,0))</f>
        <v/>
      </c>
      <c r="AH288" s="36">
        <f>IF('My investments'!$H$14="",0,IF('My investments'!$F288='My investments'!$H$14,'My investments'!$E288,0))</f>
        <v/>
      </c>
      <c r="AI288" s="36">
        <f>IF('My investments'!$H$15="",0,IF('My investments'!$F288='My investments'!$H$15,'My investments'!$E288,0))</f>
        <v/>
      </c>
      <c r="AK288" s="36">
        <f>IF('My investments'!$H$11="",0,IF('My investments'!$F288='My investments'!$H$11,$AA288,0))</f>
        <v/>
      </c>
      <c r="AL288" s="36">
        <f>IF('My investments'!$H$12="",0,IF('My investments'!$F288='My investments'!$H$12,$AA288,0))</f>
        <v/>
      </c>
      <c r="AM288" s="36">
        <f>IF('My investments'!$H$13="",0,IF('My investments'!$F288='My investments'!$H$13,$AA288,0))</f>
        <v/>
      </c>
      <c r="AN288" s="36">
        <f>IF('My investments'!$H$14="",0,IF('My investments'!$F288='My investments'!$H$14,$AA288,0))</f>
        <v/>
      </c>
      <c r="AO288" s="36">
        <f>IF('My investments'!$H$15="",0,IF('My investments'!$F288='My investments'!$H$15,$AA288,0))</f>
        <v/>
      </c>
    </row>
    <row r="289" ht="15" customHeight="1" s="30">
      <c r="A289" s="36">
        <f>IF('My investments'!$C289="Worth today",1,0)</f>
        <v/>
      </c>
      <c r="B289" s="36">
        <f>IF('My investments'!$C289="Money in",1,0)</f>
        <v/>
      </c>
      <c r="AA289" s="36">
        <f>IF('My investments'!$C289="Money in",'My investments'!$D289,0)</f>
        <v/>
      </c>
      <c r="AB289" s="36">
        <f>IF('My investments'!$C289="Money out",'My investments'!$D289,0)</f>
        <v/>
      </c>
      <c r="AC289" s="36">
        <f>IF('My investments'!$C289="Worth today",'My investments'!$D289,0)</f>
        <v/>
      </c>
      <c r="AE289" s="36">
        <f>IF('My investments'!$H$11="",0,IF('My investments'!$F289='My investments'!$H$11,'My investments'!$E289,0))</f>
        <v/>
      </c>
      <c r="AF289" s="36">
        <f>IF('My investments'!$H$12="",0,IF('My investments'!$F289='My investments'!$H$12,'My investments'!$E289,0))</f>
        <v/>
      </c>
      <c r="AG289" s="36">
        <f>IF('My investments'!$H$13="",0,IF('My investments'!$F289='My investments'!$H$13,'My investments'!$E289,0))</f>
        <v/>
      </c>
      <c r="AH289" s="36">
        <f>IF('My investments'!$H$14="",0,IF('My investments'!$F289='My investments'!$H$14,'My investments'!$E289,0))</f>
        <v/>
      </c>
      <c r="AI289" s="36">
        <f>IF('My investments'!$H$15="",0,IF('My investments'!$F289='My investments'!$H$15,'My investments'!$E289,0))</f>
        <v/>
      </c>
      <c r="AK289" s="36">
        <f>IF('My investments'!$H$11="",0,IF('My investments'!$F289='My investments'!$H$11,$AA289,0))</f>
        <v/>
      </c>
      <c r="AL289" s="36">
        <f>IF('My investments'!$H$12="",0,IF('My investments'!$F289='My investments'!$H$12,$AA289,0))</f>
        <v/>
      </c>
      <c r="AM289" s="36">
        <f>IF('My investments'!$H$13="",0,IF('My investments'!$F289='My investments'!$H$13,$AA289,0))</f>
        <v/>
      </c>
      <c r="AN289" s="36">
        <f>IF('My investments'!$H$14="",0,IF('My investments'!$F289='My investments'!$H$14,$AA289,0))</f>
        <v/>
      </c>
      <c r="AO289" s="36">
        <f>IF('My investments'!$H$15="",0,IF('My investments'!$F289='My investments'!$H$15,$AA289,0))</f>
        <v/>
      </c>
    </row>
    <row r="290" ht="15" customHeight="1" s="30">
      <c r="A290" s="36">
        <f>IF('My investments'!$C290="Worth today",1,0)</f>
        <v/>
      </c>
      <c r="B290" s="36">
        <f>IF('My investments'!$C290="Money in",1,0)</f>
        <v/>
      </c>
      <c r="AA290" s="36">
        <f>IF('My investments'!$C290="Money in",'My investments'!$D290,0)</f>
        <v/>
      </c>
      <c r="AB290" s="36">
        <f>IF('My investments'!$C290="Money out",'My investments'!$D290,0)</f>
        <v/>
      </c>
      <c r="AC290" s="36">
        <f>IF('My investments'!$C290="Worth today",'My investments'!$D290,0)</f>
        <v/>
      </c>
      <c r="AE290" s="36">
        <f>IF('My investments'!$H$11="",0,IF('My investments'!$F290='My investments'!$H$11,'My investments'!$E290,0))</f>
        <v/>
      </c>
      <c r="AF290" s="36">
        <f>IF('My investments'!$H$12="",0,IF('My investments'!$F290='My investments'!$H$12,'My investments'!$E290,0))</f>
        <v/>
      </c>
      <c r="AG290" s="36">
        <f>IF('My investments'!$H$13="",0,IF('My investments'!$F290='My investments'!$H$13,'My investments'!$E290,0))</f>
        <v/>
      </c>
      <c r="AH290" s="36">
        <f>IF('My investments'!$H$14="",0,IF('My investments'!$F290='My investments'!$H$14,'My investments'!$E290,0))</f>
        <v/>
      </c>
      <c r="AI290" s="36">
        <f>IF('My investments'!$H$15="",0,IF('My investments'!$F290='My investments'!$H$15,'My investments'!$E290,0))</f>
        <v/>
      </c>
      <c r="AK290" s="36">
        <f>IF('My investments'!$H$11="",0,IF('My investments'!$F290='My investments'!$H$11,$AA290,0))</f>
        <v/>
      </c>
      <c r="AL290" s="36">
        <f>IF('My investments'!$H$12="",0,IF('My investments'!$F290='My investments'!$H$12,$AA290,0))</f>
        <v/>
      </c>
      <c r="AM290" s="36">
        <f>IF('My investments'!$H$13="",0,IF('My investments'!$F290='My investments'!$H$13,$AA290,0))</f>
        <v/>
      </c>
      <c r="AN290" s="36">
        <f>IF('My investments'!$H$14="",0,IF('My investments'!$F290='My investments'!$H$14,$AA290,0))</f>
        <v/>
      </c>
      <c r="AO290" s="36">
        <f>IF('My investments'!$H$15="",0,IF('My investments'!$F290='My investments'!$H$15,$AA290,0))</f>
        <v/>
      </c>
    </row>
    <row r="291" ht="15" customHeight="1" s="30">
      <c r="A291" s="36">
        <f>IF('My investments'!$C291="Worth today",1,0)</f>
        <v/>
      </c>
      <c r="B291" s="36">
        <f>IF('My investments'!$C291="Money in",1,0)</f>
        <v/>
      </c>
      <c r="AA291" s="36">
        <f>IF('My investments'!$C291="Money in",'My investments'!$D291,0)</f>
        <v/>
      </c>
      <c r="AB291" s="36">
        <f>IF('My investments'!$C291="Money out",'My investments'!$D291,0)</f>
        <v/>
      </c>
      <c r="AC291" s="36">
        <f>IF('My investments'!$C291="Worth today",'My investments'!$D291,0)</f>
        <v/>
      </c>
      <c r="AE291" s="36">
        <f>IF('My investments'!$H$11="",0,IF('My investments'!$F291='My investments'!$H$11,'My investments'!$E291,0))</f>
        <v/>
      </c>
      <c r="AF291" s="36">
        <f>IF('My investments'!$H$12="",0,IF('My investments'!$F291='My investments'!$H$12,'My investments'!$E291,0))</f>
        <v/>
      </c>
      <c r="AG291" s="36">
        <f>IF('My investments'!$H$13="",0,IF('My investments'!$F291='My investments'!$H$13,'My investments'!$E291,0))</f>
        <v/>
      </c>
      <c r="AH291" s="36">
        <f>IF('My investments'!$H$14="",0,IF('My investments'!$F291='My investments'!$H$14,'My investments'!$E291,0))</f>
        <v/>
      </c>
      <c r="AI291" s="36">
        <f>IF('My investments'!$H$15="",0,IF('My investments'!$F291='My investments'!$H$15,'My investments'!$E291,0))</f>
        <v/>
      </c>
      <c r="AK291" s="36">
        <f>IF('My investments'!$H$11="",0,IF('My investments'!$F291='My investments'!$H$11,$AA291,0))</f>
        <v/>
      </c>
      <c r="AL291" s="36">
        <f>IF('My investments'!$H$12="",0,IF('My investments'!$F291='My investments'!$H$12,$AA291,0))</f>
        <v/>
      </c>
      <c r="AM291" s="36">
        <f>IF('My investments'!$H$13="",0,IF('My investments'!$F291='My investments'!$H$13,$AA291,0))</f>
        <v/>
      </c>
      <c r="AN291" s="36">
        <f>IF('My investments'!$H$14="",0,IF('My investments'!$F291='My investments'!$H$14,$AA291,0))</f>
        <v/>
      </c>
      <c r="AO291" s="36">
        <f>IF('My investments'!$H$15="",0,IF('My investments'!$F291='My investments'!$H$15,$AA291,0))</f>
        <v/>
      </c>
    </row>
    <row r="292" ht="15" customHeight="1" s="30">
      <c r="A292" s="36">
        <f>IF('My investments'!$C292="Worth today",1,0)</f>
        <v/>
      </c>
      <c r="B292" s="36">
        <f>IF('My investments'!$C292="Money in",1,0)</f>
        <v/>
      </c>
      <c r="AA292" s="36">
        <f>IF('My investments'!$C292="Money in",'My investments'!$D292,0)</f>
        <v/>
      </c>
      <c r="AB292" s="36">
        <f>IF('My investments'!$C292="Money out",'My investments'!$D292,0)</f>
        <v/>
      </c>
      <c r="AC292" s="36">
        <f>IF('My investments'!$C292="Worth today",'My investments'!$D292,0)</f>
        <v/>
      </c>
      <c r="AE292" s="36">
        <f>IF('My investments'!$H$11="",0,IF('My investments'!$F292='My investments'!$H$11,'My investments'!$E292,0))</f>
        <v/>
      </c>
      <c r="AF292" s="36">
        <f>IF('My investments'!$H$12="",0,IF('My investments'!$F292='My investments'!$H$12,'My investments'!$E292,0))</f>
        <v/>
      </c>
      <c r="AG292" s="36">
        <f>IF('My investments'!$H$13="",0,IF('My investments'!$F292='My investments'!$H$13,'My investments'!$E292,0))</f>
        <v/>
      </c>
      <c r="AH292" s="36">
        <f>IF('My investments'!$H$14="",0,IF('My investments'!$F292='My investments'!$H$14,'My investments'!$E292,0))</f>
        <v/>
      </c>
      <c r="AI292" s="36">
        <f>IF('My investments'!$H$15="",0,IF('My investments'!$F292='My investments'!$H$15,'My investments'!$E292,0))</f>
        <v/>
      </c>
      <c r="AK292" s="36">
        <f>IF('My investments'!$H$11="",0,IF('My investments'!$F292='My investments'!$H$11,$AA292,0))</f>
        <v/>
      </c>
      <c r="AL292" s="36">
        <f>IF('My investments'!$H$12="",0,IF('My investments'!$F292='My investments'!$H$12,$AA292,0))</f>
        <v/>
      </c>
      <c r="AM292" s="36">
        <f>IF('My investments'!$H$13="",0,IF('My investments'!$F292='My investments'!$H$13,$AA292,0))</f>
        <v/>
      </c>
      <c r="AN292" s="36">
        <f>IF('My investments'!$H$14="",0,IF('My investments'!$F292='My investments'!$H$14,$AA292,0))</f>
        <v/>
      </c>
      <c r="AO292" s="36">
        <f>IF('My investments'!$H$15="",0,IF('My investments'!$F292='My investments'!$H$15,$AA292,0))</f>
        <v/>
      </c>
    </row>
    <row r="293" ht="15" customHeight="1" s="30">
      <c r="A293" s="36">
        <f>IF('My investments'!$C293="Worth today",1,0)</f>
        <v/>
      </c>
      <c r="B293" s="36">
        <f>IF('My investments'!$C293="Money in",1,0)</f>
        <v/>
      </c>
      <c r="AA293" s="36">
        <f>IF('My investments'!$C293="Money in",'My investments'!$D293,0)</f>
        <v/>
      </c>
      <c r="AB293" s="36">
        <f>IF('My investments'!$C293="Money out",'My investments'!$D293,0)</f>
        <v/>
      </c>
      <c r="AC293" s="36">
        <f>IF('My investments'!$C293="Worth today",'My investments'!$D293,0)</f>
        <v/>
      </c>
      <c r="AE293" s="36">
        <f>IF('My investments'!$H$11="",0,IF('My investments'!$F293='My investments'!$H$11,'My investments'!$E293,0))</f>
        <v/>
      </c>
      <c r="AF293" s="36">
        <f>IF('My investments'!$H$12="",0,IF('My investments'!$F293='My investments'!$H$12,'My investments'!$E293,0))</f>
        <v/>
      </c>
      <c r="AG293" s="36">
        <f>IF('My investments'!$H$13="",0,IF('My investments'!$F293='My investments'!$H$13,'My investments'!$E293,0))</f>
        <v/>
      </c>
      <c r="AH293" s="36">
        <f>IF('My investments'!$H$14="",0,IF('My investments'!$F293='My investments'!$H$14,'My investments'!$E293,0))</f>
        <v/>
      </c>
      <c r="AI293" s="36">
        <f>IF('My investments'!$H$15="",0,IF('My investments'!$F293='My investments'!$H$15,'My investments'!$E293,0))</f>
        <v/>
      </c>
      <c r="AK293" s="36">
        <f>IF('My investments'!$H$11="",0,IF('My investments'!$F293='My investments'!$H$11,$AA293,0))</f>
        <v/>
      </c>
      <c r="AL293" s="36">
        <f>IF('My investments'!$H$12="",0,IF('My investments'!$F293='My investments'!$H$12,$AA293,0))</f>
        <v/>
      </c>
      <c r="AM293" s="36">
        <f>IF('My investments'!$H$13="",0,IF('My investments'!$F293='My investments'!$H$13,$AA293,0))</f>
        <v/>
      </c>
      <c r="AN293" s="36">
        <f>IF('My investments'!$H$14="",0,IF('My investments'!$F293='My investments'!$H$14,$AA293,0))</f>
        <v/>
      </c>
      <c r="AO293" s="36">
        <f>IF('My investments'!$H$15="",0,IF('My investments'!$F293='My investments'!$H$15,$AA293,0))</f>
        <v/>
      </c>
    </row>
    <row r="294" ht="15" customHeight="1" s="30">
      <c r="A294" s="36">
        <f>IF('My investments'!$C294="Worth today",1,0)</f>
        <v/>
      </c>
      <c r="B294" s="36">
        <f>IF('My investments'!$C294="Money in",1,0)</f>
        <v/>
      </c>
      <c r="AA294" s="36">
        <f>IF('My investments'!$C294="Money in",'My investments'!$D294,0)</f>
        <v/>
      </c>
      <c r="AB294" s="36">
        <f>IF('My investments'!$C294="Money out",'My investments'!$D294,0)</f>
        <v/>
      </c>
      <c r="AC294" s="36">
        <f>IF('My investments'!$C294="Worth today",'My investments'!$D294,0)</f>
        <v/>
      </c>
      <c r="AE294" s="36">
        <f>IF('My investments'!$H$11="",0,IF('My investments'!$F294='My investments'!$H$11,'My investments'!$E294,0))</f>
        <v/>
      </c>
      <c r="AF294" s="36">
        <f>IF('My investments'!$H$12="",0,IF('My investments'!$F294='My investments'!$H$12,'My investments'!$E294,0))</f>
        <v/>
      </c>
      <c r="AG294" s="36">
        <f>IF('My investments'!$H$13="",0,IF('My investments'!$F294='My investments'!$H$13,'My investments'!$E294,0))</f>
        <v/>
      </c>
      <c r="AH294" s="36">
        <f>IF('My investments'!$H$14="",0,IF('My investments'!$F294='My investments'!$H$14,'My investments'!$E294,0))</f>
        <v/>
      </c>
      <c r="AI294" s="36">
        <f>IF('My investments'!$H$15="",0,IF('My investments'!$F294='My investments'!$H$15,'My investments'!$E294,0))</f>
        <v/>
      </c>
      <c r="AK294" s="36">
        <f>IF('My investments'!$H$11="",0,IF('My investments'!$F294='My investments'!$H$11,$AA294,0))</f>
        <v/>
      </c>
      <c r="AL294" s="36">
        <f>IF('My investments'!$H$12="",0,IF('My investments'!$F294='My investments'!$H$12,$AA294,0))</f>
        <v/>
      </c>
      <c r="AM294" s="36">
        <f>IF('My investments'!$H$13="",0,IF('My investments'!$F294='My investments'!$H$13,$AA294,0))</f>
        <v/>
      </c>
      <c r="AN294" s="36">
        <f>IF('My investments'!$H$14="",0,IF('My investments'!$F294='My investments'!$H$14,$AA294,0))</f>
        <v/>
      </c>
      <c r="AO294" s="36">
        <f>IF('My investments'!$H$15="",0,IF('My investments'!$F294='My investments'!$H$15,$AA294,0))</f>
        <v/>
      </c>
    </row>
    <row r="295" ht="15" customHeight="1" s="30">
      <c r="A295" s="36">
        <f>IF('My investments'!$C295="Worth today",1,0)</f>
        <v/>
      </c>
      <c r="B295" s="36">
        <f>IF('My investments'!$C295="Money in",1,0)</f>
        <v/>
      </c>
      <c r="AA295" s="36">
        <f>IF('My investments'!$C295="Money in",'My investments'!$D295,0)</f>
        <v/>
      </c>
      <c r="AB295" s="36">
        <f>IF('My investments'!$C295="Money out",'My investments'!$D295,0)</f>
        <v/>
      </c>
      <c r="AC295" s="36">
        <f>IF('My investments'!$C295="Worth today",'My investments'!$D295,0)</f>
        <v/>
      </c>
      <c r="AE295" s="36">
        <f>IF('My investments'!$H$11="",0,IF('My investments'!$F295='My investments'!$H$11,'My investments'!$E295,0))</f>
        <v/>
      </c>
      <c r="AF295" s="36">
        <f>IF('My investments'!$H$12="",0,IF('My investments'!$F295='My investments'!$H$12,'My investments'!$E295,0))</f>
        <v/>
      </c>
      <c r="AG295" s="36">
        <f>IF('My investments'!$H$13="",0,IF('My investments'!$F295='My investments'!$H$13,'My investments'!$E295,0))</f>
        <v/>
      </c>
      <c r="AH295" s="36">
        <f>IF('My investments'!$H$14="",0,IF('My investments'!$F295='My investments'!$H$14,'My investments'!$E295,0))</f>
        <v/>
      </c>
      <c r="AI295" s="36">
        <f>IF('My investments'!$H$15="",0,IF('My investments'!$F295='My investments'!$H$15,'My investments'!$E295,0))</f>
        <v/>
      </c>
      <c r="AK295" s="36">
        <f>IF('My investments'!$H$11="",0,IF('My investments'!$F295='My investments'!$H$11,$AA295,0))</f>
        <v/>
      </c>
      <c r="AL295" s="36">
        <f>IF('My investments'!$H$12="",0,IF('My investments'!$F295='My investments'!$H$12,$AA295,0))</f>
        <v/>
      </c>
      <c r="AM295" s="36">
        <f>IF('My investments'!$H$13="",0,IF('My investments'!$F295='My investments'!$H$13,$AA295,0))</f>
        <v/>
      </c>
      <c r="AN295" s="36">
        <f>IF('My investments'!$H$14="",0,IF('My investments'!$F295='My investments'!$H$14,$AA295,0))</f>
        <v/>
      </c>
      <c r="AO295" s="36">
        <f>IF('My investments'!$H$15="",0,IF('My investments'!$F295='My investments'!$H$15,$AA295,0))</f>
        <v/>
      </c>
    </row>
    <row r="296" ht="15" customHeight="1" s="30">
      <c r="A296" s="36">
        <f>IF('My investments'!$C296="Worth today",1,0)</f>
        <v/>
      </c>
      <c r="B296" s="36">
        <f>IF('My investments'!$C296="Money in",1,0)</f>
        <v/>
      </c>
      <c r="AA296" s="36">
        <f>IF('My investments'!$C296="Money in",'My investments'!$D296,0)</f>
        <v/>
      </c>
      <c r="AB296" s="36">
        <f>IF('My investments'!$C296="Money out",'My investments'!$D296,0)</f>
        <v/>
      </c>
      <c r="AC296" s="36">
        <f>IF('My investments'!$C296="Worth today",'My investments'!$D296,0)</f>
        <v/>
      </c>
      <c r="AE296" s="36">
        <f>IF('My investments'!$H$11="",0,IF('My investments'!$F296='My investments'!$H$11,'My investments'!$E296,0))</f>
        <v/>
      </c>
      <c r="AF296" s="36">
        <f>IF('My investments'!$H$12="",0,IF('My investments'!$F296='My investments'!$H$12,'My investments'!$E296,0))</f>
        <v/>
      </c>
      <c r="AG296" s="36">
        <f>IF('My investments'!$H$13="",0,IF('My investments'!$F296='My investments'!$H$13,'My investments'!$E296,0))</f>
        <v/>
      </c>
      <c r="AH296" s="36">
        <f>IF('My investments'!$H$14="",0,IF('My investments'!$F296='My investments'!$H$14,'My investments'!$E296,0))</f>
        <v/>
      </c>
      <c r="AI296" s="36">
        <f>IF('My investments'!$H$15="",0,IF('My investments'!$F296='My investments'!$H$15,'My investments'!$E296,0))</f>
        <v/>
      </c>
      <c r="AK296" s="36">
        <f>IF('My investments'!$H$11="",0,IF('My investments'!$F296='My investments'!$H$11,$AA296,0))</f>
        <v/>
      </c>
      <c r="AL296" s="36">
        <f>IF('My investments'!$H$12="",0,IF('My investments'!$F296='My investments'!$H$12,$AA296,0))</f>
        <v/>
      </c>
      <c r="AM296" s="36">
        <f>IF('My investments'!$H$13="",0,IF('My investments'!$F296='My investments'!$H$13,$AA296,0))</f>
        <v/>
      </c>
      <c r="AN296" s="36">
        <f>IF('My investments'!$H$14="",0,IF('My investments'!$F296='My investments'!$H$14,$AA296,0))</f>
        <v/>
      </c>
      <c r="AO296" s="36">
        <f>IF('My investments'!$H$15="",0,IF('My investments'!$F296='My investments'!$H$15,$AA296,0))</f>
        <v/>
      </c>
    </row>
    <row r="297" ht="15" customHeight="1" s="30">
      <c r="A297" s="36">
        <f>IF('My investments'!$C297="Worth today",1,0)</f>
        <v/>
      </c>
      <c r="B297" s="36">
        <f>IF('My investments'!$C297="Money in",1,0)</f>
        <v/>
      </c>
      <c r="AA297" s="36">
        <f>IF('My investments'!$C297="Money in",'My investments'!$D297,0)</f>
        <v/>
      </c>
      <c r="AB297" s="36">
        <f>IF('My investments'!$C297="Money out",'My investments'!$D297,0)</f>
        <v/>
      </c>
      <c r="AC297" s="36">
        <f>IF('My investments'!$C297="Worth today",'My investments'!$D297,0)</f>
        <v/>
      </c>
      <c r="AE297" s="36">
        <f>IF('My investments'!$H$11="",0,IF('My investments'!$F297='My investments'!$H$11,'My investments'!$E297,0))</f>
        <v/>
      </c>
      <c r="AF297" s="36">
        <f>IF('My investments'!$H$12="",0,IF('My investments'!$F297='My investments'!$H$12,'My investments'!$E297,0))</f>
        <v/>
      </c>
      <c r="AG297" s="36">
        <f>IF('My investments'!$H$13="",0,IF('My investments'!$F297='My investments'!$H$13,'My investments'!$E297,0))</f>
        <v/>
      </c>
      <c r="AH297" s="36">
        <f>IF('My investments'!$H$14="",0,IF('My investments'!$F297='My investments'!$H$14,'My investments'!$E297,0))</f>
        <v/>
      </c>
      <c r="AI297" s="36">
        <f>IF('My investments'!$H$15="",0,IF('My investments'!$F297='My investments'!$H$15,'My investments'!$E297,0))</f>
        <v/>
      </c>
      <c r="AK297" s="36">
        <f>IF('My investments'!$H$11="",0,IF('My investments'!$F297='My investments'!$H$11,$AA297,0))</f>
        <v/>
      </c>
      <c r="AL297" s="36">
        <f>IF('My investments'!$H$12="",0,IF('My investments'!$F297='My investments'!$H$12,$AA297,0))</f>
        <v/>
      </c>
      <c r="AM297" s="36">
        <f>IF('My investments'!$H$13="",0,IF('My investments'!$F297='My investments'!$H$13,$AA297,0))</f>
        <v/>
      </c>
      <c r="AN297" s="36">
        <f>IF('My investments'!$H$14="",0,IF('My investments'!$F297='My investments'!$H$14,$AA297,0))</f>
        <v/>
      </c>
      <c r="AO297" s="36">
        <f>IF('My investments'!$H$15="",0,IF('My investments'!$F297='My investments'!$H$15,$AA297,0))</f>
        <v/>
      </c>
    </row>
    <row r="298" ht="15" customHeight="1" s="30">
      <c r="A298" s="36">
        <f>IF('My investments'!$C298="Worth today",1,0)</f>
        <v/>
      </c>
      <c r="B298" s="36">
        <f>IF('My investments'!$C298="Money in",1,0)</f>
        <v/>
      </c>
      <c r="AA298" s="36">
        <f>IF('My investments'!$C298="Money in",'My investments'!$D298,0)</f>
        <v/>
      </c>
      <c r="AB298" s="36">
        <f>IF('My investments'!$C298="Money out",'My investments'!$D298,0)</f>
        <v/>
      </c>
      <c r="AC298" s="36">
        <f>IF('My investments'!$C298="Worth today",'My investments'!$D298,0)</f>
        <v/>
      </c>
      <c r="AE298" s="36">
        <f>IF('My investments'!$H$11="",0,IF('My investments'!$F298='My investments'!$H$11,'My investments'!$E298,0))</f>
        <v/>
      </c>
      <c r="AF298" s="36">
        <f>IF('My investments'!$H$12="",0,IF('My investments'!$F298='My investments'!$H$12,'My investments'!$E298,0))</f>
        <v/>
      </c>
      <c r="AG298" s="36">
        <f>IF('My investments'!$H$13="",0,IF('My investments'!$F298='My investments'!$H$13,'My investments'!$E298,0))</f>
        <v/>
      </c>
      <c r="AH298" s="36">
        <f>IF('My investments'!$H$14="",0,IF('My investments'!$F298='My investments'!$H$14,'My investments'!$E298,0))</f>
        <v/>
      </c>
      <c r="AI298" s="36">
        <f>IF('My investments'!$H$15="",0,IF('My investments'!$F298='My investments'!$H$15,'My investments'!$E298,0))</f>
        <v/>
      </c>
      <c r="AK298" s="36">
        <f>IF('My investments'!$H$11="",0,IF('My investments'!$F298='My investments'!$H$11,$AA298,0))</f>
        <v/>
      </c>
      <c r="AL298" s="36">
        <f>IF('My investments'!$H$12="",0,IF('My investments'!$F298='My investments'!$H$12,$AA298,0))</f>
        <v/>
      </c>
      <c r="AM298" s="36">
        <f>IF('My investments'!$H$13="",0,IF('My investments'!$F298='My investments'!$H$13,$AA298,0))</f>
        <v/>
      </c>
      <c r="AN298" s="36">
        <f>IF('My investments'!$H$14="",0,IF('My investments'!$F298='My investments'!$H$14,$AA298,0))</f>
        <v/>
      </c>
      <c r="AO298" s="36">
        <f>IF('My investments'!$H$15="",0,IF('My investments'!$F298='My investments'!$H$15,$AA298,0))</f>
        <v/>
      </c>
    </row>
    <row r="299" ht="15" customHeight="1" s="30">
      <c r="A299" s="36">
        <f>IF('My investments'!$C299="Worth today",1,0)</f>
        <v/>
      </c>
      <c r="B299" s="36">
        <f>IF('My investments'!$C299="Money in",1,0)</f>
        <v/>
      </c>
      <c r="AA299" s="36">
        <f>IF('My investments'!$C299="Money in",'My investments'!$D299,0)</f>
        <v/>
      </c>
      <c r="AB299" s="36">
        <f>IF('My investments'!$C299="Money out",'My investments'!$D299,0)</f>
        <v/>
      </c>
      <c r="AC299" s="36">
        <f>IF('My investments'!$C299="Worth today",'My investments'!$D299,0)</f>
        <v/>
      </c>
      <c r="AE299" s="36">
        <f>IF('My investments'!$H$11="",0,IF('My investments'!$F299='My investments'!$H$11,'My investments'!$E299,0))</f>
        <v/>
      </c>
      <c r="AF299" s="36">
        <f>IF('My investments'!$H$12="",0,IF('My investments'!$F299='My investments'!$H$12,'My investments'!$E299,0))</f>
        <v/>
      </c>
      <c r="AG299" s="36">
        <f>IF('My investments'!$H$13="",0,IF('My investments'!$F299='My investments'!$H$13,'My investments'!$E299,0))</f>
        <v/>
      </c>
      <c r="AH299" s="36">
        <f>IF('My investments'!$H$14="",0,IF('My investments'!$F299='My investments'!$H$14,'My investments'!$E299,0))</f>
        <v/>
      </c>
      <c r="AI299" s="36">
        <f>IF('My investments'!$H$15="",0,IF('My investments'!$F299='My investments'!$H$15,'My investments'!$E299,0))</f>
        <v/>
      </c>
      <c r="AK299" s="36">
        <f>IF('My investments'!$H$11="",0,IF('My investments'!$F299='My investments'!$H$11,$AA299,0))</f>
        <v/>
      </c>
      <c r="AL299" s="36">
        <f>IF('My investments'!$H$12="",0,IF('My investments'!$F299='My investments'!$H$12,$AA299,0))</f>
        <v/>
      </c>
      <c r="AM299" s="36">
        <f>IF('My investments'!$H$13="",0,IF('My investments'!$F299='My investments'!$H$13,$AA299,0))</f>
        <v/>
      </c>
      <c r="AN299" s="36">
        <f>IF('My investments'!$H$14="",0,IF('My investments'!$F299='My investments'!$H$14,$AA299,0))</f>
        <v/>
      </c>
      <c r="AO299" s="36">
        <f>IF('My investments'!$H$15="",0,IF('My investments'!$F299='My investments'!$H$15,$AA299,0))</f>
        <v/>
      </c>
    </row>
    <row r="300" ht="15" customHeight="1" s="30">
      <c r="A300" s="36">
        <f>IF('My investments'!$C300="Worth today",1,0)</f>
        <v/>
      </c>
      <c r="B300" s="36">
        <f>IF('My investments'!$C300="Money in",1,0)</f>
        <v/>
      </c>
      <c r="AA300" s="36">
        <f>IF('My investments'!$C300="Money in",'My investments'!$D300,0)</f>
        <v/>
      </c>
      <c r="AB300" s="36">
        <f>IF('My investments'!$C300="Money out",'My investments'!$D300,0)</f>
        <v/>
      </c>
      <c r="AC300" s="36">
        <f>IF('My investments'!$C300="Worth today",'My investments'!$D300,0)</f>
        <v/>
      </c>
      <c r="AE300" s="36">
        <f>IF('My investments'!$H$11="",0,IF('My investments'!$F300='My investments'!$H$11,'My investments'!$E300,0))</f>
        <v/>
      </c>
      <c r="AF300" s="36">
        <f>IF('My investments'!$H$12="",0,IF('My investments'!$F300='My investments'!$H$12,'My investments'!$E300,0))</f>
        <v/>
      </c>
      <c r="AG300" s="36">
        <f>IF('My investments'!$H$13="",0,IF('My investments'!$F300='My investments'!$H$13,'My investments'!$E300,0))</f>
        <v/>
      </c>
      <c r="AH300" s="36">
        <f>IF('My investments'!$H$14="",0,IF('My investments'!$F300='My investments'!$H$14,'My investments'!$E300,0))</f>
        <v/>
      </c>
      <c r="AI300" s="36">
        <f>IF('My investments'!$H$15="",0,IF('My investments'!$F300='My investments'!$H$15,'My investments'!$E300,0))</f>
        <v/>
      </c>
      <c r="AK300" s="36">
        <f>IF('My investments'!$H$11="",0,IF('My investments'!$F300='My investments'!$H$11,$AA300,0))</f>
        <v/>
      </c>
      <c r="AL300" s="36">
        <f>IF('My investments'!$H$12="",0,IF('My investments'!$F300='My investments'!$H$12,$AA300,0))</f>
        <v/>
      </c>
      <c r="AM300" s="36">
        <f>IF('My investments'!$H$13="",0,IF('My investments'!$F300='My investments'!$H$13,$AA300,0))</f>
        <v/>
      </c>
      <c r="AN300" s="36">
        <f>IF('My investments'!$H$14="",0,IF('My investments'!$F300='My investments'!$H$14,$AA300,0))</f>
        <v/>
      </c>
      <c r="AO300" s="36">
        <f>IF('My investments'!$H$15="",0,IF('My investments'!$F300='My investments'!$H$15,$AA300,0))</f>
        <v/>
      </c>
    </row>
    <row r="301" ht="15" customHeight="1" s="30">
      <c r="A301" s="36">
        <f>IF('My investments'!$C301="Worth today",1,0)</f>
        <v/>
      </c>
      <c r="B301" s="36">
        <f>IF('My investments'!$C301="Money in",1,0)</f>
        <v/>
      </c>
      <c r="AA301" s="36">
        <f>IF('My investments'!$C301="Money in",'My investments'!$D301,0)</f>
        <v/>
      </c>
      <c r="AB301" s="36">
        <f>IF('My investments'!$C301="Money out",'My investments'!$D301,0)</f>
        <v/>
      </c>
      <c r="AC301" s="36">
        <f>IF('My investments'!$C301="Worth today",'My investments'!$D301,0)</f>
        <v/>
      </c>
      <c r="AE301" s="36">
        <f>IF('My investments'!$H$11="",0,IF('My investments'!$F301='My investments'!$H$11,'My investments'!$E301,0))</f>
        <v/>
      </c>
      <c r="AF301" s="36">
        <f>IF('My investments'!$H$12="",0,IF('My investments'!$F301='My investments'!$H$12,'My investments'!$E301,0))</f>
        <v/>
      </c>
      <c r="AG301" s="36">
        <f>IF('My investments'!$H$13="",0,IF('My investments'!$F301='My investments'!$H$13,'My investments'!$E301,0))</f>
        <v/>
      </c>
      <c r="AH301" s="36">
        <f>IF('My investments'!$H$14="",0,IF('My investments'!$F301='My investments'!$H$14,'My investments'!$E301,0))</f>
        <v/>
      </c>
      <c r="AI301" s="36">
        <f>IF('My investments'!$H$15="",0,IF('My investments'!$F301='My investments'!$H$15,'My investments'!$E301,0))</f>
        <v/>
      </c>
      <c r="AK301" s="36">
        <f>IF('My investments'!$H$11="",0,IF('My investments'!$F301='My investments'!$H$11,$AA301,0))</f>
        <v/>
      </c>
      <c r="AL301" s="36">
        <f>IF('My investments'!$H$12="",0,IF('My investments'!$F301='My investments'!$H$12,$AA301,0))</f>
        <v/>
      </c>
      <c r="AM301" s="36">
        <f>IF('My investments'!$H$13="",0,IF('My investments'!$F301='My investments'!$H$13,$AA301,0))</f>
        <v/>
      </c>
      <c r="AN301" s="36">
        <f>IF('My investments'!$H$14="",0,IF('My investments'!$F301='My investments'!$H$14,$AA301,0))</f>
        <v/>
      </c>
      <c r="AO301" s="36">
        <f>IF('My investments'!$H$15="",0,IF('My investments'!$F301='My investments'!$H$15,$AA301,0))</f>
        <v/>
      </c>
    </row>
    <row r="302" ht="15" customHeight="1" s="30">
      <c r="A302" s="36">
        <f>IF('My investments'!$C302="Worth today",1,0)</f>
        <v/>
      </c>
      <c r="B302" s="36">
        <f>IF('My investments'!$C302="Money in",1,0)</f>
        <v/>
      </c>
      <c r="AA302" s="36">
        <f>IF('My investments'!$C302="Money in",'My investments'!$D302,0)</f>
        <v/>
      </c>
      <c r="AB302" s="36">
        <f>IF('My investments'!$C302="Money out",'My investments'!$D302,0)</f>
        <v/>
      </c>
      <c r="AC302" s="36">
        <f>IF('My investments'!$C302="Worth today",'My investments'!$D302,0)</f>
        <v/>
      </c>
      <c r="AE302" s="36">
        <f>IF('My investments'!$H$11="",0,IF('My investments'!$F302='My investments'!$H$11,'My investments'!$E302,0))</f>
        <v/>
      </c>
      <c r="AF302" s="36">
        <f>IF('My investments'!$H$12="",0,IF('My investments'!$F302='My investments'!$H$12,'My investments'!$E302,0))</f>
        <v/>
      </c>
      <c r="AG302" s="36">
        <f>IF('My investments'!$H$13="",0,IF('My investments'!$F302='My investments'!$H$13,'My investments'!$E302,0))</f>
        <v/>
      </c>
      <c r="AH302" s="36">
        <f>IF('My investments'!$H$14="",0,IF('My investments'!$F302='My investments'!$H$14,'My investments'!$E302,0))</f>
        <v/>
      </c>
      <c r="AI302" s="36">
        <f>IF('My investments'!$H$15="",0,IF('My investments'!$F302='My investments'!$H$15,'My investments'!$E302,0))</f>
        <v/>
      </c>
      <c r="AK302" s="36">
        <f>IF('My investments'!$H$11="",0,IF('My investments'!$F302='My investments'!$H$11,$AA302,0))</f>
        <v/>
      </c>
      <c r="AL302" s="36">
        <f>IF('My investments'!$H$12="",0,IF('My investments'!$F302='My investments'!$H$12,$AA302,0))</f>
        <v/>
      </c>
      <c r="AM302" s="36">
        <f>IF('My investments'!$H$13="",0,IF('My investments'!$F302='My investments'!$H$13,$AA302,0))</f>
        <v/>
      </c>
      <c r="AN302" s="36">
        <f>IF('My investments'!$H$14="",0,IF('My investments'!$F302='My investments'!$H$14,$AA302,0))</f>
        <v/>
      </c>
      <c r="AO302" s="36">
        <f>IF('My investments'!$H$15="",0,IF('My investments'!$F302='My investments'!$H$15,$AA302,0))</f>
        <v/>
      </c>
    </row>
    <row r="303" ht="15" customHeight="1" s="30">
      <c r="A303" s="36">
        <f>IF('My investments'!$C303="Worth today",1,0)</f>
        <v/>
      </c>
      <c r="B303" s="36">
        <f>IF('My investments'!$C303="Money in",1,0)</f>
        <v/>
      </c>
      <c r="AA303" s="36">
        <f>IF('My investments'!$C303="Money in",'My investments'!$D303,0)</f>
        <v/>
      </c>
      <c r="AB303" s="36">
        <f>IF('My investments'!$C303="Money out",'My investments'!$D303,0)</f>
        <v/>
      </c>
      <c r="AC303" s="36">
        <f>IF('My investments'!$C303="Worth today",'My investments'!$D303,0)</f>
        <v/>
      </c>
      <c r="AE303" s="36">
        <f>IF('My investments'!$H$11="",0,IF('My investments'!$F303='My investments'!$H$11,'My investments'!$E303,0))</f>
        <v/>
      </c>
      <c r="AF303" s="36">
        <f>IF('My investments'!$H$12="",0,IF('My investments'!$F303='My investments'!$H$12,'My investments'!$E303,0))</f>
        <v/>
      </c>
      <c r="AG303" s="36">
        <f>IF('My investments'!$H$13="",0,IF('My investments'!$F303='My investments'!$H$13,'My investments'!$E303,0))</f>
        <v/>
      </c>
      <c r="AH303" s="36">
        <f>IF('My investments'!$H$14="",0,IF('My investments'!$F303='My investments'!$H$14,'My investments'!$E303,0))</f>
        <v/>
      </c>
      <c r="AI303" s="36">
        <f>IF('My investments'!$H$15="",0,IF('My investments'!$F303='My investments'!$H$15,'My investments'!$E303,0))</f>
        <v/>
      </c>
      <c r="AK303" s="36">
        <f>IF('My investments'!$H$11="",0,IF('My investments'!$F303='My investments'!$H$11,$AA303,0))</f>
        <v/>
      </c>
      <c r="AL303" s="36">
        <f>IF('My investments'!$H$12="",0,IF('My investments'!$F303='My investments'!$H$12,$AA303,0))</f>
        <v/>
      </c>
      <c r="AM303" s="36">
        <f>IF('My investments'!$H$13="",0,IF('My investments'!$F303='My investments'!$H$13,$AA303,0))</f>
        <v/>
      </c>
      <c r="AN303" s="36">
        <f>IF('My investments'!$H$14="",0,IF('My investments'!$F303='My investments'!$H$14,$AA303,0))</f>
        <v/>
      </c>
      <c r="AO303" s="36">
        <f>IF('My investments'!$H$15="",0,IF('My investments'!$F303='My investments'!$H$15,$AA303,0))</f>
        <v/>
      </c>
    </row>
    <row r="304" ht="15" customHeight="1" s="30">
      <c r="A304" s="36">
        <f>IF('My investments'!$C304="Worth today",1,0)</f>
        <v/>
      </c>
      <c r="B304" s="36">
        <f>IF('My investments'!$C304="Money in",1,0)</f>
        <v/>
      </c>
      <c r="AA304" s="36">
        <f>IF('My investments'!$C304="Money in",'My investments'!$D304,0)</f>
        <v/>
      </c>
      <c r="AB304" s="36">
        <f>IF('My investments'!$C304="Money out",'My investments'!$D304,0)</f>
        <v/>
      </c>
      <c r="AC304" s="36">
        <f>IF('My investments'!$C304="Worth today",'My investments'!$D304,0)</f>
        <v/>
      </c>
      <c r="AE304" s="36">
        <f>IF('My investments'!$H$11="",0,IF('My investments'!$F304='My investments'!$H$11,'My investments'!$E304,0))</f>
        <v/>
      </c>
      <c r="AF304" s="36">
        <f>IF('My investments'!$H$12="",0,IF('My investments'!$F304='My investments'!$H$12,'My investments'!$E304,0))</f>
        <v/>
      </c>
      <c r="AG304" s="36">
        <f>IF('My investments'!$H$13="",0,IF('My investments'!$F304='My investments'!$H$13,'My investments'!$E304,0))</f>
        <v/>
      </c>
      <c r="AH304" s="36">
        <f>IF('My investments'!$H$14="",0,IF('My investments'!$F304='My investments'!$H$14,'My investments'!$E304,0))</f>
        <v/>
      </c>
      <c r="AI304" s="36">
        <f>IF('My investments'!$H$15="",0,IF('My investments'!$F304='My investments'!$H$15,'My investments'!$E304,0))</f>
        <v/>
      </c>
      <c r="AK304" s="36">
        <f>IF('My investments'!$H$11="",0,IF('My investments'!$F304='My investments'!$H$11,$AA304,0))</f>
        <v/>
      </c>
      <c r="AL304" s="36">
        <f>IF('My investments'!$H$12="",0,IF('My investments'!$F304='My investments'!$H$12,$AA304,0))</f>
        <v/>
      </c>
      <c r="AM304" s="36">
        <f>IF('My investments'!$H$13="",0,IF('My investments'!$F304='My investments'!$H$13,$AA304,0))</f>
        <v/>
      </c>
      <c r="AN304" s="36">
        <f>IF('My investments'!$H$14="",0,IF('My investments'!$F304='My investments'!$H$14,$AA304,0))</f>
        <v/>
      </c>
      <c r="AO304" s="36">
        <f>IF('My investments'!$H$15="",0,IF('My investments'!$F304='My investments'!$H$15,$AA304,0))</f>
        <v/>
      </c>
    </row>
    <row r="305" ht="15" customHeight="1" s="30">
      <c r="A305" s="36">
        <f>IF('My investments'!$C305="Worth today",1,0)</f>
        <v/>
      </c>
      <c r="B305" s="36">
        <f>IF('My investments'!$C305="Money in",1,0)</f>
        <v/>
      </c>
      <c r="AA305" s="36">
        <f>IF('My investments'!$C305="Money in",'My investments'!$D305,0)</f>
        <v/>
      </c>
      <c r="AB305" s="36">
        <f>IF('My investments'!$C305="Money out",'My investments'!$D305,0)</f>
        <v/>
      </c>
      <c r="AC305" s="36">
        <f>IF('My investments'!$C305="Worth today",'My investments'!$D305,0)</f>
        <v/>
      </c>
      <c r="AE305" s="36">
        <f>IF('My investments'!$H$11="",0,IF('My investments'!$F305='My investments'!$H$11,'My investments'!$E305,0))</f>
        <v/>
      </c>
      <c r="AF305" s="36">
        <f>IF('My investments'!$H$12="",0,IF('My investments'!$F305='My investments'!$H$12,'My investments'!$E305,0))</f>
        <v/>
      </c>
      <c r="AG305" s="36">
        <f>IF('My investments'!$H$13="",0,IF('My investments'!$F305='My investments'!$H$13,'My investments'!$E305,0))</f>
        <v/>
      </c>
      <c r="AH305" s="36">
        <f>IF('My investments'!$H$14="",0,IF('My investments'!$F305='My investments'!$H$14,'My investments'!$E305,0))</f>
        <v/>
      </c>
      <c r="AI305" s="36">
        <f>IF('My investments'!$H$15="",0,IF('My investments'!$F305='My investments'!$H$15,'My investments'!$E305,0))</f>
        <v/>
      </c>
      <c r="AK305" s="36">
        <f>IF('My investments'!$H$11="",0,IF('My investments'!$F305='My investments'!$H$11,$AA305,0))</f>
        <v/>
      </c>
      <c r="AL305" s="36">
        <f>IF('My investments'!$H$12="",0,IF('My investments'!$F305='My investments'!$H$12,$AA305,0))</f>
        <v/>
      </c>
      <c r="AM305" s="36">
        <f>IF('My investments'!$H$13="",0,IF('My investments'!$F305='My investments'!$H$13,$AA305,0))</f>
        <v/>
      </c>
      <c r="AN305" s="36">
        <f>IF('My investments'!$H$14="",0,IF('My investments'!$F305='My investments'!$H$14,$AA305,0))</f>
        <v/>
      </c>
      <c r="AO305" s="36">
        <f>IF('My investments'!$H$15="",0,IF('My investments'!$F305='My investments'!$H$15,$AA305,0))</f>
        <v/>
      </c>
    </row>
    <row r="306" ht="15" customHeight="1" s="30">
      <c r="A306" s="36">
        <f>IF('My investments'!$C306="Worth today",1,0)</f>
        <v/>
      </c>
      <c r="B306" s="36">
        <f>IF('My investments'!$C306="Money in",1,0)</f>
        <v/>
      </c>
      <c r="AA306" s="36">
        <f>IF('My investments'!$C306="Money in",'My investments'!$D306,0)</f>
        <v/>
      </c>
      <c r="AB306" s="36">
        <f>IF('My investments'!$C306="Money out",'My investments'!$D306,0)</f>
        <v/>
      </c>
      <c r="AC306" s="36">
        <f>IF('My investments'!$C306="Worth today",'My investments'!$D306,0)</f>
        <v/>
      </c>
      <c r="AE306" s="36">
        <f>IF('My investments'!$H$11="",0,IF('My investments'!$F306='My investments'!$H$11,'My investments'!$E306,0))</f>
        <v/>
      </c>
      <c r="AF306" s="36">
        <f>IF('My investments'!$H$12="",0,IF('My investments'!$F306='My investments'!$H$12,'My investments'!$E306,0))</f>
        <v/>
      </c>
      <c r="AG306" s="36">
        <f>IF('My investments'!$H$13="",0,IF('My investments'!$F306='My investments'!$H$13,'My investments'!$E306,0))</f>
        <v/>
      </c>
      <c r="AH306" s="36">
        <f>IF('My investments'!$H$14="",0,IF('My investments'!$F306='My investments'!$H$14,'My investments'!$E306,0))</f>
        <v/>
      </c>
      <c r="AI306" s="36">
        <f>IF('My investments'!$H$15="",0,IF('My investments'!$F306='My investments'!$H$15,'My investments'!$E306,0))</f>
        <v/>
      </c>
      <c r="AK306" s="36">
        <f>IF('My investments'!$H$11="",0,IF('My investments'!$F306='My investments'!$H$11,$AA306,0))</f>
        <v/>
      </c>
      <c r="AL306" s="36">
        <f>IF('My investments'!$H$12="",0,IF('My investments'!$F306='My investments'!$H$12,$AA306,0))</f>
        <v/>
      </c>
      <c r="AM306" s="36">
        <f>IF('My investments'!$H$13="",0,IF('My investments'!$F306='My investments'!$H$13,$AA306,0))</f>
        <v/>
      </c>
      <c r="AN306" s="36">
        <f>IF('My investments'!$H$14="",0,IF('My investments'!$F306='My investments'!$H$14,$AA306,0))</f>
        <v/>
      </c>
      <c r="AO306" s="36">
        <f>IF('My investments'!$H$15="",0,IF('My investments'!$F306='My investments'!$H$15,$AA306,0))</f>
        <v/>
      </c>
    </row>
    <row r="307" ht="15" customHeight="1" s="30">
      <c r="A307" s="36">
        <f>IF('My investments'!$C307="Worth today",1,0)</f>
        <v/>
      </c>
      <c r="B307" s="36">
        <f>IF('My investments'!$C307="Money in",1,0)</f>
        <v/>
      </c>
      <c r="AA307" s="36">
        <f>IF('My investments'!$C307="Money in",'My investments'!$D307,0)</f>
        <v/>
      </c>
      <c r="AB307" s="36">
        <f>IF('My investments'!$C307="Money out",'My investments'!$D307,0)</f>
        <v/>
      </c>
      <c r="AC307" s="36">
        <f>IF('My investments'!$C307="Worth today",'My investments'!$D307,0)</f>
        <v/>
      </c>
      <c r="AE307" s="36">
        <f>IF('My investments'!$H$11="",0,IF('My investments'!$F307='My investments'!$H$11,'My investments'!$E307,0))</f>
        <v/>
      </c>
      <c r="AF307" s="36">
        <f>IF('My investments'!$H$12="",0,IF('My investments'!$F307='My investments'!$H$12,'My investments'!$E307,0))</f>
        <v/>
      </c>
      <c r="AG307" s="36">
        <f>IF('My investments'!$H$13="",0,IF('My investments'!$F307='My investments'!$H$13,'My investments'!$E307,0))</f>
        <v/>
      </c>
      <c r="AH307" s="36">
        <f>IF('My investments'!$H$14="",0,IF('My investments'!$F307='My investments'!$H$14,'My investments'!$E307,0))</f>
        <v/>
      </c>
      <c r="AI307" s="36">
        <f>IF('My investments'!$H$15="",0,IF('My investments'!$F307='My investments'!$H$15,'My investments'!$E307,0))</f>
        <v/>
      </c>
      <c r="AK307" s="36">
        <f>IF('My investments'!$H$11="",0,IF('My investments'!$F307='My investments'!$H$11,$AA307,0))</f>
        <v/>
      </c>
      <c r="AL307" s="36">
        <f>IF('My investments'!$H$12="",0,IF('My investments'!$F307='My investments'!$H$12,$AA307,0))</f>
        <v/>
      </c>
      <c r="AM307" s="36">
        <f>IF('My investments'!$H$13="",0,IF('My investments'!$F307='My investments'!$H$13,$AA307,0))</f>
        <v/>
      </c>
      <c r="AN307" s="36">
        <f>IF('My investments'!$H$14="",0,IF('My investments'!$F307='My investments'!$H$14,$AA307,0))</f>
        <v/>
      </c>
      <c r="AO307" s="36">
        <f>IF('My investments'!$H$15="",0,IF('My investments'!$F307='My investments'!$H$15,$AA307,0))</f>
        <v/>
      </c>
    </row>
    <row r="308" ht="15" customHeight="1" s="30">
      <c r="A308" s="36">
        <f>IF('My investments'!$C308="Worth today",1,0)</f>
        <v/>
      </c>
      <c r="B308" s="36">
        <f>IF('My investments'!$C308="Money in",1,0)</f>
        <v/>
      </c>
      <c r="AA308" s="36">
        <f>IF('My investments'!$C308="Money in",'My investments'!$D308,0)</f>
        <v/>
      </c>
      <c r="AB308" s="36">
        <f>IF('My investments'!$C308="Money out",'My investments'!$D308,0)</f>
        <v/>
      </c>
      <c r="AC308" s="36">
        <f>IF('My investments'!$C308="Worth today",'My investments'!$D308,0)</f>
        <v/>
      </c>
      <c r="AE308" s="36">
        <f>IF('My investments'!$H$11="",0,IF('My investments'!$F308='My investments'!$H$11,'My investments'!$E308,0))</f>
        <v/>
      </c>
      <c r="AF308" s="36">
        <f>IF('My investments'!$H$12="",0,IF('My investments'!$F308='My investments'!$H$12,'My investments'!$E308,0))</f>
        <v/>
      </c>
      <c r="AG308" s="36">
        <f>IF('My investments'!$H$13="",0,IF('My investments'!$F308='My investments'!$H$13,'My investments'!$E308,0))</f>
        <v/>
      </c>
      <c r="AH308" s="36">
        <f>IF('My investments'!$H$14="",0,IF('My investments'!$F308='My investments'!$H$14,'My investments'!$E308,0))</f>
        <v/>
      </c>
      <c r="AI308" s="36">
        <f>IF('My investments'!$H$15="",0,IF('My investments'!$F308='My investments'!$H$15,'My investments'!$E308,0))</f>
        <v/>
      </c>
      <c r="AK308" s="36">
        <f>IF('My investments'!$H$11="",0,IF('My investments'!$F308='My investments'!$H$11,$AA308,0))</f>
        <v/>
      </c>
      <c r="AL308" s="36">
        <f>IF('My investments'!$H$12="",0,IF('My investments'!$F308='My investments'!$H$12,$AA308,0))</f>
        <v/>
      </c>
      <c r="AM308" s="36">
        <f>IF('My investments'!$H$13="",0,IF('My investments'!$F308='My investments'!$H$13,$AA308,0))</f>
        <v/>
      </c>
      <c r="AN308" s="36">
        <f>IF('My investments'!$H$14="",0,IF('My investments'!$F308='My investments'!$H$14,$AA308,0))</f>
        <v/>
      </c>
      <c r="AO308" s="36">
        <f>IF('My investments'!$H$15="",0,IF('My investments'!$F308='My investments'!$H$15,$AA308,0))</f>
        <v/>
      </c>
    </row>
    <row r="309" ht="15" customHeight="1" s="30">
      <c r="A309" s="36">
        <f>IF('My investments'!$C309="Worth today",1,0)</f>
        <v/>
      </c>
      <c r="B309" s="36">
        <f>IF('My investments'!$C309="Money in",1,0)</f>
        <v/>
      </c>
      <c r="AA309" s="36">
        <f>IF('My investments'!$C309="Money in",'My investments'!$D309,0)</f>
        <v/>
      </c>
      <c r="AB309" s="36">
        <f>IF('My investments'!$C309="Money out",'My investments'!$D309,0)</f>
        <v/>
      </c>
      <c r="AC309" s="36">
        <f>IF('My investments'!$C309="Worth today",'My investments'!$D309,0)</f>
        <v/>
      </c>
      <c r="AE309" s="36">
        <f>IF('My investments'!$H$11="",0,IF('My investments'!$F309='My investments'!$H$11,'My investments'!$E309,0))</f>
        <v/>
      </c>
      <c r="AF309" s="36">
        <f>IF('My investments'!$H$12="",0,IF('My investments'!$F309='My investments'!$H$12,'My investments'!$E309,0))</f>
        <v/>
      </c>
      <c r="AG309" s="36">
        <f>IF('My investments'!$H$13="",0,IF('My investments'!$F309='My investments'!$H$13,'My investments'!$E309,0))</f>
        <v/>
      </c>
      <c r="AH309" s="36">
        <f>IF('My investments'!$H$14="",0,IF('My investments'!$F309='My investments'!$H$14,'My investments'!$E309,0))</f>
        <v/>
      </c>
      <c r="AI309" s="36">
        <f>IF('My investments'!$H$15="",0,IF('My investments'!$F309='My investments'!$H$15,'My investments'!$E309,0))</f>
        <v/>
      </c>
      <c r="AK309" s="36">
        <f>IF('My investments'!$H$11="",0,IF('My investments'!$F309='My investments'!$H$11,$AA309,0))</f>
        <v/>
      </c>
      <c r="AL309" s="36">
        <f>IF('My investments'!$H$12="",0,IF('My investments'!$F309='My investments'!$H$12,$AA309,0))</f>
        <v/>
      </c>
      <c r="AM309" s="36">
        <f>IF('My investments'!$H$13="",0,IF('My investments'!$F309='My investments'!$H$13,$AA309,0))</f>
        <v/>
      </c>
      <c r="AN309" s="36">
        <f>IF('My investments'!$H$14="",0,IF('My investments'!$F309='My investments'!$H$14,$AA309,0))</f>
        <v/>
      </c>
      <c r="AO309" s="36">
        <f>IF('My investments'!$H$15="",0,IF('My investments'!$F309='My investments'!$H$15,$AA309,0))</f>
        <v/>
      </c>
    </row>
    <row r="310" ht="15" customHeight="1" s="30">
      <c r="A310" s="36">
        <f>IF('My investments'!$C310="Worth today",1,0)</f>
        <v/>
      </c>
      <c r="B310" s="36">
        <f>IF('My investments'!$C310="Money in",1,0)</f>
        <v/>
      </c>
      <c r="AA310" s="36">
        <f>IF('My investments'!$C310="Money in",'My investments'!$D310,0)</f>
        <v/>
      </c>
      <c r="AB310" s="36">
        <f>IF('My investments'!$C310="Money out",'My investments'!$D310,0)</f>
        <v/>
      </c>
      <c r="AC310" s="36">
        <f>IF('My investments'!$C310="Worth today",'My investments'!$D310,0)</f>
        <v/>
      </c>
      <c r="AE310" s="36">
        <f>IF('My investments'!$H$11="",0,IF('My investments'!$F310='My investments'!$H$11,'My investments'!$E310,0))</f>
        <v/>
      </c>
      <c r="AF310" s="36">
        <f>IF('My investments'!$H$12="",0,IF('My investments'!$F310='My investments'!$H$12,'My investments'!$E310,0))</f>
        <v/>
      </c>
      <c r="AG310" s="36">
        <f>IF('My investments'!$H$13="",0,IF('My investments'!$F310='My investments'!$H$13,'My investments'!$E310,0))</f>
        <v/>
      </c>
      <c r="AH310" s="36">
        <f>IF('My investments'!$H$14="",0,IF('My investments'!$F310='My investments'!$H$14,'My investments'!$E310,0))</f>
        <v/>
      </c>
      <c r="AI310" s="36">
        <f>IF('My investments'!$H$15="",0,IF('My investments'!$F310='My investments'!$H$15,'My investments'!$E310,0))</f>
        <v/>
      </c>
      <c r="AK310" s="36">
        <f>IF('My investments'!$H$11="",0,IF('My investments'!$F310='My investments'!$H$11,$AA310,0))</f>
        <v/>
      </c>
      <c r="AL310" s="36">
        <f>IF('My investments'!$H$12="",0,IF('My investments'!$F310='My investments'!$H$12,$AA310,0))</f>
        <v/>
      </c>
      <c r="AM310" s="36">
        <f>IF('My investments'!$H$13="",0,IF('My investments'!$F310='My investments'!$H$13,$AA310,0))</f>
        <v/>
      </c>
      <c r="AN310" s="36">
        <f>IF('My investments'!$H$14="",0,IF('My investments'!$F310='My investments'!$H$14,$AA310,0))</f>
        <v/>
      </c>
      <c r="AO310" s="36">
        <f>IF('My investments'!$H$15="",0,IF('My investments'!$F310='My investments'!$H$15,$AA310,0))</f>
        <v/>
      </c>
    </row>
    <row r="311" ht="15" customHeight="1" s="30">
      <c r="A311" s="36">
        <f>IF('My investments'!$C311="Worth today",1,0)</f>
        <v/>
      </c>
      <c r="B311" s="36">
        <f>IF('My investments'!$C311="Money in",1,0)</f>
        <v/>
      </c>
      <c r="AA311" s="36">
        <f>IF('My investments'!$C311="Money in",'My investments'!$D311,0)</f>
        <v/>
      </c>
      <c r="AB311" s="36">
        <f>IF('My investments'!$C311="Money out",'My investments'!$D311,0)</f>
        <v/>
      </c>
      <c r="AC311" s="36">
        <f>IF('My investments'!$C311="Worth today",'My investments'!$D311,0)</f>
        <v/>
      </c>
      <c r="AE311" s="36">
        <f>IF('My investments'!$H$11="",0,IF('My investments'!$F311='My investments'!$H$11,'My investments'!$E311,0))</f>
        <v/>
      </c>
      <c r="AF311" s="36">
        <f>IF('My investments'!$H$12="",0,IF('My investments'!$F311='My investments'!$H$12,'My investments'!$E311,0))</f>
        <v/>
      </c>
      <c r="AG311" s="36">
        <f>IF('My investments'!$H$13="",0,IF('My investments'!$F311='My investments'!$H$13,'My investments'!$E311,0))</f>
        <v/>
      </c>
      <c r="AH311" s="36">
        <f>IF('My investments'!$H$14="",0,IF('My investments'!$F311='My investments'!$H$14,'My investments'!$E311,0))</f>
        <v/>
      </c>
      <c r="AI311" s="36">
        <f>IF('My investments'!$H$15="",0,IF('My investments'!$F311='My investments'!$H$15,'My investments'!$E311,0))</f>
        <v/>
      </c>
      <c r="AK311" s="36">
        <f>IF('My investments'!$H$11="",0,IF('My investments'!$F311='My investments'!$H$11,$AA311,0))</f>
        <v/>
      </c>
      <c r="AL311" s="36">
        <f>IF('My investments'!$H$12="",0,IF('My investments'!$F311='My investments'!$H$12,$AA311,0))</f>
        <v/>
      </c>
      <c r="AM311" s="36">
        <f>IF('My investments'!$H$13="",0,IF('My investments'!$F311='My investments'!$H$13,$AA311,0))</f>
        <v/>
      </c>
      <c r="AN311" s="36">
        <f>IF('My investments'!$H$14="",0,IF('My investments'!$F311='My investments'!$H$14,$AA311,0))</f>
        <v/>
      </c>
      <c r="AO311" s="36">
        <f>IF('My investments'!$H$15="",0,IF('My investments'!$F311='My investments'!$H$15,$AA311,0))</f>
        <v/>
      </c>
    </row>
    <row r="312" ht="15" customHeight="1" s="30">
      <c r="A312" s="36">
        <f>IF('My investments'!$C312="Worth today",1,0)</f>
        <v/>
      </c>
      <c r="B312" s="36">
        <f>IF('My investments'!$C312="Money in",1,0)</f>
        <v/>
      </c>
      <c r="AA312" s="36">
        <f>IF('My investments'!$C312="Money in",'My investments'!$D312,0)</f>
        <v/>
      </c>
      <c r="AB312" s="36">
        <f>IF('My investments'!$C312="Money out",'My investments'!$D312,0)</f>
        <v/>
      </c>
      <c r="AC312" s="36">
        <f>IF('My investments'!$C312="Worth today",'My investments'!$D312,0)</f>
        <v/>
      </c>
      <c r="AE312" s="36">
        <f>IF('My investments'!$H$11="",0,IF('My investments'!$F312='My investments'!$H$11,'My investments'!$E312,0))</f>
        <v/>
      </c>
      <c r="AF312" s="36">
        <f>IF('My investments'!$H$12="",0,IF('My investments'!$F312='My investments'!$H$12,'My investments'!$E312,0))</f>
        <v/>
      </c>
      <c r="AG312" s="36">
        <f>IF('My investments'!$H$13="",0,IF('My investments'!$F312='My investments'!$H$13,'My investments'!$E312,0))</f>
        <v/>
      </c>
      <c r="AH312" s="36">
        <f>IF('My investments'!$H$14="",0,IF('My investments'!$F312='My investments'!$H$14,'My investments'!$E312,0))</f>
        <v/>
      </c>
      <c r="AI312" s="36">
        <f>IF('My investments'!$H$15="",0,IF('My investments'!$F312='My investments'!$H$15,'My investments'!$E312,0))</f>
        <v/>
      </c>
      <c r="AK312" s="36">
        <f>IF('My investments'!$H$11="",0,IF('My investments'!$F312='My investments'!$H$11,$AA312,0))</f>
        <v/>
      </c>
      <c r="AL312" s="36">
        <f>IF('My investments'!$H$12="",0,IF('My investments'!$F312='My investments'!$H$12,$AA312,0))</f>
        <v/>
      </c>
      <c r="AM312" s="36">
        <f>IF('My investments'!$H$13="",0,IF('My investments'!$F312='My investments'!$H$13,$AA312,0))</f>
        <v/>
      </c>
      <c r="AN312" s="36">
        <f>IF('My investments'!$H$14="",0,IF('My investments'!$F312='My investments'!$H$14,$AA312,0))</f>
        <v/>
      </c>
      <c r="AO312" s="36">
        <f>IF('My investments'!$H$15="",0,IF('My investments'!$F312='My investments'!$H$15,$AA312,0))</f>
        <v/>
      </c>
    </row>
    <row r="313" ht="15" customHeight="1" s="30">
      <c r="A313" s="36">
        <f>IF('My investments'!$C313="Worth today",1,0)</f>
        <v/>
      </c>
      <c r="B313" s="36">
        <f>IF('My investments'!$C313="Money in",1,0)</f>
        <v/>
      </c>
      <c r="AA313" s="36">
        <f>IF('My investments'!$C313="Money in",'My investments'!$D313,0)</f>
        <v/>
      </c>
      <c r="AB313" s="36">
        <f>IF('My investments'!$C313="Money out",'My investments'!$D313,0)</f>
        <v/>
      </c>
      <c r="AC313" s="36">
        <f>IF('My investments'!$C313="Worth today",'My investments'!$D313,0)</f>
        <v/>
      </c>
      <c r="AE313" s="36">
        <f>IF('My investments'!$H$11="",0,IF('My investments'!$F313='My investments'!$H$11,'My investments'!$E313,0))</f>
        <v/>
      </c>
      <c r="AF313" s="36">
        <f>IF('My investments'!$H$12="",0,IF('My investments'!$F313='My investments'!$H$12,'My investments'!$E313,0))</f>
        <v/>
      </c>
      <c r="AG313" s="36">
        <f>IF('My investments'!$H$13="",0,IF('My investments'!$F313='My investments'!$H$13,'My investments'!$E313,0))</f>
        <v/>
      </c>
      <c r="AH313" s="36">
        <f>IF('My investments'!$H$14="",0,IF('My investments'!$F313='My investments'!$H$14,'My investments'!$E313,0))</f>
        <v/>
      </c>
      <c r="AI313" s="36">
        <f>IF('My investments'!$H$15="",0,IF('My investments'!$F313='My investments'!$H$15,'My investments'!$E313,0))</f>
        <v/>
      </c>
      <c r="AK313" s="36">
        <f>IF('My investments'!$H$11="",0,IF('My investments'!$F313='My investments'!$H$11,$AA313,0))</f>
        <v/>
      </c>
      <c r="AL313" s="36">
        <f>IF('My investments'!$H$12="",0,IF('My investments'!$F313='My investments'!$H$12,$AA313,0))</f>
        <v/>
      </c>
      <c r="AM313" s="36">
        <f>IF('My investments'!$H$13="",0,IF('My investments'!$F313='My investments'!$H$13,$AA313,0))</f>
        <v/>
      </c>
      <c r="AN313" s="36">
        <f>IF('My investments'!$H$14="",0,IF('My investments'!$F313='My investments'!$H$14,$AA313,0))</f>
        <v/>
      </c>
      <c r="AO313" s="36">
        <f>IF('My investments'!$H$15="",0,IF('My investments'!$F313='My investments'!$H$15,$AA313,0))</f>
        <v/>
      </c>
    </row>
    <row r="314" ht="15" customHeight="1" s="30">
      <c r="A314" s="36">
        <f>IF('My investments'!$C314="Worth today",1,0)</f>
        <v/>
      </c>
      <c r="B314" s="36">
        <f>IF('My investments'!$C314="Money in",1,0)</f>
        <v/>
      </c>
      <c r="AA314" s="36">
        <f>IF('My investments'!$C314="Money in",'My investments'!$D314,0)</f>
        <v/>
      </c>
      <c r="AB314" s="36">
        <f>IF('My investments'!$C314="Money out",'My investments'!$D314,0)</f>
        <v/>
      </c>
      <c r="AC314" s="36">
        <f>IF('My investments'!$C314="Worth today",'My investments'!$D314,0)</f>
        <v/>
      </c>
      <c r="AE314" s="36">
        <f>IF('My investments'!$H$11="",0,IF('My investments'!$F314='My investments'!$H$11,'My investments'!$E314,0))</f>
        <v/>
      </c>
      <c r="AF314" s="36">
        <f>IF('My investments'!$H$12="",0,IF('My investments'!$F314='My investments'!$H$12,'My investments'!$E314,0))</f>
        <v/>
      </c>
      <c r="AG314" s="36">
        <f>IF('My investments'!$H$13="",0,IF('My investments'!$F314='My investments'!$H$13,'My investments'!$E314,0))</f>
        <v/>
      </c>
      <c r="AH314" s="36">
        <f>IF('My investments'!$H$14="",0,IF('My investments'!$F314='My investments'!$H$14,'My investments'!$E314,0))</f>
        <v/>
      </c>
      <c r="AI314" s="36">
        <f>IF('My investments'!$H$15="",0,IF('My investments'!$F314='My investments'!$H$15,'My investments'!$E314,0))</f>
        <v/>
      </c>
      <c r="AK314" s="36">
        <f>IF('My investments'!$H$11="",0,IF('My investments'!$F314='My investments'!$H$11,$AA314,0))</f>
        <v/>
      </c>
      <c r="AL314" s="36">
        <f>IF('My investments'!$H$12="",0,IF('My investments'!$F314='My investments'!$H$12,$AA314,0))</f>
        <v/>
      </c>
      <c r="AM314" s="36">
        <f>IF('My investments'!$H$13="",0,IF('My investments'!$F314='My investments'!$H$13,$AA314,0))</f>
        <v/>
      </c>
      <c r="AN314" s="36">
        <f>IF('My investments'!$H$14="",0,IF('My investments'!$F314='My investments'!$H$14,$AA314,0))</f>
        <v/>
      </c>
      <c r="AO314" s="36">
        <f>IF('My investments'!$H$15="",0,IF('My investments'!$F314='My investments'!$H$15,$AA314,0))</f>
        <v/>
      </c>
    </row>
    <row r="315" ht="15" customHeight="1" s="30">
      <c r="A315" s="36">
        <f>IF('My investments'!$C315="Worth today",1,0)</f>
        <v/>
      </c>
      <c r="B315" s="36">
        <f>IF('My investments'!$C315="Money in",1,0)</f>
        <v/>
      </c>
      <c r="AA315" s="36">
        <f>IF('My investments'!$C315="Money in",'My investments'!$D315,0)</f>
        <v/>
      </c>
      <c r="AB315" s="36">
        <f>IF('My investments'!$C315="Money out",'My investments'!$D315,0)</f>
        <v/>
      </c>
      <c r="AC315" s="36">
        <f>IF('My investments'!$C315="Worth today",'My investments'!$D315,0)</f>
        <v/>
      </c>
      <c r="AE315" s="36">
        <f>IF('My investments'!$H$11="",0,IF('My investments'!$F315='My investments'!$H$11,'My investments'!$E315,0))</f>
        <v/>
      </c>
      <c r="AF315" s="36">
        <f>IF('My investments'!$H$12="",0,IF('My investments'!$F315='My investments'!$H$12,'My investments'!$E315,0))</f>
        <v/>
      </c>
      <c r="AG315" s="36">
        <f>IF('My investments'!$H$13="",0,IF('My investments'!$F315='My investments'!$H$13,'My investments'!$E315,0))</f>
        <v/>
      </c>
      <c r="AH315" s="36">
        <f>IF('My investments'!$H$14="",0,IF('My investments'!$F315='My investments'!$H$14,'My investments'!$E315,0))</f>
        <v/>
      </c>
      <c r="AI315" s="36">
        <f>IF('My investments'!$H$15="",0,IF('My investments'!$F315='My investments'!$H$15,'My investments'!$E315,0))</f>
        <v/>
      </c>
      <c r="AK315" s="36">
        <f>IF('My investments'!$H$11="",0,IF('My investments'!$F315='My investments'!$H$11,$AA315,0))</f>
        <v/>
      </c>
      <c r="AL315" s="36">
        <f>IF('My investments'!$H$12="",0,IF('My investments'!$F315='My investments'!$H$12,$AA315,0))</f>
        <v/>
      </c>
      <c r="AM315" s="36">
        <f>IF('My investments'!$H$13="",0,IF('My investments'!$F315='My investments'!$H$13,$AA315,0))</f>
        <v/>
      </c>
      <c r="AN315" s="36">
        <f>IF('My investments'!$H$14="",0,IF('My investments'!$F315='My investments'!$H$14,$AA315,0))</f>
        <v/>
      </c>
      <c r="AO315" s="36">
        <f>IF('My investments'!$H$15="",0,IF('My investments'!$F315='My investments'!$H$15,$AA315,0))</f>
        <v/>
      </c>
    </row>
    <row r="316" ht="15" customHeight="1" s="30">
      <c r="A316" s="36">
        <f>IF('My investments'!$C316="Worth today",1,0)</f>
        <v/>
      </c>
      <c r="B316" s="36">
        <f>IF('My investments'!$C316="Money in",1,0)</f>
        <v/>
      </c>
      <c r="AA316" s="36">
        <f>IF('My investments'!$C316="Money in",'My investments'!$D316,0)</f>
        <v/>
      </c>
      <c r="AB316" s="36">
        <f>IF('My investments'!$C316="Money out",'My investments'!$D316,0)</f>
        <v/>
      </c>
      <c r="AC316" s="36">
        <f>IF('My investments'!$C316="Worth today",'My investments'!$D316,0)</f>
        <v/>
      </c>
      <c r="AE316" s="36">
        <f>IF('My investments'!$H$11="",0,IF('My investments'!$F316='My investments'!$H$11,'My investments'!$E316,0))</f>
        <v/>
      </c>
      <c r="AF316" s="36">
        <f>IF('My investments'!$H$12="",0,IF('My investments'!$F316='My investments'!$H$12,'My investments'!$E316,0))</f>
        <v/>
      </c>
      <c r="AG316" s="36">
        <f>IF('My investments'!$H$13="",0,IF('My investments'!$F316='My investments'!$H$13,'My investments'!$E316,0))</f>
        <v/>
      </c>
      <c r="AH316" s="36">
        <f>IF('My investments'!$H$14="",0,IF('My investments'!$F316='My investments'!$H$14,'My investments'!$E316,0))</f>
        <v/>
      </c>
      <c r="AI316" s="36">
        <f>IF('My investments'!$H$15="",0,IF('My investments'!$F316='My investments'!$H$15,'My investments'!$E316,0))</f>
        <v/>
      </c>
      <c r="AK316" s="36">
        <f>IF('My investments'!$H$11="",0,IF('My investments'!$F316='My investments'!$H$11,$AA316,0))</f>
        <v/>
      </c>
      <c r="AL316" s="36">
        <f>IF('My investments'!$H$12="",0,IF('My investments'!$F316='My investments'!$H$12,$AA316,0))</f>
        <v/>
      </c>
      <c r="AM316" s="36">
        <f>IF('My investments'!$H$13="",0,IF('My investments'!$F316='My investments'!$H$13,$AA316,0))</f>
        <v/>
      </c>
      <c r="AN316" s="36">
        <f>IF('My investments'!$H$14="",0,IF('My investments'!$F316='My investments'!$H$14,$AA316,0))</f>
        <v/>
      </c>
      <c r="AO316" s="36">
        <f>IF('My investments'!$H$15="",0,IF('My investments'!$F316='My investments'!$H$15,$AA316,0))</f>
        <v/>
      </c>
    </row>
    <row r="317" ht="15" customHeight="1" s="30">
      <c r="A317" s="36">
        <f>IF('My investments'!$C317="Worth today",1,0)</f>
        <v/>
      </c>
      <c r="B317" s="36">
        <f>IF('My investments'!$C317="Money in",1,0)</f>
        <v/>
      </c>
      <c r="AA317" s="36">
        <f>IF('My investments'!$C317="Money in",'My investments'!$D317,0)</f>
        <v/>
      </c>
      <c r="AB317" s="36">
        <f>IF('My investments'!$C317="Money out",'My investments'!$D317,0)</f>
        <v/>
      </c>
      <c r="AC317" s="36">
        <f>IF('My investments'!$C317="Worth today",'My investments'!$D317,0)</f>
        <v/>
      </c>
      <c r="AE317" s="36">
        <f>IF('My investments'!$H$11="",0,IF('My investments'!$F317='My investments'!$H$11,'My investments'!$E317,0))</f>
        <v/>
      </c>
      <c r="AF317" s="36">
        <f>IF('My investments'!$H$12="",0,IF('My investments'!$F317='My investments'!$H$12,'My investments'!$E317,0))</f>
        <v/>
      </c>
      <c r="AG317" s="36">
        <f>IF('My investments'!$H$13="",0,IF('My investments'!$F317='My investments'!$H$13,'My investments'!$E317,0))</f>
        <v/>
      </c>
      <c r="AH317" s="36">
        <f>IF('My investments'!$H$14="",0,IF('My investments'!$F317='My investments'!$H$14,'My investments'!$E317,0))</f>
        <v/>
      </c>
      <c r="AI317" s="36">
        <f>IF('My investments'!$H$15="",0,IF('My investments'!$F317='My investments'!$H$15,'My investments'!$E317,0))</f>
        <v/>
      </c>
      <c r="AK317" s="36">
        <f>IF('My investments'!$H$11="",0,IF('My investments'!$F317='My investments'!$H$11,$AA317,0))</f>
        <v/>
      </c>
      <c r="AL317" s="36">
        <f>IF('My investments'!$H$12="",0,IF('My investments'!$F317='My investments'!$H$12,$AA317,0))</f>
        <v/>
      </c>
      <c r="AM317" s="36">
        <f>IF('My investments'!$H$13="",0,IF('My investments'!$F317='My investments'!$H$13,$AA317,0))</f>
        <v/>
      </c>
      <c r="AN317" s="36">
        <f>IF('My investments'!$H$14="",0,IF('My investments'!$F317='My investments'!$H$14,$AA317,0))</f>
        <v/>
      </c>
      <c r="AO317" s="36">
        <f>IF('My investments'!$H$15="",0,IF('My investments'!$F317='My investments'!$H$15,$AA317,0))</f>
        <v/>
      </c>
    </row>
    <row r="318" ht="15" customHeight="1" s="30">
      <c r="A318" s="36">
        <f>IF('My investments'!$C318="Worth today",1,0)</f>
        <v/>
      </c>
      <c r="B318" s="36">
        <f>IF('My investments'!$C318="Money in",1,0)</f>
        <v/>
      </c>
      <c r="AA318" s="36">
        <f>IF('My investments'!$C318="Money in",'My investments'!$D318,0)</f>
        <v/>
      </c>
      <c r="AB318" s="36">
        <f>IF('My investments'!$C318="Money out",'My investments'!$D318,0)</f>
        <v/>
      </c>
      <c r="AC318" s="36">
        <f>IF('My investments'!$C318="Worth today",'My investments'!$D318,0)</f>
        <v/>
      </c>
      <c r="AE318" s="36">
        <f>IF('My investments'!$H$11="",0,IF('My investments'!$F318='My investments'!$H$11,'My investments'!$E318,0))</f>
        <v/>
      </c>
      <c r="AF318" s="36">
        <f>IF('My investments'!$H$12="",0,IF('My investments'!$F318='My investments'!$H$12,'My investments'!$E318,0))</f>
        <v/>
      </c>
      <c r="AG318" s="36">
        <f>IF('My investments'!$H$13="",0,IF('My investments'!$F318='My investments'!$H$13,'My investments'!$E318,0))</f>
        <v/>
      </c>
      <c r="AH318" s="36">
        <f>IF('My investments'!$H$14="",0,IF('My investments'!$F318='My investments'!$H$14,'My investments'!$E318,0))</f>
        <v/>
      </c>
      <c r="AI318" s="36">
        <f>IF('My investments'!$H$15="",0,IF('My investments'!$F318='My investments'!$H$15,'My investments'!$E318,0))</f>
        <v/>
      </c>
      <c r="AK318" s="36">
        <f>IF('My investments'!$H$11="",0,IF('My investments'!$F318='My investments'!$H$11,$AA318,0))</f>
        <v/>
      </c>
      <c r="AL318" s="36">
        <f>IF('My investments'!$H$12="",0,IF('My investments'!$F318='My investments'!$H$12,$AA318,0))</f>
        <v/>
      </c>
      <c r="AM318" s="36">
        <f>IF('My investments'!$H$13="",0,IF('My investments'!$F318='My investments'!$H$13,$AA318,0))</f>
        <v/>
      </c>
      <c r="AN318" s="36">
        <f>IF('My investments'!$H$14="",0,IF('My investments'!$F318='My investments'!$H$14,$AA318,0))</f>
        <v/>
      </c>
      <c r="AO318" s="36">
        <f>IF('My investments'!$H$15="",0,IF('My investments'!$F318='My investments'!$H$15,$AA318,0))</f>
        <v/>
      </c>
    </row>
    <row r="319" ht="15" customHeight="1" s="30">
      <c r="A319" s="36">
        <f>IF('My investments'!$C319="Worth today",1,0)</f>
        <v/>
      </c>
      <c r="B319" s="36">
        <f>IF('My investments'!$C319="Money in",1,0)</f>
        <v/>
      </c>
      <c r="AA319" s="36">
        <f>IF('My investments'!$C319="Money in",'My investments'!$D319,0)</f>
        <v/>
      </c>
      <c r="AB319" s="36">
        <f>IF('My investments'!$C319="Money out",'My investments'!$D319,0)</f>
        <v/>
      </c>
      <c r="AC319" s="36">
        <f>IF('My investments'!$C319="Worth today",'My investments'!$D319,0)</f>
        <v/>
      </c>
      <c r="AE319" s="36">
        <f>IF('My investments'!$H$11="",0,IF('My investments'!$F319='My investments'!$H$11,'My investments'!$E319,0))</f>
        <v/>
      </c>
      <c r="AF319" s="36">
        <f>IF('My investments'!$H$12="",0,IF('My investments'!$F319='My investments'!$H$12,'My investments'!$E319,0))</f>
        <v/>
      </c>
      <c r="AG319" s="36">
        <f>IF('My investments'!$H$13="",0,IF('My investments'!$F319='My investments'!$H$13,'My investments'!$E319,0))</f>
        <v/>
      </c>
      <c r="AH319" s="36">
        <f>IF('My investments'!$H$14="",0,IF('My investments'!$F319='My investments'!$H$14,'My investments'!$E319,0))</f>
        <v/>
      </c>
      <c r="AI319" s="36">
        <f>IF('My investments'!$H$15="",0,IF('My investments'!$F319='My investments'!$H$15,'My investments'!$E319,0))</f>
        <v/>
      </c>
      <c r="AK319" s="36">
        <f>IF('My investments'!$H$11="",0,IF('My investments'!$F319='My investments'!$H$11,$AA319,0))</f>
        <v/>
      </c>
      <c r="AL319" s="36">
        <f>IF('My investments'!$H$12="",0,IF('My investments'!$F319='My investments'!$H$12,$AA319,0))</f>
        <v/>
      </c>
      <c r="AM319" s="36">
        <f>IF('My investments'!$H$13="",0,IF('My investments'!$F319='My investments'!$H$13,$AA319,0))</f>
        <v/>
      </c>
      <c r="AN319" s="36">
        <f>IF('My investments'!$H$14="",0,IF('My investments'!$F319='My investments'!$H$14,$AA319,0))</f>
        <v/>
      </c>
      <c r="AO319" s="36">
        <f>IF('My investments'!$H$15="",0,IF('My investments'!$F319='My investments'!$H$15,$AA319,0))</f>
        <v/>
      </c>
    </row>
    <row r="320" ht="15" customHeight="1" s="30">
      <c r="A320" s="36">
        <f>IF('My investments'!$C320="Worth today",1,0)</f>
        <v/>
      </c>
      <c r="B320" s="36">
        <f>IF('My investments'!$C320="Money in",1,0)</f>
        <v/>
      </c>
      <c r="AA320" s="36">
        <f>IF('My investments'!$C320="Money in",'My investments'!$D320,0)</f>
        <v/>
      </c>
      <c r="AB320" s="36">
        <f>IF('My investments'!$C320="Money out",'My investments'!$D320,0)</f>
        <v/>
      </c>
      <c r="AC320" s="36">
        <f>IF('My investments'!$C320="Worth today",'My investments'!$D320,0)</f>
        <v/>
      </c>
      <c r="AE320" s="36">
        <f>IF('My investments'!$H$11="",0,IF('My investments'!$F320='My investments'!$H$11,'My investments'!$E320,0))</f>
        <v/>
      </c>
      <c r="AF320" s="36">
        <f>IF('My investments'!$H$12="",0,IF('My investments'!$F320='My investments'!$H$12,'My investments'!$E320,0))</f>
        <v/>
      </c>
      <c r="AG320" s="36">
        <f>IF('My investments'!$H$13="",0,IF('My investments'!$F320='My investments'!$H$13,'My investments'!$E320,0))</f>
        <v/>
      </c>
      <c r="AH320" s="36">
        <f>IF('My investments'!$H$14="",0,IF('My investments'!$F320='My investments'!$H$14,'My investments'!$E320,0))</f>
        <v/>
      </c>
      <c r="AI320" s="36">
        <f>IF('My investments'!$H$15="",0,IF('My investments'!$F320='My investments'!$H$15,'My investments'!$E320,0))</f>
        <v/>
      </c>
      <c r="AK320" s="36">
        <f>IF('My investments'!$H$11="",0,IF('My investments'!$F320='My investments'!$H$11,$AA320,0))</f>
        <v/>
      </c>
      <c r="AL320" s="36">
        <f>IF('My investments'!$H$12="",0,IF('My investments'!$F320='My investments'!$H$12,$AA320,0))</f>
        <v/>
      </c>
      <c r="AM320" s="36">
        <f>IF('My investments'!$H$13="",0,IF('My investments'!$F320='My investments'!$H$13,$AA320,0))</f>
        <v/>
      </c>
      <c r="AN320" s="36">
        <f>IF('My investments'!$H$14="",0,IF('My investments'!$F320='My investments'!$H$14,$AA320,0))</f>
        <v/>
      </c>
      <c r="AO320" s="36">
        <f>IF('My investments'!$H$15="",0,IF('My investments'!$F320='My investments'!$H$15,$AA320,0))</f>
        <v/>
      </c>
    </row>
    <row r="321" ht="15" customHeight="1" s="30">
      <c r="A321" s="36">
        <f>IF('My investments'!$C321="Worth today",1,0)</f>
        <v/>
      </c>
      <c r="B321" s="36">
        <f>IF('My investments'!$C321="Money in",1,0)</f>
        <v/>
      </c>
      <c r="AA321" s="36">
        <f>IF('My investments'!$C321="Money in",'My investments'!$D321,0)</f>
        <v/>
      </c>
      <c r="AB321" s="36">
        <f>IF('My investments'!$C321="Money out",'My investments'!$D321,0)</f>
        <v/>
      </c>
      <c r="AC321" s="36">
        <f>IF('My investments'!$C321="Worth today",'My investments'!$D321,0)</f>
        <v/>
      </c>
      <c r="AE321" s="36">
        <f>IF('My investments'!$H$11="",0,IF('My investments'!$F321='My investments'!$H$11,'My investments'!$E321,0))</f>
        <v/>
      </c>
      <c r="AF321" s="36">
        <f>IF('My investments'!$H$12="",0,IF('My investments'!$F321='My investments'!$H$12,'My investments'!$E321,0))</f>
        <v/>
      </c>
      <c r="AG321" s="36">
        <f>IF('My investments'!$H$13="",0,IF('My investments'!$F321='My investments'!$H$13,'My investments'!$E321,0))</f>
        <v/>
      </c>
      <c r="AH321" s="36">
        <f>IF('My investments'!$H$14="",0,IF('My investments'!$F321='My investments'!$H$14,'My investments'!$E321,0))</f>
        <v/>
      </c>
      <c r="AI321" s="36">
        <f>IF('My investments'!$H$15="",0,IF('My investments'!$F321='My investments'!$H$15,'My investments'!$E321,0))</f>
        <v/>
      </c>
      <c r="AK321" s="36">
        <f>IF('My investments'!$H$11="",0,IF('My investments'!$F321='My investments'!$H$11,$AA321,0))</f>
        <v/>
      </c>
      <c r="AL321" s="36">
        <f>IF('My investments'!$H$12="",0,IF('My investments'!$F321='My investments'!$H$12,$AA321,0))</f>
        <v/>
      </c>
      <c r="AM321" s="36">
        <f>IF('My investments'!$H$13="",0,IF('My investments'!$F321='My investments'!$H$13,$AA321,0))</f>
        <v/>
      </c>
      <c r="AN321" s="36">
        <f>IF('My investments'!$H$14="",0,IF('My investments'!$F321='My investments'!$H$14,$AA321,0))</f>
        <v/>
      </c>
      <c r="AO321" s="36">
        <f>IF('My investments'!$H$15="",0,IF('My investments'!$F321='My investments'!$H$15,$AA321,0))</f>
        <v/>
      </c>
    </row>
    <row r="322" ht="15" customHeight="1" s="30">
      <c r="A322" s="36">
        <f>IF('My investments'!$C322="Worth today",1,0)</f>
        <v/>
      </c>
      <c r="B322" s="36">
        <f>IF('My investments'!$C322="Money in",1,0)</f>
        <v/>
      </c>
      <c r="AA322" s="36">
        <f>IF('My investments'!$C322="Money in",'My investments'!$D322,0)</f>
        <v/>
      </c>
      <c r="AB322" s="36">
        <f>IF('My investments'!$C322="Money out",'My investments'!$D322,0)</f>
        <v/>
      </c>
      <c r="AC322" s="36">
        <f>IF('My investments'!$C322="Worth today",'My investments'!$D322,0)</f>
        <v/>
      </c>
      <c r="AE322" s="36">
        <f>IF('My investments'!$H$11="",0,IF('My investments'!$F322='My investments'!$H$11,'My investments'!$E322,0))</f>
        <v/>
      </c>
      <c r="AF322" s="36">
        <f>IF('My investments'!$H$12="",0,IF('My investments'!$F322='My investments'!$H$12,'My investments'!$E322,0))</f>
        <v/>
      </c>
      <c r="AG322" s="36">
        <f>IF('My investments'!$H$13="",0,IF('My investments'!$F322='My investments'!$H$13,'My investments'!$E322,0))</f>
        <v/>
      </c>
      <c r="AH322" s="36">
        <f>IF('My investments'!$H$14="",0,IF('My investments'!$F322='My investments'!$H$14,'My investments'!$E322,0))</f>
        <v/>
      </c>
      <c r="AI322" s="36">
        <f>IF('My investments'!$H$15="",0,IF('My investments'!$F322='My investments'!$H$15,'My investments'!$E322,0))</f>
        <v/>
      </c>
      <c r="AK322" s="36">
        <f>IF('My investments'!$H$11="",0,IF('My investments'!$F322='My investments'!$H$11,$AA322,0))</f>
        <v/>
      </c>
      <c r="AL322" s="36">
        <f>IF('My investments'!$H$12="",0,IF('My investments'!$F322='My investments'!$H$12,$AA322,0))</f>
        <v/>
      </c>
      <c r="AM322" s="36">
        <f>IF('My investments'!$H$13="",0,IF('My investments'!$F322='My investments'!$H$13,$AA322,0))</f>
        <v/>
      </c>
      <c r="AN322" s="36">
        <f>IF('My investments'!$H$14="",0,IF('My investments'!$F322='My investments'!$H$14,$AA322,0))</f>
        <v/>
      </c>
      <c r="AO322" s="36">
        <f>IF('My investments'!$H$15="",0,IF('My investments'!$F322='My investments'!$H$15,$AA322,0))</f>
        <v/>
      </c>
    </row>
    <row r="323" ht="15" customHeight="1" s="30">
      <c r="A323" s="36">
        <f>IF('My investments'!$C323="Worth today",1,0)</f>
        <v/>
      </c>
      <c r="B323" s="36">
        <f>IF('My investments'!$C323="Money in",1,0)</f>
        <v/>
      </c>
      <c r="AA323" s="36">
        <f>IF('My investments'!$C323="Money in",'My investments'!$D323,0)</f>
        <v/>
      </c>
      <c r="AB323" s="36">
        <f>IF('My investments'!$C323="Money out",'My investments'!$D323,0)</f>
        <v/>
      </c>
      <c r="AC323" s="36">
        <f>IF('My investments'!$C323="Worth today",'My investments'!$D323,0)</f>
        <v/>
      </c>
      <c r="AE323" s="36">
        <f>IF('My investments'!$H$11="",0,IF('My investments'!$F323='My investments'!$H$11,'My investments'!$E323,0))</f>
        <v/>
      </c>
      <c r="AF323" s="36">
        <f>IF('My investments'!$H$12="",0,IF('My investments'!$F323='My investments'!$H$12,'My investments'!$E323,0))</f>
        <v/>
      </c>
      <c r="AG323" s="36">
        <f>IF('My investments'!$H$13="",0,IF('My investments'!$F323='My investments'!$H$13,'My investments'!$E323,0))</f>
        <v/>
      </c>
      <c r="AH323" s="36">
        <f>IF('My investments'!$H$14="",0,IF('My investments'!$F323='My investments'!$H$14,'My investments'!$E323,0))</f>
        <v/>
      </c>
      <c r="AI323" s="36">
        <f>IF('My investments'!$H$15="",0,IF('My investments'!$F323='My investments'!$H$15,'My investments'!$E323,0))</f>
        <v/>
      </c>
      <c r="AK323" s="36">
        <f>IF('My investments'!$H$11="",0,IF('My investments'!$F323='My investments'!$H$11,$AA323,0))</f>
        <v/>
      </c>
      <c r="AL323" s="36">
        <f>IF('My investments'!$H$12="",0,IF('My investments'!$F323='My investments'!$H$12,$AA323,0))</f>
        <v/>
      </c>
      <c r="AM323" s="36">
        <f>IF('My investments'!$H$13="",0,IF('My investments'!$F323='My investments'!$H$13,$AA323,0))</f>
        <v/>
      </c>
      <c r="AN323" s="36">
        <f>IF('My investments'!$H$14="",0,IF('My investments'!$F323='My investments'!$H$14,$AA323,0))</f>
        <v/>
      </c>
      <c r="AO323" s="36">
        <f>IF('My investments'!$H$15="",0,IF('My investments'!$F323='My investments'!$H$15,$AA323,0))</f>
        <v/>
      </c>
    </row>
    <row r="324" ht="15" customHeight="1" s="30">
      <c r="A324" s="36">
        <f>IF('My investments'!$C324="Worth today",1,0)</f>
        <v/>
      </c>
      <c r="B324" s="36">
        <f>IF('My investments'!$C324="Money in",1,0)</f>
        <v/>
      </c>
      <c r="AA324" s="36">
        <f>IF('My investments'!$C324="Money in",'My investments'!$D324,0)</f>
        <v/>
      </c>
      <c r="AB324" s="36">
        <f>IF('My investments'!$C324="Money out",'My investments'!$D324,0)</f>
        <v/>
      </c>
      <c r="AC324" s="36">
        <f>IF('My investments'!$C324="Worth today",'My investments'!$D324,0)</f>
        <v/>
      </c>
      <c r="AE324" s="36">
        <f>IF('My investments'!$H$11="",0,IF('My investments'!$F324='My investments'!$H$11,'My investments'!$E324,0))</f>
        <v/>
      </c>
      <c r="AF324" s="36">
        <f>IF('My investments'!$H$12="",0,IF('My investments'!$F324='My investments'!$H$12,'My investments'!$E324,0))</f>
        <v/>
      </c>
      <c r="AG324" s="36">
        <f>IF('My investments'!$H$13="",0,IF('My investments'!$F324='My investments'!$H$13,'My investments'!$E324,0))</f>
        <v/>
      </c>
      <c r="AH324" s="36">
        <f>IF('My investments'!$H$14="",0,IF('My investments'!$F324='My investments'!$H$14,'My investments'!$E324,0))</f>
        <v/>
      </c>
      <c r="AI324" s="36">
        <f>IF('My investments'!$H$15="",0,IF('My investments'!$F324='My investments'!$H$15,'My investments'!$E324,0))</f>
        <v/>
      </c>
      <c r="AK324" s="36">
        <f>IF('My investments'!$H$11="",0,IF('My investments'!$F324='My investments'!$H$11,$AA324,0))</f>
        <v/>
      </c>
      <c r="AL324" s="36">
        <f>IF('My investments'!$H$12="",0,IF('My investments'!$F324='My investments'!$H$12,$AA324,0))</f>
        <v/>
      </c>
      <c r="AM324" s="36">
        <f>IF('My investments'!$H$13="",0,IF('My investments'!$F324='My investments'!$H$13,$AA324,0))</f>
        <v/>
      </c>
      <c r="AN324" s="36">
        <f>IF('My investments'!$H$14="",0,IF('My investments'!$F324='My investments'!$H$14,$AA324,0))</f>
        <v/>
      </c>
      <c r="AO324" s="36">
        <f>IF('My investments'!$H$15="",0,IF('My investments'!$F324='My investments'!$H$15,$AA324,0))</f>
        <v/>
      </c>
    </row>
    <row r="325" ht="15" customHeight="1" s="30">
      <c r="A325" s="36">
        <f>IF('My investments'!$C325="Worth today",1,0)</f>
        <v/>
      </c>
      <c r="B325" s="36">
        <f>IF('My investments'!$C325="Money in",1,0)</f>
        <v/>
      </c>
      <c r="AA325" s="36">
        <f>IF('My investments'!$C325="Money in",'My investments'!$D325,0)</f>
        <v/>
      </c>
      <c r="AB325" s="36">
        <f>IF('My investments'!$C325="Money out",'My investments'!$D325,0)</f>
        <v/>
      </c>
      <c r="AC325" s="36">
        <f>IF('My investments'!$C325="Worth today",'My investments'!$D325,0)</f>
        <v/>
      </c>
      <c r="AE325" s="36">
        <f>IF('My investments'!$H$11="",0,IF('My investments'!$F325='My investments'!$H$11,'My investments'!$E325,0))</f>
        <v/>
      </c>
      <c r="AF325" s="36">
        <f>IF('My investments'!$H$12="",0,IF('My investments'!$F325='My investments'!$H$12,'My investments'!$E325,0))</f>
        <v/>
      </c>
      <c r="AG325" s="36">
        <f>IF('My investments'!$H$13="",0,IF('My investments'!$F325='My investments'!$H$13,'My investments'!$E325,0))</f>
        <v/>
      </c>
      <c r="AH325" s="36">
        <f>IF('My investments'!$H$14="",0,IF('My investments'!$F325='My investments'!$H$14,'My investments'!$E325,0))</f>
        <v/>
      </c>
      <c r="AI325" s="36">
        <f>IF('My investments'!$H$15="",0,IF('My investments'!$F325='My investments'!$H$15,'My investments'!$E325,0))</f>
        <v/>
      </c>
      <c r="AK325" s="36">
        <f>IF('My investments'!$H$11="",0,IF('My investments'!$F325='My investments'!$H$11,$AA325,0))</f>
        <v/>
      </c>
      <c r="AL325" s="36">
        <f>IF('My investments'!$H$12="",0,IF('My investments'!$F325='My investments'!$H$12,$AA325,0))</f>
        <v/>
      </c>
      <c r="AM325" s="36">
        <f>IF('My investments'!$H$13="",0,IF('My investments'!$F325='My investments'!$H$13,$AA325,0))</f>
        <v/>
      </c>
      <c r="AN325" s="36">
        <f>IF('My investments'!$H$14="",0,IF('My investments'!$F325='My investments'!$H$14,$AA325,0))</f>
        <v/>
      </c>
      <c r="AO325" s="36">
        <f>IF('My investments'!$H$15="",0,IF('My investments'!$F325='My investments'!$H$15,$AA325,0))</f>
        <v/>
      </c>
    </row>
    <row r="326" ht="15" customHeight="1" s="30">
      <c r="A326" s="36">
        <f>IF('My investments'!$C326="Worth today",1,0)</f>
        <v/>
      </c>
      <c r="B326" s="36">
        <f>IF('My investments'!$C326="Money in",1,0)</f>
        <v/>
      </c>
      <c r="AA326" s="36">
        <f>IF('My investments'!$C326="Money in",'My investments'!$D326,0)</f>
        <v/>
      </c>
      <c r="AB326" s="36">
        <f>IF('My investments'!$C326="Money out",'My investments'!$D326,0)</f>
        <v/>
      </c>
      <c r="AC326" s="36">
        <f>IF('My investments'!$C326="Worth today",'My investments'!$D326,0)</f>
        <v/>
      </c>
      <c r="AE326" s="36">
        <f>IF('My investments'!$H$11="",0,IF('My investments'!$F326='My investments'!$H$11,'My investments'!$E326,0))</f>
        <v/>
      </c>
      <c r="AF326" s="36">
        <f>IF('My investments'!$H$12="",0,IF('My investments'!$F326='My investments'!$H$12,'My investments'!$E326,0))</f>
        <v/>
      </c>
      <c r="AG326" s="36">
        <f>IF('My investments'!$H$13="",0,IF('My investments'!$F326='My investments'!$H$13,'My investments'!$E326,0))</f>
        <v/>
      </c>
      <c r="AH326" s="36">
        <f>IF('My investments'!$H$14="",0,IF('My investments'!$F326='My investments'!$H$14,'My investments'!$E326,0))</f>
        <v/>
      </c>
      <c r="AI326" s="36">
        <f>IF('My investments'!$H$15="",0,IF('My investments'!$F326='My investments'!$H$15,'My investments'!$E326,0))</f>
        <v/>
      </c>
      <c r="AK326" s="36">
        <f>IF('My investments'!$H$11="",0,IF('My investments'!$F326='My investments'!$H$11,$AA326,0))</f>
        <v/>
      </c>
      <c r="AL326" s="36">
        <f>IF('My investments'!$H$12="",0,IF('My investments'!$F326='My investments'!$H$12,$AA326,0))</f>
        <v/>
      </c>
      <c r="AM326" s="36">
        <f>IF('My investments'!$H$13="",0,IF('My investments'!$F326='My investments'!$H$13,$AA326,0))</f>
        <v/>
      </c>
      <c r="AN326" s="36">
        <f>IF('My investments'!$H$14="",0,IF('My investments'!$F326='My investments'!$H$14,$AA326,0))</f>
        <v/>
      </c>
      <c r="AO326" s="36">
        <f>IF('My investments'!$H$15="",0,IF('My investments'!$F326='My investments'!$H$15,$AA326,0))</f>
        <v/>
      </c>
    </row>
    <row r="327" ht="15" customHeight="1" s="30">
      <c r="A327" s="36">
        <f>IF('My investments'!$C327="Worth today",1,0)</f>
        <v/>
      </c>
      <c r="B327" s="36">
        <f>IF('My investments'!$C327="Money in",1,0)</f>
        <v/>
      </c>
      <c r="AA327" s="36">
        <f>IF('My investments'!$C327="Money in",'My investments'!$D327,0)</f>
        <v/>
      </c>
      <c r="AB327" s="36">
        <f>IF('My investments'!$C327="Money out",'My investments'!$D327,0)</f>
        <v/>
      </c>
      <c r="AC327" s="36">
        <f>IF('My investments'!$C327="Worth today",'My investments'!$D327,0)</f>
        <v/>
      </c>
      <c r="AE327" s="36">
        <f>IF('My investments'!$H$11="",0,IF('My investments'!$F327='My investments'!$H$11,'My investments'!$E327,0))</f>
        <v/>
      </c>
      <c r="AF327" s="36">
        <f>IF('My investments'!$H$12="",0,IF('My investments'!$F327='My investments'!$H$12,'My investments'!$E327,0))</f>
        <v/>
      </c>
      <c r="AG327" s="36">
        <f>IF('My investments'!$H$13="",0,IF('My investments'!$F327='My investments'!$H$13,'My investments'!$E327,0))</f>
        <v/>
      </c>
      <c r="AH327" s="36">
        <f>IF('My investments'!$H$14="",0,IF('My investments'!$F327='My investments'!$H$14,'My investments'!$E327,0))</f>
        <v/>
      </c>
      <c r="AI327" s="36">
        <f>IF('My investments'!$H$15="",0,IF('My investments'!$F327='My investments'!$H$15,'My investments'!$E327,0))</f>
        <v/>
      </c>
      <c r="AK327" s="36">
        <f>IF('My investments'!$H$11="",0,IF('My investments'!$F327='My investments'!$H$11,$AA327,0))</f>
        <v/>
      </c>
      <c r="AL327" s="36">
        <f>IF('My investments'!$H$12="",0,IF('My investments'!$F327='My investments'!$H$12,$AA327,0))</f>
        <v/>
      </c>
      <c r="AM327" s="36">
        <f>IF('My investments'!$H$13="",0,IF('My investments'!$F327='My investments'!$H$13,$AA327,0))</f>
        <v/>
      </c>
      <c r="AN327" s="36">
        <f>IF('My investments'!$H$14="",0,IF('My investments'!$F327='My investments'!$H$14,$AA327,0))</f>
        <v/>
      </c>
      <c r="AO327" s="36">
        <f>IF('My investments'!$H$15="",0,IF('My investments'!$F327='My investments'!$H$15,$AA327,0))</f>
        <v/>
      </c>
    </row>
    <row r="328" ht="15" customHeight="1" s="30">
      <c r="A328" s="36">
        <f>IF('My investments'!$C328="Worth today",1,0)</f>
        <v/>
      </c>
      <c r="B328" s="36">
        <f>IF('My investments'!$C328="Money in",1,0)</f>
        <v/>
      </c>
      <c r="AA328" s="36">
        <f>IF('My investments'!$C328="Money in",'My investments'!$D328,0)</f>
        <v/>
      </c>
      <c r="AB328" s="36">
        <f>IF('My investments'!$C328="Money out",'My investments'!$D328,0)</f>
        <v/>
      </c>
      <c r="AC328" s="36">
        <f>IF('My investments'!$C328="Worth today",'My investments'!$D328,0)</f>
        <v/>
      </c>
      <c r="AE328" s="36">
        <f>IF('My investments'!$H$11="",0,IF('My investments'!$F328='My investments'!$H$11,'My investments'!$E328,0))</f>
        <v/>
      </c>
      <c r="AF328" s="36">
        <f>IF('My investments'!$H$12="",0,IF('My investments'!$F328='My investments'!$H$12,'My investments'!$E328,0))</f>
        <v/>
      </c>
      <c r="AG328" s="36">
        <f>IF('My investments'!$H$13="",0,IF('My investments'!$F328='My investments'!$H$13,'My investments'!$E328,0))</f>
        <v/>
      </c>
      <c r="AH328" s="36">
        <f>IF('My investments'!$H$14="",0,IF('My investments'!$F328='My investments'!$H$14,'My investments'!$E328,0))</f>
        <v/>
      </c>
      <c r="AI328" s="36">
        <f>IF('My investments'!$H$15="",0,IF('My investments'!$F328='My investments'!$H$15,'My investments'!$E328,0))</f>
        <v/>
      </c>
      <c r="AK328" s="36">
        <f>IF('My investments'!$H$11="",0,IF('My investments'!$F328='My investments'!$H$11,$AA328,0))</f>
        <v/>
      </c>
      <c r="AL328" s="36">
        <f>IF('My investments'!$H$12="",0,IF('My investments'!$F328='My investments'!$H$12,$AA328,0))</f>
        <v/>
      </c>
      <c r="AM328" s="36">
        <f>IF('My investments'!$H$13="",0,IF('My investments'!$F328='My investments'!$H$13,$AA328,0))</f>
        <v/>
      </c>
      <c r="AN328" s="36">
        <f>IF('My investments'!$H$14="",0,IF('My investments'!$F328='My investments'!$H$14,$AA328,0))</f>
        <v/>
      </c>
      <c r="AO328" s="36">
        <f>IF('My investments'!$H$15="",0,IF('My investments'!$F328='My investments'!$H$15,$AA328,0))</f>
        <v/>
      </c>
    </row>
    <row r="329" ht="15" customHeight="1" s="30">
      <c r="A329" s="36">
        <f>IF('My investments'!$C329="Worth today",1,0)</f>
        <v/>
      </c>
      <c r="B329" s="36">
        <f>IF('My investments'!$C329="Money in",1,0)</f>
        <v/>
      </c>
      <c r="AA329" s="36">
        <f>IF('My investments'!$C329="Money in",'My investments'!$D329,0)</f>
        <v/>
      </c>
      <c r="AB329" s="36">
        <f>IF('My investments'!$C329="Money out",'My investments'!$D329,0)</f>
        <v/>
      </c>
      <c r="AC329" s="36">
        <f>IF('My investments'!$C329="Worth today",'My investments'!$D329,0)</f>
        <v/>
      </c>
      <c r="AE329" s="36">
        <f>IF('My investments'!$H$11="",0,IF('My investments'!$F329='My investments'!$H$11,'My investments'!$E329,0))</f>
        <v/>
      </c>
      <c r="AF329" s="36">
        <f>IF('My investments'!$H$12="",0,IF('My investments'!$F329='My investments'!$H$12,'My investments'!$E329,0))</f>
        <v/>
      </c>
      <c r="AG329" s="36">
        <f>IF('My investments'!$H$13="",0,IF('My investments'!$F329='My investments'!$H$13,'My investments'!$E329,0))</f>
        <v/>
      </c>
      <c r="AH329" s="36">
        <f>IF('My investments'!$H$14="",0,IF('My investments'!$F329='My investments'!$H$14,'My investments'!$E329,0))</f>
        <v/>
      </c>
      <c r="AI329" s="36">
        <f>IF('My investments'!$H$15="",0,IF('My investments'!$F329='My investments'!$H$15,'My investments'!$E329,0))</f>
        <v/>
      </c>
      <c r="AK329" s="36">
        <f>IF('My investments'!$H$11="",0,IF('My investments'!$F329='My investments'!$H$11,$AA329,0))</f>
        <v/>
      </c>
      <c r="AL329" s="36">
        <f>IF('My investments'!$H$12="",0,IF('My investments'!$F329='My investments'!$H$12,$AA329,0))</f>
        <v/>
      </c>
      <c r="AM329" s="36">
        <f>IF('My investments'!$H$13="",0,IF('My investments'!$F329='My investments'!$H$13,$AA329,0))</f>
        <v/>
      </c>
      <c r="AN329" s="36">
        <f>IF('My investments'!$H$14="",0,IF('My investments'!$F329='My investments'!$H$14,$AA329,0))</f>
        <v/>
      </c>
      <c r="AO329" s="36">
        <f>IF('My investments'!$H$15="",0,IF('My investments'!$F329='My investments'!$H$15,$AA329,0))</f>
        <v/>
      </c>
    </row>
    <row r="330" ht="15" customHeight="1" s="30">
      <c r="A330" s="36">
        <f>IF('My investments'!$C330="Worth today",1,0)</f>
        <v/>
      </c>
      <c r="B330" s="36">
        <f>IF('My investments'!$C330="Money in",1,0)</f>
        <v/>
      </c>
      <c r="AA330" s="36">
        <f>IF('My investments'!$C330="Money in",'My investments'!$D330,0)</f>
        <v/>
      </c>
      <c r="AB330" s="36">
        <f>IF('My investments'!$C330="Money out",'My investments'!$D330,0)</f>
        <v/>
      </c>
      <c r="AC330" s="36">
        <f>IF('My investments'!$C330="Worth today",'My investments'!$D330,0)</f>
        <v/>
      </c>
      <c r="AE330" s="36">
        <f>IF('My investments'!$H$11="",0,IF('My investments'!$F330='My investments'!$H$11,'My investments'!$E330,0))</f>
        <v/>
      </c>
      <c r="AF330" s="36">
        <f>IF('My investments'!$H$12="",0,IF('My investments'!$F330='My investments'!$H$12,'My investments'!$E330,0))</f>
        <v/>
      </c>
      <c r="AG330" s="36">
        <f>IF('My investments'!$H$13="",0,IF('My investments'!$F330='My investments'!$H$13,'My investments'!$E330,0))</f>
        <v/>
      </c>
      <c r="AH330" s="36">
        <f>IF('My investments'!$H$14="",0,IF('My investments'!$F330='My investments'!$H$14,'My investments'!$E330,0))</f>
        <v/>
      </c>
      <c r="AI330" s="36">
        <f>IF('My investments'!$H$15="",0,IF('My investments'!$F330='My investments'!$H$15,'My investments'!$E330,0))</f>
        <v/>
      </c>
      <c r="AK330" s="36">
        <f>IF('My investments'!$H$11="",0,IF('My investments'!$F330='My investments'!$H$11,$AA330,0))</f>
        <v/>
      </c>
      <c r="AL330" s="36">
        <f>IF('My investments'!$H$12="",0,IF('My investments'!$F330='My investments'!$H$12,$AA330,0))</f>
        <v/>
      </c>
      <c r="AM330" s="36">
        <f>IF('My investments'!$H$13="",0,IF('My investments'!$F330='My investments'!$H$13,$AA330,0))</f>
        <v/>
      </c>
      <c r="AN330" s="36">
        <f>IF('My investments'!$H$14="",0,IF('My investments'!$F330='My investments'!$H$14,$AA330,0))</f>
        <v/>
      </c>
      <c r="AO330" s="36">
        <f>IF('My investments'!$H$15="",0,IF('My investments'!$F330='My investments'!$H$15,$AA330,0))</f>
        <v/>
      </c>
    </row>
    <row r="331" ht="15" customHeight="1" s="30">
      <c r="A331" s="36">
        <f>IF('My investments'!$C331="Worth today",1,0)</f>
        <v/>
      </c>
      <c r="B331" s="36">
        <f>IF('My investments'!$C331="Money in",1,0)</f>
        <v/>
      </c>
      <c r="AA331" s="36">
        <f>IF('My investments'!$C331="Money in",'My investments'!$D331,0)</f>
        <v/>
      </c>
      <c r="AB331" s="36">
        <f>IF('My investments'!$C331="Money out",'My investments'!$D331,0)</f>
        <v/>
      </c>
      <c r="AC331" s="36">
        <f>IF('My investments'!$C331="Worth today",'My investments'!$D331,0)</f>
        <v/>
      </c>
      <c r="AE331" s="36">
        <f>IF('My investments'!$H$11="",0,IF('My investments'!$F331='My investments'!$H$11,'My investments'!$E331,0))</f>
        <v/>
      </c>
      <c r="AF331" s="36">
        <f>IF('My investments'!$H$12="",0,IF('My investments'!$F331='My investments'!$H$12,'My investments'!$E331,0))</f>
        <v/>
      </c>
      <c r="AG331" s="36">
        <f>IF('My investments'!$H$13="",0,IF('My investments'!$F331='My investments'!$H$13,'My investments'!$E331,0))</f>
        <v/>
      </c>
      <c r="AH331" s="36">
        <f>IF('My investments'!$H$14="",0,IF('My investments'!$F331='My investments'!$H$14,'My investments'!$E331,0))</f>
        <v/>
      </c>
      <c r="AI331" s="36">
        <f>IF('My investments'!$H$15="",0,IF('My investments'!$F331='My investments'!$H$15,'My investments'!$E331,0))</f>
        <v/>
      </c>
      <c r="AK331" s="36">
        <f>IF('My investments'!$H$11="",0,IF('My investments'!$F331='My investments'!$H$11,$AA331,0))</f>
        <v/>
      </c>
      <c r="AL331" s="36">
        <f>IF('My investments'!$H$12="",0,IF('My investments'!$F331='My investments'!$H$12,$AA331,0))</f>
        <v/>
      </c>
      <c r="AM331" s="36">
        <f>IF('My investments'!$H$13="",0,IF('My investments'!$F331='My investments'!$H$13,$AA331,0))</f>
        <v/>
      </c>
      <c r="AN331" s="36">
        <f>IF('My investments'!$H$14="",0,IF('My investments'!$F331='My investments'!$H$14,$AA331,0))</f>
        <v/>
      </c>
      <c r="AO331" s="36">
        <f>IF('My investments'!$H$15="",0,IF('My investments'!$F331='My investments'!$H$15,$AA331,0))</f>
        <v/>
      </c>
    </row>
    <row r="332" ht="15" customHeight="1" s="30">
      <c r="A332" s="36">
        <f>IF('My investments'!$C332="Worth today",1,0)</f>
        <v/>
      </c>
      <c r="B332" s="36">
        <f>IF('My investments'!$C332="Money in",1,0)</f>
        <v/>
      </c>
      <c r="AA332" s="36">
        <f>IF('My investments'!$C332="Money in",'My investments'!$D332,0)</f>
        <v/>
      </c>
      <c r="AB332" s="36">
        <f>IF('My investments'!$C332="Money out",'My investments'!$D332,0)</f>
        <v/>
      </c>
      <c r="AC332" s="36">
        <f>IF('My investments'!$C332="Worth today",'My investments'!$D332,0)</f>
        <v/>
      </c>
      <c r="AE332" s="36">
        <f>IF('My investments'!$H$11="",0,IF('My investments'!$F332='My investments'!$H$11,'My investments'!$E332,0))</f>
        <v/>
      </c>
      <c r="AF332" s="36">
        <f>IF('My investments'!$H$12="",0,IF('My investments'!$F332='My investments'!$H$12,'My investments'!$E332,0))</f>
        <v/>
      </c>
      <c r="AG332" s="36">
        <f>IF('My investments'!$H$13="",0,IF('My investments'!$F332='My investments'!$H$13,'My investments'!$E332,0))</f>
        <v/>
      </c>
      <c r="AH332" s="36">
        <f>IF('My investments'!$H$14="",0,IF('My investments'!$F332='My investments'!$H$14,'My investments'!$E332,0))</f>
        <v/>
      </c>
      <c r="AI332" s="36">
        <f>IF('My investments'!$H$15="",0,IF('My investments'!$F332='My investments'!$H$15,'My investments'!$E332,0))</f>
        <v/>
      </c>
      <c r="AK332" s="36">
        <f>IF('My investments'!$H$11="",0,IF('My investments'!$F332='My investments'!$H$11,$AA332,0))</f>
        <v/>
      </c>
      <c r="AL332" s="36">
        <f>IF('My investments'!$H$12="",0,IF('My investments'!$F332='My investments'!$H$12,$AA332,0))</f>
        <v/>
      </c>
      <c r="AM332" s="36">
        <f>IF('My investments'!$H$13="",0,IF('My investments'!$F332='My investments'!$H$13,$AA332,0))</f>
        <v/>
      </c>
      <c r="AN332" s="36">
        <f>IF('My investments'!$H$14="",0,IF('My investments'!$F332='My investments'!$H$14,$AA332,0))</f>
        <v/>
      </c>
      <c r="AO332" s="36">
        <f>IF('My investments'!$H$15="",0,IF('My investments'!$F332='My investments'!$H$15,$AA332,0))</f>
        <v/>
      </c>
    </row>
    <row r="333" ht="15" customHeight="1" s="30">
      <c r="A333" s="36">
        <f>IF('My investments'!$C333="Worth today",1,0)</f>
        <v/>
      </c>
      <c r="B333" s="36">
        <f>IF('My investments'!$C333="Money in",1,0)</f>
        <v/>
      </c>
      <c r="AA333" s="36">
        <f>IF('My investments'!$C333="Money in",'My investments'!$D333,0)</f>
        <v/>
      </c>
      <c r="AB333" s="36">
        <f>IF('My investments'!$C333="Money out",'My investments'!$D333,0)</f>
        <v/>
      </c>
      <c r="AC333" s="36">
        <f>IF('My investments'!$C333="Worth today",'My investments'!$D333,0)</f>
        <v/>
      </c>
      <c r="AE333" s="36">
        <f>IF('My investments'!$H$11="",0,IF('My investments'!$F333='My investments'!$H$11,'My investments'!$E333,0))</f>
        <v/>
      </c>
      <c r="AF333" s="36">
        <f>IF('My investments'!$H$12="",0,IF('My investments'!$F333='My investments'!$H$12,'My investments'!$E333,0))</f>
        <v/>
      </c>
      <c r="AG333" s="36">
        <f>IF('My investments'!$H$13="",0,IF('My investments'!$F333='My investments'!$H$13,'My investments'!$E333,0))</f>
        <v/>
      </c>
      <c r="AH333" s="36">
        <f>IF('My investments'!$H$14="",0,IF('My investments'!$F333='My investments'!$H$14,'My investments'!$E333,0))</f>
        <v/>
      </c>
      <c r="AI333" s="36">
        <f>IF('My investments'!$H$15="",0,IF('My investments'!$F333='My investments'!$H$15,'My investments'!$E333,0))</f>
        <v/>
      </c>
      <c r="AK333" s="36">
        <f>IF('My investments'!$H$11="",0,IF('My investments'!$F333='My investments'!$H$11,$AA333,0))</f>
        <v/>
      </c>
      <c r="AL333" s="36">
        <f>IF('My investments'!$H$12="",0,IF('My investments'!$F333='My investments'!$H$12,$AA333,0))</f>
        <v/>
      </c>
      <c r="AM333" s="36">
        <f>IF('My investments'!$H$13="",0,IF('My investments'!$F333='My investments'!$H$13,$AA333,0))</f>
        <v/>
      </c>
      <c r="AN333" s="36">
        <f>IF('My investments'!$H$14="",0,IF('My investments'!$F333='My investments'!$H$14,$AA333,0))</f>
        <v/>
      </c>
      <c r="AO333" s="36">
        <f>IF('My investments'!$H$15="",0,IF('My investments'!$F333='My investments'!$H$15,$AA333,0))</f>
        <v/>
      </c>
    </row>
    <row r="334" ht="15" customHeight="1" s="30">
      <c r="A334" s="36">
        <f>IF('My investments'!$C334="Worth today",1,0)</f>
        <v/>
      </c>
      <c r="B334" s="36">
        <f>IF('My investments'!$C334="Money in",1,0)</f>
        <v/>
      </c>
      <c r="AA334" s="36">
        <f>IF('My investments'!$C334="Money in",'My investments'!$D334,0)</f>
        <v/>
      </c>
      <c r="AB334" s="36">
        <f>IF('My investments'!$C334="Money out",'My investments'!$D334,0)</f>
        <v/>
      </c>
      <c r="AC334" s="36">
        <f>IF('My investments'!$C334="Worth today",'My investments'!$D334,0)</f>
        <v/>
      </c>
      <c r="AE334" s="36">
        <f>IF('My investments'!$H$11="",0,IF('My investments'!$F334='My investments'!$H$11,'My investments'!$E334,0))</f>
        <v/>
      </c>
      <c r="AF334" s="36">
        <f>IF('My investments'!$H$12="",0,IF('My investments'!$F334='My investments'!$H$12,'My investments'!$E334,0))</f>
        <v/>
      </c>
      <c r="AG334" s="36">
        <f>IF('My investments'!$H$13="",0,IF('My investments'!$F334='My investments'!$H$13,'My investments'!$E334,0))</f>
        <v/>
      </c>
      <c r="AH334" s="36">
        <f>IF('My investments'!$H$14="",0,IF('My investments'!$F334='My investments'!$H$14,'My investments'!$E334,0))</f>
        <v/>
      </c>
      <c r="AI334" s="36">
        <f>IF('My investments'!$H$15="",0,IF('My investments'!$F334='My investments'!$H$15,'My investments'!$E334,0))</f>
        <v/>
      </c>
      <c r="AK334" s="36">
        <f>IF('My investments'!$H$11="",0,IF('My investments'!$F334='My investments'!$H$11,$AA334,0))</f>
        <v/>
      </c>
      <c r="AL334" s="36">
        <f>IF('My investments'!$H$12="",0,IF('My investments'!$F334='My investments'!$H$12,$AA334,0))</f>
        <v/>
      </c>
      <c r="AM334" s="36">
        <f>IF('My investments'!$H$13="",0,IF('My investments'!$F334='My investments'!$H$13,$AA334,0))</f>
        <v/>
      </c>
      <c r="AN334" s="36">
        <f>IF('My investments'!$H$14="",0,IF('My investments'!$F334='My investments'!$H$14,$AA334,0))</f>
        <v/>
      </c>
      <c r="AO334" s="36">
        <f>IF('My investments'!$H$15="",0,IF('My investments'!$F334='My investments'!$H$15,$AA334,0))</f>
        <v/>
      </c>
    </row>
    <row r="335" ht="15" customHeight="1" s="30">
      <c r="A335" s="36">
        <f>IF('My investments'!$C335="Worth today",1,0)</f>
        <v/>
      </c>
      <c r="B335" s="36">
        <f>IF('My investments'!$C335="Money in",1,0)</f>
        <v/>
      </c>
      <c r="AA335" s="36">
        <f>IF('My investments'!$C335="Money in",'My investments'!$D335,0)</f>
        <v/>
      </c>
      <c r="AB335" s="36">
        <f>IF('My investments'!$C335="Money out",'My investments'!$D335,0)</f>
        <v/>
      </c>
      <c r="AC335" s="36">
        <f>IF('My investments'!$C335="Worth today",'My investments'!$D335,0)</f>
        <v/>
      </c>
      <c r="AE335" s="36">
        <f>IF('My investments'!$H$11="",0,IF('My investments'!$F335='My investments'!$H$11,'My investments'!$E335,0))</f>
        <v/>
      </c>
      <c r="AF335" s="36">
        <f>IF('My investments'!$H$12="",0,IF('My investments'!$F335='My investments'!$H$12,'My investments'!$E335,0))</f>
        <v/>
      </c>
      <c r="AG335" s="36">
        <f>IF('My investments'!$H$13="",0,IF('My investments'!$F335='My investments'!$H$13,'My investments'!$E335,0))</f>
        <v/>
      </c>
      <c r="AH335" s="36">
        <f>IF('My investments'!$H$14="",0,IF('My investments'!$F335='My investments'!$H$14,'My investments'!$E335,0))</f>
        <v/>
      </c>
      <c r="AI335" s="36">
        <f>IF('My investments'!$H$15="",0,IF('My investments'!$F335='My investments'!$H$15,'My investments'!$E335,0))</f>
        <v/>
      </c>
      <c r="AK335" s="36">
        <f>IF('My investments'!$H$11="",0,IF('My investments'!$F335='My investments'!$H$11,$AA335,0))</f>
        <v/>
      </c>
      <c r="AL335" s="36">
        <f>IF('My investments'!$H$12="",0,IF('My investments'!$F335='My investments'!$H$12,$AA335,0))</f>
        <v/>
      </c>
      <c r="AM335" s="36">
        <f>IF('My investments'!$H$13="",0,IF('My investments'!$F335='My investments'!$H$13,$AA335,0))</f>
        <v/>
      </c>
      <c r="AN335" s="36">
        <f>IF('My investments'!$H$14="",0,IF('My investments'!$F335='My investments'!$H$14,$AA335,0))</f>
        <v/>
      </c>
      <c r="AO335" s="36">
        <f>IF('My investments'!$H$15="",0,IF('My investments'!$F335='My investments'!$H$15,$AA335,0))</f>
        <v/>
      </c>
    </row>
    <row r="336" ht="15" customHeight="1" s="30">
      <c r="A336" s="36">
        <f>IF('My investments'!$C336="Worth today",1,0)</f>
        <v/>
      </c>
      <c r="B336" s="36">
        <f>IF('My investments'!$C336="Money in",1,0)</f>
        <v/>
      </c>
      <c r="AA336" s="36">
        <f>IF('My investments'!$C336="Money in",'My investments'!$D336,0)</f>
        <v/>
      </c>
      <c r="AB336" s="36">
        <f>IF('My investments'!$C336="Money out",'My investments'!$D336,0)</f>
        <v/>
      </c>
      <c r="AC336" s="36">
        <f>IF('My investments'!$C336="Worth today",'My investments'!$D336,0)</f>
        <v/>
      </c>
      <c r="AE336" s="36">
        <f>IF('My investments'!$H$11="",0,IF('My investments'!$F336='My investments'!$H$11,'My investments'!$E336,0))</f>
        <v/>
      </c>
      <c r="AF336" s="36">
        <f>IF('My investments'!$H$12="",0,IF('My investments'!$F336='My investments'!$H$12,'My investments'!$E336,0))</f>
        <v/>
      </c>
      <c r="AG336" s="36">
        <f>IF('My investments'!$H$13="",0,IF('My investments'!$F336='My investments'!$H$13,'My investments'!$E336,0))</f>
        <v/>
      </c>
      <c r="AH336" s="36">
        <f>IF('My investments'!$H$14="",0,IF('My investments'!$F336='My investments'!$H$14,'My investments'!$E336,0))</f>
        <v/>
      </c>
      <c r="AI336" s="36">
        <f>IF('My investments'!$H$15="",0,IF('My investments'!$F336='My investments'!$H$15,'My investments'!$E336,0))</f>
        <v/>
      </c>
      <c r="AK336" s="36">
        <f>IF('My investments'!$H$11="",0,IF('My investments'!$F336='My investments'!$H$11,$AA336,0))</f>
        <v/>
      </c>
      <c r="AL336" s="36">
        <f>IF('My investments'!$H$12="",0,IF('My investments'!$F336='My investments'!$H$12,$AA336,0))</f>
        <v/>
      </c>
      <c r="AM336" s="36">
        <f>IF('My investments'!$H$13="",0,IF('My investments'!$F336='My investments'!$H$13,$AA336,0))</f>
        <v/>
      </c>
      <c r="AN336" s="36">
        <f>IF('My investments'!$H$14="",0,IF('My investments'!$F336='My investments'!$H$14,$AA336,0))</f>
        <v/>
      </c>
      <c r="AO336" s="36">
        <f>IF('My investments'!$H$15="",0,IF('My investments'!$F336='My investments'!$H$15,$AA336,0))</f>
        <v/>
      </c>
    </row>
    <row r="337" ht="15" customHeight="1" s="30">
      <c r="A337" s="36">
        <f>IF('My investments'!$C337="Worth today",1,0)</f>
        <v/>
      </c>
      <c r="B337" s="36">
        <f>IF('My investments'!$C337="Money in",1,0)</f>
        <v/>
      </c>
      <c r="AA337" s="36">
        <f>IF('My investments'!$C337="Money in",'My investments'!$D337,0)</f>
        <v/>
      </c>
      <c r="AB337" s="36">
        <f>IF('My investments'!$C337="Money out",'My investments'!$D337,0)</f>
        <v/>
      </c>
      <c r="AC337" s="36">
        <f>IF('My investments'!$C337="Worth today",'My investments'!$D337,0)</f>
        <v/>
      </c>
      <c r="AE337" s="36">
        <f>IF('My investments'!$H$11="",0,IF('My investments'!$F337='My investments'!$H$11,'My investments'!$E337,0))</f>
        <v/>
      </c>
      <c r="AF337" s="36">
        <f>IF('My investments'!$H$12="",0,IF('My investments'!$F337='My investments'!$H$12,'My investments'!$E337,0))</f>
        <v/>
      </c>
      <c r="AG337" s="36">
        <f>IF('My investments'!$H$13="",0,IF('My investments'!$F337='My investments'!$H$13,'My investments'!$E337,0))</f>
        <v/>
      </c>
      <c r="AH337" s="36">
        <f>IF('My investments'!$H$14="",0,IF('My investments'!$F337='My investments'!$H$14,'My investments'!$E337,0))</f>
        <v/>
      </c>
      <c r="AI337" s="36">
        <f>IF('My investments'!$H$15="",0,IF('My investments'!$F337='My investments'!$H$15,'My investments'!$E337,0))</f>
        <v/>
      </c>
      <c r="AK337" s="36">
        <f>IF('My investments'!$H$11="",0,IF('My investments'!$F337='My investments'!$H$11,$AA337,0))</f>
        <v/>
      </c>
      <c r="AL337" s="36">
        <f>IF('My investments'!$H$12="",0,IF('My investments'!$F337='My investments'!$H$12,$AA337,0))</f>
        <v/>
      </c>
      <c r="AM337" s="36">
        <f>IF('My investments'!$H$13="",0,IF('My investments'!$F337='My investments'!$H$13,$AA337,0))</f>
        <v/>
      </c>
      <c r="AN337" s="36">
        <f>IF('My investments'!$H$14="",0,IF('My investments'!$F337='My investments'!$H$14,$AA337,0))</f>
        <v/>
      </c>
      <c r="AO337" s="36">
        <f>IF('My investments'!$H$15="",0,IF('My investments'!$F337='My investments'!$H$15,$AA337,0))</f>
        <v/>
      </c>
    </row>
    <row r="338" ht="15" customHeight="1" s="30">
      <c r="A338" s="36">
        <f>IF('My investments'!$C338="Worth today",1,0)</f>
        <v/>
      </c>
      <c r="B338" s="36">
        <f>IF('My investments'!$C338="Money in",1,0)</f>
        <v/>
      </c>
      <c r="AA338" s="36">
        <f>IF('My investments'!$C338="Money in",'My investments'!$D338,0)</f>
        <v/>
      </c>
      <c r="AB338" s="36">
        <f>IF('My investments'!$C338="Money out",'My investments'!$D338,0)</f>
        <v/>
      </c>
      <c r="AC338" s="36">
        <f>IF('My investments'!$C338="Worth today",'My investments'!$D338,0)</f>
        <v/>
      </c>
      <c r="AE338" s="36">
        <f>IF('My investments'!$H$11="",0,IF('My investments'!$F338='My investments'!$H$11,'My investments'!$E338,0))</f>
        <v/>
      </c>
      <c r="AF338" s="36">
        <f>IF('My investments'!$H$12="",0,IF('My investments'!$F338='My investments'!$H$12,'My investments'!$E338,0))</f>
        <v/>
      </c>
      <c r="AG338" s="36">
        <f>IF('My investments'!$H$13="",0,IF('My investments'!$F338='My investments'!$H$13,'My investments'!$E338,0))</f>
        <v/>
      </c>
      <c r="AH338" s="36">
        <f>IF('My investments'!$H$14="",0,IF('My investments'!$F338='My investments'!$H$14,'My investments'!$E338,0))</f>
        <v/>
      </c>
      <c r="AI338" s="36">
        <f>IF('My investments'!$H$15="",0,IF('My investments'!$F338='My investments'!$H$15,'My investments'!$E338,0))</f>
        <v/>
      </c>
      <c r="AK338" s="36">
        <f>IF('My investments'!$H$11="",0,IF('My investments'!$F338='My investments'!$H$11,$AA338,0))</f>
        <v/>
      </c>
      <c r="AL338" s="36">
        <f>IF('My investments'!$H$12="",0,IF('My investments'!$F338='My investments'!$H$12,$AA338,0))</f>
        <v/>
      </c>
      <c r="AM338" s="36">
        <f>IF('My investments'!$H$13="",0,IF('My investments'!$F338='My investments'!$H$13,$AA338,0))</f>
        <v/>
      </c>
      <c r="AN338" s="36">
        <f>IF('My investments'!$H$14="",0,IF('My investments'!$F338='My investments'!$H$14,$AA338,0))</f>
        <v/>
      </c>
      <c r="AO338" s="36">
        <f>IF('My investments'!$H$15="",0,IF('My investments'!$F338='My investments'!$H$15,$AA338,0))</f>
        <v/>
      </c>
    </row>
    <row r="339" ht="15" customHeight="1" s="30">
      <c r="A339" s="36">
        <f>IF('My investments'!$C339="Worth today",1,0)</f>
        <v/>
      </c>
      <c r="B339" s="36">
        <f>IF('My investments'!$C339="Money in",1,0)</f>
        <v/>
      </c>
      <c r="AA339" s="36">
        <f>IF('My investments'!$C339="Money in",'My investments'!$D339,0)</f>
        <v/>
      </c>
      <c r="AB339" s="36">
        <f>IF('My investments'!$C339="Money out",'My investments'!$D339,0)</f>
        <v/>
      </c>
      <c r="AC339" s="36">
        <f>IF('My investments'!$C339="Worth today",'My investments'!$D339,0)</f>
        <v/>
      </c>
      <c r="AE339" s="36">
        <f>IF('My investments'!$H$11="",0,IF('My investments'!$F339='My investments'!$H$11,'My investments'!$E339,0))</f>
        <v/>
      </c>
      <c r="AF339" s="36">
        <f>IF('My investments'!$H$12="",0,IF('My investments'!$F339='My investments'!$H$12,'My investments'!$E339,0))</f>
        <v/>
      </c>
      <c r="AG339" s="36">
        <f>IF('My investments'!$H$13="",0,IF('My investments'!$F339='My investments'!$H$13,'My investments'!$E339,0))</f>
        <v/>
      </c>
      <c r="AH339" s="36">
        <f>IF('My investments'!$H$14="",0,IF('My investments'!$F339='My investments'!$H$14,'My investments'!$E339,0))</f>
        <v/>
      </c>
      <c r="AI339" s="36">
        <f>IF('My investments'!$H$15="",0,IF('My investments'!$F339='My investments'!$H$15,'My investments'!$E339,0))</f>
        <v/>
      </c>
      <c r="AK339" s="36">
        <f>IF('My investments'!$H$11="",0,IF('My investments'!$F339='My investments'!$H$11,$AA339,0))</f>
        <v/>
      </c>
      <c r="AL339" s="36">
        <f>IF('My investments'!$H$12="",0,IF('My investments'!$F339='My investments'!$H$12,$AA339,0))</f>
        <v/>
      </c>
      <c r="AM339" s="36">
        <f>IF('My investments'!$H$13="",0,IF('My investments'!$F339='My investments'!$H$13,$AA339,0))</f>
        <v/>
      </c>
      <c r="AN339" s="36">
        <f>IF('My investments'!$H$14="",0,IF('My investments'!$F339='My investments'!$H$14,$AA339,0))</f>
        <v/>
      </c>
      <c r="AO339" s="36">
        <f>IF('My investments'!$H$15="",0,IF('My investments'!$F339='My investments'!$H$15,$AA339,0))</f>
        <v/>
      </c>
    </row>
    <row r="340" ht="15" customHeight="1" s="30">
      <c r="A340" s="36">
        <f>IF('My investments'!$C340="Worth today",1,0)</f>
        <v/>
      </c>
      <c r="B340" s="36">
        <f>IF('My investments'!$C340="Money in",1,0)</f>
        <v/>
      </c>
      <c r="AA340" s="36">
        <f>IF('My investments'!$C340="Money in",'My investments'!$D340,0)</f>
        <v/>
      </c>
      <c r="AB340" s="36">
        <f>IF('My investments'!$C340="Money out",'My investments'!$D340,0)</f>
        <v/>
      </c>
      <c r="AC340" s="36">
        <f>IF('My investments'!$C340="Worth today",'My investments'!$D340,0)</f>
        <v/>
      </c>
      <c r="AE340" s="36">
        <f>IF('My investments'!$H$11="",0,IF('My investments'!$F340='My investments'!$H$11,'My investments'!$E340,0))</f>
        <v/>
      </c>
      <c r="AF340" s="36">
        <f>IF('My investments'!$H$12="",0,IF('My investments'!$F340='My investments'!$H$12,'My investments'!$E340,0))</f>
        <v/>
      </c>
      <c r="AG340" s="36">
        <f>IF('My investments'!$H$13="",0,IF('My investments'!$F340='My investments'!$H$13,'My investments'!$E340,0))</f>
        <v/>
      </c>
      <c r="AH340" s="36">
        <f>IF('My investments'!$H$14="",0,IF('My investments'!$F340='My investments'!$H$14,'My investments'!$E340,0))</f>
        <v/>
      </c>
      <c r="AI340" s="36">
        <f>IF('My investments'!$H$15="",0,IF('My investments'!$F340='My investments'!$H$15,'My investments'!$E340,0))</f>
        <v/>
      </c>
      <c r="AK340" s="36">
        <f>IF('My investments'!$H$11="",0,IF('My investments'!$F340='My investments'!$H$11,$AA340,0))</f>
        <v/>
      </c>
      <c r="AL340" s="36">
        <f>IF('My investments'!$H$12="",0,IF('My investments'!$F340='My investments'!$H$12,$AA340,0))</f>
        <v/>
      </c>
      <c r="AM340" s="36">
        <f>IF('My investments'!$H$13="",0,IF('My investments'!$F340='My investments'!$H$13,$AA340,0))</f>
        <v/>
      </c>
      <c r="AN340" s="36">
        <f>IF('My investments'!$H$14="",0,IF('My investments'!$F340='My investments'!$H$14,$AA340,0))</f>
        <v/>
      </c>
      <c r="AO340" s="36">
        <f>IF('My investments'!$H$15="",0,IF('My investments'!$F340='My investments'!$H$15,$AA340,0))</f>
        <v/>
      </c>
    </row>
    <row r="341" ht="15" customHeight="1" s="30">
      <c r="A341" s="36">
        <f>IF('My investments'!$C341="Worth today",1,0)</f>
        <v/>
      </c>
      <c r="B341" s="36">
        <f>IF('My investments'!$C341="Money in",1,0)</f>
        <v/>
      </c>
      <c r="AA341" s="36">
        <f>IF('My investments'!$C341="Money in",'My investments'!$D341,0)</f>
        <v/>
      </c>
      <c r="AB341" s="36">
        <f>IF('My investments'!$C341="Money out",'My investments'!$D341,0)</f>
        <v/>
      </c>
      <c r="AC341" s="36">
        <f>IF('My investments'!$C341="Worth today",'My investments'!$D341,0)</f>
        <v/>
      </c>
      <c r="AE341" s="36">
        <f>IF('My investments'!$H$11="",0,IF('My investments'!$F341='My investments'!$H$11,'My investments'!$E341,0))</f>
        <v/>
      </c>
      <c r="AF341" s="36">
        <f>IF('My investments'!$H$12="",0,IF('My investments'!$F341='My investments'!$H$12,'My investments'!$E341,0))</f>
        <v/>
      </c>
      <c r="AG341" s="36">
        <f>IF('My investments'!$H$13="",0,IF('My investments'!$F341='My investments'!$H$13,'My investments'!$E341,0))</f>
        <v/>
      </c>
      <c r="AH341" s="36">
        <f>IF('My investments'!$H$14="",0,IF('My investments'!$F341='My investments'!$H$14,'My investments'!$E341,0))</f>
        <v/>
      </c>
      <c r="AI341" s="36">
        <f>IF('My investments'!$H$15="",0,IF('My investments'!$F341='My investments'!$H$15,'My investments'!$E341,0))</f>
        <v/>
      </c>
      <c r="AK341" s="36">
        <f>IF('My investments'!$H$11="",0,IF('My investments'!$F341='My investments'!$H$11,$AA341,0))</f>
        <v/>
      </c>
      <c r="AL341" s="36">
        <f>IF('My investments'!$H$12="",0,IF('My investments'!$F341='My investments'!$H$12,$AA341,0))</f>
        <v/>
      </c>
      <c r="AM341" s="36">
        <f>IF('My investments'!$H$13="",0,IF('My investments'!$F341='My investments'!$H$13,$AA341,0))</f>
        <v/>
      </c>
      <c r="AN341" s="36">
        <f>IF('My investments'!$H$14="",0,IF('My investments'!$F341='My investments'!$H$14,$AA341,0))</f>
        <v/>
      </c>
      <c r="AO341" s="36">
        <f>IF('My investments'!$H$15="",0,IF('My investments'!$F341='My investments'!$H$15,$AA341,0))</f>
        <v/>
      </c>
    </row>
    <row r="342" ht="15" customHeight="1" s="30">
      <c r="A342" s="36">
        <f>IF('My investments'!$C342="Worth today",1,0)</f>
        <v/>
      </c>
      <c r="B342" s="36">
        <f>IF('My investments'!$C342="Money in",1,0)</f>
        <v/>
      </c>
      <c r="AA342" s="36">
        <f>IF('My investments'!$C342="Money in",'My investments'!$D342,0)</f>
        <v/>
      </c>
      <c r="AB342" s="36">
        <f>IF('My investments'!$C342="Money out",'My investments'!$D342,0)</f>
        <v/>
      </c>
      <c r="AC342" s="36">
        <f>IF('My investments'!$C342="Worth today",'My investments'!$D342,0)</f>
        <v/>
      </c>
      <c r="AE342" s="36">
        <f>IF('My investments'!$H$11="",0,IF('My investments'!$F342='My investments'!$H$11,'My investments'!$E342,0))</f>
        <v/>
      </c>
      <c r="AF342" s="36">
        <f>IF('My investments'!$H$12="",0,IF('My investments'!$F342='My investments'!$H$12,'My investments'!$E342,0))</f>
        <v/>
      </c>
      <c r="AG342" s="36">
        <f>IF('My investments'!$H$13="",0,IF('My investments'!$F342='My investments'!$H$13,'My investments'!$E342,0))</f>
        <v/>
      </c>
      <c r="AH342" s="36">
        <f>IF('My investments'!$H$14="",0,IF('My investments'!$F342='My investments'!$H$14,'My investments'!$E342,0))</f>
        <v/>
      </c>
      <c r="AI342" s="36">
        <f>IF('My investments'!$H$15="",0,IF('My investments'!$F342='My investments'!$H$15,'My investments'!$E342,0))</f>
        <v/>
      </c>
      <c r="AK342" s="36">
        <f>IF('My investments'!$H$11="",0,IF('My investments'!$F342='My investments'!$H$11,$AA342,0))</f>
        <v/>
      </c>
      <c r="AL342" s="36">
        <f>IF('My investments'!$H$12="",0,IF('My investments'!$F342='My investments'!$H$12,$AA342,0))</f>
        <v/>
      </c>
      <c r="AM342" s="36">
        <f>IF('My investments'!$H$13="",0,IF('My investments'!$F342='My investments'!$H$13,$AA342,0))</f>
        <v/>
      </c>
      <c r="AN342" s="36">
        <f>IF('My investments'!$H$14="",0,IF('My investments'!$F342='My investments'!$H$14,$AA342,0))</f>
        <v/>
      </c>
      <c r="AO342" s="36">
        <f>IF('My investments'!$H$15="",0,IF('My investments'!$F342='My investments'!$H$15,$AA342,0))</f>
        <v/>
      </c>
    </row>
    <row r="343" ht="15" customHeight="1" s="30">
      <c r="A343" s="36">
        <f>IF('My investments'!$C343="Worth today",1,0)</f>
        <v/>
      </c>
      <c r="B343" s="36">
        <f>IF('My investments'!$C343="Money in",1,0)</f>
        <v/>
      </c>
      <c r="AA343" s="36">
        <f>IF('My investments'!$C343="Money in",'My investments'!$D343,0)</f>
        <v/>
      </c>
      <c r="AB343" s="36">
        <f>IF('My investments'!$C343="Money out",'My investments'!$D343,0)</f>
        <v/>
      </c>
      <c r="AC343" s="36">
        <f>IF('My investments'!$C343="Worth today",'My investments'!$D343,0)</f>
        <v/>
      </c>
      <c r="AE343" s="36">
        <f>IF('My investments'!$H$11="",0,IF('My investments'!$F343='My investments'!$H$11,'My investments'!$E343,0))</f>
        <v/>
      </c>
      <c r="AF343" s="36">
        <f>IF('My investments'!$H$12="",0,IF('My investments'!$F343='My investments'!$H$12,'My investments'!$E343,0))</f>
        <v/>
      </c>
      <c r="AG343" s="36">
        <f>IF('My investments'!$H$13="",0,IF('My investments'!$F343='My investments'!$H$13,'My investments'!$E343,0))</f>
        <v/>
      </c>
      <c r="AH343" s="36">
        <f>IF('My investments'!$H$14="",0,IF('My investments'!$F343='My investments'!$H$14,'My investments'!$E343,0))</f>
        <v/>
      </c>
      <c r="AI343" s="36">
        <f>IF('My investments'!$H$15="",0,IF('My investments'!$F343='My investments'!$H$15,'My investments'!$E343,0))</f>
        <v/>
      </c>
      <c r="AK343" s="36">
        <f>IF('My investments'!$H$11="",0,IF('My investments'!$F343='My investments'!$H$11,$AA343,0))</f>
        <v/>
      </c>
      <c r="AL343" s="36">
        <f>IF('My investments'!$H$12="",0,IF('My investments'!$F343='My investments'!$H$12,$AA343,0))</f>
        <v/>
      </c>
      <c r="AM343" s="36">
        <f>IF('My investments'!$H$13="",0,IF('My investments'!$F343='My investments'!$H$13,$AA343,0))</f>
        <v/>
      </c>
      <c r="AN343" s="36">
        <f>IF('My investments'!$H$14="",0,IF('My investments'!$F343='My investments'!$H$14,$AA343,0))</f>
        <v/>
      </c>
      <c r="AO343" s="36">
        <f>IF('My investments'!$H$15="",0,IF('My investments'!$F343='My investments'!$H$15,$AA343,0))</f>
        <v/>
      </c>
    </row>
    <row r="344" ht="15" customHeight="1" s="30">
      <c r="A344" s="36">
        <f>IF('My investments'!$C344="Worth today",1,0)</f>
        <v/>
      </c>
      <c r="B344" s="36">
        <f>IF('My investments'!$C344="Money in",1,0)</f>
        <v/>
      </c>
      <c r="AA344" s="36">
        <f>IF('My investments'!$C344="Money in",'My investments'!$D344,0)</f>
        <v/>
      </c>
      <c r="AB344" s="36">
        <f>IF('My investments'!$C344="Money out",'My investments'!$D344,0)</f>
        <v/>
      </c>
      <c r="AC344" s="36">
        <f>IF('My investments'!$C344="Worth today",'My investments'!$D344,0)</f>
        <v/>
      </c>
      <c r="AE344" s="36">
        <f>IF('My investments'!$H$11="",0,IF('My investments'!$F344='My investments'!$H$11,'My investments'!$E344,0))</f>
        <v/>
      </c>
      <c r="AF344" s="36">
        <f>IF('My investments'!$H$12="",0,IF('My investments'!$F344='My investments'!$H$12,'My investments'!$E344,0))</f>
        <v/>
      </c>
      <c r="AG344" s="36">
        <f>IF('My investments'!$H$13="",0,IF('My investments'!$F344='My investments'!$H$13,'My investments'!$E344,0))</f>
        <v/>
      </c>
      <c r="AH344" s="36">
        <f>IF('My investments'!$H$14="",0,IF('My investments'!$F344='My investments'!$H$14,'My investments'!$E344,0))</f>
        <v/>
      </c>
      <c r="AI344" s="36">
        <f>IF('My investments'!$H$15="",0,IF('My investments'!$F344='My investments'!$H$15,'My investments'!$E344,0))</f>
        <v/>
      </c>
      <c r="AK344" s="36">
        <f>IF('My investments'!$H$11="",0,IF('My investments'!$F344='My investments'!$H$11,$AA344,0))</f>
        <v/>
      </c>
      <c r="AL344" s="36">
        <f>IF('My investments'!$H$12="",0,IF('My investments'!$F344='My investments'!$H$12,$AA344,0))</f>
        <v/>
      </c>
      <c r="AM344" s="36">
        <f>IF('My investments'!$H$13="",0,IF('My investments'!$F344='My investments'!$H$13,$AA344,0))</f>
        <v/>
      </c>
      <c r="AN344" s="36">
        <f>IF('My investments'!$H$14="",0,IF('My investments'!$F344='My investments'!$H$14,$AA344,0))</f>
        <v/>
      </c>
      <c r="AO344" s="36">
        <f>IF('My investments'!$H$15="",0,IF('My investments'!$F344='My investments'!$H$15,$AA344,0))</f>
        <v/>
      </c>
    </row>
    <row r="345" ht="15" customHeight="1" s="30">
      <c r="A345" s="36">
        <f>IF('My investments'!$C345="Worth today",1,0)</f>
        <v/>
      </c>
      <c r="B345" s="36">
        <f>IF('My investments'!$C345="Money in",1,0)</f>
        <v/>
      </c>
      <c r="AA345" s="36">
        <f>IF('My investments'!$C345="Money in",'My investments'!$D345,0)</f>
        <v/>
      </c>
      <c r="AB345" s="36">
        <f>IF('My investments'!$C345="Money out",'My investments'!$D345,0)</f>
        <v/>
      </c>
      <c r="AC345" s="36">
        <f>IF('My investments'!$C345="Worth today",'My investments'!$D345,0)</f>
        <v/>
      </c>
      <c r="AE345" s="36">
        <f>IF('My investments'!$H$11="",0,IF('My investments'!$F345='My investments'!$H$11,'My investments'!$E345,0))</f>
        <v/>
      </c>
      <c r="AF345" s="36">
        <f>IF('My investments'!$H$12="",0,IF('My investments'!$F345='My investments'!$H$12,'My investments'!$E345,0))</f>
        <v/>
      </c>
      <c r="AG345" s="36">
        <f>IF('My investments'!$H$13="",0,IF('My investments'!$F345='My investments'!$H$13,'My investments'!$E345,0))</f>
        <v/>
      </c>
      <c r="AH345" s="36">
        <f>IF('My investments'!$H$14="",0,IF('My investments'!$F345='My investments'!$H$14,'My investments'!$E345,0))</f>
        <v/>
      </c>
      <c r="AI345" s="36">
        <f>IF('My investments'!$H$15="",0,IF('My investments'!$F345='My investments'!$H$15,'My investments'!$E345,0))</f>
        <v/>
      </c>
      <c r="AK345" s="36">
        <f>IF('My investments'!$H$11="",0,IF('My investments'!$F345='My investments'!$H$11,$AA345,0))</f>
        <v/>
      </c>
      <c r="AL345" s="36">
        <f>IF('My investments'!$H$12="",0,IF('My investments'!$F345='My investments'!$H$12,$AA345,0))</f>
        <v/>
      </c>
      <c r="AM345" s="36">
        <f>IF('My investments'!$H$13="",0,IF('My investments'!$F345='My investments'!$H$13,$AA345,0))</f>
        <v/>
      </c>
      <c r="AN345" s="36">
        <f>IF('My investments'!$H$14="",0,IF('My investments'!$F345='My investments'!$H$14,$AA345,0))</f>
        <v/>
      </c>
      <c r="AO345" s="36">
        <f>IF('My investments'!$H$15="",0,IF('My investments'!$F345='My investments'!$H$15,$AA345,0))</f>
        <v/>
      </c>
    </row>
    <row r="346" ht="15" customHeight="1" s="30">
      <c r="A346" s="36">
        <f>IF('My investments'!$C346="Worth today",1,0)</f>
        <v/>
      </c>
      <c r="B346" s="36">
        <f>IF('My investments'!$C346="Money in",1,0)</f>
        <v/>
      </c>
      <c r="AA346" s="36">
        <f>IF('My investments'!$C346="Money in",'My investments'!$D346,0)</f>
        <v/>
      </c>
      <c r="AB346" s="36">
        <f>IF('My investments'!$C346="Money out",'My investments'!$D346,0)</f>
        <v/>
      </c>
      <c r="AC346" s="36">
        <f>IF('My investments'!$C346="Worth today",'My investments'!$D346,0)</f>
        <v/>
      </c>
      <c r="AE346" s="36">
        <f>IF('My investments'!$H$11="",0,IF('My investments'!$F346='My investments'!$H$11,'My investments'!$E346,0))</f>
        <v/>
      </c>
      <c r="AF346" s="36">
        <f>IF('My investments'!$H$12="",0,IF('My investments'!$F346='My investments'!$H$12,'My investments'!$E346,0))</f>
        <v/>
      </c>
      <c r="AG346" s="36">
        <f>IF('My investments'!$H$13="",0,IF('My investments'!$F346='My investments'!$H$13,'My investments'!$E346,0))</f>
        <v/>
      </c>
      <c r="AH346" s="36">
        <f>IF('My investments'!$H$14="",0,IF('My investments'!$F346='My investments'!$H$14,'My investments'!$E346,0))</f>
        <v/>
      </c>
      <c r="AI346" s="36">
        <f>IF('My investments'!$H$15="",0,IF('My investments'!$F346='My investments'!$H$15,'My investments'!$E346,0))</f>
        <v/>
      </c>
      <c r="AK346" s="36">
        <f>IF('My investments'!$H$11="",0,IF('My investments'!$F346='My investments'!$H$11,$AA346,0))</f>
        <v/>
      </c>
      <c r="AL346" s="36">
        <f>IF('My investments'!$H$12="",0,IF('My investments'!$F346='My investments'!$H$12,$AA346,0))</f>
        <v/>
      </c>
      <c r="AM346" s="36">
        <f>IF('My investments'!$H$13="",0,IF('My investments'!$F346='My investments'!$H$13,$AA346,0))</f>
        <v/>
      </c>
      <c r="AN346" s="36">
        <f>IF('My investments'!$H$14="",0,IF('My investments'!$F346='My investments'!$H$14,$AA346,0))</f>
        <v/>
      </c>
      <c r="AO346" s="36">
        <f>IF('My investments'!$H$15="",0,IF('My investments'!$F346='My investments'!$H$15,$AA346,0))</f>
        <v/>
      </c>
    </row>
    <row r="347" ht="15" customHeight="1" s="30">
      <c r="A347" s="36">
        <f>IF('My investments'!$C347="Worth today",1,0)</f>
        <v/>
      </c>
      <c r="B347" s="36">
        <f>IF('My investments'!$C347="Money in",1,0)</f>
        <v/>
      </c>
      <c r="AA347" s="36">
        <f>IF('My investments'!$C347="Money in",'My investments'!$D347,0)</f>
        <v/>
      </c>
      <c r="AB347" s="36">
        <f>IF('My investments'!$C347="Money out",'My investments'!$D347,0)</f>
        <v/>
      </c>
      <c r="AC347" s="36">
        <f>IF('My investments'!$C347="Worth today",'My investments'!$D347,0)</f>
        <v/>
      </c>
      <c r="AE347" s="36">
        <f>IF('My investments'!$H$11="",0,IF('My investments'!$F347='My investments'!$H$11,'My investments'!$E347,0))</f>
        <v/>
      </c>
      <c r="AF347" s="36">
        <f>IF('My investments'!$H$12="",0,IF('My investments'!$F347='My investments'!$H$12,'My investments'!$E347,0))</f>
        <v/>
      </c>
      <c r="AG347" s="36">
        <f>IF('My investments'!$H$13="",0,IF('My investments'!$F347='My investments'!$H$13,'My investments'!$E347,0))</f>
        <v/>
      </c>
      <c r="AH347" s="36">
        <f>IF('My investments'!$H$14="",0,IF('My investments'!$F347='My investments'!$H$14,'My investments'!$E347,0))</f>
        <v/>
      </c>
      <c r="AI347" s="36">
        <f>IF('My investments'!$H$15="",0,IF('My investments'!$F347='My investments'!$H$15,'My investments'!$E347,0))</f>
        <v/>
      </c>
      <c r="AK347" s="36">
        <f>IF('My investments'!$H$11="",0,IF('My investments'!$F347='My investments'!$H$11,$AA347,0))</f>
        <v/>
      </c>
      <c r="AL347" s="36">
        <f>IF('My investments'!$H$12="",0,IF('My investments'!$F347='My investments'!$H$12,$AA347,0))</f>
        <v/>
      </c>
      <c r="AM347" s="36">
        <f>IF('My investments'!$H$13="",0,IF('My investments'!$F347='My investments'!$H$13,$AA347,0))</f>
        <v/>
      </c>
      <c r="AN347" s="36">
        <f>IF('My investments'!$H$14="",0,IF('My investments'!$F347='My investments'!$H$14,$AA347,0))</f>
        <v/>
      </c>
      <c r="AO347" s="36">
        <f>IF('My investments'!$H$15="",0,IF('My investments'!$F347='My investments'!$H$15,$AA347,0))</f>
        <v/>
      </c>
    </row>
    <row r="348" ht="15" customHeight="1" s="30">
      <c r="A348" s="36">
        <f>IF('My investments'!$C348="Worth today",1,0)</f>
        <v/>
      </c>
      <c r="B348" s="36">
        <f>IF('My investments'!$C348="Money in",1,0)</f>
        <v/>
      </c>
      <c r="AA348" s="36">
        <f>IF('My investments'!$C348="Money in",'My investments'!$D348,0)</f>
        <v/>
      </c>
      <c r="AB348" s="36">
        <f>IF('My investments'!$C348="Money out",'My investments'!$D348,0)</f>
        <v/>
      </c>
      <c r="AC348" s="36">
        <f>IF('My investments'!$C348="Worth today",'My investments'!$D348,0)</f>
        <v/>
      </c>
      <c r="AE348" s="36">
        <f>IF('My investments'!$H$11="",0,IF('My investments'!$F348='My investments'!$H$11,'My investments'!$E348,0))</f>
        <v/>
      </c>
      <c r="AF348" s="36">
        <f>IF('My investments'!$H$12="",0,IF('My investments'!$F348='My investments'!$H$12,'My investments'!$E348,0))</f>
        <v/>
      </c>
      <c r="AG348" s="36">
        <f>IF('My investments'!$H$13="",0,IF('My investments'!$F348='My investments'!$H$13,'My investments'!$E348,0))</f>
        <v/>
      </c>
      <c r="AH348" s="36">
        <f>IF('My investments'!$H$14="",0,IF('My investments'!$F348='My investments'!$H$14,'My investments'!$E348,0))</f>
        <v/>
      </c>
      <c r="AI348" s="36">
        <f>IF('My investments'!$H$15="",0,IF('My investments'!$F348='My investments'!$H$15,'My investments'!$E348,0))</f>
        <v/>
      </c>
      <c r="AK348" s="36">
        <f>IF('My investments'!$H$11="",0,IF('My investments'!$F348='My investments'!$H$11,$AA348,0))</f>
        <v/>
      </c>
      <c r="AL348" s="36">
        <f>IF('My investments'!$H$12="",0,IF('My investments'!$F348='My investments'!$H$12,$AA348,0))</f>
        <v/>
      </c>
      <c r="AM348" s="36">
        <f>IF('My investments'!$H$13="",0,IF('My investments'!$F348='My investments'!$H$13,$AA348,0))</f>
        <v/>
      </c>
      <c r="AN348" s="36">
        <f>IF('My investments'!$H$14="",0,IF('My investments'!$F348='My investments'!$H$14,$AA348,0))</f>
        <v/>
      </c>
      <c r="AO348" s="36">
        <f>IF('My investments'!$H$15="",0,IF('My investments'!$F348='My investments'!$H$15,$AA348,0))</f>
        <v/>
      </c>
    </row>
    <row r="349" ht="15" customHeight="1" s="30">
      <c r="A349" s="36">
        <f>IF('My investments'!$C349="Worth today",1,0)</f>
        <v/>
      </c>
      <c r="B349" s="36">
        <f>IF('My investments'!$C349="Money in",1,0)</f>
        <v/>
      </c>
      <c r="AA349" s="36">
        <f>IF('My investments'!$C349="Money in",'My investments'!$D349,0)</f>
        <v/>
      </c>
      <c r="AB349" s="36">
        <f>IF('My investments'!$C349="Money out",'My investments'!$D349,0)</f>
        <v/>
      </c>
      <c r="AC349" s="36">
        <f>IF('My investments'!$C349="Worth today",'My investments'!$D349,0)</f>
        <v/>
      </c>
      <c r="AE349" s="36">
        <f>IF('My investments'!$H$11="",0,IF('My investments'!$F349='My investments'!$H$11,'My investments'!$E349,0))</f>
        <v/>
      </c>
      <c r="AF349" s="36">
        <f>IF('My investments'!$H$12="",0,IF('My investments'!$F349='My investments'!$H$12,'My investments'!$E349,0))</f>
        <v/>
      </c>
      <c r="AG349" s="36">
        <f>IF('My investments'!$H$13="",0,IF('My investments'!$F349='My investments'!$H$13,'My investments'!$E349,0))</f>
        <v/>
      </c>
      <c r="AH349" s="36">
        <f>IF('My investments'!$H$14="",0,IF('My investments'!$F349='My investments'!$H$14,'My investments'!$E349,0))</f>
        <v/>
      </c>
      <c r="AI349" s="36">
        <f>IF('My investments'!$H$15="",0,IF('My investments'!$F349='My investments'!$H$15,'My investments'!$E349,0))</f>
        <v/>
      </c>
      <c r="AK349" s="36">
        <f>IF('My investments'!$H$11="",0,IF('My investments'!$F349='My investments'!$H$11,$AA349,0))</f>
        <v/>
      </c>
      <c r="AL349" s="36">
        <f>IF('My investments'!$H$12="",0,IF('My investments'!$F349='My investments'!$H$12,$AA349,0))</f>
        <v/>
      </c>
      <c r="AM349" s="36">
        <f>IF('My investments'!$H$13="",0,IF('My investments'!$F349='My investments'!$H$13,$AA349,0))</f>
        <v/>
      </c>
      <c r="AN349" s="36">
        <f>IF('My investments'!$H$14="",0,IF('My investments'!$F349='My investments'!$H$14,$AA349,0))</f>
        <v/>
      </c>
      <c r="AO349" s="36">
        <f>IF('My investments'!$H$15="",0,IF('My investments'!$F349='My investments'!$H$15,$AA349,0))</f>
        <v/>
      </c>
    </row>
    <row r="350" ht="15" customHeight="1" s="30">
      <c r="A350" s="36">
        <f>IF('My investments'!$C350="Worth today",1,0)</f>
        <v/>
      </c>
      <c r="B350" s="36">
        <f>IF('My investments'!$C350="Money in",1,0)</f>
        <v/>
      </c>
      <c r="AA350" s="36">
        <f>IF('My investments'!$C350="Money in",'My investments'!$D350,0)</f>
        <v/>
      </c>
      <c r="AB350" s="36">
        <f>IF('My investments'!$C350="Money out",'My investments'!$D350,0)</f>
        <v/>
      </c>
      <c r="AC350" s="36">
        <f>IF('My investments'!$C350="Worth today",'My investments'!$D350,0)</f>
        <v/>
      </c>
      <c r="AE350" s="36">
        <f>IF('My investments'!$H$11="",0,IF('My investments'!$F350='My investments'!$H$11,'My investments'!$E350,0))</f>
        <v/>
      </c>
      <c r="AF350" s="36">
        <f>IF('My investments'!$H$12="",0,IF('My investments'!$F350='My investments'!$H$12,'My investments'!$E350,0))</f>
        <v/>
      </c>
      <c r="AG350" s="36">
        <f>IF('My investments'!$H$13="",0,IF('My investments'!$F350='My investments'!$H$13,'My investments'!$E350,0))</f>
        <v/>
      </c>
      <c r="AH350" s="36">
        <f>IF('My investments'!$H$14="",0,IF('My investments'!$F350='My investments'!$H$14,'My investments'!$E350,0))</f>
        <v/>
      </c>
      <c r="AI350" s="36">
        <f>IF('My investments'!$H$15="",0,IF('My investments'!$F350='My investments'!$H$15,'My investments'!$E350,0))</f>
        <v/>
      </c>
      <c r="AK350" s="36">
        <f>IF('My investments'!$H$11="",0,IF('My investments'!$F350='My investments'!$H$11,$AA350,0))</f>
        <v/>
      </c>
      <c r="AL350" s="36">
        <f>IF('My investments'!$H$12="",0,IF('My investments'!$F350='My investments'!$H$12,$AA350,0))</f>
        <v/>
      </c>
      <c r="AM350" s="36">
        <f>IF('My investments'!$H$13="",0,IF('My investments'!$F350='My investments'!$H$13,$AA350,0))</f>
        <v/>
      </c>
      <c r="AN350" s="36">
        <f>IF('My investments'!$H$14="",0,IF('My investments'!$F350='My investments'!$H$14,$AA350,0))</f>
        <v/>
      </c>
      <c r="AO350" s="36">
        <f>IF('My investments'!$H$15="",0,IF('My investments'!$F350='My investments'!$H$15,$AA350,0))</f>
        <v/>
      </c>
    </row>
    <row r="351" ht="15" customHeight="1" s="30">
      <c r="A351" s="36">
        <f>IF('My investments'!$C351="Worth today",1,0)</f>
        <v/>
      </c>
      <c r="B351" s="36">
        <f>IF('My investments'!$C351="Money in",1,0)</f>
        <v/>
      </c>
      <c r="AA351" s="36">
        <f>IF('My investments'!$C351="Money in",'My investments'!$D351,0)</f>
        <v/>
      </c>
      <c r="AB351" s="36">
        <f>IF('My investments'!$C351="Money out",'My investments'!$D351,0)</f>
        <v/>
      </c>
      <c r="AC351" s="36">
        <f>IF('My investments'!$C351="Worth today",'My investments'!$D351,0)</f>
        <v/>
      </c>
      <c r="AE351" s="36">
        <f>IF('My investments'!$H$11="",0,IF('My investments'!$F351='My investments'!$H$11,'My investments'!$E351,0))</f>
        <v/>
      </c>
      <c r="AF351" s="36">
        <f>IF('My investments'!$H$12="",0,IF('My investments'!$F351='My investments'!$H$12,'My investments'!$E351,0))</f>
        <v/>
      </c>
      <c r="AG351" s="36">
        <f>IF('My investments'!$H$13="",0,IF('My investments'!$F351='My investments'!$H$13,'My investments'!$E351,0))</f>
        <v/>
      </c>
      <c r="AH351" s="36">
        <f>IF('My investments'!$H$14="",0,IF('My investments'!$F351='My investments'!$H$14,'My investments'!$E351,0))</f>
        <v/>
      </c>
      <c r="AI351" s="36">
        <f>IF('My investments'!$H$15="",0,IF('My investments'!$F351='My investments'!$H$15,'My investments'!$E351,0))</f>
        <v/>
      </c>
      <c r="AK351" s="36">
        <f>IF('My investments'!$H$11="",0,IF('My investments'!$F351='My investments'!$H$11,$AA351,0))</f>
        <v/>
      </c>
      <c r="AL351" s="36">
        <f>IF('My investments'!$H$12="",0,IF('My investments'!$F351='My investments'!$H$12,$AA351,0))</f>
        <v/>
      </c>
      <c r="AM351" s="36">
        <f>IF('My investments'!$H$13="",0,IF('My investments'!$F351='My investments'!$H$13,$AA351,0))</f>
        <v/>
      </c>
      <c r="AN351" s="36">
        <f>IF('My investments'!$H$14="",0,IF('My investments'!$F351='My investments'!$H$14,$AA351,0))</f>
        <v/>
      </c>
      <c r="AO351" s="36">
        <f>IF('My investments'!$H$15="",0,IF('My investments'!$F351='My investments'!$H$15,$AA351,0))</f>
        <v/>
      </c>
    </row>
    <row r="352" ht="15" customHeight="1" s="30">
      <c r="A352" s="36">
        <f>IF('My investments'!$C352="Worth today",1,0)</f>
        <v/>
      </c>
      <c r="B352" s="36">
        <f>IF('My investments'!$C352="Money in",1,0)</f>
        <v/>
      </c>
      <c r="AA352" s="36">
        <f>IF('My investments'!$C352="Money in",'My investments'!$D352,0)</f>
        <v/>
      </c>
      <c r="AB352" s="36">
        <f>IF('My investments'!$C352="Money out",'My investments'!$D352,0)</f>
        <v/>
      </c>
      <c r="AC352" s="36">
        <f>IF('My investments'!$C352="Worth today",'My investments'!$D352,0)</f>
        <v/>
      </c>
      <c r="AE352" s="36">
        <f>IF('My investments'!$H$11="",0,IF('My investments'!$F352='My investments'!$H$11,'My investments'!$E352,0))</f>
        <v/>
      </c>
      <c r="AF352" s="36">
        <f>IF('My investments'!$H$12="",0,IF('My investments'!$F352='My investments'!$H$12,'My investments'!$E352,0))</f>
        <v/>
      </c>
      <c r="AG352" s="36">
        <f>IF('My investments'!$H$13="",0,IF('My investments'!$F352='My investments'!$H$13,'My investments'!$E352,0))</f>
        <v/>
      </c>
      <c r="AH352" s="36">
        <f>IF('My investments'!$H$14="",0,IF('My investments'!$F352='My investments'!$H$14,'My investments'!$E352,0))</f>
        <v/>
      </c>
      <c r="AI352" s="36">
        <f>IF('My investments'!$H$15="",0,IF('My investments'!$F352='My investments'!$H$15,'My investments'!$E352,0))</f>
        <v/>
      </c>
      <c r="AK352" s="36">
        <f>IF('My investments'!$H$11="",0,IF('My investments'!$F352='My investments'!$H$11,$AA352,0))</f>
        <v/>
      </c>
      <c r="AL352" s="36">
        <f>IF('My investments'!$H$12="",0,IF('My investments'!$F352='My investments'!$H$12,$AA352,0))</f>
        <v/>
      </c>
      <c r="AM352" s="36">
        <f>IF('My investments'!$H$13="",0,IF('My investments'!$F352='My investments'!$H$13,$AA352,0))</f>
        <v/>
      </c>
      <c r="AN352" s="36">
        <f>IF('My investments'!$H$14="",0,IF('My investments'!$F352='My investments'!$H$14,$AA352,0))</f>
        <v/>
      </c>
      <c r="AO352" s="36">
        <f>IF('My investments'!$H$15="",0,IF('My investments'!$F352='My investments'!$H$15,$AA352,0))</f>
        <v/>
      </c>
    </row>
    <row r="353" ht="15" customHeight="1" s="30">
      <c r="A353" s="36">
        <f>IF('My investments'!$C353="Worth today",1,0)</f>
        <v/>
      </c>
      <c r="B353" s="36">
        <f>IF('My investments'!$C353="Money in",1,0)</f>
        <v/>
      </c>
      <c r="AA353" s="36">
        <f>IF('My investments'!$C353="Money in",'My investments'!$D353,0)</f>
        <v/>
      </c>
      <c r="AB353" s="36">
        <f>IF('My investments'!$C353="Money out",'My investments'!$D353,0)</f>
        <v/>
      </c>
      <c r="AC353" s="36">
        <f>IF('My investments'!$C353="Worth today",'My investments'!$D353,0)</f>
        <v/>
      </c>
      <c r="AE353" s="36">
        <f>IF('My investments'!$H$11="",0,IF('My investments'!$F353='My investments'!$H$11,'My investments'!$E353,0))</f>
        <v/>
      </c>
      <c r="AF353" s="36">
        <f>IF('My investments'!$H$12="",0,IF('My investments'!$F353='My investments'!$H$12,'My investments'!$E353,0))</f>
        <v/>
      </c>
      <c r="AG353" s="36">
        <f>IF('My investments'!$H$13="",0,IF('My investments'!$F353='My investments'!$H$13,'My investments'!$E353,0))</f>
        <v/>
      </c>
      <c r="AH353" s="36">
        <f>IF('My investments'!$H$14="",0,IF('My investments'!$F353='My investments'!$H$14,'My investments'!$E353,0))</f>
        <v/>
      </c>
      <c r="AI353" s="36">
        <f>IF('My investments'!$H$15="",0,IF('My investments'!$F353='My investments'!$H$15,'My investments'!$E353,0))</f>
        <v/>
      </c>
      <c r="AK353" s="36">
        <f>IF('My investments'!$H$11="",0,IF('My investments'!$F353='My investments'!$H$11,$AA353,0))</f>
        <v/>
      </c>
      <c r="AL353" s="36">
        <f>IF('My investments'!$H$12="",0,IF('My investments'!$F353='My investments'!$H$12,$AA353,0))</f>
        <v/>
      </c>
      <c r="AM353" s="36">
        <f>IF('My investments'!$H$13="",0,IF('My investments'!$F353='My investments'!$H$13,$AA353,0))</f>
        <v/>
      </c>
      <c r="AN353" s="36">
        <f>IF('My investments'!$H$14="",0,IF('My investments'!$F353='My investments'!$H$14,$AA353,0))</f>
        <v/>
      </c>
      <c r="AO353" s="36">
        <f>IF('My investments'!$H$15="",0,IF('My investments'!$F353='My investments'!$H$15,$AA353,0))</f>
        <v/>
      </c>
    </row>
    <row r="354" ht="15" customHeight="1" s="30">
      <c r="A354" s="36">
        <f>IF('My investments'!$C354="Worth today",1,0)</f>
        <v/>
      </c>
      <c r="B354" s="36">
        <f>IF('My investments'!$C354="Money in",1,0)</f>
        <v/>
      </c>
      <c r="AA354" s="36">
        <f>IF('My investments'!$C354="Money in",'My investments'!$D354,0)</f>
        <v/>
      </c>
      <c r="AB354" s="36">
        <f>IF('My investments'!$C354="Money out",'My investments'!$D354,0)</f>
        <v/>
      </c>
      <c r="AC354" s="36">
        <f>IF('My investments'!$C354="Worth today",'My investments'!$D354,0)</f>
        <v/>
      </c>
      <c r="AE354" s="36">
        <f>IF('My investments'!$H$11="",0,IF('My investments'!$F354='My investments'!$H$11,'My investments'!$E354,0))</f>
        <v/>
      </c>
      <c r="AF354" s="36">
        <f>IF('My investments'!$H$12="",0,IF('My investments'!$F354='My investments'!$H$12,'My investments'!$E354,0))</f>
        <v/>
      </c>
      <c r="AG354" s="36">
        <f>IF('My investments'!$H$13="",0,IF('My investments'!$F354='My investments'!$H$13,'My investments'!$E354,0))</f>
        <v/>
      </c>
      <c r="AH354" s="36">
        <f>IF('My investments'!$H$14="",0,IF('My investments'!$F354='My investments'!$H$14,'My investments'!$E354,0))</f>
        <v/>
      </c>
      <c r="AI354" s="36">
        <f>IF('My investments'!$H$15="",0,IF('My investments'!$F354='My investments'!$H$15,'My investments'!$E354,0))</f>
        <v/>
      </c>
      <c r="AK354" s="36">
        <f>IF('My investments'!$H$11="",0,IF('My investments'!$F354='My investments'!$H$11,$AA354,0))</f>
        <v/>
      </c>
      <c r="AL354" s="36">
        <f>IF('My investments'!$H$12="",0,IF('My investments'!$F354='My investments'!$H$12,$AA354,0))</f>
        <v/>
      </c>
      <c r="AM354" s="36">
        <f>IF('My investments'!$H$13="",0,IF('My investments'!$F354='My investments'!$H$13,$AA354,0))</f>
        <v/>
      </c>
      <c r="AN354" s="36">
        <f>IF('My investments'!$H$14="",0,IF('My investments'!$F354='My investments'!$H$14,$AA354,0))</f>
        <v/>
      </c>
      <c r="AO354" s="36">
        <f>IF('My investments'!$H$15="",0,IF('My investments'!$F354='My investments'!$H$15,$AA354,0))</f>
        <v/>
      </c>
    </row>
    <row r="355" ht="15" customHeight="1" s="30">
      <c r="A355" s="36">
        <f>IF('My investments'!$C355="Worth today",1,0)</f>
        <v/>
      </c>
      <c r="B355" s="36">
        <f>IF('My investments'!$C355="Money in",1,0)</f>
        <v/>
      </c>
      <c r="AA355" s="36">
        <f>IF('My investments'!$C355="Money in",'My investments'!$D355,0)</f>
        <v/>
      </c>
      <c r="AB355" s="36">
        <f>IF('My investments'!$C355="Money out",'My investments'!$D355,0)</f>
        <v/>
      </c>
      <c r="AC355" s="36">
        <f>IF('My investments'!$C355="Worth today",'My investments'!$D355,0)</f>
        <v/>
      </c>
      <c r="AE355" s="36">
        <f>IF('My investments'!$H$11="",0,IF('My investments'!$F355='My investments'!$H$11,'My investments'!$E355,0))</f>
        <v/>
      </c>
      <c r="AF355" s="36">
        <f>IF('My investments'!$H$12="",0,IF('My investments'!$F355='My investments'!$H$12,'My investments'!$E355,0))</f>
        <v/>
      </c>
      <c r="AG355" s="36">
        <f>IF('My investments'!$H$13="",0,IF('My investments'!$F355='My investments'!$H$13,'My investments'!$E355,0))</f>
        <v/>
      </c>
      <c r="AH355" s="36">
        <f>IF('My investments'!$H$14="",0,IF('My investments'!$F355='My investments'!$H$14,'My investments'!$E355,0))</f>
        <v/>
      </c>
      <c r="AI355" s="36">
        <f>IF('My investments'!$H$15="",0,IF('My investments'!$F355='My investments'!$H$15,'My investments'!$E355,0))</f>
        <v/>
      </c>
      <c r="AK355" s="36">
        <f>IF('My investments'!$H$11="",0,IF('My investments'!$F355='My investments'!$H$11,$AA355,0))</f>
        <v/>
      </c>
      <c r="AL355" s="36">
        <f>IF('My investments'!$H$12="",0,IF('My investments'!$F355='My investments'!$H$12,$AA355,0))</f>
        <v/>
      </c>
      <c r="AM355" s="36">
        <f>IF('My investments'!$H$13="",0,IF('My investments'!$F355='My investments'!$H$13,$AA355,0))</f>
        <v/>
      </c>
      <c r="AN355" s="36">
        <f>IF('My investments'!$H$14="",0,IF('My investments'!$F355='My investments'!$H$14,$AA355,0))</f>
        <v/>
      </c>
      <c r="AO355" s="36">
        <f>IF('My investments'!$H$15="",0,IF('My investments'!$F355='My investments'!$H$15,$AA355,0))</f>
        <v/>
      </c>
    </row>
    <row r="356" ht="15" customHeight="1" s="30">
      <c r="A356" s="36">
        <f>IF('My investments'!$C356="Worth today",1,0)</f>
        <v/>
      </c>
      <c r="B356" s="36">
        <f>IF('My investments'!$C356="Money in",1,0)</f>
        <v/>
      </c>
      <c r="AA356" s="36">
        <f>IF('My investments'!$C356="Money in",'My investments'!$D356,0)</f>
        <v/>
      </c>
      <c r="AB356" s="36">
        <f>IF('My investments'!$C356="Money out",'My investments'!$D356,0)</f>
        <v/>
      </c>
      <c r="AC356" s="36">
        <f>IF('My investments'!$C356="Worth today",'My investments'!$D356,0)</f>
        <v/>
      </c>
      <c r="AE356" s="36">
        <f>IF('My investments'!$H$11="",0,IF('My investments'!$F356='My investments'!$H$11,'My investments'!$E356,0))</f>
        <v/>
      </c>
      <c r="AF356" s="36">
        <f>IF('My investments'!$H$12="",0,IF('My investments'!$F356='My investments'!$H$12,'My investments'!$E356,0))</f>
        <v/>
      </c>
      <c r="AG356" s="36">
        <f>IF('My investments'!$H$13="",0,IF('My investments'!$F356='My investments'!$H$13,'My investments'!$E356,0))</f>
        <v/>
      </c>
      <c r="AH356" s="36">
        <f>IF('My investments'!$H$14="",0,IF('My investments'!$F356='My investments'!$H$14,'My investments'!$E356,0))</f>
        <v/>
      </c>
      <c r="AI356" s="36">
        <f>IF('My investments'!$H$15="",0,IF('My investments'!$F356='My investments'!$H$15,'My investments'!$E356,0))</f>
        <v/>
      </c>
      <c r="AK356" s="36">
        <f>IF('My investments'!$H$11="",0,IF('My investments'!$F356='My investments'!$H$11,$AA356,0))</f>
        <v/>
      </c>
      <c r="AL356" s="36">
        <f>IF('My investments'!$H$12="",0,IF('My investments'!$F356='My investments'!$H$12,$AA356,0))</f>
        <v/>
      </c>
      <c r="AM356" s="36">
        <f>IF('My investments'!$H$13="",0,IF('My investments'!$F356='My investments'!$H$13,$AA356,0))</f>
        <v/>
      </c>
      <c r="AN356" s="36">
        <f>IF('My investments'!$H$14="",0,IF('My investments'!$F356='My investments'!$H$14,$AA356,0))</f>
        <v/>
      </c>
      <c r="AO356" s="36">
        <f>IF('My investments'!$H$15="",0,IF('My investments'!$F356='My investments'!$H$15,$AA356,0))</f>
        <v/>
      </c>
    </row>
    <row r="357" ht="15" customHeight="1" s="30">
      <c r="A357" s="36">
        <f>IF('My investments'!$C357="Worth today",1,0)</f>
        <v/>
      </c>
      <c r="B357" s="36">
        <f>IF('My investments'!$C357="Money in",1,0)</f>
        <v/>
      </c>
      <c r="AA357" s="36">
        <f>IF('My investments'!$C357="Money in",'My investments'!$D357,0)</f>
        <v/>
      </c>
      <c r="AB357" s="36">
        <f>IF('My investments'!$C357="Money out",'My investments'!$D357,0)</f>
        <v/>
      </c>
      <c r="AC357" s="36">
        <f>IF('My investments'!$C357="Worth today",'My investments'!$D357,0)</f>
        <v/>
      </c>
      <c r="AE357" s="36">
        <f>IF('My investments'!$H$11="",0,IF('My investments'!$F357='My investments'!$H$11,'My investments'!$E357,0))</f>
        <v/>
      </c>
      <c r="AF357" s="36">
        <f>IF('My investments'!$H$12="",0,IF('My investments'!$F357='My investments'!$H$12,'My investments'!$E357,0))</f>
        <v/>
      </c>
      <c r="AG357" s="36">
        <f>IF('My investments'!$H$13="",0,IF('My investments'!$F357='My investments'!$H$13,'My investments'!$E357,0))</f>
        <v/>
      </c>
      <c r="AH357" s="36">
        <f>IF('My investments'!$H$14="",0,IF('My investments'!$F357='My investments'!$H$14,'My investments'!$E357,0))</f>
        <v/>
      </c>
      <c r="AI357" s="36">
        <f>IF('My investments'!$H$15="",0,IF('My investments'!$F357='My investments'!$H$15,'My investments'!$E357,0))</f>
        <v/>
      </c>
      <c r="AK357" s="36">
        <f>IF('My investments'!$H$11="",0,IF('My investments'!$F357='My investments'!$H$11,$AA357,0))</f>
        <v/>
      </c>
      <c r="AL357" s="36">
        <f>IF('My investments'!$H$12="",0,IF('My investments'!$F357='My investments'!$H$12,$AA357,0))</f>
        <v/>
      </c>
      <c r="AM357" s="36">
        <f>IF('My investments'!$H$13="",0,IF('My investments'!$F357='My investments'!$H$13,$AA357,0))</f>
        <v/>
      </c>
      <c r="AN357" s="36">
        <f>IF('My investments'!$H$14="",0,IF('My investments'!$F357='My investments'!$H$14,$AA357,0))</f>
        <v/>
      </c>
      <c r="AO357" s="36">
        <f>IF('My investments'!$H$15="",0,IF('My investments'!$F357='My investments'!$H$15,$AA357,0))</f>
        <v/>
      </c>
    </row>
    <row r="358" ht="15" customHeight="1" s="30">
      <c r="A358" s="36">
        <f>IF('My investments'!$C358="Worth today",1,0)</f>
        <v/>
      </c>
      <c r="B358" s="36">
        <f>IF('My investments'!$C358="Money in",1,0)</f>
        <v/>
      </c>
      <c r="AA358" s="36">
        <f>IF('My investments'!$C358="Money in",'My investments'!$D358,0)</f>
        <v/>
      </c>
      <c r="AB358" s="36">
        <f>IF('My investments'!$C358="Money out",'My investments'!$D358,0)</f>
        <v/>
      </c>
      <c r="AC358" s="36">
        <f>IF('My investments'!$C358="Worth today",'My investments'!$D358,0)</f>
        <v/>
      </c>
      <c r="AE358" s="36">
        <f>IF('My investments'!$H$11="",0,IF('My investments'!$F358='My investments'!$H$11,'My investments'!$E358,0))</f>
        <v/>
      </c>
      <c r="AF358" s="36">
        <f>IF('My investments'!$H$12="",0,IF('My investments'!$F358='My investments'!$H$12,'My investments'!$E358,0))</f>
        <v/>
      </c>
      <c r="AG358" s="36">
        <f>IF('My investments'!$H$13="",0,IF('My investments'!$F358='My investments'!$H$13,'My investments'!$E358,0))</f>
        <v/>
      </c>
      <c r="AH358" s="36">
        <f>IF('My investments'!$H$14="",0,IF('My investments'!$F358='My investments'!$H$14,'My investments'!$E358,0))</f>
        <v/>
      </c>
      <c r="AI358" s="36">
        <f>IF('My investments'!$H$15="",0,IF('My investments'!$F358='My investments'!$H$15,'My investments'!$E358,0))</f>
        <v/>
      </c>
      <c r="AK358" s="36">
        <f>IF('My investments'!$H$11="",0,IF('My investments'!$F358='My investments'!$H$11,$AA358,0))</f>
        <v/>
      </c>
      <c r="AL358" s="36">
        <f>IF('My investments'!$H$12="",0,IF('My investments'!$F358='My investments'!$H$12,$AA358,0))</f>
        <v/>
      </c>
      <c r="AM358" s="36">
        <f>IF('My investments'!$H$13="",0,IF('My investments'!$F358='My investments'!$H$13,$AA358,0))</f>
        <v/>
      </c>
      <c r="AN358" s="36">
        <f>IF('My investments'!$H$14="",0,IF('My investments'!$F358='My investments'!$H$14,$AA358,0))</f>
        <v/>
      </c>
      <c r="AO358" s="36">
        <f>IF('My investments'!$H$15="",0,IF('My investments'!$F358='My investments'!$H$15,$AA358,0))</f>
        <v/>
      </c>
    </row>
    <row r="359" ht="15" customHeight="1" s="30">
      <c r="A359" s="36">
        <f>IF('My investments'!$C359="Worth today",1,0)</f>
        <v/>
      </c>
      <c r="B359" s="36">
        <f>IF('My investments'!$C359="Money in",1,0)</f>
        <v/>
      </c>
      <c r="AA359" s="36">
        <f>IF('My investments'!$C359="Money in",'My investments'!$D359,0)</f>
        <v/>
      </c>
      <c r="AB359" s="36">
        <f>IF('My investments'!$C359="Money out",'My investments'!$D359,0)</f>
        <v/>
      </c>
      <c r="AC359" s="36">
        <f>IF('My investments'!$C359="Worth today",'My investments'!$D359,0)</f>
        <v/>
      </c>
      <c r="AE359" s="36">
        <f>IF('My investments'!$H$11="",0,IF('My investments'!$F359='My investments'!$H$11,'My investments'!$E359,0))</f>
        <v/>
      </c>
      <c r="AF359" s="36">
        <f>IF('My investments'!$H$12="",0,IF('My investments'!$F359='My investments'!$H$12,'My investments'!$E359,0))</f>
        <v/>
      </c>
      <c r="AG359" s="36">
        <f>IF('My investments'!$H$13="",0,IF('My investments'!$F359='My investments'!$H$13,'My investments'!$E359,0))</f>
        <v/>
      </c>
      <c r="AH359" s="36">
        <f>IF('My investments'!$H$14="",0,IF('My investments'!$F359='My investments'!$H$14,'My investments'!$E359,0))</f>
        <v/>
      </c>
      <c r="AI359" s="36">
        <f>IF('My investments'!$H$15="",0,IF('My investments'!$F359='My investments'!$H$15,'My investments'!$E359,0))</f>
        <v/>
      </c>
      <c r="AK359" s="36">
        <f>IF('My investments'!$H$11="",0,IF('My investments'!$F359='My investments'!$H$11,$AA359,0))</f>
        <v/>
      </c>
      <c r="AL359" s="36">
        <f>IF('My investments'!$H$12="",0,IF('My investments'!$F359='My investments'!$H$12,$AA359,0))</f>
        <v/>
      </c>
      <c r="AM359" s="36">
        <f>IF('My investments'!$H$13="",0,IF('My investments'!$F359='My investments'!$H$13,$AA359,0))</f>
        <v/>
      </c>
      <c r="AN359" s="36">
        <f>IF('My investments'!$H$14="",0,IF('My investments'!$F359='My investments'!$H$14,$AA359,0))</f>
        <v/>
      </c>
      <c r="AO359" s="36">
        <f>IF('My investments'!$H$15="",0,IF('My investments'!$F359='My investments'!$H$15,$AA359,0))</f>
        <v/>
      </c>
    </row>
    <row r="360" ht="15" customHeight="1" s="30">
      <c r="A360" s="36">
        <f>IF('My investments'!$C360="Worth today",1,0)</f>
        <v/>
      </c>
      <c r="B360" s="36">
        <f>IF('My investments'!$C360="Money in",1,0)</f>
        <v/>
      </c>
      <c r="AA360" s="36">
        <f>IF('My investments'!$C360="Money in",'My investments'!$D360,0)</f>
        <v/>
      </c>
      <c r="AB360" s="36">
        <f>IF('My investments'!$C360="Money out",'My investments'!$D360,0)</f>
        <v/>
      </c>
      <c r="AC360" s="36">
        <f>IF('My investments'!$C360="Worth today",'My investments'!$D360,0)</f>
        <v/>
      </c>
      <c r="AE360" s="36">
        <f>IF('My investments'!$H$11="",0,IF('My investments'!$F360='My investments'!$H$11,'My investments'!$E360,0))</f>
        <v/>
      </c>
      <c r="AF360" s="36">
        <f>IF('My investments'!$H$12="",0,IF('My investments'!$F360='My investments'!$H$12,'My investments'!$E360,0))</f>
        <v/>
      </c>
      <c r="AG360" s="36">
        <f>IF('My investments'!$H$13="",0,IF('My investments'!$F360='My investments'!$H$13,'My investments'!$E360,0))</f>
        <v/>
      </c>
      <c r="AH360" s="36">
        <f>IF('My investments'!$H$14="",0,IF('My investments'!$F360='My investments'!$H$14,'My investments'!$E360,0))</f>
        <v/>
      </c>
      <c r="AI360" s="36">
        <f>IF('My investments'!$H$15="",0,IF('My investments'!$F360='My investments'!$H$15,'My investments'!$E360,0))</f>
        <v/>
      </c>
      <c r="AK360" s="36">
        <f>IF('My investments'!$H$11="",0,IF('My investments'!$F360='My investments'!$H$11,$AA360,0))</f>
        <v/>
      </c>
      <c r="AL360" s="36">
        <f>IF('My investments'!$H$12="",0,IF('My investments'!$F360='My investments'!$H$12,$AA360,0))</f>
        <v/>
      </c>
      <c r="AM360" s="36">
        <f>IF('My investments'!$H$13="",0,IF('My investments'!$F360='My investments'!$H$13,$AA360,0))</f>
        <v/>
      </c>
      <c r="AN360" s="36">
        <f>IF('My investments'!$H$14="",0,IF('My investments'!$F360='My investments'!$H$14,$AA360,0))</f>
        <v/>
      </c>
      <c r="AO360" s="36">
        <f>IF('My investments'!$H$15="",0,IF('My investments'!$F360='My investments'!$H$15,$AA360,0))</f>
        <v/>
      </c>
    </row>
    <row r="361" ht="15" customHeight="1" s="30">
      <c r="A361" s="36">
        <f>IF('My investments'!$C361="Worth today",1,0)</f>
        <v/>
      </c>
      <c r="B361" s="36">
        <f>IF('My investments'!$C361="Money in",1,0)</f>
        <v/>
      </c>
      <c r="AA361" s="36">
        <f>IF('My investments'!$C361="Money in",'My investments'!$D361,0)</f>
        <v/>
      </c>
      <c r="AB361" s="36">
        <f>IF('My investments'!$C361="Money out",'My investments'!$D361,0)</f>
        <v/>
      </c>
      <c r="AC361" s="36">
        <f>IF('My investments'!$C361="Worth today",'My investments'!$D361,0)</f>
        <v/>
      </c>
      <c r="AE361" s="36">
        <f>IF('My investments'!$H$11="",0,IF('My investments'!$F361='My investments'!$H$11,'My investments'!$E361,0))</f>
        <v/>
      </c>
      <c r="AF361" s="36">
        <f>IF('My investments'!$H$12="",0,IF('My investments'!$F361='My investments'!$H$12,'My investments'!$E361,0))</f>
        <v/>
      </c>
      <c r="AG361" s="36">
        <f>IF('My investments'!$H$13="",0,IF('My investments'!$F361='My investments'!$H$13,'My investments'!$E361,0))</f>
        <v/>
      </c>
      <c r="AH361" s="36">
        <f>IF('My investments'!$H$14="",0,IF('My investments'!$F361='My investments'!$H$14,'My investments'!$E361,0))</f>
        <v/>
      </c>
      <c r="AI361" s="36">
        <f>IF('My investments'!$H$15="",0,IF('My investments'!$F361='My investments'!$H$15,'My investments'!$E361,0))</f>
        <v/>
      </c>
      <c r="AK361" s="36">
        <f>IF('My investments'!$H$11="",0,IF('My investments'!$F361='My investments'!$H$11,$AA361,0))</f>
        <v/>
      </c>
      <c r="AL361" s="36">
        <f>IF('My investments'!$H$12="",0,IF('My investments'!$F361='My investments'!$H$12,$AA361,0))</f>
        <v/>
      </c>
      <c r="AM361" s="36">
        <f>IF('My investments'!$H$13="",0,IF('My investments'!$F361='My investments'!$H$13,$AA361,0))</f>
        <v/>
      </c>
      <c r="AN361" s="36">
        <f>IF('My investments'!$H$14="",0,IF('My investments'!$F361='My investments'!$H$14,$AA361,0))</f>
        <v/>
      </c>
      <c r="AO361" s="36">
        <f>IF('My investments'!$H$15="",0,IF('My investments'!$F361='My investments'!$H$15,$AA361,0))</f>
        <v/>
      </c>
    </row>
    <row r="362" ht="15" customHeight="1" s="30">
      <c r="A362" s="36">
        <f>IF('My investments'!$C362="Worth today",1,0)</f>
        <v/>
      </c>
      <c r="B362" s="36">
        <f>IF('My investments'!$C362="Money in",1,0)</f>
        <v/>
      </c>
      <c r="AA362" s="36">
        <f>IF('My investments'!$C362="Money in",'My investments'!$D362,0)</f>
        <v/>
      </c>
      <c r="AB362" s="36">
        <f>IF('My investments'!$C362="Money out",'My investments'!$D362,0)</f>
        <v/>
      </c>
      <c r="AC362" s="36">
        <f>IF('My investments'!$C362="Worth today",'My investments'!$D362,0)</f>
        <v/>
      </c>
      <c r="AE362" s="36">
        <f>IF('My investments'!$H$11="",0,IF('My investments'!$F362='My investments'!$H$11,'My investments'!$E362,0))</f>
        <v/>
      </c>
      <c r="AF362" s="36">
        <f>IF('My investments'!$H$12="",0,IF('My investments'!$F362='My investments'!$H$12,'My investments'!$E362,0))</f>
        <v/>
      </c>
      <c r="AG362" s="36">
        <f>IF('My investments'!$H$13="",0,IF('My investments'!$F362='My investments'!$H$13,'My investments'!$E362,0))</f>
        <v/>
      </c>
      <c r="AH362" s="36">
        <f>IF('My investments'!$H$14="",0,IF('My investments'!$F362='My investments'!$H$14,'My investments'!$E362,0))</f>
        <v/>
      </c>
      <c r="AI362" s="36">
        <f>IF('My investments'!$H$15="",0,IF('My investments'!$F362='My investments'!$H$15,'My investments'!$E362,0))</f>
        <v/>
      </c>
      <c r="AK362" s="36">
        <f>IF('My investments'!$H$11="",0,IF('My investments'!$F362='My investments'!$H$11,$AA362,0))</f>
        <v/>
      </c>
      <c r="AL362" s="36">
        <f>IF('My investments'!$H$12="",0,IF('My investments'!$F362='My investments'!$H$12,$AA362,0))</f>
        <v/>
      </c>
      <c r="AM362" s="36">
        <f>IF('My investments'!$H$13="",0,IF('My investments'!$F362='My investments'!$H$13,$AA362,0))</f>
        <v/>
      </c>
      <c r="AN362" s="36">
        <f>IF('My investments'!$H$14="",0,IF('My investments'!$F362='My investments'!$H$14,$AA362,0))</f>
        <v/>
      </c>
      <c r="AO362" s="36">
        <f>IF('My investments'!$H$15="",0,IF('My investments'!$F362='My investments'!$H$15,$AA362,0))</f>
        <v/>
      </c>
    </row>
    <row r="363" ht="15" customHeight="1" s="30">
      <c r="A363" s="36">
        <f>IF('My investments'!$C363="Worth today",1,0)</f>
        <v/>
      </c>
      <c r="B363" s="36">
        <f>IF('My investments'!$C363="Money in",1,0)</f>
        <v/>
      </c>
      <c r="AA363" s="36">
        <f>IF('My investments'!$C363="Money in",'My investments'!$D363,0)</f>
        <v/>
      </c>
      <c r="AB363" s="36">
        <f>IF('My investments'!$C363="Money out",'My investments'!$D363,0)</f>
        <v/>
      </c>
      <c r="AC363" s="36">
        <f>IF('My investments'!$C363="Worth today",'My investments'!$D363,0)</f>
        <v/>
      </c>
      <c r="AE363" s="36">
        <f>IF('My investments'!$H$11="",0,IF('My investments'!$F363='My investments'!$H$11,'My investments'!$E363,0))</f>
        <v/>
      </c>
      <c r="AF363" s="36">
        <f>IF('My investments'!$H$12="",0,IF('My investments'!$F363='My investments'!$H$12,'My investments'!$E363,0))</f>
        <v/>
      </c>
      <c r="AG363" s="36">
        <f>IF('My investments'!$H$13="",0,IF('My investments'!$F363='My investments'!$H$13,'My investments'!$E363,0))</f>
        <v/>
      </c>
      <c r="AH363" s="36">
        <f>IF('My investments'!$H$14="",0,IF('My investments'!$F363='My investments'!$H$14,'My investments'!$E363,0))</f>
        <v/>
      </c>
      <c r="AI363" s="36">
        <f>IF('My investments'!$H$15="",0,IF('My investments'!$F363='My investments'!$H$15,'My investments'!$E363,0))</f>
        <v/>
      </c>
      <c r="AK363" s="36">
        <f>IF('My investments'!$H$11="",0,IF('My investments'!$F363='My investments'!$H$11,$AA363,0))</f>
        <v/>
      </c>
      <c r="AL363" s="36">
        <f>IF('My investments'!$H$12="",0,IF('My investments'!$F363='My investments'!$H$12,$AA363,0))</f>
        <v/>
      </c>
      <c r="AM363" s="36">
        <f>IF('My investments'!$H$13="",0,IF('My investments'!$F363='My investments'!$H$13,$AA363,0))</f>
        <v/>
      </c>
      <c r="AN363" s="36">
        <f>IF('My investments'!$H$14="",0,IF('My investments'!$F363='My investments'!$H$14,$AA363,0))</f>
        <v/>
      </c>
      <c r="AO363" s="36">
        <f>IF('My investments'!$H$15="",0,IF('My investments'!$F363='My investments'!$H$15,$AA363,0))</f>
        <v/>
      </c>
    </row>
    <row r="364" ht="15" customHeight="1" s="30">
      <c r="A364" s="36">
        <f>IF('My investments'!$C364="Worth today",1,0)</f>
        <v/>
      </c>
      <c r="B364" s="36">
        <f>IF('My investments'!$C364="Money in",1,0)</f>
        <v/>
      </c>
      <c r="AA364" s="36">
        <f>IF('My investments'!$C364="Money in",'My investments'!$D364,0)</f>
        <v/>
      </c>
      <c r="AB364" s="36">
        <f>IF('My investments'!$C364="Money out",'My investments'!$D364,0)</f>
        <v/>
      </c>
      <c r="AC364" s="36">
        <f>IF('My investments'!$C364="Worth today",'My investments'!$D364,0)</f>
        <v/>
      </c>
      <c r="AE364" s="36">
        <f>IF('My investments'!$H$11="",0,IF('My investments'!$F364='My investments'!$H$11,'My investments'!$E364,0))</f>
        <v/>
      </c>
      <c r="AF364" s="36">
        <f>IF('My investments'!$H$12="",0,IF('My investments'!$F364='My investments'!$H$12,'My investments'!$E364,0))</f>
        <v/>
      </c>
      <c r="AG364" s="36">
        <f>IF('My investments'!$H$13="",0,IF('My investments'!$F364='My investments'!$H$13,'My investments'!$E364,0))</f>
        <v/>
      </c>
      <c r="AH364" s="36">
        <f>IF('My investments'!$H$14="",0,IF('My investments'!$F364='My investments'!$H$14,'My investments'!$E364,0))</f>
        <v/>
      </c>
      <c r="AI364" s="36">
        <f>IF('My investments'!$H$15="",0,IF('My investments'!$F364='My investments'!$H$15,'My investments'!$E364,0))</f>
        <v/>
      </c>
      <c r="AK364" s="36">
        <f>IF('My investments'!$H$11="",0,IF('My investments'!$F364='My investments'!$H$11,$AA364,0))</f>
        <v/>
      </c>
      <c r="AL364" s="36">
        <f>IF('My investments'!$H$12="",0,IF('My investments'!$F364='My investments'!$H$12,$AA364,0))</f>
        <v/>
      </c>
      <c r="AM364" s="36">
        <f>IF('My investments'!$H$13="",0,IF('My investments'!$F364='My investments'!$H$13,$AA364,0))</f>
        <v/>
      </c>
      <c r="AN364" s="36">
        <f>IF('My investments'!$H$14="",0,IF('My investments'!$F364='My investments'!$H$14,$AA364,0))</f>
        <v/>
      </c>
      <c r="AO364" s="36">
        <f>IF('My investments'!$H$15="",0,IF('My investments'!$F364='My investments'!$H$15,$AA364,0))</f>
        <v/>
      </c>
    </row>
    <row r="365" ht="15" customHeight="1" s="30">
      <c r="A365" s="36">
        <f>IF('My investments'!$C365="Worth today",1,0)</f>
        <v/>
      </c>
      <c r="B365" s="36">
        <f>IF('My investments'!$C365="Money in",1,0)</f>
        <v/>
      </c>
      <c r="AA365" s="36">
        <f>IF('My investments'!$C365="Money in",'My investments'!$D365,0)</f>
        <v/>
      </c>
      <c r="AB365" s="36">
        <f>IF('My investments'!$C365="Money out",'My investments'!$D365,0)</f>
        <v/>
      </c>
      <c r="AC365" s="36">
        <f>IF('My investments'!$C365="Worth today",'My investments'!$D365,0)</f>
        <v/>
      </c>
      <c r="AE365" s="36">
        <f>IF('My investments'!$H$11="",0,IF('My investments'!$F365='My investments'!$H$11,'My investments'!$E365,0))</f>
        <v/>
      </c>
      <c r="AF365" s="36">
        <f>IF('My investments'!$H$12="",0,IF('My investments'!$F365='My investments'!$H$12,'My investments'!$E365,0))</f>
        <v/>
      </c>
      <c r="AG365" s="36">
        <f>IF('My investments'!$H$13="",0,IF('My investments'!$F365='My investments'!$H$13,'My investments'!$E365,0))</f>
        <v/>
      </c>
      <c r="AH365" s="36">
        <f>IF('My investments'!$H$14="",0,IF('My investments'!$F365='My investments'!$H$14,'My investments'!$E365,0))</f>
        <v/>
      </c>
      <c r="AI365" s="36">
        <f>IF('My investments'!$H$15="",0,IF('My investments'!$F365='My investments'!$H$15,'My investments'!$E365,0))</f>
        <v/>
      </c>
      <c r="AK365" s="36">
        <f>IF('My investments'!$H$11="",0,IF('My investments'!$F365='My investments'!$H$11,$AA365,0))</f>
        <v/>
      </c>
      <c r="AL365" s="36">
        <f>IF('My investments'!$H$12="",0,IF('My investments'!$F365='My investments'!$H$12,$AA365,0))</f>
        <v/>
      </c>
      <c r="AM365" s="36">
        <f>IF('My investments'!$H$13="",0,IF('My investments'!$F365='My investments'!$H$13,$AA365,0))</f>
        <v/>
      </c>
      <c r="AN365" s="36">
        <f>IF('My investments'!$H$14="",0,IF('My investments'!$F365='My investments'!$H$14,$AA365,0))</f>
        <v/>
      </c>
      <c r="AO365" s="36">
        <f>IF('My investments'!$H$15="",0,IF('My investments'!$F365='My investments'!$H$15,$AA365,0))</f>
        <v/>
      </c>
    </row>
    <row r="366" ht="15" customHeight="1" s="30">
      <c r="A366" s="36">
        <f>IF('My investments'!$C366="Worth today",1,0)</f>
        <v/>
      </c>
      <c r="B366" s="36">
        <f>IF('My investments'!$C366="Money in",1,0)</f>
        <v/>
      </c>
      <c r="AA366" s="36">
        <f>IF('My investments'!$C366="Money in",'My investments'!$D366,0)</f>
        <v/>
      </c>
      <c r="AB366" s="36">
        <f>IF('My investments'!$C366="Money out",'My investments'!$D366,0)</f>
        <v/>
      </c>
      <c r="AC366" s="36">
        <f>IF('My investments'!$C366="Worth today",'My investments'!$D366,0)</f>
        <v/>
      </c>
      <c r="AE366" s="36">
        <f>IF('My investments'!$H$11="",0,IF('My investments'!$F366='My investments'!$H$11,'My investments'!$E366,0))</f>
        <v/>
      </c>
      <c r="AF366" s="36">
        <f>IF('My investments'!$H$12="",0,IF('My investments'!$F366='My investments'!$H$12,'My investments'!$E366,0))</f>
        <v/>
      </c>
      <c r="AG366" s="36">
        <f>IF('My investments'!$H$13="",0,IF('My investments'!$F366='My investments'!$H$13,'My investments'!$E366,0))</f>
        <v/>
      </c>
      <c r="AH366" s="36">
        <f>IF('My investments'!$H$14="",0,IF('My investments'!$F366='My investments'!$H$14,'My investments'!$E366,0))</f>
        <v/>
      </c>
      <c r="AI366" s="36">
        <f>IF('My investments'!$H$15="",0,IF('My investments'!$F366='My investments'!$H$15,'My investments'!$E366,0))</f>
        <v/>
      </c>
      <c r="AK366" s="36">
        <f>IF('My investments'!$H$11="",0,IF('My investments'!$F366='My investments'!$H$11,$AA366,0))</f>
        <v/>
      </c>
      <c r="AL366" s="36">
        <f>IF('My investments'!$H$12="",0,IF('My investments'!$F366='My investments'!$H$12,$AA366,0))</f>
        <v/>
      </c>
      <c r="AM366" s="36">
        <f>IF('My investments'!$H$13="",0,IF('My investments'!$F366='My investments'!$H$13,$AA366,0))</f>
        <v/>
      </c>
      <c r="AN366" s="36">
        <f>IF('My investments'!$H$14="",0,IF('My investments'!$F366='My investments'!$H$14,$AA366,0))</f>
        <v/>
      </c>
      <c r="AO366" s="36">
        <f>IF('My investments'!$H$15="",0,IF('My investments'!$F366='My investments'!$H$15,$AA366,0))</f>
        <v/>
      </c>
    </row>
    <row r="367" ht="15" customHeight="1" s="30">
      <c r="A367" s="36">
        <f>IF('My investments'!$C367="Worth today",1,0)</f>
        <v/>
      </c>
      <c r="B367" s="36">
        <f>IF('My investments'!$C367="Money in",1,0)</f>
        <v/>
      </c>
      <c r="AA367" s="36">
        <f>IF('My investments'!$C367="Money in",'My investments'!$D367,0)</f>
        <v/>
      </c>
      <c r="AB367" s="36">
        <f>IF('My investments'!$C367="Money out",'My investments'!$D367,0)</f>
        <v/>
      </c>
      <c r="AC367" s="36">
        <f>IF('My investments'!$C367="Worth today",'My investments'!$D367,0)</f>
        <v/>
      </c>
      <c r="AE367" s="36">
        <f>IF('My investments'!$H$11="",0,IF('My investments'!$F367='My investments'!$H$11,'My investments'!$E367,0))</f>
        <v/>
      </c>
      <c r="AF367" s="36">
        <f>IF('My investments'!$H$12="",0,IF('My investments'!$F367='My investments'!$H$12,'My investments'!$E367,0))</f>
        <v/>
      </c>
      <c r="AG367" s="36">
        <f>IF('My investments'!$H$13="",0,IF('My investments'!$F367='My investments'!$H$13,'My investments'!$E367,0))</f>
        <v/>
      </c>
      <c r="AH367" s="36">
        <f>IF('My investments'!$H$14="",0,IF('My investments'!$F367='My investments'!$H$14,'My investments'!$E367,0))</f>
        <v/>
      </c>
      <c r="AI367" s="36">
        <f>IF('My investments'!$H$15="",0,IF('My investments'!$F367='My investments'!$H$15,'My investments'!$E367,0))</f>
        <v/>
      </c>
      <c r="AK367" s="36">
        <f>IF('My investments'!$H$11="",0,IF('My investments'!$F367='My investments'!$H$11,$AA367,0))</f>
        <v/>
      </c>
      <c r="AL367" s="36">
        <f>IF('My investments'!$H$12="",0,IF('My investments'!$F367='My investments'!$H$12,$AA367,0))</f>
        <v/>
      </c>
      <c r="AM367" s="36">
        <f>IF('My investments'!$H$13="",0,IF('My investments'!$F367='My investments'!$H$13,$AA367,0))</f>
        <v/>
      </c>
      <c r="AN367" s="36">
        <f>IF('My investments'!$H$14="",0,IF('My investments'!$F367='My investments'!$H$14,$AA367,0))</f>
        <v/>
      </c>
      <c r="AO367" s="36">
        <f>IF('My investments'!$H$15="",0,IF('My investments'!$F367='My investments'!$H$15,$AA367,0))</f>
        <v/>
      </c>
    </row>
    <row r="368" ht="15" customHeight="1" s="30">
      <c r="A368" s="36">
        <f>IF('My investments'!$C368="Worth today",1,0)</f>
        <v/>
      </c>
      <c r="B368" s="36">
        <f>IF('My investments'!$C368="Money in",1,0)</f>
        <v/>
      </c>
      <c r="AA368" s="36">
        <f>IF('My investments'!$C368="Money in",'My investments'!$D368,0)</f>
        <v/>
      </c>
      <c r="AB368" s="36">
        <f>IF('My investments'!$C368="Money out",'My investments'!$D368,0)</f>
        <v/>
      </c>
      <c r="AC368" s="36">
        <f>IF('My investments'!$C368="Worth today",'My investments'!$D368,0)</f>
        <v/>
      </c>
      <c r="AE368" s="36">
        <f>IF('My investments'!$H$11="",0,IF('My investments'!$F368='My investments'!$H$11,'My investments'!$E368,0))</f>
        <v/>
      </c>
      <c r="AF368" s="36">
        <f>IF('My investments'!$H$12="",0,IF('My investments'!$F368='My investments'!$H$12,'My investments'!$E368,0))</f>
        <v/>
      </c>
      <c r="AG368" s="36">
        <f>IF('My investments'!$H$13="",0,IF('My investments'!$F368='My investments'!$H$13,'My investments'!$E368,0))</f>
        <v/>
      </c>
      <c r="AH368" s="36">
        <f>IF('My investments'!$H$14="",0,IF('My investments'!$F368='My investments'!$H$14,'My investments'!$E368,0))</f>
        <v/>
      </c>
      <c r="AI368" s="36">
        <f>IF('My investments'!$H$15="",0,IF('My investments'!$F368='My investments'!$H$15,'My investments'!$E368,0))</f>
        <v/>
      </c>
      <c r="AK368" s="36">
        <f>IF('My investments'!$H$11="",0,IF('My investments'!$F368='My investments'!$H$11,$AA368,0))</f>
        <v/>
      </c>
      <c r="AL368" s="36">
        <f>IF('My investments'!$H$12="",0,IF('My investments'!$F368='My investments'!$H$12,$AA368,0))</f>
        <v/>
      </c>
      <c r="AM368" s="36">
        <f>IF('My investments'!$H$13="",0,IF('My investments'!$F368='My investments'!$H$13,$AA368,0))</f>
        <v/>
      </c>
      <c r="AN368" s="36">
        <f>IF('My investments'!$H$14="",0,IF('My investments'!$F368='My investments'!$H$14,$AA368,0))</f>
        <v/>
      </c>
      <c r="AO368" s="36">
        <f>IF('My investments'!$H$15="",0,IF('My investments'!$F368='My investments'!$H$15,$AA368,0))</f>
        <v/>
      </c>
    </row>
    <row r="369" ht="15" customHeight="1" s="30">
      <c r="A369" s="36">
        <f>IF('My investments'!$C369="Worth today",1,0)</f>
        <v/>
      </c>
      <c r="B369" s="36">
        <f>IF('My investments'!$C369="Money in",1,0)</f>
        <v/>
      </c>
      <c r="AA369" s="36">
        <f>IF('My investments'!$C369="Money in",'My investments'!$D369,0)</f>
        <v/>
      </c>
      <c r="AB369" s="36">
        <f>IF('My investments'!$C369="Money out",'My investments'!$D369,0)</f>
        <v/>
      </c>
      <c r="AC369" s="36">
        <f>IF('My investments'!$C369="Worth today",'My investments'!$D369,0)</f>
        <v/>
      </c>
      <c r="AE369" s="36">
        <f>IF('My investments'!$H$11="",0,IF('My investments'!$F369='My investments'!$H$11,'My investments'!$E369,0))</f>
        <v/>
      </c>
      <c r="AF369" s="36">
        <f>IF('My investments'!$H$12="",0,IF('My investments'!$F369='My investments'!$H$12,'My investments'!$E369,0))</f>
        <v/>
      </c>
      <c r="AG369" s="36">
        <f>IF('My investments'!$H$13="",0,IF('My investments'!$F369='My investments'!$H$13,'My investments'!$E369,0))</f>
        <v/>
      </c>
      <c r="AH369" s="36">
        <f>IF('My investments'!$H$14="",0,IF('My investments'!$F369='My investments'!$H$14,'My investments'!$E369,0))</f>
        <v/>
      </c>
      <c r="AI369" s="36">
        <f>IF('My investments'!$H$15="",0,IF('My investments'!$F369='My investments'!$H$15,'My investments'!$E369,0))</f>
        <v/>
      </c>
      <c r="AK369" s="36">
        <f>IF('My investments'!$H$11="",0,IF('My investments'!$F369='My investments'!$H$11,$AA369,0))</f>
        <v/>
      </c>
      <c r="AL369" s="36">
        <f>IF('My investments'!$H$12="",0,IF('My investments'!$F369='My investments'!$H$12,$AA369,0))</f>
        <v/>
      </c>
      <c r="AM369" s="36">
        <f>IF('My investments'!$H$13="",0,IF('My investments'!$F369='My investments'!$H$13,$AA369,0))</f>
        <v/>
      </c>
      <c r="AN369" s="36">
        <f>IF('My investments'!$H$14="",0,IF('My investments'!$F369='My investments'!$H$14,$AA369,0))</f>
        <v/>
      </c>
      <c r="AO369" s="36">
        <f>IF('My investments'!$H$15="",0,IF('My investments'!$F369='My investments'!$H$15,$AA369,0))</f>
        <v/>
      </c>
    </row>
    <row r="370" ht="15" customHeight="1" s="30">
      <c r="A370" s="36">
        <f>IF('My investments'!$C370="Worth today",1,0)</f>
        <v/>
      </c>
      <c r="B370" s="36">
        <f>IF('My investments'!$C370="Money in",1,0)</f>
        <v/>
      </c>
      <c r="AA370" s="36">
        <f>IF('My investments'!$C370="Money in",'My investments'!$D370,0)</f>
        <v/>
      </c>
      <c r="AB370" s="36">
        <f>IF('My investments'!$C370="Money out",'My investments'!$D370,0)</f>
        <v/>
      </c>
      <c r="AC370" s="36">
        <f>IF('My investments'!$C370="Worth today",'My investments'!$D370,0)</f>
        <v/>
      </c>
      <c r="AE370" s="36">
        <f>IF('My investments'!$H$11="",0,IF('My investments'!$F370='My investments'!$H$11,'My investments'!$E370,0))</f>
        <v/>
      </c>
      <c r="AF370" s="36">
        <f>IF('My investments'!$H$12="",0,IF('My investments'!$F370='My investments'!$H$12,'My investments'!$E370,0))</f>
        <v/>
      </c>
      <c r="AG370" s="36">
        <f>IF('My investments'!$H$13="",0,IF('My investments'!$F370='My investments'!$H$13,'My investments'!$E370,0))</f>
        <v/>
      </c>
      <c r="AH370" s="36">
        <f>IF('My investments'!$H$14="",0,IF('My investments'!$F370='My investments'!$H$14,'My investments'!$E370,0))</f>
        <v/>
      </c>
      <c r="AI370" s="36">
        <f>IF('My investments'!$H$15="",0,IF('My investments'!$F370='My investments'!$H$15,'My investments'!$E370,0))</f>
        <v/>
      </c>
      <c r="AK370" s="36">
        <f>IF('My investments'!$H$11="",0,IF('My investments'!$F370='My investments'!$H$11,$AA370,0))</f>
        <v/>
      </c>
      <c r="AL370" s="36">
        <f>IF('My investments'!$H$12="",0,IF('My investments'!$F370='My investments'!$H$12,$AA370,0))</f>
        <v/>
      </c>
      <c r="AM370" s="36">
        <f>IF('My investments'!$H$13="",0,IF('My investments'!$F370='My investments'!$H$13,$AA370,0))</f>
        <v/>
      </c>
      <c r="AN370" s="36">
        <f>IF('My investments'!$H$14="",0,IF('My investments'!$F370='My investments'!$H$14,$AA370,0))</f>
        <v/>
      </c>
      <c r="AO370" s="36">
        <f>IF('My investments'!$H$15="",0,IF('My investments'!$F370='My investments'!$H$15,$AA370,0))</f>
        <v/>
      </c>
    </row>
    <row r="371" ht="15" customHeight="1" s="30">
      <c r="A371" s="36">
        <f>IF('My investments'!$C371="Worth today",1,0)</f>
        <v/>
      </c>
      <c r="B371" s="36">
        <f>IF('My investments'!$C371="Money in",1,0)</f>
        <v/>
      </c>
      <c r="AA371" s="36">
        <f>IF('My investments'!$C371="Money in",'My investments'!$D371,0)</f>
        <v/>
      </c>
      <c r="AB371" s="36">
        <f>IF('My investments'!$C371="Money out",'My investments'!$D371,0)</f>
        <v/>
      </c>
      <c r="AC371" s="36">
        <f>IF('My investments'!$C371="Worth today",'My investments'!$D371,0)</f>
        <v/>
      </c>
      <c r="AE371" s="36">
        <f>IF('My investments'!$H$11="",0,IF('My investments'!$F371='My investments'!$H$11,'My investments'!$E371,0))</f>
        <v/>
      </c>
      <c r="AF371" s="36">
        <f>IF('My investments'!$H$12="",0,IF('My investments'!$F371='My investments'!$H$12,'My investments'!$E371,0))</f>
        <v/>
      </c>
      <c r="AG371" s="36">
        <f>IF('My investments'!$H$13="",0,IF('My investments'!$F371='My investments'!$H$13,'My investments'!$E371,0))</f>
        <v/>
      </c>
      <c r="AH371" s="36">
        <f>IF('My investments'!$H$14="",0,IF('My investments'!$F371='My investments'!$H$14,'My investments'!$E371,0))</f>
        <v/>
      </c>
      <c r="AI371" s="36">
        <f>IF('My investments'!$H$15="",0,IF('My investments'!$F371='My investments'!$H$15,'My investments'!$E371,0))</f>
        <v/>
      </c>
      <c r="AK371" s="36">
        <f>IF('My investments'!$H$11="",0,IF('My investments'!$F371='My investments'!$H$11,$AA371,0))</f>
        <v/>
      </c>
      <c r="AL371" s="36">
        <f>IF('My investments'!$H$12="",0,IF('My investments'!$F371='My investments'!$H$12,$AA371,0))</f>
        <v/>
      </c>
      <c r="AM371" s="36">
        <f>IF('My investments'!$H$13="",0,IF('My investments'!$F371='My investments'!$H$13,$AA371,0))</f>
        <v/>
      </c>
      <c r="AN371" s="36">
        <f>IF('My investments'!$H$14="",0,IF('My investments'!$F371='My investments'!$H$14,$AA371,0))</f>
        <v/>
      </c>
      <c r="AO371" s="36">
        <f>IF('My investments'!$H$15="",0,IF('My investments'!$F371='My investments'!$H$15,$AA371,0))</f>
        <v/>
      </c>
    </row>
    <row r="372" ht="15" customHeight="1" s="30">
      <c r="A372" s="36">
        <f>IF('My investments'!$C372="Worth today",1,0)</f>
        <v/>
      </c>
      <c r="B372" s="36">
        <f>IF('My investments'!$C372="Money in",1,0)</f>
        <v/>
      </c>
      <c r="AA372" s="36">
        <f>IF('My investments'!$C372="Money in",'My investments'!$D372,0)</f>
        <v/>
      </c>
      <c r="AB372" s="36">
        <f>IF('My investments'!$C372="Money out",'My investments'!$D372,0)</f>
        <v/>
      </c>
      <c r="AC372" s="36">
        <f>IF('My investments'!$C372="Worth today",'My investments'!$D372,0)</f>
        <v/>
      </c>
      <c r="AE372" s="36">
        <f>IF('My investments'!$H$11="",0,IF('My investments'!$F372='My investments'!$H$11,'My investments'!$E372,0))</f>
        <v/>
      </c>
      <c r="AF372" s="36">
        <f>IF('My investments'!$H$12="",0,IF('My investments'!$F372='My investments'!$H$12,'My investments'!$E372,0))</f>
        <v/>
      </c>
      <c r="AG372" s="36">
        <f>IF('My investments'!$H$13="",0,IF('My investments'!$F372='My investments'!$H$13,'My investments'!$E372,0))</f>
        <v/>
      </c>
      <c r="AH372" s="36">
        <f>IF('My investments'!$H$14="",0,IF('My investments'!$F372='My investments'!$H$14,'My investments'!$E372,0))</f>
        <v/>
      </c>
      <c r="AI372" s="36">
        <f>IF('My investments'!$H$15="",0,IF('My investments'!$F372='My investments'!$H$15,'My investments'!$E372,0))</f>
        <v/>
      </c>
      <c r="AK372" s="36">
        <f>IF('My investments'!$H$11="",0,IF('My investments'!$F372='My investments'!$H$11,$AA372,0))</f>
        <v/>
      </c>
      <c r="AL372" s="36">
        <f>IF('My investments'!$H$12="",0,IF('My investments'!$F372='My investments'!$H$12,$AA372,0))</f>
        <v/>
      </c>
      <c r="AM372" s="36">
        <f>IF('My investments'!$H$13="",0,IF('My investments'!$F372='My investments'!$H$13,$AA372,0))</f>
        <v/>
      </c>
      <c r="AN372" s="36">
        <f>IF('My investments'!$H$14="",0,IF('My investments'!$F372='My investments'!$H$14,$AA372,0))</f>
        <v/>
      </c>
      <c r="AO372" s="36">
        <f>IF('My investments'!$H$15="",0,IF('My investments'!$F372='My investments'!$H$15,$AA372,0))</f>
        <v/>
      </c>
    </row>
    <row r="373" ht="15" customHeight="1" s="30">
      <c r="A373" s="36">
        <f>IF('My investments'!$C373="Worth today",1,0)</f>
        <v/>
      </c>
      <c r="B373" s="36">
        <f>IF('My investments'!$C373="Money in",1,0)</f>
        <v/>
      </c>
      <c r="AA373" s="36">
        <f>IF('My investments'!$C373="Money in",'My investments'!$D373,0)</f>
        <v/>
      </c>
      <c r="AB373" s="36">
        <f>IF('My investments'!$C373="Money out",'My investments'!$D373,0)</f>
        <v/>
      </c>
      <c r="AC373" s="36">
        <f>IF('My investments'!$C373="Worth today",'My investments'!$D373,0)</f>
        <v/>
      </c>
      <c r="AE373" s="36">
        <f>IF('My investments'!$H$11="",0,IF('My investments'!$F373='My investments'!$H$11,'My investments'!$E373,0))</f>
        <v/>
      </c>
      <c r="AF373" s="36">
        <f>IF('My investments'!$H$12="",0,IF('My investments'!$F373='My investments'!$H$12,'My investments'!$E373,0))</f>
        <v/>
      </c>
      <c r="AG373" s="36">
        <f>IF('My investments'!$H$13="",0,IF('My investments'!$F373='My investments'!$H$13,'My investments'!$E373,0))</f>
        <v/>
      </c>
      <c r="AH373" s="36">
        <f>IF('My investments'!$H$14="",0,IF('My investments'!$F373='My investments'!$H$14,'My investments'!$E373,0))</f>
        <v/>
      </c>
      <c r="AI373" s="36">
        <f>IF('My investments'!$H$15="",0,IF('My investments'!$F373='My investments'!$H$15,'My investments'!$E373,0))</f>
        <v/>
      </c>
      <c r="AK373" s="36">
        <f>IF('My investments'!$H$11="",0,IF('My investments'!$F373='My investments'!$H$11,$AA373,0))</f>
        <v/>
      </c>
      <c r="AL373" s="36">
        <f>IF('My investments'!$H$12="",0,IF('My investments'!$F373='My investments'!$H$12,$AA373,0))</f>
        <v/>
      </c>
      <c r="AM373" s="36">
        <f>IF('My investments'!$H$13="",0,IF('My investments'!$F373='My investments'!$H$13,$AA373,0))</f>
        <v/>
      </c>
      <c r="AN373" s="36">
        <f>IF('My investments'!$H$14="",0,IF('My investments'!$F373='My investments'!$H$14,$AA373,0))</f>
        <v/>
      </c>
      <c r="AO373" s="36">
        <f>IF('My investments'!$H$15="",0,IF('My investments'!$F373='My investments'!$H$15,$AA373,0))</f>
        <v/>
      </c>
    </row>
    <row r="374" ht="15" customHeight="1" s="30">
      <c r="A374" s="36">
        <f>IF('My investments'!$C374="Worth today",1,0)</f>
        <v/>
      </c>
      <c r="B374" s="36">
        <f>IF('My investments'!$C374="Money in",1,0)</f>
        <v/>
      </c>
      <c r="AA374" s="36">
        <f>IF('My investments'!$C374="Money in",'My investments'!$D374,0)</f>
        <v/>
      </c>
      <c r="AB374" s="36">
        <f>IF('My investments'!$C374="Money out",'My investments'!$D374,0)</f>
        <v/>
      </c>
      <c r="AC374" s="36">
        <f>IF('My investments'!$C374="Worth today",'My investments'!$D374,0)</f>
        <v/>
      </c>
      <c r="AE374" s="36">
        <f>IF('My investments'!$H$11="",0,IF('My investments'!$F374='My investments'!$H$11,'My investments'!$E374,0))</f>
        <v/>
      </c>
      <c r="AF374" s="36">
        <f>IF('My investments'!$H$12="",0,IF('My investments'!$F374='My investments'!$H$12,'My investments'!$E374,0))</f>
        <v/>
      </c>
      <c r="AG374" s="36">
        <f>IF('My investments'!$H$13="",0,IF('My investments'!$F374='My investments'!$H$13,'My investments'!$E374,0))</f>
        <v/>
      </c>
      <c r="AH374" s="36">
        <f>IF('My investments'!$H$14="",0,IF('My investments'!$F374='My investments'!$H$14,'My investments'!$E374,0))</f>
        <v/>
      </c>
      <c r="AI374" s="36">
        <f>IF('My investments'!$H$15="",0,IF('My investments'!$F374='My investments'!$H$15,'My investments'!$E374,0))</f>
        <v/>
      </c>
      <c r="AK374" s="36">
        <f>IF('My investments'!$H$11="",0,IF('My investments'!$F374='My investments'!$H$11,$AA374,0))</f>
        <v/>
      </c>
      <c r="AL374" s="36">
        <f>IF('My investments'!$H$12="",0,IF('My investments'!$F374='My investments'!$H$12,$AA374,0))</f>
        <v/>
      </c>
      <c r="AM374" s="36">
        <f>IF('My investments'!$H$13="",0,IF('My investments'!$F374='My investments'!$H$13,$AA374,0))</f>
        <v/>
      </c>
      <c r="AN374" s="36">
        <f>IF('My investments'!$H$14="",0,IF('My investments'!$F374='My investments'!$H$14,$AA374,0))</f>
        <v/>
      </c>
      <c r="AO374" s="36">
        <f>IF('My investments'!$H$15="",0,IF('My investments'!$F374='My investments'!$H$15,$AA374,0))</f>
        <v/>
      </c>
    </row>
    <row r="375" ht="15" customHeight="1" s="30">
      <c r="A375" s="36">
        <f>IF('My investments'!$C375="Worth today",1,0)</f>
        <v/>
      </c>
      <c r="B375" s="36">
        <f>IF('My investments'!$C375="Money in",1,0)</f>
        <v/>
      </c>
      <c r="AA375" s="36">
        <f>IF('My investments'!$C375="Money in",'My investments'!$D375,0)</f>
        <v/>
      </c>
      <c r="AB375" s="36">
        <f>IF('My investments'!$C375="Money out",'My investments'!$D375,0)</f>
        <v/>
      </c>
      <c r="AC375" s="36">
        <f>IF('My investments'!$C375="Worth today",'My investments'!$D375,0)</f>
        <v/>
      </c>
      <c r="AE375" s="36">
        <f>IF('My investments'!$H$11="",0,IF('My investments'!$F375='My investments'!$H$11,'My investments'!$E375,0))</f>
        <v/>
      </c>
      <c r="AF375" s="36">
        <f>IF('My investments'!$H$12="",0,IF('My investments'!$F375='My investments'!$H$12,'My investments'!$E375,0))</f>
        <v/>
      </c>
      <c r="AG375" s="36">
        <f>IF('My investments'!$H$13="",0,IF('My investments'!$F375='My investments'!$H$13,'My investments'!$E375,0))</f>
        <v/>
      </c>
      <c r="AH375" s="36">
        <f>IF('My investments'!$H$14="",0,IF('My investments'!$F375='My investments'!$H$14,'My investments'!$E375,0))</f>
        <v/>
      </c>
      <c r="AI375" s="36">
        <f>IF('My investments'!$H$15="",0,IF('My investments'!$F375='My investments'!$H$15,'My investments'!$E375,0))</f>
        <v/>
      </c>
      <c r="AK375" s="36">
        <f>IF('My investments'!$H$11="",0,IF('My investments'!$F375='My investments'!$H$11,$AA375,0))</f>
        <v/>
      </c>
      <c r="AL375" s="36">
        <f>IF('My investments'!$H$12="",0,IF('My investments'!$F375='My investments'!$H$12,$AA375,0))</f>
        <v/>
      </c>
      <c r="AM375" s="36">
        <f>IF('My investments'!$H$13="",0,IF('My investments'!$F375='My investments'!$H$13,$AA375,0))</f>
        <v/>
      </c>
      <c r="AN375" s="36">
        <f>IF('My investments'!$H$14="",0,IF('My investments'!$F375='My investments'!$H$14,$AA375,0))</f>
        <v/>
      </c>
      <c r="AO375" s="36">
        <f>IF('My investments'!$H$15="",0,IF('My investments'!$F375='My investments'!$H$15,$AA375,0))</f>
        <v/>
      </c>
    </row>
    <row r="376" ht="15" customHeight="1" s="30">
      <c r="A376" s="36">
        <f>IF('My investments'!$C376="Worth today",1,0)</f>
        <v/>
      </c>
      <c r="B376" s="36">
        <f>IF('My investments'!$C376="Money in",1,0)</f>
        <v/>
      </c>
      <c r="AA376" s="36">
        <f>IF('My investments'!$C376="Money in",'My investments'!$D376,0)</f>
        <v/>
      </c>
      <c r="AB376" s="36">
        <f>IF('My investments'!$C376="Money out",'My investments'!$D376,0)</f>
        <v/>
      </c>
      <c r="AC376" s="36">
        <f>IF('My investments'!$C376="Worth today",'My investments'!$D376,0)</f>
        <v/>
      </c>
      <c r="AE376" s="36">
        <f>IF('My investments'!$H$11="",0,IF('My investments'!$F376='My investments'!$H$11,'My investments'!$E376,0))</f>
        <v/>
      </c>
      <c r="AF376" s="36">
        <f>IF('My investments'!$H$12="",0,IF('My investments'!$F376='My investments'!$H$12,'My investments'!$E376,0))</f>
        <v/>
      </c>
      <c r="AG376" s="36">
        <f>IF('My investments'!$H$13="",0,IF('My investments'!$F376='My investments'!$H$13,'My investments'!$E376,0))</f>
        <v/>
      </c>
      <c r="AH376" s="36">
        <f>IF('My investments'!$H$14="",0,IF('My investments'!$F376='My investments'!$H$14,'My investments'!$E376,0))</f>
        <v/>
      </c>
      <c r="AI376" s="36">
        <f>IF('My investments'!$H$15="",0,IF('My investments'!$F376='My investments'!$H$15,'My investments'!$E376,0))</f>
        <v/>
      </c>
      <c r="AK376" s="36">
        <f>IF('My investments'!$H$11="",0,IF('My investments'!$F376='My investments'!$H$11,$AA376,0))</f>
        <v/>
      </c>
      <c r="AL376" s="36">
        <f>IF('My investments'!$H$12="",0,IF('My investments'!$F376='My investments'!$H$12,$AA376,0))</f>
        <v/>
      </c>
      <c r="AM376" s="36">
        <f>IF('My investments'!$H$13="",0,IF('My investments'!$F376='My investments'!$H$13,$AA376,0))</f>
        <v/>
      </c>
      <c r="AN376" s="36">
        <f>IF('My investments'!$H$14="",0,IF('My investments'!$F376='My investments'!$H$14,$AA376,0))</f>
        <v/>
      </c>
      <c r="AO376" s="36">
        <f>IF('My investments'!$H$15="",0,IF('My investments'!$F376='My investments'!$H$15,$AA376,0))</f>
        <v/>
      </c>
    </row>
    <row r="377" ht="15" customHeight="1" s="30">
      <c r="A377" s="36">
        <f>IF('My investments'!$C377="Worth today",1,0)</f>
        <v/>
      </c>
      <c r="B377" s="36">
        <f>IF('My investments'!$C377="Money in",1,0)</f>
        <v/>
      </c>
      <c r="AA377" s="36">
        <f>IF('My investments'!$C377="Money in",'My investments'!$D377,0)</f>
        <v/>
      </c>
      <c r="AB377" s="36">
        <f>IF('My investments'!$C377="Money out",'My investments'!$D377,0)</f>
        <v/>
      </c>
      <c r="AC377" s="36">
        <f>IF('My investments'!$C377="Worth today",'My investments'!$D377,0)</f>
        <v/>
      </c>
      <c r="AE377" s="36">
        <f>IF('My investments'!$H$11="",0,IF('My investments'!$F377='My investments'!$H$11,'My investments'!$E377,0))</f>
        <v/>
      </c>
      <c r="AF377" s="36">
        <f>IF('My investments'!$H$12="",0,IF('My investments'!$F377='My investments'!$H$12,'My investments'!$E377,0))</f>
        <v/>
      </c>
      <c r="AG377" s="36">
        <f>IF('My investments'!$H$13="",0,IF('My investments'!$F377='My investments'!$H$13,'My investments'!$E377,0))</f>
        <v/>
      </c>
      <c r="AH377" s="36">
        <f>IF('My investments'!$H$14="",0,IF('My investments'!$F377='My investments'!$H$14,'My investments'!$E377,0))</f>
        <v/>
      </c>
      <c r="AI377" s="36">
        <f>IF('My investments'!$H$15="",0,IF('My investments'!$F377='My investments'!$H$15,'My investments'!$E377,0))</f>
        <v/>
      </c>
      <c r="AK377" s="36">
        <f>IF('My investments'!$H$11="",0,IF('My investments'!$F377='My investments'!$H$11,$AA377,0))</f>
        <v/>
      </c>
      <c r="AL377" s="36">
        <f>IF('My investments'!$H$12="",0,IF('My investments'!$F377='My investments'!$H$12,$AA377,0))</f>
        <v/>
      </c>
      <c r="AM377" s="36">
        <f>IF('My investments'!$H$13="",0,IF('My investments'!$F377='My investments'!$H$13,$AA377,0))</f>
        <v/>
      </c>
      <c r="AN377" s="36">
        <f>IF('My investments'!$H$14="",0,IF('My investments'!$F377='My investments'!$H$14,$AA377,0))</f>
        <v/>
      </c>
      <c r="AO377" s="36">
        <f>IF('My investments'!$H$15="",0,IF('My investments'!$F377='My investments'!$H$15,$AA377,0))</f>
        <v/>
      </c>
    </row>
    <row r="378" ht="15" customHeight="1" s="30">
      <c r="A378" s="36">
        <f>IF('My investments'!$C378="Worth today",1,0)</f>
        <v/>
      </c>
      <c r="B378" s="36">
        <f>IF('My investments'!$C378="Money in",1,0)</f>
        <v/>
      </c>
      <c r="AA378" s="36">
        <f>IF('My investments'!$C378="Money in",'My investments'!$D378,0)</f>
        <v/>
      </c>
      <c r="AB378" s="36">
        <f>IF('My investments'!$C378="Money out",'My investments'!$D378,0)</f>
        <v/>
      </c>
      <c r="AC378" s="36">
        <f>IF('My investments'!$C378="Worth today",'My investments'!$D378,0)</f>
        <v/>
      </c>
      <c r="AE378" s="36">
        <f>IF('My investments'!$H$11="",0,IF('My investments'!$F378='My investments'!$H$11,'My investments'!$E378,0))</f>
        <v/>
      </c>
      <c r="AF378" s="36">
        <f>IF('My investments'!$H$12="",0,IF('My investments'!$F378='My investments'!$H$12,'My investments'!$E378,0))</f>
        <v/>
      </c>
      <c r="AG378" s="36">
        <f>IF('My investments'!$H$13="",0,IF('My investments'!$F378='My investments'!$H$13,'My investments'!$E378,0))</f>
        <v/>
      </c>
      <c r="AH378" s="36">
        <f>IF('My investments'!$H$14="",0,IF('My investments'!$F378='My investments'!$H$14,'My investments'!$E378,0))</f>
        <v/>
      </c>
      <c r="AI378" s="36">
        <f>IF('My investments'!$H$15="",0,IF('My investments'!$F378='My investments'!$H$15,'My investments'!$E378,0))</f>
        <v/>
      </c>
      <c r="AK378" s="36">
        <f>IF('My investments'!$H$11="",0,IF('My investments'!$F378='My investments'!$H$11,$AA378,0))</f>
        <v/>
      </c>
      <c r="AL378" s="36">
        <f>IF('My investments'!$H$12="",0,IF('My investments'!$F378='My investments'!$H$12,$AA378,0))</f>
        <v/>
      </c>
      <c r="AM378" s="36">
        <f>IF('My investments'!$H$13="",0,IF('My investments'!$F378='My investments'!$H$13,$AA378,0))</f>
        <v/>
      </c>
      <c r="AN378" s="36">
        <f>IF('My investments'!$H$14="",0,IF('My investments'!$F378='My investments'!$H$14,$AA378,0))</f>
        <v/>
      </c>
      <c r="AO378" s="36">
        <f>IF('My investments'!$H$15="",0,IF('My investments'!$F378='My investments'!$H$15,$AA378,0))</f>
        <v/>
      </c>
    </row>
    <row r="379" ht="15" customHeight="1" s="30">
      <c r="A379" s="36">
        <f>IF('My investments'!$C379="Worth today",1,0)</f>
        <v/>
      </c>
      <c r="B379" s="36">
        <f>IF('My investments'!$C379="Money in",1,0)</f>
        <v/>
      </c>
      <c r="AA379" s="36">
        <f>IF('My investments'!$C379="Money in",'My investments'!$D379,0)</f>
        <v/>
      </c>
      <c r="AB379" s="36">
        <f>IF('My investments'!$C379="Money out",'My investments'!$D379,0)</f>
        <v/>
      </c>
      <c r="AC379" s="36">
        <f>IF('My investments'!$C379="Worth today",'My investments'!$D379,0)</f>
        <v/>
      </c>
      <c r="AE379" s="36">
        <f>IF('My investments'!$H$11="",0,IF('My investments'!$F379='My investments'!$H$11,'My investments'!$E379,0))</f>
        <v/>
      </c>
      <c r="AF379" s="36">
        <f>IF('My investments'!$H$12="",0,IF('My investments'!$F379='My investments'!$H$12,'My investments'!$E379,0))</f>
        <v/>
      </c>
      <c r="AG379" s="36">
        <f>IF('My investments'!$H$13="",0,IF('My investments'!$F379='My investments'!$H$13,'My investments'!$E379,0))</f>
        <v/>
      </c>
      <c r="AH379" s="36">
        <f>IF('My investments'!$H$14="",0,IF('My investments'!$F379='My investments'!$H$14,'My investments'!$E379,0))</f>
        <v/>
      </c>
      <c r="AI379" s="36">
        <f>IF('My investments'!$H$15="",0,IF('My investments'!$F379='My investments'!$H$15,'My investments'!$E379,0))</f>
        <v/>
      </c>
      <c r="AK379" s="36">
        <f>IF('My investments'!$H$11="",0,IF('My investments'!$F379='My investments'!$H$11,$AA379,0))</f>
        <v/>
      </c>
      <c r="AL379" s="36">
        <f>IF('My investments'!$H$12="",0,IF('My investments'!$F379='My investments'!$H$12,$AA379,0))</f>
        <v/>
      </c>
      <c r="AM379" s="36">
        <f>IF('My investments'!$H$13="",0,IF('My investments'!$F379='My investments'!$H$13,$AA379,0))</f>
        <v/>
      </c>
      <c r="AN379" s="36">
        <f>IF('My investments'!$H$14="",0,IF('My investments'!$F379='My investments'!$H$14,$AA379,0))</f>
        <v/>
      </c>
      <c r="AO379" s="36">
        <f>IF('My investments'!$H$15="",0,IF('My investments'!$F379='My investments'!$H$15,$AA379,0))</f>
        <v/>
      </c>
    </row>
    <row r="380" ht="15" customHeight="1" s="30">
      <c r="A380" s="36">
        <f>IF('My investments'!$C380="Worth today",1,0)</f>
        <v/>
      </c>
      <c r="B380" s="36">
        <f>IF('My investments'!$C380="Money in",1,0)</f>
        <v/>
      </c>
      <c r="AA380" s="36">
        <f>IF('My investments'!$C380="Money in",'My investments'!$D380,0)</f>
        <v/>
      </c>
      <c r="AB380" s="36">
        <f>IF('My investments'!$C380="Money out",'My investments'!$D380,0)</f>
        <v/>
      </c>
      <c r="AC380" s="36">
        <f>IF('My investments'!$C380="Worth today",'My investments'!$D380,0)</f>
        <v/>
      </c>
      <c r="AE380" s="36">
        <f>IF('My investments'!$H$11="",0,IF('My investments'!$F380='My investments'!$H$11,'My investments'!$E380,0))</f>
        <v/>
      </c>
      <c r="AF380" s="36">
        <f>IF('My investments'!$H$12="",0,IF('My investments'!$F380='My investments'!$H$12,'My investments'!$E380,0))</f>
        <v/>
      </c>
      <c r="AG380" s="36">
        <f>IF('My investments'!$H$13="",0,IF('My investments'!$F380='My investments'!$H$13,'My investments'!$E380,0))</f>
        <v/>
      </c>
      <c r="AH380" s="36">
        <f>IF('My investments'!$H$14="",0,IF('My investments'!$F380='My investments'!$H$14,'My investments'!$E380,0))</f>
        <v/>
      </c>
      <c r="AI380" s="36">
        <f>IF('My investments'!$H$15="",0,IF('My investments'!$F380='My investments'!$H$15,'My investments'!$E380,0))</f>
        <v/>
      </c>
      <c r="AK380" s="36">
        <f>IF('My investments'!$H$11="",0,IF('My investments'!$F380='My investments'!$H$11,$AA380,0))</f>
        <v/>
      </c>
      <c r="AL380" s="36">
        <f>IF('My investments'!$H$12="",0,IF('My investments'!$F380='My investments'!$H$12,$AA380,0))</f>
        <v/>
      </c>
      <c r="AM380" s="36">
        <f>IF('My investments'!$H$13="",0,IF('My investments'!$F380='My investments'!$H$13,$AA380,0))</f>
        <v/>
      </c>
      <c r="AN380" s="36">
        <f>IF('My investments'!$H$14="",0,IF('My investments'!$F380='My investments'!$H$14,$AA380,0))</f>
        <v/>
      </c>
      <c r="AO380" s="36">
        <f>IF('My investments'!$H$15="",0,IF('My investments'!$F380='My investments'!$H$15,$AA380,0))</f>
        <v/>
      </c>
    </row>
    <row r="381" ht="15" customHeight="1" s="30">
      <c r="A381" s="36">
        <f>IF('My investments'!$C381="Worth today",1,0)</f>
        <v/>
      </c>
      <c r="B381" s="36">
        <f>IF('My investments'!$C381="Money in",1,0)</f>
        <v/>
      </c>
      <c r="AA381" s="36">
        <f>IF('My investments'!$C381="Money in",'My investments'!$D381,0)</f>
        <v/>
      </c>
      <c r="AB381" s="36">
        <f>IF('My investments'!$C381="Money out",'My investments'!$D381,0)</f>
        <v/>
      </c>
      <c r="AC381" s="36">
        <f>IF('My investments'!$C381="Worth today",'My investments'!$D381,0)</f>
        <v/>
      </c>
      <c r="AE381" s="36">
        <f>IF('My investments'!$H$11="",0,IF('My investments'!$F381='My investments'!$H$11,'My investments'!$E381,0))</f>
        <v/>
      </c>
      <c r="AF381" s="36">
        <f>IF('My investments'!$H$12="",0,IF('My investments'!$F381='My investments'!$H$12,'My investments'!$E381,0))</f>
        <v/>
      </c>
      <c r="AG381" s="36">
        <f>IF('My investments'!$H$13="",0,IF('My investments'!$F381='My investments'!$H$13,'My investments'!$E381,0))</f>
        <v/>
      </c>
      <c r="AH381" s="36">
        <f>IF('My investments'!$H$14="",0,IF('My investments'!$F381='My investments'!$H$14,'My investments'!$E381,0))</f>
        <v/>
      </c>
      <c r="AI381" s="36">
        <f>IF('My investments'!$H$15="",0,IF('My investments'!$F381='My investments'!$H$15,'My investments'!$E381,0))</f>
        <v/>
      </c>
      <c r="AK381" s="36">
        <f>IF('My investments'!$H$11="",0,IF('My investments'!$F381='My investments'!$H$11,$AA381,0))</f>
        <v/>
      </c>
      <c r="AL381" s="36">
        <f>IF('My investments'!$H$12="",0,IF('My investments'!$F381='My investments'!$H$12,$AA381,0))</f>
        <v/>
      </c>
      <c r="AM381" s="36">
        <f>IF('My investments'!$H$13="",0,IF('My investments'!$F381='My investments'!$H$13,$AA381,0))</f>
        <v/>
      </c>
      <c r="AN381" s="36">
        <f>IF('My investments'!$H$14="",0,IF('My investments'!$F381='My investments'!$H$14,$AA381,0))</f>
        <v/>
      </c>
      <c r="AO381" s="36">
        <f>IF('My investments'!$H$15="",0,IF('My investments'!$F381='My investments'!$H$15,$AA381,0))</f>
        <v/>
      </c>
    </row>
    <row r="382" ht="15" customHeight="1" s="30">
      <c r="A382" s="36">
        <f>IF('My investments'!$C382="Worth today",1,0)</f>
        <v/>
      </c>
      <c r="B382" s="36">
        <f>IF('My investments'!$C382="Money in",1,0)</f>
        <v/>
      </c>
      <c r="AA382" s="36">
        <f>IF('My investments'!$C382="Money in",'My investments'!$D382,0)</f>
        <v/>
      </c>
      <c r="AB382" s="36">
        <f>IF('My investments'!$C382="Money out",'My investments'!$D382,0)</f>
        <v/>
      </c>
      <c r="AC382" s="36">
        <f>IF('My investments'!$C382="Worth today",'My investments'!$D382,0)</f>
        <v/>
      </c>
      <c r="AE382" s="36">
        <f>IF('My investments'!$H$11="",0,IF('My investments'!$F382='My investments'!$H$11,'My investments'!$E382,0))</f>
        <v/>
      </c>
      <c r="AF382" s="36">
        <f>IF('My investments'!$H$12="",0,IF('My investments'!$F382='My investments'!$H$12,'My investments'!$E382,0))</f>
        <v/>
      </c>
      <c r="AG382" s="36">
        <f>IF('My investments'!$H$13="",0,IF('My investments'!$F382='My investments'!$H$13,'My investments'!$E382,0))</f>
        <v/>
      </c>
      <c r="AH382" s="36">
        <f>IF('My investments'!$H$14="",0,IF('My investments'!$F382='My investments'!$H$14,'My investments'!$E382,0))</f>
        <v/>
      </c>
      <c r="AI382" s="36">
        <f>IF('My investments'!$H$15="",0,IF('My investments'!$F382='My investments'!$H$15,'My investments'!$E382,0))</f>
        <v/>
      </c>
      <c r="AK382" s="36">
        <f>IF('My investments'!$H$11="",0,IF('My investments'!$F382='My investments'!$H$11,$AA382,0))</f>
        <v/>
      </c>
      <c r="AL382" s="36">
        <f>IF('My investments'!$H$12="",0,IF('My investments'!$F382='My investments'!$H$12,$AA382,0))</f>
        <v/>
      </c>
      <c r="AM382" s="36">
        <f>IF('My investments'!$H$13="",0,IF('My investments'!$F382='My investments'!$H$13,$AA382,0))</f>
        <v/>
      </c>
      <c r="AN382" s="36">
        <f>IF('My investments'!$H$14="",0,IF('My investments'!$F382='My investments'!$H$14,$AA382,0))</f>
        <v/>
      </c>
      <c r="AO382" s="36">
        <f>IF('My investments'!$H$15="",0,IF('My investments'!$F382='My investments'!$H$15,$AA382,0))</f>
        <v/>
      </c>
    </row>
    <row r="383" ht="15" customHeight="1" s="30">
      <c r="A383" s="36">
        <f>IF('My investments'!$C383="Worth today",1,0)</f>
        <v/>
      </c>
      <c r="B383" s="36">
        <f>IF('My investments'!$C383="Money in",1,0)</f>
        <v/>
      </c>
      <c r="AA383" s="36">
        <f>IF('My investments'!$C383="Money in",'My investments'!$D383,0)</f>
        <v/>
      </c>
      <c r="AB383" s="36">
        <f>IF('My investments'!$C383="Money out",'My investments'!$D383,0)</f>
        <v/>
      </c>
      <c r="AC383" s="36">
        <f>IF('My investments'!$C383="Worth today",'My investments'!$D383,0)</f>
        <v/>
      </c>
      <c r="AE383" s="36">
        <f>IF('My investments'!$H$11="",0,IF('My investments'!$F383='My investments'!$H$11,'My investments'!$E383,0))</f>
        <v/>
      </c>
      <c r="AF383" s="36">
        <f>IF('My investments'!$H$12="",0,IF('My investments'!$F383='My investments'!$H$12,'My investments'!$E383,0))</f>
        <v/>
      </c>
      <c r="AG383" s="36">
        <f>IF('My investments'!$H$13="",0,IF('My investments'!$F383='My investments'!$H$13,'My investments'!$E383,0))</f>
        <v/>
      </c>
      <c r="AH383" s="36">
        <f>IF('My investments'!$H$14="",0,IF('My investments'!$F383='My investments'!$H$14,'My investments'!$E383,0))</f>
        <v/>
      </c>
      <c r="AI383" s="36">
        <f>IF('My investments'!$H$15="",0,IF('My investments'!$F383='My investments'!$H$15,'My investments'!$E383,0))</f>
        <v/>
      </c>
      <c r="AK383" s="36">
        <f>IF('My investments'!$H$11="",0,IF('My investments'!$F383='My investments'!$H$11,$AA383,0))</f>
        <v/>
      </c>
      <c r="AL383" s="36">
        <f>IF('My investments'!$H$12="",0,IF('My investments'!$F383='My investments'!$H$12,$AA383,0))</f>
        <v/>
      </c>
      <c r="AM383" s="36">
        <f>IF('My investments'!$H$13="",0,IF('My investments'!$F383='My investments'!$H$13,$AA383,0))</f>
        <v/>
      </c>
      <c r="AN383" s="36">
        <f>IF('My investments'!$H$14="",0,IF('My investments'!$F383='My investments'!$H$14,$AA383,0))</f>
        <v/>
      </c>
      <c r="AO383" s="36">
        <f>IF('My investments'!$H$15="",0,IF('My investments'!$F383='My investments'!$H$15,$AA383,0))</f>
        <v/>
      </c>
    </row>
    <row r="384" ht="15" customHeight="1" s="30">
      <c r="A384" s="36">
        <f>IF('My investments'!$C384="Worth today",1,0)</f>
        <v/>
      </c>
      <c r="B384" s="36">
        <f>IF('My investments'!$C384="Money in",1,0)</f>
        <v/>
      </c>
      <c r="AA384" s="36">
        <f>IF('My investments'!$C384="Money in",'My investments'!$D384,0)</f>
        <v/>
      </c>
      <c r="AB384" s="36">
        <f>IF('My investments'!$C384="Money out",'My investments'!$D384,0)</f>
        <v/>
      </c>
      <c r="AC384" s="36">
        <f>IF('My investments'!$C384="Worth today",'My investments'!$D384,0)</f>
        <v/>
      </c>
      <c r="AE384" s="36">
        <f>IF('My investments'!$H$11="",0,IF('My investments'!$F384='My investments'!$H$11,'My investments'!$E384,0))</f>
        <v/>
      </c>
      <c r="AF384" s="36">
        <f>IF('My investments'!$H$12="",0,IF('My investments'!$F384='My investments'!$H$12,'My investments'!$E384,0))</f>
        <v/>
      </c>
      <c r="AG384" s="36">
        <f>IF('My investments'!$H$13="",0,IF('My investments'!$F384='My investments'!$H$13,'My investments'!$E384,0))</f>
        <v/>
      </c>
      <c r="AH384" s="36">
        <f>IF('My investments'!$H$14="",0,IF('My investments'!$F384='My investments'!$H$14,'My investments'!$E384,0))</f>
        <v/>
      </c>
      <c r="AI384" s="36">
        <f>IF('My investments'!$H$15="",0,IF('My investments'!$F384='My investments'!$H$15,'My investments'!$E384,0))</f>
        <v/>
      </c>
      <c r="AK384" s="36">
        <f>IF('My investments'!$H$11="",0,IF('My investments'!$F384='My investments'!$H$11,$AA384,0))</f>
        <v/>
      </c>
      <c r="AL384" s="36">
        <f>IF('My investments'!$H$12="",0,IF('My investments'!$F384='My investments'!$H$12,$AA384,0))</f>
        <v/>
      </c>
      <c r="AM384" s="36">
        <f>IF('My investments'!$H$13="",0,IF('My investments'!$F384='My investments'!$H$13,$AA384,0))</f>
        <v/>
      </c>
      <c r="AN384" s="36">
        <f>IF('My investments'!$H$14="",0,IF('My investments'!$F384='My investments'!$H$14,$AA384,0))</f>
        <v/>
      </c>
      <c r="AO384" s="36">
        <f>IF('My investments'!$H$15="",0,IF('My investments'!$F384='My investments'!$H$15,$AA384,0))</f>
        <v/>
      </c>
    </row>
    <row r="385" ht="15" customHeight="1" s="30">
      <c r="A385" s="36">
        <f>IF('My investments'!$C385="Worth today",1,0)</f>
        <v/>
      </c>
      <c r="B385" s="36">
        <f>IF('My investments'!$C385="Money in",1,0)</f>
        <v/>
      </c>
      <c r="AA385" s="36">
        <f>IF('My investments'!$C385="Money in",'My investments'!$D385,0)</f>
        <v/>
      </c>
      <c r="AB385" s="36">
        <f>IF('My investments'!$C385="Money out",'My investments'!$D385,0)</f>
        <v/>
      </c>
      <c r="AC385" s="36">
        <f>IF('My investments'!$C385="Worth today",'My investments'!$D385,0)</f>
        <v/>
      </c>
      <c r="AE385" s="36">
        <f>IF('My investments'!$H$11="",0,IF('My investments'!$F385='My investments'!$H$11,'My investments'!$E385,0))</f>
        <v/>
      </c>
      <c r="AF385" s="36">
        <f>IF('My investments'!$H$12="",0,IF('My investments'!$F385='My investments'!$H$12,'My investments'!$E385,0))</f>
        <v/>
      </c>
      <c r="AG385" s="36">
        <f>IF('My investments'!$H$13="",0,IF('My investments'!$F385='My investments'!$H$13,'My investments'!$E385,0))</f>
        <v/>
      </c>
      <c r="AH385" s="36">
        <f>IF('My investments'!$H$14="",0,IF('My investments'!$F385='My investments'!$H$14,'My investments'!$E385,0))</f>
        <v/>
      </c>
      <c r="AI385" s="36">
        <f>IF('My investments'!$H$15="",0,IF('My investments'!$F385='My investments'!$H$15,'My investments'!$E385,0))</f>
        <v/>
      </c>
      <c r="AK385" s="36">
        <f>IF('My investments'!$H$11="",0,IF('My investments'!$F385='My investments'!$H$11,$AA385,0))</f>
        <v/>
      </c>
      <c r="AL385" s="36">
        <f>IF('My investments'!$H$12="",0,IF('My investments'!$F385='My investments'!$H$12,$AA385,0))</f>
        <v/>
      </c>
      <c r="AM385" s="36">
        <f>IF('My investments'!$H$13="",0,IF('My investments'!$F385='My investments'!$H$13,$AA385,0))</f>
        <v/>
      </c>
      <c r="AN385" s="36">
        <f>IF('My investments'!$H$14="",0,IF('My investments'!$F385='My investments'!$H$14,$AA385,0))</f>
        <v/>
      </c>
      <c r="AO385" s="36">
        <f>IF('My investments'!$H$15="",0,IF('My investments'!$F385='My investments'!$H$15,$AA385,0))</f>
        <v/>
      </c>
    </row>
    <row r="386" ht="15" customHeight="1" s="30">
      <c r="A386" s="36">
        <f>IF('My investments'!$C386="Worth today",1,0)</f>
        <v/>
      </c>
      <c r="B386" s="36">
        <f>IF('My investments'!$C386="Money in",1,0)</f>
        <v/>
      </c>
      <c r="AA386" s="36">
        <f>IF('My investments'!$C386="Money in",'My investments'!$D386,0)</f>
        <v/>
      </c>
      <c r="AB386" s="36">
        <f>IF('My investments'!$C386="Money out",'My investments'!$D386,0)</f>
        <v/>
      </c>
      <c r="AC386" s="36">
        <f>IF('My investments'!$C386="Worth today",'My investments'!$D386,0)</f>
        <v/>
      </c>
      <c r="AE386" s="36">
        <f>IF('My investments'!$H$11="",0,IF('My investments'!$F386='My investments'!$H$11,'My investments'!$E386,0))</f>
        <v/>
      </c>
      <c r="AF386" s="36">
        <f>IF('My investments'!$H$12="",0,IF('My investments'!$F386='My investments'!$H$12,'My investments'!$E386,0))</f>
        <v/>
      </c>
      <c r="AG386" s="36">
        <f>IF('My investments'!$H$13="",0,IF('My investments'!$F386='My investments'!$H$13,'My investments'!$E386,0))</f>
        <v/>
      </c>
      <c r="AH386" s="36">
        <f>IF('My investments'!$H$14="",0,IF('My investments'!$F386='My investments'!$H$14,'My investments'!$E386,0))</f>
        <v/>
      </c>
      <c r="AI386" s="36">
        <f>IF('My investments'!$H$15="",0,IF('My investments'!$F386='My investments'!$H$15,'My investments'!$E386,0))</f>
        <v/>
      </c>
      <c r="AK386" s="36">
        <f>IF('My investments'!$H$11="",0,IF('My investments'!$F386='My investments'!$H$11,$AA386,0))</f>
        <v/>
      </c>
      <c r="AL386" s="36">
        <f>IF('My investments'!$H$12="",0,IF('My investments'!$F386='My investments'!$H$12,$AA386,0))</f>
        <v/>
      </c>
      <c r="AM386" s="36">
        <f>IF('My investments'!$H$13="",0,IF('My investments'!$F386='My investments'!$H$13,$AA386,0))</f>
        <v/>
      </c>
      <c r="AN386" s="36">
        <f>IF('My investments'!$H$14="",0,IF('My investments'!$F386='My investments'!$H$14,$AA386,0))</f>
        <v/>
      </c>
      <c r="AO386" s="36">
        <f>IF('My investments'!$H$15="",0,IF('My investments'!$F386='My investments'!$H$15,$AA386,0))</f>
        <v/>
      </c>
    </row>
    <row r="387" ht="15" customHeight="1" s="30">
      <c r="A387" s="36">
        <f>IF('My investments'!$C387="Worth today",1,0)</f>
        <v/>
      </c>
      <c r="B387" s="36">
        <f>IF('My investments'!$C387="Money in",1,0)</f>
        <v/>
      </c>
      <c r="AA387" s="36">
        <f>IF('My investments'!$C387="Money in",'My investments'!$D387,0)</f>
        <v/>
      </c>
      <c r="AB387" s="36">
        <f>IF('My investments'!$C387="Money out",'My investments'!$D387,0)</f>
        <v/>
      </c>
      <c r="AC387" s="36">
        <f>IF('My investments'!$C387="Worth today",'My investments'!$D387,0)</f>
        <v/>
      </c>
      <c r="AE387" s="36">
        <f>IF('My investments'!$H$11="",0,IF('My investments'!$F387='My investments'!$H$11,'My investments'!$E387,0))</f>
        <v/>
      </c>
      <c r="AF387" s="36">
        <f>IF('My investments'!$H$12="",0,IF('My investments'!$F387='My investments'!$H$12,'My investments'!$E387,0))</f>
        <v/>
      </c>
      <c r="AG387" s="36">
        <f>IF('My investments'!$H$13="",0,IF('My investments'!$F387='My investments'!$H$13,'My investments'!$E387,0))</f>
        <v/>
      </c>
      <c r="AH387" s="36">
        <f>IF('My investments'!$H$14="",0,IF('My investments'!$F387='My investments'!$H$14,'My investments'!$E387,0))</f>
        <v/>
      </c>
      <c r="AI387" s="36">
        <f>IF('My investments'!$H$15="",0,IF('My investments'!$F387='My investments'!$H$15,'My investments'!$E387,0))</f>
        <v/>
      </c>
      <c r="AK387" s="36">
        <f>IF('My investments'!$H$11="",0,IF('My investments'!$F387='My investments'!$H$11,$AA387,0))</f>
        <v/>
      </c>
      <c r="AL387" s="36">
        <f>IF('My investments'!$H$12="",0,IF('My investments'!$F387='My investments'!$H$12,$AA387,0))</f>
        <v/>
      </c>
      <c r="AM387" s="36">
        <f>IF('My investments'!$H$13="",0,IF('My investments'!$F387='My investments'!$H$13,$AA387,0))</f>
        <v/>
      </c>
      <c r="AN387" s="36">
        <f>IF('My investments'!$H$14="",0,IF('My investments'!$F387='My investments'!$H$14,$AA387,0))</f>
        <v/>
      </c>
      <c r="AO387" s="36">
        <f>IF('My investments'!$H$15="",0,IF('My investments'!$F387='My investments'!$H$15,$AA387,0))</f>
        <v/>
      </c>
    </row>
    <row r="388" ht="15" customHeight="1" s="30">
      <c r="A388" s="36">
        <f>IF('My investments'!$C388="Worth today",1,0)</f>
        <v/>
      </c>
      <c r="B388" s="36">
        <f>IF('My investments'!$C388="Money in",1,0)</f>
        <v/>
      </c>
      <c r="AA388" s="36">
        <f>IF('My investments'!$C388="Money in",'My investments'!$D388,0)</f>
        <v/>
      </c>
      <c r="AB388" s="36">
        <f>IF('My investments'!$C388="Money out",'My investments'!$D388,0)</f>
        <v/>
      </c>
      <c r="AC388" s="36">
        <f>IF('My investments'!$C388="Worth today",'My investments'!$D388,0)</f>
        <v/>
      </c>
      <c r="AE388" s="36">
        <f>IF('My investments'!$H$11="",0,IF('My investments'!$F388='My investments'!$H$11,'My investments'!$E388,0))</f>
        <v/>
      </c>
      <c r="AF388" s="36">
        <f>IF('My investments'!$H$12="",0,IF('My investments'!$F388='My investments'!$H$12,'My investments'!$E388,0))</f>
        <v/>
      </c>
      <c r="AG388" s="36">
        <f>IF('My investments'!$H$13="",0,IF('My investments'!$F388='My investments'!$H$13,'My investments'!$E388,0))</f>
        <v/>
      </c>
      <c r="AH388" s="36">
        <f>IF('My investments'!$H$14="",0,IF('My investments'!$F388='My investments'!$H$14,'My investments'!$E388,0))</f>
        <v/>
      </c>
      <c r="AI388" s="36">
        <f>IF('My investments'!$H$15="",0,IF('My investments'!$F388='My investments'!$H$15,'My investments'!$E388,0))</f>
        <v/>
      </c>
      <c r="AK388" s="36">
        <f>IF('My investments'!$H$11="",0,IF('My investments'!$F388='My investments'!$H$11,$AA388,0))</f>
        <v/>
      </c>
      <c r="AL388" s="36">
        <f>IF('My investments'!$H$12="",0,IF('My investments'!$F388='My investments'!$H$12,$AA388,0))</f>
        <v/>
      </c>
      <c r="AM388" s="36">
        <f>IF('My investments'!$H$13="",0,IF('My investments'!$F388='My investments'!$H$13,$AA388,0))</f>
        <v/>
      </c>
      <c r="AN388" s="36">
        <f>IF('My investments'!$H$14="",0,IF('My investments'!$F388='My investments'!$H$14,$AA388,0))</f>
        <v/>
      </c>
      <c r="AO388" s="36">
        <f>IF('My investments'!$H$15="",0,IF('My investments'!$F388='My investments'!$H$15,$AA388,0))</f>
        <v/>
      </c>
    </row>
    <row r="389" ht="15" customHeight="1" s="30">
      <c r="A389" s="36">
        <f>IF('My investments'!$C389="Worth today",1,0)</f>
        <v/>
      </c>
      <c r="B389" s="36">
        <f>IF('My investments'!$C389="Money in",1,0)</f>
        <v/>
      </c>
      <c r="AA389" s="36">
        <f>IF('My investments'!$C389="Money in",'My investments'!$D389,0)</f>
        <v/>
      </c>
      <c r="AB389" s="36">
        <f>IF('My investments'!$C389="Money out",'My investments'!$D389,0)</f>
        <v/>
      </c>
      <c r="AC389" s="36">
        <f>IF('My investments'!$C389="Worth today",'My investments'!$D389,0)</f>
        <v/>
      </c>
      <c r="AE389" s="36">
        <f>IF('My investments'!$H$11="",0,IF('My investments'!$F389='My investments'!$H$11,'My investments'!$E389,0))</f>
        <v/>
      </c>
      <c r="AF389" s="36">
        <f>IF('My investments'!$H$12="",0,IF('My investments'!$F389='My investments'!$H$12,'My investments'!$E389,0))</f>
        <v/>
      </c>
      <c r="AG389" s="36">
        <f>IF('My investments'!$H$13="",0,IF('My investments'!$F389='My investments'!$H$13,'My investments'!$E389,0))</f>
        <v/>
      </c>
      <c r="AH389" s="36">
        <f>IF('My investments'!$H$14="",0,IF('My investments'!$F389='My investments'!$H$14,'My investments'!$E389,0))</f>
        <v/>
      </c>
      <c r="AI389" s="36">
        <f>IF('My investments'!$H$15="",0,IF('My investments'!$F389='My investments'!$H$15,'My investments'!$E389,0))</f>
        <v/>
      </c>
      <c r="AK389" s="36">
        <f>IF('My investments'!$H$11="",0,IF('My investments'!$F389='My investments'!$H$11,$AA389,0))</f>
        <v/>
      </c>
      <c r="AL389" s="36">
        <f>IF('My investments'!$H$12="",0,IF('My investments'!$F389='My investments'!$H$12,$AA389,0))</f>
        <v/>
      </c>
      <c r="AM389" s="36">
        <f>IF('My investments'!$H$13="",0,IF('My investments'!$F389='My investments'!$H$13,$AA389,0))</f>
        <v/>
      </c>
      <c r="AN389" s="36">
        <f>IF('My investments'!$H$14="",0,IF('My investments'!$F389='My investments'!$H$14,$AA389,0))</f>
        <v/>
      </c>
      <c r="AO389" s="36">
        <f>IF('My investments'!$H$15="",0,IF('My investments'!$F389='My investments'!$H$15,$AA389,0))</f>
        <v/>
      </c>
    </row>
    <row r="390" ht="15" customHeight="1" s="30">
      <c r="A390" s="36">
        <f>IF('My investments'!$C390="Worth today",1,0)</f>
        <v/>
      </c>
      <c r="B390" s="36">
        <f>IF('My investments'!$C390="Money in",1,0)</f>
        <v/>
      </c>
      <c r="AA390" s="36">
        <f>IF('My investments'!$C390="Money in",'My investments'!$D390,0)</f>
        <v/>
      </c>
      <c r="AB390" s="36">
        <f>IF('My investments'!$C390="Money out",'My investments'!$D390,0)</f>
        <v/>
      </c>
      <c r="AC390" s="36">
        <f>IF('My investments'!$C390="Worth today",'My investments'!$D390,0)</f>
        <v/>
      </c>
      <c r="AE390" s="36">
        <f>IF('My investments'!$H$11="",0,IF('My investments'!$F390='My investments'!$H$11,'My investments'!$E390,0))</f>
        <v/>
      </c>
      <c r="AF390" s="36">
        <f>IF('My investments'!$H$12="",0,IF('My investments'!$F390='My investments'!$H$12,'My investments'!$E390,0))</f>
        <v/>
      </c>
      <c r="AG390" s="36">
        <f>IF('My investments'!$H$13="",0,IF('My investments'!$F390='My investments'!$H$13,'My investments'!$E390,0))</f>
        <v/>
      </c>
      <c r="AH390" s="36">
        <f>IF('My investments'!$H$14="",0,IF('My investments'!$F390='My investments'!$H$14,'My investments'!$E390,0))</f>
        <v/>
      </c>
      <c r="AI390" s="36">
        <f>IF('My investments'!$H$15="",0,IF('My investments'!$F390='My investments'!$H$15,'My investments'!$E390,0))</f>
        <v/>
      </c>
      <c r="AK390" s="36">
        <f>IF('My investments'!$H$11="",0,IF('My investments'!$F390='My investments'!$H$11,$AA390,0))</f>
        <v/>
      </c>
      <c r="AL390" s="36">
        <f>IF('My investments'!$H$12="",0,IF('My investments'!$F390='My investments'!$H$12,$AA390,0))</f>
        <v/>
      </c>
      <c r="AM390" s="36">
        <f>IF('My investments'!$H$13="",0,IF('My investments'!$F390='My investments'!$H$13,$AA390,0))</f>
        <v/>
      </c>
      <c r="AN390" s="36">
        <f>IF('My investments'!$H$14="",0,IF('My investments'!$F390='My investments'!$H$14,$AA390,0))</f>
        <v/>
      </c>
      <c r="AO390" s="36">
        <f>IF('My investments'!$H$15="",0,IF('My investments'!$F390='My investments'!$H$15,$AA390,0))</f>
        <v/>
      </c>
    </row>
    <row r="391" ht="15" customHeight="1" s="30">
      <c r="A391" s="36">
        <f>IF('My investments'!$C391="Worth today",1,0)</f>
        <v/>
      </c>
      <c r="B391" s="36">
        <f>IF('My investments'!$C391="Money in",1,0)</f>
        <v/>
      </c>
      <c r="AA391" s="36">
        <f>IF('My investments'!$C391="Money in",'My investments'!$D391,0)</f>
        <v/>
      </c>
      <c r="AB391" s="36">
        <f>IF('My investments'!$C391="Money out",'My investments'!$D391,0)</f>
        <v/>
      </c>
      <c r="AC391" s="36">
        <f>IF('My investments'!$C391="Worth today",'My investments'!$D391,0)</f>
        <v/>
      </c>
      <c r="AE391" s="36">
        <f>IF('My investments'!$H$11="",0,IF('My investments'!$F391='My investments'!$H$11,'My investments'!$E391,0))</f>
        <v/>
      </c>
      <c r="AF391" s="36">
        <f>IF('My investments'!$H$12="",0,IF('My investments'!$F391='My investments'!$H$12,'My investments'!$E391,0))</f>
        <v/>
      </c>
      <c r="AG391" s="36">
        <f>IF('My investments'!$H$13="",0,IF('My investments'!$F391='My investments'!$H$13,'My investments'!$E391,0))</f>
        <v/>
      </c>
      <c r="AH391" s="36">
        <f>IF('My investments'!$H$14="",0,IF('My investments'!$F391='My investments'!$H$14,'My investments'!$E391,0))</f>
        <v/>
      </c>
      <c r="AI391" s="36">
        <f>IF('My investments'!$H$15="",0,IF('My investments'!$F391='My investments'!$H$15,'My investments'!$E391,0))</f>
        <v/>
      </c>
      <c r="AK391" s="36">
        <f>IF('My investments'!$H$11="",0,IF('My investments'!$F391='My investments'!$H$11,$AA391,0))</f>
        <v/>
      </c>
      <c r="AL391" s="36">
        <f>IF('My investments'!$H$12="",0,IF('My investments'!$F391='My investments'!$H$12,$AA391,0))</f>
        <v/>
      </c>
      <c r="AM391" s="36">
        <f>IF('My investments'!$H$13="",0,IF('My investments'!$F391='My investments'!$H$13,$AA391,0))</f>
        <v/>
      </c>
      <c r="AN391" s="36">
        <f>IF('My investments'!$H$14="",0,IF('My investments'!$F391='My investments'!$H$14,$AA391,0))</f>
        <v/>
      </c>
      <c r="AO391" s="36">
        <f>IF('My investments'!$H$15="",0,IF('My investments'!$F391='My investments'!$H$15,$AA391,0))</f>
        <v/>
      </c>
    </row>
    <row r="392" ht="15" customHeight="1" s="30">
      <c r="A392" s="36">
        <f>IF('My investments'!$C392="Worth today",1,0)</f>
        <v/>
      </c>
      <c r="B392" s="36">
        <f>IF('My investments'!$C392="Money in",1,0)</f>
        <v/>
      </c>
      <c r="AA392" s="36">
        <f>IF('My investments'!$C392="Money in",'My investments'!$D392,0)</f>
        <v/>
      </c>
      <c r="AB392" s="36">
        <f>IF('My investments'!$C392="Money out",'My investments'!$D392,0)</f>
        <v/>
      </c>
      <c r="AC392" s="36">
        <f>IF('My investments'!$C392="Worth today",'My investments'!$D392,0)</f>
        <v/>
      </c>
      <c r="AE392" s="36">
        <f>IF('My investments'!$H$11="",0,IF('My investments'!$F392='My investments'!$H$11,'My investments'!$E392,0))</f>
        <v/>
      </c>
      <c r="AF392" s="36">
        <f>IF('My investments'!$H$12="",0,IF('My investments'!$F392='My investments'!$H$12,'My investments'!$E392,0))</f>
        <v/>
      </c>
      <c r="AG392" s="36">
        <f>IF('My investments'!$H$13="",0,IF('My investments'!$F392='My investments'!$H$13,'My investments'!$E392,0))</f>
        <v/>
      </c>
      <c r="AH392" s="36">
        <f>IF('My investments'!$H$14="",0,IF('My investments'!$F392='My investments'!$H$14,'My investments'!$E392,0))</f>
        <v/>
      </c>
      <c r="AI392" s="36">
        <f>IF('My investments'!$H$15="",0,IF('My investments'!$F392='My investments'!$H$15,'My investments'!$E392,0))</f>
        <v/>
      </c>
      <c r="AK392" s="36">
        <f>IF('My investments'!$H$11="",0,IF('My investments'!$F392='My investments'!$H$11,$AA392,0))</f>
        <v/>
      </c>
      <c r="AL392" s="36">
        <f>IF('My investments'!$H$12="",0,IF('My investments'!$F392='My investments'!$H$12,$AA392,0))</f>
        <v/>
      </c>
      <c r="AM392" s="36">
        <f>IF('My investments'!$H$13="",0,IF('My investments'!$F392='My investments'!$H$13,$AA392,0))</f>
        <v/>
      </c>
      <c r="AN392" s="36">
        <f>IF('My investments'!$H$14="",0,IF('My investments'!$F392='My investments'!$H$14,$AA392,0))</f>
        <v/>
      </c>
      <c r="AO392" s="36">
        <f>IF('My investments'!$H$15="",0,IF('My investments'!$F392='My investments'!$H$15,$AA392,0))</f>
        <v/>
      </c>
    </row>
    <row r="393" ht="15" customHeight="1" s="30">
      <c r="A393" s="36">
        <f>IF('My investments'!$C393="Worth today",1,0)</f>
        <v/>
      </c>
      <c r="B393" s="36">
        <f>IF('My investments'!$C393="Money in",1,0)</f>
        <v/>
      </c>
      <c r="AA393" s="36">
        <f>IF('My investments'!$C393="Money in",'My investments'!$D393,0)</f>
        <v/>
      </c>
      <c r="AB393" s="36">
        <f>IF('My investments'!$C393="Money out",'My investments'!$D393,0)</f>
        <v/>
      </c>
      <c r="AC393" s="36">
        <f>IF('My investments'!$C393="Worth today",'My investments'!$D393,0)</f>
        <v/>
      </c>
      <c r="AE393" s="36">
        <f>IF('My investments'!$H$11="",0,IF('My investments'!$F393='My investments'!$H$11,'My investments'!$E393,0))</f>
        <v/>
      </c>
      <c r="AF393" s="36">
        <f>IF('My investments'!$H$12="",0,IF('My investments'!$F393='My investments'!$H$12,'My investments'!$E393,0))</f>
        <v/>
      </c>
      <c r="AG393" s="36">
        <f>IF('My investments'!$H$13="",0,IF('My investments'!$F393='My investments'!$H$13,'My investments'!$E393,0))</f>
        <v/>
      </c>
      <c r="AH393" s="36">
        <f>IF('My investments'!$H$14="",0,IF('My investments'!$F393='My investments'!$H$14,'My investments'!$E393,0))</f>
        <v/>
      </c>
      <c r="AI393" s="36">
        <f>IF('My investments'!$H$15="",0,IF('My investments'!$F393='My investments'!$H$15,'My investments'!$E393,0))</f>
        <v/>
      </c>
      <c r="AK393" s="36">
        <f>IF('My investments'!$H$11="",0,IF('My investments'!$F393='My investments'!$H$11,$AA393,0))</f>
        <v/>
      </c>
      <c r="AL393" s="36">
        <f>IF('My investments'!$H$12="",0,IF('My investments'!$F393='My investments'!$H$12,$AA393,0))</f>
        <v/>
      </c>
      <c r="AM393" s="36">
        <f>IF('My investments'!$H$13="",0,IF('My investments'!$F393='My investments'!$H$13,$AA393,0))</f>
        <v/>
      </c>
      <c r="AN393" s="36">
        <f>IF('My investments'!$H$14="",0,IF('My investments'!$F393='My investments'!$H$14,$AA393,0))</f>
        <v/>
      </c>
      <c r="AO393" s="36">
        <f>IF('My investments'!$H$15="",0,IF('My investments'!$F393='My investments'!$H$15,$AA393,0))</f>
        <v/>
      </c>
    </row>
    <row r="394" ht="15" customHeight="1" s="30">
      <c r="A394" s="36">
        <f>IF('My investments'!$C394="Worth today",1,0)</f>
        <v/>
      </c>
      <c r="B394" s="36">
        <f>IF('My investments'!$C394="Money in",1,0)</f>
        <v/>
      </c>
      <c r="AA394" s="36">
        <f>IF('My investments'!$C394="Money in",'My investments'!$D394,0)</f>
        <v/>
      </c>
      <c r="AB394" s="36">
        <f>IF('My investments'!$C394="Money out",'My investments'!$D394,0)</f>
        <v/>
      </c>
      <c r="AC394" s="36">
        <f>IF('My investments'!$C394="Worth today",'My investments'!$D394,0)</f>
        <v/>
      </c>
      <c r="AE394" s="36">
        <f>IF('My investments'!$H$11="",0,IF('My investments'!$F394='My investments'!$H$11,'My investments'!$E394,0))</f>
        <v/>
      </c>
      <c r="AF394" s="36">
        <f>IF('My investments'!$H$12="",0,IF('My investments'!$F394='My investments'!$H$12,'My investments'!$E394,0))</f>
        <v/>
      </c>
      <c r="AG394" s="36">
        <f>IF('My investments'!$H$13="",0,IF('My investments'!$F394='My investments'!$H$13,'My investments'!$E394,0))</f>
        <v/>
      </c>
      <c r="AH394" s="36">
        <f>IF('My investments'!$H$14="",0,IF('My investments'!$F394='My investments'!$H$14,'My investments'!$E394,0))</f>
        <v/>
      </c>
      <c r="AI394" s="36">
        <f>IF('My investments'!$H$15="",0,IF('My investments'!$F394='My investments'!$H$15,'My investments'!$E394,0))</f>
        <v/>
      </c>
      <c r="AK394" s="36">
        <f>IF('My investments'!$H$11="",0,IF('My investments'!$F394='My investments'!$H$11,$AA394,0))</f>
        <v/>
      </c>
      <c r="AL394" s="36">
        <f>IF('My investments'!$H$12="",0,IF('My investments'!$F394='My investments'!$H$12,$AA394,0))</f>
        <v/>
      </c>
      <c r="AM394" s="36">
        <f>IF('My investments'!$H$13="",0,IF('My investments'!$F394='My investments'!$H$13,$AA394,0))</f>
        <v/>
      </c>
      <c r="AN394" s="36">
        <f>IF('My investments'!$H$14="",0,IF('My investments'!$F394='My investments'!$H$14,$AA394,0))</f>
        <v/>
      </c>
      <c r="AO394" s="36">
        <f>IF('My investments'!$H$15="",0,IF('My investments'!$F394='My investments'!$H$15,$AA394,0))</f>
        <v/>
      </c>
    </row>
    <row r="395" ht="15" customHeight="1" s="30">
      <c r="A395" s="36">
        <f>IF('My investments'!$C395="Worth today",1,0)</f>
        <v/>
      </c>
      <c r="B395" s="36">
        <f>IF('My investments'!$C395="Money in",1,0)</f>
        <v/>
      </c>
      <c r="AA395" s="36">
        <f>IF('My investments'!$C395="Money in",'My investments'!$D395,0)</f>
        <v/>
      </c>
      <c r="AB395" s="36">
        <f>IF('My investments'!$C395="Money out",'My investments'!$D395,0)</f>
        <v/>
      </c>
      <c r="AC395" s="36">
        <f>IF('My investments'!$C395="Worth today",'My investments'!$D395,0)</f>
        <v/>
      </c>
      <c r="AE395" s="36">
        <f>IF('My investments'!$H$11="",0,IF('My investments'!$F395='My investments'!$H$11,'My investments'!$E395,0))</f>
        <v/>
      </c>
      <c r="AF395" s="36">
        <f>IF('My investments'!$H$12="",0,IF('My investments'!$F395='My investments'!$H$12,'My investments'!$E395,0))</f>
        <v/>
      </c>
      <c r="AG395" s="36">
        <f>IF('My investments'!$H$13="",0,IF('My investments'!$F395='My investments'!$H$13,'My investments'!$E395,0))</f>
        <v/>
      </c>
      <c r="AH395" s="36">
        <f>IF('My investments'!$H$14="",0,IF('My investments'!$F395='My investments'!$H$14,'My investments'!$E395,0))</f>
        <v/>
      </c>
      <c r="AI395" s="36">
        <f>IF('My investments'!$H$15="",0,IF('My investments'!$F395='My investments'!$H$15,'My investments'!$E395,0))</f>
        <v/>
      </c>
      <c r="AK395" s="36">
        <f>IF('My investments'!$H$11="",0,IF('My investments'!$F395='My investments'!$H$11,$AA395,0))</f>
        <v/>
      </c>
      <c r="AL395" s="36">
        <f>IF('My investments'!$H$12="",0,IF('My investments'!$F395='My investments'!$H$12,$AA395,0))</f>
        <v/>
      </c>
      <c r="AM395" s="36">
        <f>IF('My investments'!$H$13="",0,IF('My investments'!$F395='My investments'!$H$13,$AA395,0))</f>
        <v/>
      </c>
      <c r="AN395" s="36">
        <f>IF('My investments'!$H$14="",0,IF('My investments'!$F395='My investments'!$H$14,$AA395,0))</f>
        <v/>
      </c>
      <c r="AO395" s="36">
        <f>IF('My investments'!$H$15="",0,IF('My investments'!$F395='My investments'!$H$15,$AA395,0))</f>
        <v/>
      </c>
    </row>
    <row r="396" ht="15" customHeight="1" s="30">
      <c r="A396" s="36">
        <f>IF('My investments'!$C396="Worth today",1,0)</f>
        <v/>
      </c>
      <c r="B396" s="36">
        <f>IF('My investments'!$C396="Money in",1,0)</f>
        <v/>
      </c>
      <c r="AA396" s="36">
        <f>IF('My investments'!$C396="Money in",'My investments'!$D396,0)</f>
        <v/>
      </c>
      <c r="AB396" s="36">
        <f>IF('My investments'!$C396="Money out",'My investments'!$D396,0)</f>
        <v/>
      </c>
      <c r="AC396" s="36">
        <f>IF('My investments'!$C396="Worth today",'My investments'!$D396,0)</f>
        <v/>
      </c>
      <c r="AE396" s="36">
        <f>IF('My investments'!$H$11="",0,IF('My investments'!$F396='My investments'!$H$11,'My investments'!$E396,0))</f>
        <v/>
      </c>
      <c r="AF396" s="36">
        <f>IF('My investments'!$H$12="",0,IF('My investments'!$F396='My investments'!$H$12,'My investments'!$E396,0))</f>
        <v/>
      </c>
      <c r="AG396" s="36">
        <f>IF('My investments'!$H$13="",0,IF('My investments'!$F396='My investments'!$H$13,'My investments'!$E396,0))</f>
        <v/>
      </c>
      <c r="AH396" s="36">
        <f>IF('My investments'!$H$14="",0,IF('My investments'!$F396='My investments'!$H$14,'My investments'!$E396,0))</f>
        <v/>
      </c>
      <c r="AI396" s="36">
        <f>IF('My investments'!$H$15="",0,IF('My investments'!$F396='My investments'!$H$15,'My investments'!$E396,0))</f>
        <v/>
      </c>
      <c r="AK396" s="36">
        <f>IF('My investments'!$H$11="",0,IF('My investments'!$F396='My investments'!$H$11,$AA396,0))</f>
        <v/>
      </c>
      <c r="AL396" s="36">
        <f>IF('My investments'!$H$12="",0,IF('My investments'!$F396='My investments'!$H$12,$AA396,0))</f>
        <v/>
      </c>
      <c r="AM396" s="36">
        <f>IF('My investments'!$H$13="",0,IF('My investments'!$F396='My investments'!$H$13,$AA396,0))</f>
        <v/>
      </c>
      <c r="AN396" s="36">
        <f>IF('My investments'!$H$14="",0,IF('My investments'!$F396='My investments'!$H$14,$AA396,0))</f>
        <v/>
      </c>
      <c r="AO396" s="36">
        <f>IF('My investments'!$H$15="",0,IF('My investments'!$F396='My investments'!$H$15,$AA396,0))</f>
        <v/>
      </c>
    </row>
    <row r="397" ht="15" customHeight="1" s="30">
      <c r="A397" s="36">
        <f>IF('My investments'!$C397="Worth today",1,0)</f>
        <v/>
      </c>
      <c r="B397" s="36">
        <f>IF('My investments'!$C397="Money in",1,0)</f>
        <v/>
      </c>
      <c r="AA397" s="36">
        <f>IF('My investments'!$C397="Money in",'My investments'!$D397,0)</f>
        <v/>
      </c>
      <c r="AB397" s="36">
        <f>IF('My investments'!$C397="Money out",'My investments'!$D397,0)</f>
        <v/>
      </c>
      <c r="AC397" s="36">
        <f>IF('My investments'!$C397="Worth today",'My investments'!$D397,0)</f>
        <v/>
      </c>
      <c r="AE397" s="36">
        <f>IF('My investments'!$H$11="",0,IF('My investments'!$F397='My investments'!$H$11,'My investments'!$E397,0))</f>
        <v/>
      </c>
      <c r="AF397" s="36">
        <f>IF('My investments'!$H$12="",0,IF('My investments'!$F397='My investments'!$H$12,'My investments'!$E397,0))</f>
        <v/>
      </c>
      <c r="AG397" s="36">
        <f>IF('My investments'!$H$13="",0,IF('My investments'!$F397='My investments'!$H$13,'My investments'!$E397,0))</f>
        <v/>
      </c>
      <c r="AH397" s="36">
        <f>IF('My investments'!$H$14="",0,IF('My investments'!$F397='My investments'!$H$14,'My investments'!$E397,0))</f>
        <v/>
      </c>
      <c r="AI397" s="36">
        <f>IF('My investments'!$H$15="",0,IF('My investments'!$F397='My investments'!$H$15,'My investments'!$E397,0))</f>
        <v/>
      </c>
      <c r="AK397" s="36">
        <f>IF('My investments'!$H$11="",0,IF('My investments'!$F397='My investments'!$H$11,$AA397,0))</f>
        <v/>
      </c>
      <c r="AL397" s="36">
        <f>IF('My investments'!$H$12="",0,IF('My investments'!$F397='My investments'!$H$12,$AA397,0))</f>
        <v/>
      </c>
      <c r="AM397" s="36">
        <f>IF('My investments'!$H$13="",0,IF('My investments'!$F397='My investments'!$H$13,$AA397,0))</f>
        <v/>
      </c>
      <c r="AN397" s="36">
        <f>IF('My investments'!$H$14="",0,IF('My investments'!$F397='My investments'!$H$14,$AA397,0))</f>
        <v/>
      </c>
      <c r="AO397" s="36">
        <f>IF('My investments'!$H$15="",0,IF('My investments'!$F397='My investments'!$H$15,$AA397,0))</f>
        <v/>
      </c>
    </row>
    <row r="398" ht="15" customHeight="1" s="30">
      <c r="A398" s="36">
        <f>IF('My investments'!$C398="Worth today",1,0)</f>
        <v/>
      </c>
      <c r="B398" s="36">
        <f>IF('My investments'!$C398="Money in",1,0)</f>
        <v/>
      </c>
      <c r="AA398" s="36">
        <f>IF('My investments'!$C398="Money in",'My investments'!$D398,0)</f>
        <v/>
      </c>
      <c r="AB398" s="36">
        <f>IF('My investments'!$C398="Money out",'My investments'!$D398,0)</f>
        <v/>
      </c>
      <c r="AC398" s="36">
        <f>IF('My investments'!$C398="Worth today",'My investments'!$D398,0)</f>
        <v/>
      </c>
      <c r="AE398" s="36">
        <f>IF('My investments'!$H$11="",0,IF('My investments'!$F398='My investments'!$H$11,'My investments'!$E398,0))</f>
        <v/>
      </c>
      <c r="AF398" s="36">
        <f>IF('My investments'!$H$12="",0,IF('My investments'!$F398='My investments'!$H$12,'My investments'!$E398,0))</f>
        <v/>
      </c>
      <c r="AG398" s="36">
        <f>IF('My investments'!$H$13="",0,IF('My investments'!$F398='My investments'!$H$13,'My investments'!$E398,0))</f>
        <v/>
      </c>
      <c r="AH398" s="36">
        <f>IF('My investments'!$H$14="",0,IF('My investments'!$F398='My investments'!$H$14,'My investments'!$E398,0))</f>
        <v/>
      </c>
      <c r="AI398" s="36">
        <f>IF('My investments'!$H$15="",0,IF('My investments'!$F398='My investments'!$H$15,'My investments'!$E398,0))</f>
        <v/>
      </c>
      <c r="AK398" s="36">
        <f>IF('My investments'!$H$11="",0,IF('My investments'!$F398='My investments'!$H$11,$AA398,0))</f>
        <v/>
      </c>
      <c r="AL398" s="36">
        <f>IF('My investments'!$H$12="",0,IF('My investments'!$F398='My investments'!$H$12,$AA398,0))</f>
        <v/>
      </c>
      <c r="AM398" s="36">
        <f>IF('My investments'!$H$13="",0,IF('My investments'!$F398='My investments'!$H$13,$AA398,0))</f>
        <v/>
      </c>
      <c r="AN398" s="36">
        <f>IF('My investments'!$H$14="",0,IF('My investments'!$F398='My investments'!$H$14,$AA398,0))</f>
        <v/>
      </c>
      <c r="AO398" s="36">
        <f>IF('My investments'!$H$15="",0,IF('My investments'!$F398='My investments'!$H$15,$AA398,0))</f>
        <v/>
      </c>
    </row>
    <row r="399" ht="15" customHeight="1" s="30">
      <c r="A399" s="36">
        <f>IF('My investments'!$C399="Worth today",1,0)</f>
        <v/>
      </c>
      <c r="B399" s="36">
        <f>IF('My investments'!$C399="Money in",1,0)</f>
        <v/>
      </c>
      <c r="AA399" s="36">
        <f>IF('My investments'!$C399="Money in",'My investments'!$D399,0)</f>
        <v/>
      </c>
      <c r="AB399" s="36">
        <f>IF('My investments'!$C399="Money out",'My investments'!$D399,0)</f>
        <v/>
      </c>
      <c r="AC399" s="36">
        <f>IF('My investments'!$C399="Worth today",'My investments'!$D399,0)</f>
        <v/>
      </c>
      <c r="AE399" s="36">
        <f>IF('My investments'!$H$11="",0,IF('My investments'!$F399='My investments'!$H$11,'My investments'!$E399,0))</f>
        <v/>
      </c>
      <c r="AF399" s="36">
        <f>IF('My investments'!$H$12="",0,IF('My investments'!$F399='My investments'!$H$12,'My investments'!$E399,0))</f>
        <v/>
      </c>
      <c r="AG399" s="36">
        <f>IF('My investments'!$H$13="",0,IF('My investments'!$F399='My investments'!$H$13,'My investments'!$E399,0))</f>
        <v/>
      </c>
      <c r="AH399" s="36">
        <f>IF('My investments'!$H$14="",0,IF('My investments'!$F399='My investments'!$H$14,'My investments'!$E399,0))</f>
        <v/>
      </c>
      <c r="AI399" s="36">
        <f>IF('My investments'!$H$15="",0,IF('My investments'!$F399='My investments'!$H$15,'My investments'!$E399,0))</f>
        <v/>
      </c>
      <c r="AK399" s="36">
        <f>IF('My investments'!$H$11="",0,IF('My investments'!$F399='My investments'!$H$11,$AA399,0))</f>
        <v/>
      </c>
      <c r="AL399" s="36">
        <f>IF('My investments'!$H$12="",0,IF('My investments'!$F399='My investments'!$H$12,$AA399,0))</f>
        <v/>
      </c>
      <c r="AM399" s="36">
        <f>IF('My investments'!$H$13="",0,IF('My investments'!$F399='My investments'!$H$13,$AA399,0))</f>
        <v/>
      </c>
      <c r="AN399" s="36">
        <f>IF('My investments'!$H$14="",0,IF('My investments'!$F399='My investments'!$H$14,$AA399,0))</f>
        <v/>
      </c>
      <c r="AO399" s="36">
        <f>IF('My investments'!$H$15="",0,IF('My investments'!$F399='My investments'!$H$15,$AA399,0))</f>
        <v/>
      </c>
    </row>
    <row r="400" ht="15" customHeight="1" s="30">
      <c r="A400" s="36">
        <f>IF('My investments'!$C400="Worth today",1,0)</f>
        <v/>
      </c>
      <c r="B400" s="36">
        <f>IF('My investments'!$C400="Money in",1,0)</f>
        <v/>
      </c>
      <c r="AA400" s="36">
        <f>IF('My investments'!$C400="Money in",'My investments'!$D400,0)</f>
        <v/>
      </c>
      <c r="AB400" s="36">
        <f>IF('My investments'!$C400="Money out",'My investments'!$D400,0)</f>
        <v/>
      </c>
      <c r="AC400" s="36">
        <f>IF('My investments'!$C400="Worth today",'My investments'!$D400,0)</f>
        <v/>
      </c>
      <c r="AE400" s="36">
        <f>IF('My investments'!$H$11="",0,IF('My investments'!$F400='My investments'!$H$11,'My investments'!$E400,0))</f>
        <v/>
      </c>
      <c r="AF400" s="36">
        <f>IF('My investments'!$H$12="",0,IF('My investments'!$F400='My investments'!$H$12,'My investments'!$E400,0))</f>
        <v/>
      </c>
      <c r="AG400" s="36">
        <f>IF('My investments'!$H$13="",0,IF('My investments'!$F400='My investments'!$H$13,'My investments'!$E400,0))</f>
        <v/>
      </c>
      <c r="AH400" s="36">
        <f>IF('My investments'!$H$14="",0,IF('My investments'!$F400='My investments'!$H$14,'My investments'!$E400,0))</f>
        <v/>
      </c>
      <c r="AI400" s="36">
        <f>IF('My investments'!$H$15="",0,IF('My investments'!$F400='My investments'!$H$15,'My investments'!$E400,0))</f>
        <v/>
      </c>
      <c r="AK400" s="36">
        <f>IF('My investments'!$H$11="",0,IF('My investments'!$F400='My investments'!$H$11,$AA400,0))</f>
        <v/>
      </c>
      <c r="AL400" s="36">
        <f>IF('My investments'!$H$12="",0,IF('My investments'!$F400='My investments'!$H$12,$AA400,0))</f>
        <v/>
      </c>
      <c r="AM400" s="36">
        <f>IF('My investments'!$H$13="",0,IF('My investments'!$F400='My investments'!$H$13,$AA400,0))</f>
        <v/>
      </c>
      <c r="AN400" s="36">
        <f>IF('My investments'!$H$14="",0,IF('My investments'!$F400='My investments'!$H$14,$AA400,0))</f>
        <v/>
      </c>
      <c r="AO400" s="36">
        <f>IF('My investments'!$H$15="",0,IF('My investments'!$F400='My investments'!$H$15,$AA400,0))</f>
        <v/>
      </c>
    </row>
    <row r="401" ht="15" customHeight="1" s="30">
      <c r="A401" s="36">
        <f>IF('My investments'!$C401="Worth today",1,0)</f>
        <v/>
      </c>
      <c r="B401" s="36">
        <f>IF('My investments'!$C401="Money in",1,0)</f>
        <v/>
      </c>
      <c r="AA401" s="36">
        <f>IF('My investments'!$C401="Money in",'My investments'!$D401,0)</f>
        <v/>
      </c>
      <c r="AB401" s="36">
        <f>IF('My investments'!$C401="Money out",'My investments'!$D401,0)</f>
        <v/>
      </c>
      <c r="AC401" s="36">
        <f>IF('My investments'!$C401="Worth today",'My investments'!$D401,0)</f>
        <v/>
      </c>
      <c r="AE401" s="36">
        <f>IF('My investments'!$H$11="",0,IF('My investments'!$F401='My investments'!$H$11,'My investments'!$E401,0))</f>
        <v/>
      </c>
      <c r="AF401" s="36">
        <f>IF('My investments'!$H$12="",0,IF('My investments'!$F401='My investments'!$H$12,'My investments'!$E401,0))</f>
        <v/>
      </c>
      <c r="AG401" s="36">
        <f>IF('My investments'!$H$13="",0,IF('My investments'!$F401='My investments'!$H$13,'My investments'!$E401,0))</f>
        <v/>
      </c>
      <c r="AH401" s="36">
        <f>IF('My investments'!$H$14="",0,IF('My investments'!$F401='My investments'!$H$14,'My investments'!$E401,0))</f>
        <v/>
      </c>
      <c r="AI401" s="36">
        <f>IF('My investments'!$H$15="",0,IF('My investments'!$F401='My investments'!$H$15,'My investments'!$E401,0))</f>
        <v/>
      </c>
      <c r="AK401" s="36">
        <f>IF('My investments'!$H$11="",0,IF('My investments'!$F401='My investments'!$H$11,$AA401,0))</f>
        <v/>
      </c>
      <c r="AL401" s="36">
        <f>IF('My investments'!$H$12="",0,IF('My investments'!$F401='My investments'!$H$12,$AA401,0))</f>
        <v/>
      </c>
      <c r="AM401" s="36">
        <f>IF('My investments'!$H$13="",0,IF('My investments'!$F401='My investments'!$H$13,$AA401,0))</f>
        <v/>
      </c>
      <c r="AN401" s="36">
        <f>IF('My investments'!$H$14="",0,IF('My investments'!$F401='My investments'!$H$14,$AA401,0))</f>
        <v/>
      </c>
      <c r="AO401" s="36">
        <f>IF('My investments'!$H$15="",0,IF('My investments'!$F401='My investments'!$H$15,$AA401,0))</f>
        <v/>
      </c>
    </row>
    <row r="402" ht="15" customHeight="1" s="30">
      <c r="A402" s="36">
        <f>IF('My investments'!$C402="Worth today",1,0)</f>
        <v/>
      </c>
      <c r="B402" s="36">
        <f>IF('My investments'!$C402="Money in",1,0)</f>
        <v/>
      </c>
      <c r="AA402" s="36">
        <f>IF('My investments'!$C402="Money in",'My investments'!$D402,0)</f>
        <v/>
      </c>
      <c r="AB402" s="36">
        <f>IF('My investments'!$C402="Money out",'My investments'!$D402,0)</f>
        <v/>
      </c>
      <c r="AC402" s="36">
        <f>IF('My investments'!$C402="Worth today",'My investments'!$D402,0)</f>
        <v/>
      </c>
      <c r="AE402" s="36">
        <f>IF('My investments'!$H$11="",0,IF('My investments'!$F402='My investments'!$H$11,'My investments'!$E402,0))</f>
        <v/>
      </c>
      <c r="AF402" s="36">
        <f>IF('My investments'!$H$12="",0,IF('My investments'!$F402='My investments'!$H$12,'My investments'!$E402,0))</f>
        <v/>
      </c>
      <c r="AG402" s="36">
        <f>IF('My investments'!$H$13="",0,IF('My investments'!$F402='My investments'!$H$13,'My investments'!$E402,0))</f>
        <v/>
      </c>
      <c r="AH402" s="36">
        <f>IF('My investments'!$H$14="",0,IF('My investments'!$F402='My investments'!$H$14,'My investments'!$E402,0))</f>
        <v/>
      </c>
      <c r="AI402" s="36">
        <f>IF('My investments'!$H$15="",0,IF('My investments'!$F402='My investments'!$H$15,'My investments'!$E402,0))</f>
        <v/>
      </c>
      <c r="AK402" s="36">
        <f>IF('My investments'!$H$11="",0,IF('My investments'!$F402='My investments'!$H$11,$AA402,0))</f>
        <v/>
      </c>
      <c r="AL402" s="36">
        <f>IF('My investments'!$H$12="",0,IF('My investments'!$F402='My investments'!$H$12,$AA402,0))</f>
        <v/>
      </c>
      <c r="AM402" s="36">
        <f>IF('My investments'!$H$13="",0,IF('My investments'!$F402='My investments'!$H$13,$AA402,0))</f>
        <v/>
      </c>
      <c r="AN402" s="36">
        <f>IF('My investments'!$H$14="",0,IF('My investments'!$F402='My investments'!$H$14,$AA402,0))</f>
        <v/>
      </c>
      <c r="AO402" s="36">
        <f>IF('My investments'!$H$15="",0,IF('My investments'!$F402='My investments'!$H$15,$AA402,0))</f>
        <v/>
      </c>
    </row>
    <row r="403" ht="15" customHeight="1" s="30">
      <c r="A403" s="36">
        <f>IF('My investments'!$C403="Worth today",1,0)</f>
        <v/>
      </c>
      <c r="B403" s="36">
        <f>IF('My investments'!$C403="Money in",1,0)</f>
        <v/>
      </c>
      <c r="AA403" s="36">
        <f>IF('My investments'!$C403="Money in",'My investments'!$D403,0)</f>
        <v/>
      </c>
      <c r="AB403" s="36">
        <f>IF('My investments'!$C403="Money out",'My investments'!$D403,0)</f>
        <v/>
      </c>
      <c r="AC403" s="36">
        <f>IF('My investments'!$C403="Worth today",'My investments'!$D403,0)</f>
        <v/>
      </c>
      <c r="AE403" s="36">
        <f>IF('My investments'!$H$11="",0,IF('My investments'!$F403='My investments'!$H$11,'My investments'!$E403,0))</f>
        <v/>
      </c>
      <c r="AF403" s="36">
        <f>IF('My investments'!$H$12="",0,IF('My investments'!$F403='My investments'!$H$12,'My investments'!$E403,0))</f>
        <v/>
      </c>
      <c r="AG403" s="36">
        <f>IF('My investments'!$H$13="",0,IF('My investments'!$F403='My investments'!$H$13,'My investments'!$E403,0))</f>
        <v/>
      </c>
      <c r="AH403" s="36">
        <f>IF('My investments'!$H$14="",0,IF('My investments'!$F403='My investments'!$H$14,'My investments'!$E403,0))</f>
        <v/>
      </c>
      <c r="AI403" s="36">
        <f>IF('My investments'!$H$15="",0,IF('My investments'!$F403='My investments'!$H$15,'My investments'!$E403,0))</f>
        <v/>
      </c>
      <c r="AK403" s="36">
        <f>IF('My investments'!$H$11="",0,IF('My investments'!$F403='My investments'!$H$11,$AA403,0))</f>
        <v/>
      </c>
      <c r="AL403" s="36">
        <f>IF('My investments'!$H$12="",0,IF('My investments'!$F403='My investments'!$H$12,$AA403,0))</f>
        <v/>
      </c>
      <c r="AM403" s="36">
        <f>IF('My investments'!$H$13="",0,IF('My investments'!$F403='My investments'!$H$13,$AA403,0))</f>
        <v/>
      </c>
      <c r="AN403" s="36">
        <f>IF('My investments'!$H$14="",0,IF('My investments'!$F403='My investments'!$H$14,$AA403,0))</f>
        <v/>
      </c>
      <c r="AO403" s="36">
        <f>IF('My investments'!$H$15="",0,IF('My investments'!$F403='My investments'!$H$15,$AA403,0))</f>
        <v/>
      </c>
    </row>
    <row r="404" ht="15" customHeight="1" s="30">
      <c r="A404" s="36">
        <f>IF('My investments'!$C404="Worth today",1,0)</f>
        <v/>
      </c>
      <c r="B404" s="36">
        <f>IF('My investments'!$C404="Money in",1,0)</f>
        <v/>
      </c>
      <c r="AA404" s="36">
        <f>IF('My investments'!$C404="Money in",'My investments'!$D404,0)</f>
        <v/>
      </c>
      <c r="AB404" s="36">
        <f>IF('My investments'!$C404="Money out",'My investments'!$D404,0)</f>
        <v/>
      </c>
      <c r="AC404" s="36">
        <f>IF('My investments'!$C404="Worth today",'My investments'!$D404,0)</f>
        <v/>
      </c>
      <c r="AE404" s="36">
        <f>IF('My investments'!$H$11="",0,IF('My investments'!$F404='My investments'!$H$11,'My investments'!$E404,0))</f>
        <v/>
      </c>
      <c r="AF404" s="36">
        <f>IF('My investments'!$H$12="",0,IF('My investments'!$F404='My investments'!$H$12,'My investments'!$E404,0))</f>
        <v/>
      </c>
      <c r="AG404" s="36">
        <f>IF('My investments'!$H$13="",0,IF('My investments'!$F404='My investments'!$H$13,'My investments'!$E404,0))</f>
        <v/>
      </c>
      <c r="AH404" s="36">
        <f>IF('My investments'!$H$14="",0,IF('My investments'!$F404='My investments'!$H$14,'My investments'!$E404,0))</f>
        <v/>
      </c>
      <c r="AI404" s="36">
        <f>IF('My investments'!$H$15="",0,IF('My investments'!$F404='My investments'!$H$15,'My investments'!$E404,0))</f>
        <v/>
      </c>
      <c r="AK404" s="36">
        <f>IF('My investments'!$H$11="",0,IF('My investments'!$F404='My investments'!$H$11,$AA404,0))</f>
        <v/>
      </c>
      <c r="AL404" s="36">
        <f>IF('My investments'!$H$12="",0,IF('My investments'!$F404='My investments'!$H$12,$AA404,0))</f>
        <v/>
      </c>
      <c r="AM404" s="36">
        <f>IF('My investments'!$H$13="",0,IF('My investments'!$F404='My investments'!$H$13,$AA404,0))</f>
        <v/>
      </c>
      <c r="AN404" s="36">
        <f>IF('My investments'!$H$14="",0,IF('My investments'!$F404='My investments'!$H$14,$AA404,0))</f>
        <v/>
      </c>
      <c r="AO404" s="36">
        <f>IF('My investments'!$H$15="",0,IF('My investments'!$F404='My investments'!$H$15,$AA404,0))</f>
        <v/>
      </c>
    </row>
    <row r="405" ht="15" customHeight="1" s="30">
      <c r="A405" s="36">
        <f>IF('My investments'!$C405="Worth today",1,0)</f>
        <v/>
      </c>
      <c r="B405" s="36">
        <f>IF('My investments'!$C405="Money in",1,0)</f>
        <v/>
      </c>
      <c r="AA405" s="36">
        <f>IF('My investments'!$C405="Money in",'My investments'!$D405,0)</f>
        <v/>
      </c>
      <c r="AB405" s="36">
        <f>IF('My investments'!$C405="Money out",'My investments'!$D405,0)</f>
        <v/>
      </c>
      <c r="AC405" s="36">
        <f>IF('My investments'!$C405="Worth today",'My investments'!$D405,0)</f>
        <v/>
      </c>
      <c r="AE405" s="36">
        <f>IF('My investments'!$H$11="",0,IF('My investments'!$F405='My investments'!$H$11,'My investments'!$E405,0))</f>
        <v/>
      </c>
      <c r="AF405" s="36">
        <f>IF('My investments'!$H$12="",0,IF('My investments'!$F405='My investments'!$H$12,'My investments'!$E405,0))</f>
        <v/>
      </c>
      <c r="AG405" s="36">
        <f>IF('My investments'!$H$13="",0,IF('My investments'!$F405='My investments'!$H$13,'My investments'!$E405,0))</f>
        <v/>
      </c>
      <c r="AH405" s="36">
        <f>IF('My investments'!$H$14="",0,IF('My investments'!$F405='My investments'!$H$14,'My investments'!$E405,0))</f>
        <v/>
      </c>
      <c r="AI405" s="36">
        <f>IF('My investments'!$H$15="",0,IF('My investments'!$F405='My investments'!$H$15,'My investments'!$E405,0))</f>
        <v/>
      </c>
      <c r="AK405" s="36">
        <f>IF('My investments'!$H$11="",0,IF('My investments'!$F405='My investments'!$H$11,$AA405,0))</f>
        <v/>
      </c>
      <c r="AL405" s="36">
        <f>IF('My investments'!$H$12="",0,IF('My investments'!$F405='My investments'!$H$12,$AA405,0))</f>
        <v/>
      </c>
      <c r="AM405" s="36">
        <f>IF('My investments'!$H$13="",0,IF('My investments'!$F405='My investments'!$H$13,$AA405,0))</f>
        <v/>
      </c>
      <c r="AN405" s="36">
        <f>IF('My investments'!$H$14="",0,IF('My investments'!$F405='My investments'!$H$14,$AA405,0))</f>
        <v/>
      </c>
      <c r="AO405" s="36">
        <f>IF('My investments'!$H$15="",0,IF('My investments'!$F405='My investments'!$H$15,$AA405,0))</f>
        <v/>
      </c>
    </row>
    <row r="406" ht="15" customHeight="1" s="30">
      <c r="A406" s="36">
        <f>IF('My investments'!$C406="Worth today",1,0)</f>
        <v/>
      </c>
      <c r="B406" s="36">
        <f>IF('My investments'!$C406="Money in",1,0)</f>
        <v/>
      </c>
      <c r="AA406" s="36">
        <f>IF('My investments'!$C406="Money in",'My investments'!$D406,0)</f>
        <v/>
      </c>
      <c r="AB406" s="36">
        <f>IF('My investments'!$C406="Money out",'My investments'!$D406,0)</f>
        <v/>
      </c>
      <c r="AC406" s="36">
        <f>IF('My investments'!$C406="Worth today",'My investments'!$D406,0)</f>
        <v/>
      </c>
      <c r="AE406" s="36">
        <f>IF('My investments'!$H$11="",0,IF('My investments'!$F406='My investments'!$H$11,'My investments'!$E406,0))</f>
        <v/>
      </c>
      <c r="AF406" s="36">
        <f>IF('My investments'!$H$12="",0,IF('My investments'!$F406='My investments'!$H$12,'My investments'!$E406,0))</f>
        <v/>
      </c>
      <c r="AG406" s="36">
        <f>IF('My investments'!$H$13="",0,IF('My investments'!$F406='My investments'!$H$13,'My investments'!$E406,0))</f>
        <v/>
      </c>
      <c r="AH406" s="36">
        <f>IF('My investments'!$H$14="",0,IF('My investments'!$F406='My investments'!$H$14,'My investments'!$E406,0))</f>
        <v/>
      </c>
      <c r="AI406" s="36">
        <f>IF('My investments'!$H$15="",0,IF('My investments'!$F406='My investments'!$H$15,'My investments'!$E406,0))</f>
        <v/>
      </c>
      <c r="AK406" s="36">
        <f>IF('My investments'!$H$11="",0,IF('My investments'!$F406='My investments'!$H$11,$AA406,0))</f>
        <v/>
      </c>
      <c r="AL406" s="36">
        <f>IF('My investments'!$H$12="",0,IF('My investments'!$F406='My investments'!$H$12,$AA406,0))</f>
        <v/>
      </c>
      <c r="AM406" s="36">
        <f>IF('My investments'!$H$13="",0,IF('My investments'!$F406='My investments'!$H$13,$AA406,0))</f>
        <v/>
      </c>
      <c r="AN406" s="36">
        <f>IF('My investments'!$H$14="",0,IF('My investments'!$F406='My investments'!$H$14,$AA406,0))</f>
        <v/>
      </c>
      <c r="AO406" s="36">
        <f>IF('My investments'!$H$15="",0,IF('My investments'!$F406='My investments'!$H$15,$AA406,0))</f>
        <v/>
      </c>
    </row>
    <row r="407" ht="15" customHeight="1" s="30">
      <c r="A407" s="36">
        <f>IF('My investments'!$C407="Worth today",1,0)</f>
        <v/>
      </c>
      <c r="B407" s="36">
        <f>IF('My investments'!$C407="Money in",1,0)</f>
        <v/>
      </c>
      <c r="AA407" s="36">
        <f>IF('My investments'!$C407="Money in",'My investments'!$D407,0)</f>
        <v/>
      </c>
      <c r="AB407" s="36">
        <f>IF('My investments'!$C407="Money out",'My investments'!$D407,0)</f>
        <v/>
      </c>
      <c r="AC407" s="36">
        <f>IF('My investments'!$C407="Worth today",'My investments'!$D407,0)</f>
        <v/>
      </c>
      <c r="AE407" s="36">
        <f>IF('My investments'!$H$11="",0,IF('My investments'!$F407='My investments'!$H$11,'My investments'!$E407,0))</f>
        <v/>
      </c>
      <c r="AF407" s="36">
        <f>IF('My investments'!$H$12="",0,IF('My investments'!$F407='My investments'!$H$12,'My investments'!$E407,0))</f>
        <v/>
      </c>
      <c r="AG407" s="36">
        <f>IF('My investments'!$H$13="",0,IF('My investments'!$F407='My investments'!$H$13,'My investments'!$E407,0))</f>
        <v/>
      </c>
      <c r="AH407" s="36">
        <f>IF('My investments'!$H$14="",0,IF('My investments'!$F407='My investments'!$H$14,'My investments'!$E407,0))</f>
        <v/>
      </c>
      <c r="AI407" s="36">
        <f>IF('My investments'!$H$15="",0,IF('My investments'!$F407='My investments'!$H$15,'My investments'!$E407,0))</f>
        <v/>
      </c>
      <c r="AK407" s="36">
        <f>IF('My investments'!$H$11="",0,IF('My investments'!$F407='My investments'!$H$11,$AA407,0))</f>
        <v/>
      </c>
      <c r="AL407" s="36">
        <f>IF('My investments'!$H$12="",0,IF('My investments'!$F407='My investments'!$H$12,$AA407,0))</f>
        <v/>
      </c>
      <c r="AM407" s="36">
        <f>IF('My investments'!$H$13="",0,IF('My investments'!$F407='My investments'!$H$13,$AA407,0))</f>
        <v/>
      </c>
      <c r="AN407" s="36">
        <f>IF('My investments'!$H$14="",0,IF('My investments'!$F407='My investments'!$H$14,$AA407,0))</f>
        <v/>
      </c>
      <c r="AO407" s="36">
        <f>IF('My investments'!$H$15="",0,IF('My investments'!$F407='My investments'!$H$15,$AA407,0))</f>
        <v/>
      </c>
    </row>
    <row r="408" ht="15" customHeight="1" s="30">
      <c r="A408" s="36">
        <f>IF('My investments'!$C408="Worth today",1,0)</f>
        <v/>
      </c>
      <c r="B408" s="36">
        <f>IF('My investments'!$C408="Money in",1,0)</f>
        <v/>
      </c>
      <c r="AA408" s="36">
        <f>IF('My investments'!$C408="Money in",'My investments'!$D408,0)</f>
        <v/>
      </c>
      <c r="AB408" s="36">
        <f>IF('My investments'!$C408="Money out",'My investments'!$D408,0)</f>
        <v/>
      </c>
      <c r="AC408" s="36">
        <f>IF('My investments'!$C408="Worth today",'My investments'!$D408,0)</f>
        <v/>
      </c>
      <c r="AE408" s="36">
        <f>IF('My investments'!$H$11="",0,IF('My investments'!$F408='My investments'!$H$11,'My investments'!$E408,0))</f>
        <v/>
      </c>
      <c r="AF408" s="36">
        <f>IF('My investments'!$H$12="",0,IF('My investments'!$F408='My investments'!$H$12,'My investments'!$E408,0))</f>
        <v/>
      </c>
      <c r="AG408" s="36">
        <f>IF('My investments'!$H$13="",0,IF('My investments'!$F408='My investments'!$H$13,'My investments'!$E408,0))</f>
        <v/>
      </c>
      <c r="AH408" s="36">
        <f>IF('My investments'!$H$14="",0,IF('My investments'!$F408='My investments'!$H$14,'My investments'!$E408,0))</f>
        <v/>
      </c>
      <c r="AI408" s="36">
        <f>IF('My investments'!$H$15="",0,IF('My investments'!$F408='My investments'!$H$15,'My investments'!$E408,0))</f>
        <v/>
      </c>
      <c r="AK408" s="36">
        <f>IF('My investments'!$H$11="",0,IF('My investments'!$F408='My investments'!$H$11,$AA408,0))</f>
        <v/>
      </c>
      <c r="AL408" s="36">
        <f>IF('My investments'!$H$12="",0,IF('My investments'!$F408='My investments'!$H$12,$AA408,0))</f>
        <v/>
      </c>
      <c r="AM408" s="36">
        <f>IF('My investments'!$H$13="",0,IF('My investments'!$F408='My investments'!$H$13,$AA408,0))</f>
        <v/>
      </c>
      <c r="AN408" s="36">
        <f>IF('My investments'!$H$14="",0,IF('My investments'!$F408='My investments'!$H$14,$AA408,0))</f>
        <v/>
      </c>
      <c r="AO408" s="36">
        <f>IF('My investments'!$H$15="",0,IF('My investments'!$F408='My investments'!$H$15,$AA408,0))</f>
        <v/>
      </c>
    </row>
    <row r="409" ht="15" customHeight="1" s="30">
      <c r="A409" s="36">
        <f>IF('My investments'!$C409="Worth today",1,0)</f>
        <v/>
      </c>
      <c r="B409" s="36">
        <f>IF('My investments'!$C409="Money in",1,0)</f>
        <v/>
      </c>
      <c r="AA409" s="36">
        <f>IF('My investments'!$C409="Money in",'My investments'!$D409,0)</f>
        <v/>
      </c>
      <c r="AB409" s="36">
        <f>IF('My investments'!$C409="Money out",'My investments'!$D409,0)</f>
        <v/>
      </c>
      <c r="AC409" s="36">
        <f>IF('My investments'!$C409="Worth today",'My investments'!$D409,0)</f>
        <v/>
      </c>
      <c r="AE409" s="36">
        <f>IF('My investments'!$H$11="",0,IF('My investments'!$F409='My investments'!$H$11,'My investments'!$E409,0))</f>
        <v/>
      </c>
      <c r="AF409" s="36">
        <f>IF('My investments'!$H$12="",0,IF('My investments'!$F409='My investments'!$H$12,'My investments'!$E409,0))</f>
        <v/>
      </c>
      <c r="AG409" s="36">
        <f>IF('My investments'!$H$13="",0,IF('My investments'!$F409='My investments'!$H$13,'My investments'!$E409,0))</f>
        <v/>
      </c>
      <c r="AH409" s="36">
        <f>IF('My investments'!$H$14="",0,IF('My investments'!$F409='My investments'!$H$14,'My investments'!$E409,0))</f>
        <v/>
      </c>
      <c r="AI409" s="36">
        <f>IF('My investments'!$H$15="",0,IF('My investments'!$F409='My investments'!$H$15,'My investments'!$E409,0))</f>
        <v/>
      </c>
      <c r="AK409" s="36">
        <f>IF('My investments'!$H$11="",0,IF('My investments'!$F409='My investments'!$H$11,$AA409,0))</f>
        <v/>
      </c>
      <c r="AL409" s="36">
        <f>IF('My investments'!$H$12="",0,IF('My investments'!$F409='My investments'!$H$12,$AA409,0))</f>
        <v/>
      </c>
      <c r="AM409" s="36">
        <f>IF('My investments'!$H$13="",0,IF('My investments'!$F409='My investments'!$H$13,$AA409,0))</f>
        <v/>
      </c>
      <c r="AN409" s="36">
        <f>IF('My investments'!$H$14="",0,IF('My investments'!$F409='My investments'!$H$14,$AA409,0))</f>
        <v/>
      </c>
      <c r="AO409" s="36">
        <f>IF('My investments'!$H$15="",0,IF('My investments'!$F409='My investments'!$H$15,$AA409,0))</f>
        <v/>
      </c>
    </row>
    <row r="410" ht="15" customHeight="1" s="30">
      <c r="A410" s="36">
        <f>IF('My investments'!$C410="Worth today",1,0)</f>
        <v/>
      </c>
      <c r="B410" s="36">
        <f>IF('My investments'!$C410="Money in",1,0)</f>
        <v/>
      </c>
      <c r="AA410" s="36">
        <f>IF('My investments'!$C410="Money in",'My investments'!$D410,0)</f>
        <v/>
      </c>
      <c r="AB410" s="36">
        <f>IF('My investments'!$C410="Money out",'My investments'!$D410,0)</f>
        <v/>
      </c>
      <c r="AC410" s="36">
        <f>IF('My investments'!$C410="Worth today",'My investments'!$D410,0)</f>
        <v/>
      </c>
      <c r="AE410" s="36">
        <f>IF('My investments'!$H$11="",0,IF('My investments'!$F410='My investments'!$H$11,'My investments'!$E410,0))</f>
        <v/>
      </c>
      <c r="AF410" s="36">
        <f>IF('My investments'!$H$12="",0,IF('My investments'!$F410='My investments'!$H$12,'My investments'!$E410,0))</f>
        <v/>
      </c>
      <c r="AG410" s="36">
        <f>IF('My investments'!$H$13="",0,IF('My investments'!$F410='My investments'!$H$13,'My investments'!$E410,0))</f>
        <v/>
      </c>
      <c r="AH410" s="36">
        <f>IF('My investments'!$H$14="",0,IF('My investments'!$F410='My investments'!$H$14,'My investments'!$E410,0))</f>
        <v/>
      </c>
      <c r="AI410" s="36">
        <f>IF('My investments'!$H$15="",0,IF('My investments'!$F410='My investments'!$H$15,'My investments'!$E410,0))</f>
        <v/>
      </c>
      <c r="AK410" s="36">
        <f>IF('My investments'!$H$11="",0,IF('My investments'!$F410='My investments'!$H$11,$AA410,0))</f>
        <v/>
      </c>
      <c r="AL410" s="36">
        <f>IF('My investments'!$H$12="",0,IF('My investments'!$F410='My investments'!$H$12,$AA410,0))</f>
        <v/>
      </c>
      <c r="AM410" s="36">
        <f>IF('My investments'!$H$13="",0,IF('My investments'!$F410='My investments'!$H$13,$AA410,0))</f>
        <v/>
      </c>
      <c r="AN410" s="36">
        <f>IF('My investments'!$H$14="",0,IF('My investments'!$F410='My investments'!$H$14,$AA410,0))</f>
        <v/>
      </c>
      <c r="AO410" s="36">
        <f>IF('My investments'!$H$15="",0,IF('My investments'!$F410='My investments'!$H$15,$AA410,0))</f>
        <v/>
      </c>
    </row>
    <row r="411" ht="15" customHeight="1" s="30">
      <c r="A411" s="36">
        <f>IF('My investments'!$C411="Worth today",1,0)</f>
        <v/>
      </c>
      <c r="B411" s="36">
        <f>IF('My investments'!$C411="Money in",1,0)</f>
        <v/>
      </c>
      <c r="AA411" s="36">
        <f>IF('My investments'!$C411="Money in",'My investments'!$D411,0)</f>
        <v/>
      </c>
      <c r="AB411" s="36">
        <f>IF('My investments'!$C411="Money out",'My investments'!$D411,0)</f>
        <v/>
      </c>
      <c r="AC411" s="36">
        <f>IF('My investments'!$C411="Worth today",'My investments'!$D411,0)</f>
        <v/>
      </c>
      <c r="AE411" s="36">
        <f>IF('My investments'!$H$11="",0,IF('My investments'!$F411='My investments'!$H$11,'My investments'!$E411,0))</f>
        <v/>
      </c>
      <c r="AF411" s="36">
        <f>IF('My investments'!$H$12="",0,IF('My investments'!$F411='My investments'!$H$12,'My investments'!$E411,0))</f>
        <v/>
      </c>
      <c r="AG411" s="36">
        <f>IF('My investments'!$H$13="",0,IF('My investments'!$F411='My investments'!$H$13,'My investments'!$E411,0))</f>
        <v/>
      </c>
      <c r="AH411" s="36">
        <f>IF('My investments'!$H$14="",0,IF('My investments'!$F411='My investments'!$H$14,'My investments'!$E411,0))</f>
        <v/>
      </c>
      <c r="AI411" s="36">
        <f>IF('My investments'!$H$15="",0,IF('My investments'!$F411='My investments'!$H$15,'My investments'!$E411,0))</f>
        <v/>
      </c>
      <c r="AK411" s="36">
        <f>IF('My investments'!$H$11="",0,IF('My investments'!$F411='My investments'!$H$11,$AA411,0))</f>
        <v/>
      </c>
      <c r="AL411" s="36">
        <f>IF('My investments'!$H$12="",0,IF('My investments'!$F411='My investments'!$H$12,$AA411,0))</f>
        <v/>
      </c>
      <c r="AM411" s="36">
        <f>IF('My investments'!$H$13="",0,IF('My investments'!$F411='My investments'!$H$13,$AA411,0))</f>
        <v/>
      </c>
      <c r="AN411" s="36">
        <f>IF('My investments'!$H$14="",0,IF('My investments'!$F411='My investments'!$H$14,$AA411,0))</f>
        <v/>
      </c>
      <c r="AO411" s="36">
        <f>IF('My investments'!$H$15="",0,IF('My investments'!$F411='My investments'!$H$15,$AA411,0))</f>
        <v/>
      </c>
    </row>
    <row r="412" ht="15" customHeight="1" s="30">
      <c r="A412" s="36">
        <f>IF('My investments'!$C412="Worth today",1,0)</f>
        <v/>
      </c>
      <c r="B412" s="36">
        <f>IF('My investments'!$C412="Money in",1,0)</f>
        <v/>
      </c>
      <c r="AA412" s="36">
        <f>IF('My investments'!$C412="Money in",'My investments'!$D412,0)</f>
        <v/>
      </c>
      <c r="AB412" s="36">
        <f>IF('My investments'!$C412="Money out",'My investments'!$D412,0)</f>
        <v/>
      </c>
      <c r="AC412" s="36">
        <f>IF('My investments'!$C412="Worth today",'My investments'!$D412,0)</f>
        <v/>
      </c>
      <c r="AE412" s="36">
        <f>IF('My investments'!$H$11="",0,IF('My investments'!$F412='My investments'!$H$11,'My investments'!$E412,0))</f>
        <v/>
      </c>
      <c r="AF412" s="36">
        <f>IF('My investments'!$H$12="",0,IF('My investments'!$F412='My investments'!$H$12,'My investments'!$E412,0))</f>
        <v/>
      </c>
      <c r="AG412" s="36">
        <f>IF('My investments'!$H$13="",0,IF('My investments'!$F412='My investments'!$H$13,'My investments'!$E412,0))</f>
        <v/>
      </c>
      <c r="AH412" s="36">
        <f>IF('My investments'!$H$14="",0,IF('My investments'!$F412='My investments'!$H$14,'My investments'!$E412,0))</f>
        <v/>
      </c>
      <c r="AI412" s="36">
        <f>IF('My investments'!$H$15="",0,IF('My investments'!$F412='My investments'!$H$15,'My investments'!$E412,0))</f>
        <v/>
      </c>
      <c r="AK412" s="36">
        <f>IF('My investments'!$H$11="",0,IF('My investments'!$F412='My investments'!$H$11,$AA412,0))</f>
        <v/>
      </c>
      <c r="AL412" s="36">
        <f>IF('My investments'!$H$12="",0,IF('My investments'!$F412='My investments'!$H$12,$AA412,0))</f>
        <v/>
      </c>
      <c r="AM412" s="36">
        <f>IF('My investments'!$H$13="",0,IF('My investments'!$F412='My investments'!$H$13,$AA412,0))</f>
        <v/>
      </c>
      <c r="AN412" s="36">
        <f>IF('My investments'!$H$14="",0,IF('My investments'!$F412='My investments'!$H$14,$AA412,0))</f>
        <v/>
      </c>
      <c r="AO412" s="36">
        <f>IF('My investments'!$H$15="",0,IF('My investments'!$F412='My investments'!$H$15,$AA412,0))</f>
        <v/>
      </c>
    </row>
    <row r="413" ht="15" customHeight="1" s="30">
      <c r="A413" s="36">
        <f>IF('My investments'!$C413="Worth today",1,0)</f>
        <v/>
      </c>
      <c r="B413" s="36">
        <f>IF('My investments'!$C413="Money in",1,0)</f>
        <v/>
      </c>
      <c r="AA413" s="36">
        <f>IF('My investments'!$C413="Money in",'My investments'!$D413,0)</f>
        <v/>
      </c>
      <c r="AB413" s="36">
        <f>IF('My investments'!$C413="Money out",'My investments'!$D413,0)</f>
        <v/>
      </c>
      <c r="AC413" s="36">
        <f>IF('My investments'!$C413="Worth today",'My investments'!$D413,0)</f>
        <v/>
      </c>
      <c r="AE413" s="36">
        <f>IF('My investments'!$H$11="",0,IF('My investments'!$F413='My investments'!$H$11,'My investments'!$E413,0))</f>
        <v/>
      </c>
      <c r="AF413" s="36">
        <f>IF('My investments'!$H$12="",0,IF('My investments'!$F413='My investments'!$H$12,'My investments'!$E413,0))</f>
        <v/>
      </c>
      <c r="AG413" s="36">
        <f>IF('My investments'!$H$13="",0,IF('My investments'!$F413='My investments'!$H$13,'My investments'!$E413,0))</f>
        <v/>
      </c>
      <c r="AH413" s="36">
        <f>IF('My investments'!$H$14="",0,IF('My investments'!$F413='My investments'!$H$14,'My investments'!$E413,0))</f>
        <v/>
      </c>
      <c r="AI413" s="36">
        <f>IF('My investments'!$H$15="",0,IF('My investments'!$F413='My investments'!$H$15,'My investments'!$E413,0))</f>
        <v/>
      </c>
      <c r="AK413" s="36">
        <f>IF('My investments'!$H$11="",0,IF('My investments'!$F413='My investments'!$H$11,$AA413,0))</f>
        <v/>
      </c>
      <c r="AL413" s="36">
        <f>IF('My investments'!$H$12="",0,IF('My investments'!$F413='My investments'!$H$12,$AA413,0))</f>
        <v/>
      </c>
      <c r="AM413" s="36">
        <f>IF('My investments'!$H$13="",0,IF('My investments'!$F413='My investments'!$H$13,$AA413,0))</f>
        <v/>
      </c>
      <c r="AN413" s="36">
        <f>IF('My investments'!$H$14="",0,IF('My investments'!$F413='My investments'!$H$14,$AA413,0))</f>
        <v/>
      </c>
      <c r="AO413" s="36">
        <f>IF('My investments'!$H$15="",0,IF('My investments'!$F413='My investments'!$H$15,$AA413,0))</f>
        <v/>
      </c>
    </row>
    <row r="414" ht="15" customHeight="1" s="30">
      <c r="A414" s="36">
        <f>IF('My investments'!$C414="Worth today",1,0)</f>
        <v/>
      </c>
      <c r="B414" s="36">
        <f>IF('My investments'!$C414="Money in",1,0)</f>
        <v/>
      </c>
      <c r="AA414" s="36">
        <f>IF('My investments'!$C414="Money in",'My investments'!$D414,0)</f>
        <v/>
      </c>
      <c r="AB414" s="36">
        <f>IF('My investments'!$C414="Money out",'My investments'!$D414,0)</f>
        <v/>
      </c>
      <c r="AC414" s="36">
        <f>IF('My investments'!$C414="Worth today",'My investments'!$D414,0)</f>
        <v/>
      </c>
      <c r="AE414" s="36">
        <f>IF('My investments'!$H$11="",0,IF('My investments'!$F414='My investments'!$H$11,'My investments'!$E414,0))</f>
        <v/>
      </c>
      <c r="AF414" s="36">
        <f>IF('My investments'!$H$12="",0,IF('My investments'!$F414='My investments'!$H$12,'My investments'!$E414,0))</f>
        <v/>
      </c>
      <c r="AG414" s="36">
        <f>IF('My investments'!$H$13="",0,IF('My investments'!$F414='My investments'!$H$13,'My investments'!$E414,0))</f>
        <v/>
      </c>
      <c r="AH414" s="36">
        <f>IF('My investments'!$H$14="",0,IF('My investments'!$F414='My investments'!$H$14,'My investments'!$E414,0))</f>
        <v/>
      </c>
      <c r="AI414" s="36">
        <f>IF('My investments'!$H$15="",0,IF('My investments'!$F414='My investments'!$H$15,'My investments'!$E414,0))</f>
        <v/>
      </c>
      <c r="AK414" s="36">
        <f>IF('My investments'!$H$11="",0,IF('My investments'!$F414='My investments'!$H$11,$AA414,0))</f>
        <v/>
      </c>
      <c r="AL414" s="36">
        <f>IF('My investments'!$H$12="",0,IF('My investments'!$F414='My investments'!$H$12,$AA414,0))</f>
        <v/>
      </c>
      <c r="AM414" s="36">
        <f>IF('My investments'!$H$13="",0,IF('My investments'!$F414='My investments'!$H$13,$AA414,0))</f>
        <v/>
      </c>
      <c r="AN414" s="36">
        <f>IF('My investments'!$H$14="",0,IF('My investments'!$F414='My investments'!$H$14,$AA414,0))</f>
        <v/>
      </c>
      <c r="AO414" s="36">
        <f>IF('My investments'!$H$15="",0,IF('My investments'!$F414='My investments'!$H$15,$AA414,0))</f>
        <v/>
      </c>
    </row>
    <row r="415" ht="15" customHeight="1" s="30">
      <c r="A415" s="36">
        <f>IF('My investments'!$C415="Worth today",1,0)</f>
        <v/>
      </c>
      <c r="B415" s="36">
        <f>IF('My investments'!$C415="Money in",1,0)</f>
        <v/>
      </c>
      <c r="AA415" s="36">
        <f>IF('My investments'!$C415="Money in",'My investments'!$D415,0)</f>
        <v/>
      </c>
      <c r="AB415" s="36">
        <f>IF('My investments'!$C415="Money out",'My investments'!$D415,0)</f>
        <v/>
      </c>
      <c r="AC415" s="36">
        <f>IF('My investments'!$C415="Worth today",'My investments'!$D415,0)</f>
        <v/>
      </c>
      <c r="AE415" s="36">
        <f>IF('My investments'!$H$11="",0,IF('My investments'!$F415='My investments'!$H$11,'My investments'!$E415,0))</f>
        <v/>
      </c>
      <c r="AF415" s="36">
        <f>IF('My investments'!$H$12="",0,IF('My investments'!$F415='My investments'!$H$12,'My investments'!$E415,0))</f>
        <v/>
      </c>
      <c r="AG415" s="36">
        <f>IF('My investments'!$H$13="",0,IF('My investments'!$F415='My investments'!$H$13,'My investments'!$E415,0))</f>
        <v/>
      </c>
      <c r="AH415" s="36">
        <f>IF('My investments'!$H$14="",0,IF('My investments'!$F415='My investments'!$H$14,'My investments'!$E415,0))</f>
        <v/>
      </c>
      <c r="AI415" s="36">
        <f>IF('My investments'!$H$15="",0,IF('My investments'!$F415='My investments'!$H$15,'My investments'!$E415,0))</f>
        <v/>
      </c>
      <c r="AK415" s="36">
        <f>IF('My investments'!$H$11="",0,IF('My investments'!$F415='My investments'!$H$11,$AA415,0))</f>
        <v/>
      </c>
      <c r="AL415" s="36">
        <f>IF('My investments'!$H$12="",0,IF('My investments'!$F415='My investments'!$H$12,$AA415,0))</f>
        <v/>
      </c>
      <c r="AM415" s="36">
        <f>IF('My investments'!$H$13="",0,IF('My investments'!$F415='My investments'!$H$13,$AA415,0))</f>
        <v/>
      </c>
      <c r="AN415" s="36">
        <f>IF('My investments'!$H$14="",0,IF('My investments'!$F415='My investments'!$H$14,$AA415,0))</f>
        <v/>
      </c>
      <c r="AO415" s="36">
        <f>IF('My investments'!$H$15="",0,IF('My investments'!$F415='My investments'!$H$15,$AA415,0))</f>
        <v/>
      </c>
    </row>
    <row r="416" ht="15" customHeight="1" s="30">
      <c r="A416" s="36">
        <f>IF('My investments'!$C416="Worth today",1,0)</f>
        <v/>
      </c>
      <c r="B416" s="36">
        <f>IF('My investments'!$C416="Money in",1,0)</f>
        <v/>
      </c>
      <c r="AA416" s="36">
        <f>IF('My investments'!$C416="Money in",'My investments'!$D416,0)</f>
        <v/>
      </c>
      <c r="AB416" s="36">
        <f>IF('My investments'!$C416="Money out",'My investments'!$D416,0)</f>
        <v/>
      </c>
      <c r="AC416" s="36">
        <f>IF('My investments'!$C416="Worth today",'My investments'!$D416,0)</f>
        <v/>
      </c>
      <c r="AE416" s="36">
        <f>IF('My investments'!$H$11="",0,IF('My investments'!$F416='My investments'!$H$11,'My investments'!$E416,0))</f>
        <v/>
      </c>
      <c r="AF416" s="36">
        <f>IF('My investments'!$H$12="",0,IF('My investments'!$F416='My investments'!$H$12,'My investments'!$E416,0))</f>
        <v/>
      </c>
      <c r="AG416" s="36">
        <f>IF('My investments'!$H$13="",0,IF('My investments'!$F416='My investments'!$H$13,'My investments'!$E416,0))</f>
        <v/>
      </c>
      <c r="AH416" s="36">
        <f>IF('My investments'!$H$14="",0,IF('My investments'!$F416='My investments'!$H$14,'My investments'!$E416,0))</f>
        <v/>
      </c>
      <c r="AI416" s="36">
        <f>IF('My investments'!$H$15="",0,IF('My investments'!$F416='My investments'!$H$15,'My investments'!$E416,0))</f>
        <v/>
      </c>
      <c r="AK416" s="36">
        <f>IF('My investments'!$H$11="",0,IF('My investments'!$F416='My investments'!$H$11,$AA416,0))</f>
        <v/>
      </c>
      <c r="AL416" s="36">
        <f>IF('My investments'!$H$12="",0,IF('My investments'!$F416='My investments'!$H$12,$AA416,0))</f>
        <v/>
      </c>
      <c r="AM416" s="36">
        <f>IF('My investments'!$H$13="",0,IF('My investments'!$F416='My investments'!$H$13,$AA416,0))</f>
        <v/>
      </c>
      <c r="AN416" s="36">
        <f>IF('My investments'!$H$14="",0,IF('My investments'!$F416='My investments'!$H$14,$AA416,0))</f>
        <v/>
      </c>
      <c r="AO416" s="36">
        <f>IF('My investments'!$H$15="",0,IF('My investments'!$F416='My investments'!$H$15,$AA416,0))</f>
        <v/>
      </c>
    </row>
    <row r="417" ht="15" customHeight="1" s="30">
      <c r="A417" s="36">
        <f>IF('My investments'!$C417="Worth today",1,0)</f>
        <v/>
      </c>
      <c r="B417" s="36">
        <f>IF('My investments'!$C417="Money in",1,0)</f>
        <v/>
      </c>
      <c r="AA417" s="36">
        <f>IF('My investments'!$C417="Money in",'My investments'!$D417,0)</f>
        <v/>
      </c>
      <c r="AB417" s="36">
        <f>IF('My investments'!$C417="Money out",'My investments'!$D417,0)</f>
        <v/>
      </c>
      <c r="AC417" s="36">
        <f>IF('My investments'!$C417="Worth today",'My investments'!$D417,0)</f>
        <v/>
      </c>
      <c r="AE417" s="36">
        <f>IF('My investments'!$H$11="",0,IF('My investments'!$F417='My investments'!$H$11,'My investments'!$E417,0))</f>
        <v/>
      </c>
      <c r="AF417" s="36">
        <f>IF('My investments'!$H$12="",0,IF('My investments'!$F417='My investments'!$H$12,'My investments'!$E417,0))</f>
        <v/>
      </c>
      <c r="AG417" s="36">
        <f>IF('My investments'!$H$13="",0,IF('My investments'!$F417='My investments'!$H$13,'My investments'!$E417,0))</f>
        <v/>
      </c>
      <c r="AH417" s="36">
        <f>IF('My investments'!$H$14="",0,IF('My investments'!$F417='My investments'!$H$14,'My investments'!$E417,0))</f>
        <v/>
      </c>
      <c r="AI417" s="36">
        <f>IF('My investments'!$H$15="",0,IF('My investments'!$F417='My investments'!$H$15,'My investments'!$E417,0))</f>
        <v/>
      </c>
      <c r="AK417" s="36">
        <f>IF('My investments'!$H$11="",0,IF('My investments'!$F417='My investments'!$H$11,$AA417,0))</f>
        <v/>
      </c>
      <c r="AL417" s="36">
        <f>IF('My investments'!$H$12="",0,IF('My investments'!$F417='My investments'!$H$12,$AA417,0))</f>
        <v/>
      </c>
      <c r="AM417" s="36">
        <f>IF('My investments'!$H$13="",0,IF('My investments'!$F417='My investments'!$H$13,$AA417,0))</f>
        <v/>
      </c>
      <c r="AN417" s="36">
        <f>IF('My investments'!$H$14="",0,IF('My investments'!$F417='My investments'!$H$14,$AA417,0))</f>
        <v/>
      </c>
      <c r="AO417" s="36">
        <f>IF('My investments'!$H$15="",0,IF('My investments'!$F417='My investments'!$H$15,$AA417,0))</f>
        <v/>
      </c>
    </row>
    <row r="418" ht="15" customHeight="1" s="30">
      <c r="A418" s="36">
        <f>IF('My investments'!$C418="Worth today",1,0)</f>
        <v/>
      </c>
      <c r="B418" s="36">
        <f>IF('My investments'!$C418="Money in",1,0)</f>
        <v/>
      </c>
      <c r="AA418" s="36">
        <f>IF('My investments'!$C418="Money in",'My investments'!$D418,0)</f>
        <v/>
      </c>
      <c r="AB418" s="36">
        <f>IF('My investments'!$C418="Money out",'My investments'!$D418,0)</f>
        <v/>
      </c>
      <c r="AC418" s="36">
        <f>IF('My investments'!$C418="Worth today",'My investments'!$D418,0)</f>
        <v/>
      </c>
      <c r="AE418" s="36">
        <f>IF('My investments'!$H$11="",0,IF('My investments'!$F418='My investments'!$H$11,'My investments'!$E418,0))</f>
        <v/>
      </c>
      <c r="AF418" s="36">
        <f>IF('My investments'!$H$12="",0,IF('My investments'!$F418='My investments'!$H$12,'My investments'!$E418,0))</f>
        <v/>
      </c>
      <c r="AG418" s="36">
        <f>IF('My investments'!$H$13="",0,IF('My investments'!$F418='My investments'!$H$13,'My investments'!$E418,0))</f>
        <v/>
      </c>
      <c r="AH418" s="36">
        <f>IF('My investments'!$H$14="",0,IF('My investments'!$F418='My investments'!$H$14,'My investments'!$E418,0))</f>
        <v/>
      </c>
      <c r="AI418" s="36">
        <f>IF('My investments'!$H$15="",0,IF('My investments'!$F418='My investments'!$H$15,'My investments'!$E418,0))</f>
        <v/>
      </c>
      <c r="AK418" s="36">
        <f>IF('My investments'!$H$11="",0,IF('My investments'!$F418='My investments'!$H$11,$AA418,0))</f>
        <v/>
      </c>
      <c r="AL418" s="36">
        <f>IF('My investments'!$H$12="",0,IF('My investments'!$F418='My investments'!$H$12,$AA418,0))</f>
        <v/>
      </c>
      <c r="AM418" s="36">
        <f>IF('My investments'!$H$13="",0,IF('My investments'!$F418='My investments'!$H$13,$AA418,0))</f>
        <v/>
      </c>
      <c r="AN418" s="36">
        <f>IF('My investments'!$H$14="",0,IF('My investments'!$F418='My investments'!$H$14,$AA418,0))</f>
        <v/>
      </c>
      <c r="AO418" s="36">
        <f>IF('My investments'!$H$15="",0,IF('My investments'!$F418='My investments'!$H$15,$AA418,0))</f>
        <v/>
      </c>
    </row>
    <row r="419" ht="15" customHeight="1" s="30">
      <c r="A419" s="36">
        <f>IF('My investments'!$C419="Worth today",1,0)</f>
        <v/>
      </c>
      <c r="B419" s="36">
        <f>IF('My investments'!$C419="Money in",1,0)</f>
        <v/>
      </c>
      <c r="AA419" s="36">
        <f>IF('My investments'!$C419="Money in",'My investments'!$D419,0)</f>
        <v/>
      </c>
      <c r="AB419" s="36">
        <f>IF('My investments'!$C419="Money out",'My investments'!$D419,0)</f>
        <v/>
      </c>
      <c r="AC419" s="36">
        <f>IF('My investments'!$C419="Worth today",'My investments'!$D419,0)</f>
        <v/>
      </c>
      <c r="AE419" s="36">
        <f>IF('My investments'!$H$11="",0,IF('My investments'!$F419='My investments'!$H$11,'My investments'!$E419,0))</f>
        <v/>
      </c>
      <c r="AF419" s="36">
        <f>IF('My investments'!$H$12="",0,IF('My investments'!$F419='My investments'!$H$12,'My investments'!$E419,0))</f>
        <v/>
      </c>
      <c r="AG419" s="36">
        <f>IF('My investments'!$H$13="",0,IF('My investments'!$F419='My investments'!$H$13,'My investments'!$E419,0))</f>
        <v/>
      </c>
      <c r="AH419" s="36">
        <f>IF('My investments'!$H$14="",0,IF('My investments'!$F419='My investments'!$H$14,'My investments'!$E419,0))</f>
        <v/>
      </c>
      <c r="AI419" s="36">
        <f>IF('My investments'!$H$15="",0,IF('My investments'!$F419='My investments'!$H$15,'My investments'!$E419,0))</f>
        <v/>
      </c>
      <c r="AK419" s="36">
        <f>IF('My investments'!$H$11="",0,IF('My investments'!$F419='My investments'!$H$11,$AA419,0))</f>
        <v/>
      </c>
      <c r="AL419" s="36">
        <f>IF('My investments'!$H$12="",0,IF('My investments'!$F419='My investments'!$H$12,$AA419,0))</f>
        <v/>
      </c>
      <c r="AM419" s="36">
        <f>IF('My investments'!$H$13="",0,IF('My investments'!$F419='My investments'!$H$13,$AA419,0))</f>
        <v/>
      </c>
      <c r="AN419" s="36">
        <f>IF('My investments'!$H$14="",0,IF('My investments'!$F419='My investments'!$H$14,$AA419,0))</f>
        <v/>
      </c>
      <c r="AO419" s="36">
        <f>IF('My investments'!$H$15="",0,IF('My investments'!$F419='My investments'!$H$15,$AA419,0))</f>
        <v/>
      </c>
    </row>
    <row r="420" ht="15" customHeight="1" s="30">
      <c r="A420" s="36">
        <f>IF('My investments'!$C420="Worth today",1,0)</f>
        <v/>
      </c>
      <c r="B420" s="36">
        <f>IF('My investments'!$C420="Money in",1,0)</f>
        <v/>
      </c>
      <c r="AA420" s="36">
        <f>IF('My investments'!$C420="Money in",'My investments'!$D420,0)</f>
        <v/>
      </c>
      <c r="AB420" s="36">
        <f>IF('My investments'!$C420="Money out",'My investments'!$D420,0)</f>
        <v/>
      </c>
      <c r="AC420" s="36">
        <f>IF('My investments'!$C420="Worth today",'My investments'!$D420,0)</f>
        <v/>
      </c>
      <c r="AE420" s="36">
        <f>IF('My investments'!$H$11="",0,IF('My investments'!$F420='My investments'!$H$11,'My investments'!$E420,0))</f>
        <v/>
      </c>
      <c r="AF420" s="36">
        <f>IF('My investments'!$H$12="",0,IF('My investments'!$F420='My investments'!$H$12,'My investments'!$E420,0))</f>
        <v/>
      </c>
      <c r="AG420" s="36">
        <f>IF('My investments'!$H$13="",0,IF('My investments'!$F420='My investments'!$H$13,'My investments'!$E420,0))</f>
        <v/>
      </c>
      <c r="AH420" s="36">
        <f>IF('My investments'!$H$14="",0,IF('My investments'!$F420='My investments'!$H$14,'My investments'!$E420,0))</f>
        <v/>
      </c>
      <c r="AI420" s="36">
        <f>IF('My investments'!$H$15="",0,IF('My investments'!$F420='My investments'!$H$15,'My investments'!$E420,0))</f>
        <v/>
      </c>
      <c r="AK420" s="36">
        <f>IF('My investments'!$H$11="",0,IF('My investments'!$F420='My investments'!$H$11,$AA420,0))</f>
        <v/>
      </c>
      <c r="AL420" s="36">
        <f>IF('My investments'!$H$12="",0,IF('My investments'!$F420='My investments'!$H$12,$AA420,0))</f>
        <v/>
      </c>
      <c r="AM420" s="36">
        <f>IF('My investments'!$H$13="",0,IF('My investments'!$F420='My investments'!$H$13,$AA420,0))</f>
        <v/>
      </c>
      <c r="AN420" s="36">
        <f>IF('My investments'!$H$14="",0,IF('My investments'!$F420='My investments'!$H$14,$AA420,0))</f>
        <v/>
      </c>
      <c r="AO420" s="36">
        <f>IF('My investments'!$H$15="",0,IF('My investments'!$F420='My investments'!$H$15,$AA420,0))</f>
        <v/>
      </c>
    </row>
    <row r="421" ht="15" customHeight="1" s="30">
      <c r="A421" s="36">
        <f>IF('My investments'!$C421="Worth today",1,0)</f>
        <v/>
      </c>
      <c r="B421" s="36">
        <f>IF('My investments'!$C421="Money in",1,0)</f>
        <v/>
      </c>
      <c r="AA421" s="36">
        <f>IF('My investments'!$C421="Money in",'My investments'!$D421,0)</f>
        <v/>
      </c>
      <c r="AB421" s="36">
        <f>IF('My investments'!$C421="Money out",'My investments'!$D421,0)</f>
        <v/>
      </c>
      <c r="AC421" s="36">
        <f>IF('My investments'!$C421="Worth today",'My investments'!$D421,0)</f>
        <v/>
      </c>
      <c r="AE421" s="36">
        <f>IF('My investments'!$H$11="",0,IF('My investments'!$F421='My investments'!$H$11,'My investments'!$E421,0))</f>
        <v/>
      </c>
      <c r="AF421" s="36">
        <f>IF('My investments'!$H$12="",0,IF('My investments'!$F421='My investments'!$H$12,'My investments'!$E421,0))</f>
        <v/>
      </c>
      <c r="AG421" s="36">
        <f>IF('My investments'!$H$13="",0,IF('My investments'!$F421='My investments'!$H$13,'My investments'!$E421,0))</f>
        <v/>
      </c>
      <c r="AH421" s="36">
        <f>IF('My investments'!$H$14="",0,IF('My investments'!$F421='My investments'!$H$14,'My investments'!$E421,0))</f>
        <v/>
      </c>
      <c r="AI421" s="36">
        <f>IF('My investments'!$H$15="",0,IF('My investments'!$F421='My investments'!$H$15,'My investments'!$E421,0))</f>
        <v/>
      </c>
      <c r="AK421" s="36">
        <f>IF('My investments'!$H$11="",0,IF('My investments'!$F421='My investments'!$H$11,$AA421,0))</f>
        <v/>
      </c>
      <c r="AL421" s="36">
        <f>IF('My investments'!$H$12="",0,IF('My investments'!$F421='My investments'!$H$12,$AA421,0))</f>
        <v/>
      </c>
      <c r="AM421" s="36">
        <f>IF('My investments'!$H$13="",0,IF('My investments'!$F421='My investments'!$H$13,$AA421,0))</f>
        <v/>
      </c>
      <c r="AN421" s="36">
        <f>IF('My investments'!$H$14="",0,IF('My investments'!$F421='My investments'!$H$14,$AA421,0))</f>
        <v/>
      </c>
      <c r="AO421" s="36">
        <f>IF('My investments'!$H$15="",0,IF('My investments'!$F421='My investments'!$H$15,$AA421,0))</f>
        <v/>
      </c>
    </row>
    <row r="422" ht="15" customHeight="1" s="30">
      <c r="A422" s="36">
        <f>IF('My investments'!$C422="Worth today",1,0)</f>
        <v/>
      </c>
      <c r="B422" s="36">
        <f>IF('My investments'!$C422="Money in",1,0)</f>
        <v/>
      </c>
      <c r="AA422" s="36">
        <f>IF('My investments'!$C422="Money in",'My investments'!$D422,0)</f>
        <v/>
      </c>
      <c r="AB422" s="36">
        <f>IF('My investments'!$C422="Money out",'My investments'!$D422,0)</f>
        <v/>
      </c>
      <c r="AC422" s="36">
        <f>IF('My investments'!$C422="Worth today",'My investments'!$D422,0)</f>
        <v/>
      </c>
      <c r="AE422" s="36">
        <f>IF('My investments'!$H$11="",0,IF('My investments'!$F422='My investments'!$H$11,'My investments'!$E422,0))</f>
        <v/>
      </c>
      <c r="AF422" s="36">
        <f>IF('My investments'!$H$12="",0,IF('My investments'!$F422='My investments'!$H$12,'My investments'!$E422,0))</f>
        <v/>
      </c>
      <c r="AG422" s="36">
        <f>IF('My investments'!$H$13="",0,IF('My investments'!$F422='My investments'!$H$13,'My investments'!$E422,0))</f>
        <v/>
      </c>
      <c r="AH422" s="36">
        <f>IF('My investments'!$H$14="",0,IF('My investments'!$F422='My investments'!$H$14,'My investments'!$E422,0))</f>
        <v/>
      </c>
      <c r="AI422" s="36">
        <f>IF('My investments'!$H$15="",0,IF('My investments'!$F422='My investments'!$H$15,'My investments'!$E422,0))</f>
        <v/>
      </c>
      <c r="AK422" s="36">
        <f>IF('My investments'!$H$11="",0,IF('My investments'!$F422='My investments'!$H$11,$AA422,0))</f>
        <v/>
      </c>
      <c r="AL422" s="36">
        <f>IF('My investments'!$H$12="",0,IF('My investments'!$F422='My investments'!$H$12,$AA422,0))</f>
        <v/>
      </c>
      <c r="AM422" s="36">
        <f>IF('My investments'!$H$13="",0,IF('My investments'!$F422='My investments'!$H$13,$AA422,0))</f>
        <v/>
      </c>
      <c r="AN422" s="36">
        <f>IF('My investments'!$H$14="",0,IF('My investments'!$F422='My investments'!$H$14,$AA422,0))</f>
        <v/>
      </c>
      <c r="AO422" s="36">
        <f>IF('My investments'!$H$15="",0,IF('My investments'!$F422='My investments'!$H$15,$AA422,0))</f>
        <v/>
      </c>
    </row>
    <row r="423" ht="15" customHeight="1" s="30">
      <c r="A423" s="36">
        <f>IF('My investments'!$C423="Worth today",1,0)</f>
        <v/>
      </c>
      <c r="B423" s="36">
        <f>IF('My investments'!$C423="Money in",1,0)</f>
        <v/>
      </c>
      <c r="AA423" s="36">
        <f>IF('My investments'!$C423="Money in",'My investments'!$D423,0)</f>
        <v/>
      </c>
      <c r="AB423" s="36">
        <f>IF('My investments'!$C423="Money out",'My investments'!$D423,0)</f>
        <v/>
      </c>
      <c r="AC423" s="36">
        <f>IF('My investments'!$C423="Worth today",'My investments'!$D423,0)</f>
        <v/>
      </c>
      <c r="AE423" s="36">
        <f>IF('My investments'!$H$11="",0,IF('My investments'!$F423='My investments'!$H$11,'My investments'!$E423,0))</f>
        <v/>
      </c>
      <c r="AF423" s="36">
        <f>IF('My investments'!$H$12="",0,IF('My investments'!$F423='My investments'!$H$12,'My investments'!$E423,0))</f>
        <v/>
      </c>
      <c r="AG423" s="36">
        <f>IF('My investments'!$H$13="",0,IF('My investments'!$F423='My investments'!$H$13,'My investments'!$E423,0))</f>
        <v/>
      </c>
      <c r="AH423" s="36">
        <f>IF('My investments'!$H$14="",0,IF('My investments'!$F423='My investments'!$H$14,'My investments'!$E423,0))</f>
        <v/>
      </c>
      <c r="AI423" s="36">
        <f>IF('My investments'!$H$15="",0,IF('My investments'!$F423='My investments'!$H$15,'My investments'!$E423,0))</f>
        <v/>
      </c>
      <c r="AK423" s="36">
        <f>IF('My investments'!$H$11="",0,IF('My investments'!$F423='My investments'!$H$11,$AA423,0))</f>
        <v/>
      </c>
      <c r="AL423" s="36">
        <f>IF('My investments'!$H$12="",0,IF('My investments'!$F423='My investments'!$H$12,$AA423,0))</f>
        <v/>
      </c>
      <c r="AM423" s="36">
        <f>IF('My investments'!$H$13="",0,IF('My investments'!$F423='My investments'!$H$13,$AA423,0))</f>
        <v/>
      </c>
      <c r="AN423" s="36">
        <f>IF('My investments'!$H$14="",0,IF('My investments'!$F423='My investments'!$H$14,$AA423,0))</f>
        <v/>
      </c>
      <c r="AO423" s="36">
        <f>IF('My investments'!$H$15="",0,IF('My investments'!$F423='My investments'!$H$15,$AA423,0))</f>
        <v/>
      </c>
    </row>
    <row r="424" ht="15" customHeight="1" s="30">
      <c r="A424" s="36">
        <f>IF('My investments'!$C424="Worth today",1,0)</f>
        <v/>
      </c>
      <c r="B424" s="36">
        <f>IF('My investments'!$C424="Money in",1,0)</f>
        <v/>
      </c>
      <c r="AA424" s="36">
        <f>IF('My investments'!$C424="Money in",'My investments'!$D424,0)</f>
        <v/>
      </c>
      <c r="AB424" s="36">
        <f>IF('My investments'!$C424="Money out",'My investments'!$D424,0)</f>
        <v/>
      </c>
      <c r="AC424" s="36">
        <f>IF('My investments'!$C424="Worth today",'My investments'!$D424,0)</f>
        <v/>
      </c>
      <c r="AE424" s="36">
        <f>IF('My investments'!$H$11="",0,IF('My investments'!$F424='My investments'!$H$11,'My investments'!$E424,0))</f>
        <v/>
      </c>
      <c r="AF424" s="36">
        <f>IF('My investments'!$H$12="",0,IF('My investments'!$F424='My investments'!$H$12,'My investments'!$E424,0))</f>
        <v/>
      </c>
      <c r="AG424" s="36">
        <f>IF('My investments'!$H$13="",0,IF('My investments'!$F424='My investments'!$H$13,'My investments'!$E424,0))</f>
        <v/>
      </c>
      <c r="AH424" s="36">
        <f>IF('My investments'!$H$14="",0,IF('My investments'!$F424='My investments'!$H$14,'My investments'!$E424,0))</f>
        <v/>
      </c>
      <c r="AI424" s="36">
        <f>IF('My investments'!$H$15="",0,IF('My investments'!$F424='My investments'!$H$15,'My investments'!$E424,0))</f>
        <v/>
      </c>
      <c r="AK424" s="36">
        <f>IF('My investments'!$H$11="",0,IF('My investments'!$F424='My investments'!$H$11,$AA424,0))</f>
        <v/>
      </c>
      <c r="AL424" s="36">
        <f>IF('My investments'!$H$12="",0,IF('My investments'!$F424='My investments'!$H$12,$AA424,0))</f>
        <v/>
      </c>
      <c r="AM424" s="36">
        <f>IF('My investments'!$H$13="",0,IF('My investments'!$F424='My investments'!$H$13,$AA424,0))</f>
        <v/>
      </c>
      <c r="AN424" s="36">
        <f>IF('My investments'!$H$14="",0,IF('My investments'!$F424='My investments'!$H$14,$AA424,0))</f>
        <v/>
      </c>
      <c r="AO424" s="36">
        <f>IF('My investments'!$H$15="",0,IF('My investments'!$F424='My investments'!$H$15,$AA424,0))</f>
        <v/>
      </c>
    </row>
    <row r="425" ht="15" customHeight="1" s="30">
      <c r="A425" s="36">
        <f>IF('My investments'!$C425="Worth today",1,0)</f>
        <v/>
      </c>
      <c r="B425" s="36">
        <f>IF('My investments'!$C425="Money in",1,0)</f>
        <v/>
      </c>
      <c r="AA425" s="36">
        <f>IF('My investments'!$C425="Money in",'My investments'!$D425,0)</f>
        <v/>
      </c>
      <c r="AB425" s="36">
        <f>IF('My investments'!$C425="Money out",'My investments'!$D425,0)</f>
        <v/>
      </c>
      <c r="AC425" s="36">
        <f>IF('My investments'!$C425="Worth today",'My investments'!$D425,0)</f>
        <v/>
      </c>
      <c r="AE425" s="36">
        <f>IF('My investments'!$H$11="",0,IF('My investments'!$F425='My investments'!$H$11,'My investments'!$E425,0))</f>
        <v/>
      </c>
      <c r="AF425" s="36">
        <f>IF('My investments'!$H$12="",0,IF('My investments'!$F425='My investments'!$H$12,'My investments'!$E425,0))</f>
        <v/>
      </c>
      <c r="AG425" s="36">
        <f>IF('My investments'!$H$13="",0,IF('My investments'!$F425='My investments'!$H$13,'My investments'!$E425,0))</f>
        <v/>
      </c>
      <c r="AH425" s="36">
        <f>IF('My investments'!$H$14="",0,IF('My investments'!$F425='My investments'!$H$14,'My investments'!$E425,0))</f>
        <v/>
      </c>
      <c r="AI425" s="36">
        <f>IF('My investments'!$H$15="",0,IF('My investments'!$F425='My investments'!$H$15,'My investments'!$E425,0))</f>
        <v/>
      </c>
      <c r="AK425" s="36">
        <f>IF('My investments'!$H$11="",0,IF('My investments'!$F425='My investments'!$H$11,$AA425,0))</f>
        <v/>
      </c>
      <c r="AL425" s="36">
        <f>IF('My investments'!$H$12="",0,IF('My investments'!$F425='My investments'!$H$12,$AA425,0))</f>
        <v/>
      </c>
      <c r="AM425" s="36">
        <f>IF('My investments'!$H$13="",0,IF('My investments'!$F425='My investments'!$H$13,$AA425,0))</f>
        <v/>
      </c>
      <c r="AN425" s="36">
        <f>IF('My investments'!$H$14="",0,IF('My investments'!$F425='My investments'!$H$14,$AA425,0))</f>
        <v/>
      </c>
      <c r="AO425" s="36">
        <f>IF('My investments'!$H$15="",0,IF('My investments'!$F425='My investments'!$H$15,$AA425,0))</f>
        <v/>
      </c>
    </row>
    <row r="426" ht="15" customHeight="1" s="30">
      <c r="A426" s="36">
        <f>IF('My investments'!$C426="Worth today",1,0)</f>
        <v/>
      </c>
      <c r="B426" s="36">
        <f>IF('My investments'!$C426="Money in",1,0)</f>
        <v/>
      </c>
      <c r="AA426" s="36">
        <f>IF('My investments'!$C426="Money in",'My investments'!$D426,0)</f>
        <v/>
      </c>
      <c r="AB426" s="36">
        <f>IF('My investments'!$C426="Money out",'My investments'!$D426,0)</f>
        <v/>
      </c>
      <c r="AC426" s="36">
        <f>IF('My investments'!$C426="Worth today",'My investments'!$D426,0)</f>
        <v/>
      </c>
      <c r="AE426" s="36">
        <f>IF('My investments'!$H$11="",0,IF('My investments'!$F426='My investments'!$H$11,'My investments'!$E426,0))</f>
        <v/>
      </c>
      <c r="AF426" s="36">
        <f>IF('My investments'!$H$12="",0,IF('My investments'!$F426='My investments'!$H$12,'My investments'!$E426,0))</f>
        <v/>
      </c>
      <c r="AG426" s="36">
        <f>IF('My investments'!$H$13="",0,IF('My investments'!$F426='My investments'!$H$13,'My investments'!$E426,0))</f>
        <v/>
      </c>
      <c r="AH426" s="36">
        <f>IF('My investments'!$H$14="",0,IF('My investments'!$F426='My investments'!$H$14,'My investments'!$E426,0))</f>
        <v/>
      </c>
      <c r="AI426" s="36">
        <f>IF('My investments'!$H$15="",0,IF('My investments'!$F426='My investments'!$H$15,'My investments'!$E426,0))</f>
        <v/>
      </c>
      <c r="AK426" s="36">
        <f>IF('My investments'!$H$11="",0,IF('My investments'!$F426='My investments'!$H$11,$AA426,0))</f>
        <v/>
      </c>
      <c r="AL426" s="36">
        <f>IF('My investments'!$H$12="",0,IF('My investments'!$F426='My investments'!$H$12,$AA426,0))</f>
        <v/>
      </c>
      <c r="AM426" s="36">
        <f>IF('My investments'!$H$13="",0,IF('My investments'!$F426='My investments'!$H$13,$AA426,0))</f>
        <v/>
      </c>
      <c r="AN426" s="36">
        <f>IF('My investments'!$H$14="",0,IF('My investments'!$F426='My investments'!$H$14,$AA426,0))</f>
        <v/>
      </c>
      <c r="AO426" s="36">
        <f>IF('My investments'!$H$15="",0,IF('My investments'!$F426='My investments'!$H$15,$AA426,0))</f>
        <v/>
      </c>
    </row>
    <row r="427" ht="15" customHeight="1" s="30">
      <c r="A427" s="36">
        <f>IF('My investments'!$C427="Worth today",1,0)</f>
        <v/>
      </c>
      <c r="B427" s="36">
        <f>IF('My investments'!$C427="Money in",1,0)</f>
        <v/>
      </c>
      <c r="AA427" s="36">
        <f>IF('My investments'!$C427="Money in",'My investments'!$D427,0)</f>
        <v/>
      </c>
      <c r="AB427" s="36">
        <f>IF('My investments'!$C427="Money out",'My investments'!$D427,0)</f>
        <v/>
      </c>
      <c r="AC427" s="36">
        <f>IF('My investments'!$C427="Worth today",'My investments'!$D427,0)</f>
        <v/>
      </c>
      <c r="AE427" s="36">
        <f>IF('My investments'!$H$11="",0,IF('My investments'!$F427='My investments'!$H$11,'My investments'!$E427,0))</f>
        <v/>
      </c>
      <c r="AF427" s="36">
        <f>IF('My investments'!$H$12="",0,IF('My investments'!$F427='My investments'!$H$12,'My investments'!$E427,0))</f>
        <v/>
      </c>
      <c r="AG427" s="36">
        <f>IF('My investments'!$H$13="",0,IF('My investments'!$F427='My investments'!$H$13,'My investments'!$E427,0))</f>
        <v/>
      </c>
      <c r="AH427" s="36">
        <f>IF('My investments'!$H$14="",0,IF('My investments'!$F427='My investments'!$H$14,'My investments'!$E427,0))</f>
        <v/>
      </c>
      <c r="AI427" s="36">
        <f>IF('My investments'!$H$15="",0,IF('My investments'!$F427='My investments'!$H$15,'My investments'!$E427,0))</f>
        <v/>
      </c>
      <c r="AK427" s="36">
        <f>IF('My investments'!$H$11="",0,IF('My investments'!$F427='My investments'!$H$11,$AA427,0))</f>
        <v/>
      </c>
      <c r="AL427" s="36">
        <f>IF('My investments'!$H$12="",0,IF('My investments'!$F427='My investments'!$H$12,$AA427,0))</f>
        <v/>
      </c>
      <c r="AM427" s="36">
        <f>IF('My investments'!$H$13="",0,IF('My investments'!$F427='My investments'!$H$13,$AA427,0))</f>
        <v/>
      </c>
      <c r="AN427" s="36">
        <f>IF('My investments'!$H$14="",0,IF('My investments'!$F427='My investments'!$H$14,$AA427,0))</f>
        <v/>
      </c>
      <c r="AO427" s="36">
        <f>IF('My investments'!$H$15="",0,IF('My investments'!$F427='My investments'!$H$15,$AA427,0))</f>
        <v/>
      </c>
    </row>
    <row r="428" ht="15" customHeight="1" s="30">
      <c r="A428" s="36">
        <f>IF('My investments'!$C428="Worth today",1,0)</f>
        <v/>
      </c>
      <c r="B428" s="36">
        <f>IF('My investments'!$C428="Money in",1,0)</f>
        <v/>
      </c>
      <c r="AA428" s="36">
        <f>IF('My investments'!$C428="Money in",'My investments'!$D428,0)</f>
        <v/>
      </c>
      <c r="AB428" s="36">
        <f>IF('My investments'!$C428="Money out",'My investments'!$D428,0)</f>
        <v/>
      </c>
      <c r="AC428" s="36">
        <f>IF('My investments'!$C428="Worth today",'My investments'!$D428,0)</f>
        <v/>
      </c>
      <c r="AE428" s="36">
        <f>IF('My investments'!$H$11="",0,IF('My investments'!$F428='My investments'!$H$11,'My investments'!$E428,0))</f>
        <v/>
      </c>
      <c r="AF428" s="36">
        <f>IF('My investments'!$H$12="",0,IF('My investments'!$F428='My investments'!$H$12,'My investments'!$E428,0))</f>
        <v/>
      </c>
      <c r="AG428" s="36">
        <f>IF('My investments'!$H$13="",0,IF('My investments'!$F428='My investments'!$H$13,'My investments'!$E428,0))</f>
        <v/>
      </c>
      <c r="AH428" s="36">
        <f>IF('My investments'!$H$14="",0,IF('My investments'!$F428='My investments'!$H$14,'My investments'!$E428,0))</f>
        <v/>
      </c>
      <c r="AI428" s="36">
        <f>IF('My investments'!$H$15="",0,IF('My investments'!$F428='My investments'!$H$15,'My investments'!$E428,0))</f>
        <v/>
      </c>
      <c r="AK428" s="36">
        <f>IF('My investments'!$H$11="",0,IF('My investments'!$F428='My investments'!$H$11,$AA428,0))</f>
        <v/>
      </c>
      <c r="AL428" s="36">
        <f>IF('My investments'!$H$12="",0,IF('My investments'!$F428='My investments'!$H$12,$AA428,0))</f>
        <v/>
      </c>
      <c r="AM428" s="36">
        <f>IF('My investments'!$H$13="",0,IF('My investments'!$F428='My investments'!$H$13,$AA428,0))</f>
        <v/>
      </c>
      <c r="AN428" s="36">
        <f>IF('My investments'!$H$14="",0,IF('My investments'!$F428='My investments'!$H$14,$AA428,0))</f>
        <v/>
      </c>
      <c r="AO428" s="36">
        <f>IF('My investments'!$H$15="",0,IF('My investments'!$F428='My investments'!$H$15,$AA428,0))</f>
        <v/>
      </c>
    </row>
    <row r="429" ht="15" customHeight="1" s="30">
      <c r="A429" s="36">
        <f>IF('My investments'!$C429="Worth today",1,0)</f>
        <v/>
      </c>
      <c r="B429" s="36">
        <f>IF('My investments'!$C429="Money in",1,0)</f>
        <v/>
      </c>
      <c r="AA429" s="36">
        <f>IF('My investments'!$C429="Money in",'My investments'!$D429,0)</f>
        <v/>
      </c>
      <c r="AB429" s="36">
        <f>IF('My investments'!$C429="Money out",'My investments'!$D429,0)</f>
        <v/>
      </c>
      <c r="AC429" s="36">
        <f>IF('My investments'!$C429="Worth today",'My investments'!$D429,0)</f>
        <v/>
      </c>
      <c r="AE429" s="36">
        <f>IF('My investments'!$H$11="",0,IF('My investments'!$F429='My investments'!$H$11,'My investments'!$E429,0))</f>
        <v/>
      </c>
      <c r="AF429" s="36">
        <f>IF('My investments'!$H$12="",0,IF('My investments'!$F429='My investments'!$H$12,'My investments'!$E429,0))</f>
        <v/>
      </c>
      <c r="AG429" s="36">
        <f>IF('My investments'!$H$13="",0,IF('My investments'!$F429='My investments'!$H$13,'My investments'!$E429,0))</f>
        <v/>
      </c>
      <c r="AH429" s="36">
        <f>IF('My investments'!$H$14="",0,IF('My investments'!$F429='My investments'!$H$14,'My investments'!$E429,0))</f>
        <v/>
      </c>
      <c r="AI429" s="36">
        <f>IF('My investments'!$H$15="",0,IF('My investments'!$F429='My investments'!$H$15,'My investments'!$E429,0))</f>
        <v/>
      </c>
      <c r="AK429" s="36">
        <f>IF('My investments'!$H$11="",0,IF('My investments'!$F429='My investments'!$H$11,$AA429,0))</f>
        <v/>
      </c>
      <c r="AL429" s="36">
        <f>IF('My investments'!$H$12="",0,IF('My investments'!$F429='My investments'!$H$12,$AA429,0))</f>
        <v/>
      </c>
      <c r="AM429" s="36">
        <f>IF('My investments'!$H$13="",0,IF('My investments'!$F429='My investments'!$H$13,$AA429,0))</f>
        <v/>
      </c>
      <c r="AN429" s="36">
        <f>IF('My investments'!$H$14="",0,IF('My investments'!$F429='My investments'!$H$14,$AA429,0))</f>
        <v/>
      </c>
      <c r="AO429" s="36">
        <f>IF('My investments'!$H$15="",0,IF('My investments'!$F429='My investments'!$H$15,$AA429,0))</f>
        <v/>
      </c>
    </row>
    <row r="430" ht="15" customHeight="1" s="30">
      <c r="A430" s="36">
        <f>IF('My investments'!$C430="Worth today",1,0)</f>
        <v/>
      </c>
      <c r="B430" s="36">
        <f>IF('My investments'!$C430="Money in",1,0)</f>
        <v/>
      </c>
      <c r="AA430" s="36">
        <f>IF('My investments'!$C430="Money in",'My investments'!$D430,0)</f>
        <v/>
      </c>
      <c r="AB430" s="36">
        <f>IF('My investments'!$C430="Money out",'My investments'!$D430,0)</f>
        <v/>
      </c>
      <c r="AC430" s="36">
        <f>IF('My investments'!$C430="Worth today",'My investments'!$D430,0)</f>
        <v/>
      </c>
      <c r="AE430" s="36">
        <f>IF('My investments'!$H$11="",0,IF('My investments'!$F430='My investments'!$H$11,'My investments'!$E430,0))</f>
        <v/>
      </c>
      <c r="AF430" s="36">
        <f>IF('My investments'!$H$12="",0,IF('My investments'!$F430='My investments'!$H$12,'My investments'!$E430,0))</f>
        <v/>
      </c>
      <c r="AG430" s="36">
        <f>IF('My investments'!$H$13="",0,IF('My investments'!$F430='My investments'!$H$13,'My investments'!$E430,0))</f>
        <v/>
      </c>
      <c r="AH430" s="36">
        <f>IF('My investments'!$H$14="",0,IF('My investments'!$F430='My investments'!$H$14,'My investments'!$E430,0))</f>
        <v/>
      </c>
      <c r="AI430" s="36">
        <f>IF('My investments'!$H$15="",0,IF('My investments'!$F430='My investments'!$H$15,'My investments'!$E430,0))</f>
        <v/>
      </c>
      <c r="AK430" s="36">
        <f>IF('My investments'!$H$11="",0,IF('My investments'!$F430='My investments'!$H$11,$AA430,0))</f>
        <v/>
      </c>
      <c r="AL430" s="36">
        <f>IF('My investments'!$H$12="",0,IF('My investments'!$F430='My investments'!$H$12,$AA430,0))</f>
        <v/>
      </c>
      <c r="AM430" s="36">
        <f>IF('My investments'!$H$13="",0,IF('My investments'!$F430='My investments'!$H$13,$AA430,0))</f>
        <v/>
      </c>
      <c r="AN430" s="36">
        <f>IF('My investments'!$H$14="",0,IF('My investments'!$F430='My investments'!$H$14,$AA430,0))</f>
        <v/>
      </c>
      <c r="AO430" s="36">
        <f>IF('My investments'!$H$15="",0,IF('My investments'!$F430='My investments'!$H$15,$AA430,0))</f>
        <v/>
      </c>
    </row>
    <row r="431" ht="15" customHeight="1" s="30">
      <c r="A431" s="36">
        <f>IF('My investments'!$C431="Worth today",1,0)</f>
        <v/>
      </c>
      <c r="B431" s="36">
        <f>IF('My investments'!$C431="Money in",1,0)</f>
        <v/>
      </c>
      <c r="AA431" s="36">
        <f>IF('My investments'!$C431="Money in",'My investments'!$D431,0)</f>
        <v/>
      </c>
      <c r="AB431" s="36">
        <f>IF('My investments'!$C431="Money out",'My investments'!$D431,0)</f>
        <v/>
      </c>
      <c r="AC431" s="36">
        <f>IF('My investments'!$C431="Worth today",'My investments'!$D431,0)</f>
        <v/>
      </c>
      <c r="AE431" s="36">
        <f>IF('My investments'!$H$11="",0,IF('My investments'!$F431='My investments'!$H$11,'My investments'!$E431,0))</f>
        <v/>
      </c>
      <c r="AF431" s="36">
        <f>IF('My investments'!$H$12="",0,IF('My investments'!$F431='My investments'!$H$12,'My investments'!$E431,0))</f>
        <v/>
      </c>
      <c r="AG431" s="36">
        <f>IF('My investments'!$H$13="",0,IF('My investments'!$F431='My investments'!$H$13,'My investments'!$E431,0))</f>
        <v/>
      </c>
      <c r="AH431" s="36">
        <f>IF('My investments'!$H$14="",0,IF('My investments'!$F431='My investments'!$H$14,'My investments'!$E431,0))</f>
        <v/>
      </c>
      <c r="AI431" s="36">
        <f>IF('My investments'!$H$15="",0,IF('My investments'!$F431='My investments'!$H$15,'My investments'!$E431,0))</f>
        <v/>
      </c>
      <c r="AK431" s="36">
        <f>IF('My investments'!$H$11="",0,IF('My investments'!$F431='My investments'!$H$11,$AA431,0))</f>
        <v/>
      </c>
      <c r="AL431" s="36">
        <f>IF('My investments'!$H$12="",0,IF('My investments'!$F431='My investments'!$H$12,$AA431,0))</f>
        <v/>
      </c>
      <c r="AM431" s="36">
        <f>IF('My investments'!$H$13="",0,IF('My investments'!$F431='My investments'!$H$13,$AA431,0))</f>
        <v/>
      </c>
      <c r="AN431" s="36">
        <f>IF('My investments'!$H$14="",0,IF('My investments'!$F431='My investments'!$H$14,$AA431,0))</f>
        <v/>
      </c>
      <c r="AO431" s="36">
        <f>IF('My investments'!$H$15="",0,IF('My investments'!$F431='My investments'!$H$15,$AA431,0))</f>
        <v/>
      </c>
    </row>
    <row r="432" ht="15" customHeight="1" s="30">
      <c r="A432" s="36">
        <f>IF('My investments'!$C432="Worth today",1,0)</f>
        <v/>
      </c>
      <c r="B432" s="36">
        <f>IF('My investments'!$C432="Money in",1,0)</f>
        <v/>
      </c>
      <c r="AA432" s="36">
        <f>IF('My investments'!$C432="Money in",'My investments'!$D432,0)</f>
        <v/>
      </c>
      <c r="AB432" s="36">
        <f>IF('My investments'!$C432="Money out",'My investments'!$D432,0)</f>
        <v/>
      </c>
      <c r="AC432" s="36">
        <f>IF('My investments'!$C432="Worth today",'My investments'!$D432,0)</f>
        <v/>
      </c>
      <c r="AE432" s="36">
        <f>IF('My investments'!$H$11="",0,IF('My investments'!$F432='My investments'!$H$11,'My investments'!$E432,0))</f>
        <v/>
      </c>
      <c r="AF432" s="36">
        <f>IF('My investments'!$H$12="",0,IF('My investments'!$F432='My investments'!$H$12,'My investments'!$E432,0))</f>
        <v/>
      </c>
      <c r="AG432" s="36">
        <f>IF('My investments'!$H$13="",0,IF('My investments'!$F432='My investments'!$H$13,'My investments'!$E432,0))</f>
        <v/>
      </c>
      <c r="AH432" s="36">
        <f>IF('My investments'!$H$14="",0,IF('My investments'!$F432='My investments'!$H$14,'My investments'!$E432,0))</f>
        <v/>
      </c>
      <c r="AI432" s="36">
        <f>IF('My investments'!$H$15="",0,IF('My investments'!$F432='My investments'!$H$15,'My investments'!$E432,0))</f>
        <v/>
      </c>
      <c r="AK432" s="36">
        <f>IF('My investments'!$H$11="",0,IF('My investments'!$F432='My investments'!$H$11,$AA432,0))</f>
        <v/>
      </c>
      <c r="AL432" s="36">
        <f>IF('My investments'!$H$12="",0,IF('My investments'!$F432='My investments'!$H$12,$AA432,0))</f>
        <v/>
      </c>
      <c r="AM432" s="36">
        <f>IF('My investments'!$H$13="",0,IF('My investments'!$F432='My investments'!$H$13,$AA432,0))</f>
        <v/>
      </c>
      <c r="AN432" s="36">
        <f>IF('My investments'!$H$14="",0,IF('My investments'!$F432='My investments'!$H$14,$AA432,0))</f>
        <v/>
      </c>
      <c r="AO432" s="36">
        <f>IF('My investments'!$H$15="",0,IF('My investments'!$F432='My investments'!$H$15,$AA432,0))</f>
        <v/>
      </c>
    </row>
    <row r="433" ht="15" customHeight="1" s="30">
      <c r="A433" s="36">
        <f>IF('My investments'!$C433="Worth today",1,0)</f>
        <v/>
      </c>
      <c r="B433" s="36">
        <f>IF('My investments'!$C433="Money in",1,0)</f>
        <v/>
      </c>
      <c r="AA433" s="36">
        <f>IF('My investments'!$C433="Money in",'My investments'!$D433,0)</f>
        <v/>
      </c>
      <c r="AB433" s="36">
        <f>IF('My investments'!$C433="Money out",'My investments'!$D433,0)</f>
        <v/>
      </c>
      <c r="AC433" s="36">
        <f>IF('My investments'!$C433="Worth today",'My investments'!$D433,0)</f>
        <v/>
      </c>
      <c r="AE433" s="36">
        <f>IF('My investments'!$H$11="",0,IF('My investments'!$F433='My investments'!$H$11,'My investments'!$E433,0))</f>
        <v/>
      </c>
      <c r="AF433" s="36">
        <f>IF('My investments'!$H$12="",0,IF('My investments'!$F433='My investments'!$H$12,'My investments'!$E433,0))</f>
        <v/>
      </c>
      <c r="AG433" s="36">
        <f>IF('My investments'!$H$13="",0,IF('My investments'!$F433='My investments'!$H$13,'My investments'!$E433,0))</f>
        <v/>
      </c>
      <c r="AH433" s="36">
        <f>IF('My investments'!$H$14="",0,IF('My investments'!$F433='My investments'!$H$14,'My investments'!$E433,0))</f>
        <v/>
      </c>
      <c r="AI433" s="36">
        <f>IF('My investments'!$H$15="",0,IF('My investments'!$F433='My investments'!$H$15,'My investments'!$E433,0))</f>
        <v/>
      </c>
      <c r="AK433" s="36">
        <f>IF('My investments'!$H$11="",0,IF('My investments'!$F433='My investments'!$H$11,$AA433,0))</f>
        <v/>
      </c>
      <c r="AL433" s="36">
        <f>IF('My investments'!$H$12="",0,IF('My investments'!$F433='My investments'!$H$12,$AA433,0))</f>
        <v/>
      </c>
      <c r="AM433" s="36">
        <f>IF('My investments'!$H$13="",0,IF('My investments'!$F433='My investments'!$H$13,$AA433,0))</f>
        <v/>
      </c>
      <c r="AN433" s="36">
        <f>IF('My investments'!$H$14="",0,IF('My investments'!$F433='My investments'!$H$14,$AA433,0))</f>
        <v/>
      </c>
      <c r="AO433" s="36">
        <f>IF('My investments'!$H$15="",0,IF('My investments'!$F433='My investments'!$H$15,$AA433,0))</f>
        <v/>
      </c>
    </row>
    <row r="434" ht="15" customHeight="1" s="30">
      <c r="A434" s="36">
        <f>IF('My investments'!$C434="Worth today",1,0)</f>
        <v/>
      </c>
      <c r="B434" s="36">
        <f>IF('My investments'!$C434="Money in",1,0)</f>
        <v/>
      </c>
      <c r="AA434" s="36">
        <f>IF('My investments'!$C434="Money in",'My investments'!$D434,0)</f>
        <v/>
      </c>
      <c r="AB434" s="36">
        <f>IF('My investments'!$C434="Money out",'My investments'!$D434,0)</f>
        <v/>
      </c>
      <c r="AC434" s="36">
        <f>IF('My investments'!$C434="Worth today",'My investments'!$D434,0)</f>
        <v/>
      </c>
      <c r="AE434" s="36">
        <f>IF('My investments'!$H$11="",0,IF('My investments'!$F434='My investments'!$H$11,'My investments'!$E434,0))</f>
        <v/>
      </c>
      <c r="AF434" s="36">
        <f>IF('My investments'!$H$12="",0,IF('My investments'!$F434='My investments'!$H$12,'My investments'!$E434,0))</f>
        <v/>
      </c>
      <c r="AG434" s="36">
        <f>IF('My investments'!$H$13="",0,IF('My investments'!$F434='My investments'!$H$13,'My investments'!$E434,0))</f>
        <v/>
      </c>
      <c r="AH434" s="36">
        <f>IF('My investments'!$H$14="",0,IF('My investments'!$F434='My investments'!$H$14,'My investments'!$E434,0))</f>
        <v/>
      </c>
      <c r="AI434" s="36">
        <f>IF('My investments'!$H$15="",0,IF('My investments'!$F434='My investments'!$H$15,'My investments'!$E434,0))</f>
        <v/>
      </c>
      <c r="AK434" s="36">
        <f>IF('My investments'!$H$11="",0,IF('My investments'!$F434='My investments'!$H$11,$AA434,0))</f>
        <v/>
      </c>
      <c r="AL434" s="36">
        <f>IF('My investments'!$H$12="",0,IF('My investments'!$F434='My investments'!$H$12,$AA434,0))</f>
        <v/>
      </c>
      <c r="AM434" s="36">
        <f>IF('My investments'!$H$13="",0,IF('My investments'!$F434='My investments'!$H$13,$AA434,0))</f>
        <v/>
      </c>
      <c r="AN434" s="36">
        <f>IF('My investments'!$H$14="",0,IF('My investments'!$F434='My investments'!$H$14,$AA434,0))</f>
        <v/>
      </c>
      <c r="AO434" s="36">
        <f>IF('My investments'!$H$15="",0,IF('My investments'!$F434='My investments'!$H$15,$AA434,0))</f>
        <v/>
      </c>
    </row>
    <row r="435" ht="15" customHeight="1" s="30">
      <c r="A435" s="36">
        <f>IF('My investments'!$C435="Worth today",1,0)</f>
        <v/>
      </c>
      <c r="B435" s="36">
        <f>IF('My investments'!$C435="Money in",1,0)</f>
        <v/>
      </c>
      <c r="AA435" s="36">
        <f>IF('My investments'!$C435="Money in",'My investments'!$D435,0)</f>
        <v/>
      </c>
      <c r="AB435" s="36">
        <f>IF('My investments'!$C435="Money out",'My investments'!$D435,0)</f>
        <v/>
      </c>
      <c r="AC435" s="36">
        <f>IF('My investments'!$C435="Worth today",'My investments'!$D435,0)</f>
        <v/>
      </c>
      <c r="AE435" s="36">
        <f>IF('My investments'!$H$11="",0,IF('My investments'!$F435='My investments'!$H$11,'My investments'!$E435,0))</f>
        <v/>
      </c>
      <c r="AF435" s="36">
        <f>IF('My investments'!$H$12="",0,IF('My investments'!$F435='My investments'!$H$12,'My investments'!$E435,0))</f>
        <v/>
      </c>
      <c r="AG435" s="36">
        <f>IF('My investments'!$H$13="",0,IF('My investments'!$F435='My investments'!$H$13,'My investments'!$E435,0))</f>
        <v/>
      </c>
      <c r="AH435" s="36">
        <f>IF('My investments'!$H$14="",0,IF('My investments'!$F435='My investments'!$H$14,'My investments'!$E435,0))</f>
        <v/>
      </c>
      <c r="AI435" s="36">
        <f>IF('My investments'!$H$15="",0,IF('My investments'!$F435='My investments'!$H$15,'My investments'!$E435,0))</f>
        <v/>
      </c>
      <c r="AK435" s="36">
        <f>IF('My investments'!$H$11="",0,IF('My investments'!$F435='My investments'!$H$11,$AA435,0))</f>
        <v/>
      </c>
      <c r="AL435" s="36">
        <f>IF('My investments'!$H$12="",0,IF('My investments'!$F435='My investments'!$H$12,$AA435,0))</f>
        <v/>
      </c>
      <c r="AM435" s="36">
        <f>IF('My investments'!$H$13="",0,IF('My investments'!$F435='My investments'!$H$13,$AA435,0))</f>
        <v/>
      </c>
      <c r="AN435" s="36">
        <f>IF('My investments'!$H$14="",0,IF('My investments'!$F435='My investments'!$H$14,$AA435,0))</f>
        <v/>
      </c>
      <c r="AO435" s="36">
        <f>IF('My investments'!$H$15="",0,IF('My investments'!$F435='My investments'!$H$15,$AA435,0))</f>
        <v/>
      </c>
    </row>
    <row r="436" ht="15" customHeight="1" s="30">
      <c r="A436" s="36">
        <f>IF('My investments'!$C436="Worth today",1,0)</f>
        <v/>
      </c>
      <c r="B436" s="36">
        <f>IF('My investments'!$C436="Money in",1,0)</f>
        <v/>
      </c>
      <c r="AA436" s="36">
        <f>IF('My investments'!$C436="Money in",'My investments'!$D436,0)</f>
        <v/>
      </c>
      <c r="AB436" s="36">
        <f>IF('My investments'!$C436="Money out",'My investments'!$D436,0)</f>
        <v/>
      </c>
      <c r="AC436" s="36">
        <f>IF('My investments'!$C436="Worth today",'My investments'!$D436,0)</f>
        <v/>
      </c>
      <c r="AE436" s="36">
        <f>IF('My investments'!$H$11="",0,IF('My investments'!$F436='My investments'!$H$11,'My investments'!$E436,0))</f>
        <v/>
      </c>
      <c r="AF436" s="36">
        <f>IF('My investments'!$H$12="",0,IF('My investments'!$F436='My investments'!$H$12,'My investments'!$E436,0))</f>
        <v/>
      </c>
      <c r="AG436" s="36">
        <f>IF('My investments'!$H$13="",0,IF('My investments'!$F436='My investments'!$H$13,'My investments'!$E436,0))</f>
        <v/>
      </c>
      <c r="AH436" s="36">
        <f>IF('My investments'!$H$14="",0,IF('My investments'!$F436='My investments'!$H$14,'My investments'!$E436,0))</f>
        <v/>
      </c>
      <c r="AI436" s="36">
        <f>IF('My investments'!$H$15="",0,IF('My investments'!$F436='My investments'!$H$15,'My investments'!$E436,0))</f>
        <v/>
      </c>
      <c r="AK436" s="36">
        <f>IF('My investments'!$H$11="",0,IF('My investments'!$F436='My investments'!$H$11,$AA436,0))</f>
        <v/>
      </c>
      <c r="AL436" s="36">
        <f>IF('My investments'!$H$12="",0,IF('My investments'!$F436='My investments'!$H$12,$AA436,0))</f>
        <v/>
      </c>
      <c r="AM436" s="36">
        <f>IF('My investments'!$H$13="",0,IF('My investments'!$F436='My investments'!$H$13,$AA436,0))</f>
        <v/>
      </c>
      <c r="AN436" s="36">
        <f>IF('My investments'!$H$14="",0,IF('My investments'!$F436='My investments'!$H$14,$AA436,0))</f>
        <v/>
      </c>
      <c r="AO436" s="36">
        <f>IF('My investments'!$H$15="",0,IF('My investments'!$F436='My investments'!$H$15,$AA436,0))</f>
        <v/>
      </c>
    </row>
    <row r="437" ht="15" customHeight="1" s="30">
      <c r="A437" s="36">
        <f>IF('My investments'!$C437="Worth today",1,0)</f>
        <v/>
      </c>
      <c r="B437" s="36">
        <f>IF('My investments'!$C437="Money in",1,0)</f>
        <v/>
      </c>
      <c r="AA437" s="36">
        <f>IF('My investments'!$C437="Money in",'My investments'!$D437,0)</f>
        <v/>
      </c>
      <c r="AB437" s="36">
        <f>IF('My investments'!$C437="Money out",'My investments'!$D437,0)</f>
        <v/>
      </c>
      <c r="AC437" s="36">
        <f>IF('My investments'!$C437="Worth today",'My investments'!$D437,0)</f>
        <v/>
      </c>
      <c r="AE437" s="36">
        <f>IF('My investments'!$H$11="",0,IF('My investments'!$F437='My investments'!$H$11,'My investments'!$E437,0))</f>
        <v/>
      </c>
      <c r="AF437" s="36">
        <f>IF('My investments'!$H$12="",0,IF('My investments'!$F437='My investments'!$H$12,'My investments'!$E437,0))</f>
        <v/>
      </c>
      <c r="AG437" s="36">
        <f>IF('My investments'!$H$13="",0,IF('My investments'!$F437='My investments'!$H$13,'My investments'!$E437,0))</f>
        <v/>
      </c>
      <c r="AH437" s="36">
        <f>IF('My investments'!$H$14="",0,IF('My investments'!$F437='My investments'!$H$14,'My investments'!$E437,0))</f>
        <v/>
      </c>
      <c r="AI437" s="36">
        <f>IF('My investments'!$H$15="",0,IF('My investments'!$F437='My investments'!$H$15,'My investments'!$E437,0))</f>
        <v/>
      </c>
      <c r="AK437" s="36">
        <f>IF('My investments'!$H$11="",0,IF('My investments'!$F437='My investments'!$H$11,$AA437,0))</f>
        <v/>
      </c>
      <c r="AL437" s="36">
        <f>IF('My investments'!$H$12="",0,IF('My investments'!$F437='My investments'!$H$12,$AA437,0))</f>
        <v/>
      </c>
      <c r="AM437" s="36">
        <f>IF('My investments'!$H$13="",0,IF('My investments'!$F437='My investments'!$H$13,$AA437,0))</f>
        <v/>
      </c>
      <c r="AN437" s="36">
        <f>IF('My investments'!$H$14="",0,IF('My investments'!$F437='My investments'!$H$14,$AA437,0))</f>
        <v/>
      </c>
      <c r="AO437" s="36">
        <f>IF('My investments'!$H$15="",0,IF('My investments'!$F437='My investments'!$H$15,$AA437,0))</f>
        <v/>
      </c>
    </row>
    <row r="438" ht="15" customHeight="1" s="30">
      <c r="A438" s="36">
        <f>IF('My investments'!$C438="Worth today",1,0)</f>
        <v/>
      </c>
      <c r="B438" s="36">
        <f>IF('My investments'!$C438="Money in",1,0)</f>
        <v/>
      </c>
      <c r="AA438" s="36">
        <f>IF('My investments'!$C438="Money in",'My investments'!$D438,0)</f>
        <v/>
      </c>
      <c r="AB438" s="36">
        <f>IF('My investments'!$C438="Money out",'My investments'!$D438,0)</f>
        <v/>
      </c>
      <c r="AC438" s="36">
        <f>IF('My investments'!$C438="Worth today",'My investments'!$D438,0)</f>
        <v/>
      </c>
      <c r="AE438" s="36">
        <f>IF('My investments'!$H$11="",0,IF('My investments'!$F438='My investments'!$H$11,'My investments'!$E438,0))</f>
        <v/>
      </c>
      <c r="AF438" s="36">
        <f>IF('My investments'!$H$12="",0,IF('My investments'!$F438='My investments'!$H$12,'My investments'!$E438,0))</f>
        <v/>
      </c>
      <c r="AG438" s="36">
        <f>IF('My investments'!$H$13="",0,IF('My investments'!$F438='My investments'!$H$13,'My investments'!$E438,0))</f>
        <v/>
      </c>
      <c r="AH438" s="36">
        <f>IF('My investments'!$H$14="",0,IF('My investments'!$F438='My investments'!$H$14,'My investments'!$E438,0))</f>
        <v/>
      </c>
      <c r="AI438" s="36">
        <f>IF('My investments'!$H$15="",0,IF('My investments'!$F438='My investments'!$H$15,'My investments'!$E438,0))</f>
        <v/>
      </c>
      <c r="AK438" s="36">
        <f>IF('My investments'!$H$11="",0,IF('My investments'!$F438='My investments'!$H$11,$AA438,0))</f>
        <v/>
      </c>
      <c r="AL438" s="36">
        <f>IF('My investments'!$H$12="",0,IF('My investments'!$F438='My investments'!$H$12,$AA438,0))</f>
        <v/>
      </c>
      <c r="AM438" s="36">
        <f>IF('My investments'!$H$13="",0,IF('My investments'!$F438='My investments'!$H$13,$AA438,0))</f>
        <v/>
      </c>
      <c r="AN438" s="36">
        <f>IF('My investments'!$H$14="",0,IF('My investments'!$F438='My investments'!$H$14,$AA438,0))</f>
        <v/>
      </c>
      <c r="AO438" s="36">
        <f>IF('My investments'!$H$15="",0,IF('My investments'!$F438='My investments'!$H$15,$AA438,0))</f>
        <v/>
      </c>
    </row>
    <row r="439" ht="15" customHeight="1" s="30">
      <c r="A439" s="36">
        <f>IF('My investments'!$C439="Worth today",1,0)</f>
        <v/>
      </c>
      <c r="B439" s="36">
        <f>IF('My investments'!$C439="Money in",1,0)</f>
        <v/>
      </c>
      <c r="AA439" s="36">
        <f>IF('My investments'!$C439="Money in",'My investments'!$D439,0)</f>
        <v/>
      </c>
      <c r="AB439" s="36">
        <f>IF('My investments'!$C439="Money out",'My investments'!$D439,0)</f>
        <v/>
      </c>
      <c r="AC439" s="36">
        <f>IF('My investments'!$C439="Worth today",'My investments'!$D439,0)</f>
        <v/>
      </c>
      <c r="AE439" s="36">
        <f>IF('My investments'!$H$11="",0,IF('My investments'!$F439='My investments'!$H$11,'My investments'!$E439,0))</f>
        <v/>
      </c>
      <c r="AF439" s="36">
        <f>IF('My investments'!$H$12="",0,IF('My investments'!$F439='My investments'!$H$12,'My investments'!$E439,0))</f>
        <v/>
      </c>
      <c r="AG439" s="36">
        <f>IF('My investments'!$H$13="",0,IF('My investments'!$F439='My investments'!$H$13,'My investments'!$E439,0))</f>
        <v/>
      </c>
      <c r="AH439" s="36">
        <f>IF('My investments'!$H$14="",0,IF('My investments'!$F439='My investments'!$H$14,'My investments'!$E439,0))</f>
        <v/>
      </c>
      <c r="AI439" s="36">
        <f>IF('My investments'!$H$15="",0,IF('My investments'!$F439='My investments'!$H$15,'My investments'!$E439,0))</f>
        <v/>
      </c>
      <c r="AK439" s="36">
        <f>IF('My investments'!$H$11="",0,IF('My investments'!$F439='My investments'!$H$11,$AA439,0))</f>
        <v/>
      </c>
      <c r="AL439" s="36">
        <f>IF('My investments'!$H$12="",0,IF('My investments'!$F439='My investments'!$H$12,$AA439,0))</f>
        <v/>
      </c>
      <c r="AM439" s="36">
        <f>IF('My investments'!$H$13="",0,IF('My investments'!$F439='My investments'!$H$13,$AA439,0))</f>
        <v/>
      </c>
      <c r="AN439" s="36">
        <f>IF('My investments'!$H$14="",0,IF('My investments'!$F439='My investments'!$H$14,$AA439,0))</f>
        <v/>
      </c>
      <c r="AO439" s="36">
        <f>IF('My investments'!$H$15="",0,IF('My investments'!$F439='My investments'!$H$15,$AA439,0))</f>
        <v/>
      </c>
    </row>
    <row r="440" ht="15" customHeight="1" s="30">
      <c r="A440" s="36">
        <f>IF('My investments'!$C440="Worth today",1,0)</f>
        <v/>
      </c>
      <c r="B440" s="36">
        <f>IF('My investments'!$C440="Money in",1,0)</f>
        <v/>
      </c>
      <c r="AA440" s="36">
        <f>IF('My investments'!$C440="Money in",'My investments'!$D440,0)</f>
        <v/>
      </c>
      <c r="AB440" s="36">
        <f>IF('My investments'!$C440="Money out",'My investments'!$D440,0)</f>
        <v/>
      </c>
      <c r="AC440" s="36">
        <f>IF('My investments'!$C440="Worth today",'My investments'!$D440,0)</f>
        <v/>
      </c>
      <c r="AE440" s="36">
        <f>IF('My investments'!$H$11="",0,IF('My investments'!$F440='My investments'!$H$11,'My investments'!$E440,0))</f>
        <v/>
      </c>
      <c r="AF440" s="36">
        <f>IF('My investments'!$H$12="",0,IF('My investments'!$F440='My investments'!$H$12,'My investments'!$E440,0))</f>
        <v/>
      </c>
      <c r="AG440" s="36">
        <f>IF('My investments'!$H$13="",0,IF('My investments'!$F440='My investments'!$H$13,'My investments'!$E440,0))</f>
        <v/>
      </c>
      <c r="AH440" s="36">
        <f>IF('My investments'!$H$14="",0,IF('My investments'!$F440='My investments'!$H$14,'My investments'!$E440,0))</f>
        <v/>
      </c>
      <c r="AI440" s="36">
        <f>IF('My investments'!$H$15="",0,IF('My investments'!$F440='My investments'!$H$15,'My investments'!$E440,0))</f>
        <v/>
      </c>
      <c r="AK440" s="36">
        <f>IF('My investments'!$H$11="",0,IF('My investments'!$F440='My investments'!$H$11,$AA440,0))</f>
        <v/>
      </c>
      <c r="AL440" s="36">
        <f>IF('My investments'!$H$12="",0,IF('My investments'!$F440='My investments'!$H$12,$AA440,0))</f>
        <v/>
      </c>
      <c r="AM440" s="36">
        <f>IF('My investments'!$H$13="",0,IF('My investments'!$F440='My investments'!$H$13,$AA440,0))</f>
        <v/>
      </c>
      <c r="AN440" s="36">
        <f>IF('My investments'!$H$14="",0,IF('My investments'!$F440='My investments'!$H$14,$AA440,0))</f>
        <v/>
      </c>
      <c r="AO440" s="36">
        <f>IF('My investments'!$H$15="",0,IF('My investments'!$F440='My investments'!$H$15,$AA440,0))</f>
        <v/>
      </c>
    </row>
    <row r="441" ht="15" customHeight="1" s="30">
      <c r="A441" s="36">
        <f>IF('My investments'!$C441="Worth today",1,0)</f>
        <v/>
      </c>
      <c r="B441" s="36">
        <f>IF('My investments'!$C441="Money in",1,0)</f>
        <v/>
      </c>
      <c r="AA441" s="36">
        <f>IF('My investments'!$C441="Money in",'My investments'!$D441,0)</f>
        <v/>
      </c>
      <c r="AB441" s="36">
        <f>IF('My investments'!$C441="Money out",'My investments'!$D441,0)</f>
        <v/>
      </c>
      <c r="AC441" s="36">
        <f>IF('My investments'!$C441="Worth today",'My investments'!$D441,0)</f>
        <v/>
      </c>
      <c r="AE441" s="36">
        <f>IF('My investments'!$H$11="",0,IF('My investments'!$F441='My investments'!$H$11,'My investments'!$E441,0))</f>
        <v/>
      </c>
      <c r="AF441" s="36">
        <f>IF('My investments'!$H$12="",0,IF('My investments'!$F441='My investments'!$H$12,'My investments'!$E441,0))</f>
        <v/>
      </c>
      <c r="AG441" s="36">
        <f>IF('My investments'!$H$13="",0,IF('My investments'!$F441='My investments'!$H$13,'My investments'!$E441,0))</f>
        <v/>
      </c>
      <c r="AH441" s="36">
        <f>IF('My investments'!$H$14="",0,IF('My investments'!$F441='My investments'!$H$14,'My investments'!$E441,0))</f>
        <v/>
      </c>
      <c r="AI441" s="36">
        <f>IF('My investments'!$H$15="",0,IF('My investments'!$F441='My investments'!$H$15,'My investments'!$E441,0))</f>
        <v/>
      </c>
      <c r="AK441" s="36">
        <f>IF('My investments'!$H$11="",0,IF('My investments'!$F441='My investments'!$H$11,$AA441,0))</f>
        <v/>
      </c>
      <c r="AL441" s="36">
        <f>IF('My investments'!$H$12="",0,IF('My investments'!$F441='My investments'!$H$12,$AA441,0))</f>
        <v/>
      </c>
      <c r="AM441" s="36">
        <f>IF('My investments'!$H$13="",0,IF('My investments'!$F441='My investments'!$H$13,$AA441,0))</f>
        <v/>
      </c>
      <c r="AN441" s="36">
        <f>IF('My investments'!$H$14="",0,IF('My investments'!$F441='My investments'!$H$14,$AA441,0))</f>
        <v/>
      </c>
      <c r="AO441" s="36">
        <f>IF('My investments'!$H$15="",0,IF('My investments'!$F441='My investments'!$H$15,$AA441,0))</f>
        <v/>
      </c>
    </row>
    <row r="442" ht="15" customHeight="1" s="30">
      <c r="A442" s="36">
        <f>IF('My investments'!$C442="Worth today",1,0)</f>
        <v/>
      </c>
      <c r="B442" s="36">
        <f>IF('My investments'!$C442="Money in",1,0)</f>
        <v/>
      </c>
      <c r="AA442" s="36">
        <f>IF('My investments'!$C442="Money in",'My investments'!$D442,0)</f>
        <v/>
      </c>
      <c r="AB442" s="36">
        <f>IF('My investments'!$C442="Money out",'My investments'!$D442,0)</f>
        <v/>
      </c>
      <c r="AC442" s="36">
        <f>IF('My investments'!$C442="Worth today",'My investments'!$D442,0)</f>
        <v/>
      </c>
      <c r="AE442" s="36">
        <f>IF('My investments'!$H$11="",0,IF('My investments'!$F442='My investments'!$H$11,'My investments'!$E442,0))</f>
        <v/>
      </c>
      <c r="AF442" s="36">
        <f>IF('My investments'!$H$12="",0,IF('My investments'!$F442='My investments'!$H$12,'My investments'!$E442,0))</f>
        <v/>
      </c>
      <c r="AG442" s="36">
        <f>IF('My investments'!$H$13="",0,IF('My investments'!$F442='My investments'!$H$13,'My investments'!$E442,0))</f>
        <v/>
      </c>
      <c r="AH442" s="36">
        <f>IF('My investments'!$H$14="",0,IF('My investments'!$F442='My investments'!$H$14,'My investments'!$E442,0))</f>
        <v/>
      </c>
      <c r="AI442" s="36">
        <f>IF('My investments'!$H$15="",0,IF('My investments'!$F442='My investments'!$H$15,'My investments'!$E442,0))</f>
        <v/>
      </c>
      <c r="AK442" s="36">
        <f>IF('My investments'!$H$11="",0,IF('My investments'!$F442='My investments'!$H$11,$AA442,0))</f>
        <v/>
      </c>
      <c r="AL442" s="36">
        <f>IF('My investments'!$H$12="",0,IF('My investments'!$F442='My investments'!$H$12,$AA442,0))</f>
        <v/>
      </c>
      <c r="AM442" s="36">
        <f>IF('My investments'!$H$13="",0,IF('My investments'!$F442='My investments'!$H$13,$AA442,0))</f>
        <v/>
      </c>
      <c r="AN442" s="36">
        <f>IF('My investments'!$H$14="",0,IF('My investments'!$F442='My investments'!$H$14,$AA442,0))</f>
        <v/>
      </c>
      <c r="AO442" s="36">
        <f>IF('My investments'!$H$15="",0,IF('My investments'!$F442='My investments'!$H$15,$AA442,0))</f>
        <v/>
      </c>
    </row>
    <row r="443" ht="15" customHeight="1" s="30">
      <c r="A443" s="36">
        <f>IF('My investments'!$C443="Worth today",1,0)</f>
        <v/>
      </c>
      <c r="B443" s="36">
        <f>IF('My investments'!$C443="Money in",1,0)</f>
        <v/>
      </c>
      <c r="AA443" s="36">
        <f>IF('My investments'!$C443="Money in",'My investments'!$D443,0)</f>
        <v/>
      </c>
      <c r="AB443" s="36">
        <f>IF('My investments'!$C443="Money out",'My investments'!$D443,0)</f>
        <v/>
      </c>
      <c r="AC443" s="36">
        <f>IF('My investments'!$C443="Worth today",'My investments'!$D443,0)</f>
        <v/>
      </c>
      <c r="AE443" s="36">
        <f>IF('My investments'!$H$11="",0,IF('My investments'!$F443='My investments'!$H$11,'My investments'!$E443,0))</f>
        <v/>
      </c>
      <c r="AF443" s="36">
        <f>IF('My investments'!$H$12="",0,IF('My investments'!$F443='My investments'!$H$12,'My investments'!$E443,0))</f>
        <v/>
      </c>
      <c r="AG443" s="36">
        <f>IF('My investments'!$H$13="",0,IF('My investments'!$F443='My investments'!$H$13,'My investments'!$E443,0))</f>
        <v/>
      </c>
      <c r="AH443" s="36">
        <f>IF('My investments'!$H$14="",0,IF('My investments'!$F443='My investments'!$H$14,'My investments'!$E443,0))</f>
        <v/>
      </c>
      <c r="AI443" s="36">
        <f>IF('My investments'!$H$15="",0,IF('My investments'!$F443='My investments'!$H$15,'My investments'!$E443,0))</f>
        <v/>
      </c>
      <c r="AK443" s="36">
        <f>IF('My investments'!$H$11="",0,IF('My investments'!$F443='My investments'!$H$11,$AA443,0))</f>
        <v/>
      </c>
      <c r="AL443" s="36">
        <f>IF('My investments'!$H$12="",0,IF('My investments'!$F443='My investments'!$H$12,$AA443,0))</f>
        <v/>
      </c>
      <c r="AM443" s="36">
        <f>IF('My investments'!$H$13="",0,IF('My investments'!$F443='My investments'!$H$13,$AA443,0))</f>
        <v/>
      </c>
      <c r="AN443" s="36">
        <f>IF('My investments'!$H$14="",0,IF('My investments'!$F443='My investments'!$H$14,$AA443,0))</f>
        <v/>
      </c>
      <c r="AO443" s="36">
        <f>IF('My investments'!$H$15="",0,IF('My investments'!$F443='My investments'!$H$15,$AA443,0))</f>
        <v/>
      </c>
    </row>
    <row r="444" ht="15" customHeight="1" s="30">
      <c r="A444" s="36">
        <f>IF('My investments'!$C444="Worth today",1,0)</f>
        <v/>
      </c>
      <c r="B444" s="36">
        <f>IF('My investments'!$C444="Money in",1,0)</f>
        <v/>
      </c>
      <c r="AA444" s="36">
        <f>IF('My investments'!$C444="Money in",'My investments'!$D444,0)</f>
        <v/>
      </c>
      <c r="AB444" s="36">
        <f>IF('My investments'!$C444="Money out",'My investments'!$D444,0)</f>
        <v/>
      </c>
      <c r="AC444" s="36">
        <f>IF('My investments'!$C444="Worth today",'My investments'!$D444,0)</f>
        <v/>
      </c>
      <c r="AE444" s="36">
        <f>IF('My investments'!$H$11="",0,IF('My investments'!$F444='My investments'!$H$11,'My investments'!$E444,0))</f>
        <v/>
      </c>
      <c r="AF444" s="36">
        <f>IF('My investments'!$H$12="",0,IF('My investments'!$F444='My investments'!$H$12,'My investments'!$E444,0))</f>
        <v/>
      </c>
      <c r="AG444" s="36">
        <f>IF('My investments'!$H$13="",0,IF('My investments'!$F444='My investments'!$H$13,'My investments'!$E444,0))</f>
        <v/>
      </c>
      <c r="AH444" s="36">
        <f>IF('My investments'!$H$14="",0,IF('My investments'!$F444='My investments'!$H$14,'My investments'!$E444,0))</f>
        <v/>
      </c>
      <c r="AI444" s="36">
        <f>IF('My investments'!$H$15="",0,IF('My investments'!$F444='My investments'!$H$15,'My investments'!$E444,0))</f>
        <v/>
      </c>
      <c r="AK444" s="36">
        <f>IF('My investments'!$H$11="",0,IF('My investments'!$F444='My investments'!$H$11,$AA444,0))</f>
        <v/>
      </c>
      <c r="AL444" s="36">
        <f>IF('My investments'!$H$12="",0,IF('My investments'!$F444='My investments'!$H$12,$AA444,0))</f>
        <v/>
      </c>
      <c r="AM444" s="36">
        <f>IF('My investments'!$H$13="",0,IF('My investments'!$F444='My investments'!$H$13,$AA444,0))</f>
        <v/>
      </c>
      <c r="AN444" s="36">
        <f>IF('My investments'!$H$14="",0,IF('My investments'!$F444='My investments'!$H$14,$AA444,0))</f>
        <v/>
      </c>
      <c r="AO444" s="36">
        <f>IF('My investments'!$H$15="",0,IF('My investments'!$F444='My investments'!$H$15,$AA444,0))</f>
        <v/>
      </c>
    </row>
    <row r="445" ht="15" customHeight="1" s="30">
      <c r="A445" s="36">
        <f>IF('My investments'!$C445="Worth today",1,0)</f>
        <v/>
      </c>
      <c r="B445" s="36">
        <f>IF('My investments'!$C445="Money in",1,0)</f>
        <v/>
      </c>
      <c r="AA445" s="36">
        <f>IF('My investments'!$C445="Money in",'My investments'!$D445,0)</f>
        <v/>
      </c>
      <c r="AB445" s="36">
        <f>IF('My investments'!$C445="Money out",'My investments'!$D445,0)</f>
        <v/>
      </c>
      <c r="AC445" s="36">
        <f>IF('My investments'!$C445="Worth today",'My investments'!$D445,0)</f>
        <v/>
      </c>
      <c r="AE445" s="36">
        <f>IF('My investments'!$H$11="",0,IF('My investments'!$F445='My investments'!$H$11,'My investments'!$E445,0))</f>
        <v/>
      </c>
      <c r="AF445" s="36">
        <f>IF('My investments'!$H$12="",0,IF('My investments'!$F445='My investments'!$H$12,'My investments'!$E445,0))</f>
        <v/>
      </c>
      <c r="AG445" s="36">
        <f>IF('My investments'!$H$13="",0,IF('My investments'!$F445='My investments'!$H$13,'My investments'!$E445,0))</f>
        <v/>
      </c>
      <c r="AH445" s="36">
        <f>IF('My investments'!$H$14="",0,IF('My investments'!$F445='My investments'!$H$14,'My investments'!$E445,0))</f>
        <v/>
      </c>
      <c r="AI445" s="36">
        <f>IF('My investments'!$H$15="",0,IF('My investments'!$F445='My investments'!$H$15,'My investments'!$E445,0))</f>
        <v/>
      </c>
      <c r="AK445" s="36">
        <f>IF('My investments'!$H$11="",0,IF('My investments'!$F445='My investments'!$H$11,$AA445,0))</f>
        <v/>
      </c>
      <c r="AL445" s="36">
        <f>IF('My investments'!$H$12="",0,IF('My investments'!$F445='My investments'!$H$12,$AA445,0))</f>
        <v/>
      </c>
      <c r="AM445" s="36">
        <f>IF('My investments'!$H$13="",0,IF('My investments'!$F445='My investments'!$H$13,$AA445,0))</f>
        <v/>
      </c>
      <c r="AN445" s="36">
        <f>IF('My investments'!$H$14="",0,IF('My investments'!$F445='My investments'!$H$14,$AA445,0))</f>
        <v/>
      </c>
      <c r="AO445" s="36">
        <f>IF('My investments'!$H$15="",0,IF('My investments'!$F445='My investments'!$H$15,$AA445,0))</f>
        <v/>
      </c>
    </row>
    <row r="446" ht="15" customHeight="1" s="30">
      <c r="A446" s="36">
        <f>IF('My investments'!$C446="Worth today",1,0)</f>
        <v/>
      </c>
      <c r="B446" s="36">
        <f>IF('My investments'!$C446="Money in",1,0)</f>
        <v/>
      </c>
      <c r="AA446" s="36">
        <f>IF('My investments'!$C446="Money in",'My investments'!$D446,0)</f>
        <v/>
      </c>
      <c r="AB446" s="36">
        <f>IF('My investments'!$C446="Money out",'My investments'!$D446,0)</f>
        <v/>
      </c>
      <c r="AC446" s="36">
        <f>IF('My investments'!$C446="Worth today",'My investments'!$D446,0)</f>
        <v/>
      </c>
      <c r="AE446" s="36">
        <f>IF('My investments'!$H$11="",0,IF('My investments'!$F446='My investments'!$H$11,'My investments'!$E446,0))</f>
        <v/>
      </c>
      <c r="AF446" s="36">
        <f>IF('My investments'!$H$12="",0,IF('My investments'!$F446='My investments'!$H$12,'My investments'!$E446,0))</f>
        <v/>
      </c>
      <c r="AG446" s="36">
        <f>IF('My investments'!$H$13="",0,IF('My investments'!$F446='My investments'!$H$13,'My investments'!$E446,0))</f>
        <v/>
      </c>
      <c r="AH446" s="36">
        <f>IF('My investments'!$H$14="",0,IF('My investments'!$F446='My investments'!$H$14,'My investments'!$E446,0))</f>
        <v/>
      </c>
      <c r="AI446" s="36">
        <f>IF('My investments'!$H$15="",0,IF('My investments'!$F446='My investments'!$H$15,'My investments'!$E446,0))</f>
        <v/>
      </c>
      <c r="AK446" s="36">
        <f>IF('My investments'!$H$11="",0,IF('My investments'!$F446='My investments'!$H$11,$AA446,0))</f>
        <v/>
      </c>
      <c r="AL446" s="36">
        <f>IF('My investments'!$H$12="",0,IF('My investments'!$F446='My investments'!$H$12,$AA446,0))</f>
        <v/>
      </c>
      <c r="AM446" s="36">
        <f>IF('My investments'!$H$13="",0,IF('My investments'!$F446='My investments'!$H$13,$AA446,0))</f>
        <v/>
      </c>
      <c r="AN446" s="36">
        <f>IF('My investments'!$H$14="",0,IF('My investments'!$F446='My investments'!$H$14,$AA446,0))</f>
        <v/>
      </c>
      <c r="AO446" s="36">
        <f>IF('My investments'!$H$15="",0,IF('My investments'!$F446='My investments'!$H$15,$AA446,0))</f>
        <v/>
      </c>
    </row>
    <row r="447" ht="15" customHeight="1" s="30">
      <c r="A447" s="36">
        <f>IF('My investments'!$C447="Worth today",1,0)</f>
        <v/>
      </c>
      <c r="B447" s="36">
        <f>IF('My investments'!$C447="Money in",1,0)</f>
        <v/>
      </c>
      <c r="AA447" s="36">
        <f>IF('My investments'!$C447="Money in",'My investments'!$D447,0)</f>
        <v/>
      </c>
      <c r="AB447" s="36">
        <f>IF('My investments'!$C447="Money out",'My investments'!$D447,0)</f>
        <v/>
      </c>
      <c r="AC447" s="36">
        <f>IF('My investments'!$C447="Worth today",'My investments'!$D447,0)</f>
        <v/>
      </c>
      <c r="AE447" s="36">
        <f>IF('My investments'!$H$11="",0,IF('My investments'!$F447='My investments'!$H$11,'My investments'!$E447,0))</f>
        <v/>
      </c>
      <c r="AF447" s="36">
        <f>IF('My investments'!$H$12="",0,IF('My investments'!$F447='My investments'!$H$12,'My investments'!$E447,0))</f>
        <v/>
      </c>
      <c r="AG447" s="36">
        <f>IF('My investments'!$H$13="",0,IF('My investments'!$F447='My investments'!$H$13,'My investments'!$E447,0))</f>
        <v/>
      </c>
      <c r="AH447" s="36">
        <f>IF('My investments'!$H$14="",0,IF('My investments'!$F447='My investments'!$H$14,'My investments'!$E447,0))</f>
        <v/>
      </c>
      <c r="AI447" s="36">
        <f>IF('My investments'!$H$15="",0,IF('My investments'!$F447='My investments'!$H$15,'My investments'!$E447,0))</f>
        <v/>
      </c>
      <c r="AK447" s="36">
        <f>IF('My investments'!$H$11="",0,IF('My investments'!$F447='My investments'!$H$11,$AA447,0))</f>
        <v/>
      </c>
      <c r="AL447" s="36">
        <f>IF('My investments'!$H$12="",0,IF('My investments'!$F447='My investments'!$H$12,$AA447,0))</f>
        <v/>
      </c>
      <c r="AM447" s="36">
        <f>IF('My investments'!$H$13="",0,IF('My investments'!$F447='My investments'!$H$13,$AA447,0))</f>
        <v/>
      </c>
      <c r="AN447" s="36">
        <f>IF('My investments'!$H$14="",0,IF('My investments'!$F447='My investments'!$H$14,$AA447,0))</f>
        <v/>
      </c>
      <c r="AO447" s="36">
        <f>IF('My investments'!$H$15="",0,IF('My investments'!$F447='My investments'!$H$15,$AA447,0))</f>
        <v/>
      </c>
    </row>
    <row r="448" ht="15" customHeight="1" s="30">
      <c r="A448" s="36">
        <f>IF('My investments'!$C448="Worth today",1,0)</f>
        <v/>
      </c>
      <c r="B448" s="36">
        <f>IF('My investments'!$C448="Money in",1,0)</f>
        <v/>
      </c>
      <c r="AA448" s="36">
        <f>IF('My investments'!$C448="Money in",'My investments'!$D448,0)</f>
        <v/>
      </c>
      <c r="AB448" s="36">
        <f>IF('My investments'!$C448="Money out",'My investments'!$D448,0)</f>
        <v/>
      </c>
      <c r="AC448" s="36">
        <f>IF('My investments'!$C448="Worth today",'My investments'!$D448,0)</f>
        <v/>
      </c>
      <c r="AE448" s="36">
        <f>IF('My investments'!$H$11="",0,IF('My investments'!$F448='My investments'!$H$11,'My investments'!$E448,0))</f>
        <v/>
      </c>
      <c r="AF448" s="36">
        <f>IF('My investments'!$H$12="",0,IF('My investments'!$F448='My investments'!$H$12,'My investments'!$E448,0))</f>
        <v/>
      </c>
      <c r="AG448" s="36">
        <f>IF('My investments'!$H$13="",0,IF('My investments'!$F448='My investments'!$H$13,'My investments'!$E448,0))</f>
        <v/>
      </c>
      <c r="AH448" s="36">
        <f>IF('My investments'!$H$14="",0,IF('My investments'!$F448='My investments'!$H$14,'My investments'!$E448,0))</f>
        <v/>
      </c>
      <c r="AI448" s="36">
        <f>IF('My investments'!$H$15="",0,IF('My investments'!$F448='My investments'!$H$15,'My investments'!$E448,0))</f>
        <v/>
      </c>
      <c r="AK448" s="36">
        <f>IF('My investments'!$H$11="",0,IF('My investments'!$F448='My investments'!$H$11,$AA448,0))</f>
        <v/>
      </c>
      <c r="AL448" s="36">
        <f>IF('My investments'!$H$12="",0,IF('My investments'!$F448='My investments'!$H$12,$AA448,0))</f>
        <v/>
      </c>
      <c r="AM448" s="36">
        <f>IF('My investments'!$H$13="",0,IF('My investments'!$F448='My investments'!$H$13,$AA448,0))</f>
        <v/>
      </c>
      <c r="AN448" s="36">
        <f>IF('My investments'!$H$14="",0,IF('My investments'!$F448='My investments'!$H$14,$AA448,0))</f>
        <v/>
      </c>
      <c r="AO448" s="36">
        <f>IF('My investments'!$H$15="",0,IF('My investments'!$F448='My investments'!$H$15,$AA448,0))</f>
        <v/>
      </c>
    </row>
    <row r="449" ht="15" customHeight="1" s="30">
      <c r="A449" s="36">
        <f>IF('My investments'!$C449="Worth today",1,0)</f>
        <v/>
      </c>
      <c r="B449" s="36">
        <f>IF('My investments'!$C449="Money in",1,0)</f>
        <v/>
      </c>
      <c r="AA449" s="36">
        <f>IF('My investments'!$C449="Money in",'My investments'!$D449,0)</f>
        <v/>
      </c>
      <c r="AB449" s="36">
        <f>IF('My investments'!$C449="Money out",'My investments'!$D449,0)</f>
        <v/>
      </c>
      <c r="AC449" s="36">
        <f>IF('My investments'!$C449="Worth today",'My investments'!$D449,0)</f>
        <v/>
      </c>
      <c r="AE449" s="36">
        <f>IF('My investments'!$H$11="",0,IF('My investments'!$F449='My investments'!$H$11,'My investments'!$E449,0))</f>
        <v/>
      </c>
      <c r="AF449" s="36">
        <f>IF('My investments'!$H$12="",0,IF('My investments'!$F449='My investments'!$H$12,'My investments'!$E449,0))</f>
        <v/>
      </c>
      <c r="AG449" s="36">
        <f>IF('My investments'!$H$13="",0,IF('My investments'!$F449='My investments'!$H$13,'My investments'!$E449,0))</f>
        <v/>
      </c>
      <c r="AH449" s="36">
        <f>IF('My investments'!$H$14="",0,IF('My investments'!$F449='My investments'!$H$14,'My investments'!$E449,0))</f>
        <v/>
      </c>
      <c r="AI449" s="36">
        <f>IF('My investments'!$H$15="",0,IF('My investments'!$F449='My investments'!$H$15,'My investments'!$E449,0))</f>
        <v/>
      </c>
      <c r="AK449" s="36">
        <f>IF('My investments'!$H$11="",0,IF('My investments'!$F449='My investments'!$H$11,$AA449,0))</f>
        <v/>
      </c>
      <c r="AL449" s="36">
        <f>IF('My investments'!$H$12="",0,IF('My investments'!$F449='My investments'!$H$12,$AA449,0))</f>
        <v/>
      </c>
      <c r="AM449" s="36">
        <f>IF('My investments'!$H$13="",0,IF('My investments'!$F449='My investments'!$H$13,$AA449,0))</f>
        <v/>
      </c>
      <c r="AN449" s="36">
        <f>IF('My investments'!$H$14="",0,IF('My investments'!$F449='My investments'!$H$14,$AA449,0))</f>
        <v/>
      </c>
      <c r="AO449" s="36">
        <f>IF('My investments'!$H$15="",0,IF('My investments'!$F449='My investments'!$H$15,$AA449,0))</f>
        <v/>
      </c>
    </row>
    <row r="450" ht="15" customHeight="1" s="30">
      <c r="A450" s="36">
        <f>IF('My investments'!$C450="Worth today",1,0)</f>
        <v/>
      </c>
      <c r="B450" s="36">
        <f>IF('My investments'!$C450="Money in",1,0)</f>
        <v/>
      </c>
      <c r="AA450" s="36">
        <f>IF('My investments'!$C450="Money in",'My investments'!$D450,0)</f>
        <v/>
      </c>
      <c r="AB450" s="36">
        <f>IF('My investments'!$C450="Money out",'My investments'!$D450,0)</f>
        <v/>
      </c>
      <c r="AC450" s="36">
        <f>IF('My investments'!$C450="Worth today",'My investments'!$D450,0)</f>
        <v/>
      </c>
      <c r="AE450" s="36">
        <f>IF('My investments'!$H$11="",0,IF('My investments'!$F450='My investments'!$H$11,'My investments'!$E450,0))</f>
        <v/>
      </c>
      <c r="AF450" s="36">
        <f>IF('My investments'!$H$12="",0,IF('My investments'!$F450='My investments'!$H$12,'My investments'!$E450,0))</f>
        <v/>
      </c>
      <c r="AG450" s="36">
        <f>IF('My investments'!$H$13="",0,IF('My investments'!$F450='My investments'!$H$13,'My investments'!$E450,0))</f>
        <v/>
      </c>
      <c r="AH450" s="36">
        <f>IF('My investments'!$H$14="",0,IF('My investments'!$F450='My investments'!$H$14,'My investments'!$E450,0))</f>
        <v/>
      </c>
      <c r="AI450" s="36">
        <f>IF('My investments'!$H$15="",0,IF('My investments'!$F450='My investments'!$H$15,'My investments'!$E450,0))</f>
        <v/>
      </c>
      <c r="AK450" s="36">
        <f>IF('My investments'!$H$11="",0,IF('My investments'!$F450='My investments'!$H$11,$AA450,0))</f>
        <v/>
      </c>
      <c r="AL450" s="36">
        <f>IF('My investments'!$H$12="",0,IF('My investments'!$F450='My investments'!$H$12,$AA450,0))</f>
        <v/>
      </c>
      <c r="AM450" s="36">
        <f>IF('My investments'!$H$13="",0,IF('My investments'!$F450='My investments'!$H$13,$AA450,0))</f>
        <v/>
      </c>
      <c r="AN450" s="36">
        <f>IF('My investments'!$H$14="",0,IF('My investments'!$F450='My investments'!$H$14,$AA450,0))</f>
        <v/>
      </c>
      <c r="AO450" s="36">
        <f>IF('My investments'!$H$15="",0,IF('My investments'!$F450='My investments'!$H$15,$AA450,0))</f>
        <v/>
      </c>
    </row>
    <row r="451" ht="15" customHeight="1" s="30">
      <c r="A451" s="36">
        <f>IF('My investments'!$C451="Worth today",1,0)</f>
        <v/>
      </c>
      <c r="B451" s="36">
        <f>IF('My investments'!$C451="Money in",1,0)</f>
        <v/>
      </c>
      <c r="AA451" s="36">
        <f>IF('My investments'!$C451="Money in",'My investments'!$D451,0)</f>
        <v/>
      </c>
      <c r="AB451" s="36">
        <f>IF('My investments'!$C451="Money out",'My investments'!$D451,0)</f>
        <v/>
      </c>
      <c r="AC451" s="36">
        <f>IF('My investments'!$C451="Worth today",'My investments'!$D451,0)</f>
        <v/>
      </c>
      <c r="AE451" s="36">
        <f>IF('My investments'!$H$11="",0,IF('My investments'!$F451='My investments'!$H$11,'My investments'!$E451,0))</f>
        <v/>
      </c>
      <c r="AF451" s="36">
        <f>IF('My investments'!$H$12="",0,IF('My investments'!$F451='My investments'!$H$12,'My investments'!$E451,0))</f>
        <v/>
      </c>
      <c r="AG451" s="36">
        <f>IF('My investments'!$H$13="",0,IF('My investments'!$F451='My investments'!$H$13,'My investments'!$E451,0))</f>
        <v/>
      </c>
      <c r="AH451" s="36">
        <f>IF('My investments'!$H$14="",0,IF('My investments'!$F451='My investments'!$H$14,'My investments'!$E451,0))</f>
        <v/>
      </c>
      <c r="AI451" s="36">
        <f>IF('My investments'!$H$15="",0,IF('My investments'!$F451='My investments'!$H$15,'My investments'!$E451,0))</f>
        <v/>
      </c>
      <c r="AK451" s="36">
        <f>IF('My investments'!$H$11="",0,IF('My investments'!$F451='My investments'!$H$11,$AA451,0))</f>
        <v/>
      </c>
      <c r="AL451" s="36">
        <f>IF('My investments'!$H$12="",0,IF('My investments'!$F451='My investments'!$H$12,$AA451,0))</f>
        <v/>
      </c>
      <c r="AM451" s="36">
        <f>IF('My investments'!$H$13="",0,IF('My investments'!$F451='My investments'!$H$13,$AA451,0))</f>
        <v/>
      </c>
      <c r="AN451" s="36">
        <f>IF('My investments'!$H$14="",0,IF('My investments'!$F451='My investments'!$H$14,$AA451,0))</f>
        <v/>
      </c>
      <c r="AO451" s="36">
        <f>IF('My investments'!$H$15="",0,IF('My investments'!$F451='My investments'!$H$15,$AA451,0))</f>
        <v/>
      </c>
    </row>
    <row r="452" ht="15" customHeight="1" s="30">
      <c r="A452" s="36">
        <f>IF('My investments'!$C452="Worth today",1,0)</f>
        <v/>
      </c>
      <c r="B452" s="36">
        <f>IF('My investments'!$C452="Money in",1,0)</f>
        <v/>
      </c>
      <c r="AA452" s="36">
        <f>IF('My investments'!$C452="Money in",'My investments'!$D452,0)</f>
        <v/>
      </c>
      <c r="AB452" s="36">
        <f>IF('My investments'!$C452="Money out",'My investments'!$D452,0)</f>
        <v/>
      </c>
      <c r="AC452" s="36">
        <f>IF('My investments'!$C452="Worth today",'My investments'!$D452,0)</f>
        <v/>
      </c>
      <c r="AE452" s="36">
        <f>IF('My investments'!$H$11="",0,IF('My investments'!$F452='My investments'!$H$11,'My investments'!$E452,0))</f>
        <v/>
      </c>
      <c r="AF452" s="36">
        <f>IF('My investments'!$H$12="",0,IF('My investments'!$F452='My investments'!$H$12,'My investments'!$E452,0))</f>
        <v/>
      </c>
      <c r="AG452" s="36">
        <f>IF('My investments'!$H$13="",0,IF('My investments'!$F452='My investments'!$H$13,'My investments'!$E452,0))</f>
        <v/>
      </c>
      <c r="AH452" s="36">
        <f>IF('My investments'!$H$14="",0,IF('My investments'!$F452='My investments'!$H$14,'My investments'!$E452,0))</f>
        <v/>
      </c>
      <c r="AI452" s="36">
        <f>IF('My investments'!$H$15="",0,IF('My investments'!$F452='My investments'!$H$15,'My investments'!$E452,0))</f>
        <v/>
      </c>
      <c r="AK452" s="36">
        <f>IF('My investments'!$H$11="",0,IF('My investments'!$F452='My investments'!$H$11,$AA452,0))</f>
        <v/>
      </c>
      <c r="AL452" s="36">
        <f>IF('My investments'!$H$12="",0,IF('My investments'!$F452='My investments'!$H$12,$AA452,0))</f>
        <v/>
      </c>
      <c r="AM452" s="36">
        <f>IF('My investments'!$H$13="",0,IF('My investments'!$F452='My investments'!$H$13,$AA452,0))</f>
        <v/>
      </c>
      <c r="AN452" s="36">
        <f>IF('My investments'!$H$14="",0,IF('My investments'!$F452='My investments'!$H$14,$AA452,0))</f>
        <v/>
      </c>
      <c r="AO452" s="36">
        <f>IF('My investments'!$H$15="",0,IF('My investments'!$F452='My investments'!$H$15,$AA452,0))</f>
        <v/>
      </c>
    </row>
    <row r="453" ht="15" customHeight="1" s="30">
      <c r="A453" s="36">
        <f>IF('My investments'!$C453="Worth today",1,0)</f>
        <v/>
      </c>
      <c r="B453" s="36">
        <f>IF('My investments'!$C453="Money in",1,0)</f>
        <v/>
      </c>
      <c r="AA453" s="36">
        <f>IF('My investments'!$C453="Money in",'My investments'!$D453,0)</f>
        <v/>
      </c>
      <c r="AB453" s="36">
        <f>IF('My investments'!$C453="Money out",'My investments'!$D453,0)</f>
        <v/>
      </c>
      <c r="AC453" s="36">
        <f>IF('My investments'!$C453="Worth today",'My investments'!$D453,0)</f>
        <v/>
      </c>
      <c r="AE453" s="36">
        <f>IF('My investments'!$H$11="",0,IF('My investments'!$F453='My investments'!$H$11,'My investments'!$E453,0))</f>
        <v/>
      </c>
      <c r="AF453" s="36">
        <f>IF('My investments'!$H$12="",0,IF('My investments'!$F453='My investments'!$H$12,'My investments'!$E453,0))</f>
        <v/>
      </c>
      <c r="AG453" s="36">
        <f>IF('My investments'!$H$13="",0,IF('My investments'!$F453='My investments'!$H$13,'My investments'!$E453,0))</f>
        <v/>
      </c>
      <c r="AH453" s="36">
        <f>IF('My investments'!$H$14="",0,IF('My investments'!$F453='My investments'!$H$14,'My investments'!$E453,0))</f>
        <v/>
      </c>
      <c r="AI453" s="36">
        <f>IF('My investments'!$H$15="",0,IF('My investments'!$F453='My investments'!$H$15,'My investments'!$E453,0))</f>
        <v/>
      </c>
      <c r="AK453" s="36">
        <f>IF('My investments'!$H$11="",0,IF('My investments'!$F453='My investments'!$H$11,$AA453,0))</f>
        <v/>
      </c>
      <c r="AL453" s="36">
        <f>IF('My investments'!$H$12="",0,IF('My investments'!$F453='My investments'!$H$12,$AA453,0))</f>
        <v/>
      </c>
      <c r="AM453" s="36">
        <f>IF('My investments'!$H$13="",0,IF('My investments'!$F453='My investments'!$H$13,$AA453,0))</f>
        <v/>
      </c>
      <c r="AN453" s="36">
        <f>IF('My investments'!$H$14="",0,IF('My investments'!$F453='My investments'!$H$14,$AA453,0))</f>
        <v/>
      </c>
      <c r="AO453" s="36">
        <f>IF('My investments'!$H$15="",0,IF('My investments'!$F453='My investments'!$H$15,$AA453,0))</f>
        <v/>
      </c>
    </row>
    <row r="454" ht="15" customHeight="1" s="30">
      <c r="A454" s="36">
        <f>IF('My investments'!$C454="Worth today",1,0)</f>
        <v/>
      </c>
      <c r="B454" s="36">
        <f>IF('My investments'!$C454="Money in",1,0)</f>
        <v/>
      </c>
      <c r="AA454" s="36">
        <f>IF('My investments'!$C454="Money in",'My investments'!$D454,0)</f>
        <v/>
      </c>
      <c r="AB454" s="36">
        <f>IF('My investments'!$C454="Money out",'My investments'!$D454,0)</f>
        <v/>
      </c>
      <c r="AC454" s="36">
        <f>IF('My investments'!$C454="Worth today",'My investments'!$D454,0)</f>
        <v/>
      </c>
      <c r="AE454" s="36">
        <f>IF('My investments'!$H$11="",0,IF('My investments'!$F454='My investments'!$H$11,'My investments'!$E454,0))</f>
        <v/>
      </c>
      <c r="AF454" s="36">
        <f>IF('My investments'!$H$12="",0,IF('My investments'!$F454='My investments'!$H$12,'My investments'!$E454,0))</f>
        <v/>
      </c>
      <c r="AG454" s="36">
        <f>IF('My investments'!$H$13="",0,IF('My investments'!$F454='My investments'!$H$13,'My investments'!$E454,0))</f>
        <v/>
      </c>
      <c r="AH454" s="36">
        <f>IF('My investments'!$H$14="",0,IF('My investments'!$F454='My investments'!$H$14,'My investments'!$E454,0))</f>
        <v/>
      </c>
      <c r="AI454" s="36">
        <f>IF('My investments'!$H$15="",0,IF('My investments'!$F454='My investments'!$H$15,'My investments'!$E454,0))</f>
        <v/>
      </c>
      <c r="AK454" s="36">
        <f>IF('My investments'!$H$11="",0,IF('My investments'!$F454='My investments'!$H$11,$AA454,0))</f>
        <v/>
      </c>
      <c r="AL454" s="36">
        <f>IF('My investments'!$H$12="",0,IF('My investments'!$F454='My investments'!$H$12,$AA454,0))</f>
        <v/>
      </c>
      <c r="AM454" s="36">
        <f>IF('My investments'!$H$13="",0,IF('My investments'!$F454='My investments'!$H$13,$AA454,0))</f>
        <v/>
      </c>
      <c r="AN454" s="36">
        <f>IF('My investments'!$H$14="",0,IF('My investments'!$F454='My investments'!$H$14,$AA454,0))</f>
        <v/>
      </c>
      <c r="AO454" s="36">
        <f>IF('My investments'!$H$15="",0,IF('My investments'!$F454='My investments'!$H$15,$AA454,0))</f>
        <v/>
      </c>
    </row>
    <row r="455" ht="15" customHeight="1" s="30">
      <c r="A455" s="36">
        <f>IF('My investments'!$C455="Worth today",1,0)</f>
        <v/>
      </c>
      <c r="B455" s="36">
        <f>IF('My investments'!$C455="Money in",1,0)</f>
        <v/>
      </c>
      <c r="AA455" s="36">
        <f>IF('My investments'!$C455="Money in",'My investments'!$D455,0)</f>
        <v/>
      </c>
      <c r="AB455" s="36">
        <f>IF('My investments'!$C455="Money out",'My investments'!$D455,0)</f>
        <v/>
      </c>
      <c r="AC455" s="36">
        <f>IF('My investments'!$C455="Worth today",'My investments'!$D455,0)</f>
        <v/>
      </c>
      <c r="AE455" s="36">
        <f>IF('My investments'!$H$11="",0,IF('My investments'!$F455='My investments'!$H$11,'My investments'!$E455,0))</f>
        <v/>
      </c>
      <c r="AF455" s="36">
        <f>IF('My investments'!$H$12="",0,IF('My investments'!$F455='My investments'!$H$12,'My investments'!$E455,0))</f>
        <v/>
      </c>
      <c r="AG455" s="36">
        <f>IF('My investments'!$H$13="",0,IF('My investments'!$F455='My investments'!$H$13,'My investments'!$E455,0))</f>
        <v/>
      </c>
      <c r="AH455" s="36">
        <f>IF('My investments'!$H$14="",0,IF('My investments'!$F455='My investments'!$H$14,'My investments'!$E455,0))</f>
        <v/>
      </c>
      <c r="AI455" s="36">
        <f>IF('My investments'!$H$15="",0,IF('My investments'!$F455='My investments'!$H$15,'My investments'!$E455,0))</f>
        <v/>
      </c>
      <c r="AK455" s="36">
        <f>IF('My investments'!$H$11="",0,IF('My investments'!$F455='My investments'!$H$11,$AA455,0))</f>
        <v/>
      </c>
      <c r="AL455" s="36">
        <f>IF('My investments'!$H$12="",0,IF('My investments'!$F455='My investments'!$H$12,$AA455,0))</f>
        <v/>
      </c>
      <c r="AM455" s="36">
        <f>IF('My investments'!$H$13="",0,IF('My investments'!$F455='My investments'!$H$13,$AA455,0))</f>
        <v/>
      </c>
      <c r="AN455" s="36">
        <f>IF('My investments'!$H$14="",0,IF('My investments'!$F455='My investments'!$H$14,$AA455,0))</f>
        <v/>
      </c>
      <c r="AO455" s="36">
        <f>IF('My investments'!$H$15="",0,IF('My investments'!$F455='My investments'!$H$15,$AA455,0))</f>
        <v/>
      </c>
    </row>
    <row r="456" ht="15" customHeight="1" s="30">
      <c r="A456" s="36">
        <f>IF('My investments'!$C456="Worth today",1,0)</f>
        <v/>
      </c>
      <c r="B456" s="36">
        <f>IF('My investments'!$C456="Money in",1,0)</f>
        <v/>
      </c>
      <c r="AA456" s="36">
        <f>IF('My investments'!$C456="Money in",'My investments'!$D456,0)</f>
        <v/>
      </c>
      <c r="AB456" s="36">
        <f>IF('My investments'!$C456="Money out",'My investments'!$D456,0)</f>
        <v/>
      </c>
      <c r="AC456" s="36">
        <f>IF('My investments'!$C456="Worth today",'My investments'!$D456,0)</f>
        <v/>
      </c>
      <c r="AE456" s="36">
        <f>IF('My investments'!$H$11="",0,IF('My investments'!$F456='My investments'!$H$11,'My investments'!$E456,0))</f>
        <v/>
      </c>
      <c r="AF456" s="36">
        <f>IF('My investments'!$H$12="",0,IF('My investments'!$F456='My investments'!$H$12,'My investments'!$E456,0))</f>
        <v/>
      </c>
      <c r="AG456" s="36">
        <f>IF('My investments'!$H$13="",0,IF('My investments'!$F456='My investments'!$H$13,'My investments'!$E456,0))</f>
        <v/>
      </c>
      <c r="AH456" s="36">
        <f>IF('My investments'!$H$14="",0,IF('My investments'!$F456='My investments'!$H$14,'My investments'!$E456,0))</f>
        <v/>
      </c>
      <c r="AI456" s="36">
        <f>IF('My investments'!$H$15="",0,IF('My investments'!$F456='My investments'!$H$15,'My investments'!$E456,0))</f>
        <v/>
      </c>
      <c r="AK456" s="36">
        <f>IF('My investments'!$H$11="",0,IF('My investments'!$F456='My investments'!$H$11,$AA456,0))</f>
        <v/>
      </c>
      <c r="AL456" s="36">
        <f>IF('My investments'!$H$12="",0,IF('My investments'!$F456='My investments'!$H$12,$AA456,0))</f>
        <v/>
      </c>
      <c r="AM456" s="36">
        <f>IF('My investments'!$H$13="",0,IF('My investments'!$F456='My investments'!$H$13,$AA456,0))</f>
        <v/>
      </c>
      <c r="AN456" s="36">
        <f>IF('My investments'!$H$14="",0,IF('My investments'!$F456='My investments'!$H$14,$AA456,0))</f>
        <v/>
      </c>
      <c r="AO456" s="36">
        <f>IF('My investments'!$H$15="",0,IF('My investments'!$F456='My investments'!$H$15,$AA456,0))</f>
        <v/>
      </c>
    </row>
    <row r="457" ht="15" customHeight="1" s="30">
      <c r="A457" s="36">
        <f>IF('My investments'!$C457="Worth today",1,0)</f>
        <v/>
      </c>
      <c r="B457" s="36">
        <f>IF('My investments'!$C457="Money in",1,0)</f>
        <v/>
      </c>
      <c r="AA457" s="36">
        <f>IF('My investments'!$C457="Money in",'My investments'!$D457,0)</f>
        <v/>
      </c>
      <c r="AB457" s="36">
        <f>IF('My investments'!$C457="Money out",'My investments'!$D457,0)</f>
        <v/>
      </c>
      <c r="AC457" s="36">
        <f>IF('My investments'!$C457="Worth today",'My investments'!$D457,0)</f>
        <v/>
      </c>
      <c r="AE457" s="36">
        <f>IF('My investments'!$H$11="",0,IF('My investments'!$F457='My investments'!$H$11,'My investments'!$E457,0))</f>
        <v/>
      </c>
      <c r="AF457" s="36">
        <f>IF('My investments'!$H$12="",0,IF('My investments'!$F457='My investments'!$H$12,'My investments'!$E457,0))</f>
        <v/>
      </c>
      <c r="AG457" s="36">
        <f>IF('My investments'!$H$13="",0,IF('My investments'!$F457='My investments'!$H$13,'My investments'!$E457,0))</f>
        <v/>
      </c>
      <c r="AH457" s="36">
        <f>IF('My investments'!$H$14="",0,IF('My investments'!$F457='My investments'!$H$14,'My investments'!$E457,0))</f>
        <v/>
      </c>
      <c r="AI457" s="36">
        <f>IF('My investments'!$H$15="",0,IF('My investments'!$F457='My investments'!$H$15,'My investments'!$E457,0))</f>
        <v/>
      </c>
      <c r="AK457" s="36">
        <f>IF('My investments'!$H$11="",0,IF('My investments'!$F457='My investments'!$H$11,$AA457,0))</f>
        <v/>
      </c>
      <c r="AL457" s="36">
        <f>IF('My investments'!$H$12="",0,IF('My investments'!$F457='My investments'!$H$12,$AA457,0))</f>
        <v/>
      </c>
      <c r="AM457" s="36">
        <f>IF('My investments'!$H$13="",0,IF('My investments'!$F457='My investments'!$H$13,$AA457,0))</f>
        <v/>
      </c>
      <c r="AN457" s="36">
        <f>IF('My investments'!$H$14="",0,IF('My investments'!$F457='My investments'!$H$14,$AA457,0))</f>
        <v/>
      </c>
      <c r="AO457" s="36">
        <f>IF('My investments'!$H$15="",0,IF('My investments'!$F457='My investments'!$H$15,$AA457,0))</f>
        <v/>
      </c>
    </row>
    <row r="458" ht="15" customHeight="1" s="30">
      <c r="A458" s="36">
        <f>IF('My investments'!$C458="Worth today",1,0)</f>
        <v/>
      </c>
      <c r="B458" s="36">
        <f>IF('My investments'!$C458="Money in",1,0)</f>
        <v/>
      </c>
      <c r="AA458" s="36">
        <f>IF('My investments'!$C458="Money in",'My investments'!$D458,0)</f>
        <v/>
      </c>
      <c r="AB458" s="36">
        <f>IF('My investments'!$C458="Money out",'My investments'!$D458,0)</f>
        <v/>
      </c>
      <c r="AC458" s="36">
        <f>IF('My investments'!$C458="Worth today",'My investments'!$D458,0)</f>
        <v/>
      </c>
      <c r="AE458" s="36">
        <f>IF('My investments'!$H$11="",0,IF('My investments'!$F458='My investments'!$H$11,'My investments'!$E458,0))</f>
        <v/>
      </c>
      <c r="AF458" s="36">
        <f>IF('My investments'!$H$12="",0,IF('My investments'!$F458='My investments'!$H$12,'My investments'!$E458,0))</f>
        <v/>
      </c>
      <c r="AG458" s="36">
        <f>IF('My investments'!$H$13="",0,IF('My investments'!$F458='My investments'!$H$13,'My investments'!$E458,0))</f>
        <v/>
      </c>
      <c r="AH458" s="36">
        <f>IF('My investments'!$H$14="",0,IF('My investments'!$F458='My investments'!$H$14,'My investments'!$E458,0))</f>
        <v/>
      </c>
      <c r="AI458" s="36">
        <f>IF('My investments'!$H$15="",0,IF('My investments'!$F458='My investments'!$H$15,'My investments'!$E458,0))</f>
        <v/>
      </c>
      <c r="AK458" s="36">
        <f>IF('My investments'!$H$11="",0,IF('My investments'!$F458='My investments'!$H$11,$AA458,0))</f>
        <v/>
      </c>
      <c r="AL458" s="36">
        <f>IF('My investments'!$H$12="",0,IF('My investments'!$F458='My investments'!$H$12,$AA458,0))</f>
        <v/>
      </c>
      <c r="AM458" s="36">
        <f>IF('My investments'!$H$13="",0,IF('My investments'!$F458='My investments'!$H$13,$AA458,0))</f>
        <v/>
      </c>
      <c r="AN458" s="36">
        <f>IF('My investments'!$H$14="",0,IF('My investments'!$F458='My investments'!$H$14,$AA458,0))</f>
        <v/>
      </c>
      <c r="AO458" s="36">
        <f>IF('My investments'!$H$15="",0,IF('My investments'!$F458='My investments'!$H$15,$AA458,0))</f>
        <v/>
      </c>
    </row>
    <row r="459" ht="15" customHeight="1" s="30">
      <c r="A459" s="36">
        <f>IF('My investments'!$C459="Worth today",1,0)</f>
        <v/>
      </c>
      <c r="B459" s="36">
        <f>IF('My investments'!$C459="Money in",1,0)</f>
        <v/>
      </c>
      <c r="AA459" s="36">
        <f>IF('My investments'!$C459="Money in",'My investments'!$D459,0)</f>
        <v/>
      </c>
      <c r="AB459" s="36">
        <f>IF('My investments'!$C459="Money out",'My investments'!$D459,0)</f>
        <v/>
      </c>
      <c r="AC459" s="36">
        <f>IF('My investments'!$C459="Worth today",'My investments'!$D459,0)</f>
        <v/>
      </c>
      <c r="AE459" s="36">
        <f>IF('My investments'!$H$11="",0,IF('My investments'!$F459='My investments'!$H$11,'My investments'!$E459,0))</f>
        <v/>
      </c>
      <c r="AF459" s="36">
        <f>IF('My investments'!$H$12="",0,IF('My investments'!$F459='My investments'!$H$12,'My investments'!$E459,0))</f>
        <v/>
      </c>
      <c r="AG459" s="36">
        <f>IF('My investments'!$H$13="",0,IF('My investments'!$F459='My investments'!$H$13,'My investments'!$E459,0))</f>
        <v/>
      </c>
      <c r="AH459" s="36">
        <f>IF('My investments'!$H$14="",0,IF('My investments'!$F459='My investments'!$H$14,'My investments'!$E459,0))</f>
        <v/>
      </c>
      <c r="AI459" s="36">
        <f>IF('My investments'!$H$15="",0,IF('My investments'!$F459='My investments'!$H$15,'My investments'!$E459,0))</f>
        <v/>
      </c>
      <c r="AK459" s="36">
        <f>IF('My investments'!$H$11="",0,IF('My investments'!$F459='My investments'!$H$11,$AA459,0))</f>
        <v/>
      </c>
      <c r="AL459" s="36">
        <f>IF('My investments'!$H$12="",0,IF('My investments'!$F459='My investments'!$H$12,$AA459,0))</f>
        <v/>
      </c>
      <c r="AM459" s="36">
        <f>IF('My investments'!$H$13="",0,IF('My investments'!$F459='My investments'!$H$13,$AA459,0))</f>
        <v/>
      </c>
      <c r="AN459" s="36">
        <f>IF('My investments'!$H$14="",0,IF('My investments'!$F459='My investments'!$H$14,$AA459,0))</f>
        <v/>
      </c>
      <c r="AO459" s="36">
        <f>IF('My investments'!$H$15="",0,IF('My investments'!$F459='My investments'!$H$15,$AA459,0))</f>
        <v/>
      </c>
    </row>
    <row r="460" ht="15" customHeight="1" s="30">
      <c r="A460" s="36">
        <f>IF('My investments'!$C460="Worth today",1,0)</f>
        <v/>
      </c>
      <c r="B460" s="36">
        <f>IF('My investments'!$C460="Money in",1,0)</f>
        <v/>
      </c>
      <c r="AA460" s="36">
        <f>IF('My investments'!$C460="Money in",'My investments'!$D460,0)</f>
        <v/>
      </c>
      <c r="AB460" s="36">
        <f>IF('My investments'!$C460="Money out",'My investments'!$D460,0)</f>
        <v/>
      </c>
      <c r="AC460" s="36">
        <f>IF('My investments'!$C460="Worth today",'My investments'!$D460,0)</f>
        <v/>
      </c>
      <c r="AE460" s="36">
        <f>IF('My investments'!$H$11="",0,IF('My investments'!$F460='My investments'!$H$11,'My investments'!$E460,0))</f>
        <v/>
      </c>
      <c r="AF460" s="36">
        <f>IF('My investments'!$H$12="",0,IF('My investments'!$F460='My investments'!$H$12,'My investments'!$E460,0))</f>
        <v/>
      </c>
      <c r="AG460" s="36">
        <f>IF('My investments'!$H$13="",0,IF('My investments'!$F460='My investments'!$H$13,'My investments'!$E460,0))</f>
        <v/>
      </c>
      <c r="AH460" s="36">
        <f>IF('My investments'!$H$14="",0,IF('My investments'!$F460='My investments'!$H$14,'My investments'!$E460,0))</f>
        <v/>
      </c>
      <c r="AI460" s="36">
        <f>IF('My investments'!$H$15="",0,IF('My investments'!$F460='My investments'!$H$15,'My investments'!$E460,0))</f>
        <v/>
      </c>
      <c r="AK460" s="36">
        <f>IF('My investments'!$H$11="",0,IF('My investments'!$F460='My investments'!$H$11,$AA460,0))</f>
        <v/>
      </c>
      <c r="AL460" s="36">
        <f>IF('My investments'!$H$12="",0,IF('My investments'!$F460='My investments'!$H$12,$AA460,0))</f>
        <v/>
      </c>
      <c r="AM460" s="36">
        <f>IF('My investments'!$H$13="",0,IF('My investments'!$F460='My investments'!$H$13,$AA460,0))</f>
        <v/>
      </c>
      <c r="AN460" s="36">
        <f>IF('My investments'!$H$14="",0,IF('My investments'!$F460='My investments'!$H$14,$AA460,0))</f>
        <v/>
      </c>
      <c r="AO460" s="36">
        <f>IF('My investments'!$H$15="",0,IF('My investments'!$F460='My investments'!$H$15,$AA460,0))</f>
        <v/>
      </c>
    </row>
    <row r="461" ht="15" customHeight="1" s="30">
      <c r="A461" s="36">
        <f>IF('My investments'!$C461="Worth today",1,0)</f>
        <v/>
      </c>
      <c r="B461" s="36">
        <f>IF('My investments'!$C461="Money in",1,0)</f>
        <v/>
      </c>
      <c r="AA461" s="36">
        <f>IF('My investments'!$C461="Money in",'My investments'!$D461,0)</f>
        <v/>
      </c>
      <c r="AB461" s="36">
        <f>IF('My investments'!$C461="Money out",'My investments'!$D461,0)</f>
        <v/>
      </c>
      <c r="AC461" s="36">
        <f>IF('My investments'!$C461="Worth today",'My investments'!$D461,0)</f>
        <v/>
      </c>
      <c r="AE461" s="36">
        <f>IF('My investments'!$H$11="",0,IF('My investments'!$F461='My investments'!$H$11,'My investments'!$E461,0))</f>
        <v/>
      </c>
      <c r="AF461" s="36">
        <f>IF('My investments'!$H$12="",0,IF('My investments'!$F461='My investments'!$H$12,'My investments'!$E461,0))</f>
        <v/>
      </c>
      <c r="AG461" s="36">
        <f>IF('My investments'!$H$13="",0,IF('My investments'!$F461='My investments'!$H$13,'My investments'!$E461,0))</f>
        <v/>
      </c>
      <c r="AH461" s="36">
        <f>IF('My investments'!$H$14="",0,IF('My investments'!$F461='My investments'!$H$14,'My investments'!$E461,0))</f>
        <v/>
      </c>
      <c r="AI461" s="36">
        <f>IF('My investments'!$H$15="",0,IF('My investments'!$F461='My investments'!$H$15,'My investments'!$E461,0))</f>
        <v/>
      </c>
      <c r="AK461" s="36">
        <f>IF('My investments'!$H$11="",0,IF('My investments'!$F461='My investments'!$H$11,$AA461,0))</f>
        <v/>
      </c>
      <c r="AL461" s="36">
        <f>IF('My investments'!$H$12="",0,IF('My investments'!$F461='My investments'!$H$12,$AA461,0))</f>
        <v/>
      </c>
      <c r="AM461" s="36">
        <f>IF('My investments'!$H$13="",0,IF('My investments'!$F461='My investments'!$H$13,$AA461,0))</f>
        <v/>
      </c>
      <c r="AN461" s="36">
        <f>IF('My investments'!$H$14="",0,IF('My investments'!$F461='My investments'!$H$14,$AA461,0))</f>
        <v/>
      </c>
      <c r="AO461" s="36">
        <f>IF('My investments'!$H$15="",0,IF('My investments'!$F461='My investments'!$H$15,$AA461,0))</f>
        <v/>
      </c>
    </row>
    <row r="462" ht="15" customHeight="1" s="30">
      <c r="A462" s="36">
        <f>IF('My investments'!$C462="Worth today",1,0)</f>
        <v/>
      </c>
      <c r="B462" s="36">
        <f>IF('My investments'!$C462="Money in",1,0)</f>
        <v/>
      </c>
      <c r="AA462" s="36">
        <f>IF('My investments'!$C462="Money in",'My investments'!$D462,0)</f>
        <v/>
      </c>
      <c r="AB462" s="36">
        <f>IF('My investments'!$C462="Money out",'My investments'!$D462,0)</f>
        <v/>
      </c>
      <c r="AC462" s="36">
        <f>IF('My investments'!$C462="Worth today",'My investments'!$D462,0)</f>
        <v/>
      </c>
      <c r="AE462" s="36">
        <f>IF('My investments'!$H$11="",0,IF('My investments'!$F462='My investments'!$H$11,'My investments'!$E462,0))</f>
        <v/>
      </c>
      <c r="AF462" s="36">
        <f>IF('My investments'!$H$12="",0,IF('My investments'!$F462='My investments'!$H$12,'My investments'!$E462,0))</f>
        <v/>
      </c>
      <c r="AG462" s="36">
        <f>IF('My investments'!$H$13="",0,IF('My investments'!$F462='My investments'!$H$13,'My investments'!$E462,0))</f>
        <v/>
      </c>
      <c r="AH462" s="36">
        <f>IF('My investments'!$H$14="",0,IF('My investments'!$F462='My investments'!$H$14,'My investments'!$E462,0))</f>
        <v/>
      </c>
      <c r="AI462" s="36">
        <f>IF('My investments'!$H$15="",0,IF('My investments'!$F462='My investments'!$H$15,'My investments'!$E462,0))</f>
        <v/>
      </c>
      <c r="AK462" s="36">
        <f>IF('My investments'!$H$11="",0,IF('My investments'!$F462='My investments'!$H$11,$AA462,0))</f>
        <v/>
      </c>
      <c r="AL462" s="36">
        <f>IF('My investments'!$H$12="",0,IF('My investments'!$F462='My investments'!$H$12,$AA462,0))</f>
        <v/>
      </c>
      <c r="AM462" s="36">
        <f>IF('My investments'!$H$13="",0,IF('My investments'!$F462='My investments'!$H$13,$AA462,0))</f>
        <v/>
      </c>
      <c r="AN462" s="36">
        <f>IF('My investments'!$H$14="",0,IF('My investments'!$F462='My investments'!$H$14,$AA462,0))</f>
        <v/>
      </c>
      <c r="AO462" s="36">
        <f>IF('My investments'!$H$15="",0,IF('My investments'!$F462='My investments'!$H$15,$AA462,0))</f>
        <v/>
      </c>
    </row>
    <row r="463" ht="15" customHeight="1" s="30">
      <c r="A463" s="36">
        <f>IF('My investments'!$C463="Worth today",1,0)</f>
        <v/>
      </c>
      <c r="B463" s="36">
        <f>IF('My investments'!$C463="Money in",1,0)</f>
        <v/>
      </c>
      <c r="AA463" s="36">
        <f>IF('My investments'!$C463="Money in",'My investments'!$D463,0)</f>
        <v/>
      </c>
      <c r="AB463" s="36">
        <f>IF('My investments'!$C463="Money out",'My investments'!$D463,0)</f>
        <v/>
      </c>
      <c r="AC463" s="36">
        <f>IF('My investments'!$C463="Worth today",'My investments'!$D463,0)</f>
        <v/>
      </c>
      <c r="AE463" s="36">
        <f>IF('My investments'!$H$11="",0,IF('My investments'!$F463='My investments'!$H$11,'My investments'!$E463,0))</f>
        <v/>
      </c>
      <c r="AF463" s="36">
        <f>IF('My investments'!$H$12="",0,IF('My investments'!$F463='My investments'!$H$12,'My investments'!$E463,0))</f>
        <v/>
      </c>
      <c r="AG463" s="36">
        <f>IF('My investments'!$H$13="",0,IF('My investments'!$F463='My investments'!$H$13,'My investments'!$E463,0))</f>
        <v/>
      </c>
      <c r="AH463" s="36">
        <f>IF('My investments'!$H$14="",0,IF('My investments'!$F463='My investments'!$H$14,'My investments'!$E463,0))</f>
        <v/>
      </c>
      <c r="AI463" s="36">
        <f>IF('My investments'!$H$15="",0,IF('My investments'!$F463='My investments'!$H$15,'My investments'!$E463,0))</f>
        <v/>
      </c>
      <c r="AK463" s="36">
        <f>IF('My investments'!$H$11="",0,IF('My investments'!$F463='My investments'!$H$11,$AA463,0))</f>
        <v/>
      </c>
      <c r="AL463" s="36">
        <f>IF('My investments'!$H$12="",0,IF('My investments'!$F463='My investments'!$H$12,$AA463,0))</f>
        <v/>
      </c>
      <c r="AM463" s="36">
        <f>IF('My investments'!$H$13="",0,IF('My investments'!$F463='My investments'!$H$13,$AA463,0))</f>
        <v/>
      </c>
      <c r="AN463" s="36">
        <f>IF('My investments'!$H$14="",0,IF('My investments'!$F463='My investments'!$H$14,$AA463,0))</f>
        <v/>
      </c>
      <c r="AO463" s="36">
        <f>IF('My investments'!$H$15="",0,IF('My investments'!$F463='My investments'!$H$15,$AA463,0))</f>
        <v/>
      </c>
    </row>
    <row r="464" ht="15" customHeight="1" s="30">
      <c r="A464" s="36">
        <f>IF('My investments'!$C464="Worth today",1,0)</f>
        <v/>
      </c>
      <c r="B464" s="36">
        <f>IF('My investments'!$C464="Money in",1,0)</f>
        <v/>
      </c>
      <c r="AA464" s="36">
        <f>IF('My investments'!$C464="Money in",'My investments'!$D464,0)</f>
        <v/>
      </c>
      <c r="AB464" s="36">
        <f>IF('My investments'!$C464="Money out",'My investments'!$D464,0)</f>
        <v/>
      </c>
      <c r="AC464" s="36">
        <f>IF('My investments'!$C464="Worth today",'My investments'!$D464,0)</f>
        <v/>
      </c>
      <c r="AE464" s="36">
        <f>IF('My investments'!$H$11="",0,IF('My investments'!$F464='My investments'!$H$11,'My investments'!$E464,0))</f>
        <v/>
      </c>
      <c r="AF464" s="36">
        <f>IF('My investments'!$H$12="",0,IF('My investments'!$F464='My investments'!$H$12,'My investments'!$E464,0))</f>
        <v/>
      </c>
      <c r="AG464" s="36">
        <f>IF('My investments'!$H$13="",0,IF('My investments'!$F464='My investments'!$H$13,'My investments'!$E464,0))</f>
        <v/>
      </c>
      <c r="AH464" s="36">
        <f>IF('My investments'!$H$14="",0,IF('My investments'!$F464='My investments'!$H$14,'My investments'!$E464,0))</f>
        <v/>
      </c>
      <c r="AI464" s="36">
        <f>IF('My investments'!$H$15="",0,IF('My investments'!$F464='My investments'!$H$15,'My investments'!$E464,0))</f>
        <v/>
      </c>
      <c r="AK464" s="36">
        <f>IF('My investments'!$H$11="",0,IF('My investments'!$F464='My investments'!$H$11,$AA464,0))</f>
        <v/>
      </c>
      <c r="AL464" s="36">
        <f>IF('My investments'!$H$12="",0,IF('My investments'!$F464='My investments'!$H$12,$AA464,0))</f>
        <v/>
      </c>
      <c r="AM464" s="36">
        <f>IF('My investments'!$H$13="",0,IF('My investments'!$F464='My investments'!$H$13,$AA464,0))</f>
        <v/>
      </c>
      <c r="AN464" s="36">
        <f>IF('My investments'!$H$14="",0,IF('My investments'!$F464='My investments'!$H$14,$AA464,0))</f>
        <v/>
      </c>
      <c r="AO464" s="36">
        <f>IF('My investments'!$H$15="",0,IF('My investments'!$F464='My investments'!$H$15,$AA464,0))</f>
        <v/>
      </c>
    </row>
    <row r="465" ht="15" customHeight="1" s="30">
      <c r="A465" s="36">
        <f>IF('My investments'!$C465="Worth today",1,0)</f>
        <v/>
      </c>
      <c r="B465" s="36">
        <f>IF('My investments'!$C465="Money in",1,0)</f>
        <v/>
      </c>
      <c r="AA465" s="36">
        <f>IF('My investments'!$C465="Money in",'My investments'!$D465,0)</f>
        <v/>
      </c>
      <c r="AB465" s="36">
        <f>IF('My investments'!$C465="Money out",'My investments'!$D465,0)</f>
        <v/>
      </c>
      <c r="AC465" s="36">
        <f>IF('My investments'!$C465="Worth today",'My investments'!$D465,0)</f>
        <v/>
      </c>
      <c r="AE465" s="36">
        <f>IF('My investments'!$H$11="",0,IF('My investments'!$F465='My investments'!$H$11,'My investments'!$E465,0))</f>
        <v/>
      </c>
      <c r="AF465" s="36">
        <f>IF('My investments'!$H$12="",0,IF('My investments'!$F465='My investments'!$H$12,'My investments'!$E465,0))</f>
        <v/>
      </c>
      <c r="AG465" s="36">
        <f>IF('My investments'!$H$13="",0,IF('My investments'!$F465='My investments'!$H$13,'My investments'!$E465,0))</f>
        <v/>
      </c>
      <c r="AH465" s="36">
        <f>IF('My investments'!$H$14="",0,IF('My investments'!$F465='My investments'!$H$14,'My investments'!$E465,0))</f>
        <v/>
      </c>
      <c r="AI465" s="36">
        <f>IF('My investments'!$H$15="",0,IF('My investments'!$F465='My investments'!$H$15,'My investments'!$E465,0))</f>
        <v/>
      </c>
      <c r="AK465" s="36">
        <f>IF('My investments'!$H$11="",0,IF('My investments'!$F465='My investments'!$H$11,$AA465,0))</f>
        <v/>
      </c>
      <c r="AL465" s="36">
        <f>IF('My investments'!$H$12="",0,IF('My investments'!$F465='My investments'!$H$12,$AA465,0))</f>
        <v/>
      </c>
      <c r="AM465" s="36">
        <f>IF('My investments'!$H$13="",0,IF('My investments'!$F465='My investments'!$H$13,$AA465,0))</f>
        <v/>
      </c>
      <c r="AN465" s="36">
        <f>IF('My investments'!$H$14="",0,IF('My investments'!$F465='My investments'!$H$14,$AA465,0))</f>
        <v/>
      </c>
      <c r="AO465" s="36">
        <f>IF('My investments'!$H$15="",0,IF('My investments'!$F465='My investments'!$H$15,$AA465,0))</f>
        <v/>
      </c>
    </row>
    <row r="466" ht="15" customHeight="1" s="30">
      <c r="A466" s="36">
        <f>IF('My investments'!$C466="Worth today",1,0)</f>
        <v/>
      </c>
      <c r="B466" s="36">
        <f>IF('My investments'!$C466="Money in",1,0)</f>
        <v/>
      </c>
      <c r="AA466" s="36">
        <f>IF('My investments'!$C466="Money in",'My investments'!$D466,0)</f>
        <v/>
      </c>
      <c r="AB466" s="36">
        <f>IF('My investments'!$C466="Money out",'My investments'!$D466,0)</f>
        <v/>
      </c>
      <c r="AC466" s="36">
        <f>IF('My investments'!$C466="Worth today",'My investments'!$D466,0)</f>
        <v/>
      </c>
      <c r="AE466" s="36">
        <f>IF('My investments'!$H$11="",0,IF('My investments'!$F466='My investments'!$H$11,'My investments'!$E466,0))</f>
        <v/>
      </c>
      <c r="AF466" s="36">
        <f>IF('My investments'!$H$12="",0,IF('My investments'!$F466='My investments'!$H$12,'My investments'!$E466,0))</f>
        <v/>
      </c>
      <c r="AG466" s="36">
        <f>IF('My investments'!$H$13="",0,IF('My investments'!$F466='My investments'!$H$13,'My investments'!$E466,0))</f>
        <v/>
      </c>
      <c r="AH466" s="36">
        <f>IF('My investments'!$H$14="",0,IF('My investments'!$F466='My investments'!$H$14,'My investments'!$E466,0))</f>
        <v/>
      </c>
      <c r="AI466" s="36">
        <f>IF('My investments'!$H$15="",0,IF('My investments'!$F466='My investments'!$H$15,'My investments'!$E466,0))</f>
        <v/>
      </c>
      <c r="AK466" s="36">
        <f>IF('My investments'!$H$11="",0,IF('My investments'!$F466='My investments'!$H$11,$AA466,0))</f>
        <v/>
      </c>
      <c r="AL466" s="36">
        <f>IF('My investments'!$H$12="",0,IF('My investments'!$F466='My investments'!$H$12,$AA466,0))</f>
        <v/>
      </c>
      <c r="AM466" s="36">
        <f>IF('My investments'!$H$13="",0,IF('My investments'!$F466='My investments'!$H$13,$AA466,0))</f>
        <v/>
      </c>
      <c r="AN466" s="36">
        <f>IF('My investments'!$H$14="",0,IF('My investments'!$F466='My investments'!$H$14,$AA466,0))</f>
        <v/>
      </c>
      <c r="AO466" s="36">
        <f>IF('My investments'!$H$15="",0,IF('My investments'!$F466='My investments'!$H$15,$AA466,0))</f>
        <v/>
      </c>
    </row>
    <row r="467" ht="15" customHeight="1" s="30">
      <c r="A467" s="36">
        <f>IF('My investments'!$C467="Worth today",1,0)</f>
        <v/>
      </c>
      <c r="B467" s="36">
        <f>IF('My investments'!$C467="Money in",1,0)</f>
        <v/>
      </c>
      <c r="AA467" s="36">
        <f>IF('My investments'!$C467="Money in",'My investments'!$D467,0)</f>
        <v/>
      </c>
      <c r="AB467" s="36">
        <f>IF('My investments'!$C467="Money out",'My investments'!$D467,0)</f>
        <v/>
      </c>
      <c r="AC467" s="36">
        <f>IF('My investments'!$C467="Worth today",'My investments'!$D467,0)</f>
        <v/>
      </c>
      <c r="AE467" s="36">
        <f>IF('My investments'!$H$11="",0,IF('My investments'!$F467='My investments'!$H$11,'My investments'!$E467,0))</f>
        <v/>
      </c>
      <c r="AF467" s="36">
        <f>IF('My investments'!$H$12="",0,IF('My investments'!$F467='My investments'!$H$12,'My investments'!$E467,0))</f>
        <v/>
      </c>
      <c r="AG467" s="36">
        <f>IF('My investments'!$H$13="",0,IF('My investments'!$F467='My investments'!$H$13,'My investments'!$E467,0))</f>
        <v/>
      </c>
      <c r="AH467" s="36">
        <f>IF('My investments'!$H$14="",0,IF('My investments'!$F467='My investments'!$H$14,'My investments'!$E467,0))</f>
        <v/>
      </c>
      <c r="AI467" s="36">
        <f>IF('My investments'!$H$15="",0,IF('My investments'!$F467='My investments'!$H$15,'My investments'!$E467,0))</f>
        <v/>
      </c>
      <c r="AK467" s="36">
        <f>IF('My investments'!$H$11="",0,IF('My investments'!$F467='My investments'!$H$11,$AA467,0))</f>
        <v/>
      </c>
      <c r="AL467" s="36">
        <f>IF('My investments'!$H$12="",0,IF('My investments'!$F467='My investments'!$H$12,$AA467,0))</f>
        <v/>
      </c>
      <c r="AM467" s="36">
        <f>IF('My investments'!$H$13="",0,IF('My investments'!$F467='My investments'!$H$13,$AA467,0))</f>
        <v/>
      </c>
      <c r="AN467" s="36">
        <f>IF('My investments'!$H$14="",0,IF('My investments'!$F467='My investments'!$H$14,$AA467,0))</f>
        <v/>
      </c>
      <c r="AO467" s="36">
        <f>IF('My investments'!$H$15="",0,IF('My investments'!$F467='My investments'!$H$15,$AA467,0))</f>
        <v/>
      </c>
    </row>
    <row r="468" ht="15" customHeight="1" s="30">
      <c r="A468" s="36">
        <f>IF('My investments'!$C468="Worth today",1,0)</f>
        <v/>
      </c>
      <c r="B468" s="36">
        <f>IF('My investments'!$C468="Money in",1,0)</f>
        <v/>
      </c>
      <c r="AA468" s="36">
        <f>IF('My investments'!$C468="Money in",'My investments'!$D468,0)</f>
        <v/>
      </c>
      <c r="AB468" s="36">
        <f>IF('My investments'!$C468="Money out",'My investments'!$D468,0)</f>
        <v/>
      </c>
      <c r="AC468" s="36">
        <f>IF('My investments'!$C468="Worth today",'My investments'!$D468,0)</f>
        <v/>
      </c>
      <c r="AE468" s="36">
        <f>IF('My investments'!$H$11="",0,IF('My investments'!$F468='My investments'!$H$11,'My investments'!$E468,0))</f>
        <v/>
      </c>
      <c r="AF468" s="36">
        <f>IF('My investments'!$H$12="",0,IF('My investments'!$F468='My investments'!$H$12,'My investments'!$E468,0))</f>
        <v/>
      </c>
      <c r="AG468" s="36">
        <f>IF('My investments'!$H$13="",0,IF('My investments'!$F468='My investments'!$H$13,'My investments'!$E468,0))</f>
        <v/>
      </c>
      <c r="AH468" s="36">
        <f>IF('My investments'!$H$14="",0,IF('My investments'!$F468='My investments'!$H$14,'My investments'!$E468,0))</f>
        <v/>
      </c>
      <c r="AI468" s="36">
        <f>IF('My investments'!$H$15="",0,IF('My investments'!$F468='My investments'!$H$15,'My investments'!$E468,0))</f>
        <v/>
      </c>
      <c r="AK468" s="36">
        <f>IF('My investments'!$H$11="",0,IF('My investments'!$F468='My investments'!$H$11,$AA468,0))</f>
        <v/>
      </c>
      <c r="AL468" s="36">
        <f>IF('My investments'!$H$12="",0,IF('My investments'!$F468='My investments'!$H$12,$AA468,0))</f>
        <v/>
      </c>
      <c r="AM468" s="36">
        <f>IF('My investments'!$H$13="",0,IF('My investments'!$F468='My investments'!$H$13,$AA468,0))</f>
        <v/>
      </c>
      <c r="AN468" s="36">
        <f>IF('My investments'!$H$14="",0,IF('My investments'!$F468='My investments'!$H$14,$AA468,0))</f>
        <v/>
      </c>
      <c r="AO468" s="36">
        <f>IF('My investments'!$H$15="",0,IF('My investments'!$F468='My investments'!$H$15,$AA468,0))</f>
        <v/>
      </c>
    </row>
    <row r="469" ht="15" customHeight="1" s="30">
      <c r="A469" s="36">
        <f>IF('My investments'!$C469="Worth today",1,0)</f>
        <v/>
      </c>
      <c r="B469" s="36">
        <f>IF('My investments'!$C469="Money in",1,0)</f>
        <v/>
      </c>
      <c r="AA469" s="36">
        <f>IF('My investments'!$C469="Money in",'My investments'!$D469,0)</f>
        <v/>
      </c>
      <c r="AB469" s="36">
        <f>IF('My investments'!$C469="Money out",'My investments'!$D469,0)</f>
        <v/>
      </c>
      <c r="AC469" s="36">
        <f>IF('My investments'!$C469="Worth today",'My investments'!$D469,0)</f>
        <v/>
      </c>
      <c r="AE469" s="36">
        <f>IF('My investments'!$H$11="",0,IF('My investments'!$F469='My investments'!$H$11,'My investments'!$E469,0))</f>
        <v/>
      </c>
      <c r="AF469" s="36">
        <f>IF('My investments'!$H$12="",0,IF('My investments'!$F469='My investments'!$H$12,'My investments'!$E469,0))</f>
        <v/>
      </c>
      <c r="AG469" s="36">
        <f>IF('My investments'!$H$13="",0,IF('My investments'!$F469='My investments'!$H$13,'My investments'!$E469,0))</f>
        <v/>
      </c>
      <c r="AH469" s="36">
        <f>IF('My investments'!$H$14="",0,IF('My investments'!$F469='My investments'!$H$14,'My investments'!$E469,0))</f>
        <v/>
      </c>
      <c r="AI469" s="36">
        <f>IF('My investments'!$H$15="",0,IF('My investments'!$F469='My investments'!$H$15,'My investments'!$E469,0))</f>
        <v/>
      </c>
      <c r="AK469" s="36">
        <f>IF('My investments'!$H$11="",0,IF('My investments'!$F469='My investments'!$H$11,$AA469,0))</f>
        <v/>
      </c>
      <c r="AL469" s="36">
        <f>IF('My investments'!$H$12="",0,IF('My investments'!$F469='My investments'!$H$12,$AA469,0))</f>
        <v/>
      </c>
      <c r="AM469" s="36">
        <f>IF('My investments'!$H$13="",0,IF('My investments'!$F469='My investments'!$H$13,$AA469,0))</f>
        <v/>
      </c>
      <c r="AN469" s="36">
        <f>IF('My investments'!$H$14="",0,IF('My investments'!$F469='My investments'!$H$14,$AA469,0))</f>
        <v/>
      </c>
      <c r="AO469" s="36">
        <f>IF('My investments'!$H$15="",0,IF('My investments'!$F469='My investments'!$H$15,$AA469,0))</f>
        <v/>
      </c>
    </row>
    <row r="470" ht="15" customHeight="1" s="30">
      <c r="A470" s="36">
        <f>IF('My investments'!$C470="Worth today",1,0)</f>
        <v/>
      </c>
      <c r="B470" s="36">
        <f>IF('My investments'!$C470="Money in",1,0)</f>
        <v/>
      </c>
      <c r="AA470" s="36">
        <f>IF('My investments'!$C470="Money in",'My investments'!$D470,0)</f>
        <v/>
      </c>
      <c r="AB470" s="36">
        <f>IF('My investments'!$C470="Money out",'My investments'!$D470,0)</f>
        <v/>
      </c>
      <c r="AC470" s="36">
        <f>IF('My investments'!$C470="Worth today",'My investments'!$D470,0)</f>
        <v/>
      </c>
      <c r="AE470" s="36">
        <f>IF('My investments'!$H$11="",0,IF('My investments'!$F470='My investments'!$H$11,'My investments'!$E470,0))</f>
        <v/>
      </c>
      <c r="AF470" s="36">
        <f>IF('My investments'!$H$12="",0,IF('My investments'!$F470='My investments'!$H$12,'My investments'!$E470,0))</f>
        <v/>
      </c>
      <c r="AG470" s="36">
        <f>IF('My investments'!$H$13="",0,IF('My investments'!$F470='My investments'!$H$13,'My investments'!$E470,0))</f>
        <v/>
      </c>
      <c r="AH470" s="36">
        <f>IF('My investments'!$H$14="",0,IF('My investments'!$F470='My investments'!$H$14,'My investments'!$E470,0))</f>
        <v/>
      </c>
      <c r="AI470" s="36">
        <f>IF('My investments'!$H$15="",0,IF('My investments'!$F470='My investments'!$H$15,'My investments'!$E470,0))</f>
        <v/>
      </c>
      <c r="AK470" s="36">
        <f>IF('My investments'!$H$11="",0,IF('My investments'!$F470='My investments'!$H$11,$AA470,0))</f>
        <v/>
      </c>
      <c r="AL470" s="36">
        <f>IF('My investments'!$H$12="",0,IF('My investments'!$F470='My investments'!$H$12,$AA470,0))</f>
        <v/>
      </c>
      <c r="AM470" s="36">
        <f>IF('My investments'!$H$13="",0,IF('My investments'!$F470='My investments'!$H$13,$AA470,0))</f>
        <v/>
      </c>
      <c r="AN470" s="36">
        <f>IF('My investments'!$H$14="",0,IF('My investments'!$F470='My investments'!$H$14,$AA470,0))</f>
        <v/>
      </c>
      <c r="AO470" s="36">
        <f>IF('My investments'!$H$15="",0,IF('My investments'!$F470='My investments'!$H$15,$AA470,0))</f>
        <v/>
      </c>
    </row>
    <row r="471" ht="15" customHeight="1" s="30">
      <c r="A471" s="36">
        <f>IF('My investments'!$C471="Worth today",1,0)</f>
        <v/>
      </c>
      <c r="B471" s="36">
        <f>IF('My investments'!$C471="Money in",1,0)</f>
        <v/>
      </c>
      <c r="AA471" s="36">
        <f>IF('My investments'!$C471="Money in",'My investments'!$D471,0)</f>
        <v/>
      </c>
      <c r="AB471" s="36">
        <f>IF('My investments'!$C471="Money out",'My investments'!$D471,0)</f>
        <v/>
      </c>
      <c r="AC471" s="36">
        <f>IF('My investments'!$C471="Worth today",'My investments'!$D471,0)</f>
        <v/>
      </c>
      <c r="AE471" s="36">
        <f>IF('My investments'!$H$11="",0,IF('My investments'!$F471='My investments'!$H$11,'My investments'!$E471,0))</f>
        <v/>
      </c>
      <c r="AF471" s="36">
        <f>IF('My investments'!$H$12="",0,IF('My investments'!$F471='My investments'!$H$12,'My investments'!$E471,0))</f>
        <v/>
      </c>
      <c r="AG471" s="36">
        <f>IF('My investments'!$H$13="",0,IF('My investments'!$F471='My investments'!$H$13,'My investments'!$E471,0))</f>
        <v/>
      </c>
      <c r="AH471" s="36">
        <f>IF('My investments'!$H$14="",0,IF('My investments'!$F471='My investments'!$H$14,'My investments'!$E471,0))</f>
        <v/>
      </c>
      <c r="AI471" s="36">
        <f>IF('My investments'!$H$15="",0,IF('My investments'!$F471='My investments'!$H$15,'My investments'!$E471,0))</f>
        <v/>
      </c>
      <c r="AK471" s="36">
        <f>IF('My investments'!$H$11="",0,IF('My investments'!$F471='My investments'!$H$11,$AA471,0))</f>
        <v/>
      </c>
      <c r="AL471" s="36">
        <f>IF('My investments'!$H$12="",0,IF('My investments'!$F471='My investments'!$H$12,$AA471,0))</f>
        <v/>
      </c>
      <c r="AM471" s="36">
        <f>IF('My investments'!$H$13="",0,IF('My investments'!$F471='My investments'!$H$13,$AA471,0))</f>
        <v/>
      </c>
      <c r="AN471" s="36">
        <f>IF('My investments'!$H$14="",0,IF('My investments'!$F471='My investments'!$H$14,$AA471,0))</f>
        <v/>
      </c>
      <c r="AO471" s="36">
        <f>IF('My investments'!$H$15="",0,IF('My investments'!$F471='My investments'!$H$15,$AA471,0))</f>
        <v/>
      </c>
    </row>
    <row r="472" ht="15" customHeight="1" s="30">
      <c r="A472" s="36">
        <f>IF('My investments'!$C472="Worth today",1,0)</f>
        <v/>
      </c>
      <c r="B472" s="36">
        <f>IF('My investments'!$C472="Money in",1,0)</f>
        <v/>
      </c>
      <c r="AA472" s="36">
        <f>IF('My investments'!$C472="Money in",'My investments'!$D472,0)</f>
        <v/>
      </c>
      <c r="AB472" s="36">
        <f>IF('My investments'!$C472="Money out",'My investments'!$D472,0)</f>
        <v/>
      </c>
      <c r="AC472" s="36">
        <f>IF('My investments'!$C472="Worth today",'My investments'!$D472,0)</f>
        <v/>
      </c>
      <c r="AE472" s="36">
        <f>IF('My investments'!$H$11="",0,IF('My investments'!$F472='My investments'!$H$11,'My investments'!$E472,0))</f>
        <v/>
      </c>
      <c r="AF472" s="36">
        <f>IF('My investments'!$H$12="",0,IF('My investments'!$F472='My investments'!$H$12,'My investments'!$E472,0))</f>
        <v/>
      </c>
      <c r="AG472" s="36">
        <f>IF('My investments'!$H$13="",0,IF('My investments'!$F472='My investments'!$H$13,'My investments'!$E472,0))</f>
        <v/>
      </c>
      <c r="AH472" s="36">
        <f>IF('My investments'!$H$14="",0,IF('My investments'!$F472='My investments'!$H$14,'My investments'!$E472,0))</f>
        <v/>
      </c>
      <c r="AI472" s="36">
        <f>IF('My investments'!$H$15="",0,IF('My investments'!$F472='My investments'!$H$15,'My investments'!$E472,0))</f>
        <v/>
      </c>
      <c r="AK472" s="36">
        <f>IF('My investments'!$H$11="",0,IF('My investments'!$F472='My investments'!$H$11,$AA472,0))</f>
        <v/>
      </c>
      <c r="AL472" s="36">
        <f>IF('My investments'!$H$12="",0,IF('My investments'!$F472='My investments'!$H$12,$AA472,0))</f>
        <v/>
      </c>
      <c r="AM472" s="36">
        <f>IF('My investments'!$H$13="",0,IF('My investments'!$F472='My investments'!$H$13,$AA472,0))</f>
        <v/>
      </c>
      <c r="AN472" s="36">
        <f>IF('My investments'!$H$14="",0,IF('My investments'!$F472='My investments'!$H$14,$AA472,0))</f>
        <v/>
      </c>
      <c r="AO472" s="36">
        <f>IF('My investments'!$H$15="",0,IF('My investments'!$F472='My investments'!$H$15,$AA472,0))</f>
        <v/>
      </c>
    </row>
    <row r="473" ht="15" customHeight="1" s="30">
      <c r="A473" s="36">
        <f>IF('My investments'!$C473="Worth today",1,0)</f>
        <v/>
      </c>
      <c r="B473" s="36">
        <f>IF('My investments'!$C473="Money in",1,0)</f>
        <v/>
      </c>
      <c r="AA473" s="36">
        <f>IF('My investments'!$C473="Money in",'My investments'!$D473,0)</f>
        <v/>
      </c>
      <c r="AB473" s="36">
        <f>IF('My investments'!$C473="Money out",'My investments'!$D473,0)</f>
        <v/>
      </c>
      <c r="AC473" s="36">
        <f>IF('My investments'!$C473="Worth today",'My investments'!$D473,0)</f>
        <v/>
      </c>
      <c r="AE473" s="36">
        <f>IF('My investments'!$H$11="",0,IF('My investments'!$F473='My investments'!$H$11,'My investments'!$E473,0))</f>
        <v/>
      </c>
      <c r="AF473" s="36">
        <f>IF('My investments'!$H$12="",0,IF('My investments'!$F473='My investments'!$H$12,'My investments'!$E473,0))</f>
        <v/>
      </c>
      <c r="AG473" s="36">
        <f>IF('My investments'!$H$13="",0,IF('My investments'!$F473='My investments'!$H$13,'My investments'!$E473,0))</f>
        <v/>
      </c>
      <c r="AH473" s="36">
        <f>IF('My investments'!$H$14="",0,IF('My investments'!$F473='My investments'!$H$14,'My investments'!$E473,0))</f>
        <v/>
      </c>
      <c r="AI473" s="36">
        <f>IF('My investments'!$H$15="",0,IF('My investments'!$F473='My investments'!$H$15,'My investments'!$E473,0))</f>
        <v/>
      </c>
      <c r="AK473" s="36">
        <f>IF('My investments'!$H$11="",0,IF('My investments'!$F473='My investments'!$H$11,$AA473,0))</f>
        <v/>
      </c>
      <c r="AL473" s="36">
        <f>IF('My investments'!$H$12="",0,IF('My investments'!$F473='My investments'!$H$12,$AA473,0))</f>
        <v/>
      </c>
      <c r="AM473" s="36">
        <f>IF('My investments'!$H$13="",0,IF('My investments'!$F473='My investments'!$H$13,$AA473,0))</f>
        <v/>
      </c>
      <c r="AN473" s="36">
        <f>IF('My investments'!$H$14="",0,IF('My investments'!$F473='My investments'!$H$14,$AA473,0))</f>
        <v/>
      </c>
      <c r="AO473" s="36">
        <f>IF('My investments'!$H$15="",0,IF('My investments'!$F473='My investments'!$H$15,$AA473,0))</f>
        <v/>
      </c>
    </row>
    <row r="474" ht="15" customHeight="1" s="30">
      <c r="A474" s="36">
        <f>IF('My investments'!$C474="Worth today",1,0)</f>
        <v/>
      </c>
      <c r="B474" s="36">
        <f>IF('My investments'!$C474="Money in",1,0)</f>
        <v/>
      </c>
      <c r="AA474" s="36">
        <f>IF('My investments'!$C474="Money in",'My investments'!$D474,0)</f>
        <v/>
      </c>
      <c r="AB474" s="36">
        <f>IF('My investments'!$C474="Money out",'My investments'!$D474,0)</f>
        <v/>
      </c>
      <c r="AC474" s="36">
        <f>IF('My investments'!$C474="Worth today",'My investments'!$D474,0)</f>
        <v/>
      </c>
      <c r="AE474" s="36">
        <f>IF('My investments'!$H$11="",0,IF('My investments'!$F474='My investments'!$H$11,'My investments'!$E474,0))</f>
        <v/>
      </c>
      <c r="AF474" s="36">
        <f>IF('My investments'!$H$12="",0,IF('My investments'!$F474='My investments'!$H$12,'My investments'!$E474,0))</f>
        <v/>
      </c>
      <c r="AG474" s="36">
        <f>IF('My investments'!$H$13="",0,IF('My investments'!$F474='My investments'!$H$13,'My investments'!$E474,0))</f>
        <v/>
      </c>
      <c r="AH474" s="36">
        <f>IF('My investments'!$H$14="",0,IF('My investments'!$F474='My investments'!$H$14,'My investments'!$E474,0))</f>
        <v/>
      </c>
      <c r="AI474" s="36">
        <f>IF('My investments'!$H$15="",0,IF('My investments'!$F474='My investments'!$H$15,'My investments'!$E474,0))</f>
        <v/>
      </c>
      <c r="AK474" s="36">
        <f>IF('My investments'!$H$11="",0,IF('My investments'!$F474='My investments'!$H$11,$AA474,0))</f>
        <v/>
      </c>
      <c r="AL474" s="36">
        <f>IF('My investments'!$H$12="",0,IF('My investments'!$F474='My investments'!$H$12,$AA474,0))</f>
        <v/>
      </c>
      <c r="AM474" s="36">
        <f>IF('My investments'!$H$13="",0,IF('My investments'!$F474='My investments'!$H$13,$AA474,0))</f>
        <v/>
      </c>
      <c r="AN474" s="36">
        <f>IF('My investments'!$H$14="",0,IF('My investments'!$F474='My investments'!$H$14,$AA474,0))</f>
        <v/>
      </c>
      <c r="AO474" s="36">
        <f>IF('My investments'!$H$15="",0,IF('My investments'!$F474='My investments'!$H$15,$AA474,0))</f>
        <v/>
      </c>
    </row>
    <row r="475" ht="15" customHeight="1" s="30">
      <c r="A475" s="36">
        <f>IF('My investments'!$C475="Worth today",1,0)</f>
        <v/>
      </c>
      <c r="B475" s="36">
        <f>IF('My investments'!$C475="Money in",1,0)</f>
        <v/>
      </c>
      <c r="AA475" s="36">
        <f>IF('My investments'!$C475="Money in",'My investments'!$D475,0)</f>
        <v/>
      </c>
      <c r="AB475" s="36">
        <f>IF('My investments'!$C475="Money out",'My investments'!$D475,0)</f>
        <v/>
      </c>
      <c r="AC475" s="36">
        <f>IF('My investments'!$C475="Worth today",'My investments'!$D475,0)</f>
        <v/>
      </c>
      <c r="AE475" s="36">
        <f>IF('My investments'!$H$11="",0,IF('My investments'!$F475='My investments'!$H$11,'My investments'!$E475,0))</f>
        <v/>
      </c>
      <c r="AF475" s="36">
        <f>IF('My investments'!$H$12="",0,IF('My investments'!$F475='My investments'!$H$12,'My investments'!$E475,0))</f>
        <v/>
      </c>
      <c r="AG475" s="36">
        <f>IF('My investments'!$H$13="",0,IF('My investments'!$F475='My investments'!$H$13,'My investments'!$E475,0))</f>
        <v/>
      </c>
      <c r="AH475" s="36">
        <f>IF('My investments'!$H$14="",0,IF('My investments'!$F475='My investments'!$H$14,'My investments'!$E475,0))</f>
        <v/>
      </c>
      <c r="AI475" s="36">
        <f>IF('My investments'!$H$15="",0,IF('My investments'!$F475='My investments'!$H$15,'My investments'!$E475,0))</f>
        <v/>
      </c>
      <c r="AK475" s="36">
        <f>IF('My investments'!$H$11="",0,IF('My investments'!$F475='My investments'!$H$11,$AA475,0))</f>
        <v/>
      </c>
      <c r="AL475" s="36">
        <f>IF('My investments'!$H$12="",0,IF('My investments'!$F475='My investments'!$H$12,$AA475,0))</f>
        <v/>
      </c>
      <c r="AM475" s="36">
        <f>IF('My investments'!$H$13="",0,IF('My investments'!$F475='My investments'!$H$13,$AA475,0))</f>
        <v/>
      </c>
      <c r="AN475" s="36">
        <f>IF('My investments'!$H$14="",0,IF('My investments'!$F475='My investments'!$H$14,$AA475,0))</f>
        <v/>
      </c>
      <c r="AO475" s="36">
        <f>IF('My investments'!$H$15="",0,IF('My investments'!$F475='My investments'!$H$15,$AA475,0))</f>
        <v/>
      </c>
    </row>
    <row r="476" ht="15" customHeight="1" s="30">
      <c r="A476" s="36">
        <f>IF('My investments'!$C476="Worth today",1,0)</f>
        <v/>
      </c>
      <c r="B476" s="36">
        <f>IF('My investments'!$C476="Money in",1,0)</f>
        <v/>
      </c>
      <c r="AA476" s="36">
        <f>IF('My investments'!$C476="Money in",'My investments'!$D476,0)</f>
        <v/>
      </c>
      <c r="AB476" s="36">
        <f>IF('My investments'!$C476="Money out",'My investments'!$D476,0)</f>
        <v/>
      </c>
      <c r="AC476" s="36">
        <f>IF('My investments'!$C476="Worth today",'My investments'!$D476,0)</f>
        <v/>
      </c>
      <c r="AE476" s="36">
        <f>IF('My investments'!$H$11="",0,IF('My investments'!$F476='My investments'!$H$11,'My investments'!$E476,0))</f>
        <v/>
      </c>
      <c r="AF476" s="36">
        <f>IF('My investments'!$H$12="",0,IF('My investments'!$F476='My investments'!$H$12,'My investments'!$E476,0))</f>
        <v/>
      </c>
      <c r="AG476" s="36">
        <f>IF('My investments'!$H$13="",0,IF('My investments'!$F476='My investments'!$H$13,'My investments'!$E476,0))</f>
        <v/>
      </c>
      <c r="AH476" s="36">
        <f>IF('My investments'!$H$14="",0,IF('My investments'!$F476='My investments'!$H$14,'My investments'!$E476,0))</f>
        <v/>
      </c>
      <c r="AI476" s="36">
        <f>IF('My investments'!$H$15="",0,IF('My investments'!$F476='My investments'!$H$15,'My investments'!$E476,0))</f>
        <v/>
      </c>
      <c r="AK476" s="36">
        <f>IF('My investments'!$H$11="",0,IF('My investments'!$F476='My investments'!$H$11,$AA476,0))</f>
        <v/>
      </c>
      <c r="AL476" s="36">
        <f>IF('My investments'!$H$12="",0,IF('My investments'!$F476='My investments'!$H$12,$AA476,0))</f>
        <v/>
      </c>
      <c r="AM476" s="36">
        <f>IF('My investments'!$H$13="",0,IF('My investments'!$F476='My investments'!$H$13,$AA476,0))</f>
        <v/>
      </c>
      <c r="AN476" s="36">
        <f>IF('My investments'!$H$14="",0,IF('My investments'!$F476='My investments'!$H$14,$AA476,0))</f>
        <v/>
      </c>
      <c r="AO476" s="36">
        <f>IF('My investments'!$H$15="",0,IF('My investments'!$F476='My investments'!$H$15,$AA476,0))</f>
        <v/>
      </c>
    </row>
    <row r="477" ht="15" customHeight="1" s="30">
      <c r="A477" s="36">
        <f>IF('My investments'!$C477="Worth today",1,0)</f>
        <v/>
      </c>
      <c r="B477" s="36">
        <f>IF('My investments'!$C477="Money in",1,0)</f>
        <v/>
      </c>
      <c r="AA477" s="36">
        <f>IF('My investments'!$C477="Money in",'My investments'!$D477,0)</f>
        <v/>
      </c>
      <c r="AB477" s="36">
        <f>IF('My investments'!$C477="Money out",'My investments'!$D477,0)</f>
        <v/>
      </c>
      <c r="AC477" s="36">
        <f>IF('My investments'!$C477="Worth today",'My investments'!$D477,0)</f>
        <v/>
      </c>
      <c r="AE477" s="36">
        <f>IF('My investments'!$H$11="",0,IF('My investments'!$F477='My investments'!$H$11,'My investments'!$E477,0))</f>
        <v/>
      </c>
      <c r="AF477" s="36">
        <f>IF('My investments'!$H$12="",0,IF('My investments'!$F477='My investments'!$H$12,'My investments'!$E477,0))</f>
        <v/>
      </c>
      <c r="AG477" s="36">
        <f>IF('My investments'!$H$13="",0,IF('My investments'!$F477='My investments'!$H$13,'My investments'!$E477,0))</f>
        <v/>
      </c>
      <c r="AH477" s="36">
        <f>IF('My investments'!$H$14="",0,IF('My investments'!$F477='My investments'!$H$14,'My investments'!$E477,0))</f>
        <v/>
      </c>
      <c r="AI477" s="36">
        <f>IF('My investments'!$H$15="",0,IF('My investments'!$F477='My investments'!$H$15,'My investments'!$E477,0))</f>
        <v/>
      </c>
      <c r="AK477" s="36">
        <f>IF('My investments'!$H$11="",0,IF('My investments'!$F477='My investments'!$H$11,$AA477,0))</f>
        <v/>
      </c>
      <c r="AL477" s="36">
        <f>IF('My investments'!$H$12="",0,IF('My investments'!$F477='My investments'!$H$12,$AA477,0))</f>
        <v/>
      </c>
      <c r="AM477" s="36">
        <f>IF('My investments'!$H$13="",0,IF('My investments'!$F477='My investments'!$H$13,$AA477,0))</f>
        <v/>
      </c>
      <c r="AN477" s="36">
        <f>IF('My investments'!$H$14="",0,IF('My investments'!$F477='My investments'!$H$14,$AA477,0))</f>
        <v/>
      </c>
      <c r="AO477" s="36">
        <f>IF('My investments'!$H$15="",0,IF('My investments'!$F477='My investments'!$H$15,$AA477,0))</f>
        <v/>
      </c>
    </row>
    <row r="478" ht="15" customHeight="1" s="30">
      <c r="A478" s="36">
        <f>IF('My investments'!$C478="Worth today",1,0)</f>
        <v/>
      </c>
      <c r="B478" s="36">
        <f>IF('My investments'!$C478="Money in",1,0)</f>
        <v/>
      </c>
      <c r="AA478" s="36">
        <f>IF('My investments'!$C478="Money in",'My investments'!$D478,0)</f>
        <v/>
      </c>
      <c r="AB478" s="36">
        <f>IF('My investments'!$C478="Money out",'My investments'!$D478,0)</f>
        <v/>
      </c>
      <c r="AC478" s="36">
        <f>IF('My investments'!$C478="Worth today",'My investments'!$D478,0)</f>
        <v/>
      </c>
      <c r="AE478" s="36">
        <f>IF('My investments'!$H$11="",0,IF('My investments'!$F478='My investments'!$H$11,'My investments'!$E478,0))</f>
        <v/>
      </c>
      <c r="AF478" s="36">
        <f>IF('My investments'!$H$12="",0,IF('My investments'!$F478='My investments'!$H$12,'My investments'!$E478,0))</f>
        <v/>
      </c>
      <c r="AG478" s="36">
        <f>IF('My investments'!$H$13="",0,IF('My investments'!$F478='My investments'!$H$13,'My investments'!$E478,0))</f>
        <v/>
      </c>
      <c r="AH478" s="36">
        <f>IF('My investments'!$H$14="",0,IF('My investments'!$F478='My investments'!$H$14,'My investments'!$E478,0))</f>
        <v/>
      </c>
      <c r="AI478" s="36">
        <f>IF('My investments'!$H$15="",0,IF('My investments'!$F478='My investments'!$H$15,'My investments'!$E478,0))</f>
        <v/>
      </c>
      <c r="AK478" s="36">
        <f>IF('My investments'!$H$11="",0,IF('My investments'!$F478='My investments'!$H$11,$AA478,0))</f>
        <v/>
      </c>
      <c r="AL478" s="36">
        <f>IF('My investments'!$H$12="",0,IF('My investments'!$F478='My investments'!$H$12,$AA478,0))</f>
        <v/>
      </c>
      <c r="AM478" s="36">
        <f>IF('My investments'!$H$13="",0,IF('My investments'!$F478='My investments'!$H$13,$AA478,0))</f>
        <v/>
      </c>
      <c r="AN478" s="36">
        <f>IF('My investments'!$H$14="",0,IF('My investments'!$F478='My investments'!$H$14,$AA478,0))</f>
        <v/>
      </c>
      <c r="AO478" s="36">
        <f>IF('My investments'!$H$15="",0,IF('My investments'!$F478='My investments'!$H$15,$AA478,0))</f>
        <v/>
      </c>
    </row>
    <row r="479" ht="15" customHeight="1" s="30">
      <c r="A479" s="36">
        <f>IF('My investments'!$C479="Worth today",1,0)</f>
        <v/>
      </c>
      <c r="B479" s="36">
        <f>IF('My investments'!$C479="Money in",1,0)</f>
        <v/>
      </c>
      <c r="AA479" s="36">
        <f>IF('My investments'!$C479="Money in",'My investments'!$D479,0)</f>
        <v/>
      </c>
      <c r="AB479" s="36">
        <f>IF('My investments'!$C479="Money out",'My investments'!$D479,0)</f>
        <v/>
      </c>
      <c r="AC479" s="36">
        <f>IF('My investments'!$C479="Worth today",'My investments'!$D479,0)</f>
        <v/>
      </c>
      <c r="AE479" s="36">
        <f>IF('My investments'!$H$11="",0,IF('My investments'!$F479='My investments'!$H$11,'My investments'!$E479,0))</f>
        <v/>
      </c>
      <c r="AF479" s="36">
        <f>IF('My investments'!$H$12="",0,IF('My investments'!$F479='My investments'!$H$12,'My investments'!$E479,0))</f>
        <v/>
      </c>
      <c r="AG479" s="36">
        <f>IF('My investments'!$H$13="",0,IF('My investments'!$F479='My investments'!$H$13,'My investments'!$E479,0))</f>
        <v/>
      </c>
      <c r="AH479" s="36">
        <f>IF('My investments'!$H$14="",0,IF('My investments'!$F479='My investments'!$H$14,'My investments'!$E479,0))</f>
        <v/>
      </c>
      <c r="AI479" s="36">
        <f>IF('My investments'!$H$15="",0,IF('My investments'!$F479='My investments'!$H$15,'My investments'!$E479,0))</f>
        <v/>
      </c>
      <c r="AK479" s="36">
        <f>IF('My investments'!$H$11="",0,IF('My investments'!$F479='My investments'!$H$11,$AA479,0))</f>
        <v/>
      </c>
      <c r="AL479" s="36">
        <f>IF('My investments'!$H$12="",0,IF('My investments'!$F479='My investments'!$H$12,$AA479,0))</f>
        <v/>
      </c>
      <c r="AM479" s="36">
        <f>IF('My investments'!$H$13="",0,IF('My investments'!$F479='My investments'!$H$13,$AA479,0))</f>
        <v/>
      </c>
      <c r="AN479" s="36">
        <f>IF('My investments'!$H$14="",0,IF('My investments'!$F479='My investments'!$H$14,$AA479,0))</f>
        <v/>
      </c>
      <c r="AO479" s="36">
        <f>IF('My investments'!$H$15="",0,IF('My investments'!$F479='My investments'!$H$15,$AA479,0))</f>
        <v/>
      </c>
    </row>
    <row r="480" ht="15" customHeight="1" s="30">
      <c r="A480" s="36">
        <f>IF('My investments'!$C480="Worth today",1,0)</f>
        <v/>
      </c>
      <c r="B480" s="36">
        <f>IF('My investments'!$C480="Money in",1,0)</f>
        <v/>
      </c>
      <c r="AA480" s="36">
        <f>IF('My investments'!$C480="Money in",'My investments'!$D480,0)</f>
        <v/>
      </c>
      <c r="AB480" s="36">
        <f>IF('My investments'!$C480="Money out",'My investments'!$D480,0)</f>
        <v/>
      </c>
      <c r="AC480" s="36">
        <f>IF('My investments'!$C480="Worth today",'My investments'!$D480,0)</f>
        <v/>
      </c>
      <c r="AE480" s="36">
        <f>IF('My investments'!$H$11="",0,IF('My investments'!$F480='My investments'!$H$11,'My investments'!$E480,0))</f>
        <v/>
      </c>
      <c r="AF480" s="36">
        <f>IF('My investments'!$H$12="",0,IF('My investments'!$F480='My investments'!$H$12,'My investments'!$E480,0))</f>
        <v/>
      </c>
      <c r="AG480" s="36">
        <f>IF('My investments'!$H$13="",0,IF('My investments'!$F480='My investments'!$H$13,'My investments'!$E480,0))</f>
        <v/>
      </c>
      <c r="AH480" s="36">
        <f>IF('My investments'!$H$14="",0,IF('My investments'!$F480='My investments'!$H$14,'My investments'!$E480,0))</f>
        <v/>
      </c>
      <c r="AI480" s="36">
        <f>IF('My investments'!$H$15="",0,IF('My investments'!$F480='My investments'!$H$15,'My investments'!$E480,0))</f>
        <v/>
      </c>
      <c r="AK480" s="36">
        <f>IF('My investments'!$H$11="",0,IF('My investments'!$F480='My investments'!$H$11,$AA480,0))</f>
        <v/>
      </c>
      <c r="AL480" s="36">
        <f>IF('My investments'!$H$12="",0,IF('My investments'!$F480='My investments'!$H$12,$AA480,0))</f>
        <v/>
      </c>
      <c r="AM480" s="36">
        <f>IF('My investments'!$H$13="",0,IF('My investments'!$F480='My investments'!$H$13,$AA480,0))</f>
        <v/>
      </c>
      <c r="AN480" s="36">
        <f>IF('My investments'!$H$14="",0,IF('My investments'!$F480='My investments'!$H$14,$AA480,0))</f>
        <v/>
      </c>
      <c r="AO480" s="36">
        <f>IF('My investments'!$H$15="",0,IF('My investments'!$F480='My investments'!$H$15,$AA480,0))</f>
        <v/>
      </c>
    </row>
    <row r="481" ht="15" customHeight="1" s="30">
      <c r="A481" s="36">
        <f>IF('My investments'!$C481="Worth today",1,0)</f>
        <v/>
      </c>
      <c r="B481" s="36">
        <f>IF('My investments'!$C481="Money in",1,0)</f>
        <v/>
      </c>
      <c r="AA481" s="36">
        <f>IF('My investments'!$C481="Money in",'My investments'!$D481,0)</f>
        <v/>
      </c>
      <c r="AB481" s="36">
        <f>IF('My investments'!$C481="Money out",'My investments'!$D481,0)</f>
        <v/>
      </c>
      <c r="AC481" s="36">
        <f>IF('My investments'!$C481="Worth today",'My investments'!$D481,0)</f>
        <v/>
      </c>
      <c r="AE481" s="36">
        <f>IF('My investments'!$H$11="",0,IF('My investments'!$F481='My investments'!$H$11,'My investments'!$E481,0))</f>
        <v/>
      </c>
      <c r="AF481" s="36">
        <f>IF('My investments'!$H$12="",0,IF('My investments'!$F481='My investments'!$H$12,'My investments'!$E481,0))</f>
        <v/>
      </c>
      <c r="AG481" s="36">
        <f>IF('My investments'!$H$13="",0,IF('My investments'!$F481='My investments'!$H$13,'My investments'!$E481,0))</f>
        <v/>
      </c>
      <c r="AH481" s="36">
        <f>IF('My investments'!$H$14="",0,IF('My investments'!$F481='My investments'!$H$14,'My investments'!$E481,0))</f>
        <v/>
      </c>
      <c r="AI481" s="36">
        <f>IF('My investments'!$H$15="",0,IF('My investments'!$F481='My investments'!$H$15,'My investments'!$E481,0))</f>
        <v/>
      </c>
      <c r="AK481" s="36">
        <f>IF('My investments'!$H$11="",0,IF('My investments'!$F481='My investments'!$H$11,$AA481,0))</f>
        <v/>
      </c>
      <c r="AL481" s="36">
        <f>IF('My investments'!$H$12="",0,IF('My investments'!$F481='My investments'!$H$12,$AA481,0))</f>
        <v/>
      </c>
      <c r="AM481" s="36">
        <f>IF('My investments'!$H$13="",0,IF('My investments'!$F481='My investments'!$H$13,$AA481,0))</f>
        <v/>
      </c>
      <c r="AN481" s="36">
        <f>IF('My investments'!$H$14="",0,IF('My investments'!$F481='My investments'!$H$14,$AA481,0))</f>
        <v/>
      </c>
      <c r="AO481" s="36">
        <f>IF('My investments'!$H$15="",0,IF('My investments'!$F481='My investments'!$H$15,$AA481,0))</f>
        <v/>
      </c>
    </row>
    <row r="482" ht="15" customHeight="1" s="30">
      <c r="A482" s="36">
        <f>IF('My investments'!$C482="Worth today",1,0)</f>
        <v/>
      </c>
      <c r="B482" s="36">
        <f>IF('My investments'!$C482="Money in",1,0)</f>
        <v/>
      </c>
      <c r="AA482" s="36">
        <f>IF('My investments'!$C482="Money in",'My investments'!$D482,0)</f>
        <v/>
      </c>
      <c r="AB482" s="36">
        <f>IF('My investments'!$C482="Money out",'My investments'!$D482,0)</f>
        <v/>
      </c>
      <c r="AC482" s="36">
        <f>IF('My investments'!$C482="Worth today",'My investments'!$D482,0)</f>
        <v/>
      </c>
      <c r="AE482" s="36">
        <f>IF('My investments'!$H$11="",0,IF('My investments'!$F482='My investments'!$H$11,'My investments'!$E482,0))</f>
        <v/>
      </c>
      <c r="AF482" s="36">
        <f>IF('My investments'!$H$12="",0,IF('My investments'!$F482='My investments'!$H$12,'My investments'!$E482,0))</f>
        <v/>
      </c>
      <c r="AG482" s="36">
        <f>IF('My investments'!$H$13="",0,IF('My investments'!$F482='My investments'!$H$13,'My investments'!$E482,0))</f>
        <v/>
      </c>
      <c r="AH482" s="36">
        <f>IF('My investments'!$H$14="",0,IF('My investments'!$F482='My investments'!$H$14,'My investments'!$E482,0))</f>
        <v/>
      </c>
      <c r="AI482" s="36">
        <f>IF('My investments'!$H$15="",0,IF('My investments'!$F482='My investments'!$H$15,'My investments'!$E482,0))</f>
        <v/>
      </c>
      <c r="AK482" s="36">
        <f>IF('My investments'!$H$11="",0,IF('My investments'!$F482='My investments'!$H$11,$AA482,0))</f>
        <v/>
      </c>
      <c r="AL482" s="36">
        <f>IF('My investments'!$H$12="",0,IF('My investments'!$F482='My investments'!$H$12,$AA482,0))</f>
        <v/>
      </c>
      <c r="AM482" s="36">
        <f>IF('My investments'!$H$13="",0,IF('My investments'!$F482='My investments'!$H$13,$AA482,0))</f>
        <v/>
      </c>
      <c r="AN482" s="36">
        <f>IF('My investments'!$H$14="",0,IF('My investments'!$F482='My investments'!$H$14,$AA482,0))</f>
        <v/>
      </c>
      <c r="AO482" s="36">
        <f>IF('My investments'!$H$15="",0,IF('My investments'!$F482='My investments'!$H$15,$AA482,0))</f>
        <v/>
      </c>
    </row>
    <row r="483" ht="15" customHeight="1" s="30">
      <c r="A483" s="36">
        <f>IF('My investments'!$C483="Worth today",1,0)</f>
        <v/>
      </c>
      <c r="B483" s="36">
        <f>IF('My investments'!$C483="Money in",1,0)</f>
        <v/>
      </c>
      <c r="AA483" s="36">
        <f>IF('My investments'!$C483="Money in",'My investments'!$D483,0)</f>
        <v/>
      </c>
      <c r="AB483" s="36">
        <f>IF('My investments'!$C483="Money out",'My investments'!$D483,0)</f>
        <v/>
      </c>
      <c r="AC483" s="36">
        <f>IF('My investments'!$C483="Worth today",'My investments'!$D483,0)</f>
        <v/>
      </c>
      <c r="AE483" s="36">
        <f>IF('My investments'!$H$11="",0,IF('My investments'!$F483='My investments'!$H$11,'My investments'!$E483,0))</f>
        <v/>
      </c>
      <c r="AF483" s="36">
        <f>IF('My investments'!$H$12="",0,IF('My investments'!$F483='My investments'!$H$12,'My investments'!$E483,0))</f>
        <v/>
      </c>
      <c r="AG483" s="36">
        <f>IF('My investments'!$H$13="",0,IF('My investments'!$F483='My investments'!$H$13,'My investments'!$E483,0))</f>
        <v/>
      </c>
      <c r="AH483" s="36">
        <f>IF('My investments'!$H$14="",0,IF('My investments'!$F483='My investments'!$H$14,'My investments'!$E483,0))</f>
        <v/>
      </c>
      <c r="AI483" s="36">
        <f>IF('My investments'!$H$15="",0,IF('My investments'!$F483='My investments'!$H$15,'My investments'!$E483,0))</f>
        <v/>
      </c>
      <c r="AK483" s="36">
        <f>IF('My investments'!$H$11="",0,IF('My investments'!$F483='My investments'!$H$11,$AA483,0))</f>
        <v/>
      </c>
      <c r="AL483" s="36">
        <f>IF('My investments'!$H$12="",0,IF('My investments'!$F483='My investments'!$H$12,$AA483,0))</f>
        <v/>
      </c>
      <c r="AM483" s="36">
        <f>IF('My investments'!$H$13="",0,IF('My investments'!$F483='My investments'!$H$13,$AA483,0))</f>
        <v/>
      </c>
      <c r="AN483" s="36">
        <f>IF('My investments'!$H$14="",0,IF('My investments'!$F483='My investments'!$H$14,$AA483,0))</f>
        <v/>
      </c>
      <c r="AO483" s="36">
        <f>IF('My investments'!$H$15="",0,IF('My investments'!$F483='My investments'!$H$15,$AA483,0))</f>
        <v/>
      </c>
    </row>
    <row r="484" ht="15" customHeight="1" s="30">
      <c r="A484" s="36">
        <f>IF('My investments'!$C484="Worth today",1,0)</f>
        <v/>
      </c>
      <c r="B484" s="36">
        <f>IF('My investments'!$C484="Money in",1,0)</f>
        <v/>
      </c>
      <c r="AA484" s="36">
        <f>IF('My investments'!$C484="Money in",'My investments'!$D484,0)</f>
        <v/>
      </c>
      <c r="AB484" s="36">
        <f>IF('My investments'!$C484="Money out",'My investments'!$D484,0)</f>
        <v/>
      </c>
      <c r="AC484" s="36">
        <f>IF('My investments'!$C484="Worth today",'My investments'!$D484,0)</f>
        <v/>
      </c>
      <c r="AE484" s="36">
        <f>IF('My investments'!$H$11="",0,IF('My investments'!$F484='My investments'!$H$11,'My investments'!$E484,0))</f>
        <v/>
      </c>
      <c r="AF484" s="36">
        <f>IF('My investments'!$H$12="",0,IF('My investments'!$F484='My investments'!$H$12,'My investments'!$E484,0))</f>
        <v/>
      </c>
      <c r="AG484" s="36">
        <f>IF('My investments'!$H$13="",0,IF('My investments'!$F484='My investments'!$H$13,'My investments'!$E484,0))</f>
        <v/>
      </c>
      <c r="AH484" s="36">
        <f>IF('My investments'!$H$14="",0,IF('My investments'!$F484='My investments'!$H$14,'My investments'!$E484,0))</f>
        <v/>
      </c>
      <c r="AI484" s="36">
        <f>IF('My investments'!$H$15="",0,IF('My investments'!$F484='My investments'!$H$15,'My investments'!$E484,0))</f>
        <v/>
      </c>
      <c r="AK484" s="36">
        <f>IF('My investments'!$H$11="",0,IF('My investments'!$F484='My investments'!$H$11,$AA484,0))</f>
        <v/>
      </c>
      <c r="AL484" s="36">
        <f>IF('My investments'!$H$12="",0,IF('My investments'!$F484='My investments'!$H$12,$AA484,0))</f>
        <v/>
      </c>
      <c r="AM484" s="36">
        <f>IF('My investments'!$H$13="",0,IF('My investments'!$F484='My investments'!$H$13,$AA484,0))</f>
        <v/>
      </c>
      <c r="AN484" s="36">
        <f>IF('My investments'!$H$14="",0,IF('My investments'!$F484='My investments'!$H$14,$AA484,0))</f>
        <v/>
      </c>
      <c r="AO484" s="36">
        <f>IF('My investments'!$H$15="",0,IF('My investments'!$F484='My investments'!$H$15,$AA484,0))</f>
        <v/>
      </c>
    </row>
    <row r="485" ht="15" customHeight="1" s="30">
      <c r="A485" s="36">
        <f>IF('My investments'!$C485="Worth today",1,0)</f>
        <v/>
      </c>
      <c r="B485" s="36">
        <f>IF('My investments'!$C485="Money in",1,0)</f>
        <v/>
      </c>
      <c r="AA485" s="36">
        <f>IF('My investments'!$C485="Money in",'My investments'!$D485,0)</f>
        <v/>
      </c>
      <c r="AB485" s="36">
        <f>IF('My investments'!$C485="Money out",'My investments'!$D485,0)</f>
        <v/>
      </c>
      <c r="AC485" s="36">
        <f>IF('My investments'!$C485="Worth today",'My investments'!$D485,0)</f>
        <v/>
      </c>
      <c r="AE485" s="36">
        <f>IF('My investments'!$H$11="",0,IF('My investments'!$F485='My investments'!$H$11,'My investments'!$E485,0))</f>
        <v/>
      </c>
      <c r="AF485" s="36">
        <f>IF('My investments'!$H$12="",0,IF('My investments'!$F485='My investments'!$H$12,'My investments'!$E485,0))</f>
        <v/>
      </c>
      <c r="AG485" s="36">
        <f>IF('My investments'!$H$13="",0,IF('My investments'!$F485='My investments'!$H$13,'My investments'!$E485,0))</f>
        <v/>
      </c>
      <c r="AH485" s="36">
        <f>IF('My investments'!$H$14="",0,IF('My investments'!$F485='My investments'!$H$14,'My investments'!$E485,0))</f>
        <v/>
      </c>
      <c r="AI485" s="36">
        <f>IF('My investments'!$H$15="",0,IF('My investments'!$F485='My investments'!$H$15,'My investments'!$E485,0))</f>
        <v/>
      </c>
      <c r="AK485" s="36">
        <f>IF('My investments'!$H$11="",0,IF('My investments'!$F485='My investments'!$H$11,$AA485,0))</f>
        <v/>
      </c>
      <c r="AL485" s="36">
        <f>IF('My investments'!$H$12="",0,IF('My investments'!$F485='My investments'!$H$12,$AA485,0))</f>
        <v/>
      </c>
      <c r="AM485" s="36">
        <f>IF('My investments'!$H$13="",0,IF('My investments'!$F485='My investments'!$H$13,$AA485,0))</f>
        <v/>
      </c>
      <c r="AN485" s="36">
        <f>IF('My investments'!$H$14="",0,IF('My investments'!$F485='My investments'!$H$14,$AA485,0))</f>
        <v/>
      </c>
      <c r="AO485" s="36">
        <f>IF('My investments'!$H$15="",0,IF('My investments'!$F485='My investments'!$H$15,$AA485,0))</f>
        <v/>
      </c>
    </row>
    <row r="486" ht="15" customHeight="1" s="30">
      <c r="A486" s="36">
        <f>IF('My investments'!$C486="Worth today",1,0)</f>
        <v/>
      </c>
      <c r="B486" s="36">
        <f>IF('My investments'!$C486="Money in",1,0)</f>
        <v/>
      </c>
      <c r="AA486" s="36">
        <f>IF('My investments'!$C486="Money in",'My investments'!$D486,0)</f>
        <v/>
      </c>
      <c r="AB486" s="36">
        <f>IF('My investments'!$C486="Money out",'My investments'!$D486,0)</f>
        <v/>
      </c>
      <c r="AC486" s="36">
        <f>IF('My investments'!$C486="Worth today",'My investments'!$D486,0)</f>
        <v/>
      </c>
      <c r="AE486" s="36">
        <f>IF('My investments'!$H$11="",0,IF('My investments'!$F486='My investments'!$H$11,'My investments'!$E486,0))</f>
        <v/>
      </c>
      <c r="AF486" s="36">
        <f>IF('My investments'!$H$12="",0,IF('My investments'!$F486='My investments'!$H$12,'My investments'!$E486,0))</f>
        <v/>
      </c>
      <c r="AG486" s="36">
        <f>IF('My investments'!$H$13="",0,IF('My investments'!$F486='My investments'!$H$13,'My investments'!$E486,0))</f>
        <v/>
      </c>
      <c r="AH486" s="36">
        <f>IF('My investments'!$H$14="",0,IF('My investments'!$F486='My investments'!$H$14,'My investments'!$E486,0))</f>
        <v/>
      </c>
      <c r="AI486" s="36">
        <f>IF('My investments'!$H$15="",0,IF('My investments'!$F486='My investments'!$H$15,'My investments'!$E486,0))</f>
        <v/>
      </c>
      <c r="AK486" s="36">
        <f>IF('My investments'!$H$11="",0,IF('My investments'!$F486='My investments'!$H$11,$AA486,0))</f>
        <v/>
      </c>
      <c r="AL486" s="36">
        <f>IF('My investments'!$H$12="",0,IF('My investments'!$F486='My investments'!$H$12,$AA486,0))</f>
        <v/>
      </c>
      <c r="AM486" s="36">
        <f>IF('My investments'!$H$13="",0,IF('My investments'!$F486='My investments'!$H$13,$AA486,0))</f>
        <v/>
      </c>
      <c r="AN486" s="36">
        <f>IF('My investments'!$H$14="",0,IF('My investments'!$F486='My investments'!$H$14,$AA486,0))</f>
        <v/>
      </c>
      <c r="AO486" s="36">
        <f>IF('My investments'!$H$15="",0,IF('My investments'!$F486='My investments'!$H$15,$AA486,0))</f>
        <v/>
      </c>
    </row>
    <row r="487" ht="15" customHeight="1" s="30">
      <c r="A487" s="36">
        <f>IF('My investments'!$C487="Worth today",1,0)</f>
        <v/>
      </c>
      <c r="B487" s="36">
        <f>IF('My investments'!$C487="Money in",1,0)</f>
        <v/>
      </c>
      <c r="AA487" s="36">
        <f>IF('My investments'!$C487="Money in",'My investments'!$D487,0)</f>
        <v/>
      </c>
      <c r="AB487" s="36">
        <f>IF('My investments'!$C487="Money out",'My investments'!$D487,0)</f>
        <v/>
      </c>
      <c r="AC487" s="36">
        <f>IF('My investments'!$C487="Worth today",'My investments'!$D487,0)</f>
        <v/>
      </c>
      <c r="AE487" s="36">
        <f>IF('My investments'!$H$11="",0,IF('My investments'!$F487='My investments'!$H$11,'My investments'!$E487,0))</f>
        <v/>
      </c>
      <c r="AF487" s="36">
        <f>IF('My investments'!$H$12="",0,IF('My investments'!$F487='My investments'!$H$12,'My investments'!$E487,0))</f>
        <v/>
      </c>
      <c r="AG487" s="36">
        <f>IF('My investments'!$H$13="",0,IF('My investments'!$F487='My investments'!$H$13,'My investments'!$E487,0))</f>
        <v/>
      </c>
      <c r="AH487" s="36">
        <f>IF('My investments'!$H$14="",0,IF('My investments'!$F487='My investments'!$H$14,'My investments'!$E487,0))</f>
        <v/>
      </c>
      <c r="AI487" s="36">
        <f>IF('My investments'!$H$15="",0,IF('My investments'!$F487='My investments'!$H$15,'My investments'!$E487,0))</f>
        <v/>
      </c>
      <c r="AK487" s="36">
        <f>IF('My investments'!$H$11="",0,IF('My investments'!$F487='My investments'!$H$11,$AA487,0))</f>
        <v/>
      </c>
      <c r="AL487" s="36">
        <f>IF('My investments'!$H$12="",0,IF('My investments'!$F487='My investments'!$H$12,$AA487,0))</f>
        <v/>
      </c>
      <c r="AM487" s="36">
        <f>IF('My investments'!$H$13="",0,IF('My investments'!$F487='My investments'!$H$13,$AA487,0))</f>
        <v/>
      </c>
      <c r="AN487" s="36">
        <f>IF('My investments'!$H$14="",0,IF('My investments'!$F487='My investments'!$H$14,$AA487,0))</f>
        <v/>
      </c>
      <c r="AO487" s="36">
        <f>IF('My investments'!$H$15="",0,IF('My investments'!$F487='My investments'!$H$15,$AA487,0))</f>
        <v/>
      </c>
    </row>
    <row r="488" ht="15" customHeight="1" s="30">
      <c r="A488" s="36">
        <f>IF('My investments'!$C488="Worth today",1,0)</f>
        <v/>
      </c>
      <c r="B488" s="36">
        <f>IF('My investments'!$C488="Money in",1,0)</f>
        <v/>
      </c>
      <c r="AA488" s="36">
        <f>IF('My investments'!$C488="Money in",'My investments'!$D488,0)</f>
        <v/>
      </c>
      <c r="AB488" s="36">
        <f>IF('My investments'!$C488="Money out",'My investments'!$D488,0)</f>
        <v/>
      </c>
      <c r="AC488" s="36">
        <f>IF('My investments'!$C488="Worth today",'My investments'!$D488,0)</f>
        <v/>
      </c>
      <c r="AE488" s="36">
        <f>IF('My investments'!$H$11="",0,IF('My investments'!$F488='My investments'!$H$11,'My investments'!$E488,0))</f>
        <v/>
      </c>
      <c r="AF488" s="36">
        <f>IF('My investments'!$H$12="",0,IF('My investments'!$F488='My investments'!$H$12,'My investments'!$E488,0))</f>
        <v/>
      </c>
      <c r="AG488" s="36">
        <f>IF('My investments'!$H$13="",0,IF('My investments'!$F488='My investments'!$H$13,'My investments'!$E488,0))</f>
        <v/>
      </c>
      <c r="AH488" s="36">
        <f>IF('My investments'!$H$14="",0,IF('My investments'!$F488='My investments'!$H$14,'My investments'!$E488,0))</f>
        <v/>
      </c>
      <c r="AI488" s="36">
        <f>IF('My investments'!$H$15="",0,IF('My investments'!$F488='My investments'!$H$15,'My investments'!$E488,0))</f>
        <v/>
      </c>
      <c r="AK488" s="36">
        <f>IF('My investments'!$H$11="",0,IF('My investments'!$F488='My investments'!$H$11,$AA488,0))</f>
        <v/>
      </c>
      <c r="AL488" s="36">
        <f>IF('My investments'!$H$12="",0,IF('My investments'!$F488='My investments'!$H$12,$AA488,0))</f>
        <v/>
      </c>
      <c r="AM488" s="36">
        <f>IF('My investments'!$H$13="",0,IF('My investments'!$F488='My investments'!$H$13,$AA488,0))</f>
        <v/>
      </c>
      <c r="AN488" s="36">
        <f>IF('My investments'!$H$14="",0,IF('My investments'!$F488='My investments'!$H$14,$AA488,0))</f>
        <v/>
      </c>
      <c r="AO488" s="36">
        <f>IF('My investments'!$H$15="",0,IF('My investments'!$F488='My investments'!$H$15,$AA488,0))</f>
        <v/>
      </c>
    </row>
    <row r="489" ht="15" customHeight="1" s="30">
      <c r="A489" s="36">
        <f>IF('My investments'!$C489="Worth today",1,0)</f>
        <v/>
      </c>
      <c r="B489" s="36">
        <f>IF('My investments'!$C489="Money in",1,0)</f>
        <v/>
      </c>
      <c r="AA489" s="36">
        <f>IF('My investments'!$C489="Money in",'My investments'!$D489,0)</f>
        <v/>
      </c>
      <c r="AB489" s="36">
        <f>IF('My investments'!$C489="Money out",'My investments'!$D489,0)</f>
        <v/>
      </c>
      <c r="AC489" s="36">
        <f>IF('My investments'!$C489="Worth today",'My investments'!$D489,0)</f>
        <v/>
      </c>
      <c r="AE489" s="36">
        <f>IF('My investments'!$H$11="",0,IF('My investments'!$F489='My investments'!$H$11,'My investments'!$E489,0))</f>
        <v/>
      </c>
      <c r="AF489" s="36">
        <f>IF('My investments'!$H$12="",0,IF('My investments'!$F489='My investments'!$H$12,'My investments'!$E489,0))</f>
        <v/>
      </c>
      <c r="AG489" s="36">
        <f>IF('My investments'!$H$13="",0,IF('My investments'!$F489='My investments'!$H$13,'My investments'!$E489,0))</f>
        <v/>
      </c>
      <c r="AH489" s="36">
        <f>IF('My investments'!$H$14="",0,IF('My investments'!$F489='My investments'!$H$14,'My investments'!$E489,0))</f>
        <v/>
      </c>
      <c r="AI489" s="36">
        <f>IF('My investments'!$H$15="",0,IF('My investments'!$F489='My investments'!$H$15,'My investments'!$E489,0))</f>
        <v/>
      </c>
      <c r="AK489" s="36">
        <f>IF('My investments'!$H$11="",0,IF('My investments'!$F489='My investments'!$H$11,$AA489,0))</f>
        <v/>
      </c>
      <c r="AL489" s="36">
        <f>IF('My investments'!$H$12="",0,IF('My investments'!$F489='My investments'!$H$12,$AA489,0))</f>
        <v/>
      </c>
      <c r="AM489" s="36">
        <f>IF('My investments'!$H$13="",0,IF('My investments'!$F489='My investments'!$H$13,$AA489,0))</f>
        <v/>
      </c>
      <c r="AN489" s="36">
        <f>IF('My investments'!$H$14="",0,IF('My investments'!$F489='My investments'!$H$14,$AA489,0))</f>
        <v/>
      </c>
      <c r="AO489" s="36">
        <f>IF('My investments'!$H$15="",0,IF('My investments'!$F489='My investments'!$H$15,$AA489,0))</f>
        <v/>
      </c>
    </row>
    <row r="490" ht="15" customHeight="1" s="30">
      <c r="A490" s="36">
        <f>IF('My investments'!$C490="Worth today",1,0)</f>
        <v/>
      </c>
      <c r="B490" s="36">
        <f>IF('My investments'!$C490="Money in",1,0)</f>
        <v/>
      </c>
      <c r="AA490" s="36">
        <f>IF('My investments'!$C490="Money in",'My investments'!$D490,0)</f>
        <v/>
      </c>
      <c r="AB490" s="36">
        <f>IF('My investments'!$C490="Money out",'My investments'!$D490,0)</f>
        <v/>
      </c>
      <c r="AC490" s="36">
        <f>IF('My investments'!$C490="Worth today",'My investments'!$D490,0)</f>
        <v/>
      </c>
      <c r="AE490" s="36">
        <f>IF('My investments'!$H$11="",0,IF('My investments'!$F490='My investments'!$H$11,'My investments'!$E490,0))</f>
        <v/>
      </c>
      <c r="AF490" s="36">
        <f>IF('My investments'!$H$12="",0,IF('My investments'!$F490='My investments'!$H$12,'My investments'!$E490,0))</f>
        <v/>
      </c>
      <c r="AG490" s="36">
        <f>IF('My investments'!$H$13="",0,IF('My investments'!$F490='My investments'!$H$13,'My investments'!$E490,0))</f>
        <v/>
      </c>
      <c r="AH490" s="36">
        <f>IF('My investments'!$H$14="",0,IF('My investments'!$F490='My investments'!$H$14,'My investments'!$E490,0))</f>
        <v/>
      </c>
      <c r="AI490" s="36">
        <f>IF('My investments'!$H$15="",0,IF('My investments'!$F490='My investments'!$H$15,'My investments'!$E490,0))</f>
        <v/>
      </c>
      <c r="AK490" s="36">
        <f>IF('My investments'!$H$11="",0,IF('My investments'!$F490='My investments'!$H$11,$AA490,0))</f>
        <v/>
      </c>
      <c r="AL490" s="36">
        <f>IF('My investments'!$H$12="",0,IF('My investments'!$F490='My investments'!$H$12,$AA490,0))</f>
        <v/>
      </c>
      <c r="AM490" s="36">
        <f>IF('My investments'!$H$13="",0,IF('My investments'!$F490='My investments'!$H$13,$AA490,0))</f>
        <v/>
      </c>
      <c r="AN490" s="36">
        <f>IF('My investments'!$H$14="",0,IF('My investments'!$F490='My investments'!$H$14,$AA490,0))</f>
        <v/>
      </c>
      <c r="AO490" s="36">
        <f>IF('My investments'!$H$15="",0,IF('My investments'!$F490='My investments'!$H$15,$AA490,0))</f>
        <v/>
      </c>
    </row>
    <row r="491" ht="15" customHeight="1" s="30">
      <c r="A491" s="36">
        <f>IF('My investments'!$C491="Worth today",1,0)</f>
        <v/>
      </c>
      <c r="B491" s="36">
        <f>IF('My investments'!$C491="Money in",1,0)</f>
        <v/>
      </c>
      <c r="AA491" s="36">
        <f>IF('My investments'!$C491="Money in",'My investments'!$D491,0)</f>
        <v/>
      </c>
      <c r="AB491" s="36">
        <f>IF('My investments'!$C491="Money out",'My investments'!$D491,0)</f>
        <v/>
      </c>
      <c r="AC491" s="36">
        <f>IF('My investments'!$C491="Worth today",'My investments'!$D491,0)</f>
        <v/>
      </c>
      <c r="AE491" s="36">
        <f>IF('My investments'!$H$11="",0,IF('My investments'!$F491='My investments'!$H$11,'My investments'!$E491,0))</f>
        <v/>
      </c>
      <c r="AF491" s="36">
        <f>IF('My investments'!$H$12="",0,IF('My investments'!$F491='My investments'!$H$12,'My investments'!$E491,0))</f>
        <v/>
      </c>
      <c r="AG491" s="36">
        <f>IF('My investments'!$H$13="",0,IF('My investments'!$F491='My investments'!$H$13,'My investments'!$E491,0))</f>
        <v/>
      </c>
      <c r="AH491" s="36">
        <f>IF('My investments'!$H$14="",0,IF('My investments'!$F491='My investments'!$H$14,'My investments'!$E491,0))</f>
        <v/>
      </c>
      <c r="AI491" s="36">
        <f>IF('My investments'!$H$15="",0,IF('My investments'!$F491='My investments'!$H$15,'My investments'!$E491,0))</f>
        <v/>
      </c>
      <c r="AK491" s="36">
        <f>IF('My investments'!$H$11="",0,IF('My investments'!$F491='My investments'!$H$11,$AA491,0))</f>
        <v/>
      </c>
      <c r="AL491" s="36">
        <f>IF('My investments'!$H$12="",0,IF('My investments'!$F491='My investments'!$H$12,$AA491,0))</f>
        <v/>
      </c>
      <c r="AM491" s="36">
        <f>IF('My investments'!$H$13="",0,IF('My investments'!$F491='My investments'!$H$13,$AA491,0))</f>
        <v/>
      </c>
      <c r="AN491" s="36">
        <f>IF('My investments'!$H$14="",0,IF('My investments'!$F491='My investments'!$H$14,$AA491,0))</f>
        <v/>
      </c>
      <c r="AO491" s="36">
        <f>IF('My investments'!$H$15="",0,IF('My investments'!$F491='My investments'!$H$15,$AA491,0))</f>
        <v/>
      </c>
    </row>
    <row r="492" ht="15" customHeight="1" s="30">
      <c r="A492" s="36">
        <f>IF('My investments'!$C492="Worth today",1,0)</f>
        <v/>
      </c>
      <c r="B492" s="36">
        <f>IF('My investments'!$C492="Money in",1,0)</f>
        <v/>
      </c>
      <c r="AA492" s="36">
        <f>IF('My investments'!$C492="Money in",'My investments'!$D492,0)</f>
        <v/>
      </c>
      <c r="AB492" s="36">
        <f>IF('My investments'!$C492="Money out",'My investments'!$D492,0)</f>
        <v/>
      </c>
      <c r="AC492" s="36">
        <f>IF('My investments'!$C492="Worth today",'My investments'!$D492,0)</f>
        <v/>
      </c>
      <c r="AE492" s="36">
        <f>IF('My investments'!$H$11="",0,IF('My investments'!$F492='My investments'!$H$11,'My investments'!$E492,0))</f>
        <v/>
      </c>
      <c r="AF492" s="36">
        <f>IF('My investments'!$H$12="",0,IF('My investments'!$F492='My investments'!$H$12,'My investments'!$E492,0))</f>
        <v/>
      </c>
      <c r="AG492" s="36">
        <f>IF('My investments'!$H$13="",0,IF('My investments'!$F492='My investments'!$H$13,'My investments'!$E492,0))</f>
        <v/>
      </c>
      <c r="AH492" s="36">
        <f>IF('My investments'!$H$14="",0,IF('My investments'!$F492='My investments'!$H$14,'My investments'!$E492,0))</f>
        <v/>
      </c>
      <c r="AI492" s="36">
        <f>IF('My investments'!$H$15="",0,IF('My investments'!$F492='My investments'!$H$15,'My investments'!$E492,0))</f>
        <v/>
      </c>
      <c r="AK492" s="36">
        <f>IF('My investments'!$H$11="",0,IF('My investments'!$F492='My investments'!$H$11,$AA492,0))</f>
        <v/>
      </c>
      <c r="AL492" s="36">
        <f>IF('My investments'!$H$12="",0,IF('My investments'!$F492='My investments'!$H$12,$AA492,0))</f>
        <v/>
      </c>
      <c r="AM492" s="36">
        <f>IF('My investments'!$H$13="",0,IF('My investments'!$F492='My investments'!$H$13,$AA492,0))</f>
        <v/>
      </c>
      <c r="AN492" s="36">
        <f>IF('My investments'!$H$14="",0,IF('My investments'!$F492='My investments'!$H$14,$AA492,0))</f>
        <v/>
      </c>
      <c r="AO492" s="36">
        <f>IF('My investments'!$H$15="",0,IF('My investments'!$F492='My investments'!$H$15,$AA492,0))</f>
        <v/>
      </c>
    </row>
    <row r="493" ht="15" customHeight="1" s="30">
      <c r="A493" s="36">
        <f>IF('My investments'!$C493="Worth today",1,0)</f>
        <v/>
      </c>
      <c r="B493" s="36">
        <f>IF('My investments'!$C493="Money in",1,0)</f>
        <v/>
      </c>
      <c r="AA493" s="36">
        <f>IF('My investments'!$C493="Money in",'My investments'!$D493,0)</f>
        <v/>
      </c>
      <c r="AB493" s="36">
        <f>IF('My investments'!$C493="Money out",'My investments'!$D493,0)</f>
        <v/>
      </c>
      <c r="AC493" s="36">
        <f>IF('My investments'!$C493="Worth today",'My investments'!$D493,0)</f>
        <v/>
      </c>
      <c r="AE493" s="36">
        <f>IF('My investments'!$H$11="",0,IF('My investments'!$F493='My investments'!$H$11,'My investments'!$E493,0))</f>
        <v/>
      </c>
      <c r="AF493" s="36">
        <f>IF('My investments'!$H$12="",0,IF('My investments'!$F493='My investments'!$H$12,'My investments'!$E493,0))</f>
        <v/>
      </c>
      <c r="AG493" s="36">
        <f>IF('My investments'!$H$13="",0,IF('My investments'!$F493='My investments'!$H$13,'My investments'!$E493,0))</f>
        <v/>
      </c>
      <c r="AH493" s="36">
        <f>IF('My investments'!$H$14="",0,IF('My investments'!$F493='My investments'!$H$14,'My investments'!$E493,0))</f>
        <v/>
      </c>
      <c r="AI493" s="36">
        <f>IF('My investments'!$H$15="",0,IF('My investments'!$F493='My investments'!$H$15,'My investments'!$E493,0))</f>
        <v/>
      </c>
      <c r="AK493" s="36">
        <f>IF('My investments'!$H$11="",0,IF('My investments'!$F493='My investments'!$H$11,$AA493,0))</f>
        <v/>
      </c>
      <c r="AL493" s="36">
        <f>IF('My investments'!$H$12="",0,IF('My investments'!$F493='My investments'!$H$12,$AA493,0))</f>
        <v/>
      </c>
      <c r="AM493" s="36">
        <f>IF('My investments'!$H$13="",0,IF('My investments'!$F493='My investments'!$H$13,$AA493,0))</f>
        <v/>
      </c>
      <c r="AN493" s="36">
        <f>IF('My investments'!$H$14="",0,IF('My investments'!$F493='My investments'!$H$14,$AA493,0))</f>
        <v/>
      </c>
      <c r="AO493" s="36">
        <f>IF('My investments'!$H$15="",0,IF('My investments'!$F493='My investments'!$H$15,$AA493,0))</f>
        <v/>
      </c>
    </row>
    <row r="494" ht="15" customHeight="1" s="30">
      <c r="A494" s="36">
        <f>IF('My investments'!$C494="Worth today",1,0)</f>
        <v/>
      </c>
      <c r="B494" s="36">
        <f>IF('My investments'!$C494="Money in",1,0)</f>
        <v/>
      </c>
      <c r="AA494" s="36">
        <f>IF('My investments'!$C494="Money in",'My investments'!$D494,0)</f>
        <v/>
      </c>
      <c r="AB494" s="36">
        <f>IF('My investments'!$C494="Money out",'My investments'!$D494,0)</f>
        <v/>
      </c>
      <c r="AC494" s="36">
        <f>IF('My investments'!$C494="Worth today",'My investments'!$D494,0)</f>
        <v/>
      </c>
      <c r="AE494" s="36">
        <f>IF('My investments'!$H$11="",0,IF('My investments'!$F494='My investments'!$H$11,'My investments'!$E494,0))</f>
        <v/>
      </c>
      <c r="AF494" s="36">
        <f>IF('My investments'!$H$12="",0,IF('My investments'!$F494='My investments'!$H$12,'My investments'!$E494,0))</f>
        <v/>
      </c>
      <c r="AG494" s="36">
        <f>IF('My investments'!$H$13="",0,IF('My investments'!$F494='My investments'!$H$13,'My investments'!$E494,0))</f>
        <v/>
      </c>
      <c r="AH494" s="36">
        <f>IF('My investments'!$H$14="",0,IF('My investments'!$F494='My investments'!$H$14,'My investments'!$E494,0))</f>
        <v/>
      </c>
      <c r="AI494" s="36">
        <f>IF('My investments'!$H$15="",0,IF('My investments'!$F494='My investments'!$H$15,'My investments'!$E494,0))</f>
        <v/>
      </c>
      <c r="AK494" s="36">
        <f>IF('My investments'!$H$11="",0,IF('My investments'!$F494='My investments'!$H$11,$AA494,0))</f>
        <v/>
      </c>
      <c r="AL494" s="36">
        <f>IF('My investments'!$H$12="",0,IF('My investments'!$F494='My investments'!$H$12,$AA494,0))</f>
        <v/>
      </c>
      <c r="AM494" s="36">
        <f>IF('My investments'!$H$13="",0,IF('My investments'!$F494='My investments'!$H$13,$AA494,0))</f>
        <v/>
      </c>
      <c r="AN494" s="36">
        <f>IF('My investments'!$H$14="",0,IF('My investments'!$F494='My investments'!$H$14,$AA494,0))</f>
        <v/>
      </c>
      <c r="AO494" s="36">
        <f>IF('My investments'!$H$15="",0,IF('My investments'!$F494='My investments'!$H$15,$AA494,0))</f>
        <v/>
      </c>
    </row>
    <row r="495" ht="15" customHeight="1" s="30">
      <c r="A495" s="36">
        <f>IF('My investments'!$C495="Worth today",1,0)</f>
        <v/>
      </c>
      <c r="B495" s="36">
        <f>IF('My investments'!$C495="Money in",1,0)</f>
        <v/>
      </c>
      <c r="AA495" s="36">
        <f>IF('My investments'!$C495="Money in",'My investments'!$D495,0)</f>
        <v/>
      </c>
      <c r="AB495" s="36">
        <f>IF('My investments'!$C495="Money out",'My investments'!$D495,0)</f>
        <v/>
      </c>
      <c r="AC495" s="36">
        <f>IF('My investments'!$C495="Worth today",'My investments'!$D495,0)</f>
        <v/>
      </c>
      <c r="AE495" s="36">
        <f>IF('My investments'!$H$11="",0,IF('My investments'!$F495='My investments'!$H$11,'My investments'!$E495,0))</f>
        <v/>
      </c>
      <c r="AF495" s="36">
        <f>IF('My investments'!$H$12="",0,IF('My investments'!$F495='My investments'!$H$12,'My investments'!$E495,0))</f>
        <v/>
      </c>
      <c r="AG495" s="36">
        <f>IF('My investments'!$H$13="",0,IF('My investments'!$F495='My investments'!$H$13,'My investments'!$E495,0))</f>
        <v/>
      </c>
      <c r="AH495" s="36">
        <f>IF('My investments'!$H$14="",0,IF('My investments'!$F495='My investments'!$H$14,'My investments'!$E495,0))</f>
        <v/>
      </c>
      <c r="AI495" s="36">
        <f>IF('My investments'!$H$15="",0,IF('My investments'!$F495='My investments'!$H$15,'My investments'!$E495,0))</f>
        <v/>
      </c>
      <c r="AK495" s="36">
        <f>IF('My investments'!$H$11="",0,IF('My investments'!$F495='My investments'!$H$11,$AA495,0))</f>
        <v/>
      </c>
      <c r="AL495" s="36">
        <f>IF('My investments'!$H$12="",0,IF('My investments'!$F495='My investments'!$H$12,$AA495,0))</f>
        <v/>
      </c>
      <c r="AM495" s="36">
        <f>IF('My investments'!$H$13="",0,IF('My investments'!$F495='My investments'!$H$13,$AA495,0))</f>
        <v/>
      </c>
      <c r="AN495" s="36">
        <f>IF('My investments'!$H$14="",0,IF('My investments'!$F495='My investments'!$H$14,$AA495,0))</f>
        <v/>
      </c>
      <c r="AO495" s="36">
        <f>IF('My investments'!$H$15="",0,IF('My investments'!$F495='My investments'!$H$15,$AA495,0))</f>
        <v/>
      </c>
    </row>
    <row r="496" ht="15" customHeight="1" s="30">
      <c r="A496" s="36">
        <f>IF('My investments'!$C496="Worth today",1,0)</f>
        <v/>
      </c>
      <c r="B496" s="36">
        <f>IF('My investments'!$C496="Money in",1,0)</f>
        <v/>
      </c>
      <c r="AA496" s="36">
        <f>IF('My investments'!$C496="Money in",'My investments'!$D496,0)</f>
        <v/>
      </c>
      <c r="AB496" s="36">
        <f>IF('My investments'!$C496="Money out",'My investments'!$D496,0)</f>
        <v/>
      </c>
      <c r="AC496" s="36">
        <f>IF('My investments'!$C496="Worth today",'My investments'!$D496,0)</f>
        <v/>
      </c>
      <c r="AE496" s="36">
        <f>IF('My investments'!$H$11="",0,IF('My investments'!$F496='My investments'!$H$11,'My investments'!$E496,0))</f>
        <v/>
      </c>
      <c r="AF496" s="36">
        <f>IF('My investments'!$H$12="",0,IF('My investments'!$F496='My investments'!$H$12,'My investments'!$E496,0))</f>
        <v/>
      </c>
      <c r="AG496" s="36">
        <f>IF('My investments'!$H$13="",0,IF('My investments'!$F496='My investments'!$H$13,'My investments'!$E496,0))</f>
        <v/>
      </c>
      <c r="AH496" s="36">
        <f>IF('My investments'!$H$14="",0,IF('My investments'!$F496='My investments'!$H$14,'My investments'!$E496,0))</f>
        <v/>
      </c>
      <c r="AI496" s="36">
        <f>IF('My investments'!$H$15="",0,IF('My investments'!$F496='My investments'!$H$15,'My investments'!$E496,0))</f>
        <v/>
      </c>
      <c r="AK496" s="36">
        <f>IF('My investments'!$H$11="",0,IF('My investments'!$F496='My investments'!$H$11,$AA496,0))</f>
        <v/>
      </c>
      <c r="AL496" s="36">
        <f>IF('My investments'!$H$12="",0,IF('My investments'!$F496='My investments'!$H$12,$AA496,0))</f>
        <v/>
      </c>
      <c r="AM496" s="36">
        <f>IF('My investments'!$H$13="",0,IF('My investments'!$F496='My investments'!$H$13,$AA496,0))</f>
        <v/>
      </c>
      <c r="AN496" s="36">
        <f>IF('My investments'!$H$14="",0,IF('My investments'!$F496='My investments'!$H$14,$AA496,0))</f>
        <v/>
      </c>
      <c r="AO496" s="36">
        <f>IF('My investments'!$H$15="",0,IF('My investments'!$F496='My investments'!$H$15,$AA496,0))</f>
        <v/>
      </c>
    </row>
    <row r="497" ht="15" customHeight="1" s="30">
      <c r="A497" s="36">
        <f>IF('My investments'!$C497="Worth today",1,0)</f>
        <v/>
      </c>
      <c r="B497" s="36">
        <f>IF('My investments'!$C497="Money in",1,0)</f>
        <v/>
      </c>
      <c r="AA497" s="36">
        <f>IF('My investments'!$C497="Money in",'My investments'!$D497,0)</f>
        <v/>
      </c>
      <c r="AB497" s="36">
        <f>IF('My investments'!$C497="Money out",'My investments'!$D497,0)</f>
        <v/>
      </c>
      <c r="AC497" s="36">
        <f>IF('My investments'!$C497="Worth today",'My investments'!$D497,0)</f>
        <v/>
      </c>
      <c r="AE497" s="36">
        <f>IF('My investments'!$H$11="",0,IF('My investments'!$F497='My investments'!$H$11,'My investments'!$E497,0))</f>
        <v/>
      </c>
      <c r="AF497" s="36">
        <f>IF('My investments'!$H$12="",0,IF('My investments'!$F497='My investments'!$H$12,'My investments'!$E497,0))</f>
        <v/>
      </c>
      <c r="AG497" s="36">
        <f>IF('My investments'!$H$13="",0,IF('My investments'!$F497='My investments'!$H$13,'My investments'!$E497,0))</f>
        <v/>
      </c>
      <c r="AH497" s="36">
        <f>IF('My investments'!$H$14="",0,IF('My investments'!$F497='My investments'!$H$14,'My investments'!$E497,0))</f>
        <v/>
      </c>
      <c r="AI497" s="36">
        <f>IF('My investments'!$H$15="",0,IF('My investments'!$F497='My investments'!$H$15,'My investments'!$E497,0))</f>
        <v/>
      </c>
      <c r="AK497" s="36">
        <f>IF('My investments'!$H$11="",0,IF('My investments'!$F497='My investments'!$H$11,$AA497,0))</f>
        <v/>
      </c>
      <c r="AL497" s="36">
        <f>IF('My investments'!$H$12="",0,IF('My investments'!$F497='My investments'!$H$12,$AA497,0))</f>
        <v/>
      </c>
      <c r="AM497" s="36">
        <f>IF('My investments'!$H$13="",0,IF('My investments'!$F497='My investments'!$H$13,$AA497,0))</f>
        <v/>
      </c>
      <c r="AN497" s="36">
        <f>IF('My investments'!$H$14="",0,IF('My investments'!$F497='My investments'!$H$14,$AA497,0))</f>
        <v/>
      </c>
      <c r="AO497" s="36">
        <f>IF('My investments'!$H$15="",0,IF('My investments'!$F497='My investments'!$H$15,$AA497,0))</f>
        <v/>
      </c>
    </row>
    <row r="498" ht="15" customHeight="1" s="30">
      <c r="A498" s="36">
        <f>IF('My investments'!$C498="Worth today",1,0)</f>
        <v/>
      </c>
      <c r="B498" s="36">
        <f>IF('My investments'!$C498="Money in",1,0)</f>
        <v/>
      </c>
      <c r="AA498" s="36">
        <f>IF('My investments'!$C498="Money in",'My investments'!$D498,0)</f>
        <v/>
      </c>
      <c r="AB498" s="36">
        <f>IF('My investments'!$C498="Money out",'My investments'!$D498,0)</f>
        <v/>
      </c>
      <c r="AC498" s="36">
        <f>IF('My investments'!$C498="Worth today",'My investments'!$D498,0)</f>
        <v/>
      </c>
      <c r="AE498" s="36">
        <f>IF('My investments'!$H$11="",0,IF('My investments'!$F498='My investments'!$H$11,'My investments'!$E498,0))</f>
        <v/>
      </c>
      <c r="AF498" s="36">
        <f>IF('My investments'!$H$12="",0,IF('My investments'!$F498='My investments'!$H$12,'My investments'!$E498,0))</f>
        <v/>
      </c>
      <c r="AG498" s="36">
        <f>IF('My investments'!$H$13="",0,IF('My investments'!$F498='My investments'!$H$13,'My investments'!$E498,0))</f>
        <v/>
      </c>
      <c r="AH498" s="36">
        <f>IF('My investments'!$H$14="",0,IF('My investments'!$F498='My investments'!$H$14,'My investments'!$E498,0))</f>
        <v/>
      </c>
      <c r="AI498" s="36">
        <f>IF('My investments'!$H$15="",0,IF('My investments'!$F498='My investments'!$H$15,'My investments'!$E498,0))</f>
        <v/>
      </c>
      <c r="AK498" s="36">
        <f>IF('My investments'!$H$11="",0,IF('My investments'!$F498='My investments'!$H$11,$AA498,0))</f>
        <v/>
      </c>
      <c r="AL498" s="36">
        <f>IF('My investments'!$H$12="",0,IF('My investments'!$F498='My investments'!$H$12,$AA498,0))</f>
        <v/>
      </c>
      <c r="AM498" s="36">
        <f>IF('My investments'!$H$13="",0,IF('My investments'!$F498='My investments'!$H$13,$AA498,0))</f>
        <v/>
      </c>
      <c r="AN498" s="36">
        <f>IF('My investments'!$H$14="",0,IF('My investments'!$F498='My investments'!$H$14,$AA498,0))</f>
        <v/>
      </c>
      <c r="AO498" s="36">
        <f>IF('My investments'!$H$15="",0,IF('My investments'!$F498='My investments'!$H$15,$AA498,0))</f>
        <v/>
      </c>
    </row>
    <row r="499" ht="15" customHeight="1" s="30">
      <c r="A499" s="36">
        <f>IF('My investments'!$C499="Worth today",1,0)</f>
        <v/>
      </c>
      <c r="B499" s="36">
        <f>IF('My investments'!$C499="Money in",1,0)</f>
        <v/>
      </c>
      <c r="AA499" s="36">
        <f>IF('My investments'!$C499="Money in",'My investments'!$D499,0)</f>
        <v/>
      </c>
      <c r="AB499" s="36">
        <f>IF('My investments'!$C499="Money out",'My investments'!$D499,0)</f>
        <v/>
      </c>
      <c r="AC499" s="36">
        <f>IF('My investments'!$C499="Worth today",'My investments'!$D499,0)</f>
        <v/>
      </c>
      <c r="AE499" s="36">
        <f>IF('My investments'!$H$11="",0,IF('My investments'!$F499='My investments'!$H$11,'My investments'!$E499,0))</f>
        <v/>
      </c>
      <c r="AF499" s="36">
        <f>IF('My investments'!$H$12="",0,IF('My investments'!$F499='My investments'!$H$12,'My investments'!$E499,0))</f>
        <v/>
      </c>
      <c r="AG499" s="36">
        <f>IF('My investments'!$H$13="",0,IF('My investments'!$F499='My investments'!$H$13,'My investments'!$E499,0))</f>
        <v/>
      </c>
      <c r="AH499" s="36">
        <f>IF('My investments'!$H$14="",0,IF('My investments'!$F499='My investments'!$H$14,'My investments'!$E499,0))</f>
        <v/>
      </c>
      <c r="AI499" s="36">
        <f>IF('My investments'!$H$15="",0,IF('My investments'!$F499='My investments'!$H$15,'My investments'!$E499,0))</f>
        <v/>
      </c>
      <c r="AK499" s="36">
        <f>IF('My investments'!$H$11="",0,IF('My investments'!$F499='My investments'!$H$11,$AA499,0))</f>
        <v/>
      </c>
      <c r="AL499" s="36">
        <f>IF('My investments'!$H$12="",0,IF('My investments'!$F499='My investments'!$H$12,$AA499,0))</f>
        <v/>
      </c>
      <c r="AM499" s="36">
        <f>IF('My investments'!$H$13="",0,IF('My investments'!$F499='My investments'!$H$13,$AA499,0))</f>
        <v/>
      </c>
      <c r="AN499" s="36">
        <f>IF('My investments'!$H$14="",0,IF('My investments'!$F499='My investments'!$H$14,$AA499,0))</f>
        <v/>
      </c>
      <c r="AO499" s="36">
        <f>IF('My investments'!$H$15="",0,IF('My investments'!$F499='My investments'!$H$15,$AA499,0))</f>
        <v/>
      </c>
    </row>
    <row r="500" ht="15" customHeight="1" s="30">
      <c r="A500" s="36">
        <f>IF('My investments'!$C500="Worth today",1,0)</f>
        <v/>
      </c>
      <c r="B500" s="36">
        <f>IF('My investments'!$C500="Money in",1,0)</f>
        <v/>
      </c>
      <c r="AA500" s="36">
        <f>IF('My investments'!$C500="Money in",'My investments'!$D500,0)</f>
        <v/>
      </c>
      <c r="AB500" s="36">
        <f>IF('My investments'!$C500="Money out",'My investments'!$D500,0)</f>
        <v/>
      </c>
      <c r="AC500" s="36">
        <f>IF('My investments'!$C500="Worth today",'My investments'!$D500,0)</f>
        <v/>
      </c>
      <c r="AE500" s="36">
        <f>IF('My investments'!$H$11="",0,IF('My investments'!$F500='My investments'!$H$11,'My investments'!$E500,0))</f>
        <v/>
      </c>
      <c r="AF500" s="36">
        <f>IF('My investments'!$H$12="",0,IF('My investments'!$F500='My investments'!$H$12,'My investments'!$E500,0))</f>
        <v/>
      </c>
      <c r="AG500" s="36">
        <f>IF('My investments'!$H$13="",0,IF('My investments'!$F500='My investments'!$H$13,'My investments'!$E500,0))</f>
        <v/>
      </c>
      <c r="AH500" s="36">
        <f>IF('My investments'!$H$14="",0,IF('My investments'!$F500='My investments'!$H$14,'My investments'!$E500,0))</f>
        <v/>
      </c>
      <c r="AI500" s="36">
        <f>IF('My investments'!$H$15="",0,IF('My investments'!$F500='My investments'!$H$15,'My investments'!$E500,0))</f>
        <v/>
      </c>
      <c r="AK500" s="36">
        <f>IF('My investments'!$H$11="",0,IF('My investments'!$F500='My investments'!$H$11,$AA500,0))</f>
        <v/>
      </c>
      <c r="AL500" s="36">
        <f>IF('My investments'!$H$12="",0,IF('My investments'!$F500='My investments'!$H$12,$AA500,0))</f>
        <v/>
      </c>
      <c r="AM500" s="36">
        <f>IF('My investments'!$H$13="",0,IF('My investments'!$F500='My investments'!$H$13,$AA500,0))</f>
        <v/>
      </c>
      <c r="AN500" s="36">
        <f>IF('My investments'!$H$14="",0,IF('My investments'!$F500='My investments'!$H$14,$AA500,0))</f>
        <v/>
      </c>
      <c r="AO500" s="36">
        <f>IF('My investments'!$H$15="",0,IF('My investments'!$F500='My investments'!$H$15,$AA500,0))</f>
        <v/>
      </c>
    </row>
    <row r="501" ht="15" customHeight="1" s="30">
      <c r="A501" s="36">
        <f>IF('My investments'!$C501="Worth today",1,0)</f>
        <v/>
      </c>
      <c r="B501" s="36">
        <f>IF('My investments'!$C501="Money in",1,0)</f>
        <v/>
      </c>
      <c r="AA501" s="36">
        <f>IF('My investments'!$C501="Money in",'My investments'!$D501,0)</f>
        <v/>
      </c>
      <c r="AB501" s="36">
        <f>IF('My investments'!$C501="Money out",'My investments'!$D501,0)</f>
        <v/>
      </c>
      <c r="AC501" s="36">
        <f>IF('My investments'!$C501="Worth today",'My investments'!$D501,0)</f>
        <v/>
      </c>
      <c r="AE501" s="36">
        <f>IF('My investments'!$H$11="",0,IF('My investments'!$F501='My investments'!$H$11,'My investments'!$E501,0))</f>
        <v/>
      </c>
      <c r="AF501" s="36">
        <f>IF('My investments'!$H$12="",0,IF('My investments'!$F501='My investments'!$H$12,'My investments'!$E501,0))</f>
        <v/>
      </c>
      <c r="AG501" s="36">
        <f>IF('My investments'!$H$13="",0,IF('My investments'!$F501='My investments'!$H$13,'My investments'!$E501,0))</f>
        <v/>
      </c>
      <c r="AH501" s="36">
        <f>IF('My investments'!$H$14="",0,IF('My investments'!$F501='My investments'!$H$14,'My investments'!$E501,0))</f>
        <v/>
      </c>
      <c r="AI501" s="36">
        <f>IF('My investments'!$H$15="",0,IF('My investments'!$F501='My investments'!$H$15,'My investments'!$E501,0))</f>
        <v/>
      </c>
      <c r="AK501" s="36">
        <f>IF('My investments'!$H$11="",0,IF('My investments'!$F501='My investments'!$H$11,$AA501,0))</f>
        <v/>
      </c>
      <c r="AL501" s="36">
        <f>IF('My investments'!$H$12="",0,IF('My investments'!$F501='My investments'!$H$12,$AA501,0))</f>
        <v/>
      </c>
      <c r="AM501" s="36">
        <f>IF('My investments'!$H$13="",0,IF('My investments'!$F501='My investments'!$H$13,$AA501,0))</f>
        <v/>
      </c>
      <c r="AN501" s="36">
        <f>IF('My investments'!$H$14="",0,IF('My investments'!$F501='My investments'!$H$14,$AA501,0))</f>
        <v/>
      </c>
      <c r="AO501" s="36">
        <f>IF('My investments'!$H$15="",0,IF('My investments'!$F501='My investments'!$H$15,$AA501,0))</f>
        <v/>
      </c>
    </row>
    <row r="502" ht="15" customHeight="1" s="30">
      <c r="A502" s="36">
        <f>IF('My investments'!$C502="Worth today",1,0)</f>
        <v/>
      </c>
      <c r="B502" s="36">
        <f>IF('My investments'!$C502="Money in",1,0)</f>
        <v/>
      </c>
      <c r="AA502" s="36">
        <f>IF('My investments'!$C502="Money in",'My investments'!$D502,0)</f>
        <v/>
      </c>
      <c r="AB502" s="36">
        <f>IF('My investments'!$C502="Money out",'My investments'!$D502,0)</f>
        <v/>
      </c>
      <c r="AC502" s="36">
        <f>IF('My investments'!$C502="Worth today",'My investments'!$D502,0)</f>
        <v/>
      </c>
      <c r="AE502" s="36">
        <f>IF('My investments'!$H$11="",0,IF('My investments'!$F502='My investments'!$H$11,'My investments'!$E502,0))</f>
        <v/>
      </c>
      <c r="AF502" s="36">
        <f>IF('My investments'!$H$12="",0,IF('My investments'!$F502='My investments'!$H$12,'My investments'!$E502,0))</f>
        <v/>
      </c>
      <c r="AG502" s="36">
        <f>IF('My investments'!$H$13="",0,IF('My investments'!$F502='My investments'!$H$13,'My investments'!$E502,0))</f>
        <v/>
      </c>
      <c r="AH502" s="36">
        <f>IF('My investments'!$H$14="",0,IF('My investments'!$F502='My investments'!$H$14,'My investments'!$E502,0))</f>
        <v/>
      </c>
      <c r="AI502" s="36">
        <f>IF('My investments'!$H$15="",0,IF('My investments'!$F502='My investments'!$H$15,'My investments'!$E502,0))</f>
        <v/>
      </c>
      <c r="AK502" s="36">
        <f>IF('My investments'!$H$11="",0,IF('My investments'!$F502='My investments'!$H$11,$AA502,0))</f>
        <v/>
      </c>
      <c r="AL502" s="36">
        <f>IF('My investments'!$H$12="",0,IF('My investments'!$F502='My investments'!$H$12,$AA502,0))</f>
        <v/>
      </c>
      <c r="AM502" s="36">
        <f>IF('My investments'!$H$13="",0,IF('My investments'!$F502='My investments'!$H$13,$AA502,0))</f>
        <v/>
      </c>
      <c r="AN502" s="36">
        <f>IF('My investments'!$H$14="",0,IF('My investments'!$F502='My investments'!$H$14,$AA502,0))</f>
        <v/>
      </c>
      <c r="AO502" s="36">
        <f>IF('My investments'!$H$15="",0,IF('My investments'!$F502='My investments'!$H$15,$AA502,0))</f>
        <v/>
      </c>
    </row>
    <row r="503" ht="15" customHeight="1" s="30">
      <c r="A503" s="36">
        <f>IF('My investments'!$C503="Worth today",1,0)</f>
        <v/>
      </c>
      <c r="B503" s="36">
        <f>IF('My investments'!$C503="Money in",1,0)</f>
        <v/>
      </c>
      <c r="AA503" s="36">
        <f>IF('My investments'!$C503="Money in",'My investments'!$D503,0)</f>
        <v/>
      </c>
      <c r="AB503" s="36">
        <f>IF('My investments'!$C503="Money out",'My investments'!$D503,0)</f>
        <v/>
      </c>
      <c r="AC503" s="36">
        <f>IF('My investments'!$C503="Worth today",'My investments'!$D503,0)</f>
        <v/>
      </c>
      <c r="AE503" s="36">
        <f>IF('My investments'!$H$11="",0,IF('My investments'!$F503='My investments'!$H$11,'My investments'!$E503,0))</f>
        <v/>
      </c>
      <c r="AF503" s="36">
        <f>IF('My investments'!$H$12="",0,IF('My investments'!$F503='My investments'!$H$12,'My investments'!$E503,0))</f>
        <v/>
      </c>
      <c r="AG503" s="36">
        <f>IF('My investments'!$H$13="",0,IF('My investments'!$F503='My investments'!$H$13,'My investments'!$E503,0))</f>
        <v/>
      </c>
      <c r="AH503" s="36">
        <f>IF('My investments'!$H$14="",0,IF('My investments'!$F503='My investments'!$H$14,'My investments'!$E503,0))</f>
        <v/>
      </c>
      <c r="AI503" s="36">
        <f>IF('My investments'!$H$15="",0,IF('My investments'!$F503='My investments'!$H$15,'My investments'!$E503,0))</f>
        <v/>
      </c>
      <c r="AK503" s="36">
        <f>IF('My investments'!$H$11="",0,IF('My investments'!$F503='My investments'!$H$11,$AA503,0))</f>
        <v/>
      </c>
      <c r="AL503" s="36">
        <f>IF('My investments'!$H$12="",0,IF('My investments'!$F503='My investments'!$H$12,$AA503,0))</f>
        <v/>
      </c>
      <c r="AM503" s="36">
        <f>IF('My investments'!$H$13="",0,IF('My investments'!$F503='My investments'!$H$13,$AA503,0))</f>
        <v/>
      </c>
      <c r="AN503" s="36">
        <f>IF('My investments'!$H$14="",0,IF('My investments'!$F503='My investments'!$H$14,$AA503,0))</f>
        <v/>
      </c>
      <c r="AO503" s="36">
        <f>IF('My investments'!$H$15="",0,IF('My investments'!$F503='My investments'!$H$15,$AA503,0))</f>
        <v/>
      </c>
    </row>
    <row r="504" ht="15" customHeight="1" s="30">
      <c r="A504" s="36">
        <f>IF('My investments'!$C504="Worth today",1,0)</f>
        <v/>
      </c>
      <c r="B504" s="36">
        <f>IF('My investments'!$C504="Money in",1,0)</f>
        <v/>
      </c>
      <c r="AA504" s="36">
        <f>IF('My investments'!$C504="Money in",'My investments'!$D504,0)</f>
        <v/>
      </c>
      <c r="AB504" s="36">
        <f>IF('My investments'!$C504="Money out",'My investments'!$D504,0)</f>
        <v/>
      </c>
      <c r="AC504" s="36">
        <f>IF('My investments'!$C504="Worth today",'My investments'!$D504,0)</f>
        <v/>
      </c>
      <c r="AE504" s="36">
        <f>IF('My investments'!$H$11="",0,IF('My investments'!$F504='My investments'!$H$11,'My investments'!$E504,0))</f>
        <v/>
      </c>
      <c r="AF504" s="36">
        <f>IF('My investments'!$H$12="",0,IF('My investments'!$F504='My investments'!$H$12,'My investments'!$E504,0))</f>
        <v/>
      </c>
      <c r="AG504" s="36">
        <f>IF('My investments'!$H$13="",0,IF('My investments'!$F504='My investments'!$H$13,'My investments'!$E504,0))</f>
        <v/>
      </c>
      <c r="AH504" s="36">
        <f>IF('My investments'!$H$14="",0,IF('My investments'!$F504='My investments'!$H$14,'My investments'!$E504,0))</f>
        <v/>
      </c>
      <c r="AI504" s="36">
        <f>IF('My investments'!$H$15="",0,IF('My investments'!$F504='My investments'!$H$15,'My investments'!$E504,0))</f>
        <v/>
      </c>
      <c r="AK504" s="36">
        <f>IF('My investments'!$H$11="",0,IF('My investments'!$F504='My investments'!$H$11,$AA504,0))</f>
        <v/>
      </c>
      <c r="AL504" s="36">
        <f>IF('My investments'!$H$12="",0,IF('My investments'!$F504='My investments'!$H$12,$AA504,0))</f>
        <v/>
      </c>
      <c r="AM504" s="36">
        <f>IF('My investments'!$H$13="",0,IF('My investments'!$F504='My investments'!$H$13,$AA504,0))</f>
        <v/>
      </c>
      <c r="AN504" s="36">
        <f>IF('My investments'!$H$14="",0,IF('My investments'!$F504='My investments'!$H$14,$AA504,0))</f>
        <v/>
      </c>
      <c r="AO504" s="36">
        <f>IF('My investments'!$H$15="",0,IF('My investments'!$F504='My investments'!$H$15,$AA504,0))</f>
        <v/>
      </c>
    </row>
    <row r="505" ht="15" customHeight="1" s="30">
      <c r="A505" s="36">
        <f>IF('My investments'!$C505="Worth today",1,0)</f>
        <v/>
      </c>
      <c r="B505" s="36">
        <f>IF('My investments'!$C505="Money in",1,0)</f>
        <v/>
      </c>
      <c r="AA505" s="36">
        <f>IF('My investments'!$C505="Money in",'My investments'!$D505,0)</f>
        <v/>
      </c>
      <c r="AB505" s="36">
        <f>IF('My investments'!$C505="Money out",'My investments'!$D505,0)</f>
        <v/>
      </c>
      <c r="AC505" s="36">
        <f>IF('My investments'!$C505="Worth today",'My investments'!$D505,0)</f>
        <v/>
      </c>
      <c r="AE505" s="36">
        <f>IF('My investments'!$H$11="",0,IF('My investments'!$F505='My investments'!$H$11,'My investments'!$E505,0))</f>
        <v/>
      </c>
      <c r="AF505" s="36">
        <f>IF('My investments'!$H$12="",0,IF('My investments'!$F505='My investments'!$H$12,'My investments'!$E505,0))</f>
        <v/>
      </c>
      <c r="AG505" s="36">
        <f>IF('My investments'!$H$13="",0,IF('My investments'!$F505='My investments'!$H$13,'My investments'!$E505,0))</f>
        <v/>
      </c>
      <c r="AH505" s="36">
        <f>IF('My investments'!$H$14="",0,IF('My investments'!$F505='My investments'!$H$14,'My investments'!$E505,0))</f>
        <v/>
      </c>
      <c r="AI505" s="36">
        <f>IF('My investments'!$H$15="",0,IF('My investments'!$F505='My investments'!$H$15,'My investments'!$E505,0))</f>
        <v/>
      </c>
      <c r="AK505" s="36">
        <f>IF('My investments'!$H$11="",0,IF('My investments'!$F505='My investments'!$H$11,$AA505,0))</f>
        <v/>
      </c>
      <c r="AL505" s="36">
        <f>IF('My investments'!$H$12="",0,IF('My investments'!$F505='My investments'!$H$12,$AA505,0))</f>
        <v/>
      </c>
      <c r="AM505" s="36">
        <f>IF('My investments'!$H$13="",0,IF('My investments'!$F505='My investments'!$H$13,$AA505,0))</f>
        <v/>
      </c>
      <c r="AN505" s="36">
        <f>IF('My investments'!$H$14="",0,IF('My investments'!$F505='My investments'!$H$14,$AA505,0))</f>
        <v/>
      </c>
      <c r="AO505" s="36">
        <f>IF('My investments'!$H$15="",0,IF('My investments'!$F505='My investments'!$H$15,$AA505,0))</f>
        <v/>
      </c>
    </row>
    <row r="506" ht="15" customHeight="1" s="30">
      <c r="A506" s="36">
        <f>IF('My investments'!$C506="Worth today",1,0)</f>
        <v/>
      </c>
      <c r="B506" s="36">
        <f>IF('My investments'!$C506="Money in",1,0)</f>
        <v/>
      </c>
      <c r="AA506" s="36">
        <f>IF('My investments'!$C506="Money in",'My investments'!$D506,0)</f>
        <v/>
      </c>
      <c r="AB506" s="36">
        <f>IF('My investments'!$C506="Money out",'My investments'!$D506,0)</f>
        <v/>
      </c>
      <c r="AC506" s="36">
        <f>IF('My investments'!$C506="Worth today",'My investments'!$D506,0)</f>
        <v/>
      </c>
      <c r="AE506" s="36">
        <f>IF('My investments'!$H$11="",0,IF('My investments'!$F506='My investments'!$H$11,'My investments'!$E506,0))</f>
        <v/>
      </c>
      <c r="AF506" s="36">
        <f>IF('My investments'!$H$12="",0,IF('My investments'!$F506='My investments'!$H$12,'My investments'!$E506,0))</f>
        <v/>
      </c>
      <c r="AG506" s="36">
        <f>IF('My investments'!$H$13="",0,IF('My investments'!$F506='My investments'!$H$13,'My investments'!$E506,0))</f>
        <v/>
      </c>
      <c r="AH506" s="36">
        <f>IF('My investments'!$H$14="",0,IF('My investments'!$F506='My investments'!$H$14,'My investments'!$E506,0))</f>
        <v/>
      </c>
      <c r="AI506" s="36">
        <f>IF('My investments'!$H$15="",0,IF('My investments'!$F506='My investments'!$H$15,'My investments'!$E506,0))</f>
        <v/>
      </c>
      <c r="AK506" s="36">
        <f>IF('My investments'!$H$11="",0,IF('My investments'!$F506='My investments'!$H$11,$AA506,0))</f>
        <v/>
      </c>
      <c r="AL506" s="36">
        <f>IF('My investments'!$H$12="",0,IF('My investments'!$F506='My investments'!$H$12,$AA506,0))</f>
        <v/>
      </c>
      <c r="AM506" s="36">
        <f>IF('My investments'!$H$13="",0,IF('My investments'!$F506='My investments'!$H$13,$AA506,0))</f>
        <v/>
      </c>
      <c r="AN506" s="36">
        <f>IF('My investments'!$H$14="",0,IF('My investments'!$F506='My investments'!$H$14,$AA506,0))</f>
        <v/>
      </c>
      <c r="AO506" s="36">
        <f>IF('My investments'!$H$15="",0,IF('My investments'!$F506='My investments'!$H$15,$AA506,0))</f>
        <v/>
      </c>
    </row>
    <row r="507" ht="15" customHeight="1" s="30">
      <c r="A507" s="36">
        <f>IF('My investments'!$C507="Worth today",1,0)</f>
        <v/>
      </c>
      <c r="B507" s="36">
        <f>IF('My investments'!$C507="Money in",1,0)</f>
        <v/>
      </c>
      <c r="AA507" s="36">
        <f>IF('My investments'!$C507="Money in",'My investments'!$D507,0)</f>
        <v/>
      </c>
      <c r="AB507" s="36">
        <f>IF('My investments'!$C507="Money out",'My investments'!$D507,0)</f>
        <v/>
      </c>
      <c r="AC507" s="36">
        <f>IF('My investments'!$C507="Worth today",'My investments'!$D507,0)</f>
        <v/>
      </c>
      <c r="AE507" s="36">
        <f>IF('My investments'!$H$11="",0,IF('My investments'!$F507='My investments'!$H$11,'My investments'!$E507,0))</f>
        <v/>
      </c>
      <c r="AF507" s="36">
        <f>IF('My investments'!$H$12="",0,IF('My investments'!$F507='My investments'!$H$12,'My investments'!$E507,0))</f>
        <v/>
      </c>
      <c r="AG507" s="36">
        <f>IF('My investments'!$H$13="",0,IF('My investments'!$F507='My investments'!$H$13,'My investments'!$E507,0))</f>
        <v/>
      </c>
      <c r="AH507" s="36">
        <f>IF('My investments'!$H$14="",0,IF('My investments'!$F507='My investments'!$H$14,'My investments'!$E507,0))</f>
        <v/>
      </c>
      <c r="AI507" s="36">
        <f>IF('My investments'!$H$15="",0,IF('My investments'!$F507='My investments'!$H$15,'My investments'!$E507,0))</f>
        <v/>
      </c>
      <c r="AK507" s="36">
        <f>IF('My investments'!$H$11="",0,IF('My investments'!$F507='My investments'!$H$11,$AA507,0))</f>
        <v/>
      </c>
      <c r="AL507" s="36">
        <f>IF('My investments'!$H$12="",0,IF('My investments'!$F507='My investments'!$H$12,$AA507,0))</f>
        <v/>
      </c>
      <c r="AM507" s="36">
        <f>IF('My investments'!$H$13="",0,IF('My investments'!$F507='My investments'!$H$13,$AA507,0))</f>
        <v/>
      </c>
      <c r="AN507" s="36">
        <f>IF('My investments'!$H$14="",0,IF('My investments'!$F507='My investments'!$H$14,$AA507,0))</f>
        <v/>
      </c>
      <c r="AO507" s="36">
        <f>IF('My investments'!$H$15="",0,IF('My investments'!$F507='My investments'!$H$15,$AA507,0))</f>
        <v/>
      </c>
    </row>
  </sheetData>
  <sheetProtection selectLockedCells="0" selectUnlockedCells="0" sheet="1" objects="0" insertRows="1" insertHyperlinks="1" autoFilter="1" scenarios="0" formatColumns="1" deleteColumns="1" insertColumns="1" pivotTables="1" deleteRows="1" formatCells="0" formatRows="1" sort="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2026-08-31T04:33:50Z</dcterms:created>
  <dcterms:modified xsi:type="dcterms:W3CDTF">2026-08-31T04:36:05Z</dcterms:modified>
  <cp:revision>0</cp:revision>
</cp:coreProperties>
</file>